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B9D88B97FE9B48BD324421BB206E29A7ADF60E14" xr6:coauthVersionLast="47" xr6:coauthVersionMax="47" xr10:uidLastSave="{EBD270F5-71EE-4AC4-BDD8-0A88EA71EA71}"/>
  <bookViews>
    <workbookView xWindow="0" yWindow="0" windowWidth="0" windowHeight="0" activeTab="4" xr2:uid="{00000000-000D-0000-FFFF-FFFF00000000}"/>
  </bookViews>
  <sheets>
    <sheet name="Problems" sheetId="1" r:id="rId1"/>
    <sheet name="Kingdom Summary" sheetId="2" r:id="rId2"/>
    <sheet name="Pattern Summary" sheetId="3" r:id="rId3"/>
    <sheet name="Statistics" sheetId="4" r:id="rId4"/>
    <sheet name="Metadata" sheetId="5" r:id="rId5"/>
  </sheets>
  <definedNames>
    <definedName name="_xlnm._FilterDatabase" localSheetId="0" hidden="1">Problems!$A$1:$N$793</definedName>
    <definedName name="_xlnm._FilterDatabase" localSheetId="1" hidden="1">'Kingdom Summary'!$A$1:$H$22</definedName>
    <definedName name="_xlnm._FilterDatabase" localSheetId="2" hidden="1">'Pattern Summary'!$A$1:$G$107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  <c r="B6" i="4"/>
  <c r="B5" i="4"/>
  <c r="B4" i="4"/>
  <c r="B7" i="4" s="1"/>
  <c r="G107" i="3"/>
  <c r="E107" i="3"/>
  <c r="D107" i="3"/>
  <c r="C107" i="3"/>
  <c r="F107" i="3" s="1"/>
  <c r="G106" i="3"/>
  <c r="E106" i="3"/>
  <c r="D106" i="3"/>
  <c r="C106" i="3"/>
  <c r="F106" i="3" s="1"/>
  <c r="G105" i="3"/>
  <c r="E105" i="3"/>
  <c r="D105" i="3"/>
  <c r="C105" i="3"/>
  <c r="F105" i="3" s="1"/>
  <c r="G104" i="3"/>
  <c r="E104" i="3"/>
  <c r="D104" i="3"/>
  <c r="C104" i="3"/>
  <c r="F104" i="3" s="1"/>
  <c r="G103" i="3"/>
  <c r="E103" i="3"/>
  <c r="D103" i="3"/>
  <c r="C103" i="3"/>
  <c r="F103" i="3" s="1"/>
  <c r="G102" i="3"/>
  <c r="E102" i="3"/>
  <c r="D102" i="3"/>
  <c r="C102" i="3"/>
  <c r="F102" i="3" s="1"/>
  <c r="G101" i="3"/>
  <c r="E101" i="3"/>
  <c r="D101" i="3"/>
  <c r="C101" i="3"/>
  <c r="F101" i="3" s="1"/>
  <c r="G100" i="3"/>
  <c r="E100" i="3"/>
  <c r="D100" i="3"/>
  <c r="C100" i="3"/>
  <c r="F100" i="3" s="1"/>
  <c r="G99" i="3"/>
  <c r="E99" i="3"/>
  <c r="D99" i="3"/>
  <c r="C99" i="3"/>
  <c r="F99" i="3" s="1"/>
  <c r="G98" i="3"/>
  <c r="E98" i="3"/>
  <c r="D98" i="3"/>
  <c r="C98" i="3"/>
  <c r="F98" i="3" s="1"/>
  <c r="G97" i="3"/>
  <c r="E97" i="3"/>
  <c r="D97" i="3"/>
  <c r="C97" i="3"/>
  <c r="F97" i="3" s="1"/>
  <c r="G96" i="3"/>
  <c r="E96" i="3"/>
  <c r="D96" i="3"/>
  <c r="C96" i="3"/>
  <c r="F96" i="3" s="1"/>
  <c r="G95" i="3"/>
  <c r="E95" i="3"/>
  <c r="D95" i="3"/>
  <c r="C95" i="3"/>
  <c r="F95" i="3" s="1"/>
  <c r="G94" i="3"/>
  <c r="E94" i="3"/>
  <c r="D94" i="3"/>
  <c r="C94" i="3"/>
  <c r="F94" i="3" s="1"/>
  <c r="G93" i="3"/>
  <c r="E93" i="3"/>
  <c r="D93" i="3"/>
  <c r="C93" i="3"/>
  <c r="F93" i="3" s="1"/>
  <c r="G92" i="3"/>
  <c r="E92" i="3"/>
  <c r="D92" i="3"/>
  <c r="C92" i="3"/>
  <c r="F92" i="3" s="1"/>
  <c r="G91" i="3"/>
  <c r="E91" i="3"/>
  <c r="D91" i="3"/>
  <c r="C91" i="3"/>
  <c r="F91" i="3" s="1"/>
  <c r="G90" i="3"/>
  <c r="E90" i="3"/>
  <c r="D90" i="3"/>
  <c r="C90" i="3"/>
  <c r="F90" i="3" s="1"/>
  <c r="G89" i="3"/>
  <c r="E89" i="3"/>
  <c r="D89" i="3"/>
  <c r="C89" i="3"/>
  <c r="F89" i="3" s="1"/>
  <c r="G88" i="3"/>
  <c r="E88" i="3"/>
  <c r="D88" i="3"/>
  <c r="C88" i="3"/>
  <c r="F88" i="3" s="1"/>
  <c r="G87" i="3"/>
  <c r="E87" i="3"/>
  <c r="D87" i="3"/>
  <c r="C87" i="3"/>
  <c r="F87" i="3" s="1"/>
  <c r="G86" i="3"/>
  <c r="E86" i="3"/>
  <c r="D86" i="3"/>
  <c r="C86" i="3"/>
  <c r="F86" i="3" s="1"/>
  <c r="G85" i="3"/>
  <c r="E85" i="3"/>
  <c r="D85" i="3"/>
  <c r="C85" i="3"/>
  <c r="F85" i="3" s="1"/>
  <c r="G84" i="3"/>
  <c r="E84" i="3"/>
  <c r="D84" i="3"/>
  <c r="C84" i="3"/>
  <c r="F84" i="3" s="1"/>
  <c r="G83" i="3"/>
  <c r="E83" i="3"/>
  <c r="D83" i="3"/>
  <c r="C83" i="3"/>
  <c r="F83" i="3" s="1"/>
  <c r="G82" i="3"/>
  <c r="E82" i="3"/>
  <c r="D82" i="3"/>
  <c r="C82" i="3"/>
  <c r="F82" i="3" s="1"/>
  <c r="G81" i="3"/>
  <c r="E81" i="3"/>
  <c r="D81" i="3"/>
  <c r="C81" i="3"/>
  <c r="F81" i="3" s="1"/>
  <c r="G80" i="3"/>
  <c r="E80" i="3"/>
  <c r="D80" i="3"/>
  <c r="C80" i="3"/>
  <c r="F80" i="3" s="1"/>
  <c r="G79" i="3"/>
  <c r="E79" i="3"/>
  <c r="D79" i="3"/>
  <c r="C79" i="3"/>
  <c r="F79" i="3" s="1"/>
  <c r="G78" i="3"/>
  <c r="E78" i="3"/>
  <c r="D78" i="3"/>
  <c r="C78" i="3"/>
  <c r="F78" i="3" s="1"/>
  <c r="G77" i="3"/>
  <c r="E77" i="3"/>
  <c r="D77" i="3"/>
  <c r="C77" i="3"/>
  <c r="F77" i="3" s="1"/>
  <c r="G76" i="3"/>
  <c r="E76" i="3"/>
  <c r="D76" i="3"/>
  <c r="C76" i="3"/>
  <c r="F76" i="3" s="1"/>
  <c r="G75" i="3"/>
  <c r="E75" i="3"/>
  <c r="D75" i="3"/>
  <c r="C75" i="3"/>
  <c r="F75" i="3" s="1"/>
  <c r="G74" i="3"/>
  <c r="E74" i="3"/>
  <c r="D74" i="3"/>
  <c r="C74" i="3"/>
  <c r="F74" i="3" s="1"/>
  <c r="G73" i="3"/>
  <c r="E73" i="3"/>
  <c r="D73" i="3"/>
  <c r="C73" i="3"/>
  <c r="F73" i="3" s="1"/>
  <c r="G72" i="3"/>
  <c r="E72" i="3"/>
  <c r="D72" i="3"/>
  <c r="C72" i="3"/>
  <c r="F72" i="3" s="1"/>
  <c r="G71" i="3"/>
  <c r="E71" i="3"/>
  <c r="D71" i="3"/>
  <c r="C71" i="3"/>
  <c r="F71" i="3" s="1"/>
  <c r="G70" i="3"/>
  <c r="E70" i="3"/>
  <c r="D70" i="3"/>
  <c r="C70" i="3"/>
  <c r="F70" i="3" s="1"/>
  <c r="G69" i="3"/>
  <c r="E69" i="3"/>
  <c r="D69" i="3"/>
  <c r="C69" i="3"/>
  <c r="F69" i="3" s="1"/>
  <c r="G68" i="3"/>
  <c r="E68" i="3"/>
  <c r="D68" i="3"/>
  <c r="C68" i="3"/>
  <c r="F68" i="3" s="1"/>
  <c r="G67" i="3"/>
  <c r="E67" i="3"/>
  <c r="D67" i="3"/>
  <c r="C67" i="3"/>
  <c r="F67" i="3" s="1"/>
  <c r="G66" i="3"/>
  <c r="E66" i="3"/>
  <c r="D66" i="3"/>
  <c r="C66" i="3"/>
  <c r="F66" i="3" s="1"/>
  <c r="G65" i="3"/>
  <c r="E65" i="3"/>
  <c r="D65" i="3"/>
  <c r="C65" i="3"/>
  <c r="F65" i="3" s="1"/>
  <c r="G64" i="3"/>
  <c r="E64" i="3"/>
  <c r="D64" i="3"/>
  <c r="C64" i="3"/>
  <c r="F64" i="3" s="1"/>
  <c r="G63" i="3"/>
  <c r="E63" i="3"/>
  <c r="D63" i="3"/>
  <c r="C63" i="3"/>
  <c r="F63" i="3" s="1"/>
  <c r="G62" i="3"/>
  <c r="E62" i="3"/>
  <c r="D62" i="3"/>
  <c r="C62" i="3"/>
  <c r="F62" i="3" s="1"/>
  <c r="G61" i="3"/>
  <c r="E61" i="3"/>
  <c r="D61" i="3"/>
  <c r="C61" i="3"/>
  <c r="F61" i="3" s="1"/>
  <c r="G60" i="3"/>
  <c r="E60" i="3"/>
  <c r="D60" i="3"/>
  <c r="C60" i="3"/>
  <c r="F60" i="3" s="1"/>
  <c r="G59" i="3"/>
  <c r="E59" i="3"/>
  <c r="D59" i="3"/>
  <c r="C59" i="3"/>
  <c r="F59" i="3" s="1"/>
  <c r="G58" i="3"/>
  <c r="E58" i="3"/>
  <c r="D58" i="3"/>
  <c r="C58" i="3"/>
  <c r="F58" i="3" s="1"/>
  <c r="G57" i="3"/>
  <c r="E57" i="3"/>
  <c r="D57" i="3"/>
  <c r="C57" i="3"/>
  <c r="F57" i="3" s="1"/>
  <c r="G56" i="3"/>
  <c r="E56" i="3"/>
  <c r="D56" i="3"/>
  <c r="C56" i="3"/>
  <c r="F56" i="3" s="1"/>
  <c r="G55" i="3"/>
  <c r="E55" i="3"/>
  <c r="D55" i="3"/>
  <c r="C55" i="3"/>
  <c r="F55" i="3" s="1"/>
  <c r="G54" i="3"/>
  <c r="E54" i="3"/>
  <c r="D54" i="3"/>
  <c r="C54" i="3"/>
  <c r="F54" i="3" s="1"/>
  <c r="G53" i="3"/>
  <c r="E53" i="3"/>
  <c r="D53" i="3"/>
  <c r="C53" i="3"/>
  <c r="F53" i="3" s="1"/>
  <c r="G52" i="3"/>
  <c r="E52" i="3"/>
  <c r="D52" i="3"/>
  <c r="C52" i="3"/>
  <c r="F52" i="3" s="1"/>
  <c r="G51" i="3"/>
  <c r="E51" i="3"/>
  <c r="D51" i="3"/>
  <c r="C51" i="3"/>
  <c r="F51" i="3" s="1"/>
  <c r="G50" i="3"/>
  <c r="E50" i="3"/>
  <c r="D50" i="3"/>
  <c r="C50" i="3"/>
  <c r="F50" i="3" s="1"/>
  <c r="G49" i="3"/>
  <c r="E49" i="3"/>
  <c r="D49" i="3"/>
  <c r="C49" i="3"/>
  <c r="F49" i="3" s="1"/>
  <c r="G48" i="3"/>
  <c r="E48" i="3"/>
  <c r="D48" i="3"/>
  <c r="C48" i="3"/>
  <c r="F48" i="3" s="1"/>
  <c r="G47" i="3"/>
  <c r="E47" i="3"/>
  <c r="D47" i="3"/>
  <c r="C47" i="3"/>
  <c r="F47" i="3" s="1"/>
  <c r="G46" i="3"/>
  <c r="E46" i="3"/>
  <c r="D46" i="3"/>
  <c r="C46" i="3"/>
  <c r="F46" i="3" s="1"/>
  <c r="G45" i="3"/>
  <c r="E45" i="3"/>
  <c r="D45" i="3"/>
  <c r="C45" i="3"/>
  <c r="F45" i="3" s="1"/>
  <c r="G44" i="3"/>
  <c r="E44" i="3"/>
  <c r="D44" i="3"/>
  <c r="C44" i="3"/>
  <c r="F44" i="3" s="1"/>
  <c r="G43" i="3"/>
  <c r="E43" i="3"/>
  <c r="D43" i="3"/>
  <c r="C43" i="3"/>
  <c r="F43" i="3" s="1"/>
  <c r="G42" i="3"/>
  <c r="E42" i="3"/>
  <c r="D42" i="3"/>
  <c r="C42" i="3"/>
  <c r="F42" i="3" s="1"/>
  <c r="G41" i="3"/>
  <c r="E41" i="3"/>
  <c r="D41" i="3"/>
  <c r="C41" i="3"/>
  <c r="F41" i="3" s="1"/>
  <c r="G40" i="3"/>
  <c r="E40" i="3"/>
  <c r="D40" i="3"/>
  <c r="C40" i="3"/>
  <c r="F40" i="3" s="1"/>
  <c r="G39" i="3"/>
  <c r="E39" i="3"/>
  <c r="D39" i="3"/>
  <c r="C39" i="3"/>
  <c r="F39" i="3" s="1"/>
  <c r="G38" i="3"/>
  <c r="E38" i="3"/>
  <c r="D38" i="3"/>
  <c r="C38" i="3"/>
  <c r="F38" i="3" s="1"/>
  <c r="G37" i="3"/>
  <c r="E37" i="3"/>
  <c r="D37" i="3"/>
  <c r="C37" i="3"/>
  <c r="F37" i="3" s="1"/>
  <c r="G36" i="3"/>
  <c r="E36" i="3"/>
  <c r="D36" i="3"/>
  <c r="C36" i="3"/>
  <c r="F36" i="3" s="1"/>
  <c r="G35" i="3"/>
  <c r="E35" i="3"/>
  <c r="D35" i="3"/>
  <c r="C35" i="3"/>
  <c r="F35" i="3" s="1"/>
  <c r="G34" i="3"/>
  <c r="E34" i="3"/>
  <c r="D34" i="3"/>
  <c r="C34" i="3"/>
  <c r="F34" i="3" s="1"/>
  <c r="G33" i="3"/>
  <c r="E33" i="3"/>
  <c r="D33" i="3"/>
  <c r="C33" i="3"/>
  <c r="F33" i="3" s="1"/>
  <c r="G32" i="3"/>
  <c r="E32" i="3"/>
  <c r="D32" i="3"/>
  <c r="C32" i="3"/>
  <c r="F32" i="3" s="1"/>
  <c r="G31" i="3"/>
  <c r="E31" i="3"/>
  <c r="D31" i="3"/>
  <c r="C31" i="3"/>
  <c r="F31" i="3" s="1"/>
  <c r="G30" i="3"/>
  <c r="E30" i="3"/>
  <c r="D30" i="3"/>
  <c r="C30" i="3"/>
  <c r="F30" i="3" s="1"/>
  <c r="G29" i="3"/>
  <c r="E29" i="3"/>
  <c r="D29" i="3"/>
  <c r="C29" i="3"/>
  <c r="F29" i="3" s="1"/>
  <c r="G28" i="3"/>
  <c r="E28" i="3"/>
  <c r="D28" i="3"/>
  <c r="C28" i="3"/>
  <c r="F28" i="3" s="1"/>
  <c r="G27" i="3"/>
  <c r="E27" i="3"/>
  <c r="D27" i="3"/>
  <c r="C27" i="3"/>
  <c r="F27" i="3" s="1"/>
  <c r="G26" i="3"/>
  <c r="E26" i="3"/>
  <c r="D26" i="3"/>
  <c r="C26" i="3"/>
  <c r="F26" i="3" s="1"/>
  <c r="G25" i="3"/>
  <c r="E25" i="3"/>
  <c r="D25" i="3"/>
  <c r="C25" i="3"/>
  <c r="F25" i="3" s="1"/>
  <c r="G24" i="3"/>
  <c r="E24" i="3"/>
  <c r="D24" i="3"/>
  <c r="C24" i="3"/>
  <c r="F24" i="3" s="1"/>
  <c r="G23" i="3"/>
  <c r="E23" i="3"/>
  <c r="D23" i="3"/>
  <c r="C23" i="3"/>
  <c r="F23" i="3" s="1"/>
  <c r="G22" i="3"/>
  <c r="E22" i="3"/>
  <c r="D22" i="3"/>
  <c r="C22" i="3"/>
  <c r="F22" i="3" s="1"/>
  <c r="G21" i="3"/>
  <c r="E21" i="3"/>
  <c r="D21" i="3"/>
  <c r="C21" i="3"/>
  <c r="F21" i="3" s="1"/>
  <c r="G20" i="3"/>
  <c r="E20" i="3"/>
  <c r="D20" i="3"/>
  <c r="C20" i="3"/>
  <c r="F20" i="3" s="1"/>
  <c r="G19" i="3"/>
  <c r="E19" i="3"/>
  <c r="D19" i="3"/>
  <c r="C19" i="3"/>
  <c r="F19" i="3" s="1"/>
  <c r="G18" i="3"/>
  <c r="E18" i="3"/>
  <c r="D18" i="3"/>
  <c r="C18" i="3"/>
  <c r="F18" i="3" s="1"/>
  <c r="G17" i="3"/>
  <c r="E17" i="3"/>
  <c r="D17" i="3"/>
  <c r="C17" i="3"/>
  <c r="F17" i="3" s="1"/>
  <c r="G16" i="3"/>
  <c r="E16" i="3"/>
  <c r="D16" i="3"/>
  <c r="C16" i="3"/>
  <c r="F16" i="3" s="1"/>
  <c r="G15" i="3"/>
  <c r="E15" i="3"/>
  <c r="D15" i="3"/>
  <c r="C15" i="3"/>
  <c r="F15" i="3" s="1"/>
  <c r="G14" i="3"/>
  <c r="E14" i="3"/>
  <c r="D14" i="3"/>
  <c r="C14" i="3"/>
  <c r="F14" i="3" s="1"/>
  <c r="G13" i="3"/>
  <c r="E13" i="3"/>
  <c r="D13" i="3"/>
  <c r="C13" i="3"/>
  <c r="F13" i="3" s="1"/>
  <c r="G12" i="3"/>
  <c r="E12" i="3"/>
  <c r="D12" i="3"/>
  <c r="C12" i="3"/>
  <c r="F12" i="3" s="1"/>
  <c r="G11" i="3"/>
  <c r="E11" i="3"/>
  <c r="D11" i="3"/>
  <c r="C11" i="3"/>
  <c r="F11" i="3" s="1"/>
  <c r="G10" i="3"/>
  <c r="E10" i="3"/>
  <c r="D10" i="3"/>
  <c r="C10" i="3"/>
  <c r="F10" i="3" s="1"/>
  <c r="G9" i="3"/>
  <c r="E9" i="3"/>
  <c r="D9" i="3"/>
  <c r="C9" i="3"/>
  <c r="F9" i="3" s="1"/>
  <c r="G8" i="3"/>
  <c r="E8" i="3"/>
  <c r="D8" i="3"/>
  <c r="C8" i="3"/>
  <c r="F8" i="3" s="1"/>
  <c r="G7" i="3"/>
  <c r="E7" i="3"/>
  <c r="D7" i="3"/>
  <c r="C7" i="3"/>
  <c r="F7" i="3" s="1"/>
  <c r="G6" i="3"/>
  <c r="E6" i="3"/>
  <c r="D6" i="3"/>
  <c r="C6" i="3"/>
  <c r="F6" i="3" s="1"/>
  <c r="G5" i="3"/>
  <c r="E5" i="3"/>
  <c r="D5" i="3"/>
  <c r="C5" i="3"/>
  <c r="F5" i="3" s="1"/>
  <c r="G4" i="3"/>
  <c r="E4" i="3"/>
  <c r="D4" i="3"/>
  <c r="C4" i="3"/>
  <c r="F4" i="3" s="1"/>
  <c r="G3" i="3"/>
  <c r="E3" i="3"/>
  <c r="D3" i="3"/>
  <c r="C3" i="3"/>
  <c r="F3" i="3" s="1"/>
  <c r="G2" i="3"/>
  <c r="E2" i="3"/>
  <c r="D2" i="3"/>
  <c r="C2" i="3"/>
  <c r="F2" i="3" s="1"/>
  <c r="B14" i="4" s="1"/>
  <c r="H22" i="2"/>
  <c r="G22" i="2"/>
  <c r="E22" i="2"/>
  <c r="D22" i="2"/>
  <c r="C22" i="2"/>
  <c r="F22" i="2" s="1"/>
  <c r="H21" i="2"/>
  <c r="G21" i="2"/>
  <c r="E21" i="2"/>
  <c r="D21" i="2"/>
  <c r="C21" i="2"/>
  <c r="F21" i="2" s="1"/>
  <c r="H20" i="2"/>
  <c r="G20" i="2"/>
  <c r="E20" i="2"/>
  <c r="D20" i="2"/>
  <c r="C20" i="2"/>
  <c r="F20" i="2" s="1"/>
  <c r="H19" i="2"/>
  <c r="G19" i="2"/>
  <c r="E19" i="2"/>
  <c r="D19" i="2"/>
  <c r="C19" i="2"/>
  <c r="F19" i="2" s="1"/>
  <c r="H18" i="2"/>
  <c r="G18" i="2"/>
  <c r="E18" i="2"/>
  <c r="D18" i="2"/>
  <c r="C18" i="2"/>
  <c r="F18" i="2" s="1"/>
  <c r="H17" i="2"/>
  <c r="G17" i="2"/>
  <c r="E17" i="2"/>
  <c r="D17" i="2"/>
  <c r="C17" i="2"/>
  <c r="F17" i="2" s="1"/>
  <c r="H16" i="2"/>
  <c r="G16" i="2"/>
  <c r="E16" i="2"/>
  <c r="D16" i="2"/>
  <c r="C16" i="2"/>
  <c r="F16" i="2" s="1"/>
  <c r="H15" i="2"/>
  <c r="G15" i="2"/>
  <c r="E15" i="2"/>
  <c r="D15" i="2"/>
  <c r="C15" i="2"/>
  <c r="F15" i="2" s="1"/>
  <c r="H14" i="2"/>
  <c r="G14" i="2"/>
  <c r="E14" i="2"/>
  <c r="D14" i="2"/>
  <c r="C14" i="2"/>
  <c r="F14" i="2" s="1"/>
  <c r="H13" i="2"/>
  <c r="G13" i="2"/>
  <c r="E13" i="2"/>
  <c r="D13" i="2"/>
  <c r="C13" i="2"/>
  <c r="F13" i="2" s="1"/>
  <c r="H12" i="2"/>
  <c r="G12" i="2"/>
  <c r="E12" i="2"/>
  <c r="D12" i="2"/>
  <c r="C12" i="2"/>
  <c r="F12" i="2" s="1"/>
  <c r="H11" i="2"/>
  <c r="G11" i="2"/>
  <c r="E11" i="2"/>
  <c r="D11" i="2"/>
  <c r="C11" i="2"/>
  <c r="F11" i="2" s="1"/>
  <c r="H10" i="2"/>
  <c r="G10" i="2"/>
  <c r="E10" i="2"/>
  <c r="D10" i="2"/>
  <c r="C10" i="2"/>
  <c r="F10" i="2" s="1"/>
  <c r="H9" i="2"/>
  <c r="G9" i="2"/>
  <c r="E9" i="2"/>
  <c r="D9" i="2"/>
  <c r="C9" i="2"/>
  <c r="F9" i="2" s="1"/>
  <c r="H8" i="2"/>
  <c r="G8" i="2"/>
  <c r="E8" i="2"/>
  <c r="D8" i="2"/>
  <c r="C8" i="2"/>
  <c r="F8" i="2" s="1"/>
  <c r="H7" i="2"/>
  <c r="G7" i="2"/>
  <c r="E7" i="2"/>
  <c r="D7" i="2"/>
  <c r="C7" i="2"/>
  <c r="F7" i="2" s="1"/>
  <c r="H6" i="2"/>
  <c r="G6" i="2"/>
  <c r="E6" i="2"/>
  <c r="D6" i="2"/>
  <c r="C6" i="2"/>
  <c r="F6" i="2" s="1"/>
  <c r="H5" i="2"/>
  <c r="G5" i="2"/>
  <c r="E5" i="2"/>
  <c r="D5" i="2"/>
  <c r="C5" i="2"/>
  <c r="F5" i="2" s="1"/>
  <c r="H4" i="2"/>
  <c r="G4" i="2"/>
  <c r="E4" i="2"/>
  <c r="D4" i="2"/>
  <c r="C4" i="2"/>
  <c r="F4" i="2" s="1"/>
  <c r="H3" i="2"/>
  <c r="G3" i="2"/>
  <c r="E3" i="2"/>
  <c r="D3" i="2"/>
  <c r="C3" i="2"/>
  <c r="F3" i="2" s="1"/>
  <c r="H2" i="2"/>
  <c r="G2" i="2"/>
  <c r="E2" i="2"/>
  <c r="D2" i="2"/>
  <c r="C2" i="2"/>
  <c r="F2" i="2" s="1"/>
  <c r="B13" i="4" s="1"/>
</calcChain>
</file>

<file path=xl/sharedStrings.xml><?xml version="1.0" encoding="utf-8"?>
<sst xmlns="http://schemas.openxmlformats.org/spreadsheetml/2006/main" count="7696" uniqueCount="3031">
  <si>
    <t>Status</t>
  </si>
  <si>
    <t>Category</t>
  </si>
  <si>
    <t>Subtopic</t>
  </si>
  <si>
    <t>Problem #</t>
  </si>
  <si>
    <t>Contest ID</t>
  </si>
  <si>
    <t>Problem Index</t>
  </si>
  <si>
    <t>Problem Name</t>
  </si>
  <si>
    <t>Rating</t>
  </si>
  <si>
    <t>Difficulty</t>
  </si>
  <si>
    <t>Topics</t>
  </si>
  <si>
    <t>Estimated Time (mins)</t>
  </si>
  <si>
    <t>XP</t>
  </si>
  <si>
    <t>Open Link</t>
  </si>
  <si>
    <t>Notes</t>
  </si>
  <si>
    <t>Unsolved</t>
  </si>
  <si>
    <t>KINGDOM 1 — THE KINGDOM OF ARRAYS</t>
  </si>
  <si>
    <t>Pattern 1.1 — Basic Array Traversal</t>
  </si>
  <si>
    <t>263A</t>
  </si>
  <si>
    <t>A</t>
  </si>
  <si>
    <t>Beautiful Matrix</t>
  </si>
  <si>
    <t>Easy</t>
  </si>
  <si>
    <t>implementation</t>
  </si>
  <si>
    <t>https://codeforces.com/problemset/problem/263/A</t>
  </si>
  <si>
    <t>266A</t>
  </si>
  <si>
    <t>Stones on the Table</t>
  </si>
  <si>
    <t>https://codeforces.com/problemset/problem/266/A</t>
  </si>
  <si>
    <t>339A</t>
  </si>
  <si>
    <t>Helpful Maths</t>
  </si>
  <si>
    <t>greedy, implementation, sortings, strings</t>
  </si>
  <si>
    <t>https://codeforces.com/problemset/problem/339/A</t>
  </si>
  <si>
    <t>405A</t>
  </si>
  <si>
    <t>Gravity Flip</t>
  </si>
  <si>
    <t>greedy, implementation, sortings</t>
  </si>
  <si>
    <t>https://codeforces.com/problemset/problem/405/A</t>
  </si>
  <si>
    <t>467A</t>
  </si>
  <si>
    <t>George and Accommodation</t>
  </si>
  <si>
    <t>https://codeforces.com/problemset/problem/467/A</t>
  </si>
  <si>
    <t>469A</t>
  </si>
  <si>
    <t>I Wanna Be the Guy</t>
  </si>
  <si>
    <t>greedy, implementation</t>
  </si>
  <si>
    <t>https://codeforces.com/problemset/problem/469/A</t>
  </si>
  <si>
    <t>479A</t>
  </si>
  <si>
    <t>Expression</t>
  </si>
  <si>
    <t>Easy+</t>
  </si>
  <si>
    <t>brute force, math</t>
  </si>
  <si>
    <t>https://codeforces.com/problemset/problem/479/A</t>
  </si>
  <si>
    <t>490A</t>
  </si>
  <si>
    <t>Team Olympiad</t>
  </si>
  <si>
    <t>https://codeforces.com/problemset/problem/490/A</t>
  </si>
  <si>
    <t>501A</t>
  </si>
  <si>
    <t>Contest</t>
  </si>
  <si>
    <t>https://codeforces.com/problemset/problem/501/A</t>
  </si>
  <si>
    <t>509A</t>
  </si>
  <si>
    <t>Maximum in Table</t>
  </si>
  <si>
    <t>brute force, implementation</t>
  </si>
  <si>
    <t>https://codeforces.com/problemset/problem/509/A</t>
  </si>
  <si>
    <t>510A</t>
  </si>
  <si>
    <t>Fox And Snake</t>
  </si>
  <si>
    <t>https://codeforces.com/problemset/problem/510/A</t>
  </si>
  <si>
    <t>581A</t>
  </si>
  <si>
    <t>Vasya the Hipster</t>
  </si>
  <si>
    <t>implementation, math</t>
  </si>
  <si>
    <t>https://codeforces.com/problemset/problem/581/A</t>
  </si>
  <si>
    <t>677A</t>
  </si>
  <si>
    <t>Vanya and Fence</t>
  </si>
  <si>
    <t>https://codeforces.com/problemset/problem/677/A</t>
  </si>
  <si>
    <t>705A</t>
  </si>
  <si>
    <t>Hulk</t>
  </si>
  <si>
    <t>https://codeforces.com/problemset/problem/705/A</t>
  </si>
  <si>
    <t>723A</t>
  </si>
  <si>
    <t>The New Year: Meeting Friends</t>
  </si>
  <si>
    <t>implementation, math, sortings</t>
  </si>
  <si>
    <t>https://codeforces.com/problemset/problem/723/A</t>
  </si>
  <si>
    <t>731A</t>
  </si>
  <si>
    <t>Night at the Museum</t>
  </si>
  <si>
    <t>implementation, strings</t>
  </si>
  <si>
    <t>https://codeforces.com/problemset/problem/731/A</t>
  </si>
  <si>
    <t>734A</t>
  </si>
  <si>
    <t>Anton and Danik</t>
  </si>
  <si>
    <t>https://codeforces.com/problemset/problem/734/A</t>
  </si>
  <si>
    <t>746A</t>
  </si>
  <si>
    <t>Compote</t>
  </si>
  <si>
    <t>https://codeforces.com/problemset/problem/746/A</t>
  </si>
  <si>
    <t>750A</t>
  </si>
  <si>
    <t>New Year and Hurry</t>
  </si>
  <si>
    <t>binary search, brute force, implementation, math</t>
  </si>
  <si>
    <t>https://codeforces.com/problemset/problem/750/A</t>
  </si>
  <si>
    <t>758A</t>
  </si>
  <si>
    <t>Holiday Of Equality</t>
  </si>
  <si>
    <t>https://codeforces.com/problemset/problem/758/A</t>
  </si>
  <si>
    <t>785A</t>
  </si>
  <si>
    <t>Anton and Polyhedrons</t>
  </si>
  <si>
    <t>https://codeforces.com/problemset/problem/785/A</t>
  </si>
  <si>
    <t>791A</t>
  </si>
  <si>
    <t>Bear and Big Brother</t>
  </si>
  <si>
    <t>https://codeforces.com/problemset/problem/791/A</t>
  </si>
  <si>
    <t>935A</t>
  </si>
  <si>
    <t>Fafa and his Company</t>
  </si>
  <si>
    <t>https://codeforces.com/problemset/problem/935/A</t>
  </si>
  <si>
    <t>996A</t>
  </si>
  <si>
    <t>Hit the Lottery</t>
  </si>
  <si>
    <t>dp, greedy</t>
  </si>
  <si>
    <t>https://codeforces.com/problemset/problem/996/A</t>
  </si>
  <si>
    <t>1030A</t>
  </si>
  <si>
    <t>In Search of an Easy Problem</t>
  </si>
  <si>
    <t>https://codeforces.com/problemset/problem/1030/A</t>
  </si>
  <si>
    <t>1097A</t>
  </si>
  <si>
    <t>Gennady and a Card Game</t>
  </si>
  <si>
    <t>https://codeforces.com/problemset/problem/1097/A</t>
  </si>
  <si>
    <t>1108A</t>
  </si>
  <si>
    <t>Two distinct points</t>
  </si>
  <si>
    <t>https://codeforces.com/problemset/problem/1108/A</t>
  </si>
  <si>
    <t>1114A</t>
  </si>
  <si>
    <t>Got Any Grapes?</t>
  </si>
  <si>
    <t>brute force, greedy, implementation</t>
  </si>
  <si>
    <t>https://codeforces.com/problemset/problem/1114/A</t>
  </si>
  <si>
    <t>116A</t>
  </si>
  <si>
    <t>Tram</t>
  </si>
  <si>
    <t>https://codeforces.com/problemset/problem/116/A</t>
  </si>
  <si>
    <t>1234A</t>
  </si>
  <si>
    <t>Equalize Prices Again</t>
  </si>
  <si>
    <t>math</t>
  </si>
  <si>
    <t>https://codeforces.com/problemset/problem/1234/A</t>
  </si>
  <si>
    <t>1294A</t>
  </si>
  <si>
    <t>Collecting Coins</t>
  </si>
  <si>
    <t>https://codeforces.com/problemset/problem/1294/A</t>
  </si>
  <si>
    <t>1335A</t>
  </si>
  <si>
    <t>Candies and Two Sisters</t>
  </si>
  <si>
    <t>https://codeforces.com/problemset/problem/1335/A</t>
  </si>
  <si>
    <t>1352A</t>
  </si>
  <si>
    <t>Sum of Round Numbers</t>
  </si>
  <si>
    <t>https://codeforces.com/problemset/problem/1352/A</t>
  </si>
  <si>
    <t>1367A</t>
  </si>
  <si>
    <t>Short Substrings</t>
  </si>
  <si>
    <t>https://codeforces.com/problemset/problem/1367/A</t>
  </si>
  <si>
    <t>1374A</t>
  </si>
  <si>
    <t>Required Remainder</t>
  </si>
  <si>
    <t>https://codeforces.com/problemset/problem/1374/A</t>
  </si>
  <si>
    <t>1385A</t>
  </si>
  <si>
    <t>Three Pairwise Maximums</t>
  </si>
  <si>
    <t>https://codeforces.com/problemset/problem/1385/A</t>
  </si>
  <si>
    <t>1399A</t>
  </si>
  <si>
    <t>Remove Smallest</t>
  </si>
  <si>
    <t>greedy, sortings</t>
  </si>
  <si>
    <t>https://codeforces.com/problemset/problem/1399/A</t>
  </si>
  <si>
    <t>1409A</t>
  </si>
  <si>
    <t>Yet Another Two Integers Problem</t>
  </si>
  <si>
    <t>greedy, math</t>
  </si>
  <si>
    <t>https://codeforces.com/problemset/problem/1409/A</t>
  </si>
  <si>
    <t>1426A</t>
  </si>
  <si>
    <t>Floor Number</t>
  </si>
  <si>
    <t>https://codeforces.com/problemset/problem/1426/A</t>
  </si>
  <si>
    <t>Pattern 1.2 — Frequency Counting</t>
  </si>
  <si>
    <t>228A</t>
  </si>
  <si>
    <t>Is your horseshoe on the other hoof?</t>
  </si>
  <si>
    <t>https://codeforces.com/problemset/problem/228/A</t>
  </si>
  <si>
    <t>368B</t>
  </si>
  <si>
    <t>B</t>
  </si>
  <si>
    <t>Sereja and Suffixes</t>
  </si>
  <si>
    <t>data structures, dp</t>
  </si>
  <si>
    <t>https://codeforces.com/problemset/problem/368/B</t>
  </si>
  <si>
    <t>459B</t>
  </si>
  <si>
    <t>Pashmak and Flowers</t>
  </si>
  <si>
    <t>Medium</t>
  </si>
  <si>
    <t>combinatorics, implementation, sortings</t>
  </si>
  <si>
    <t>https://codeforces.com/problemset/problem/459/B</t>
  </si>
  <si>
    <t>478B</t>
  </si>
  <si>
    <t>Random Teams</t>
  </si>
  <si>
    <t>combinatorics, constructive algorithms, greedy, math</t>
  </si>
  <si>
    <t>https://codeforces.com/problemset/problem/478/B</t>
  </si>
  <si>
    <t>550A</t>
  </si>
  <si>
    <t>Two Substrings</t>
  </si>
  <si>
    <t>Medium+</t>
  </si>
  <si>
    <t>brute force, dp, greedy, implementation, strings</t>
  </si>
  <si>
    <t>https://codeforces.com/problemset/problem/550/A</t>
  </si>
  <si>
    <t>978A</t>
  </si>
  <si>
    <t>Remove Duplicates</t>
  </si>
  <si>
    <t>https://codeforces.com/problemset/problem/978/A</t>
  </si>
  <si>
    <t>1005B</t>
  </si>
  <si>
    <t>Delete from the Left</t>
  </si>
  <si>
    <t>brute force, implementation, strings</t>
  </si>
  <si>
    <t>https://codeforces.com/problemset/problem/1005/B</t>
  </si>
  <si>
    <t>1077C</t>
  </si>
  <si>
    <t>C</t>
  </si>
  <si>
    <t>Good Array</t>
  </si>
  <si>
    <t>UNKNOWN</t>
  </si>
  <si>
    <t>https://codeforces.com/problemset/problem/1077/C</t>
  </si>
  <si>
    <t>1141A</t>
  </si>
  <si>
    <t>Game 23</t>
  </si>
  <si>
    <t>https://codeforces.com/problemset/problem/1141/A</t>
  </si>
  <si>
    <t>1187A</t>
  </si>
  <si>
    <t>Stickers and Toys</t>
  </si>
  <si>
    <t>https://codeforces.com/problemset/problem/1187/A</t>
  </si>
  <si>
    <t>1228A</t>
  </si>
  <si>
    <t>Distinct Digits</t>
  </si>
  <si>
    <t>https://codeforces.com/problemset/problem/1228/A</t>
  </si>
  <si>
    <t>1270A</t>
  </si>
  <si>
    <t>Card Game</t>
  </si>
  <si>
    <t>games, greedy, math</t>
  </si>
  <si>
    <t>https://codeforces.com/problemset/problem/1270/A</t>
  </si>
  <si>
    <t>1325A</t>
  </si>
  <si>
    <t>EhAb AnD gCd</t>
  </si>
  <si>
    <t>constructive algorithms, greedy, number theory</t>
  </si>
  <si>
    <t>https://codeforces.com/problemset/problem/1325/A</t>
  </si>
  <si>
    <t>1360B</t>
  </si>
  <si>
    <t>Honest Coach</t>
  </si>
  <si>
    <t>https://codeforces.com/problemset/problem/1360/B</t>
  </si>
  <si>
    <t>1382A</t>
  </si>
  <si>
    <t>Common Subsequence</t>
  </si>
  <si>
    <t>brute force</t>
  </si>
  <si>
    <t>https://codeforces.com/problemset/problem/1382/A</t>
  </si>
  <si>
    <t>1398A</t>
  </si>
  <si>
    <t>Bad Triangle</t>
  </si>
  <si>
    <t>geometry, math</t>
  </si>
  <si>
    <t>https://codeforces.com/problemset/problem/1398/A</t>
  </si>
  <si>
    <t>1419A</t>
  </si>
  <si>
    <t>Digit Game</t>
  </si>
  <si>
    <t>games, greedy, implementation</t>
  </si>
  <si>
    <t>https://codeforces.com/problemset/problem/1419/A</t>
  </si>
  <si>
    <t>1472B</t>
  </si>
  <si>
    <t>Fair Division</t>
  </si>
  <si>
    <t>dp, greedy, math</t>
  </si>
  <si>
    <t>https://codeforces.com/problemset/problem/1472/B</t>
  </si>
  <si>
    <t>1490A</t>
  </si>
  <si>
    <t>Dense Array</t>
  </si>
  <si>
    <t>https://codeforces.com/problemset/problem/1490/A</t>
  </si>
  <si>
    <t>1512A</t>
  </si>
  <si>
    <t>Spy Detected!</t>
  </si>
  <si>
    <t>https://codeforces.com/problemset/problem/1512/A</t>
  </si>
  <si>
    <t>1520A</t>
  </si>
  <si>
    <t>Do Not Be Distracted!</t>
  </si>
  <si>
    <t>https://codeforces.com/problemset/problem/1520/A</t>
  </si>
  <si>
    <t>1542A</t>
  </si>
  <si>
    <t>Odd Set</t>
  </si>
  <si>
    <t>https://codeforces.com/problemset/problem/1542/A</t>
  </si>
  <si>
    <t>1560A</t>
  </si>
  <si>
    <t>Dislike of Threes</t>
  </si>
  <si>
    <t>https://codeforces.com/problemset/problem/1560/A</t>
  </si>
  <si>
    <t>1607A</t>
  </si>
  <si>
    <t>Linear Keyboard</t>
  </si>
  <si>
    <t>https://codeforces.com/problemset/problem/1607/A</t>
  </si>
  <si>
    <t>1619A</t>
  </si>
  <si>
    <t>Square String?</t>
  </si>
  <si>
    <t>https://codeforces.com/problemset/problem/1619/A</t>
  </si>
  <si>
    <t>1676A</t>
  </si>
  <si>
    <t>Lucky?</t>
  </si>
  <si>
    <t>https://codeforces.com/problemset/problem/1676/A</t>
  </si>
  <si>
    <t>Pattern 1.3 — Simulation on Arrays</t>
  </si>
  <si>
    <t>300A</t>
  </si>
  <si>
    <t>Array</t>
  </si>
  <si>
    <t>brute force, constructive algorithms, implementation</t>
  </si>
  <si>
    <t>https://codeforces.com/problemset/problem/300/A</t>
  </si>
  <si>
    <t>381A</t>
  </si>
  <si>
    <t>Sereja and Dima</t>
  </si>
  <si>
    <t>greedy, implementation, two pointers</t>
  </si>
  <si>
    <t>https://codeforces.com/problemset/problem/381/A</t>
  </si>
  <si>
    <t>478A</t>
  </si>
  <si>
    <t>Initial Bet</t>
  </si>
  <si>
    <t>https://codeforces.com/problemset/problem/478/A</t>
  </si>
  <si>
    <t>500A</t>
  </si>
  <si>
    <t>New Year Transportation</t>
  </si>
  <si>
    <t>dfs and similar, graphs, implementation</t>
  </si>
  <si>
    <t>https://codeforces.com/problemset/problem/500/A</t>
  </si>
  <si>
    <t>518B</t>
  </si>
  <si>
    <t>Tanya and Postcard</t>
  </si>
  <si>
    <t>greedy, implementation, strings</t>
  </si>
  <si>
    <t>https://codeforces.com/problemset/problem/518/B</t>
  </si>
  <si>
    <t>545A</t>
  </si>
  <si>
    <t>Toy Cars</t>
  </si>
  <si>
    <t>https://codeforces.com/problemset/problem/545/A</t>
  </si>
  <si>
    <t>734B</t>
  </si>
  <si>
    <t>Anton and Digits</t>
  </si>
  <si>
    <t>brute force, greedy, implementation, math</t>
  </si>
  <si>
    <t>https://codeforces.com/problemset/problem/734/B</t>
  </si>
  <si>
    <t>863B</t>
  </si>
  <si>
    <t>Kayaking</t>
  </si>
  <si>
    <t>brute force, greedy, sortings</t>
  </si>
  <si>
    <t>https://codeforces.com/problemset/problem/863/B</t>
  </si>
  <si>
    <t>1005A</t>
  </si>
  <si>
    <t>Tanya and Stairways</t>
  </si>
  <si>
    <t>https://codeforces.com/problemset/problem/1005/A</t>
  </si>
  <si>
    <t>1015A</t>
  </si>
  <si>
    <t>Points in Segments</t>
  </si>
  <si>
    <t>https://codeforces.com/problemset/problem/1015/A</t>
  </si>
  <si>
    <t>1066A</t>
  </si>
  <si>
    <t>Vova and Train</t>
  </si>
  <si>
    <t>https://codeforces.com/problemset/problem/1066/A</t>
  </si>
  <si>
    <t>1088B</t>
  </si>
  <si>
    <t>Ehab and subtraction</t>
  </si>
  <si>
    <t>implementation, sortings</t>
  </si>
  <si>
    <t>https://codeforces.com/problemset/problem/1088/B</t>
  </si>
  <si>
    <t>1099C</t>
  </si>
  <si>
    <t>Postcard</t>
  </si>
  <si>
    <t>constructive algorithms, implementation</t>
  </si>
  <si>
    <t>https://codeforces.com/problemset/problem/1099/C</t>
  </si>
  <si>
    <t>1108C</t>
  </si>
  <si>
    <t>Nice Garland</t>
  </si>
  <si>
    <t>brute force, greedy, math</t>
  </si>
  <si>
    <t>https://codeforces.com/problemset/problem/1108/C</t>
  </si>
  <si>
    <t>1141C</t>
  </si>
  <si>
    <t>Polycarp Restores Permutation</t>
  </si>
  <si>
    <t>https://codeforces.com/problemset/problem/1141/C</t>
  </si>
  <si>
    <t>1154B</t>
  </si>
  <si>
    <t>Make Them Equal</t>
  </si>
  <si>
    <t>https://codeforces.com/problemset/problem/1154/B</t>
  </si>
  <si>
    <t>1208A</t>
  </si>
  <si>
    <t>XORinacci</t>
  </si>
  <si>
    <t>https://codeforces.com/problemset/problem/1208/A</t>
  </si>
  <si>
    <t>1272A</t>
  </si>
  <si>
    <t>Three Friends</t>
  </si>
  <si>
    <t>brute force, greedy, math, sortings</t>
  </si>
  <si>
    <t>https://codeforces.com/problemset/problem/1272/A</t>
  </si>
  <si>
    <t>1296A</t>
  </si>
  <si>
    <t>Array with Odd Sum</t>
  </si>
  <si>
    <t>https://codeforces.com/problemset/problem/1296/A</t>
  </si>
  <si>
    <t>1334B</t>
  </si>
  <si>
    <t>Middle Class</t>
  </si>
  <si>
    <t>https://codeforces.com/problemset/problem/1334/B</t>
  </si>
  <si>
    <t>1355B</t>
  </si>
  <si>
    <t>Young Explorers</t>
  </si>
  <si>
    <t>dp, greedy, sortings</t>
  </si>
  <si>
    <t>https://codeforces.com/problemset/problem/1355/B</t>
  </si>
  <si>
    <t>1368A</t>
  </si>
  <si>
    <t>C+=</t>
  </si>
  <si>
    <t>https://codeforces.com/problemset/problem/1368/A</t>
  </si>
  <si>
    <t>1407A</t>
  </si>
  <si>
    <t>Ahahahahahahahaha</t>
  </si>
  <si>
    <t>constructive algorithms, math</t>
  </si>
  <si>
    <t>https://codeforces.com/problemset/problem/1407/A</t>
  </si>
  <si>
    <t>1454B</t>
  </si>
  <si>
    <t>Unique Bid Auction</t>
  </si>
  <si>
    <t>https://codeforces.com/problemset/problem/1454/B</t>
  </si>
  <si>
    <t>1466A</t>
  </si>
  <si>
    <t>Bovine Dilemma</t>
  </si>
  <si>
    <t>brute force, geometry, math</t>
  </si>
  <si>
    <t>https://codeforces.com/problemset/problem/1466/A</t>
  </si>
  <si>
    <t>1497A</t>
  </si>
  <si>
    <t>Meximization</t>
  </si>
  <si>
    <t>brute force, data structures, greedy, sortings</t>
  </si>
  <si>
    <t>https://codeforces.com/problemset/problem/1497/A</t>
  </si>
  <si>
    <t>1515A</t>
  </si>
  <si>
    <t>Phoenix and Gold</t>
  </si>
  <si>
    <t>constructive algorithms, greedy, math</t>
  </si>
  <si>
    <t>https://codeforces.com/problemset/problem/1515/A</t>
  </si>
  <si>
    <t>1535A</t>
  </si>
  <si>
    <t>Fair Playoff</t>
  </si>
  <si>
    <t>https://codeforces.com/problemset/problem/1535/A</t>
  </si>
  <si>
    <t>1551A</t>
  </si>
  <si>
    <t>Polycarp and Coins</t>
  </si>
  <si>
    <t>https://codeforces.com/problemset/problem/1551/A</t>
  </si>
  <si>
    <t>1561A</t>
  </si>
  <si>
    <t>Simply Strange Sort</t>
  </si>
  <si>
    <t>brute force, implementation, sortings</t>
  </si>
  <si>
    <t>https://codeforces.com/problemset/problem/1561/A</t>
  </si>
  <si>
    <t>1607C</t>
  </si>
  <si>
    <t>Minimum Extraction</t>
  </si>
  <si>
    <t>brute force, sortings</t>
  </si>
  <si>
    <t>https://codeforces.com/problemset/problem/1607/C</t>
  </si>
  <si>
    <t>Pattern 1.4 — Sorting Based Arrays</t>
  </si>
  <si>
    <t>34B</t>
  </si>
  <si>
    <t>Sale</t>
  </si>
  <si>
    <t>https://codeforces.com/problemset/problem/34/B</t>
  </si>
  <si>
    <t>160A</t>
  </si>
  <si>
    <t>Twins</t>
  </si>
  <si>
    <t>https://codeforces.com/problemset/problem/160/A</t>
  </si>
  <si>
    <t>230A</t>
  </si>
  <si>
    <t>Dragons</t>
  </si>
  <si>
    <t>https://codeforces.com/problemset/problem/230/A</t>
  </si>
  <si>
    <t>489B</t>
  </si>
  <si>
    <t>BerSU Ball</t>
  </si>
  <si>
    <t>dfs and similar, dp, graph matchings, greedy, sortings, two pointers</t>
  </si>
  <si>
    <t>https://codeforces.com/problemset/problem/489/B</t>
  </si>
  <si>
    <t>580A</t>
  </si>
  <si>
    <t>Kefa and First Steps</t>
  </si>
  <si>
    <t>brute force, dp, implementation</t>
  </si>
  <si>
    <t>https://codeforces.com/problemset/problem/580/A</t>
  </si>
  <si>
    <t>659C</t>
  </si>
  <si>
    <t>Tanya and Toys</t>
  </si>
  <si>
    <t>https://codeforces.com/problemset/problem/659/C</t>
  </si>
  <si>
    <t>706B</t>
  </si>
  <si>
    <t>Interesting drink</t>
  </si>
  <si>
    <t>binary search, dp, implementation</t>
  </si>
  <si>
    <t>https://codeforces.com/problemset/problem/706/B</t>
  </si>
  <si>
    <t>808D</t>
  </si>
  <si>
    <t>D</t>
  </si>
  <si>
    <t>Array Division</t>
  </si>
  <si>
    <t>Hard+</t>
  </si>
  <si>
    <t>binary search, data structures, implementation</t>
  </si>
  <si>
    <t>https://codeforces.com/problemset/problem/808/D</t>
  </si>
  <si>
    <t>812C</t>
  </si>
  <si>
    <t>Sagheer and Nubian Market</t>
  </si>
  <si>
    <t>binary search, sortings</t>
  </si>
  <si>
    <t>https://codeforces.com/problemset/problem/812/C</t>
  </si>
  <si>
    <t>977C</t>
  </si>
  <si>
    <t>Less or Equal</t>
  </si>
  <si>
    <t>sortings</t>
  </si>
  <si>
    <t>https://codeforces.com/problemset/problem/977/C</t>
  </si>
  <si>
    <t>978C</t>
  </si>
  <si>
    <t>Letters</t>
  </si>
  <si>
    <t>binary search, implementation, two pointers</t>
  </si>
  <si>
    <t>https://codeforces.com/problemset/problem/978/C</t>
  </si>
  <si>
    <t>1006C</t>
  </si>
  <si>
    <t>Three Parts of the Array</t>
  </si>
  <si>
    <t>binary search, data structures, two pointers</t>
  </si>
  <si>
    <t>https://codeforces.com/problemset/problem/1006/C</t>
  </si>
  <si>
    <t>1029B</t>
  </si>
  <si>
    <t>Creating the Contest</t>
  </si>
  <si>
    <t>https://codeforces.com/problemset/problem/1029/B</t>
  </si>
  <si>
    <t>1201C</t>
  </si>
  <si>
    <t>Maximum Median</t>
  </si>
  <si>
    <t>binary search, greedy, math, sortings</t>
  </si>
  <si>
    <t>https://codeforces.com/problemset/problem/1201/C</t>
  </si>
  <si>
    <t>1294C</t>
  </si>
  <si>
    <t>Product of Three Numbers</t>
  </si>
  <si>
    <t>greedy, math, number theory</t>
  </si>
  <si>
    <t>https://codeforces.com/problemset/problem/1294/C</t>
  </si>
  <si>
    <t>1333C</t>
  </si>
  <si>
    <t>Eugene and an array</t>
  </si>
  <si>
    <t>Hard</t>
  </si>
  <si>
    <t>binary search, data structures, implementation, two pointers</t>
  </si>
  <si>
    <t>https://codeforces.com/problemset/problem/1333/C</t>
  </si>
  <si>
    <t>1358B</t>
  </si>
  <si>
    <t>Maria Breaks the Self-isolation</t>
  </si>
  <si>
    <t>https://codeforces.com/problemset/problem/1358/B</t>
  </si>
  <si>
    <t>1400D</t>
  </si>
  <si>
    <t>Zigzags</t>
  </si>
  <si>
    <t>brute force, combinatorics, data structures, math, two pointers</t>
  </si>
  <si>
    <t>https://codeforces.com/problemset/problem/1400/D</t>
  </si>
  <si>
    <t>1498B</t>
  </si>
  <si>
    <t>Box Fitting</t>
  </si>
  <si>
    <t>binary search, bitmasks, data structures, greedy</t>
  </si>
  <si>
    <t>https://codeforces.com/problemset/problem/1498/B</t>
  </si>
  <si>
    <t>1519C</t>
  </si>
  <si>
    <t>Berland Regional</t>
  </si>
  <si>
    <t>brute force, data structures, greedy, number theory, sortings</t>
  </si>
  <si>
    <t>https://codeforces.com/problemset/problem/1519/C</t>
  </si>
  <si>
    <t>1538C</t>
  </si>
  <si>
    <t>Number of Pairs</t>
  </si>
  <si>
    <t>binary search, data structures, math, two pointers</t>
  </si>
  <si>
    <t>https://codeforces.com/problemset/problem/1538/C</t>
  </si>
  <si>
    <t>1552C</t>
  </si>
  <si>
    <t>Maximize the Intersections</t>
  </si>
  <si>
    <t>combinatorics, constructive algorithms, geometry, greedy, sortings</t>
  </si>
  <si>
    <t>https://codeforces.com/problemset/problem/1552/C</t>
  </si>
  <si>
    <t>1611C</t>
  </si>
  <si>
    <t>Polycarp Recovers the Permutation</t>
  </si>
  <si>
    <t>constructive algorithms</t>
  </si>
  <si>
    <t>https://codeforces.com/problemset/problem/1611/C</t>
  </si>
  <si>
    <t>1670B</t>
  </si>
  <si>
    <t>Dorms War</t>
  </si>
  <si>
    <t>https://codeforces.com/problemset/problem/1670/B</t>
  </si>
  <si>
    <t>Pattern 1.5 — Coordinate Compression</t>
  </si>
  <si>
    <t>987C</t>
  </si>
  <si>
    <t>Three displays</t>
  </si>
  <si>
    <t>https://codeforces.com/problemset/problem/987/C</t>
  </si>
  <si>
    <t>1000C</t>
  </si>
  <si>
    <t>Covered Points Count</t>
  </si>
  <si>
    <t>data structures, implementation, sortings</t>
  </si>
  <si>
    <t>https://codeforces.com/problemset/problem/1000/C</t>
  </si>
  <si>
    <t>1042D</t>
  </si>
  <si>
    <t>Petya and Array</t>
  </si>
  <si>
    <t>data structures, divide and conquer, two pointers</t>
  </si>
  <si>
    <t>https://codeforces.com/problemset/problem/1042/D</t>
  </si>
  <si>
    <t>1131C</t>
  </si>
  <si>
    <t>Birthday</t>
  </si>
  <si>
    <t>binary search, greedy, sortings</t>
  </si>
  <si>
    <t>https://codeforces.com/problemset/problem/1131/C</t>
  </si>
  <si>
    <t>1181C</t>
  </si>
  <si>
    <t>Flag</t>
  </si>
  <si>
    <t>brute force, combinatorics, dp, implementation</t>
  </si>
  <si>
    <t>https://codeforces.com/problemset/problem/1181/C</t>
  </si>
  <si>
    <t>1208B</t>
  </si>
  <si>
    <t>Uniqueness</t>
  </si>
  <si>
    <t>binary search, brute force, implementation, two pointers</t>
  </si>
  <si>
    <t>https://codeforces.com/problemset/problem/1208/B</t>
  </si>
  <si>
    <t>1230C</t>
  </si>
  <si>
    <t>https://codeforces.com/problemset/problem/1230/C</t>
  </si>
  <si>
    <t>1324D</t>
  </si>
  <si>
    <t>Pair of Topics</t>
  </si>
  <si>
    <t>binary search, data structures, sortings, two pointers</t>
  </si>
  <si>
    <t>https://codeforces.com/problemset/problem/1324/D</t>
  </si>
  <si>
    <t>1355C</t>
  </si>
  <si>
    <t>Count Triangles</t>
  </si>
  <si>
    <t>binary search, implementation, math, two pointers</t>
  </si>
  <si>
    <t>https://codeforces.com/problemset/problem/1355/C</t>
  </si>
  <si>
    <t>1400C</t>
  </si>
  <si>
    <t>Binary String Reconstruction</t>
  </si>
  <si>
    <t>2-sat, brute force, constructive algorithms, greedy</t>
  </si>
  <si>
    <t>https://codeforces.com/problemset/problem/1400/C</t>
  </si>
  <si>
    <t>1473D</t>
  </si>
  <si>
    <t>Program</t>
  </si>
  <si>
    <t>data structures, dp, implementation, strings</t>
  </si>
  <si>
    <t>https://codeforces.com/problemset/problem/1473/D</t>
  </si>
  <si>
    <t>1490D</t>
  </si>
  <si>
    <t>Permutation Transformation</t>
  </si>
  <si>
    <t>dfs and similar, divide and conquer, implementation</t>
  </si>
  <si>
    <t>https://codeforces.com/problemset/problem/1490/D</t>
  </si>
  <si>
    <t>1512D</t>
  </si>
  <si>
    <t>Corrupted Array</t>
  </si>
  <si>
    <t>constructive algorithms, data structures, greedy</t>
  </si>
  <si>
    <t>https://codeforces.com/problemset/problem/1512/D</t>
  </si>
  <si>
    <t>1547C</t>
  </si>
  <si>
    <t>Pair Programming</t>
  </si>
  <si>
    <t>greedy, two pointers</t>
  </si>
  <si>
    <t>https://codeforces.com/problemset/problem/1547/C</t>
  </si>
  <si>
    <t>1567C</t>
  </si>
  <si>
    <t>Carrying Conundrum</t>
  </si>
  <si>
    <t>bitmasks, combinatorics, dp, math</t>
  </si>
  <si>
    <t>https://codeforces.com/problemset/problem/1567/C</t>
  </si>
  <si>
    <t>Pattern 1.6 — Constructive Arrays</t>
  </si>
  <si>
    <t>1251C</t>
  </si>
  <si>
    <t>Minimize The Integer</t>
  </si>
  <si>
    <t>https://codeforces.com/problemset/problem/1251/C</t>
  </si>
  <si>
    <t>1288D</t>
  </si>
  <si>
    <t>Minimax Problem</t>
  </si>
  <si>
    <t>binary search, bitmasks, dp</t>
  </si>
  <si>
    <t>https://codeforces.com/problemset/problem/1288/D</t>
  </si>
  <si>
    <t>1370D</t>
  </si>
  <si>
    <t>Odd-Even Subsequence</t>
  </si>
  <si>
    <t>binary search, dp, dsu, greedy, implementation</t>
  </si>
  <si>
    <t>https://codeforces.com/problemset/problem/1370/D</t>
  </si>
  <si>
    <t>1407D</t>
  </si>
  <si>
    <t>Discrete Centrifugal Jumps</t>
  </si>
  <si>
    <t>Expert</t>
  </si>
  <si>
    <t>data structures, dp, graphs</t>
  </si>
  <si>
    <t>https://codeforces.com/problemset/problem/1407/D</t>
  </si>
  <si>
    <t>1486D</t>
  </si>
  <si>
    <t>Max Median</t>
  </si>
  <si>
    <t>binary search, data structures, dp</t>
  </si>
  <si>
    <t>https://codeforces.com/problemset/problem/1486/D</t>
  </si>
  <si>
    <t>1512E</t>
  </si>
  <si>
    <t>E</t>
  </si>
  <si>
    <t>Permutation by Sum</t>
  </si>
  <si>
    <t>https://codeforces.com/problemset/problem/1512/E</t>
  </si>
  <si>
    <t>1538G</t>
  </si>
  <si>
    <t>G</t>
  </si>
  <si>
    <t>Gift Set</t>
  </si>
  <si>
    <t>binary search, greedy, math, ternary search</t>
  </si>
  <si>
    <t>https://codeforces.com/problemset/problem/1538/G</t>
  </si>
  <si>
    <t>1552D</t>
  </si>
  <si>
    <t>Array Differentiation</t>
  </si>
  <si>
    <t>bitmasks, brute force, constructive algorithms, dfs and similar, dp, graphs, math</t>
  </si>
  <si>
    <t>https://codeforces.com/problemset/problem/1552/D</t>
  </si>
  <si>
    <t>1606C</t>
  </si>
  <si>
    <t>Banknotes</t>
  </si>
  <si>
    <t>greedy, number theory</t>
  </si>
  <si>
    <t>https://codeforces.com/problemset/problem/1606/C</t>
  </si>
  <si>
    <t>1623C</t>
  </si>
  <si>
    <t>Balanced Stone Heaps</t>
  </si>
  <si>
    <t>binary search, greedy</t>
  </si>
  <si>
    <t>https://codeforces.com/problemset/problem/1623/C</t>
  </si>
  <si>
    <t>1701C</t>
  </si>
  <si>
    <t>Schedule Management</t>
  </si>
  <si>
    <t>binary search, greedy, implementation, two pointers</t>
  </si>
  <si>
    <t>https://codeforces.com/problemset/problem/1701/C</t>
  </si>
  <si>
    <t>KINGDOM 2 — THE KINGDOM OF PREFIX SUM &amp; DIFFERENCE ARRAY</t>
  </si>
  <si>
    <t>Pattern 2.1 — 1D Prefix Sum</t>
  </si>
  <si>
    <t>313B</t>
  </si>
  <si>
    <t>Ilya and Queries</t>
  </si>
  <si>
    <t>dp, implementation</t>
  </si>
  <si>
    <t>https://codeforces.com/problemset/problem/313/B</t>
  </si>
  <si>
    <t>363B</t>
  </si>
  <si>
    <t>Fence</t>
  </si>
  <si>
    <t>brute force, dp</t>
  </si>
  <si>
    <t>https://codeforces.com/problemset/problem/363/B</t>
  </si>
  <si>
    <t>433B</t>
  </si>
  <si>
    <t>Kuriyama Mirai's Stones</t>
  </si>
  <si>
    <t>dp, implementation, sortings</t>
  </si>
  <si>
    <t>https://codeforces.com/problemset/problem/433/B</t>
  </si>
  <si>
    <t>466C</t>
  </si>
  <si>
    <t>Number of Ways</t>
  </si>
  <si>
    <t>binary search, brute force, data structures, dp, two pointers</t>
  </si>
  <si>
    <t>https://codeforces.com/problemset/problem/466/C</t>
  </si>
  <si>
    <t>816B</t>
  </si>
  <si>
    <t>Karen and Coffee</t>
  </si>
  <si>
    <t>https://codeforces.com/problemset/problem/816/B</t>
  </si>
  <si>
    <t>1191C</t>
  </si>
  <si>
    <t>https://codeforces.com/problemset/problem/1191/C</t>
  </si>
  <si>
    <t>1272C</t>
  </si>
  <si>
    <t>Yet Another Broken Keyboard</t>
  </si>
  <si>
    <t>combinatorics, dp, implementation</t>
  </si>
  <si>
    <t>https://codeforces.com/problemset/problem/1272/C</t>
  </si>
  <si>
    <t>1363A</t>
  </si>
  <si>
    <t>Odd Selection</t>
  </si>
  <si>
    <t>brute force, implementation, math</t>
  </si>
  <si>
    <t>https://codeforces.com/problemset/problem/1363/A</t>
  </si>
  <si>
    <t>1392D</t>
  </si>
  <si>
    <t>Omkar and Bed Wars</t>
  </si>
  <si>
    <t>https://codeforces.com/problemset/problem/1392/D</t>
  </si>
  <si>
    <t>1430D</t>
  </si>
  <si>
    <t>String Deletion</t>
  </si>
  <si>
    <t>binary search, data structures, greedy, two pointers</t>
  </si>
  <si>
    <t>https://codeforces.com/problemset/problem/1430/D</t>
  </si>
  <si>
    <t>Pattern 2.2 — Prefix Frequency</t>
  </si>
  <si>
    <t>1114C</t>
  </si>
  <si>
    <t>Trailing Loves (or L'oeufs?)</t>
  </si>
  <si>
    <t>brute force, implementation, math, number theory</t>
  </si>
  <si>
    <t>https://codeforces.com/problemset/problem/1114/C</t>
  </si>
  <si>
    <t>1141D</t>
  </si>
  <si>
    <t>Colored Boots</t>
  </si>
  <si>
    <t>https://codeforces.com/problemset/problem/1141/D</t>
  </si>
  <si>
    <t>1238E</t>
  </si>
  <si>
    <t>Keyboard Purchase</t>
  </si>
  <si>
    <t>bitmasks, dp</t>
  </si>
  <si>
    <t>https://codeforces.com/problemset/problem/1238/E</t>
  </si>
  <si>
    <t>1285B</t>
  </si>
  <si>
    <t>Just Eat It!</t>
  </si>
  <si>
    <t>dp, greedy, implementation</t>
  </si>
  <si>
    <t>https://codeforces.com/problemset/problem/1285/B</t>
  </si>
  <si>
    <t>1303C</t>
  </si>
  <si>
    <t>Perfect Keyboard</t>
  </si>
  <si>
    <t>dfs and similar, greedy, implementation</t>
  </si>
  <si>
    <t>https://codeforces.com/problemset/problem/1303/C</t>
  </si>
  <si>
    <t>1437C</t>
  </si>
  <si>
    <t>Chef Monocarp</t>
  </si>
  <si>
    <t>dp, flows, graph matchings, greedy, math, sortings</t>
  </si>
  <si>
    <t>https://codeforces.com/problemset/problem/1437/C</t>
  </si>
  <si>
    <t>1498C</t>
  </si>
  <si>
    <t>Planar Reflections</t>
  </si>
  <si>
    <t>brute force, data structures, dp</t>
  </si>
  <si>
    <t>https://codeforces.com/problemset/problem/1498/C</t>
  </si>
  <si>
    <t>1513C</t>
  </si>
  <si>
    <t>Add One</t>
  </si>
  <si>
    <t>dp, matrices</t>
  </si>
  <si>
    <t>https://codeforces.com/problemset/problem/1513/C</t>
  </si>
  <si>
    <t>Pattern 2.3 — Difference Array</t>
  </si>
  <si>
    <t>295A</t>
  </si>
  <si>
    <t>Greg and Array</t>
  </si>
  <si>
    <t>data structures, implementation</t>
  </si>
  <si>
    <t>https://codeforces.com/problemset/problem/295/A</t>
  </si>
  <si>
    <t>276C</t>
  </si>
  <si>
    <t>Little Girl and Maximum Sum</t>
  </si>
  <si>
    <t>data structures, greedy, implementation, sortings</t>
  </si>
  <si>
    <t>https://codeforces.com/problemset/problem/276/C</t>
  </si>
  <si>
    <t>817F</t>
  </si>
  <si>
    <t>F</t>
  </si>
  <si>
    <t>MEX Queries</t>
  </si>
  <si>
    <t>binary search, data structures, trees</t>
  </si>
  <si>
    <t>https://codeforces.com/problemset/problem/817/F</t>
  </si>
  <si>
    <t>1114D</t>
  </si>
  <si>
    <t>Flood Fill</t>
  </si>
  <si>
    <t>dp</t>
  </si>
  <si>
    <t>https://codeforces.com/problemset/problem/1114/D</t>
  </si>
  <si>
    <t>1136C</t>
  </si>
  <si>
    <t>Nastya Is Transposing Matrices</t>
  </si>
  <si>
    <t>constructive algorithms, sortings</t>
  </si>
  <si>
    <t>https://codeforces.com/problemset/problem/1136/C</t>
  </si>
  <si>
    <t>1187C</t>
  </si>
  <si>
    <t>Vasya And Array</t>
  </si>
  <si>
    <t>constructive algorithms, greedy, implementation</t>
  </si>
  <si>
    <t>https://codeforces.com/problemset/problem/1187/C</t>
  </si>
  <si>
    <t>1209E1</t>
  </si>
  <si>
    <t>E1</t>
  </si>
  <si>
    <t>Rotate Columns (easy version)</t>
  </si>
  <si>
    <t>bitmasks, brute force, dp, greedy, sortings</t>
  </si>
  <si>
    <t>https://codeforces.com/problemset/problem/1209/E1</t>
  </si>
  <si>
    <t>1209E2</t>
  </si>
  <si>
    <t>E2</t>
  </si>
  <si>
    <t>Rotate Columns (hard version)</t>
  </si>
  <si>
    <t>Master</t>
  </si>
  <si>
    <t>bitmasks, dp, greedy, sortings</t>
  </si>
  <si>
    <t>https://codeforces.com/problemset/problem/1209/E2</t>
  </si>
  <si>
    <t>1358D</t>
  </si>
  <si>
    <t>The Best Vacation</t>
  </si>
  <si>
    <t>binary search, brute force, greedy, implementation, two pointers</t>
  </si>
  <si>
    <t>https://codeforces.com/problemset/problem/1358/D</t>
  </si>
  <si>
    <t>1490F</t>
  </si>
  <si>
    <t>Equalize the Array</t>
  </si>
  <si>
    <t>binary search, data structures, greedy, math, sortings</t>
  </si>
  <si>
    <t>https://codeforces.com/problemset/problem/1490/F</t>
  </si>
  <si>
    <t>1530E</t>
  </si>
  <si>
    <t>Minimax</t>
  </si>
  <si>
    <t>constructive algorithms, greedy, strings</t>
  </si>
  <si>
    <t>https://codeforces.com/problemset/problem/1530/E</t>
  </si>
  <si>
    <t>Pattern 2.4 — Prefix XOR</t>
  </si>
  <si>
    <t>617E</t>
  </si>
  <si>
    <t>XOR and Favorite Number</t>
  </si>
  <si>
    <t>data structures</t>
  </si>
  <si>
    <t>https://codeforces.com/problemset/problem/617/E</t>
  </si>
  <si>
    <t>703D</t>
  </si>
  <si>
    <t>Mishka and Interesting sum</t>
  </si>
  <si>
    <t>https://codeforces.com/problemset/problem/703/D</t>
  </si>
  <si>
    <t>862C</t>
  </si>
  <si>
    <t>Mahmoud and Ehab and the xor</t>
  </si>
  <si>
    <t>https://codeforces.com/problemset/problem/862/C</t>
  </si>
  <si>
    <t>983B</t>
  </si>
  <si>
    <t>XOR-pyramid</t>
  </si>
  <si>
    <t>https://codeforces.com/problemset/problem/983/B</t>
  </si>
  <si>
    <t>1110E</t>
  </si>
  <si>
    <t>Magic Stones</t>
  </si>
  <si>
    <t>constructive algorithms, math, sortings</t>
  </si>
  <si>
    <t>https://codeforces.com/problemset/problem/1110/E</t>
  </si>
  <si>
    <t>1450D</t>
  </si>
  <si>
    <t>Rating Compression</t>
  </si>
  <si>
    <t>binary search, data structures, greedy, implementation, two pointers</t>
  </si>
  <si>
    <t>https://codeforces.com/problemset/problem/1450/D</t>
  </si>
  <si>
    <t>1552F</t>
  </si>
  <si>
    <t>Telepanting</t>
  </si>
  <si>
    <t>binary search, data structures, dp, sortings</t>
  </si>
  <si>
    <t>https://codeforces.com/problemset/problem/1552/F</t>
  </si>
  <si>
    <t>KINGDOM 3 — THE KINGDOM OF TWO POINTERS &amp; SLIDING WINDOW</t>
  </si>
  <si>
    <t>Pattern 3.1 — Classic Two Pointers</t>
  </si>
  <si>
    <t>279B</t>
  </si>
  <si>
    <t>Books</t>
  </si>
  <si>
    <t>https://codeforces.com/problemset/problem/279/B</t>
  </si>
  <si>
    <t>580B</t>
  </si>
  <si>
    <t>Kefa and Company</t>
  </si>
  <si>
    <t>binary search, sortings, two pointers</t>
  </si>
  <si>
    <t>https://codeforces.com/problemset/problem/580/B</t>
  </si>
  <si>
    <t>602B</t>
  </si>
  <si>
    <t>Approximating a Constant Range</t>
  </si>
  <si>
    <t>dp, implementation, two pointers</t>
  </si>
  <si>
    <t>https://codeforces.com/problemset/problem/602/B</t>
  </si>
  <si>
    <t>616D</t>
  </si>
  <si>
    <t>Longest k-Good Segment</t>
  </si>
  <si>
    <t>https://codeforces.com/problemset/problem/616/D</t>
  </si>
  <si>
    <t>702C</t>
  </si>
  <si>
    <t>Cellular Network</t>
  </si>
  <si>
    <t>https://codeforces.com/problemset/problem/702/C</t>
  </si>
  <si>
    <t>1157C1</t>
  </si>
  <si>
    <t>C1</t>
  </si>
  <si>
    <t>Increasing Subsequence (easy version)</t>
  </si>
  <si>
    <t>greedy</t>
  </si>
  <si>
    <t>https://codeforces.com/problemset/problem/1157/C1</t>
  </si>
  <si>
    <t>1157C2</t>
  </si>
  <si>
    <t>C2</t>
  </si>
  <si>
    <t>Increasing Subsequence (hard version)</t>
  </si>
  <si>
    <t>https://codeforces.com/problemset/problem/1157/C2</t>
  </si>
  <si>
    <t>1197C</t>
  </si>
  <si>
    <t>Array Splitting</t>
  </si>
  <si>
    <t>https://codeforces.com/problemset/problem/1197/C</t>
  </si>
  <si>
    <t>1257C</t>
  </si>
  <si>
    <t>Dominated Subarray</t>
  </si>
  <si>
    <t>greedy, implementation, sortings, strings, two pointers</t>
  </si>
  <si>
    <t>https://codeforces.com/problemset/problem/1257/C</t>
  </si>
  <si>
    <t>1295B</t>
  </si>
  <si>
    <t>Infinite Prefixes</t>
  </si>
  <si>
    <t>math, strings</t>
  </si>
  <si>
    <t>https://codeforces.com/problemset/problem/1295/B</t>
  </si>
  <si>
    <t>1373C</t>
  </si>
  <si>
    <t>Pluses and Minuses</t>
  </si>
  <si>
    <t>https://codeforces.com/problemset/problem/1373/C</t>
  </si>
  <si>
    <t>1490G</t>
  </si>
  <si>
    <t xml:space="preserve">Old Floppy Drive </t>
  </si>
  <si>
    <t>binary search, data structures, math</t>
  </si>
  <si>
    <t>https://codeforces.com/problemset/problem/1490/G</t>
  </si>
  <si>
    <t>Pattern 3.2 — Opposite Direction Pointers</t>
  </si>
  <si>
    <t>6C</t>
  </si>
  <si>
    <t>Alice, Bob and Chocolate</t>
  </si>
  <si>
    <t>https://codeforces.com/problemset/problem/6/C</t>
  </si>
  <si>
    <t>701C</t>
  </si>
  <si>
    <t>They Are Everywhere</t>
  </si>
  <si>
    <t>binary search, strings, two pointers</t>
  </si>
  <si>
    <t>https://codeforces.com/problemset/problem/701/C</t>
  </si>
  <si>
    <t>961B</t>
  </si>
  <si>
    <t>Lecture Sleep</t>
  </si>
  <si>
    <t>data structures, dp, implementation, two pointers</t>
  </si>
  <si>
    <t>https://codeforces.com/problemset/problem/961/B</t>
  </si>
  <si>
    <t>1133C</t>
  </si>
  <si>
    <t>Balanced Team</t>
  </si>
  <si>
    <t>sortings, two pointers</t>
  </si>
  <si>
    <t>https://codeforces.com/problemset/problem/1133/C</t>
  </si>
  <si>
    <t>1156C</t>
  </si>
  <si>
    <t>Match Points</t>
  </si>
  <si>
    <t>binary search, greedy, sortings, ternary search, two pointers</t>
  </si>
  <si>
    <t>https://codeforces.com/problemset/problem/1156/C</t>
  </si>
  <si>
    <t>1234D</t>
  </si>
  <si>
    <t>Distinct Characters Queries</t>
  </si>
  <si>
    <t>https://codeforces.com/problemset/problem/1234/D</t>
  </si>
  <si>
    <t>1605C</t>
  </si>
  <si>
    <t>Dominant Character</t>
  </si>
  <si>
    <t>brute force, greedy, implementation, strings</t>
  </si>
  <si>
    <t>https://codeforces.com/problemset/problem/1605/C</t>
  </si>
  <si>
    <t>Pattern 3.3 — Sliding Window</t>
  </si>
  <si>
    <t>676C</t>
  </si>
  <si>
    <t>Vasya and String</t>
  </si>
  <si>
    <t>binary search, dp, strings, two pointers</t>
  </si>
  <si>
    <t>https://codeforces.com/problemset/problem/676/C</t>
  </si>
  <si>
    <t>1041C</t>
  </si>
  <si>
    <t>Coffee Break</t>
  </si>
  <si>
    <t>https://codeforces.com/problemset/problem/1041/C</t>
  </si>
  <si>
    <t>1077D</t>
  </si>
  <si>
    <t>Cutting Out</t>
  </si>
  <si>
    <t>https://codeforces.com/problemset/problem/1077/D</t>
  </si>
  <si>
    <t>1335C</t>
  </si>
  <si>
    <t>Two Teams Composing</t>
  </si>
  <si>
    <t>binary search, greedy, implementation, sortings</t>
  </si>
  <si>
    <t>https://codeforces.com/problemset/problem/1335/C</t>
  </si>
  <si>
    <t>1371C</t>
  </si>
  <si>
    <t>A Cookie for You</t>
  </si>
  <si>
    <t>greedy, implementation, math</t>
  </si>
  <si>
    <t>https://codeforces.com/problemset/problem/1371/C</t>
  </si>
  <si>
    <t>1516B</t>
  </si>
  <si>
    <t>AGAGA XOOORRR</t>
  </si>
  <si>
    <t>bitmasks, brute force, dp, greedy</t>
  </si>
  <si>
    <t>https://codeforces.com/problemset/problem/1516/B</t>
  </si>
  <si>
    <t>1539C</t>
  </si>
  <si>
    <t>Stable Groups</t>
  </si>
  <si>
    <t>https://codeforces.com/problemset/problem/1539/C</t>
  </si>
  <si>
    <t>1561B</t>
  </si>
  <si>
    <t>https://codeforces.com/problemset/problem/1561/B</t>
  </si>
  <si>
    <t>Pattern 3.4 — Meet in the Middle Style</t>
  </si>
  <si>
    <t>525E</t>
  </si>
  <si>
    <t>Anya and Cubes</t>
  </si>
  <si>
    <t>binary search, bitmasks, brute force, dp, math, meet-in-the-middle</t>
  </si>
  <si>
    <t>https://codeforces.com/problemset/problem/525/E</t>
  </si>
  <si>
    <t>888E</t>
  </si>
  <si>
    <t>Maximum Subsequence</t>
  </si>
  <si>
    <t>bitmasks, divide and conquer, meet-in-the-middle</t>
  </si>
  <si>
    <t>https://codeforces.com/problemset/problem/888/E</t>
  </si>
  <si>
    <t>1006F</t>
  </si>
  <si>
    <t>Xor-Paths</t>
  </si>
  <si>
    <t>bitmasks, brute force, dp, meet-in-the-middle</t>
  </si>
  <si>
    <t>https://codeforces.com/problemset/problem/1006/F</t>
  </si>
  <si>
    <t>1197D</t>
  </si>
  <si>
    <t>Yet Another Subarray Problem</t>
  </si>
  <si>
    <t>https://codeforces.com/problemset/problem/1197/D</t>
  </si>
  <si>
    <t>1239A</t>
  </si>
  <si>
    <t>Ivan the Fool and the Probability Theory</t>
  </si>
  <si>
    <t>combinatorics, dp, math</t>
  </si>
  <si>
    <t>https://codeforces.com/problemset/problem/1239/A</t>
  </si>
  <si>
    <t>1325E</t>
  </si>
  <si>
    <t>Ehab's REAL Number Theory Problem</t>
  </si>
  <si>
    <t>brute force, dfs and similar, graphs, number theory, shortest paths</t>
  </si>
  <si>
    <t>https://codeforces.com/problemset/problem/1325/E</t>
  </si>
  <si>
    <t>KINGDOM 4 — THE KINGDOM OF BINARY SEARCH</t>
  </si>
  <si>
    <t>Pattern 4.1 — Classic Binary Search</t>
  </si>
  <si>
    <t>492B</t>
  </si>
  <si>
    <t>Vanya and Lanterns</t>
  </si>
  <si>
    <t>binary search, implementation, math, sortings</t>
  </si>
  <si>
    <t>https://codeforces.com/problemset/problem/492/B</t>
  </si>
  <si>
    <t>371C</t>
  </si>
  <si>
    <t>Hamburgers</t>
  </si>
  <si>
    <t>binary search, brute force</t>
  </si>
  <si>
    <t>https://codeforces.com/problemset/problem/371/C</t>
  </si>
  <si>
    <t>1251D</t>
  </si>
  <si>
    <t>Salary Changing</t>
  </si>
  <si>
    <t>https://codeforces.com/problemset/problem/1251/D</t>
  </si>
  <si>
    <t>1468D</t>
  </si>
  <si>
    <t>Firecrackers</t>
  </si>
  <si>
    <t>https://codeforces.com/problemset/problem/1468/D</t>
  </si>
  <si>
    <t>Pattern 4.2 — Binary Search on Answer</t>
  </si>
  <si>
    <t>670D2</t>
  </si>
  <si>
    <t>D2</t>
  </si>
  <si>
    <t>Magic Powder - 2</t>
  </si>
  <si>
    <t>binary search, implementation</t>
  </si>
  <si>
    <t>https://codeforces.com/problemset/problem/670/D2</t>
  </si>
  <si>
    <t>1117C</t>
  </si>
  <si>
    <t>Magic Ship</t>
  </si>
  <si>
    <t>binary search</t>
  </si>
  <si>
    <t>https://codeforces.com/problemset/problem/1117/C</t>
  </si>
  <si>
    <t>Pattern 4.3 — Parametric Search</t>
  </si>
  <si>
    <t>448D</t>
  </si>
  <si>
    <t>Multiplication Table</t>
  </si>
  <si>
    <t>https://codeforces.com/problemset/problem/448/D</t>
  </si>
  <si>
    <t>1168A</t>
  </si>
  <si>
    <t>Increasing by Modulo</t>
  </si>
  <si>
    <t>https://codeforces.com/problemset/problem/1168/A</t>
  </si>
  <si>
    <t>1520G</t>
  </si>
  <si>
    <t>To Go Or Not To Go?</t>
  </si>
  <si>
    <t>brute force, dfs and similar, graphs, greedy, implementation, shortest paths</t>
  </si>
  <si>
    <t>https://codeforces.com/problemset/problem/1520/G</t>
  </si>
  <si>
    <t>1705C</t>
  </si>
  <si>
    <t>Mark and His Unfinished Essay</t>
  </si>
  <si>
    <t>https://codeforces.com/problemset/problem/1705/C</t>
  </si>
  <si>
    <t>Pattern 4.4 — Continuous Binary Search</t>
  </si>
  <si>
    <t>578C</t>
  </si>
  <si>
    <t>Weakness and Poorness</t>
  </si>
  <si>
    <t>ternary search</t>
  </si>
  <si>
    <t>https://codeforces.com/problemset/problem/578/C</t>
  </si>
  <si>
    <t>780B</t>
  </si>
  <si>
    <t>The Meeting Place Cannot Be Changed</t>
  </si>
  <si>
    <t>https://codeforces.com/problemset/problem/780/B</t>
  </si>
  <si>
    <t>1030D</t>
  </si>
  <si>
    <t>Vasya and Triangle</t>
  </si>
  <si>
    <t>geometry, number theory</t>
  </si>
  <si>
    <t>https://codeforces.com/problemset/problem/1030/D</t>
  </si>
  <si>
    <t>1163C2</t>
  </si>
  <si>
    <t>Power Transmission (Hard Edition)</t>
  </si>
  <si>
    <t>data structures, geometry, implementation, math</t>
  </si>
  <si>
    <t>https://codeforces.com/problemset/problem/1163/C2</t>
  </si>
  <si>
    <t>1283C</t>
  </si>
  <si>
    <t>Friends and Gifts</t>
  </si>
  <si>
    <t>constructive algorithms, data structures, math</t>
  </si>
  <si>
    <t>https://codeforces.com/problemset/problem/1283/C</t>
  </si>
  <si>
    <t>1301D</t>
  </si>
  <si>
    <t>Time to Run</t>
  </si>
  <si>
    <t>constructive algorithms, graphs, implementation</t>
  </si>
  <si>
    <t>https://codeforces.com/problemset/problem/1301/D</t>
  </si>
  <si>
    <t>KINGDOM 5 — THE KINGDOM OF SORTING &amp; GREEDY</t>
  </si>
  <si>
    <t>Pattern 5.1 — Basic Greedy</t>
  </si>
  <si>
    <t>58B</t>
  </si>
  <si>
    <t>Coins</t>
  </si>
  <si>
    <t>https://codeforces.com/problemset/problem/58/B</t>
  </si>
  <si>
    <t>1256A</t>
  </si>
  <si>
    <t>Payment Without Change</t>
  </si>
  <si>
    <t>https://codeforces.com/problemset/problem/1256/A</t>
  </si>
  <si>
    <t>1312B</t>
  </si>
  <si>
    <t>Bogosort</t>
  </si>
  <si>
    <t>https://codeforces.com/problemset/problem/1312/B</t>
  </si>
  <si>
    <t>1418A</t>
  </si>
  <si>
    <t>Buying Torches</t>
  </si>
  <si>
    <t>https://codeforces.com/problemset/problem/1418/A</t>
  </si>
  <si>
    <t>1618A</t>
  </si>
  <si>
    <t>Polycarp and Sums of Subsequences</t>
  </si>
  <si>
    <t>math, sortings</t>
  </si>
  <si>
    <t>https://codeforces.com/problemset/problem/1618/A</t>
  </si>
  <si>
    <t>1675A</t>
  </si>
  <si>
    <t>Food for Animals</t>
  </si>
  <si>
    <t>https://codeforces.com/problemset/problem/1675/A</t>
  </si>
  <si>
    <t>Pattern 5.2 — Greedy with Sorting</t>
  </si>
  <si>
    <t>1005C</t>
  </si>
  <si>
    <t>Summarize to the Power of Two</t>
  </si>
  <si>
    <t>https://codeforces.com/problemset/problem/1005/C</t>
  </si>
  <si>
    <t>1092C</t>
  </si>
  <si>
    <t>Prefixes and Suffixes</t>
  </si>
  <si>
    <t>strings</t>
  </si>
  <si>
    <t>https://codeforces.com/problemset/problem/1092/C</t>
  </si>
  <si>
    <t>1144D</t>
  </si>
  <si>
    <t>Equalize Them All</t>
  </si>
  <si>
    <t>constructive algorithms, greedy</t>
  </si>
  <si>
    <t>https://codeforces.com/problemset/problem/1144/D</t>
  </si>
  <si>
    <t>1203C</t>
  </si>
  <si>
    <t>Common Divisors</t>
  </si>
  <si>
    <t>https://codeforces.com/problemset/problem/1203/C</t>
  </si>
  <si>
    <t>1385C</t>
  </si>
  <si>
    <t>Make It Good</t>
  </si>
  <si>
    <t>https://codeforces.com/problemset/problem/1385/C</t>
  </si>
  <si>
    <t>1399C</t>
  </si>
  <si>
    <t>Boats Competition</t>
  </si>
  <si>
    <t>brute force, greedy, two pointers</t>
  </si>
  <si>
    <t>https://codeforces.com/problemset/problem/1399/C</t>
  </si>
  <si>
    <t>Pattern 5.3 — Interval Greedy</t>
  </si>
  <si>
    <t>527D</t>
  </si>
  <si>
    <t>Clique Problem</t>
  </si>
  <si>
    <t>data structures, dp, greedy, implementation, sortings</t>
  </si>
  <si>
    <t>https://codeforces.com/problemset/problem/527/D</t>
  </si>
  <si>
    <t>913D</t>
  </si>
  <si>
    <t>Too Easy Problems</t>
  </si>
  <si>
    <t>binary search, brute force, data structures, greedy, sortings</t>
  </si>
  <si>
    <t>https://codeforces.com/problemset/problem/913/D</t>
  </si>
  <si>
    <t>1029C</t>
  </si>
  <si>
    <t>Maximal Intersection</t>
  </si>
  <si>
    <t>greedy, math, sortings</t>
  </si>
  <si>
    <t>https://codeforces.com/problemset/problem/1029/C</t>
  </si>
  <si>
    <t>1106D</t>
  </si>
  <si>
    <t>Lunar New Year and a Wander</t>
  </si>
  <si>
    <t>data structures, dfs and similar, graphs, greedy, shortest paths</t>
  </si>
  <si>
    <t>https://codeforces.com/problemset/problem/1106/D</t>
  </si>
  <si>
    <t>1249D1</t>
  </si>
  <si>
    <t>D1</t>
  </si>
  <si>
    <t>Too Many Segments (easy version)</t>
  </si>
  <si>
    <t>https://codeforces.com/problemset/problem/1249/D1</t>
  </si>
  <si>
    <t>1249D2</t>
  </si>
  <si>
    <t>Too Many Segments (hard version)</t>
  </si>
  <si>
    <t>data structures, greedy, sortings</t>
  </si>
  <si>
    <t>https://codeforces.com/problemset/problem/1249/D2</t>
  </si>
  <si>
    <t>1282C</t>
  </si>
  <si>
    <t>Petya and Exam</t>
  </si>
  <si>
    <t>greedy, sortings, two pointers</t>
  </si>
  <si>
    <t>https://codeforces.com/problemset/problem/1282/C</t>
  </si>
  <si>
    <t>1353D</t>
  </si>
  <si>
    <t>Constructing the Array</t>
  </si>
  <si>
    <t>constructive algorithms, data structures, sortings</t>
  </si>
  <si>
    <t>https://codeforces.com/problemset/problem/1353/D</t>
  </si>
  <si>
    <t>1428E</t>
  </si>
  <si>
    <t>Carrots for Rabbits</t>
  </si>
  <si>
    <t>https://codeforces.com/problemset/problem/1428/E</t>
  </si>
  <si>
    <t>1468H</t>
  </si>
  <si>
    <t>H</t>
  </si>
  <si>
    <t>K and Medians</t>
  </si>
  <si>
    <t>https://codeforces.com/problemset/problem/1468/H</t>
  </si>
  <si>
    <t>1550C</t>
  </si>
  <si>
    <t>Manhattan Subarrays</t>
  </si>
  <si>
    <t>brute force, geometry, greedy, implementation</t>
  </si>
  <si>
    <t>https://codeforces.com/problemset/problem/1550/C</t>
  </si>
  <si>
    <t>Pattern 5.4 — Greedy + Priority Queue</t>
  </si>
  <si>
    <t>864D</t>
  </si>
  <si>
    <t>Make a Permutation!</t>
  </si>
  <si>
    <t>https://codeforces.com/problemset/problem/864/D</t>
  </si>
  <si>
    <t>1140C</t>
  </si>
  <si>
    <t>Playlist</t>
  </si>
  <si>
    <t>brute force, data structures, sortings</t>
  </si>
  <si>
    <t>https://codeforces.com/problemset/problem/1140/C</t>
  </si>
  <si>
    <t>1310A</t>
  </si>
  <si>
    <t>Recommendations</t>
  </si>
  <si>
    <t>https://codeforces.com/problemset/problem/1310/A</t>
  </si>
  <si>
    <t>1374E1</t>
  </si>
  <si>
    <t>Reading Books (easy version)</t>
  </si>
  <si>
    <t>https://codeforces.com/problemset/problem/1374/E1</t>
  </si>
  <si>
    <t>1374E2</t>
  </si>
  <si>
    <t>Reading Books (hard version)</t>
  </si>
  <si>
    <t>data structures, greedy, implementation, sortings, ternary search, two pointers</t>
  </si>
  <si>
    <t>https://codeforces.com/problemset/problem/1374/E2</t>
  </si>
  <si>
    <t>1526C1</t>
  </si>
  <si>
    <t>Potions (Easy Version)</t>
  </si>
  <si>
    <t>brute force, data structures, dp, greedy</t>
  </si>
  <si>
    <t>https://codeforces.com/problemset/problem/1526/C1</t>
  </si>
  <si>
    <t>1526C2</t>
  </si>
  <si>
    <t>Potions (Hard Version)</t>
  </si>
  <si>
    <t>data structures, greedy</t>
  </si>
  <si>
    <t>https://codeforces.com/problemset/problem/1526/C2</t>
  </si>
  <si>
    <t>1579D</t>
  </si>
  <si>
    <t>Productive Meeting</t>
  </si>
  <si>
    <t>constructive algorithms, graphs, greedy</t>
  </si>
  <si>
    <t>https://codeforces.com/problemset/problem/1579/D</t>
  </si>
  <si>
    <t>Pattern 5.5 — Constructive Greedy</t>
  </si>
  <si>
    <t>1304D</t>
  </si>
  <si>
    <t>Shortest and Longest LIS</t>
  </si>
  <si>
    <t>constructive algorithms, graphs, greedy, two pointers</t>
  </si>
  <si>
    <t>https://codeforces.com/problemset/problem/1304/D</t>
  </si>
  <si>
    <t>1348C</t>
  </si>
  <si>
    <t>Phoenix and Distribution</t>
  </si>
  <si>
    <t>constructive algorithms, greedy, sortings, strings</t>
  </si>
  <si>
    <t>https://codeforces.com/problemset/problem/1348/C</t>
  </si>
  <si>
    <t>1380D</t>
  </si>
  <si>
    <t>Berserk And Fireball</t>
  </si>
  <si>
    <t>constructive algorithms, greedy, implementation, math, two pointers</t>
  </si>
  <si>
    <t>https://codeforces.com/problemset/problem/1380/D</t>
  </si>
  <si>
    <t>1474D</t>
  </si>
  <si>
    <t>Cleaning</t>
  </si>
  <si>
    <t>data structures, dp, greedy, math</t>
  </si>
  <si>
    <t>https://codeforces.com/problemset/problem/1474/D</t>
  </si>
  <si>
    <t>1506F</t>
  </si>
  <si>
    <t>Triangular Paths</t>
  </si>
  <si>
    <t>constructive algorithms, graphs, math, shortest paths, sortings</t>
  </si>
  <si>
    <t>https://codeforces.com/problemset/problem/1506/F</t>
  </si>
  <si>
    <t>1537D</t>
  </si>
  <si>
    <t>Deleting Divisors</t>
  </si>
  <si>
    <t>games, math, number theory</t>
  </si>
  <si>
    <t>https://codeforces.com/problemset/problem/1537/D</t>
  </si>
  <si>
    <t>1572A</t>
  </si>
  <si>
    <t>Book</t>
  </si>
  <si>
    <t>binary search, brute force, data structures, dp, graphs, implementation, sortings</t>
  </si>
  <si>
    <t>https://codeforces.com/problemset/problem/1572/A</t>
  </si>
  <si>
    <t>1705B</t>
  </si>
  <si>
    <t>Mark the Dust Sweeper</t>
  </si>
  <si>
    <t>https://codeforces.com/problemset/problem/1705/B</t>
  </si>
  <si>
    <t>KINGDOM 6 — THE KINGDOM OF STRINGS</t>
  </si>
  <si>
    <t>Pattern 6.1 — Basic String Processing</t>
  </si>
  <si>
    <t>41A</t>
  </si>
  <si>
    <t>Translation</t>
  </si>
  <si>
    <t>https://codeforces.com/problemset/problem/41/A</t>
  </si>
  <si>
    <t>58A</t>
  </si>
  <si>
    <t>Chat room</t>
  </si>
  <si>
    <t>greedy, strings</t>
  </si>
  <si>
    <t>https://codeforces.com/problemset/problem/58/A</t>
  </si>
  <si>
    <t>96A</t>
  </si>
  <si>
    <t>Football</t>
  </si>
  <si>
    <t>https://codeforces.com/problemset/problem/96/A</t>
  </si>
  <si>
    <t>112A</t>
  </si>
  <si>
    <t>Petya and Strings</t>
  </si>
  <si>
    <t>https://codeforces.com/problemset/problem/112/A</t>
  </si>
  <si>
    <t>118A</t>
  </si>
  <si>
    <t>String Task</t>
  </si>
  <si>
    <t>https://codeforces.com/problemset/problem/118/A</t>
  </si>
  <si>
    <t>281A</t>
  </si>
  <si>
    <t>Word Capitalization</t>
  </si>
  <si>
    <t>https://codeforces.com/problemset/problem/281/A</t>
  </si>
  <si>
    <t>313A</t>
  </si>
  <si>
    <t>Ilya and Bank Account</t>
  </si>
  <si>
    <t>implementation, number theory</t>
  </si>
  <si>
    <t>https://codeforces.com/problemset/problem/313/A</t>
  </si>
  <si>
    <t>472A</t>
  </si>
  <si>
    <t>Design Tutorial: Learn from Math</t>
  </si>
  <si>
    <t>math, number theory</t>
  </si>
  <si>
    <t>https://codeforces.com/problemset/problem/472/A</t>
  </si>
  <si>
    <t>520A</t>
  </si>
  <si>
    <t>Pangram</t>
  </si>
  <si>
    <t>https://codeforces.com/problemset/problem/520/A</t>
  </si>
  <si>
    <t>977B</t>
  </si>
  <si>
    <t>Two-gram</t>
  </si>
  <si>
    <t>https://codeforces.com/problemset/problem/977/B</t>
  </si>
  <si>
    <t>1095A</t>
  </si>
  <si>
    <t>Repeating Cipher</t>
  </si>
  <si>
    <t>https://codeforces.com/problemset/problem/1095/A</t>
  </si>
  <si>
    <t>1108B</t>
  </si>
  <si>
    <t>Divisors of Two Integers</t>
  </si>
  <si>
    <t>brute force, greedy, math, number theory</t>
  </si>
  <si>
    <t>https://codeforces.com/problemset/problem/1108/B</t>
  </si>
  <si>
    <t>1182A</t>
  </si>
  <si>
    <t>Filling Shapes</t>
  </si>
  <si>
    <t>dp, math</t>
  </si>
  <si>
    <t>https://codeforces.com/problemset/problem/1182/A</t>
  </si>
  <si>
    <t>1266A</t>
  </si>
  <si>
    <t>Competitive Programmer</t>
  </si>
  <si>
    <t>chinese remainder theorem, math</t>
  </si>
  <si>
    <t>https://codeforces.com/problemset/problem/1266/A</t>
  </si>
  <si>
    <t>1295A</t>
  </si>
  <si>
    <t>Display The Number</t>
  </si>
  <si>
    <t>https://codeforces.com/problemset/problem/1295/A</t>
  </si>
  <si>
    <t>1433A</t>
  </si>
  <si>
    <t>Boring Apartments</t>
  </si>
  <si>
    <t>https://codeforces.com/problemset/problem/1433/A</t>
  </si>
  <si>
    <t>Pattern 6.2 — Character Frequency</t>
  </si>
  <si>
    <t>271A</t>
  </si>
  <si>
    <t>Beautiful Year</t>
  </si>
  <si>
    <t>https://codeforces.com/problemset/problem/271/A</t>
  </si>
  <si>
    <t>443A</t>
  </si>
  <si>
    <t>Anton and Letters</t>
  </si>
  <si>
    <t>https://codeforces.com/problemset/problem/443/A</t>
  </si>
  <si>
    <t>554A</t>
  </si>
  <si>
    <t>Kyoya and Photobooks</t>
  </si>
  <si>
    <t>brute force, math, strings</t>
  </si>
  <si>
    <t>https://codeforces.com/problemset/problem/554/A</t>
  </si>
  <si>
    <t>897A</t>
  </si>
  <si>
    <t>Scarborough Fair</t>
  </si>
  <si>
    <t>https://codeforces.com/problemset/problem/897/A</t>
  </si>
  <si>
    <t>978B</t>
  </si>
  <si>
    <t>File Name</t>
  </si>
  <si>
    <t>https://codeforces.com/problemset/problem/978/B</t>
  </si>
  <si>
    <t>1008A</t>
  </si>
  <si>
    <t>Romaji</t>
  </si>
  <si>
    <t>https://codeforces.com/problemset/problem/1008/A</t>
  </si>
  <si>
    <t>1216A</t>
  </si>
  <si>
    <t>Prefixes</t>
  </si>
  <si>
    <t>https://codeforces.com/problemset/problem/1216/A</t>
  </si>
  <si>
    <t>1277A</t>
  </si>
  <si>
    <t>Happy Birthday, Polycarp!</t>
  </si>
  <si>
    <t>https://codeforces.com/problemset/problem/1277/A</t>
  </si>
  <si>
    <t>1368B</t>
  </si>
  <si>
    <t>Codeforces Subsequences</t>
  </si>
  <si>
    <t>brute force, constructive algorithms, greedy, math, strings</t>
  </si>
  <si>
    <t>https://codeforces.com/problemset/problem/1368/B</t>
  </si>
  <si>
    <t>1430C</t>
  </si>
  <si>
    <t>Numbers on Whiteboard</t>
  </si>
  <si>
    <t>constructive algorithms, data structures, greedy, implementation, math</t>
  </si>
  <si>
    <t>https://codeforces.com/problemset/problem/1430/C</t>
  </si>
  <si>
    <t>1450A</t>
  </si>
  <si>
    <t>Avoid Trygub</t>
  </si>
  <si>
    <t>https://codeforces.com/problemset/problem/1450/A</t>
  </si>
  <si>
    <t>1530A</t>
  </si>
  <si>
    <t>Binary Decimal</t>
  </si>
  <si>
    <t>https://codeforces.com/problemset/problem/1530/A</t>
  </si>
  <si>
    <t>Pattern 6.3 — Greedy on Strings</t>
  </si>
  <si>
    <t>1165C</t>
  </si>
  <si>
    <t>Good String</t>
  </si>
  <si>
    <t>https://codeforces.com/problemset/problem/1165/C</t>
  </si>
  <si>
    <t>1200E</t>
  </si>
  <si>
    <t>Compress Words</t>
  </si>
  <si>
    <t>brute force, hashing, implementation, string suffix structures, strings</t>
  </si>
  <si>
    <t>https://codeforces.com/problemset/problem/1200/E</t>
  </si>
  <si>
    <t>1367D</t>
  </si>
  <si>
    <t>Task On The Board</t>
  </si>
  <si>
    <t>constructive algorithms, greedy, implementation, sortings</t>
  </si>
  <si>
    <t>https://codeforces.com/problemset/problem/1367/D</t>
  </si>
  <si>
    <t>1382C1</t>
  </si>
  <si>
    <t>https://codeforces.com/problemset/problem/1382/C1</t>
  </si>
  <si>
    <t>1382C2</t>
  </si>
  <si>
    <t>https://codeforces.com/problemset/problem/1382/C2</t>
  </si>
  <si>
    <t>1430E</t>
  </si>
  <si>
    <t>String Reversal</t>
  </si>
  <si>
    <t>data structures, greedy, strings</t>
  </si>
  <si>
    <t>https://codeforces.com/problemset/problem/1430/E</t>
  </si>
  <si>
    <t>1451C</t>
  </si>
  <si>
    <t>String Equality</t>
  </si>
  <si>
    <t>dp, greedy, hashing, implementation, strings</t>
  </si>
  <si>
    <t>https://codeforces.com/problemset/problem/1451/C</t>
  </si>
  <si>
    <t>1493C</t>
  </si>
  <si>
    <t>K-beautiful Strings</t>
  </si>
  <si>
    <t>binary search, brute force, constructive algorithms, greedy, strings</t>
  </si>
  <si>
    <t>https://codeforces.com/problemset/problem/1493/C</t>
  </si>
  <si>
    <t>Pattern 6.4 — Prefix Function (KMP)</t>
  </si>
  <si>
    <t>126B</t>
  </si>
  <si>
    <t>Password</t>
  </si>
  <si>
    <t>binary search, dp, hashing, string suffix structures, strings</t>
  </si>
  <si>
    <t>https://codeforces.com/problemset/problem/126/B</t>
  </si>
  <si>
    <t>432D</t>
  </si>
  <si>
    <t>dp, string suffix structures, strings, two pointers</t>
  </si>
  <si>
    <t>https://codeforces.com/problemset/problem/432/D</t>
  </si>
  <si>
    <t>471D</t>
  </si>
  <si>
    <t>MUH and Cube Walls</t>
  </si>
  <si>
    <t>string suffix structures, strings</t>
  </si>
  <si>
    <t>https://codeforces.com/problemset/problem/471/D</t>
  </si>
  <si>
    <t>526D</t>
  </si>
  <si>
    <t>Om Nom and Necklace</t>
  </si>
  <si>
    <t>hashing, string suffix structures, strings</t>
  </si>
  <si>
    <t>https://codeforces.com/problemset/problem/526/D</t>
  </si>
  <si>
    <t>808G</t>
  </si>
  <si>
    <t>Anthem of Berland</t>
  </si>
  <si>
    <t>dp, strings</t>
  </si>
  <si>
    <t>https://codeforces.com/problemset/problem/808/G</t>
  </si>
  <si>
    <t>1326D2</t>
  </si>
  <si>
    <t>Prefix-Suffix Palindrome (Hard version)</t>
  </si>
  <si>
    <t>binary search, greedy, hashing, string suffix structures, strings</t>
  </si>
  <si>
    <t>https://codeforces.com/problemset/problem/1326/D2</t>
  </si>
  <si>
    <t>1721E</t>
  </si>
  <si>
    <t>Prefix Function Queries</t>
  </si>
  <si>
    <t>dfs and similar, dp, hashing, string suffix structures, strings, trees</t>
  </si>
  <si>
    <t>https://codeforces.com/problemset/problem/1721/E</t>
  </si>
  <si>
    <t>Pattern 6.5 — Z Algorithm</t>
  </si>
  <si>
    <t>196B</t>
  </si>
  <si>
    <t>Infinite Maze</t>
  </si>
  <si>
    <t>dfs and similar, graphs</t>
  </si>
  <si>
    <t>https://codeforces.com/problemset/problem/196/B</t>
  </si>
  <si>
    <t>535D</t>
  </si>
  <si>
    <t>Tavas and Malekas</t>
  </si>
  <si>
    <t>greedy, hashing, string suffix structures, strings</t>
  </si>
  <si>
    <t>https://codeforces.com/problemset/problem/535/D</t>
  </si>
  <si>
    <t>1137B</t>
  </si>
  <si>
    <t>Camp Schedule</t>
  </si>
  <si>
    <t>greedy, hashing, strings</t>
  </si>
  <si>
    <t>https://codeforces.com/problemset/problem/1137/B</t>
  </si>
  <si>
    <t>1267L</t>
  </si>
  <si>
    <t>L</t>
  </si>
  <si>
    <t>Lexicography</t>
  </si>
  <si>
    <t>constructive algorithms, strings</t>
  </si>
  <si>
    <t>https://codeforces.com/problemset/problem/1267/L</t>
  </si>
  <si>
    <t>Pattern 6.6 — Hashing</t>
  </si>
  <si>
    <t>271D</t>
  </si>
  <si>
    <t>Good Substrings</t>
  </si>
  <si>
    <t>data structures, strings</t>
  </si>
  <si>
    <t>https://codeforces.com/problemset/problem/271/D</t>
  </si>
  <si>
    <t>514C</t>
  </si>
  <si>
    <t>Watto and Mechanism</t>
  </si>
  <si>
    <t>binary search, data structures, hashing, string suffix structures, strings</t>
  </si>
  <si>
    <t>https://codeforces.com/problemset/problem/514/C</t>
  </si>
  <si>
    <t>580E</t>
  </si>
  <si>
    <t>Kefa and Watch</t>
  </si>
  <si>
    <t>data structures, hashing, strings</t>
  </si>
  <si>
    <t>https://codeforces.com/problemset/problem/580/E</t>
  </si>
  <si>
    <t>835D</t>
  </si>
  <si>
    <t>Palindromic characteristics</t>
  </si>
  <si>
    <t>brute force, dp, hashing, strings</t>
  </si>
  <si>
    <t>https://codeforces.com/problemset/problem/835/D</t>
  </si>
  <si>
    <t>963D</t>
  </si>
  <si>
    <t>Frequency of String</t>
  </si>
  <si>
    <t>https://codeforces.com/problemset/problem/963/D</t>
  </si>
  <si>
    <t>KINGDOM 7 — THE KINGDOM OF BIT MANIPULATION</t>
  </si>
  <si>
    <t>Pattern 7.1 — Basic Bit Operations</t>
  </si>
  <si>
    <t>579A</t>
  </si>
  <si>
    <t>Raising Bacteria</t>
  </si>
  <si>
    <t>bitmasks</t>
  </si>
  <si>
    <t>https://codeforces.com/problemset/problem/579/A</t>
  </si>
  <si>
    <t>768A</t>
  </si>
  <si>
    <t>Oath of the Night's Watch</t>
  </si>
  <si>
    <t>https://codeforces.com/problemset/problem/768/A</t>
  </si>
  <si>
    <t>912A</t>
  </si>
  <si>
    <t>Tricky Alchemy</t>
  </si>
  <si>
    <t>https://codeforces.com/problemset/problem/912/A</t>
  </si>
  <si>
    <t>1151A</t>
  </si>
  <si>
    <t>Maxim and Biology</t>
  </si>
  <si>
    <t>brute force, strings</t>
  </si>
  <si>
    <t>https://codeforces.com/problemset/problem/1151/A</t>
  </si>
  <si>
    <t>1299A</t>
  </si>
  <si>
    <t>Anu Has a Function</t>
  </si>
  <si>
    <t>https://codeforces.com/problemset/problem/1299/A</t>
  </si>
  <si>
    <t>1325B</t>
  </si>
  <si>
    <t>CopyCopyCopyCopyCopy</t>
  </si>
  <si>
    <t>https://codeforces.com/problemset/problem/1325/B</t>
  </si>
  <si>
    <t>1362A</t>
  </si>
  <si>
    <t>Johnny and Ancient Computer</t>
  </si>
  <si>
    <t>https://codeforces.com/problemset/problem/1362/A</t>
  </si>
  <si>
    <t>1395C</t>
  </si>
  <si>
    <t>Boboniu and Bit Operations</t>
  </si>
  <si>
    <t>https://codeforces.com/problemset/problem/1395/C</t>
  </si>
  <si>
    <t>1421A</t>
  </si>
  <si>
    <t>XORwice</t>
  </si>
  <si>
    <t>bitmasks, greedy, math</t>
  </si>
  <si>
    <t>https://codeforces.com/problemset/problem/1421/A</t>
  </si>
  <si>
    <t>1438A</t>
  </si>
  <si>
    <t xml:space="preserve">Specific Tastes of Andre </t>
  </si>
  <si>
    <t>https://codeforces.com/problemset/problem/1438/A</t>
  </si>
  <si>
    <t>1457A</t>
  </si>
  <si>
    <t>https://codeforces.com/problemset/problem/1457/A</t>
  </si>
  <si>
    <t>1491A</t>
  </si>
  <si>
    <t>K-th Largest Value</t>
  </si>
  <si>
    <t>https://codeforces.com/problemset/problem/1491/A</t>
  </si>
  <si>
    <t>1501A</t>
  </si>
  <si>
    <t>Alexey and Train</t>
  </si>
  <si>
    <t>https://codeforces.com/problemset/problem/1501/A</t>
  </si>
  <si>
    <t>1525A</t>
  </si>
  <si>
    <t>Potion-making</t>
  </si>
  <si>
    <t>https://codeforces.com/problemset/problem/1525/A</t>
  </si>
  <si>
    <t>Pattern 7.2 — XOR Properties</t>
  </si>
  <si>
    <t>276D</t>
  </si>
  <si>
    <t>Little Girl and Maximum XOR</t>
  </si>
  <si>
    <t>bitmasks, dp, greedy, implementation, math</t>
  </si>
  <si>
    <t>https://codeforces.com/problemset/problem/276/D</t>
  </si>
  <si>
    <t>282E</t>
  </si>
  <si>
    <t>Sausage Maximization</t>
  </si>
  <si>
    <t>bitmasks, data structures, trees</t>
  </si>
  <si>
    <t>https://codeforces.com/problemset/problem/282/E</t>
  </si>
  <si>
    <t>429A</t>
  </si>
  <si>
    <t>Xor-tree</t>
  </si>
  <si>
    <t>dfs and similar, trees</t>
  </si>
  <si>
    <t>https://codeforces.com/problemset/problem/429/A</t>
  </si>
  <si>
    <t>Pattern 7.3 — Bitmask Enumeration</t>
  </si>
  <si>
    <t>319B</t>
  </si>
  <si>
    <t>Psychos in a Line</t>
  </si>
  <si>
    <t>https://codeforces.com/problemset/problem/319/B</t>
  </si>
  <si>
    <t>580D</t>
  </si>
  <si>
    <t>Kefa and Dishes</t>
  </si>
  <si>
    <t>https://codeforces.com/problemset/problem/580/D</t>
  </si>
  <si>
    <t>839C</t>
  </si>
  <si>
    <t>Journey</t>
  </si>
  <si>
    <t>dfs and similar, dp, graphs, probabilities, trees</t>
  </si>
  <si>
    <t>https://codeforces.com/problemset/problem/839/C</t>
  </si>
  <si>
    <t>1102F</t>
  </si>
  <si>
    <t>Elongated Matrix</t>
  </si>
  <si>
    <t>binary search, bitmasks, brute force, dp, graphs</t>
  </si>
  <si>
    <t>https://codeforces.com/problemset/problem/1102/F</t>
  </si>
  <si>
    <t>1316E</t>
  </si>
  <si>
    <t>Team Building</t>
  </si>
  <si>
    <t>https://codeforces.com/problemset/problem/1316/E</t>
  </si>
  <si>
    <t>1523D</t>
  </si>
  <si>
    <t>Love-Hate</t>
  </si>
  <si>
    <t>bitmasks, brute force, dp, probabilities</t>
  </si>
  <si>
    <t>https://codeforces.com/problemset/problem/1523/D</t>
  </si>
  <si>
    <t>Pattern 7.4 — Trie + XOR</t>
  </si>
  <si>
    <t>706D</t>
  </si>
  <si>
    <t>Vasiliy's Multiset</t>
  </si>
  <si>
    <t>binary search, bitmasks, data structures, trees</t>
  </si>
  <si>
    <t>https://codeforces.com/problemset/problem/706/D</t>
  </si>
  <si>
    <t>888G</t>
  </si>
  <si>
    <t>Xor-MST</t>
  </si>
  <si>
    <t>bitmasks, constructive algorithms, data structures</t>
  </si>
  <si>
    <t>https://codeforces.com/problemset/problem/888/G</t>
  </si>
  <si>
    <t>923C</t>
  </si>
  <si>
    <t>Perfect Security</t>
  </si>
  <si>
    <t>data structures, greedy, strings, trees</t>
  </si>
  <si>
    <t>https://codeforces.com/problemset/problem/923/C</t>
  </si>
  <si>
    <t>948D</t>
  </si>
  <si>
    <t>https://codeforces.com/problemset/problem/948/D</t>
  </si>
  <si>
    <t>1285D</t>
  </si>
  <si>
    <t>Dr. Evil Underscores</t>
  </si>
  <si>
    <t>bitmasks, brute force, dfs and similar, divide and conquer, dp, greedy, strings, trees</t>
  </si>
  <si>
    <t>https://codeforces.com/problemset/problem/1285/D</t>
  </si>
  <si>
    <t>1447E</t>
  </si>
  <si>
    <t>https://codeforces.com/problemset/problem/1447/E</t>
  </si>
  <si>
    <t>1658D2</t>
  </si>
  <si>
    <t>388535 (Hard Version)</t>
  </si>
  <si>
    <t>bitmasks, brute force, data structures, math</t>
  </si>
  <si>
    <t>https://codeforces.com/problemset/problem/1658/D2</t>
  </si>
  <si>
    <t>KINGDOM 8 — THE KINGDOM OF MATHEMATICS &amp; NUMBER THEORY</t>
  </si>
  <si>
    <t>Pattern 8.1 — Basic Mathematics</t>
  </si>
  <si>
    <t>50A</t>
  </si>
  <si>
    <t>Domino piling</t>
  </si>
  <si>
    <t>https://codeforces.com/problemset/problem/50/A</t>
  </si>
  <si>
    <t>617A</t>
  </si>
  <si>
    <t>Elephant</t>
  </si>
  <si>
    <t>https://codeforces.com/problemset/problem/617/A</t>
  </si>
  <si>
    <t>630A</t>
  </si>
  <si>
    <t>Again Twenty Five!</t>
  </si>
  <si>
    <t>number theory</t>
  </si>
  <si>
    <t>https://codeforces.com/problemset/problem/630/A</t>
  </si>
  <si>
    <t>742A</t>
  </si>
  <si>
    <t>Arpa’s hard exam and Mehrdad’s naive cheat</t>
  </si>
  <si>
    <t>implementation, math, number theory</t>
  </si>
  <si>
    <t>https://codeforces.com/problemset/problem/742/A</t>
  </si>
  <si>
    <t>732A</t>
  </si>
  <si>
    <t>Buy a Shovel</t>
  </si>
  <si>
    <t>brute force, constructive algorithms, implementation, math</t>
  </si>
  <si>
    <t>https://codeforces.com/problemset/problem/732/A</t>
  </si>
  <si>
    <t>977A</t>
  </si>
  <si>
    <t>Wrong Subtraction</t>
  </si>
  <si>
    <t>https://codeforces.com/problemset/problem/977/A</t>
  </si>
  <si>
    <t>1154A</t>
  </si>
  <si>
    <t>Restoring Three Numbers</t>
  </si>
  <si>
    <t>https://codeforces.com/problemset/problem/1154/A</t>
  </si>
  <si>
    <t>119A</t>
  </si>
  <si>
    <t>Epic Game</t>
  </si>
  <si>
    <t>https://codeforces.com/problemset/problem/119/A</t>
  </si>
  <si>
    <t>1204A</t>
  </si>
  <si>
    <t>BowWow and the Timetable</t>
  </si>
  <si>
    <t>https://codeforces.com/problemset/problem/1204/A</t>
  </si>
  <si>
    <t>1220A</t>
  </si>
  <si>
    <t>Cards</t>
  </si>
  <si>
    <t>implementation, sortings, strings</t>
  </si>
  <si>
    <t>https://codeforces.com/problemset/problem/1220/A</t>
  </si>
  <si>
    <t>1245A</t>
  </si>
  <si>
    <t>Good ol' Numbers Coloring</t>
  </si>
  <si>
    <t>https://codeforces.com/problemset/problem/1245/A</t>
  </si>
  <si>
    <t>1285A</t>
  </si>
  <si>
    <t>Mezo Playing Zoma</t>
  </si>
  <si>
    <t>https://codeforces.com/problemset/problem/1285/A</t>
  </si>
  <si>
    <t>1328A</t>
  </si>
  <si>
    <t>Divisibility Problem</t>
  </si>
  <si>
    <t>https://codeforces.com/problemset/problem/1328/A</t>
  </si>
  <si>
    <t>1352C</t>
  </si>
  <si>
    <t>K-th Not Divisible by n</t>
  </si>
  <si>
    <t>binary search, math</t>
  </si>
  <si>
    <t>https://codeforces.com/problemset/problem/1352/C</t>
  </si>
  <si>
    <t>1353A</t>
  </si>
  <si>
    <t>Most Unstable Array</t>
  </si>
  <si>
    <t>https://codeforces.com/problemset/problem/1353/A</t>
  </si>
  <si>
    <t>1370A</t>
  </si>
  <si>
    <t>Maximum GCD</t>
  </si>
  <si>
    <t>greedy, implementation, math, number theory</t>
  </si>
  <si>
    <t>https://codeforces.com/problemset/problem/1370/A</t>
  </si>
  <si>
    <t>1374B</t>
  </si>
  <si>
    <t>Multiply by 2, divide by 6</t>
  </si>
  <si>
    <t>https://codeforces.com/problemset/problem/1374/B</t>
  </si>
  <si>
    <t>1422A</t>
  </si>
  <si>
    <t>https://codeforces.com/problemset/problem/1422/A</t>
  </si>
  <si>
    <t>1472A</t>
  </si>
  <si>
    <t>Cards for Friends</t>
  </si>
  <si>
    <t>https://codeforces.com/problemset/problem/1472/A</t>
  </si>
  <si>
    <t>1487A</t>
  </si>
  <si>
    <t>Arena</t>
  </si>
  <si>
    <t>https://codeforces.com/problemset/problem/1487/A</t>
  </si>
  <si>
    <t>1498A</t>
  </si>
  <si>
    <t>GCD Sum</t>
  </si>
  <si>
    <t>https://codeforces.com/problemset/problem/1498/A</t>
  </si>
  <si>
    <t>Pattern 8.2 — GCD &amp; LCM</t>
  </si>
  <si>
    <t>7C</t>
  </si>
  <si>
    <t>Line</t>
  </si>
  <si>
    <t>https://codeforces.com/problemset/problem/7/C</t>
  </si>
  <si>
    <t>16C</t>
  </si>
  <si>
    <t>Monitor</t>
  </si>
  <si>
    <t>binary search, number theory</t>
  </si>
  <si>
    <t>https://codeforces.com/problemset/problem/16/C</t>
  </si>
  <si>
    <t>340A</t>
  </si>
  <si>
    <t>The Wall</t>
  </si>
  <si>
    <t>https://codeforces.com/problemset/problem/340/A</t>
  </si>
  <si>
    <t>475D</t>
  </si>
  <si>
    <t>CGCDSSQ</t>
  </si>
  <si>
    <t>brute force, data structures, math</t>
  </si>
  <si>
    <t>https://codeforces.com/problemset/problem/475/D</t>
  </si>
  <si>
    <t>510D</t>
  </si>
  <si>
    <t>Fox And Jumping</t>
  </si>
  <si>
    <t>bitmasks, brute force, dp, math</t>
  </si>
  <si>
    <t>https://codeforces.com/problemset/problem/510/D</t>
  </si>
  <si>
    <t>803C</t>
  </si>
  <si>
    <t>Maximal GCD</t>
  </si>
  <si>
    <t>https://codeforces.com/problemset/problem/803/C</t>
  </si>
  <si>
    <t>891A</t>
  </si>
  <si>
    <t>Pride</t>
  </si>
  <si>
    <t>brute force, dp, greedy, math, number theory</t>
  </si>
  <si>
    <t>https://codeforces.com/problemset/problem/891/A</t>
  </si>
  <si>
    <t>1025B</t>
  </si>
  <si>
    <t>Weakened Common Divisor</t>
  </si>
  <si>
    <t>brute force, greedy, number theory</t>
  </si>
  <si>
    <t>https://codeforces.com/problemset/problem/1025/B</t>
  </si>
  <si>
    <t>1244C</t>
  </si>
  <si>
    <t>The Football Season</t>
  </si>
  <si>
    <t>brute force, math, number theory</t>
  </si>
  <si>
    <t>https://codeforces.com/problemset/problem/1244/C</t>
  </si>
  <si>
    <t>1285C</t>
  </si>
  <si>
    <t>Fadi and LCM</t>
  </si>
  <si>
    <t>https://codeforces.com/problemset/problem/1285/C</t>
  </si>
  <si>
    <t>1458A</t>
  </si>
  <si>
    <t>Row GCD</t>
  </si>
  <si>
    <t>https://codeforces.com/problemset/problem/1458/A</t>
  </si>
  <si>
    <t>1548B</t>
  </si>
  <si>
    <t>Integers Have Friends</t>
  </si>
  <si>
    <t>binary search, data structures, divide and conquer, math, number theory, two pointers</t>
  </si>
  <si>
    <t>https://codeforces.com/problemset/problem/1548/B</t>
  </si>
  <si>
    <t>Pattern 8.3 — Prime Numbers &amp; Sieve</t>
  </si>
  <si>
    <t>17A</t>
  </si>
  <si>
    <t>Noldbach problem</t>
  </si>
  <si>
    <t>https://codeforces.com/problemset/problem/17/A</t>
  </si>
  <si>
    <t>230B</t>
  </si>
  <si>
    <t>T-primes</t>
  </si>
  <si>
    <t>binary search, implementation, math, number theory</t>
  </si>
  <si>
    <t>https://codeforces.com/problemset/problem/230/B</t>
  </si>
  <si>
    <t>385C</t>
  </si>
  <si>
    <t>Bear and Prime Numbers</t>
  </si>
  <si>
    <t>binary search, brute force, data structures, dp, implementation, math, number theory</t>
  </si>
  <si>
    <t>https://codeforces.com/problemset/problem/385/C</t>
  </si>
  <si>
    <t>577B</t>
  </si>
  <si>
    <t>Modulo Sum</t>
  </si>
  <si>
    <t>combinatorics, data structures, dp, two pointers</t>
  </si>
  <si>
    <t>https://codeforces.com/problemset/problem/577/B</t>
  </si>
  <si>
    <t>776B</t>
  </si>
  <si>
    <t>Sherlock and his girlfriend</t>
  </si>
  <si>
    <t>constructive algorithms, number theory</t>
  </si>
  <si>
    <t>https://codeforces.com/problemset/problem/776/B</t>
  </si>
  <si>
    <t>959D</t>
  </si>
  <si>
    <t>Mahmoud and Ehab and another array construction task</t>
  </si>
  <si>
    <t>constructive algorithms, greedy, math, number theory</t>
  </si>
  <si>
    <t>https://codeforces.com/problemset/problem/959/D</t>
  </si>
  <si>
    <t>1033D</t>
  </si>
  <si>
    <t>Divisors</t>
  </si>
  <si>
    <t>interactive, math, number theory</t>
  </si>
  <si>
    <t>https://codeforces.com/problemset/problem/1033/D</t>
  </si>
  <si>
    <t>1174C</t>
  </si>
  <si>
    <t>Ehab and a Special Coloring Problem</t>
  </si>
  <si>
    <t>https://codeforces.com/problemset/problem/1174/C</t>
  </si>
  <si>
    <t>1228C</t>
  </si>
  <si>
    <t>Primes and Multiplication</t>
  </si>
  <si>
    <t>https://codeforces.com/problemset/problem/1228/C</t>
  </si>
  <si>
    <t>1295D</t>
  </si>
  <si>
    <t>Same GCDs</t>
  </si>
  <si>
    <t>https://codeforces.com/problemset/problem/1295/D</t>
  </si>
  <si>
    <t>1475G</t>
  </si>
  <si>
    <t>Strange Beauty</t>
  </si>
  <si>
    <t>dp, math, number theory, sortings</t>
  </si>
  <si>
    <t>https://codeforces.com/problemset/problem/1475/G</t>
  </si>
  <si>
    <t>Pattern 8.4 — Modular Arithmetic</t>
  </si>
  <si>
    <t>337C</t>
  </si>
  <si>
    <t>Quiz</t>
  </si>
  <si>
    <t>binary search, greedy, math, matrices, number theory</t>
  </si>
  <si>
    <t>https://codeforces.com/problemset/problem/337/C</t>
  </si>
  <si>
    <t>451E</t>
  </si>
  <si>
    <t>Devu and Flowers</t>
  </si>
  <si>
    <t>bitmasks, combinatorics, number theory</t>
  </si>
  <si>
    <t>https://codeforces.com/problemset/problem/451/E</t>
  </si>
  <si>
    <t>584B</t>
  </si>
  <si>
    <t xml:space="preserve">Kolya and Tanya </t>
  </si>
  <si>
    <t>combinatorics</t>
  </si>
  <si>
    <t>https://codeforces.com/problemset/problem/584/B</t>
  </si>
  <si>
    <t>622F</t>
  </si>
  <si>
    <t>The Sum of the k-th Powers</t>
  </si>
  <si>
    <t>https://codeforces.com/problemset/problem/622/F</t>
  </si>
  <si>
    <t>895C</t>
  </si>
  <si>
    <t>Square Subsets</t>
  </si>
  <si>
    <t>https://codeforces.com/problemset/problem/895/C</t>
  </si>
  <si>
    <t>1096D</t>
  </si>
  <si>
    <t>Easy Problem</t>
  </si>
  <si>
    <t>https://codeforces.com/problemset/problem/1096/D</t>
  </si>
  <si>
    <t>1359E</t>
  </si>
  <si>
    <t>Modular Stability</t>
  </si>
  <si>
    <t>combinatorics, math, number theory</t>
  </si>
  <si>
    <t>https://codeforces.com/problemset/problem/1359/E</t>
  </si>
  <si>
    <t>1452D</t>
  </si>
  <si>
    <t>Radio Towers</t>
  </si>
  <si>
    <t>https://codeforces.com/problemset/problem/1452/D</t>
  </si>
  <si>
    <t>Pattern 8.5 — Combinatorics</t>
  </si>
  <si>
    <t>294C</t>
  </si>
  <si>
    <t>Shaass and Lights</t>
  </si>
  <si>
    <t>combinatorics, number theory</t>
  </si>
  <si>
    <t>https://codeforces.com/problemset/problem/294/C</t>
  </si>
  <si>
    <t>300C</t>
  </si>
  <si>
    <t>Beautiful Numbers</t>
  </si>
  <si>
    <t>brute force, combinatorics</t>
  </si>
  <si>
    <t>https://codeforces.com/problemset/problem/300/C</t>
  </si>
  <si>
    <t>553A</t>
  </si>
  <si>
    <t>Kyoya and Colored Balls</t>
  </si>
  <si>
    <t>https://codeforces.com/problemset/problem/553/A</t>
  </si>
  <si>
    <t>869C</t>
  </si>
  <si>
    <t>The Intriguing Obsession</t>
  </si>
  <si>
    <t>https://codeforces.com/problemset/problem/869/C</t>
  </si>
  <si>
    <t>888D</t>
  </si>
  <si>
    <t>Almost Identity Permutations</t>
  </si>
  <si>
    <t>https://codeforces.com/problemset/problem/888/D</t>
  </si>
  <si>
    <t>1091D</t>
  </si>
  <si>
    <t>New Year and the Permutation Concatenation</t>
  </si>
  <si>
    <t>https://codeforces.com/problemset/problem/1091/D</t>
  </si>
  <si>
    <t>1312D</t>
  </si>
  <si>
    <t>Count the Arrays</t>
  </si>
  <si>
    <t>combinatorics, math</t>
  </si>
  <si>
    <t>https://codeforces.com/problemset/problem/1312/D</t>
  </si>
  <si>
    <t>1420D</t>
  </si>
  <si>
    <t>Rescue Nibel!</t>
  </si>
  <si>
    <t>combinatorics, data structures, sortings</t>
  </si>
  <si>
    <t>https://codeforces.com/problemset/problem/1420/D</t>
  </si>
  <si>
    <t>1545B</t>
  </si>
  <si>
    <t>AquaMoon and Chess</t>
  </si>
  <si>
    <t>https://codeforces.com/problemset/problem/1545/B</t>
  </si>
  <si>
    <t>1717D</t>
  </si>
  <si>
    <t>Madoka and The Corruption Scheme</t>
  </si>
  <si>
    <t>https://codeforces.com/problemset/problem/1717/D</t>
  </si>
  <si>
    <t>Pattern 8.6 — Inclusion–Exclusion / Number Theory</t>
  </si>
  <si>
    <t>547C</t>
  </si>
  <si>
    <t>Mike and Foam</t>
  </si>
  <si>
    <t>bitmasks, combinatorics, dp, math, number theory</t>
  </si>
  <si>
    <t>https://codeforces.com/problemset/problem/547/C</t>
  </si>
  <si>
    <t>803F</t>
  </si>
  <si>
    <t>Coprime Subsequences</t>
  </si>
  <si>
    <t>https://codeforces.com/problemset/problem/803/F</t>
  </si>
  <si>
    <t>900D</t>
  </si>
  <si>
    <t>Unusual Sequences</t>
  </si>
  <si>
    <t>https://codeforces.com/problemset/problem/900/D</t>
  </si>
  <si>
    <t>915G</t>
  </si>
  <si>
    <t>Coprime Arrays</t>
  </si>
  <si>
    <t>https://codeforces.com/problemset/problem/915/G</t>
  </si>
  <si>
    <t>986F</t>
  </si>
  <si>
    <t>Oppa Funcan Style Remastered</t>
  </si>
  <si>
    <t>graphs, math, number theory, shortest paths</t>
  </si>
  <si>
    <t>https://codeforces.com/problemset/problem/986/F</t>
  </si>
  <si>
    <t>1559E</t>
  </si>
  <si>
    <t>Mocha and Stars</t>
  </si>
  <si>
    <t>combinatorics, dp, fft, math, number theory</t>
  </si>
  <si>
    <t>https://codeforces.com/problemset/problem/1559/E</t>
  </si>
  <si>
    <t>1750D</t>
  </si>
  <si>
    <t>Count GCD</t>
  </si>
  <si>
    <t>https://codeforces.com/problemset/problem/1750/D</t>
  </si>
  <si>
    <t>KINGDOM 9 — THE KINGDOM OF RECURSION &amp; BACKTRACKING</t>
  </si>
  <si>
    <t>Pattern 9.1 — Basic Recursion</t>
  </si>
  <si>
    <t>448A</t>
  </si>
  <si>
    <t>Rewards</t>
  </si>
  <si>
    <t>https://codeforces.com/problemset/problem/448/A</t>
  </si>
  <si>
    <t>448C</t>
  </si>
  <si>
    <t>Painting Fence</t>
  </si>
  <si>
    <t>divide and conquer, dp, greedy</t>
  </si>
  <si>
    <t>https://codeforces.com/problemset/problem/448/C</t>
  </si>
  <si>
    <t>559B</t>
  </si>
  <si>
    <t>Equivalent Strings</t>
  </si>
  <si>
    <t>divide and conquer, hashing, sortings, strings</t>
  </si>
  <si>
    <t>https://codeforces.com/problemset/problem/559/B</t>
  </si>
  <si>
    <t>750C</t>
  </si>
  <si>
    <t>New Year and Rating</t>
  </si>
  <si>
    <t>binary search, greedy, math</t>
  </si>
  <si>
    <t>https://codeforces.com/problemset/problem/750/C</t>
  </si>
  <si>
    <t>863C</t>
  </si>
  <si>
    <t>1-2-3</t>
  </si>
  <si>
    <t>graphs, implementation</t>
  </si>
  <si>
    <t>https://codeforces.com/problemset/problem/863/C</t>
  </si>
  <si>
    <t>1030C</t>
  </si>
  <si>
    <t>Vasya and Golden Ticket</t>
  </si>
  <si>
    <t>https://codeforces.com/problemset/problem/1030/C</t>
  </si>
  <si>
    <t>1174B</t>
  </si>
  <si>
    <t>Ehab Is an Odd Person</t>
  </si>
  <si>
    <t>https://codeforces.com/problemset/problem/1174/B</t>
  </si>
  <si>
    <t>1363C</t>
  </si>
  <si>
    <t>Game On Leaves</t>
  </si>
  <si>
    <t>games, trees</t>
  </si>
  <si>
    <t>https://codeforces.com/problemset/problem/1363/C</t>
  </si>
  <si>
    <t>1454E</t>
  </si>
  <si>
    <t>Number of Simple Paths</t>
  </si>
  <si>
    <t>combinatorics, dfs and similar, graphs, trees</t>
  </si>
  <si>
    <t>https://codeforces.com/problemset/problem/1454/E</t>
  </si>
  <si>
    <t>Pattern 9.2 — Brute Force with Backtracking</t>
  </si>
  <si>
    <t>525B</t>
  </si>
  <si>
    <t>Pasha and String</t>
  </si>
  <si>
    <t>constructive algorithms, greedy, math, strings</t>
  </si>
  <si>
    <t>https://codeforces.com/problemset/problem/525/B</t>
  </si>
  <si>
    <t>525C</t>
  </si>
  <si>
    <t>Ilya and Sticks</t>
  </si>
  <si>
    <t>https://codeforces.com/problemset/problem/525/C</t>
  </si>
  <si>
    <t>550B</t>
  </si>
  <si>
    <t>Preparing Olympiad</t>
  </si>
  <si>
    <t>bitmasks, brute force</t>
  </si>
  <si>
    <t>https://codeforces.com/problemset/problem/550/B</t>
  </si>
  <si>
    <t>580C</t>
  </si>
  <si>
    <t>Kefa and Park</t>
  </si>
  <si>
    <t>dfs and similar, graphs, trees</t>
  </si>
  <si>
    <t>https://codeforces.com/problemset/problem/580/C</t>
  </si>
  <si>
    <t>750D</t>
  </si>
  <si>
    <t>New Year and Fireworks</t>
  </si>
  <si>
    <t>brute force, data structures, dfs and similar, dp, implementation</t>
  </si>
  <si>
    <t>https://codeforces.com/problemset/problem/750/D</t>
  </si>
  <si>
    <t>864C</t>
  </si>
  <si>
    <t>Bus</t>
  </si>
  <si>
    <t>https://codeforces.com/problemset/problem/864/C</t>
  </si>
  <si>
    <t>903D</t>
  </si>
  <si>
    <t>Almost Difference</t>
  </si>
  <si>
    <t>data structures, math</t>
  </si>
  <si>
    <t>https://codeforces.com/problemset/problem/903/D</t>
  </si>
  <si>
    <t>996C</t>
  </si>
  <si>
    <t>https://codeforces.com/problemset/problem/996/C</t>
  </si>
  <si>
    <t>1059B</t>
  </si>
  <si>
    <t>Forgery</t>
  </si>
  <si>
    <t>https://codeforces.com/problemset/problem/1059/B</t>
  </si>
  <si>
    <t>1182C</t>
  </si>
  <si>
    <t>Beautiful Lyrics</t>
  </si>
  <si>
    <t>https://codeforces.com/problemset/problem/1182/C</t>
  </si>
  <si>
    <t>1243B2</t>
  </si>
  <si>
    <t>B2</t>
  </si>
  <si>
    <t>Character Swap (Hard Version)</t>
  </si>
  <si>
    <t>https://codeforces.com/problemset/problem/1243/B2</t>
  </si>
  <si>
    <t>1301A</t>
  </si>
  <si>
    <t>Three Strings</t>
  </si>
  <si>
    <t>https://codeforces.com/problemset/problem/1301/A</t>
  </si>
  <si>
    <t>1385D</t>
  </si>
  <si>
    <t>a-Good String</t>
  </si>
  <si>
    <t>bitmasks, brute force, divide and conquer, dp, implementation</t>
  </si>
  <si>
    <t>https://codeforces.com/problemset/problem/1385/D</t>
  </si>
  <si>
    <t>1450B</t>
  </si>
  <si>
    <t>Balls of Steel</t>
  </si>
  <si>
    <t>brute force, geometry, greedy</t>
  </si>
  <si>
    <t>https://codeforces.com/problemset/problem/1450/B</t>
  </si>
  <si>
    <t>1501C</t>
  </si>
  <si>
    <t>https://codeforces.com/problemset/problem/1501/C</t>
  </si>
  <si>
    <t>Pattern 9.3 — Generate All Possibilities</t>
  </si>
  <si>
    <t>1189A</t>
  </si>
  <si>
    <t>Keanu Reeves</t>
  </si>
  <si>
    <t>https://codeforces.com/problemset/problem/1189/A</t>
  </si>
  <si>
    <t>1225C</t>
  </si>
  <si>
    <t>p-binary</t>
  </si>
  <si>
    <t>bitmasks, brute force, math</t>
  </si>
  <si>
    <t>https://codeforces.com/problemset/problem/1225/C</t>
  </si>
  <si>
    <t>1266C</t>
  </si>
  <si>
    <t>Diverse Matrix</t>
  </si>
  <si>
    <t>https://codeforces.com/problemset/problem/1266/C</t>
  </si>
  <si>
    <t>1366C</t>
  </si>
  <si>
    <t>Palindromic Paths</t>
  </si>
  <si>
    <t>https://codeforces.com/problemset/problem/1366/C</t>
  </si>
  <si>
    <t>1453C</t>
  </si>
  <si>
    <t>Triangles</t>
  </si>
  <si>
    <t>https://codeforces.com/problemset/problem/1453/C</t>
  </si>
  <si>
    <t>1492D</t>
  </si>
  <si>
    <t>Genius's Gambit</t>
  </si>
  <si>
    <t>bitmasks, constructive algorithms, greedy, math</t>
  </si>
  <si>
    <t>https://codeforces.com/problemset/problem/1492/D</t>
  </si>
  <si>
    <t>Pattern 9.4 — Recursive Divide Construction</t>
  </si>
  <si>
    <t>873D</t>
  </si>
  <si>
    <t>Merge Sort</t>
  </si>
  <si>
    <t>constructive algorithms, divide and conquer</t>
  </si>
  <si>
    <t>https://codeforces.com/problemset/problem/873/D</t>
  </si>
  <si>
    <t>1114E</t>
  </si>
  <si>
    <t>Arithmetic Progression</t>
  </si>
  <si>
    <t>binary search, interactive, number theory, probabilities</t>
  </si>
  <si>
    <t>https://codeforces.com/problemset/problem/1114/E</t>
  </si>
  <si>
    <t>1283D</t>
  </si>
  <si>
    <t>Christmas Trees</t>
  </si>
  <si>
    <t>graphs, greedy, shortest paths</t>
  </si>
  <si>
    <t>https://codeforces.com/problemset/problem/1283/D</t>
  </si>
  <si>
    <t>1408E</t>
  </si>
  <si>
    <t>Avoid Rainbow Cycles</t>
  </si>
  <si>
    <t>data structures, dsu, graphs, greedy, sortings, trees</t>
  </si>
  <si>
    <t>https://codeforces.com/problemset/problem/1408/E</t>
  </si>
  <si>
    <t>KINGDOM 10 — THE KINGDOM OF STACK &amp; MONOTONIC STACK</t>
  </si>
  <si>
    <t>Pattern 10.1 — Basic Stack</t>
  </si>
  <si>
    <t>56E</t>
  </si>
  <si>
    <t>Domino Principle</t>
  </si>
  <si>
    <t>binary search, data structures, sortings</t>
  </si>
  <si>
    <t>https://codeforces.com/problemset/problem/56/E</t>
  </si>
  <si>
    <t>343B</t>
  </si>
  <si>
    <t>Alternating Current</t>
  </si>
  <si>
    <t>data structures, greedy, implementation</t>
  </si>
  <si>
    <t>https://codeforces.com/problemset/problem/343/B</t>
  </si>
  <si>
    <t>847B</t>
  </si>
  <si>
    <t>Preparing for Merge Sort</t>
  </si>
  <si>
    <t>binary search, data structures</t>
  </si>
  <si>
    <t>https://codeforces.com/problemset/problem/847/B</t>
  </si>
  <si>
    <t>1003A</t>
  </si>
  <si>
    <t>Polycarp's Pockets</t>
  </si>
  <si>
    <t>https://codeforces.com/problemset/problem/1003/A</t>
  </si>
  <si>
    <t>1073B</t>
  </si>
  <si>
    <t>Vasya and Books</t>
  </si>
  <si>
    <t>https://codeforces.com/problemset/problem/1073/B</t>
  </si>
  <si>
    <t>1092D1</t>
  </si>
  <si>
    <t>Great Vova Wall (Version 1)</t>
  </si>
  <si>
    <t>https://codeforces.com/problemset/problem/1092/D1</t>
  </si>
  <si>
    <t>1092D2</t>
  </si>
  <si>
    <t>Great Vova Wall (Version 2)</t>
  </si>
  <si>
    <t>https://codeforces.com/problemset/problem/1092/D2</t>
  </si>
  <si>
    <t>1154E</t>
  </si>
  <si>
    <t>Two Teams</t>
  </si>
  <si>
    <t>https://codeforces.com/problemset/problem/1154/E</t>
  </si>
  <si>
    <t>1263C</t>
  </si>
  <si>
    <t>Everyone is a Winner!</t>
  </si>
  <si>
    <t>binary search, math, meet-in-the-middle, number theory</t>
  </si>
  <si>
    <t>https://codeforces.com/problemset/problem/1263/C</t>
  </si>
  <si>
    <t>1375C</t>
  </si>
  <si>
    <t>Element Extermination</t>
  </si>
  <si>
    <t>https://codeforces.com/problemset/problem/1375/C</t>
  </si>
  <si>
    <t>1445A</t>
  </si>
  <si>
    <t>Array Rearrangment</t>
  </si>
  <si>
    <t>https://codeforces.com/problemset/problem/1445/A</t>
  </si>
  <si>
    <t>1462B</t>
  </si>
  <si>
    <t>Last Year's Substring</t>
  </si>
  <si>
    <t>dp, implementation, strings</t>
  </si>
  <si>
    <t>https://codeforces.com/problemset/problem/1462/B</t>
  </si>
  <si>
    <t>Pattern 10.2 — Parentheses</t>
  </si>
  <si>
    <t>5C</t>
  </si>
  <si>
    <t>Longest Regular Bracket Sequence</t>
  </si>
  <si>
    <t>constructive algorithms, data structures, dp, greedy, sortings, strings</t>
  </si>
  <si>
    <t>https://codeforces.com/problemset/problem/5/C</t>
  </si>
  <si>
    <t>26B</t>
  </si>
  <si>
    <t>Regular Bracket Sequence</t>
  </si>
  <si>
    <t>https://codeforces.com/problemset/problem/26/B</t>
  </si>
  <si>
    <t>380C</t>
  </si>
  <si>
    <t>Sereja and Brackets</t>
  </si>
  <si>
    <t>data structures, schedules</t>
  </si>
  <si>
    <t>https://codeforces.com/problemset/problem/380/C</t>
  </si>
  <si>
    <t>1095E</t>
  </si>
  <si>
    <t>Almost Regular Bracket Sequence</t>
  </si>
  <si>
    <t>https://codeforces.com/problemset/problem/1095/E</t>
  </si>
  <si>
    <t>1153C</t>
  </si>
  <si>
    <t>Serval and Parenthesis Sequence</t>
  </si>
  <si>
    <t>https://codeforces.com/problemset/problem/1153/C</t>
  </si>
  <si>
    <t>1305B</t>
  </si>
  <si>
    <t>Kuroni and Simple Strings</t>
  </si>
  <si>
    <t>constructive algorithms, greedy, strings, two pointers</t>
  </si>
  <si>
    <t>https://codeforces.com/problemset/problem/1305/B</t>
  </si>
  <si>
    <t>1452C</t>
  </si>
  <si>
    <t>Two Brackets</t>
  </si>
  <si>
    <t>https://codeforces.com/problemset/problem/1452/C</t>
  </si>
  <si>
    <t>1578H</t>
  </si>
  <si>
    <t>Higher Order Functions</t>
  </si>
  <si>
    <t>https://codeforces.com/problemset/problem/1578/H</t>
  </si>
  <si>
    <t>Pattern 10.3 — Monotonic Stack</t>
  </si>
  <si>
    <t>547B</t>
  </si>
  <si>
    <t>Mike and Feet</t>
  </si>
  <si>
    <t>binary search, data structures, dp, dsu</t>
  </si>
  <si>
    <t>https://codeforces.com/problemset/problem/547/B</t>
  </si>
  <si>
    <t>817D</t>
  </si>
  <si>
    <t>Imbalanced Array</t>
  </si>
  <si>
    <t>data structures, divide and conquer, dsu, sortings</t>
  </si>
  <si>
    <t>https://codeforces.com/problemset/problem/817/D</t>
  </si>
  <si>
    <t>920F</t>
  </si>
  <si>
    <t>SUM and REPLACE</t>
  </si>
  <si>
    <t>brute force, data structures, dsu, number theory</t>
  </si>
  <si>
    <t>https://codeforces.com/problemset/problem/920/F</t>
  </si>
  <si>
    <t>1156E</t>
  </si>
  <si>
    <t>Special Segments of Permutation</t>
  </si>
  <si>
    <t>data structures, divide and conquer, dsu, two pointers</t>
  </si>
  <si>
    <t>https://codeforces.com/problemset/problem/1156/E</t>
  </si>
  <si>
    <t>1237D</t>
  </si>
  <si>
    <t>Balanced Playlist</t>
  </si>
  <si>
    <t>https://codeforces.com/problemset/problem/1237/D</t>
  </si>
  <si>
    <t>1313C2</t>
  </si>
  <si>
    <t>Skyscrapers (hard version)</t>
  </si>
  <si>
    <t>data structures, dp, greedy</t>
  </si>
  <si>
    <t>https://codeforces.com/problemset/problem/1313/C2</t>
  </si>
  <si>
    <t>1503C</t>
  </si>
  <si>
    <t>Travelling Salesman Problem</t>
  </si>
  <si>
    <t>binary search, data structures, dp, greedy, shortest paths, sortings, two pointers</t>
  </si>
  <si>
    <t>https://codeforces.com/problemset/problem/1503/C</t>
  </si>
  <si>
    <t>1795E</t>
  </si>
  <si>
    <t>Explosions?</t>
  </si>
  <si>
    <t>binary search, data structures, dp, greedy, math</t>
  </si>
  <si>
    <t>https://codeforces.com/problemset/problem/1795/E</t>
  </si>
  <si>
    <t>Pattern 10.5 — Stack + Greedy</t>
  </si>
  <si>
    <t>1239D</t>
  </si>
  <si>
    <t>Catowice City</t>
  </si>
  <si>
    <t>2-sat, dfs and similar, graph matchings, graphs</t>
  </si>
  <si>
    <t>https://codeforces.com/problemset/problem/1239/D</t>
  </si>
  <si>
    <t>1381B</t>
  </si>
  <si>
    <t>Unmerge</t>
  </si>
  <si>
    <t>https://codeforces.com/problemset/problem/1381/B</t>
  </si>
  <si>
    <t>KINGDOM 11 — THE KINGDOM OF QUEUE &amp; DEQUE</t>
  </si>
  <si>
    <t>Pattern 11.1 — Queue Simulation</t>
  </si>
  <si>
    <t>1238B</t>
  </si>
  <si>
    <t>Kill `Em All</t>
  </si>
  <si>
    <t>https://codeforces.com/problemset/problem/1238/B</t>
  </si>
  <si>
    <t>939C</t>
  </si>
  <si>
    <t>Convenient For Everybody</t>
  </si>
  <si>
    <t>binary search, two pointers</t>
  </si>
  <si>
    <t>https://codeforces.com/problemset/problem/939/C</t>
  </si>
  <si>
    <t>920A</t>
  </si>
  <si>
    <t>Water The Garden</t>
  </si>
  <si>
    <t>https://codeforces.com/problemset/problem/920/A</t>
  </si>
  <si>
    <t>978D</t>
  </si>
  <si>
    <t>Almost Arithmetic Progression</t>
  </si>
  <si>
    <t>https://codeforces.com/problemset/problem/978/D</t>
  </si>
  <si>
    <t>1015C</t>
  </si>
  <si>
    <t>Songs Compression</t>
  </si>
  <si>
    <t>https://codeforces.com/problemset/problem/1015/C</t>
  </si>
  <si>
    <t>1104B</t>
  </si>
  <si>
    <t>Game with string</t>
  </si>
  <si>
    <t>data structures, implementation, math</t>
  </si>
  <si>
    <t>https://codeforces.com/problemset/problem/1104/B</t>
  </si>
  <si>
    <t>1195B</t>
  </si>
  <si>
    <t>Sport Mafia</t>
  </si>
  <si>
    <t>binary search, brute force, math</t>
  </si>
  <si>
    <t>https://codeforces.com/problemset/problem/1195/B</t>
  </si>
  <si>
    <t>1287A</t>
  </si>
  <si>
    <t>Angry Students</t>
  </si>
  <si>
    <t>https://codeforces.com/problemset/problem/1287/A</t>
  </si>
  <si>
    <t>1367B</t>
  </si>
  <si>
    <t>Even Array</t>
  </si>
  <si>
    <t>https://codeforces.com/problemset/problem/1367/B</t>
  </si>
  <si>
    <t>1511A</t>
  </si>
  <si>
    <t>Review Site</t>
  </si>
  <si>
    <t>https://codeforces.com/problemset/problem/1511/A</t>
  </si>
  <si>
    <t>Pattern 11.2 — Deque</t>
  </si>
  <si>
    <t>1294D</t>
  </si>
  <si>
    <t>MEX maximizing</t>
  </si>
  <si>
    <t>data structures, greedy, implementation, math</t>
  </si>
  <si>
    <t>https://codeforces.com/problemset/problem/1294/D</t>
  </si>
  <si>
    <t>1353E</t>
  </si>
  <si>
    <t>K-periodic Garland</t>
  </si>
  <si>
    <t>brute force, dp, greedy</t>
  </si>
  <si>
    <t>https://codeforces.com/problemset/problem/1353/E</t>
  </si>
  <si>
    <t>1393C</t>
  </si>
  <si>
    <t>Pinkie Pie Eats Patty-cakes</t>
  </si>
  <si>
    <t>constructive algorithms, greedy, math, sortings</t>
  </si>
  <si>
    <t>https://codeforces.com/problemset/problem/1393/C</t>
  </si>
  <si>
    <t>1438B</t>
  </si>
  <si>
    <t>Valerii Against Everyone</t>
  </si>
  <si>
    <t>constructive algorithms, data structures, greedy, sortings</t>
  </si>
  <si>
    <t>https://codeforces.com/problemset/problem/1438/B</t>
  </si>
  <si>
    <t>1469C</t>
  </si>
  <si>
    <t>Building a Fence</t>
  </si>
  <si>
    <t>dp, greedy, implementation, two pointers</t>
  </si>
  <si>
    <t>https://codeforces.com/problemset/problem/1469/C</t>
  </si>
  <si>
    <t>1512C</t>
  </si>
  <si>
    <t>A-B Palindrome</t>
  </si>
  <si>
    <t>constructive algorithms, implementation, strings</t>
  </si>
  <si>
    <t>https://codeforces.com/problemset/problem/1512/C</t>
  </si>
  <si>
    <t>1547D</t>
  </si>
  <si>
    <t>Co-growing Sequence</t>
  </si>
  <si>
    <t>bitmasks, constructive algorithms, greedy</t>
  </si>
  <si>
    <t>https://codeforces.com/problemset/problem/1547/D</t>
  </si>
  <si>
    <t>1574D</t>
  </si>
  <si>
    <t>The Strongest Build</t>
  </si>
  <si>
    <t>binary search, brute force, data structures, dfs and similar, graphs, greedy, hashing, implementation</t>
  </si>
  <si>
    <t>https://codeforces.com/problemset/problem/1574/D</t>
  </si>
  <si>
    <t>Pattern 11.3 — Monotonic Queue</t>
  </si>
  <si>
    <t>372C</t>
  </si>
  <si>
    <t>Watching Fireworks is Fun</t>
  </si>
  <si>
    <t>data structures, dp, math</t>
  </si>
  <si>
    <t>https://codeforces.com/problemset/problem/372/C</t>
  </si>
  <si>
    <t>445A</t>
  </si>
  <si>
    <t>DZY Loves Chessboard</t>
  </si>
  <si>
    <t>dfs and similar, implementation</t>
  </si>
  <si>
    <t>https://codeforces.com/problemset/problem/445/A</t>
  </si>
  <si>
    <t>939F</t>
  </si>
  <si>
    <t>Cutlet</t>
  </si>
  <si>
    <t>https://codeforces.com/problemset/problem/939/F</t>
  </si>
  <si>
    <t>1077F1</t>
  </si>
  <si>
    <t>F1</t>
  </si>
  <si>
    <t>Pictures with Kittens (easy version)</t>
  </si>
  <si>
    <t>https://codeforces.com/problemset/problem/1077/F1</t>
  </si>
  <si>
    <t>1077F2</t>
  </si>
  <si>
    <t>F2</t>
  </si>
  <si>
    <t>Pictures with Kittens (hard version)</t>
  </si>
  <si>
    <t>https://codeforces.com/problemset/problem/1077/F2</t>
  </si>
  <si>
    <t>1485C</t>
  </si>
  <si>
    <t>Floor and Mod</t>
  </si>
  <si>
    <t>binary search, brute force, math, number theory</t>
  </si>
  <si>
    <t>https://codeforces.com/problemset/problem/1485/C</t>
  </si>
  <si>
    <t>Pattern 11.4 — Queue + BFS Style</t>
  </si>
  <si>
    <t>796D</t>
  </si>
  <si>
    <t>Police Stations</t>
  </si>
  <si>
    <t>constructive algorithms, dfs and similar, dp, graphs, shortest paths, trees</t>
  </si>
  <si>
    <t>https://codeforces.com/problemset/problem/796/D</t>
  </si>
  <si>
    <t>877D</t>
  </si>
  <si>
    <t>Olya and Energy Drinks</t>
  </si>
  <si>
    <t>data structures, dfs and similar, graphs, shortest paths</t>
  </si>
  <si>
    <t>https://codeforces.com/problemset/problem/877/D</t>
  </si>
  <si>
    <t>986A</t>
  </si>
  <si>
    <t>Fair</t>
  </si>
  <si>
    <t>graphs, greedy, number theory, shortest paths</t>
  </si>
  <si>
    <t>https://codeforces.com/problemset/problem/986/A</t>
  </si>
  <si>
    <t>1272E</t>
  </si>
  <si>
    <t>Nearest Opposite Parity</t>
  </si>
  <si>
    <t>dfs and similar, graphs, shortest paths</t>
  </si>
  <si>
    <t>https://codeforces.com/problemset/problem/1272/E</t>
  </si>
  <si>
    <t>1294F</t>
  </si>
  <si>
    <t>Three Paths on a Tree</t>
  </si>
  <si>
    <t>dfs and similar, dp, greedy, trees</t>
  </si>
  <si>
    <t>https://codeforces.com/problemset/problem/1294/F</t>
  </si>
  <si>
    <t>1344B</t>
  </si>
  <si>
    <t>Monopole Magnets</t>
  </si>
  <si>
    <t>constructive algorithms, dfs and similar, dsu, graphs</t>
  </si>
  <si>
    <t>https://codeforces.com/problemset/problem/1344/B</t>
  </si>
  <si>
    <t>1486E</t>
  </si>
  <si>
    <t>Paired Payment</t>
  </si>
  <si>
    <t>binary search, brute force, constructive algorithms, dp, flows, graphs, shortest paths</t>
  </si>
  <si>
    <t>https://codeforces.com/problemset/problem/1486/E</t>
  </si>
  <si>
    <t>KINGDOM 12 — THE KINGDOM OF LINKED LIST &amp; SIMULATION</t>
  </si>
  <si>
    <t>Pattern 12.1 — Simple Simulation</t>
  </si>
  <si>
    <t>722C</t>
  </si>
  <si>
    <t>Destroying Array</t>
  </si>
  <si>
    <t>data structures, dsu</t>
  </si>
  <si>
    <t>https://codeforces.com/problemset/problem/722/C</t>
  </si>
  <si>
    <t>863D</t>
  </si>
  <si>
    <t>Yet Another Array Queries Problem</t>
  </si>
  <si>
    <t>https://codeforces.com/problemset/problem/863/D</t>
  </si>
  <si>
    <t>1008B</t>
  </si>
  <si>
    <t>Turn the Rectangles</t>
  </si>
  <si>
    <t>https://codeforces.com/problemset/problem/1008/B</t>
  </si>
  <si>
    <t>1196A</t>
  </si>
  <si>
    <t>Three Piles of Candies</t>
  </si>
  <si>
    <t>brute force, constructive algorithms, math</t>
  </si>
  <si>
    <t>https://codeforces.com/problemset/problem/1196/A</t>
  </si>
  <si>
    <t>1234B1</t>
  </si>
  <si>
    <t>B1</t>
  </si>
  <si>
    <t>Social Network (easy version)</t>
  </si>
  <si>
    <t>https://codeforces.com/problemset/problem/1234/B1</t>
  </si>
  <si>
    <t>1234B2</t>
  </si>
  <si>
    <t>Social Network (hard version)</t>
  </si>
  <si>
    <t>https://codeforces.com/problemset/problem/1234/B2</t>
  </si>
  <si>
    <t>1293A</t>
  </si>
  <si>
    <t>ConneR and the A.R.C. Markland-N</t>
  </si>
  <si>
    <t>binary search, brute force, implementation</t>
  </si>
  <si>
    <t>https://codeforces.com/problemset/problem/1293/A</t>
  </si>
  <si>
    <t>1360C</t>
  </si>
  <si>
    <t>Similar Pairs</t>
  </si>
  <si>
    <t>constructive algorithms, graph matchings, greedy, sortings</t>
  </si>
  <si>
    <t>https://codeforces.com/problemset/problem/1360/C</t>
  </si>
  <si>
    <t>1409B</t>
  </si>
  <si>
    <t>Minimum Product</t>
  </si>
  <si>
    <t>https://codeforces.com/problemset/problem/1409/B</t>
  </si>
  <si>
    <t>1512B</t>
  </si>
  <si>
    <t>Almost Rectangle</t>
  </si>
  <si>
    <t>https://codeforces.com/problemset/problem/1512/B</t>
  </si>
  <si>
    <t>Pattern 12.2 — Circular Simulation</t>
  </si>
  <si>
    <t>659D</t>
  </si>
  <si>
    <t>Bicycle Race</t>
  </si>
  <si>
    <t>geometry, implementation, math</t>
  </si>
  <si>
    <t>https://codeforces.com/problemset/problem/659/D</t>
  </si>
  <si>
    <t>975C</t>
  </si>
  <si>
    <t>Valhalla Siege</t>
  </si>
  <si>
    <t>https://codeforces.com/problemset/problem/975/C</t>
  </si>
  <si>
    <t>1237C1</t>
  </si>
  <si>
    <t>Balanced Removals (Easier)</t>
  </si>
  <si>
    <t>constructive algorithms, geometry, greedy</t>
  </si>
  <si>
    <t>https://codeforces.com/problemset/problem/1237/C1</t>
  </si>
  <si>
    <t>1237C2</t>
  </si>
  <si>
    <t>Balanced Removals (Harder)</t>
  </si>
  <si>
    <t>binary search, constructive algorithms, divide and conquer, greedy, implementation, sortings</t>
  </si>
  <si>
    <t>https://codeforces.com/problemset/problem/1237/C2</t>
  </si>
  <si>
    <t>1352D</t>
  </si>
  <si>
    <t>Alice, Bob and Candies</t>
  </si>
  <si>
    <t>https://codeforces.com/problemset/problem/1352/D</t>
  </si>
  <si>
    <t>1382B</t>
  </si>
  <si>
    <t>Sequential Nim</t>
  </si>
  <si>
    <t>dp, games</t>
  </si>
  <si>
    <t>https://codeforces.com/problemset/problem/1382/B</t>
  </si>
  <si>
    <t>1468K</t>
  </si>
  <si>
    <t>K</t>
  </si>
  <si>
    <t>The Robot</t>
  </si>
  <si>
    <t>https://codeforces.com/problemset/problem/1468/K</t>
  </si>
  <si>
    <t>1487B</t>
  </si>
  <si>
    <t>Cat Cycle</t>
  </si>
  <si>
    <t>https://codeforces.com/problemset/problem/1487/B</t>
  </si>
  <si>
    <t>1525B</t>
  </si>
  <si>
    <t>Permutation Sort</t>
  </si>
  <si>
    <t>https://codeforces.com/problemset/problem/1525/B</t>
  </si>
  <si>
    <t>Pattern 12.3 — Simulation with Data Structures</t>
  </si>
  <si>
    <t>1299C</t>
  </si>
  <si>
    <t>Water Balance</t>
  </si>
  <si>
    <t>data structures, geometry, greedy</t>
  </si>
  <si>
    <t>https://codeforces.com/problemset/problem/1299/C</t>
  </si>
  <si>
    <t>Pattern 12.4 — Ordered Set Simulation</t>
  </si>
  <si>
    <t>61E</t>
  </si>
  <si>
    <t>Enemy is weak</t>
  </si>
  <si>
    <t>data structures, trees</t>
  </si>
  <si>
    <t>https://codeforces.com/problemset/problem/61/E</t>
  </si>
  <si>
    <t>220B</t>
  </si>
  <si>
    <t>Little Elephant and Array</t>
  </si>
  <si>
    <t>constructive algorithms, data structures</t>
  </si>
  <si>
    <t>https://codeforces.com/problemset/problem/220/B</t>
  </si>
  <si>
    <t>652D</t>
  </si>
  <si>
    <t>Nested Segments</t>
  </si>
  <si>
    <t>data structures, sortings</t>
  </si>
  <si>
    <t>https://codeforces.com/problemset/problem/652/D</t>
  </si>
  <si>
    <t>847E</t>
  </si>
  <si>
    <t>Packmen</t>
  </si>
  <si>
    <t>binary search, dp</t>
  </si>
  <si>
    <t>https://codeforces.com/problemset/problem/847/E</t>
  </si>
  <si>
    <t>1354D</t>
  </si>
  <si>
    <t>Multiset</t>
  </si>
  <si>
    <t>https://codeforces.com/problemset/problem/1354/D</t>
  </si>
  <si>
    <t>1430F</t>
  </si>
  <si>
    <t>Realistic Gameplay</t>
  </si>
  <si>
    <t>https://codeforces.com/problemset/problem/1430/F</t>
  </si>
  <si>
    <t>1579E1</t>
  </si>
  <si>
    <t>Permutation Minimization by Deque</t>
  </si>
  <si>
    <t>https://codeforces.com/problemset/problem/1579/E1</t>
  </si>
  <si>
    <t>1579E2</t>
  </si>
  <si>
    <t>Array Optimization by Deque</t>
  </si>
  <si>
    <t>https://codeforces.com/problemset/problem/1579/E2</t>
  </si>
  <si>
    <t>KINGDOM 13 — THE KINGDOM OF TREES</t>
  </si>
  <si>
    <t>Pattern 13.1 — Basic Tree DFS</t>
  </si>
  <si>
    <t>219D</t>
  </si>
  <si>
    <t>Choosing Capital for Treeland</t>
  </si>
  <si>
    <t>dfs and similar, dp, graphs, trees</t>
  </si>
  <si>
    <t>https://codeforces.com/problemset/problem/219/D</t>
  </si>
  <si>
    <t>337A</t>
  </si>
  <si>
    <t>Puzzles</t>
  </si>
  <si>
    <t>https://codeforces.com/problemset/problem/337/A</t>
  </si>
  <si>
    <t>337D</t>
  </si>
  <si>
    <t>Book of Evil</t>
  </si>
  <si>
    <t>dfs and similar, divide and conquer, dp, trees</t>
  </si>
  <si>
    <t>https://codeforces.com/problemset/problem/337/D</t>
  </si>
  <si>
    <t>545C</t>
  </si>
  <si>
    <t>Woodcutters</t>
  </si>
  <si>
    <t>https://codeforces.com/problemset/problem/545/C</t>
  </si>
  <si>
    <t>763A</t>
  </si>
  <si>
    <t>Timofey and a tree</t>
  </si>
  <si>
    <t>dfs and similar, dp, dsu, graphs, implementation, trees</t>
  </si>
  <si>
    <t>https://codeforces.com/problemset/problem/763/A</t>
  </si>
  <si>
    <t>893C</t>
  </si>
  <si>
    <t>Rumor</t>
  </si>
  <si>
    <t>dfs and similar, graphs, greedy</t>
  </si>
  <si>
    <t>https://codeforces.com/problemset/problem/893/C</t>
  </si>
  <si>
    <t>920E</t>
  </si>
  <si>
    <t>Connected Components?</t>
  </si>
  <si>
    <t>data structures, dfs and similar, dsu, graphs</t>
  </si>
  <si>
    <t>https://codeforces.com/problemset/problem/920/E</t>
  </si>
  <si>
    <t>987D</t>
  </si>
  <si>
    <t>https://codeforces.com/problemset/problem/987/D</t>
  </si>
  <si>
    <t>1029E</t>
  </si>
  <si>
    <t>Tree with Small Distances</t>
  </si>
  <si>
    <t>dp, graphs, greedy</t>
  </si>
  <si>
    <t>https://codeforces.com/problemset/problem/1029/E</t>
  </si>
  <si>
    <t>1118F1</t>
  </si>
  <si>
    <t>Tree Cutting (Easy Version)</t>
  </si>
  <si>
    <t>https://codeforces.com/problemset/problem/1118/F1</t>
  </si>
  <si>
    <t>1139C</t>
  </si>
  <si>
    <t>Edgy Trees</t>
  </si>
  <si>
    <t>dfs and similar, dsu, graphs, math, trees</t>
  </si>
  <si>
    <t>https://codeforces.com/problemset/problem/1139/C</t>
  </si>
  <si>
    <t>1187E</t>
  </si>
  <si>
    <t>Tree Painting</t>
  </si>
  <si>
    <t>dfs and similar, dp, trees</t>
  </si>
  <si>
    <t>https://codeforces.com/problemset/problem/1187/E</t>
  </si>
  <si>
    <t>Pattern 13.2 — Tree Traversal</t>
  </si>
  <si>
    <t>682C</t>
  </si>
  <si>
    <t>Alyona and the Tree</t>
  </si>
  <si>
    <t>https://codeforces.com/problemset/problem/682/C</t>
  </si>
  <si>
    <t>734E</t>
  </si>
  <si>
    <t>Anton and Tree</t>
  </si>
  <si>
    <t>https://codeforces.com/problemset/problem/734/E</t>
  </si>
  <si>
    <t>980E</t>
  </si>
  <si>
    <t>The Number Games</t>
  </si>
  <si>
    <t>data structures, greedy, trees</t>
  </si>
  <si>
    <t>https://codeforces.com/problemset/problem/980/E</t>
  </si>
  <si>
    <t>1286B</t>
  </si>
  <si>
    <t>Numbers on Tree</t>
  </si>
  <si>
    <t>constructive algorithms, data structures, dfs and similar, graphs, greedy, trees</t>
  </si>
  <si>
    <t>https://codeforces.com/problemset/problem/1286/B</t>
  </si>
  <si>
    <t>1328E</t>
  </si>
  <si>
    <t>Tree Queries</t>
  </si>
  <si>
    <t>https://codeforces.com/problemset/problem/1328/E</t>
  </si>
  <si>
    <t>1363E</t>
  </si>
  <si>
    <t>Tree Shuffling</t>
  </si>
  <si>
    <t>https://codeforces.com/problemset/problem/1363/E</t>
  </si>
  <si>
    <t>1385F</t>
  </si>
  <si>
    <t>Removing Leaves</t>
  </si>
  <si>
    <t>data structures, greedy, implementation, trees</t>
  </si>
  <si>
    <t>https://codeforces.com/problemset/problem/1385/F</t>
  </si>
  <si>
    <t>Pattern 13.3 — Tree DP</t>
  </si>
  <si>
    <t>274B</t>
  </si>
  <si>
    <t>Zero Tree</t>
  </si>
  <si>
    <t>https://codeforces.com/problemset/problem/274/B</t>
  </si>
  <si>
    <t>543D</t>
  </si>
  <si>
    <t>Road Improvement</t>
  </si>
  <si>
    <t>dp, trees</t>
  </si>
  <si>
    <t>https://codeforces.com/problemset/problem/543/D</t>
  </si>
  <si>
    <t>960E</t>
  </si>
  <si>
    <t>Alternating Tree</t>
  </si>
  <si>
    <t>combinatorics, dfs and similar, divide and conquer, dp, probabilities, trees</t>
  </si>
  <si>
    <t>https://codeforces.com/problemset/problem/960/E</t>
  </si>
  <si>
    <t>1099F</t>
  </si>
  <si>
    <t>Cookies</t>
  </si>
  <si>
    <t>binary search, data structures, dfs and similar, dp, games, trees</t>
  </si>
  <si>
    <t>https://codeforces.com/problemset/problem/1099/F</t>
  </si>
  <si>
    <t>1118F2</t>
  </si>
  <si>
    <t>Tree Cutting (Hard Version)</t>
  </si>
  <si>
    <t>combinatorics, dfs and similar, dp, trees</t>
  </si>
  <si>
    <t>https://codeforces.com/problemset/problem/1118/F2</t>
  </si>
  <si>
    <t>1131F</t>
  </si>
  <si>
    <t>Asya And Kittens</t>
  </si>
  <si>
    <t>constructive algorithms, dsu</t>
  </si>
  <si>
    <t>https://codeforces.com/problemset/problem/1131/F</t>
  </si>
  <si>
    <t>1280C</t>
  </si>
  <si>
    <t>Jeremy Bearimy</t>
  </si>
  <si>
    <t>dfs and similar, graphs, greedy, trees</t>
  </si>
  <si>
    <t>https://codeforces.com/problemset/problem/1280/C</t>
  </si>
  <si>
    <t>1324F</t>
  </si>
  <si>
    <t>Maximum White Subtree</t>
  </si>
  <si>
    <t>https://codeforces.com/problemset/problem/1324/F</t>
  </si>
  <si>
    <t>1528A</t>
  </si>
  <si>
    <t>Parsa's Humongous Tree</t>
  </si>
  <si>
    <t>dfs and similar, divide and conquer, dp, greedy, trees</t>
  </si>
  <si>
    <t>https://codeforces.com/problemset/problem/1528/A</t>
  </si>
  <si>
    <t>1593E</t>
  </si>
  <si>
    <t>Gardener and Tree</t>
  </si>
  <si>
    <t>brute force, data structures, dfs and similar, greedy, implementation, trees</t>
  </si>
  <si>
    <t>https://codeforces.com/problemset/problem/1593/E</t>
  </si>
  <si>
    <t>Pattern 13.4 — Binary Lifting (LCA)</t>
  </si>
  <si>
    <t>208E</t>
  </si>
  <si>
    <t>Blood Cousins</t>
  </si>
  <si>
    <t>binary search, data structures, dfs and similar, trees</t>
  </si>
  <si>
    <t>https://codeforces.com/problemset/problem/208/E</t>
  </si>
  <si>
    <t>519E</t>
  </si>
  <si>
    <t>A and B and Lecture Rooms</t>
  </si>
  <si>
    <t>binary search, data structures, dfs and similar, dp, trees</t>
  </si>
  <si>
    <t>https://codeforces.com/problemset/problem/519/E</t>
  </si>
  <si>
    <t>587C</t>
  </si>
  <si>
    <t>Duff in the Army</t>
  </si>
  <si>
    <t>https://codeforces.com/problemset/problem/587/C</t>
  </si>
  <si>
    <t>609E</t>
  </si>
  <si>
    <t>Minimum spanning tree for each edge</t>
  </si>
  <si>
    <t>data structures, dfs and similar, dsu, graphs, trees</t>
  </si>
  <si>
    <t>https://codeforces.com/problemset/problem/609/E</t>
  </si>
  <si>
    <t>832D</t>
  </si>
  <si>
    <t>Misha, Grisha and Underground</t>
  </si>
  <si>
    <t>https://codeforces.com/problemset/problem/832/D</t>
  </si>
  <si>
    <t>916E</t>
  </si>
  <si>
    <t>Jamie and Tree</t>
  </si>
  <si>
    <t>https://codeforces.com/problemset/problem/916/E</t>
  </si>
  <si>
    <t>1304E</t>
  </si>
  <si>
    <t>1-Trees and Queries</t>
  </si>
  <si>
    <t>data structures, dfs and similar, shortest paths, trees</t>
  </si>
  <si>
    <t>https://codeforces.com/problemset/problem/1304/E</t>
  </si>
  <si>
    <t>1702G1</t>
  </si>
  <si>
    <t>G1</t>
  </si>
  <si>
    <t>Passable Paths (easy version)</t>
  </si>
  <si>
    <t>https://codeforces.com/problemset/problem/1702/G1</t>
  </si>
  <si>
    <t>1702G2</t>
  </si>
  <si>
    <t>G2</t>
  </si>
  <si>
    <t>Passable Paths (hard version)</t>
  </si>
  <si>
    <t>data structures, dfs and similar, trees</t>
  </si>
  <si>
    <t>https://codeforces.com/problemset/problem/1702/G2</t>
  </si>
  <si>
    <t>Pattern 13.5 — Rerooting DP</t>
  </si>
  <si>
    <t>1092F</t>
  </si>
  <si>
    <t>Tree with Maximum Cost</t>
  </si>
  <si>
    <t>https://codeforces.com/problemset/problem/1092/F</t>
  </si>
  <si>
    <t>1388C</t>
  </si>
  <si>
    <t>Uncle Bogdan and Country Happiness</t>
  </si>
  <si>
    <t>dfs and similar, greedy, math, trees</t>
  </si>
  <si>
    <t>https://codeforces.com/problemset/problem/1388/C</t>
  </si>
  <si>
    <t>1485E</t>
  </si>
  <si>
    <t>Move and Swap</t>
  </si>
  <si>
    <t>https://codeforces.com/problemset/problem/1485/E</t>
  </si>
  <si>
    <t>Pattern 13.6 — Euler Tour</t>
  </si>
  <si>
    <t>570D</t>
  </si>
  <si>
    <t>Tree Requests</t>
  </si>
  <si>
    <t>binary search, bitmasks, constructive algorithms, dfs and similar, graphs, trees</t>
  </si>
  <si>
    <t>https://codeforces.com/problemset/problem/570/D</t>
  </si>
  <si>
    <t>620E</t>
  </si>
  <si>
    <t>New Year Tree</t>
  </si>
  <si>
    <t>https://codeforces.com/problemset/problem/620/E</t>
  </si>
  <si>
    <t>877E</t>
  </si>
  <si>
    <t>Danil and a Part-time Job</t>
  </si>
  <si>
    <t>https://codeforces.com/problemset/problem/877/E</t>
  </si>
  <si>
    <t>1000E</t>
  </si>
  <si>
    <t>We Need More Bosses</t>
  </si>
  <si>
    <t>https://codeforces.com/problemset/problem/1000/E</t>
  </si>
  <si>
    <t>1110F</t>
  </si>
  <si>
    <t>Nearest Leaf</t>
  </si>
  <si>
    <t>https://codeforces.com/problemset/problem/1110/F</t>
  </si>
  <si>
    <t>KINGDOM 14 — THE KINGDOM OF GRAPH TRAVERSAL (DFS &amp; BFS)</t>
  </si>
  <si>
    <t>Pattern 14.1 — Connected Components</t>
  </si>
  <si>
    <t>217A</t>
  </si>
  <si>
    <t>Ice Skating</t>
  </si>
  <si>
    <t>brute force, dfs and similar, dsu, graphs</t>
  </si>
  <si>
    <t>https://codeforces.com/problemset/problem/217/A</t>
  </si>
  <si>
    <t>445B</t>
  </si>
  <si>
    <t>DZY Loves Chemistry</t>
  </si>
  <si>
    <t>dfs and similar, dsu, greedy</t>
  </si>
  <si>
    <t>https://codeforces.com/problemset/problem/445/B</t>
  </si>
  <si>
    <t>510B</t>
  </si>
  <si>
    <t>Fox And Two Dots</t>
  </si>
  <si>
    <t>dfs and similar</t>
  </si>
  <si>
    <t>https://codeforces.com/problemset/problem/510/B</t>
  </si>
  <si>
    <t>659E</t>
  </si>
  <si>
    <t>New Reform</t>
  </si>
  <si>
    <t>data structures, dfs and similar, dsu, graphs, greedy</t>
  </si>
  <si>
    <t>https://codeforces.com/problemset/problem/659/E</t>
  </si>
  <si>
    <t>755C</t>
  </si>
  <si>
    <t>PolandBall and Forest</t>
  </si>
  <si>
    <t>dfs and similar, dsu, graphs, interactive, trees</t>
  </si>
  <si>
    <t>https://codeforces.com/problemset/problem/755/C</t>
  </si>
  <si>
    <t>999E</t>
  </si>
  <si>
    <t>Reachability from the Capital</t>
  </si>
  <si>
    <t>https://codeforces.com/problemset/problem/999/E</t>
  </si>
  <si>
    <t>103B</t>
  </si>
  <si>
    <t>Cthulhu</t>
  </si>
  <si>
    <t>dfs and similar, dsu, graphs</t>
  </si>
  <si>
    <t>https://codeforces.com/problemset/problem/103/B</t>
  </si>
  <si>
    <t>1243D</t>
  </si>
  <si>
    <t>https://codeforces.com/problemset/problem/1243/D</t>
  </si>
  <si>
    <t>Pattern 14.2 — DFS</t>
  </si>
  <si>
    <t>1027D</t>
  </si>
  <si>
    <t>Mouse Hunt</t>
  </si>
  <si>
    <t>https://codeforces.com/problemset/problem/1027/D</t>
  </si>
  <si>
    <t>1481D</t>
  </si>
  <si>
    <t>AB Graph</t>
  </si>
  <si>
    <t>brute force, constructive algorithms, graphs, greedy, implementation</t>
  </si>
  <si>
    <t>https://codeforces.com/problemset/problem/1481/D</t>
  </si>
  <si>
    <t>Pattern 14.4 — Topological Sort</t>
  </si>
  <si>
    <t>510C</t>
  </si>
  <si>
    <t>Fox And Names</t>
  </si>
  <si>
    <t>dfs and similar, graphs, sortings</t>
  </si>
  <si>
    <t>https://codeforces.com/problemset/problem/510/C</t>
  </si>
  <si>
    <t>769C</t>
  </si>
  <si>
    <t>Cycle In Maze</t>
  </si>
  <si>
    <t>*special, dfs and similar, graphs, greedy, shortest paths</t>
  </si>
  <si>
    <t>https://codeforces.com/problemset/problem/769/C</t>
  </si>
  <si>
    <t>915D</t>
  </si>
  <si>
    <t>Almost Acyclic Graph</t>
  </si>
  <si>
    <t>https://codeforces.com/problemset/problem/915/D</t>
  </si>
  <si>
    <t>1037D</t>
  </si>
  <si>
    <t>Valid BFS?</t>
  </si>
  <si>
    <t>dfs and similar, graphs, shortest paths, trees</t>
  </si>
  <si>
    <t>https://codeforces.com/problemset/problem/1037/D</t>
  </si>
  <si>
    <t>1063B</t>
  </si>
  <si>
    <t>Labyrinth</t>
  </si>
  <si>
    <t>graphs, shortest paths</t>
  </si>
  <si>
    <t>https://codeforces.com/problemset/problem/1063/B</t>
  </si>
  <si>
    <t>1100E</t>
  </si>
  <si>
    <t>Andrew and Taxi</t>
  </si>
  <si>
    <t>binary search, dfs and similar, graphs</t>
  </si>
  <si>
    <t>https://codeforces.com/problemset/problem/1100/E</t>
  </si>
  <si>
    <t>1385E</t>
  </si>
  <si>
    <t>Directing Edges</t>
  </si>
  <si>
    <t>constructive algorithms, dfs and similar, graphs</t>
  </si>
  <si>
    <t>https://codeforces.com/problemset/problem/1385/E</t>
  </si>
  <si>
    <t>Pattern 14.5 — Cycle Detection</t>
  </si>
  <si>
    <t>1364D</t>
  </si>
  <si>
    <t>Ehab's Last Corollary</t>
  </si>
  <si>
    <t>constructive algorithms, dfs and similar, graphs, greedy, implementation, trees</t>
  </si>
  <si>
    <t>https://codeforces.com/problemset/problem/1364/D</t>
  </si>
  <si>
    <t>1679D</t>
  </si>
  <si>
    <t>Toss a Coin to Your Graph...</t>
  </si>
  <si>
    <t>binary search, dfs and similar, dp, graphs</t>
  </si>
  <si>
    <t>https://codeforces.com/problemset/problem/1679/D</t>
  </si>
  <si>
    <t>Pattern 14.6 — Bipartite Graph</t>
  </si>
  <si>
    <t>687A</t>
  </si>
  <si>
    <t>NP-Hard Problem</t>
  </si>
  <si>
    <t>https://codeforces.com/problemset/problem/687/A</t>
  </si>
  <si>
    <t>741C</t>
  </si>
  <si>
    <t>Arpa’s overnight party and Mehrdad’s silent entering</t>
  </si>
  <si>
    <t>https://codeforces.com/problemset/problem/741/C</t>
  </si>
  <si>
    <t>1144F</t>
  </si>
  <si>
    <t>Graph Without Long Directed Paths</t>
  </si>
  <si>
    <t>https://codeforces.com/problemset/problem/1144/F</t>
  </si>
  <si>
    <t>1354E</t>
  </si>
  <si>
    <t>Graph Coloring</t>
  </si>
  <si>
    <t>dfs and similar, dp, graphs</t>
  </si>
  <si>
    <t>https://codeforces.com/problemset/problem/1354/E</t>
  </si>
  <si>
    <t>1702E</t>
  </si>
  <si>
    <t>Split Into Two Sets</t>
  </si>
  <si>
    <t>https://codeforces.com/problemset/problem/1702/E</t>
  </si>
  <si>
    <t>KINGDOM 15 — THE KINGDOM OF SHORTEST PATHS</t>
  </si>
  <si>
    <t>Pattern 15.1 — Standard Dijkstra</t>
  </si>
  <si>
    <t>20C</t>
  </si>
  <si>
    <t>Dijkstra?</t>
  </si>
  <si>
    <t>https://codeforces.com/problemset/problem/20/C</t>
  </si>
  <si>
    <t>229B</t>
  </si>
  <si>
    <t>Planets</t>
  </si>
  <si>
    <t>binary search, data structures, graphs, shortest paths</t>
  </si>
  <si>
    <t>https://codeforces.com/problemset/problem/229/B</t>
  </si>
  <si>
    <t>449B</t>
  </si>
  <si>
    <t>Jzzhu and Cities</t>
  </si>
  <si>
    <t>https://codeforces.com/problemset/problem/449/B</t>
  </si>
  <si>
    <t>545E</t>
  </si>
  <si>
    <t>Paths and Trees</t>
  </si>
  <si>
    <t>https://codeforces.com/problemset/problem/545/E</t>
  </si>
  <si>
    <t>938D</t>
  </si>
  <si>
    <t>Buy a Ticket</t>
  </si>
  <si>
    <t>data structures, graphs, shortest paths</t>
  </si>
  <si>
    <t>https://codeforces.com/problemset/problem/938/D</t>
  </si>
  <si>
    <t>1076D</t>
  </si>
  <si>
    <t>Edge Deletion</t>
  </si>
  <si>
    <t>https://codeforces.com/problemset/problem/1076/D</t>
  </si>
  <si>
    <t>1422D</t>
  </si>
  <si>
    <t>Returning Home</t>
  </si>
  <si>
    <t>graphs, shortest paths, sortings</t>
  </si>
  <si>
    <t>https://codeforces.com/problemset/problem/1422/D</t>
  </si>
  <si>
    <t>Pattern 15.3 — 0-1 BFS</t>
  </si>
  <si>
    <t>1433G</t>
  </si>
  <si>
    <t>Reducing Delivery Cost</t>
  </si>
  <si>
    <t>brute force, graphs, shortest paths</t>
  </si>
  <si>
    <t>https://codeforces.com/problemset/problem/1433/G</t>
  </si>
  <si>
    <t>1705E</t>
  </si>
  <si>
    <t>Mark and Professor Koro</t>
  </si>
  <si>
    <t>binary search, bitmasks, brute force, combinatorics, data structures, greedy</t>
  </si>
  <si>
    <t>https://codeforces.com/problemset/problem/1705/E</t>
  </si>
  <si>
    <t>Pattern 15.4 — Bellman-Ford / Negative Edges</t>
  </si>
  <si>
    <t>59E</t>
  </si>
  <si>
    <t>Shortest Path</t>
  </si>
  <si>
    <t>https://codeforces.com/problemset/problem/59/E</t>
  </si>
  <si>
    <t>567E</t>
  </si>
  <si>
    <t>President and Roads</t>
  </si>
  <si>
    <t>dfs and similar, graphs, hashing, shortest paths</t>
  </si>
  <si>
    <t>https://codeforces.com/problemset/problem/567/E</t>
  </si>
  <si>
    <t>1074D</t>
  </si>
  <si>
    <t>https://codeforces.com/problemset/problem/1074/D</t>
  </si>
  <si>
    <t>1209F</t>
  </si>
  <si>
    <t>Koala and Notebook</t>
  </si>
  <si>
    <t>data structures, dfs and similar, graphs, shortest paths, strings, trees</t>
  </si>
  <si>
    <t>https://codeforces.com/problemset/problem/1209/F</t>
  </si>
  <si>
    <t>1394A</t>
  </si>
  <si>
    <t>Boboniu Chats with Du</t>
  </si>
  <si>
    <t>dp, greedy, sortings, two pointers</t>
  </si>
  <si>
    <t>https://codeforces.com/problemset/problem/1394/A</t>
  </si>
  <si>
    <t>Pattern 15.5 — Floyd Warshall</t>
  </si>
  <si>
    <t>295B</t>
  </si>
  <si>
    <t>Greg and Graph</t>
  </si>
  <si>
    <t>dp, graphs, shortest paths</t>
  </si>
  <si>
    <t>https://codeforces.com/problemset/problem/295/B</t>
  </si>
  <si>
    <t>400D</t>
  </si>
  <si>
    <t>Dima and Bacteria</t>
  </si>
  <si>
    <t>dsu, graphs, shortest paths</t>
  </si>
  <si>
    <t>https://codeforces.com/problemset/problem/400/D</t>
  </si>
  <si>
    <t>1205B</t>
  </si>
  <si>
    <t>Shortest Cycle</t>
  </si>
  <si>
    <t>bitmasks, brute force, graphs, shortest paths</t>
  </si>
  <si>
    <t>https://codeforces.com/problemset/problem/1205/B</t>
  </si>
  <si>
    <t>KINGDOM 16 — THE KINGDOM OF DSU &amp; MINIMUM SPANNING TREE</t>
  </si>
  <si>
    <t>Pattern 16.1 — Basic DSU</t>
  </si>
  <si>
    <t>939D</t>
  </si>
  <si>
    <t>Love Rescue</t>
  </si>
  <si>
    <t>dfs and similar, dsu, graphs, greedy, strings</t>
  </si>
  <si>
    <t>https://codeforces.com/problemset/problem/939/D</t>
  </si>
  <si>
    <t>1167C</t>
  </si>
  <si>
    <t>News Distribution</t>
  </si>
  <si>
    <t>https://codeforces.com/problemset/problem/1167/C</t>
  </si>
  <si>
    <t>1249B1</t>
  </si>
  <si>
    <t>Books Exchange (easy version)</t>
  </si>
  <si>
    <t>dsu, math</t>
  </si>
  <si>
    <t>https://codeforces.com/problemset/problem/1249/B1</t>
  </si>
  <si>
    <t>1249B2</t>
  </si>
  <si>
    <t>Books Exchange (hard version)</t>
  </si>
  <si>
    <t>dfs and similar, dsu, math</t>
  </si>
  <si>
    <t>https://codeforces.com/problemset/problem/1249/B2</t>
  </si>
  <si>
    <t>1263D</t>
  </si>
  <si>
    <t>Secret Passwords</t>
  </si>
  <si>
    <t>https://codeforces.com/problemset/problem/1263/D</t>
  </si>
  <si>
    <t>1383A</t>
  </si>
  <si>
    <t>String Transformation 1</t>
  </si>
  <si>
    <t>dsu, graphs, greedy, sortings, strings, trees, two pointers</t>
  </si>
  <si>
    <t>https://codeforces.com/problemset/problem/1383/A</t>
  </si>
  <si>
    <t>1609D</t>
  </si>
  <si>
    <t>Social Network</t>
  </si>
  <si>
    <t>dsu, graphs, greedy, implementation, trees</t>
  </si>
  <si>
    <t>https://codeforces.com/problemset/problem/1609/D</t>
  </si>
  <si>
    <t>Pattern 16.2 — Union Find Applications</t>
  </si>
  <si>
    <t>25D</t>
  </si>
  <si>
    <t>Roads not only in Berland</t>
  </si>
  <si>
    <t>dsu, graphs, trees</t>
  </si>
  <si>
    <t>https://codeforces.com/problemset/problem/25/D</t>
  </si>
  <si>
    <t>277A</t>
  </si>
  <si>
    <t>Learning Languages</t>
  </si>
  <si>
    <t>dfs and similar, dsu</t>
  </si>
  <si>
    <t>https://codeforces.com/problemset/problem/277/A</t>
  </si>
  <si>
    <t>500B</t>
  </si>
  <si>
    <t>New Year Permutation</t>
  </si>
  <si>
    <t>dfs and similar, dsu, graphs, greedy, math, sortings</t>
  </si>
  <si>
    <t>https://codeforces.com/problemset/problem/500/B</t>
  </si>
  <si>
    <t>653D</t>
  </si>
  <si>
    <t>Delivery Bears</t>
  </si>
  <si>
    <t>binary search, flows, graphs</t>
  </si>
  <si>
    <t>https://codeforces.com/problemset/problem/653/D</t>
  </si>
  <si>
    <t>891C</t>
  </si>
  <si>
    <t>Envy</t>
  </si>
  <si>
    <t>data structures, dsu, graphs</t>
  </si>
  <si>
    <t>https://codeforces.com/problemset/problem/891/C</t>
  </si>
  <si>
    <t>1131D</t>
  </si>
  <si>
    <t>Gourmet choice</t>
  </si>
  <si>
    <t>dfs and similar, dp, dsu, graphs, greedy</t>
  </si>
  <si>
    <t>https://codeforces.com/problemset/problem/1131/D</t>
  </si>
  <si>
    <t>1253D</t>
  </si>
  <si>
    <t>Harmonious Graph</t>
  </si>
  <si>
    <t>constructive algorithms, dfs and similar, dsu, graphs, greedy, sortings</t>
  </si>
  <si>
    <t>https://codeforces.com/problemset/problem/1253/D</t>
  </si>
  <si>
    <t>1466F</t>
  </si>
  <si>
    <t>Euclid's nightmare</t>
  </si>
  <si>
    <t>bitmasks, dfs and similar, dsu, graphs, greedy, math, sortings</t>
  </si>
  <si>
    <t>https://codeforces.com/problemset/problem/1466/F</t>
  </si>
  <si>
    <t>Pattern 16.3 — Kruskal's MST</t>
  </si>
  <si>
    <t>1095F</t>
  </si>
  <si>
    <t>Make It Connected</t>
  </si>
  <si>
    <t>dsu, graphs, greedy</t>
  </si>
  <si>
    <t>https://codeforces.com/problemset/problem/1095/F</t>
  </si>
  <si>
    <t>1245D</t>
  </si>
  <si>
    <t>Shichikuji and Power Grid</t>
  </si>
  <si>
    <t>dsu, graphs, greedy, shortest paths, trees</t>
  </si>
  <si>
    <t>https://codeforces.com/problemset/problem/1245/D</t>
  </si>
  <si>
    <t>1468J</t>
  </si>
  <si>
    <t>J</t>
  </si>
  <si>
    <t>Road Reform</t>
  </si>
  <si>
    <t>https://codeforces.com/problemset/problem/1468/J</t>
  </si>
  <si>
    <t>160D</t>
  </si>
  <si>
    <t>Edges in MST</t>
  </si>
  <si>
    <t>dfs and similar, dsu, graphs, sortings</t>
  </si>
  <si>
    <t>https://codeforces.com/problemset/problem/160/D</t>
  </si>
  <si>
    <t>Pattern 16.5 — Offline DSU</t>
  </si>
  <si>
    <t>1416D</t>
  </si>
  <si>
    <t>Graph and Queries</t>
  </si>
  <si>
    <t>data structures, dsu, graphs, implementation, trees</t>
  </si>
  <si>
    <t>https://codeforces.com/problemset/problem/1416/D</t>
  </si>
  <si>
    <t>1559D1</t>
  </si>
  <si>
    <t>Mocha and Diana (Easy Version)</t>
  </si>
  <si>
    <t>brute force, constructive algorithms, dsu, graphs, greedy, trees</t>
  </si>
  <si>
    <t>https://codeforces.com/problemset/problem/1559/D1</t>
  </si>
  <si>
    <t>1559D2</t>
  </si>
  <si>
    <t>Mocha and Diana (Hard Version)</t>
  </si>
  <si>
    <t>brute force, constructive algorithms, dfs and similar, dsu, graphs, greedy, trees, two pointers</t>
  </si>
  <si>
    <t>https://codeforces.com/problemset/problem/1559/D2</t>
  </si>
  <si>
    <t>KINGDOM 17 — THE KINGDOM OF DYNAMIC PROGRAMMING</t>
  </si>
  <si>
    <t>Pattern 17.1 — Introduction to DP (1D DP)</t>
  </si>
  <si>
    <t>189A</t>
  </si>
  <si>
    <t>Cut Ribbon</t>
  </si>
  <si>
    <t>https://codeforces.com/problemset/problem/189/A</t>
  </si>
  <si>
    <t>455A</t>
  </si>
  <si>
    <t>Boredom</t>
  </si>
  <si>
    <t>https://codeforces.com/problemset/problem/455/A</t>
  </si>
  <si>
    <t>474D</t>
  </si>
  <si>
    <t>Flowers</t>
  </si>
  <si>
    <t>https://codeforces.com/problemset/problem/474/D</t>
  </si>
  <si>
    <t>698A</t>
  </si>
  <si>
    <t>Vacations</t>
  </si>
  <si>
    <t>https://codeforces.com/problemset/problem/698/A</t>
  </si>
  <si>
    <t>706C</t>
  </si>
  <si>
    <t>Hard problem</t>
  </si>
  <si>
    <t>https://codeforces.com/problemset/problem/706/C</t>
  </si>
  <si>
    <t>1249E</t>
  </si>
  <si>
    <t>By Elevator or Stairs?</t>
  </si>
  <si>
    <t>dp, shortest paths</t>
  </si>
  <si>
    <t>https://codeforces.com/problemset/problem/1249/E</t>
  </si>
  <si>
    <t>1282B2</t>
  </si>
  <si>
    <t>K for the Price of One (Hard Version)</t>
  </si>
  <si>
    <t>https://codeforces.com/problemset/problem/1282/B2</t>
  </si>
  <si>
    <t>1355A</t>
  </si>
  <si>
    <t>Sequence with Digits</t>
  </si>
  <si>
    <t>https://codeforces.com/problemset/problem/1355/A</t>
  </si>
  <si>
    <t>1359C</t>
  </si>
  <si>
    <t>Mixing Water</t>
  </si>
  <si>
    <t>https://codeforces.com/problemset/problem/1359/C</t>
  </si>
  <si>
    <t>1455D</t>
  </si>
  <si>
    <t>Sequence and Swaps</t>
  </si>
  <si>
    <t>https://codeforces.com/problemset/problem/1455/D</t>
  </si>
  <si>
    <t>1467C</t>
  </si>
  <si>
    <t>Three Bags</t>
  </si>
  <si>
    <t>https://codeforces.com/problemset/problem/1467/C</t>
  </si>
  <si>
    <t>1472C</t>
  </si>
  <si>
    <t>Long Jumps</t>
  </si>
  <si>
    <t>dp, graphs</t>
  </si>
  <si>
    <t>https://codeforces.com/problemset/problem/1472/C</t>
  </si>
  <si>
    <t>1525D</t>
  </si>
  <si>
    <t>Armchairs</t>
  </si>
  <si>
    <t>dp, flows, graph matchings, greedy</t>
  </si>
  <si>
    <t>https://codeforces.com/problemset/problem/1525/D</t>
  </si>
  <si>
    <t>Pattern 17.2 — Knapsack DP</t>
  </si>
  <si>
    <t>366C</t>
  </si>
  <si>
    <t>Dima and Salad</t>
  </si>
  <si>
    <t>https://codeforces.com/problemset/problem/366/C</t>
  </si>
  <si>
    <t>543A</t>
  </si>
  <si>
    <t>Writing Code</t>
  </si>
  <si>
    <t>https://codeforces.com/problemset/problem/543/A</t>
  </si>
  <si>
    <t>837D</t>
  </si>
  <si>
    <t>Round Subset</t>
  </si>
  <si>
    <t>https://codeforces.com/problemset/problem/837/D</t>
  </si>
  <si>
    <t>1155D</t>
  </si>
  <si>
    <t>Beautiful Array</t>
  </si>
  <si>
    <t>brute force, data structures, divide and conquer, dp, greedy</t>
  </si>
  <si>
    <t>https://codeforces.com/problemset/problem/1155/D</t>
  </si>
  <si>
    <t>1433F</t>
  </si>
  <si>
    <t xml:space="preserve">Zero Remainder Sum </t>
  </si>
  <si>
    <t>https://codeforces.com/problemset/problem/1433/F</t>
  </si>
  <si>
    <t>1458B</t>
  </si>
  <si>
    <t>Glass Half Spilled</t>
  </si>
  <si>
    <t>https://codeforces.com/problemset/problem/1458/B</t>
  </si>
  <si>
    <t>148E</t>
  </si>
  <si>
    <t>Porcelain</t>
  </si>
  <si>
    <t>https://codeforces.com/problemset/problem/148/E</t>
  </si>
  <si>
    <t>1633D</t>
  </si>
  <si>
    <t>https://codeforces.com/problemset/problem/1633/D</t>
  </si>
  <si>
    <t>Pattern 17.3 — Grid DP</t>
  </si>
  <si>
    <t>2B</t>
  </si>
  <si>
    <t>The least round way</t>
  </si>
  <si>
    <t>https://codeforces.com/problemset/problem/2/B</t>
  </si>
  <si>
    <t>429B</t>
  </si>
  <si>
    <t>Working out</t>
  </si>
  <si>
    <t>https://codeforces.com/problemset/problem/429/B</t>
  </si>
  <si>
    <t>677D</t>
  </si>
  <si>
    <t>Vanya and Treasure</t>
  </si>
  <si>
    <t>data structures, dp, graphs, shortest paths</t>
  </si>
  <si>
    <t>https://codeforces.com/problemset/problem/677/D</t>
  </si>
  <si>
    <t>864E</t>
  </si>
  <si>
    <t>Fire</t>
  </si>
  <si>
    <t>dp, sortings</t>
  </si>
  <si>
    <t>https://codeforces.com/problemset/problem/864/E</t>
  </si>
  <si>
    <t>954F</t>
  </si>
  <si>
    <t>Runner's Problem</t>
  </si>
  <si>
    <t>dp, matrices, sortings</t>
  </si>
  <si>
    <t>https://codeforces.com/problemset/problem/954/F</t>
  </si>
  <si>
    <t>1246C</t>
  </si>
  <si>
    <t>https://codeforces.com/problemset/problem/1246/C</t>
  </si>
  <si>
    <t>1353F</t>
  </si>
  <si>
    <t>Decreasing Heights</t>
  </si>
  <si>
    <t>https://codeforces.com/problemset/problem/1353/F</t>
  </si>
  <si>
    <t>1391D</t>
  </si>
  <si>
    <t>505</t>
  </si>
  <si>
    <t>bitmasks, brute force, constructive algorithms, dp, greedy, implementation</t>
  </si>
  <si>
    <t>https://codeforces.com/problemset/problem/1391/D</t>
  </si>
  <si>
    <t>1525E</t>
  </si>
  <si>
    <t>Assimilation IV</t>
  </si>
  <si>
    <t>combinatorics, dp, math, probabilities, two pointers</t>
  </si>
  <si>
    <t>https://codeforces.com/problemset/problem/1525/E</t>
  </si>
  <si>
    <t>Pattern 17.4 — Interval DP</t>
  </si>
  <si>
    <t>607B</t>
  </si>
  <si>
    <t>Zuma</t>
  </si>
  <si>
    <t>https://codeforces.com/problemset/problem/607/B</t>
  </si>
  <si>
    <t>1132C</t>
  </si>
  <si>
    <t>Painting the Fence</t>
  </si>
  <si>
    <t>https://codeforces.com/problemset/problem/1132/C</t>
  </si>
  <si>
    <t>1312E</t>
  </si>
  <si>
    <t>Array Shrinking</t>
  </si>
  <si>
    <t>https://codeforces.com/problemset/problem/1312/E</t>
  </si>
  <si>
    <t>1509C</t>
  </si>
  <si>
    <t>The Sports Festival</t>
  </si>
  <si>
    <t>https://codeforces.com/problemset/problem/1509/C</t>
  </si>
  <si>
    <t>1527E</t>
  </si>
  <si>
    <t>Partition Game</t>
  </si>
  <si>
    <t>binary search, data structures, divide and conquer, dp</t>
  </si>
  <si>
    <t>https://codeforces.com/problemset/problem/1527/E</t>
  </si>
  <si>
    <t>1771D</t>
  </si>
  <si>
    <t>Hossam and (sub-)palindromic tree</t>
  </si>
  <si>
    <t>brute force, data structures, dfs and similar, dp, strings, trees</t>
  </si>
  <si>
    <t>https://codeforces.com/problemset/problem/1771/D</t>
  </si>
  <si>
    <t>Pattern 17.5 — Digit DP</t>
  </si>
  <si>
    <t>55D</t>
  </si>
  <si>
    <t>Beautiful numbers</t>
  </si>
  <si>
    <t>dp, number theory</t>
  </si>
  <si>
    <t>https://codeforces.com/problemset/problem/55/D</t>
  </si>
  <si>
    <t>1036C</t>
  </si>
  <si>
    <t>Classy Numbers</t>
  </si>
  <si>
    <t>combinatorics, dp</t>
  </si>
  <si>
    <t>https://codeforces.com/problemset/problem/1036/C</t>
  </si>
  <si>
    <t>431D</t>
  </si>
  <si>
    <t>Random Task</t>
  </si>
  <si>
    <t>binary search, bitmasks, combinatorics, dp, math</t>
  </si>
  <si>
    <t>https://codeforces.com/problemset/problem/431/D</t>
  </si>
  <si>
    <t>628D</t>
  </si>
  <si>
    <t>Magic Numbers</t>
  </si>
  <si>
    <t>https://codeforces.com/problemset/problem/628/D</t>
  </si>
  <si>
    <t>855E</t>
  </si>
  <si>
    <t>Salazar Slytherin's Locket</t>
  </si>
  <si>
    <t>https://codeforces.com/problemset/problem/855/E</t>
  </si>
  <si>
    <t>914C</t>
  </si>
  <si>
    <t>Travelling Salesman and Special Numbers</t>
  </si>
  <si>
    <t>brute force, combinatorics, dp</t>
  </si>
  <si>
    <t>https://codeforces.com/problemset/problem/914/C</t>
  </si>
  <si>
    <t>1225D</t>
  </si>
  <si>
    <t>Power Products</t>
  </si>
  <si>
    <t>hashing, math, number theory</t>
  </si>
  <si>
    <t>https://codeforces.com/problemset/problem/1225/D</t>
  </si>
  <si>
    <t>Pattern 17.6 — Bitmask DP</t>
  </si>
  <si>
    <t>8C</t>
  </si>
  <si>
    <t>Looking for Order</t>
  </si>
  <si>
    <t>https://codeforces.com/problemset/problem/8/C</t>
  </si>
  <si>
    <t>11D</t>
  </si>
  <si>
    <t>A Simple Task</t>
  </si>
  <si>
    <t>bitmasks, dp, graphs</t>
  </si>
  <si>
    <t>https://codeforces.com/problemset/problem/11/D</t>
  </si>
  <si>
    <t>16E</t>
  </si>
  <si>
    <t>Fish</t>
  </si>
  <si>
    <t>bitmasks, dp, probabilities</t>
  </si>
  <si>
    <t>https://codeforces.com/problemset/problem/16/E</t>
  </si>
  <si>
    <t>41D</t>
  </si>
  <si>
    <t>Pawn</t>
  </si>
  <si>
    <t>https://codeforces.com/problemset/problem/41/D</t>
  </si>
  <si>
    <t>321E</t>
  </si>
  <si>
    <t>Ciel and Gondolas</t>
  </si>
  <si>
    <t>data structures, divide and conquer, dp</t>
  </si>
  <si>
    <t>https://codeforces.com/problemset/problem/321/E</t>
  </si>
  <si>
    <t>Pattern 17.8 — DP on DAG</t>
  </si>
  <si>
    <t>721C</t>
  </si>
  <si>
    <t>https://codeforces.com/problemset/problem/721/C</t>
  </si>
  <si>
    <t>919D</t>
  </si>
  <si>
    <t>Substring</t>
  </si>
  <si>
    <t>https://codeforces.com/problemset/problem/919/D</t>
  </si>
  <si>
    <t>981C</t>
  </si>
  <si>
    <t>Useful Decomposition</t>
  </si>
  <si>
    <t>implementation, trees</t>
  </si>
  <si>
    <t>https://codeforces.com/problemset/problem/981/C</t>
  </si>
  <si>
    <t>Pattern 17.9 — Probability DP</t>
  </si>
  <si>
    <t>148D</t>
  </si>
  <si>
    <t>Bag of mice</t>
  </si>
  <si>
    <t>dp, games, math, probabilities</t>
  </si>
  <si>
    <t>https://codeforces.com/problemset/problem/148/D</t>
  </si>
  <si>
    <t>235B</t>
  </si>
  <si>
    <t>Let's Play Osu!</t>
  </si>
  <si>
    <t>dp, math, probabilities</t>
  </si>
  <si>
    <t>https://codeforces.com/problemset/problem/235/B</t>
  </si>
  <si>
    <t>540D</t>
  </si>
  <si>
    <t>Bad Luck Island</t>
  </si>
  <si>
    <t>dp, probabilities</t>
  </si>
  <si>
    <t>https://codeforces.com/problemset/problem/540/D</t>
  </si>
  <si>
    <t>908D</t>
  </si>
  <si>
    <t>New Year and Arbitrary Arrangement</t>
  </si>
  <si>
    <t>https://codeforces.com/problemset/problem/908/D</t>
  </si>
  <si>
    <t>1265E</t>
  </si>
  <si>
    <t>Beautiful Mirrors</t>
  </si>
  <si>
    <t>data structures, dp, math, probabilities</t>
  </si>
  <si>
    <t>https://codeforces.com/problemset/problem/1265/E</t>
  </si>
  <si>
    <t>1279D</t>
  </si>
  <si>
    <t>Santa's Bot</t>
  </si>
  <si>
    <t>combinatorics, math, probabilities</t>
  </si>
  <si>
    <t>https://codeforces.com/problemset/problem/1279/D</t>
  </si>
  <si>
    <t>Pattern 17.10 — Prefix/Suffix DP</t>
  </si>
  <si>
    <t>607A</t>
  </si>
  <si>
    <t>Chain Reaction</t>
  </si>
  <si>
    <t>https://codeforces.com/problemset/problem/607/A</t>
  </si>
  <si>
    <t>1510D</t>
  </si>
  <si>
    <t>Digits</t>
  </si>
  <si>
    <t>dp, math, number theory</t>
  </si>
  <si>
    <t>https://codeforces.com/problemset/problem/1510/D</t>
  </si>
  <si>
    <t>Pattern 17.12 — Optimization DP</t>
  </si>
  <si>
    <t>319C</t>
  </si>
  <si>
    <t>Kalila and Dimna in the Logging Industry</t>
  </si>
  <si>
    <t>dp, geometry</t>
  </si>
  <si>
    <t>https://codeforces.com/problemset/problem/319/C</t>
  </si>
  <si>
    <t>631E</t>
  </si>
  <si>
    <t>Product Sum</t>
  </si>
  <si>
    <t>data structures, dp, geometry</t>
  </si>
  <si>
    <t>https://codeforces.com/problemset/problem/631/E</t>
  </si>
  <si>
    <t>868F</t>
  </si>
  <si>
    <t>Yet Another Minimization Problem</t>
  </si>
  <si>
    <t>divide and conquer, dp</t>
  </si>
  <si>
    <t>https://codeforces.com/problemset/problem/868/F</t>
  </si>
  <si>
    <t>1012E</t>
  </si>
  <si>
    <t>Cycle sort</t>
  </si>
  <si>
    <t>https://codeforces.com/problemset/problem/1012/E</t>
  </si>
  <si>
    <t>1073E</t>
  </si>
  <si>
    <t>Segment Sum</t>
  </si>
  <si>
    <t>https://codeforces.com/problemset/problem/1073/E</t>
  </si>
  <si>
    <t>KINGDOM 18 — THE KINGDOM OF DIVIDE &amp; CONQUER</t>
  </si>
  <si>
    <t>Pattern 18.2 — Merge Sort Applications</t>
  </si>
  <si>
    <t>986B</t>
  </si>
  <si>
    <t>Petr and Permutations</t>
  </si>
  <si>
    <t>https://codeforces.com/problemset/problem/986/B</t>
  </si>
  <si>
    <t>Pattern 18.3 — Divide &amp; Conquer on Arrays</t>
  </si>
  <si>
    <t>1455E</t>
  </si>
  <si>
    <t>Four Points</t>
  </si>
  <si>
    <t>brute force, constructive algorithms, flows, geometry, greedy, implementation, math, ternary search</t>
  </si>
  <si>
    <t>https://codeforces.com/problemset/problem/1455/E</t>
  </si>
  <si>
    <t>Pattern 18.4 — CDQ Divide &amp; Conquer</t>
  </si>
  <si>
    <t>1093E</t>
  </si>
  <si>
    <t>Intersection of Permutations</t>
  </si>
  <si>
    <t>https://codeforces.com/problemset/problem/1093/E</t>
  </si>
  <si>
    <t>1260F</t>
  </si>
  <si>
    <t>Colored Tree</t>
  </si>
  <si>
    <t>https://codeforces.com/problemset/problem/1260/F</t>
  </si>
  <si>
    <t>1404C</t>
  </si>
  <si>
    <t>Fixed Point Removal</t>
  </si>
  <si>
    <t>binary search, constructive algorithms, data structures, greedy, two pointers</t>
  </si>
  <si>
    <t>https://codeforces.com/problemset/problem/1404/C</t>
  </si>
  <si>
    <t>1553F</t>
  </si>
  <si>
    <t>Pairwise Modulo</t>
  </si>
  <si>
    <t>https://codeforces.com/problemset/problem/1553/F</t>
  </si>
  <si>
    <t>1603C</t>
  </si>
  <si>
    <t>Extreme Extension</t>
  </si>
  <si>
    <t>dp, greedy, math, number theory</t>
  </si>
  <si>
    <t>https://codeforces.com/problemset/problem/1603/C</t>
  </si>
  <si>
    <t>KINGDOM 19 — THE KINGDOM OF SEGMENT TREES</t>
  </si>
  <si>
    <t>Pattern 19.1 — Basic Segment Tree</t>
  </si>
  <si>
    <t>339D</t>
  </si>
  <si>
    <t>Xenia and Bit Operations</t>
  </si>
  <si>
    <t>https://codeforces.com/problemset/problem/339/D</t>
  </si>
  <si>
    <t>52C</t>
  </si>
  <si>
    <t>Circular RMQ</t>
  </si>
  <si>
    <t>https://codeforces.com/problemset/problem/52/C</t>
  </si>
  <si>
    <t>474E</t>
  </si>
  <si>
    <t>Pillars</t>
  </si>
  <si>
    <t>binary search, data structures, dp, sortings, trees</t>
  </si>
  <si>
    <t>https://codeforces.com/problemset/problem/474/E</t>
  </si>
  <si>
    <t>558E</t>
  </si>
  <si>
    <t>data structures, sortings, strings</t>
  </si>
  <si>
    <t>https://codeforces.com/problemset/problem/558/E</t>
  </si>
  <si>
    <t>863E</t>
  </si>
  <si>
    <t>Turn Off The TV</t>
  </si>
  <si>
    <t>https://codeforces.com/problemset/problem/863/E</t>
  </si>
  <si>
    <t>1114F</t>
  </si>
  <si>
    <t>Please, another Queries on Array?</t>
  </si>
  <si>
    <t>bitmasks, data structures, divide and conquer, math, number theory</t>
  </si>
  <si>
    <t>https://codeforces.com/problemset/problem/1114/F</t>
  </si>
  <si>
    <t>1136E</t>
  </si>
  <si>
    <t>Nastya Hasn't Written a Legend</t>
  </si>
  <si>
    <t>https://codeforces.com/problemset/problem/1136/E</t>
  </si>
  <si>
    <t>1252G</t>
  </si>
  <si>
    <t>Performance Review</t>
  </si>
  <si>
    <t>https://codeforces.com/problemset/problem/1252/G</t>
  </si>
  <si>
    <t>1278E</t>
  </si>
  <si>
    <t>Tests for problem D</t>
  </si>
  <si>
    <t>constructive algorithms, dfs and similar, divide and conquer, trees</t>
  </si>
  <si>
    <t>https://codeforces.com/problemset/problem/1278/E</t>
  </si>
  <si>
    <t>Pattern 19.2 — Range Query + Point Update</t>
  </si>
  <si>
    <t>145E</t>
  </si>
  <si>
    <t>Lucky Queries</t>
  </si>
  <si>
    <t>https://codeforces.com/problemset/problem/145/E</t>
  </si>
  <si>
    <t>1555E</t>
  </si>
  <si>
    <t>Boring Segments</t>
  </si>
  <si>
    <t>data structures, sortings, trees, two pointers</t>
  </si>
  <si>
    <t>https://codeforces.com/problemset/problem/1555/E</t>
  </si>
  <si>
    <t>Pattern 19.3 — Lazy Propagation</t>
  </si>
  <si>
    <t>438D</t>
  </si>
  <si>
    <t>The Child and Sequence</t>
  </si>
  <si>
    <t>https://codeforces.com/problemset/problem/438/D</t>
  </si>
  <si>
    <t>446C</t>
  </si>
  <si>
    <t>DZY Loves Fibonacci Numbers</t>
  </si>
  <si>
    <t>data structures, math, number theory</t>
  </si>
  <si>
    <t>https://codeforces.com/problemset/problem/446/C</t>
  </si>
  <si>
    <t>915E</t>
  </si>
  <si>
    <t>Physical Education Lessons</t>
  </si>
  <si>
    <t>https://codeforces.com/problemset/problem/915/E</t>
  </si>
  <si>
    <t>Pattern 19.4 — Merge Sort Tree</t>
  </si>
  <si>
    <t>459D</t>
  </si>
  <si>
    <t>Pashmak and Parmida's problem</t>
  </si>
  <si>
    <t>data structures, divide and conquer, sortings</t>
  </si>
  <si>
    <t>https://codeforces.com/problemset/problem/459/D</t>
  </si>
  <si>
    <t>600E</t>
  </si>
  <si>
    <t>Lomsat gelral</t>
  </si>
  <si>
    <t>data structures, dfs and similar, dsu, trees</t>
  </si>
  <si>
    <t>https://codeforces.com/problemset/problem/600/E</t>
  </si>
  <si>
    <t>803G</t>
  </si>
  <si>
    <t>Periodic RMQ Problem</t>
  </si>
  <si>
    <t>https://codeforces.com/problemset/problem/803/G</t>
  </si>
  <si>
    <t>1093G</t>
  </si>
  <si>
    <t>Multidimensional Queries</t>
  </si>
  <si>
    <t>bitmasks, data structures</t>
  </si>
  <si>
    <t>https://codeforces.com/problemset/problem/1093/G</t>
  </si>
  <si>
    <t>Pattern 19.5 — Persistent Segment Tree</t>
  </si>
  <si>
    <t>484E</t>
  </si>
  <si>
    <t>Sign on Fence</t>
  </si>
  <si>
    <t>binary search, constructive algorithms, data structures</t>
  </si>
  <si>
    <t>https://codeforces.com/problemset/problem/484/E</t>
  </si>
  <si>
    <t>786C</t>
  </si>
  <si>
    <t>Till I Collapse</t>
  </si>
  <si>
    <t>data structures, divide and conquer</t>
  </si>
  <si>
    <t>https://codeforces.com/problemset/problem/786/C</t>
  </si>
  <si>
    <t>893F</t>
  </si>
  <si>
    <t>Subtree Minimum Query</t>
  </si>
  <si>
    <t>https://codeforces.com/problemset/problem/893/F</t>
  </si>
  <si>
    <t>1262D2</t>
  </si>
  <si>
    <t>https://codeforces.com/problemset/problem/1262/D2</t>
  </si>
  <si>
    <t>1479D</t>
  </si>
  <si>
    <t>Odd Mineral Resource</t>
  </si>
  <si>
    <t>binary search, bitmasks, brute force, data structures, probabilities, trees</t>
  </si>
  <si>
    <t>https://codeforces.com/problemset/problem/1479/D</t>
  </si>
  <si>
    <t>Pattern 19.6 — Dynamic Segment Tree</t>
  </si>
  <si>
    <t>1557D</t>
  </si>
  <si>
    <t>Ezzat and Grid</t>
  </si>
  <si>
    <t>https://codeforces.com/problemset/problem/1557/D</t>
  </si>
  <si>
    <t>1779D</t>
  </si>
  <si>
    <t>Boris and His Amazing Haircut</t>
  </si>
  <si>
    <t>constructive algorithms, data structures, dp, dsu, greedy, sortings</t>
  </si>
  <si>
    <t>https://codeforces.com/problemset/problem/1779/D</t>
  </si>
  <si>
    <t>KINGDOM 20 — THE KINGDOM OF FENWICK TREE (BIT)</t>
  </si>
  <si>
    <t>Pattern 20.1 — Basic BIT</t>
  </si>
  <si>
    <t>597C</t>
  </si>
  <si>
    <t>Subsequences</t>
  </si>
  <si>
    <t>https://codeforces.com/problemset/problem/597/C</t>
  </si>
  <si>
    <t>Pattern 20.2 — Prefix Sum BIT</t>
  </si>
  <si>
    <t>1076E</t>
  </si>
  <si>
    <t>Vasya and a Tree</t>
  </si>
  <si>
    <t>https://codeforces.com/problemset/problem/1076/E</t>
  </si>
  <si>
    <t>Pattern 20.4 — BIT + Coordinate Compression</t>
  </si>
  <si>
    <t>961E</t>
  </si>
  <si>
    <t>Tufurama</t>
  </si>
  <si>
    <t>https://codeforces.com/problemset/problem/961/E</t>
  </si>
  <si>
    <t>Pattern 20.5 — Offline Queries with BIT</t>
  </si>
  <si>
    <t>301D</t>
  </si>
  <si>
    <t>Yaroslav and Divisors</t>
  </si>
  <si>
    <t>https://codeforces.com/problemset/problem/301/D</t>
  </si>
  <si>
    <t>369E</t>
  </si>
  <si>
    <t>Valera and Queries</t>
  </si>
  <si>
    <t>https://codeforces.com/problemset/problem/369/E</t>
  </si>
  <si>
    <t>Pattern 24.2 — Greedy Construction</t>
  </si>
  <si>
    <t>1450C1</t>
  </si>
  <si>
    <t>Errich-Tac-Toe (Easy Version)</t>
  </si>
  <si>
    <t>https://codeforces.com/problemset/problem/1450/C1</t>
  </si>
  <si>
    <t>1450C2</t>
  </si>
  <si>
    <t>Errich-Tac-Toe (Hard Version)</t>
  </si>
  <si>
    <t>https://codeforces.com/problemset/problem/1450/C2</t>
  </si>
  <si>
    <t>Pattern 24.3 — Constructive Mathematics</t>
  </si>
  <si>
    <t>1091C</t>
  </si>
  <si>
    <t>New Year and the Sphere Transmission</t>
  </si>
  <si>
    <t>https://codeforces.com/problemset/problem/1091/C</t>
  </si>
  <si>
    <t>1220D</t>
  </si>
  <si>
    <t>Alex and Julian</t>
  </si>
  <si>
    <t>bitmasks, math, number theory</t>
  </si>
  <si>
    <t>https://codeforces.com/problemset/problem/1220/D</t>
  </si>
  <si>
    <t>Pattern 24.4 — Permutation Construction</t>
  </si>
  <si>
    <t>1208D</t>
  </si>
  <si>
    <t>Restore Permutation</t>
  </si>
  <si>
    <t>binary search, data structures, greedy, implementation</t>
  </si>
  <si>
    <t>https://codeforces.com/problemset/problem/1208/D</t>
  </si>
  <si>
    <t>1265C</t>
  </si>
  <si>
    <t>https://codeforces.com/problemset/problem/1265/C</t>
  </si>
  <si>
    <t>1340A</t>
  </si>
  <si>
    <t>Nastya and Strange Generator</t>
  </si>
  <si>
    <t>brute force, data structures, greedy, implementation</t>
  </si>
  <si>
    <t>https://codeforces.com/problemset/problem/1340/A</t>
  </si>
  <si>
    <t>1530D</t>
  </si>
  <si>
    <t>Secret Santa</t>
  </si>
  <si>
    <t>constructive algorithms, flows, graphs, greedy, math</t>
  </si>
  <si>
    <t>https://codeforces.com/problemset/problem/1530/D</t>
  </si>
  <si>
    <t>1612B</t>
  </si>
  <si>
    <t>Special Permutation</t>
  </si>
  <si>
    <t>https://codeforces.com/problemset/problem/1612/B</t>
  </si>
  <si>
    <t>Pattern 24.5 — Interactive Construction Ideas</t>
  </si>
  <si>
    <t>1270D</t>
  </si>
  <si>
    <t>Strange Device</t>
  </si>
  <si>
    <t>constructive algorithms, interactive, math, sortings</t>
  </si>
  <si>
    <t>https://codeforces.com/problemset/problem/1270/D</t>
  </si>
  <si>
    <t>1451E1</t>
  </si>
  <si>
    <t>Bitwise Queries (Easy Version)</t>
  </si>
  <si>
    <t>bitmasks, constructive algorithms, interactive, math</t>
  </si>
  <si>
    <t>https://codeforces.com/problemset/problem/1451/E1</t>
  </si>
  <si>
    <t>1451E2</t>
  </si>
  <si>
    <t>Bitwise Queries (Hard Version)</t>
  </si>
  <si>
    <t>https://codeforces.com/problemset/problem/1451/E2</t>
  </si>
  <si>
    <t>1592D</t>
  </si>
  <si>
    <t>Hemose in ICPC ?</t>
  </si>
  <si>
    <t>binary search, dfs and similar, implementation, interactive, math, number theory, trees</t>
  </si>
  <si>
    <t>https://codeforces.com/problemset/problem/1592/D</t>
  </si>
  <si>
    <t>KINGDOM 25 — THE KINGDOM OF GEOMETRY, INTERACTIVE &amp; MISCELLANEOUS</t>
  </si>
  <si>
    <t>Pattern 25.1 — Computational Geometry</t>
  </si>
  <si>
    <t>166B</t>
  </si>
  <si>
    <t>Polygons</t>
  </si>
  <si>
    <t>geometry, sortings</t>
  </si>
  <si>
    <t>https://codeforces.com/problemset/problem/166/B</t>
  </si>
  <si>
    <t>598C</t>
  </si>
  <si>
    <t>Nearest vectors</t>
  </si>
  <si>
    <t>https://codeforces.com/problemset/problem/598/C</t>
  </si>
  <si>
    <t>613A</t>
  </si>
  <si>
    <t>Peter and Snow Blower</t>
  </si>
  <si>
    <t>binary search, geometry, ternary search</t>
  </si>
  <si>
    <t>https://codeforces.com/problemset/problem/613/A</t>
  </si>
  <si>
    <t>961D</t>
  </si>
  <si>
    <t>Pair Of Lines</t>
  </si>
  <si>
    <t>geometry</t>
  </si>
  <si>
    <t>https://codeforces.com/problemset/problem/961/D</t>
  </si>
  <si>
    <t>1299B</t>
  </si>
  <si>
    <t>Aerodynamic</t>
  </si>
  <si>
    <t>https://codeforces.com/problemset/problem/1299/B</t>
  </si>
  <si>
    <t>1359F</t>
  </si>
  <si>
    <t>RC Kaboom Show</t>
  </si>
  <si>
    <t>binary search, brute force, data structures, geometry, math</t>
  </si>
  <si>
    <t>https://codeforces.com/problemset/problem/1359/F</t>
  </si>
  <si>
    <t>Pattern 25.2 — Coordinate Geometry</t>
  </si>
  <si>
    <t>166A</t>
  </si>
  <si>
    <t>Rank List</t>
  </si>
  <si>
    <t>binary search, implementation, sortings</t>
  </si>
  <si>
    <t>https://codeforces.com/problemset/problem/166/A</t>
  </si>
  <si>
    <t>617D</t>
  </si>
  <si>
    <t>Polyline</t>
  </si>
  <si>
    <t>https://codeforces.com/problemset/problem/617/D</t>
  </si>
  <si>
    <t>1195C</t>
  </si>
  <si>
    <t>Basketball Exercise</t>
  </si>
  <si>
    <t>https://codeforces.com/problemset/problem/1195/C</t>
  </si>
  <si>
    <t>Pattern 25.3 — Interactive Problems</t>
  </si>
  <si>
    <t>843B</t>
  </si>
  <si>
    <t>Interactive LowerBound</t>
  </si>
  <si>
    <t>brute force, interactive, probabilities</t>
  </si>
  <si>
    <t>https://codeforces.com/problemset/problem/843/B</t>
  </si>
  <si>
    <t>1016D</t>
  </si>
  <si>
    <t>Vasya And The Matrix</t>
  </si>
  <si>
    <t>constructive algorithms, flows, math</t>
  </si>
  <si>
    <t>https://codeforces.com/problemset/problem/1016/D</t>
  </si>
  <si>
    <t>1698D</t>
  </si>
  <si>
    <t>Fixed Point Guessing</t>
  </si>
  <si>
    <t>binary search, constructive algorithms, interactive</t>
  </si>
  <si>
    <t>https://codeforces.com/problemset/problem/1698/D</t>
  </si>
  <si>
    <t>Pattern 25.4 — Ad-hoc / Observation</t>
  </si>
  <si>
    <t>1185C</t>
  </si>
  <si>
    <t>https://codeforces.com/problemset/problem/1185/C</t>
  </si>
  <si>
    <t>1485A</t>
  </si>
  <si>
    <t>Add and Divide</t>
  </si>
  <si>
    <t>https://codeforces.com/problemset/problem/1485/A</t>
  </si>
  <si>
    <t>1520B</t>
  </si>
  <si>
    <t>Ordinary Numbers</t>
  </si>
  <si>
    <t>https://codeforces.com/problemset/problem/1520/B</t>
  </si>
  <si>
    <t>1562B</t>
  </si>
  <si>
    <t>Scenes From a Memory</t>
  </si>
  <si>
    <t>brute force, constructive algorithms, implementation, math, number theory</t>
  </si>
  <si>
    <t>https://codeforces.com/problemset/problem/1562/B</t>
  </si>
  <si>
    <t>Pattern 25.5 — Mixed Expert Problems</t>
  </si>
  <si>
    <t>487B</t>
  </si>
  <si>
    <t>Strip</t>
  </si>
  <si>
    <t>binary search, data structures, dp, two pointers</t>
  </si>
  <si>
    <t>https://codeforces.com/problemset/problem/487/B</t>
  </si>
  <si>
    <t>730I</t>
  </si>
  <si>
    <t>I</t>
  </si>
  <si>
    <t>Olympiad in Programming and Sports</t>
  </si>
  <si>
    <t>dp, flows, graphs, greedy</t>
  </si>
  <si>
    <t>https://codeforces.com/problemset/problem/730/I</t>
  </si>
  <si>
    <t>1039D</t>
  </si>
  <si>
    <t>You Are Given a Tree</t>
  </si>
  <si>
    <t>data structures, dp, trees</t>
  </si>
  <si>
    <t>https://codeforces.com/problemset/problem/1039/D</t>
  </si>
  <si>
    <t>1187G</t>
  </si>
  <si>
    <t>Gang Up</t>
  </si>
  <si>
    <t>flows, graphs</t>
  </si>
  <si>
    <t>https://codeforces.com/problemset/problem/1187/G</t>
  </si>
  <si>
    <t>1388D</t>
  </si>
  <si>
    <t>Captain Flint and Treasure</t>
  </si>
  <si>
    <t>data structures, dfs and similar, graphs, greedy, implementation, trees</t>
  </si>
  <si>
    <t>https://codeforces.com/problemset/problem/1388/D</t>
  </si>
  <si>
    <t>1601C</t>
  </si>
  <si>
    <t>Optimal Insertion</t>
  </si>
  <si>
    <t>data structures, divide and conquer, dp, greedy, sortings</t>
  </si>
  <si>
    <t>https://codeforces.com/problemset/problem/1601/C</t>
  </si>
  <si>
    <t>1731E</t>
  </si>
  <si>
    <t>Graph Cost</t>
  </si>
  <si>
    <t>https://codeforces.com/problemset/problem/1731/E</t>
  </si>
  <si>
    <t>1842E</t>
  </si>
  <si>
    <t>Tenzing and Triangle</t>
  </si>
  <si>
    <t>data structures, dp, geometry, greedy, math</t>
  </si>
  <si>
    <t>https://codeforces.com/problemset/problem/1842/E</t>
  </si>
  <si>
    <t>1900E</t>
  </si>
  <si>
    <t>Transitive Graph</t>
  </si>
  <si>
    <t>dfs and similar, dp, dsu, graphs, implementation</t>
  </si>
  <si>
    <t>https://codeforces.com/problemset/problem/1900/E</t>
  </si>
  <si>
    <t>Kingdom</t>
  </si>
  <si>
    <t>Patterns</t>
  </si>
  <si>
    <t>Total Problems</t>
  </si>
  <si>
    <t>Verified Problems</t>
  </si>
  <si>
    <t>Solved</t>
  </si>
  <si>
    <t>Completion %</t>
  </si>
  <si>
    <t>Total XP</t>
  </si>
  <si>
    <t>Average Rating</t>
  </si>
  <si>
    <t>Pattern</t>
  </si>
  <si>
    <t>Verified</t>
  </si>
  <si>
    <t>Codeforces Master Dataset - Platform Analytics</t>
  </si>
  <si>
    <t>Metric</t>
  </si>
  <si>
    <t>Formula / Value</t>
  </si>
  <si>
    <t>Description</t>
  </si>
  <si>
    <t>Total unique Codeforces problems in curriculum</t>
  </si>
  <si>
    <t>Problems verified with official Codeforces API</t>
  </si>
  <si>
    <t>Solved Problems</t>
  </si>
  <si>
    <t>Number of problems marked as Solved</t>
  </si>
  <si>
    <t>Remaining Problems</t>
  </si>
  <si>
    <t>Unsolved problems remaining in learning roadmap</t>
  </si>
  <si>
    <t>Total XP Available</t>
  </si>
  <si>
    <t>Total XP points across all verified problems</t>
  </si>
  <si>
    <t>Average Problem Rating</t>
  </si>
  <si>
    <t>Mean Codeforces rating across verified problems</t>
  </si>
  <si>
    <t>Highest Rating</t>
  </si>
  <si>
    <t>Maximum difficulty rating in dataset</t>
  </si>
  <si>
    <t>Lowest Rating</t>
  </si>
  <si>
    <t>Minimum difficulty rating in dataset</t>
  </si>
  <si>
    <t>Average Estimated Time (mins)</t>
  </si>
  <si>
    <t>Average expected solving duration per problem</t>
  </si>
  <si>
    <t>Kingdom Completion Rate</t>
  </si>
  <si>
    <t>Average completion % across all kingdoms</t>
  </si>
  <si>
    <t>Pattern Completion Rate</t>
  </si>
  <si>
    <t>Average completion % across all patterns</t>
  </si>
  <si>
    <t>System Metadata &amp; Mapping Standards</t>
  </si>
  <si>
    <t>Generation Date:</t>
  </si>
  <si>
    <t>2026-07-29 21:52:34</t>
  </si>
  <si>
    <t>Last Updated:</t>
  </si>
  <si>
    <t>Rating Range</t>
  </si>
  <si>
    <t>Difficulty Tier</t>
  </si>
  <si>
    <t>XP Points</t>
  </si>
  <si>
    <t>800-1000</t>
  </si>
  <si>
    <t>1100-1300</t>
  </si>
  <si>
    <t>1400-1600</t>
  </si>
  <si>
    <t>1700-1900</t>
  </si>
  <si>
    <t>2000-2200</t>
  </si>
  <si>
    <t>2300-2500</t>
  </si>
  <si>
    <t>2600-3000</t>
  </si>
  <si>
    <t>3100+</t>
  </si>
  <si>
    <t>Kingdom #</t>
  </si>
  <si>
    <t>Kingdom Name</t>
  </si>
  <si>
    <t>Total Patterns</t>
  </si>
  <si>
    <t>Pattern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</si>
</sst>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4E13"/>
      <name val="Calibri"/>
    </font>
    <font>
      <u/>
      <sz val="11"/>
      <color rgb="FF0563C1"/>
      <name val="Calibri"/>
    </font>
    <font>
      <sz val="11"/>
      <name val="Calibri"/>
    </font>
    <font>
      <b/>
      <sz val="11"/>
      <color rgb="FF7F6000"/>
      <name val="Calibri"/>
    </font>
    <font>
      <b/>
      <sz val="11"/>
      <color rgb="FF783F04"/>
      <name val="Calibri"/>
    </font>
    <font>
      <i/>
      <sz val="11"/>
      <color rgb="FF595959"/>
      <name val="Calibri"/>
    </font>
    <font>
      <b/>
      <sz val="11"/>
      <color rgb="FF660000"/>
      <name val="Calibri"/>
    </font>
    <font>
      <b/>
      <sz val="14"/>
      <color rgb="FF1F4E79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165" fontId="10" fillId="5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/>
    <xf numFmtId="0" fontId="1" fillId="2" borderId="0" xfId="0" applyFont="1" applyFill="1"/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deforces.com/problemset/problem/1538/C" TargetMode="External"/><Relationship Id="rId671" Type="http://schemas.openxmlformats.org/officeDocument/2006/relationships/hyperlink" Target="https://codeforces.com/problemset/problem/1433/F" TargetMode="External"/><Relationship Id="rId769" Type="http://schemas.openxmlformats.org/officeDocument/2006/relationships/hyperlink" Target="https://codeforces.com/problemset/problem/598/C" TargetMode="External"/><Relationship Id="rId21" Type="http://schemas.openxmlformats.org/officeDocument/2006/relationships/hyperlink" Target="https://codeforces.com/problemset/problem/785/A" TargetMode="External"/><Relationship Id="rId324" Type="http://schemas.openxmlformats.org/officeDocument/2006/relationships/hyperlink" Target="https://codeforces.com/problemset/problem/768/A" TargetMode="External"/><Relationship Id="rId531" Type="http://schemas.openxmlformats.org/officeDocument/2006/relationships/hyperlink" Target="https://codeforces.com/problemset/problem/1352/D" TargetMode="External"/><Relationship Id="rId629" Type="http://schemas.openxmlformats.org/officeDocument/2006/relationships/hyperlink" Target="https://codeforces.com/problemset/problem/295/B" TargetMode="External"/><Relationship Id="rId170" Type="http://schemas.openxmlformats.org/officeDocument/2006/relationships/hyperlink" Target="https://codeforces.com/problemset/problem/1187/C" TargetMode="External"/><Relationship Id="rId268" Type="http://schemas.openxmlformats.org/officeDocument/2006/relationships/hyperlink" Target="https://codeforces.com/problemset/problem/1537/D" TargetMode="External"/><Relationship Id="rId475" Type="http://schemas.openxmlformats.org/officeDocument/2006/relationships/hyperlink" Target="https://codeforces.com/problemset/problem/1578/H" TargetMode="External"/><Relationship Id="rId682" Type="http://schemas.openxmlformats.org/officeDocument/2006/relationships/hyperlink" Target="https://codeforces.com/problemset/problem/1391/D" TargetMode="External"/><Relationship Id="rId32" Type="http://schemas.openxmlformats.org/officeDocument/2006/relationships/hyperlink" Target="https://codeforces.com/problemset/problem/1335/A" TargetMode="External"/><Relationship Id="rId128" Type="http://schemas.openxmlformats.org/officeDocument/2006/relationships/hyperlink" Target="https://codeforces.com/problemset/problem/1324/D" TargetMode="External"/><Relationship Id="rId335" Type="http://schemas.openxmlformats.org/officeDocument/2006/relationships/hyperlink" Target="https://codeforces.com/problemset/problem/1501/A" TargetMode="External"/><Relationship Id="rId542" Type="http://schemas.openxmlformats.org/officeDocument/2006/relationships/hyperlink" Target="https://codeforces.com/problemset/problem/1430/F" TargetMode="External"/><Relationship Id="rId181" Type="http://schemas.openxmlformats.org/officeDocument/2006/relationships/hyperlink" Target="https://codeforces.com/problemset/problem/1450/D" TargetMode="External"/><Relationship Id="rId402" Type="http://schemas.openxmlformats.org/officeDocument/2006/relationships/hyperlink" Target="https://codeforces.com/problemset/problem/1096/D" TargetMode="External"/><Relationship Id="rId279" Type="http://schemas.openxmlformats.org/officeDocument/2006/relationships/hyperlink" Target="https://codeforces.com/problemset/problem/520/A" TargetMode="External"/><Relationship Id="rId486" Type="http://schemas.openxmlformats.org/officeDocument/2006/relationships/hyperlink" Target="https://codeforces.com/problemset/problem/1238/B" TargetMode="External"/><Relationship Id="rId693" Type="http://schemas.openxmlformats.org/officeDocument/2006/relationships/hyperlink" Target="https://codeforces.com/problemset/problem/628/D" TargetMode="External"/><Relationship Id="rId707" Type="http://schemas.openxmlformats.org/officeDocument/2006/relationships/hyperlink" Target="https://codeforces.com/problemset/problem/540/D" TargetMode="External"/><Relationship Id="rId43" Type="http://schemas.openxmlformats.org/officeDocument/2006/relationships/hyperlink" Target="https://codeforces.com/problemset/problem/478/B" TargetMode="External"/><Relationship Id="rId139" Type="http://schemas.openxmlformats.org/officeDocument/2006/relationships/hyperlink" Target="https://codeforces.com/problemset/problem/1407/D" TargetMode="External"/><Relationship Id="rId346" Type="http://schemas.openxmlformats.org/officeDocument/2006/relationships/hyperlink" Target="https://codeforces.com/problemset/problem/706/D" TargetMode="External"/><Relationship Id="rId553" Type="http://schemas.openxmlformats.org/officeDocument/2006/relationships/hyperlink" Target="https://codeforces.com/problemset/problem/1029/E" TargetMode="External"/><Relationship Id="rId760" Type="http://schemas.openxmlformats.org/officeDocument/2006/relationships/hyperlink" Target="https://codeforces.com/problemset/problem/1265/C" TargetMode="External"/><Relationship Id="rId192" Type="http://schemas.openxmlformats.org/officeDocument/2006/relationships/hyperlink" Target="https://codeforces.com/problemset/problem/1295/B" TargetMode="External"/><Relationship Id="rId206" Type="http://schemas.openxmlformats.org/officeDocument/2006/relationships/hyperlink" Target="https://codeforces.com/problemset/problem/1371/C" TargetMode="External"/><Relationship Id="rId413" Type="http://schemas.openxmlformats.org/officeDocument/2006/relationships/hyperlink" Target="https://codeforces.com/problemset/problem/1545/B" TargetMode="External"/><Relationship Id="rId497" Type="http://schemas.openxmlformats.org/officeDocument/2006/relationships/hyperlink" Target="https://codeforces.com/problemset/problem/1353/E" TargetMode="External"/><Relationship Id="rId620" Type="http://schemas.openxmlformats.org/officeDocument/2006/relationships/hyperlink" Target="https://codeforces.com/problemset/problem/1076/D" TargetMode="External"/><Relationship Id="rId718" Type="http://schemas.openxmlformats.org/officeDocument/2006/relationships/hyperlink" Target="https://codeforces.com/problemset/problem/986/B" TargetMode="External"/><Relationship Id="rId357" Type="http://schemas.openxmlformats.org/officeDocument/2006/relationships/hyperlink" Target="https://codeforces.com/problemset/problem/732/A" TargetMode="External"/><Relationship Id="rId54" Type="http://schemas.openxmlformats.org/officeDocument/2006/relationships/hyperlink" Target="https://codeforces.com/problemset/problem/1382/A" TargetMode="External"/><Relationship Id="rId217" Type="http://schemas.openxmlformats.org/officeDocument/2006/relationships/hyperlink" Target="https://codeforces.com/problemset/problem/371/C" TargetMode="External"/><Relationship Id="rId564" Type="http://schemas.openxmlformats.org/officeDocument/2006/relationships/hyperlink" Target="https://codeforces.com/problemset/problem/274/B" TargetMode="External"/><Relationship Id="rId771" Type="http://schemas.openxmlformats.org/officeDocument/2006/relationships/hyperlink" Target="https://codeforces.com/problemset/problem/961/D" TargetMode="External"/><Relationship Id="rId424" Type="http://schemas.openxmlformats.org/officeDocument/2006/relationships/hyperlink" Target="https://codeforces.com/problemset/problem/559/B" TargetMode="External"/><Relationship Id="rId631" Type="http://schemas.openxmlformats.org/officeDocument/2006/relationships/hyperlink" Target="https://codeforces.com/problemset/problem/1205/B" TargetMode="External"/><Relationship Id="rId729" Type="http://schemas.openxmlformats.org/officeDocument/2006/relationships/hyperlink" Target="https://codeforces.com/problemset/problem/863/E" TargetMode="External"/><Relationship Id="rId270" Type="http://schemas.openxmlformats.org/officeDocument/2006/relationships/hyperlink" Target="https://codeforces.com/problemset/problem/1705/B" TargetMode="External"/><Relationship Id="rId65" Type="http://schemas.openxmlformats.org/officeDocument/2006/relationships/hyperlink" Target="https://codeforces.com/problemset/problem/1676/A" TargetMode="External"/><Relationship Id="rId130" Type="http://schemas.openxmlformats.org/officeDocument/2006/relationships/hyperlink" Target="https://codeforces.com/problemset/problem/1400/C" TargetMode="External"/><Relationship Id="rId368" Type="http://schemas.openxmlformats.org/officeDocument/2006/relationships/hyperlink" Target="https://codeforces.com/problemset/problem/1370/A" TargetMode="External"/><Relationship Id="rId575" Type="http://schemas.openxmlformats.org/officeDocument/2006/relationships/hyperlink" Target="https://codeforces.com/problemset/problem/519/E" TargetMode="External"/><Relationship Id="rId782" Type="http://schemas.openxmlformats.org/officeDocument/2006/relationships/hyperlink" Target="https://codeforces.com/problemset/problem/1520/B" TargetMode="External"/><Relationship Id="rId228" Type="http://schemas.openxmlformats.org/officeDocument/2006/relationships/hyperlink" Target="https://codeforces.com/problemset/problem/1030/D" TargetMode="External"/><Relationship Id="rId435" Type="http://schemas.openxmlformats.org/officeDocument/2006/relationships/hyperlink" Target="https://codeforces.com/problemset/problem/750/D" TargetMode="External"/><Relationship Id="rId642" Type="http://schemas.openxmlformats.org/officeDocument/2006/relationships/hyperlink" Target="https://codeforces.com/problemset/problem/653/D" TargetMode="External"/><Relationship Id="rId281" Type="http://schemas.openxmlformats.org/officeDocument/2006/relationships/hyperlink" Target="https://codeforces.com/problemset/problem/1095/A" TargetMode="External"/><Relationship Id="rId502" Type="http://schemas.openxmlformats.org/officeDocument/2006/relationships/hyperlink" Target="https://codeforces.com/problemset/problem/1547/D" TargetMode="External"/><Relationship Id="rId76" Type="http://schemas.openxmlformats.org/officeDocument/2006/relationships/hyperlink" Target="https://codeforces.com/problemset/problem/1066/A" TargetMode="External"/><Relationship Id="rId141" Type="http://schemas.openxmlformats.org/officeDocument/2006/relationships/hyperlink" Target="https://codeforces.com/problemset/problem/1512/E" TargetMode="External"/><Relationship Id="rId379" Type="http://schemas.openxmlformats.org/officeDocument/2006/relationships/hyperlink" Target="https://codeforces.com/problemset/problem/803/C" TargetMode="External"/><Relationship Id="rId586" Type="http://schemas.openxmlformats.org/officeDocument/2006/relationships/hyperlink" Target="https://codeforces.com/problemset/problem/570/D" TargetMode="External"/><Relationship Id="rId7" Type="http://schemas.openxmlformats.org/officeDocument/2006/relationships/hyperlink" Target="https://codeforces.com/problemset/problem/479/A" TargetMode="External"/><Relationship Id="rId239" Type="http://schemas.openxmlformats.org/officeDocument/2006/relationships/hyperlink" Target="https://codeforces.com/problemset/problem/1092/C" TargetMode="External"/><Relationship Id="rId446" Type="http://schemas.openxmlformats.org/officeDocument/2006/relationships/hyperlink" Target="https://codeforces.com/problemset/problem/1189/A" TargetMode="External"/><Relationship Id="rId653" Type="http://schemas.openxmlformats.org/officeDocument/2006/relationships/hyperlink" Target="https://codeforces.com/problemset/problem/1559/D2" TargetMode="External"/><Relationship Id="rId292" Type="http://schemas.openxmlformats.org/officeDocument/2006/relationships/hyperlink" Target="https://codeforces.com/problemset/problem/1008/A" TargetMode="External"/><Relationship Id="rId306" Type="http://schemas.openxmlformats.org/officeDocument/2006/relationships/hyperlink" Target="https://codeforces.com/problemset/problem/1493/C" TargetMode="External"/><Relationship Id="rId87" Type="http://schemas.openxmlformats.org/officeDocument/2006/relationships/hyperlink" Target="https://codeforces.com/problemset/problem/1368/A" TargetMode="External"/><Relationship Id="rId513" Type="http://schemas.openxmlformats.org/officeDocument/2006/relationships/hyperlink" Target="https://codeforces.com/problemset/problem/1272/E" TargetMode="External"/><Relationship Id="rId597" Type="http://schemas.openxmlformats.org/officeDocument/2006/relationships/hyperlink" Target="https://codeforces.com/problemset/problem/103/B" TargetMode="External"/><Relationship Id="rId720" Type="http://schemas.openxmlformats.org/officeDocument/2006/relationships/hyperlink" Target="https://codeforces.com/problemset/problem/1093/E" TargetMode="External"/><Relationship Id="rId152" Type="http://schemas.openxmlformats.org/officeDocument/2006/relationships/hyperlink" Target="https://codeforces.com/problemset/problem/1191/C" TargetMode="External"/><Relationship Id="rId457" Type="http://schemas.openxmlformats.org/officeDocument/2006/relationships/hyperlink" Target="https://codeforces.com/problemset/problem/343/B" TargetMode="External"/><Relationship Id="rId664" Type="http://schemas.openxmlformats.org/officeDocument/2006/relationships/hyperlink" Target="https://codeforces.com/problemset/problem/1467/C" TargetMode="External"/><Relationship Id="rId14" Type="http://schemas.openxmlformats.org/officeDocument/2006/relationships/hyperlink" Target="https://codeforces.com/problemset/problem/705/A" TargetMode="External"/><Relationship Id="rId317" Type="http://schemas.openxmlformats.org/officeDocument/2006/relationships/hyperlink" Target="https://codeforces.com/problemset/problem/1267/L" TargetMode="External"/><Relationship Id="rId524" Type="http://schemas.openxmlformats.org/officeDocument/2006/relationships/hyperlink" Target="https://codeforces.com/problemset/problem/1360/C" TargetMode="External"/><Relationship Id="rId731" Type="http://schemas.openxmlformats.org/officeDocument/2006/relationships/hyperlink" Target="https://codeforces.com/problemset/problem/1136/E" TargetMode="External"/><Relationship Id="rId98" Type="http://schemas.openxmlformats.org/officeDocument/2006/relationships/hyperlink" Target="https://codeforces.com/problemset/problem/160/A" TargetMode="External"/><Relationship Id="rId163" Type="http://schemas.openxmlformats.org/officeDocument/2006/relationships/hyperlink" Target="https://codeforces.com/problemset/problem/1498/C" TargetMode="External"/><Relationship Id="rId370" Type="http://schemas.openxmlformats.org/officeDocument/2006/relationships/hyperlink" Target="https://codeforces.com/problemset/problem/1422/A" TargetMode="External"/><Relationship Id="rId230" Type="http://schemas.openxmlformats.org/officeDocument/2006/relationships/hyperlink" Target="https://codeforces.com/problemset/problem/1283/C" TargetMode="External"/><Relationship Id="rId468" Type="http://schemas.openxmlformats.org/officeDocument/2006/relationships/hyperlink" Target="https://codeforces.com/problemset/problem/5/C" TargetMode="External"/><Relationship Id="rId675" Type="http://schemas.openxmlformats.org/officeDocument/2006/relationships/hyperlink" Target="https://codeforces.com/problemset/problem/2/B" TargetMode="External"/><Relationship Id="rId25" Type="http://schemas.openxmlformats.org/officeDocument/2006/relationships/hyperlink" Target="https://codeforces.com/problemset/problem/1030/A" TargetMode="External"/><Relationship Id="rId328" Type="http://schemas.openxmlformats.org/officeDocument/2006/relationships/hyperlink" Target="https://codeforces.com/problemset/problem/1325/B" TargetMode="External"/><Relationship Id="rId535" Type="http://schemas.openxmlformats.org/officeDocument/2006/relationships/hyperlink" Target="https://codeforces.com/problemset/problem/1525/B" TargetMode="External"/><Relationship Id="rId742" Type="http://schemas.openxmlformats.org/officeDocument/2006/relationships/hyperlink" Target="https://codeforces.com/problemset/problem/1093/G" TargetMode="External"/><Relationship Id="rId174" Type="http://schemas.openxmlformats.org/officeDocument/2006/relationships/hyperlink" Target="https://codeforces.com/problemset/problem/1490/F" TargetMode="External"/><Relationship Id="rId381" Type="http://schemas.openxmlformats.org/officeDocument/2006/relationships/hyperlink" Target="https://codeforces.com/problemset/problem/1025/B" TargetMode="External"/><Relationship Id="rId602" Type="http://schemas.openxmlformats.org/officeDocument/2006/relationships/hyperlink" Target="https://codeforces.com/problemset/problem/769/C" TargetMode="External"/><Relationship Id="rId241" Type="http://schemas.openxmlformats.org/officeDocument/2006/relationships/hyperlink" Target="https://codeforces.com/problemset/problem/1203/C" TargetMode="External"/><Relationship Id="rId479" Type="http://schemas.openxmlformats.org/officeDocument/2006/relationships/hyperlink" Target="https://codeforces.com/problemset/problem/1156/E" TargetMode="External"/><Relationship Id="rId686" Type="http://schemas.openxmlformats.org/officeDocument/2006/relationships/hyperlink" Target="https://codeforces.com/problemset/problem/1312/E" TargetMode="External"/><Relationship Id="rId36" Type="http://schemas.openxmlformats.org/officeDocument/2006/relationships/hyperlink" Target="https://codeforces.com/problemset/problem/1385/A" TargetMode="External"/><Relationship Id="rId339" Type="http://schemas.openxmlformats.org/officeDocument/2006/relationships/hyperlink" Target="https://codeforces.com/problemset/problem/429/A" TargetMode="External"/><Relationship Id="rId546" Type="http://schemas.openxmlformats.org/officeDocument/2006/relationships/hyperlink" Target="https://codeforces.com/problemset/problem/337/A" TargetMode="External"/><Relationship Id="rId753" Type="http://schemas.openxmlformats.org/officeDocument/2006/relationships/hyperlink" Target="https://codeforces.com/problemset/problem/301/D" TargetMode="External"/><Relationship Id="rId101" Type="http://schemas.openxmlformats.org/officeDocument/2006/relationships/hyperlink" Target="https://codeforces.com/problemset/problem/580/A" TargetMode="External"/><Relationship Id="rId185" Type="http://schemas.openxmlformats.org/officeDocument/2006/relationships/hyperlink" Target="https://codeforces.com/problemset/problem/602/B" TargetMode="External"/><Relationship Id="rId406" Type="http://schemas.openxmlformats.org/officeDocument/2006/relationships/hyperlink" Target="https://codeforces.com/problemset/problem/300/C" TargetMode="External"/><Relationship Id="rId392" Type="http://schemas.openxmlformats.org/officeDocument/2006/relationships/hyperlink" Target="https://codeforces.com/problemset/problem/1033/D" TargetMode="External"/><Relationship Id="rId613" Type="http://schemas.openxmlformats.org/officeDocument/2006/relationships/hyperlink" Target="https://codeforces.com/problemset/problem/1354/E" TargetMode="External"/><Relationship Id="rId697" Type="http://schemas.openxmlformats.org/officeDocument/2006/relationships/hyperlink" Target="https://codeforces.com/problemset/problem/8/C" TargetMode="External"/><Relationship Id="rId252" Type="http://schemas.openxmlformats.org/officeDocument/2006/relationships/hyperlink" Target="https://codeforces.com/problemset/problem/1428/E" TargetMode="External"/><Relationship Id="rId47" Type="http://schemas.openxmlformats.org/officeDocument/2006/relationships/hyperlink" Target="https://codeforces.com/problemset/problem/1077/C" TargetMode="External"/><Relationship Id="rId112" Type="http://schemas.openxmlformats.org/officeDocument/2006/relationships/hyperlink" Target="https://codeforces.com/problemset/problem/1333/C" TargetMode="External"/><Relationship Id="rId557" Type="http://schemas.openxmlformats.org/officeDocument/2006/relationships/hyperlink" Target="https://codeforces.com/problemset/problem/682/C" TargetMode="External"/><Relationship Id="rId764" Type="http://schemas.openxmlformats.org/officeDocument/2006/relationships/hyperlink" Target="https://codeforces.com/problemset/problem/1270/D" TargetMode="External"/><Relationship Id="rId196" Type="http://schemas.openxmlformats.org/officeDocument/2006/relationships/hyperlink" Target="https://codeforces.com/problemset/problem/701/C" TargetMode="External"/><Relationship Id="rId417" Type="http://schemas.openxmlformats.org/officeDocument/2006/relationships/hyperlink" Target="https://codeforces.com/problemset/problem/900/D" TargetMode="External"/><Relationship Id="rId624" Type="http://schemas.openxmlformats.org/officeDocument/2006/relationships/hyperlink" Target="https://codeforces.com/problemset/problem/59/E" TargetMode="External"/><Relationship Id="rId263" Type="http://schemas.openxmlformats.org/officeDocument/2006/relationships/hyperlink" Target="https://codeforces.com/problemset/problem/1304/D" TargetMode="External"/><Relationship Id="rId470" Type="http://schemas.openxmlformats.org/officeDocument/2006/relationships/hyperlink" Target="https://codeforces.com/problemset/problem/380/C" TargetMode="External"/><Relationship Id="rId58" Type="http://schemas.openxmlformats.org/officeDocument/2006/relationships/hyperlink" Target="https://codeforces.com/problemset/problem/1490/A" TargetMode="External"/><Relationship Id="rId123" Type="http://schemas.openxmlformats.org/officeDocument/2006/relationships/hyperlink" Target="https://codeforces.com/problemset/problem/1042/D" TargetMode="External"/><Relationship Id="rId330" Type="http://schemas.openxmlformats.org/officeDocument/2006/relationships/hyperlink" Target="https://codeforces.com/problemset/problem/1395/C" TargetMode="External"/><Relationship Id="rId568" Type="http://schemas.openxmlformats.org/officeDocument/2006/relationships/hyperlink" Target="https://codeforces.com/problemset/problem/1118/F2" TargetMode="External"/><Relationship Id="rId775" Type="http://schemas.openxmlformats.org/officeDocument/2006/relationships/hyperlink" Target="https://codeforces.com/problemset/problem/617/D" TargetMode="External"/><Relationship Id="rId428" Type="http://schemas.openxmlformats.org/officeDocument/2006/relationships/hyperlink" Target="https://codeforces.com/problemset/problem/1174/B" TargetMode="External"/><Relationship Id="rId635" Type="http://schemas.openxmlformats.org/officeDocument/2006/relationships/hyperlink" Target="https://codeforces.com/problemset/problem/1249/B2" TargetMode="External"/><Relationship Id="rId274" Type="http://schemas.openxmlformats.org/officeDocument/2006/relationships/hyperlink" Target="https://codeforces.com/problemset/problem/112/A" TargetMode="External"/><Relationship Id="rId481" Type="http://schemas.openxmlformats.org/officeDocument/2006/relationships/hyperlink" Target="https://codeforces.com/problemset/problem/1313/C2" TargetMode="External"/><Relationship Id="rId702" Type="http://schemas.openxmlformats.org/officeDocument/2006/relationships/hyperlink" Target="https://codeforces.com/problemset/problem/721/C" TargetMode="External"/><Relationship Id="rId69" Type="http://schemas.openxmlformats.org/officeDocument/2006/relationships/hyperlink" Target="https://codeforces.com/problemset/problem/500/A" TargetMode="External"/><Relationship Id="rId134" Type="http://schemas.openxmlformats.org/officeDocument/2006/relationships/hyperlink" Target="https://codeforces.com/problemset/problem/1547/C" TargetMode="External"/><Relationship Id="rId579" Type="http://schemas.openxmlformats.org/officeDocument/2006/relationships/hyperlink" Target="https://codeforces.com/problemset/problem/916/E" TargetMode="External"/><Relationship Id="rId786" Type="http://schemas.openxmlformats.org/officeDocument/2006/relationships/hyperlink" Target="https://codeforces.com/problemset/problem/1039/D" TargetMode="External"/><Relationship Id="rId341" Type="http://schemas.openxmlformats.org/officeDocument/2006/relationships/hyperlink" Target="https://codeforces.com/problemset/problem/580/D" TargetMode="External"/><Relationship Id="rId439" Type="http://schemas.openxmlformats.org/officeDocument/2006/relationships/hyperlink" Target="https://codeforces.com/problemset/problem/1059/B" TargetMode="External"/><Relationship Id="rId646" Type="http://schemas.openxmlformats.org/officeDocument/2006/relationships/hyperlink" Target="https://codeforces.com/problemset/problem/1466/F" TargetMode="External"/><Relationship Id="rId201" Type="http://schemas.openxmlformats.org/officeDocument/2006/relationships/hyperlink" Target="https://codeforces.com/problemset/problem/1605/C" TargetMode="External"/><Relationship Id="rId285" Type="http://schemas.openxmlformats.org/officeDocument/2006/relationships/hyperlink" Target="https://codeforces.com/problemset/problem/1295/A" TargetMode="External"/><Relationship Id="rId506" Type="http://schemas.openxmlformats.org/officeDocument/2006/relationships/hyperlink" Target="https://codeforces.com/problemset/problem/939/F" TargetMode="External"/><Relationship Id="rId492" Type="http://schemas.openxmlformats.org/officeDocument/2006/relationships/hyperlink" Target="https://codeforces.com/problemset/problem/1195/B" TargetMode="External"/><Relationship Id="rId713" Type="http://schemas.openxmlformats.org/officeDocument/2006/relationships/hyperlink" Target="https://codeforces.com/problemset/problem/319/C" TargetMode="External"/><Relationship Id="rId145" Type="http://schemas.openxmlformats.org/officeDocument/2006/relationships/hyperlink" Target="https://codeforces.com/problemset/problem/1623/C" TargetMode="External"/><Relationship Id="rId352" Type="http://schemas.openxmlformats.org/officeDocument/2006/relationships/hyperlink" Target="https://codeforces.com/problemset/problem/1658/D2" TargetMode="External"/><Relationship Id="rId212" Type="http://schemas.openxmlformats.org/officeDocument/2006/relationships/hyperlink" Target="https://codeforces.com/problemset/problem/1006/F" TargetMode="External"/><Relationship Id="rId657" Type="http://schemas.openxmlformats.org/officeDocument/2006/relationships/hyperlink" Target="https://codeforces.com/problemset/problem/698/A" TargetMode="External"/><Relationship Id="rId296" Type="http://schemas.openxmlformats.org/officeDocument/2006/relationships/hyperlink" Target="https://codeforces.com/problemset/problem/1430/C" TargetMode="External"/><Relationship Id="rId517" Type="http://schemas.openxmlformats.org/officeDocument/2006/relationships/hyperlink" Target="https://codeforces.com/problemset/problem/722/C" TargetMode="External"/><Relationship Id="rId724" Type="http://schemas.openxmlformats.org/officeDocument/2006/relationships/hyperlink" Target="https://codeforces.com/problemset/problem/1603/C" TargetMode="External"/><Relationship Id="rId60" Type="http://schemas.openxmlformats.org/officeDocument/2006/relationships/hyperlink" Target="https://codeforces.com/problemset/problem/1520/A" TargetMode="External"/><Relationship Id="rId156" Type="http://schemas.openxmlformats.org/officeDocument/2006/relationships/hyperlink" Target="https://codeforces.com/problemset/problem/1430/D" TargetMode="External"/><Relationship Id="rId363" Type="http://schemas.openxmlformats.org/officeDocument/2006/relationships/hyperlink" Target="https://codeforces.com/problemset/problem/1245/A" TargetMode="External"/><Relationship Id="rId570" Type="http://schemas.openxmlformats.org/officeDocument/2006/relationships/hyperlink" Target="https://codeforces.com/problemset/problem/1280/C" TargetMode="External"/><Relationship Id="rId223" Type="http://schemas.openxmlformats.org/officeDocument/2006/relationships/hyperlink" Target="https://codeforces.com/problemset/problem/1168/A" TargetMode="External"/><Relationship Id="rId430" Type="http://schemas.openxmlformats.org/officeDocument/2006/relationships/hyperlink" Target="https://codeforces.com/problemset/problem/1454/E" TargetMode="External"/><Relationship Id="rId668" Type="http://schemas.openxmlformats.org/officeDocument/2006/relationships/hyperlink" Target="https://codeforces.com/problemset/problem/543/A" TargetMode="External"/><Relationship Id="rId18" Type="http://schemas.openxmlformats.org/officeDocument/2006/relationships/hyperlink" Target="https://codeforces.com/problemset/problem/746/A" TargetMode="External"/><Relationship Id="rId528" Type="http://schemas.openxmlformats.org/officeDocument/2006/relationships/hyperlink" Target="https://codeforces.com/problemset/problem/975/C" TargetMode="External"/><Relationship Id="rId735" Type="http://schemas.openxmlformats.org/officeDocument/2006/relationships/hyperlink" Target="https://codeforces.com/problemset/problem/1555/E" TargetMode="External"/><Relationship Id="rId167" Type="http://schemas.openxmlformats.org/officeDocument/2006/relationships/hyperlink" Target="https://codeforces.com/problemset/problem/817/F" TargetMode="External"/><Relationship Id="rId374" Type="http://schemas.openxmlformats.org/officeDocument/2006/relationships/hyperlink" Target="https://codeforces.com/problemset/problem/7/C" TargetMode="External"/><Relationship Id="rId581" Type="http://schemas.openxmlformats.org/officeDocument/2006/relationships/hyperlink" Target="https://codeforces.com/problemset/problem/1702/G1" TargetMode="External"/><Relationship Id="rId71" Type="http://schemas.openxmlformats.org/officeDocument/2006/relationships/hyperlink" Target="https://codeforces.com/problemset/problem/545/A" TargetMode="External"/><Relationship Id="rId234" Type="http://schemas.openxmlformats.org/officeDocument/2006/relationships/hyperlink" Target="https://codeforces.com/problemset/problem/1312/B" TargetMode="External"/><Relationship Id="rId679" Type="http://schemas.openxmlformats.org/officeDocument/2006/relationships/hyperlink" Target="https://codeforces.com/problemset/problem/954/F" TargetMode="External"/><Relationship Id="rId2" Type="http://schemas.openxmlformats.org/officeDocument/2006/relationships/hyperlink" Target="https://codeforces.com/problemset/problem/266/A" TargetMode="External"/><Relationship Id="rId29" Type="http://schemas.openxmlformats.org/officeDocument/2006/relationships/hyperlink" Target="https://codeforces.com/problemset/problem/116/A" TargetMode="External"/><Relationship Id="rId441" Type="http://schemas.openxmlformats.org/officeDocument/2006/relationships/hyperlink" Target="https://codeforces.com/problemset/problem/1243/B2" TargetMode="External"/><Relationship Id="rId539" Type="http://schemas.openxmlformats.org/officeDocument/2006/relationships/hyperlink" Target="https://codeforces.com/problemset/problem/652/D" TargetMode="External"/><Relationship Id="rId746" Type="http://schemas.openxmlformats.org/officeDocument/2006/relationships/hyperlink" Target="https://codeforces.com/problemset/problem/1262/D2" TargetMode="External"/><Relationship Id="rId178" Type="http://schemas.openxmlformats.org/officeDocument/2006/relationships/hyperlink" Target="https://codeforces.com/problemset/problem/862/C" TargetMode="External"/><Relationship Id="rId301" Type="http://schemas.openxmlformats.org/officeDocument/2006/relationships/hyperlink" Target="https://codeforces.com/problemset/problem/1367/D" TargetMode="External"/><Relationship Id="rId82" Type="http://schemas.openxmlformats.org/officeDocument/2006/relationships/hyperlink" Target="https://codeforces.com/problemset/problem/1208/A" TargetMode="External"/><Relationship Id="rId385" Type="http://schemas.openxmlformats.org/officeDocument/2006/relationships/hyperlink" Target="https://codeforces.com/problemset/problem/1548/B" TargetMode="External"/><Relationship Id="rId592" Type="http://schemas.openxmlformats.org/officeDocument/2006/relationships/hyperlink" Target="https://codeforces.com/problemset/problem/445/B" TargetMode="External"/><Relationship Id="rId606" Type="http://schemas.openxmlformats.org/officeDocument/2006/relationships/hyperlink" Target="https://codeforces.com/problemset/problem/1100/E" TargetMode="External"/><Relationship Id="rId245" Type="http://schemas.openxmlformats.org/officeDocument/2006/relationships/hyperlink" Target="https://codeforces.com/problemset/problem/913/D" TargetMode="External"/><Relationship Id="rId452" Type="http://schemas.openxmlformats.org/officeDocument/2006/relationships/hyperlink" Target="https://codeforces.com/problemset/problem/873/D" TargetMode="External"/><Relationship Id="rId105" Type="http://schemas.openxmlformats.org/officeDocument/2006/relationships/hyperlink" Target="https://codeforces.com/problemset/problem/812/C" TargetMode="External"/><Relationship Id="rId312" Type="http://schemas.openxmlformats.org/officeDocument/2006/relationships/hyperlink" Target="https://codeforces.com/problemset/problem/1326/D2" TargetMode="External"/><Relationship Id="rId757" Type="http://schemas.openxmlformats.org/officeDocument/2006/relationships/hyperlink" Target="https://codeforces.com/problemset/problem/1091/C" TargetMode="External"/><Relationship Id="rId93" Type="http://schemas.openxmlformats.org/officeDocument/2006/relationships/hyperlink" Target="https://codeforces.com/problemset/problem/1535/A" TargetMode="External"/><Relationship Id="rId189" Type="http://schemas.openxmlformats.org/officeDocument/2006/relationships/hyperlink" Target="https://codeforces.com/problemset/problem/1157/C2" TargetMode="External"/><Relationship Id="rId396" Type="http://schemas.openxmlformats.org/officeDocument/2006/relationships/hyperlink" Target="https://codeforces.com/problemset/problem/1475/G" TargetMode="External"/><Relationship Id="rId617" Type="http://schemas.openxmlformats.org/officeDocument/2006/relationships/hyperlink" Target="https://codeforces.com/problemset/problem/449/B" TargetMode="External"/><Relationship Id="rId256" Type="http://schemas.openxmlformats.org/officeDocument/2006/relationships/hyperlink" Target="https://codeforces.com/problemset/problem/1140/C" TargetMode="External"/><Relationship Id="rId463" Type="http://schemas.openxmlformats.org/officeDocument/2006/relationships/hyperlink" Target="https://codeforces.com/problemset/problem/1154/E" TargetMode="External"/><Relationship Id="rId670" Type="http://schemas.openxmlformats.org/officeDocument/2006/relationships/hyperlink" Target="https://codeforces.com/problemset/problem/1155/D" TargetMode="External"/><Relationship Id="rId116" Type="http://schemas.openxmlformats.org/officeDocument/2006/relationships/hyperlink" Target="https://codeforces.com/problemset/problem/1519/C" TargetMode="External"/><Relationship Id="rId323" Type="http://schemas.openxmlformats.org/officeDocument/2006/relationships/hyperlink" Target="https://codeforces.com/problemset/problem/579/A" TargetMode="External"/><Relationship Id="rId530" Type="http://schemas.openxmlformats.org/officeDocument/2006/relationships/hyperlink" Target="https://codeforces.com/problemset/problem/1237/C2" TargetMode="External"/><Relationship Id="rId768" Type="http://schemas.openxmlformats.org/officeDocument/2006/relationships/hyperlink" Target="https://codeforces.com/problemset/problem/166/B" TargetMode="External"/><Relationship Id="rId20" Type="http://schemas.openxmlformats.org/officeDocument/2006/relationships/hyperlink" Target="https://codeforces.com/problemset/problem/758/A" TargetMode="External"/><Relationship Id="rId628" Type="http://schemas.openxmlformats.org/officeDocument/2006/relationships/hyperlink" Target="https://codeforces.com/problemset/problem/1394/A" TargetMode="External"/><Relationship Id="rId267" Type="http://schemas.openxmlformats.org/officeDocument/2006/relationships/hyperlink" Target="https://codeforces.com/problemset/problem/1506/F" TargetMode="External"/><Relationship Id="rId474" Type="http://schemas.openxmlformats.org/officeDocument/2006/relationships/hyperlink" Target="https://codeforces.com/problemset/problem/1452/C" TargetMode="External"/><Relationship Id="rId127" Type="http://schemas.openxmlformats.org/officeDocument/2006/relationships/hyperlink" Target="https://codeforces.com/problemset/problem/1230/C" TargetMode="External"/><Relationship Id="rId681" Type="http://schemas.openxmlformats.org/officeDocument/2006/relationships/hyperlink" Target="https://codeforces.com/problemset/problem/1353/F" TargetMode="External"/><Relationship Id="rId779" Type="http://schemas.openxmlformats.org/officeDocument/2006/relationships/hyperlink" Target="https://codeforces.com/problemset/problem/1698/D" TargetMode="External"/><Relationship Id="rId31" Type="http://schemas.openxmlformats.org/officeDocument/2006/relationships/hyperlink" Target="https://codeforces.com/problemset/problem/1294/A" TargetMode="External"/><Relationship Id="rId334" Type="http://schemas.openxmlformats.org/officeDocument/2006/relationships/hyperlink" Target="https://codeforces.com/problemset/problem/1491/A" TargetMode="External"/><Relationship Id="rId541" Type="http://schemas.openxmlformats.org/officeDocument/2006/relationships/hyperlink" Target="https://codeforces.com/problemset/problem/1354/D" TargetMode="External"/><Relationship Id="rId639" Type="http://schemas.openxmlformats.org/officeDocument/2006/relationships/hyperlink" Target="https://codeforces.com/problemset/problem/25/D" TargetMode="External"/><Relationship Id="rId180" Type="http://schemas.openxmlformats.org/officeDocument/2006/relationships/hyperlink" Target="https://codeforces.com/problemset/problem/1110/E" TargetMode="External"/><Relationship Id="rId278" Type="http://schemas.openxmlformats.org/officeDocument/2006/relationships/hyperlink" Target="https://codeforces.com/problemset/problem/472/A" TargetMode="External"/><Relationship Id="rId401" Type="http://schemas.openxmlformats.org/officeDocument/2006/relationships/hyperlink" Target="https://codeforces.com/problemset/problem/895/C" TargetMode="External"/><Relationship Id="rId485" Type="http://schemas.openxmlformats.org/officeDocument/2006/relationships/hyperlink" Target="https://codeforces.com/problemset/problem/1381/B" TargetMode="External"/><Relationship Id="rId692" Type="http://schemas.openxmlformats.org/officeDocument/2006/relationships/hyperlink" Target="https://codeforces.com/problemset/problem/431/D" TargetMode="External"/><Relationship Id="rId706" Type="http://schemas.openxmlformats.org/officeDocument/2006/relationships/hyperlink" Target="https://codeforces.com/problemset/problem/235/B" TargetMode="External"/><Relationship Id="rId42" Type="http://schemas.openxmlformats.org/officeDocument/2006/relationships/hyperlink" Target="https://codeforces.com/problemset/problem/459/B" TargetMode="External"/><Relationship Id="rId138" Type="http://schemas.openxmlformats.org/officeDocument/2006/relationships/hyperlink" Target="https://codeforces.com/problemset/problem/1370/D" TargetMode="External"/><Relationship Id="rId345" Type="http://schemas.openxmlformats.org/officeDocument/2006/relationships/hyperlink" Target="https://codeforces.com/problemset/problem/1523/D" TargetMode="External"/><Relationship Id="rId552" Type="http://schemas.openxmlformats.org/officeDocument/2006/relationships/hyperlink" Target="https://codeforces.com/problemset/problem/987/D" TargetMode="External"/><Relationship Id="rId191" Type="http://schemas.openxmlformats.org/officeDocument/2006/relationships/hyperlink" Target="https://codeforces.com/problemset/problem/1257/C" TargetMode="External"/><Relationship Id="rId205" Type="http://schemas.openxmlformats.org/officeDocument/2006/relationships/hyperlink" Target="https://codeforces.com/problemset/problem/1335/C" TargetMode="External"/><Relationship Id="rId412" Type="http://schemas.openxmlformats.org/officeDocument/2006/relationships/hyperlink" Target="https://codeforces.com/problemset/problem/1420/D" TargetMode="External"/><Relationship Id="rId289" Type="http://schemas.openxmlformats.org/officeDocument/2006/relationships/hyperlink" Target="https://codeforces.com/problemset/problem/554/A" TargetMode="External"/><Relationship Id="rId496" Type="http://schemas.openxmlformats.org/officeDocument/2006/relationships/hyperlink" Target="https://codeforces.com/problemset/problem/1294/D" TargetMode="External"/><Relationship Id="rId717" Type="http://schemas.openxmlformats.org/officeDocument/2006/relationships/hyperlink" Target="https://codeforces.com/problemset/problem/1073/E" TargetMode="External"/><Relationship Id="rId53" Type="http://schemas.openxmlformats.org/officeDocument/2006/relationships/hyperlink" Target="https://codeforces.com/problemset/problem/1360/B" TargetMode="External"/><Relationship Id="rId149" Type="http://schemas.openxmlformats.org/officeDocument/2006/relationships/hyperlink" Target="https://codeforces.com/problemset/problem/433/B" TargetMode="External"/><Relationship Id="rId356" Type="http://schemas.openxmlformats.org/officeDocument/2006/relationships/hyperlink" Target="https://codeforces.com/problemset/problem/742/A" TargetMode="External"/><Relationship Id="rId563" Type="http://schemas.openxmlformats.org/officeDocument/2006/relationships/hyperlink" Target="https://codeforces.com/problemset/problem/1385/F" TargetMode="External"/><Relationship Id="rId770" Type="http://schemas.openxmlformats.org/officeDocument/2006/relationships/hyperlink" Target="https://codeforces.com/problemset/problem/613/A" TargetMode="External"/><Relationship Id="rId216" Type="http://schemas.openxmlformats.org/officeDocument/2006/relationships/hyperlink" Target="https://codeforces.com/problemset/problem/492/B" TargetMode="External"/><Relationship Id="rId423" Type="http://schemas.openxmlformats.org/officeDocument/2006/relationships/hyperlink" Target="https://codeforces.com/problemset/problem/448/C" TargetMode="External"/><Relationship Id="rId258" Type="http://schemas.openxmlformats.org/officeDocument/2006/relationships/hyperlink" Target="https://codeforces.com/problemset/problem/1374/E1" TargetMode="External"/><Relationship Id="rId465" Type="http://schemas.openxmlformats.org/officeDocument/2006/relationships/hyperlink" Target="https://codeforces.com/problemset/problem/1375/C" TargetMode="External"/><Relationship Id="rId630" Type="http://schemas.openxmlformats.org/officeDocument/2006/relationships/hyperlink" Target="https://codeforces.com/problemset/problem/400/D" TargetMode="External"/><Relationship Id="rId672" Type="http://schemas.openxmlformats.org/officeDocument/2006/relationships/hyperlink" Target="https://codeforces.com/problemset/problem/1458/B" TargetMode="External"/><Relationship Id="rId728" Type="http://schemas.openxmlformats.org/officeDocument/2006/relationships/hyperlink" Target="https://codeforces.com/problemset/problem/558/E" TargetMode="External"/><Relationship Id="rId22" Type="http://schemas.openxmlformats.org/officeDocument/2006/relationships/hyperlink" Target="https://codeforces.com/problemset/problem/791/A" TargetMode="External"/><Relationship Id="rId64" Type="http://schemas.openxmlformats.org/officeDocument/2006/relationships/hyperlink" Target="https://codeforces.com/problemset/problem/1619/A" TargetMode="External"/><Relationship Id="rId118" Type="http://schemas.openxmlformats.org/officeDocument/2006/relationships/hyperlink" Target="https://codeforces.com/problemset/problem/1552/C" TargetMode="External"/><Relationship Id="rId325" Type="http://schemas.openxmlformats.org/officeDocument/2006/relationships/hyperlink" Target="https://codeforces.com/problemset/problem/912/A" TargetMode="External"/><Relationship Id="rId367" Type="http://schemas.openxmlformats.org/officeDocument/2006/relationships/hyperlink" Target="https://codeforces.com/problemset/problem/1353/A" TargetMode="External"/><Relationship Id="rId532" Type="http://schemas.openxmlformats.org/officeDocument/2006/relationships/hyperlink" Target="https://codeforces.com/problemset/problem/1382/B" TargetMode="External"/><Relationship Id="rId574" Type="http://schemas.openxmlformats.org/officeDocument/2006/relationships/hyperlink" Target="https://codeforces.com/problemset/problem/208/E" TargetMode="External"/><Relationship Id="rId171" Type="http://schemas.openxmlformats.org/officeDocument/2006/relationships/hyperlink" Target="https://codeforces.com/problemset/problem/1209/E1" TargetMode="External"/><Relationship Id="rId227" Type="http://schemas.openxmlformats.org/officeDocument/2006/relationships/hyperlink" Target="https://codeforces.com/problemset/problem/780/B" TargetMode="External"/><Relationship Id="rId781" Type="http://schemas.openxmlformats.org/officeDocument/2006/relationships/hyperlink" Target="https://codeforces.com/problemset/problem/1485/A" TargetMode="External"/><Relationship Id="rId269" Type="http://schemas.openxmlformats.org/officeDocument/2006/relationships/hyperlink" Target="https://codeforces.com/problemset/problem/1572/A" TargetMode="External"/><Relationship Id="rId434" Type="http://schemas.openxmlformats.org/officeDocument/2006/relationships/hyperlink" Target="https://codeforces.com/problemset/problem/580/C" TargetMode="External"/><Relationship Id="rId476" Type="http://schemas.openxmlformats.org/officeDocument/2006/relationships/hyperlink" Target="https://codeforces.com/problemset/problem/547/B" TargetMode="External"/><Relationship Id="rId641" Type="http://schemas.openxmlformats.org/officeDocument/2006/relationships/hyperlink" Target="https://codeforces.com/problemset/problem/500/B" TargetMode="External"/><Relationship Id="rId683" Type="http://schemas.openxmlformats.org/officeDocument/2006/relationships/hyperlink" Target="https://codeforces.com/problemset/problem/1525/E" TargetMode="External"/><Relationship Id="rId739" Type="http://schemas.openxmlformats.org/officeDocument/2006/relationships/hyperlink" Target="https://codeforces.com/problemset/problem/459/D" TargetMode="External"/><Relationship Id="rId33" Type="http://schemas.openxmlformats.org/officeDocument/2006/relationships/hyperlink" Target="https://codeforces.com/problemset/problem/1352/A" TargetMode="External"/><Relationship Id="rId129" Type="http://schemas.openxmlformats.org/officeDocument/2006/relationships/hyperlink" Target="https://codeforces.com/problemset/problem/1355/C" TargetMode="External"/><Relationship Id="rId280" Type="http://schemas.openxmlformats.org/officeDocument/2006/relationships/hyperlink" Target="https://codeforces.com/problemset/problem/977/B" TargetMode="External"/><Relationship Id="rId336" Type="http://schemas.openxmlformats.org/officeDocument/2006/relationships/hyperlink" Target="https://codeforces.com/problemset/problem/1525/A" TargetMode="External"/><Relationship Id="rId501" Type="http://schemas.openxmlformats.org/officeDocument/2006/relationships/hyperlink" Target="https://codeforces.com/problemset/problem/1512/C" TargetMode="External"/><Relationship Id="rId543" Type="http://schemas.openxmlformats.org/officeDocument/2006/relationships/hyperlink" Target="https://codeforces.com/problemset/problem/1579/E1" TargetMode="External"/><Relationship Id="rId75" Type="http://schemas.openxmlformats.org/officeDocument/2006/relationships/hyperlink" Target="https://codeforces.com/problemset/problem/1015/A" TargetMode="External"/><Relationship Id="rId140" Type="http://schemas.openxmlformats.org/officeDocument/2006/relationships/hyperlink" Target="https://codeforces.com/problemset/problem/1486/D" TargetMode="External"/><Relationship Id="rId182" Type="http://schemas.openxmlformats.org/officeDocument/2006/relationships/hyperlink" Target="https://codeforces.com/problemset/problem/1552/F" TargetMode="External"/><Relationship Id="rId378" Type="http://schemas.openxmlformats.org/officeDocument/2006/relationships/hyperlink" Target="https://codeforces.com/problemset/problem/510/D" TargetMode="External"/><Relationship Id="rId403" Type="http://schemas.openxmlformats.org/officeDocument/2006/relationships/hyperlink" Target="https://codeforces.com/problemset/problem/1359/E" TargetMode="External"/><Relationship Id="rId585" Type="http://schemas.openxmlformats.org/officeDocument/2006/relationships/hyperlink" Target="https://codeforces.com/problemset/problem/1485/E" TargetMode="External"/><Relationship Id="rId750" Type="http://schemas.openxmlformats.org/officeDocument/2006/relationships/hyperlink" Target="https://codeforces.com/problemset/problem/597/C" TargetMode="External"/><Relationship Id="rId792" Type="http://schemas.openxmlformats.org/officeDocument/2006/relationships/hyperlink" Target="https://codeforces.com/problemset/problem/1900/E" TargetMode="External"/><Relationship Id="rId6" Type="http://schemas.openxmlformats.org/officeDocument/2006/relationships/hyperlink" Target="https://codeforces.com/problemset/problem/469/A" TargetMode="External"/><Relationship Id="rId238" Type="http://schemas.openxmlformats.org/officeDocument/2006/relationships/hyperlink" Target="https://codeforces.com/problemset/problem/1005/C" TargetMode="External"/><Relationship Id="rId445" Type="http://schemas.openxmlformats.org/officeDocument/2006/relationships/hyperlink" Target="https://codeforces.com/problemset/problem/1501/C" TargetMode="External"/><Relationship Id="rId487" Type="http://schemas.openxmlformats.org/officeDocument/2006/relationships/hyperlink" Target="https://codeforces.com/problemset/problem/939/C" TargetMode="External"/><Relationship Id="rId610" Type="http://schemas.openxmlformats.org/officeDocument/2006/relationships/hyperlink" Target="https://codeforces.com/problemset/problem/687/A" TargetMode="External"/><Relationship Id="rId652" Type="http://schemas.openxmlformats.org/officeDocument/2006/relationships/hyperlink" Target="https://codeforces.com/problemset/problem/1559/D1" TargetMode="External"/><Relationship Id="rId694" Type="http://schemas.openxmlformats.org/officeDocument/2006/relationships/hyperlink" Target="https://codeforces.com/problemset/problem/855/E" TargetMode="External"/><Relationship Id="rId708" Type="http://schemas.openxmlformats.org/officeDocument/2006/relationships/hyperlink" Target="https://codeforces.com/problemset/problem/908/D" TargetMode="External"/><Relationship Id="rId291" Type="http://schemas.openxmlformats.org/officeDocument/2006/relationships/hyperlink" Target="https://codeforces.com/problemset/problem/978/B" TargetMode="External"/><Relationship Id="rId305" Type="http://schemas.openxmlformats.org/officeDocument/2006/relationships/hyperlink" Target="https://codeforces.com/problemset/problem/1451/C" TargetMode="External"/><Relationship Id="rId347" Type="http://schemas.openxmlformats.org/officeDocument/2006/relationships/hyperlink" Target="https://codeforces.com/problemset/problem/888/G" TargetMode="External"/><Relationship Id="rId512" Type="http://schemas.openxmlformats.org/officeDocument/2006/relationships/hyperlink" Target="https://codeforces.com/problemset/problem/986/A" TargetMode="External"/><Relationship Id="rId44" Type="http://schemas.openxmlformats.org/officeDocument/2006/relationships/hyperlink" Target="https://codeforces.com/problemset/problem/550/A" TargetMode="External"/><Relationship Id="rId86" Type="http://schemas.openxmlformats.org/officeDocument/2006/relationships/hyperlink" Target="https://codeforces.com/problemset/problem/1355/B" TargetMode="External"/><Relationship Id="rId151" Type="http://schemas.openxmlformats.org/officeDocument/2006/relationships/hyperlink" Target="https://codeforces.com/problemset/problem/816/B" TargetMode="External"/><Relationship Id="rId389" Type="http://schemas.openxmlformats.org/officeDocument/2006/relationships/hyperlink" Target="https://codeforces.com/problemset/problem/577/B" TargetMode="External"/><Relationship Id="rId554" Type="http://schemas.openxmlformats.org/officeDocument/2006/relationships/hyperlink" Target="https://codeforces.com/problemset/problem/1118/F1" TargetMode="External"/><Relationship Id="rId596" Type="http://schemas.openxmlformats.org/officeDocument/2006/relationships/hyperlink" Target="https://codeforces.com/problemset/problem/999/E" TargetMode="External"/><Relationship Id="rId761" Type="http://schemas.openxmlformats.org/officeDocument/2006/relationships/hyperlink" Target="https://codeforces.com/problemset/problem/1340/A" TargetMode="External"/><Relationship Id="rId193" Type="http://schemas.openxmlformats.org/officeDocument/2006/relationships/hyperlink" Target="https://codeforces.com/problemset/problem/1373/C" TargetMode="External"/><Relationship Id="rId207" Type="http://schemas.openxmlformats.org/officeDocument/2006/relationships/hyperlink" Target="https://codeforces.com/problemset/problem/1516/B" TargetMode="External"/><Relationship Id="rId249" Type="http://schemas.openxmlformats.org/officeDocument/2006/relationships/hyperlink" Target="https://codeforces.com/problemset/problem/1249/D2" TargetMode="External"/><Relationship Id="rId414" Type="http://schemas.openxmlformats.org/officeDocument/2006/relationships/hyperlink" Target="https://codeforces.com/problemset/problem/1717/D" TargetMode="External"/><Relationship Id="rId456" Type="http://schemas.openxmlformats.org/officeDocument/2006/relationships/hyperlink" Target="https://codeforces.com/problemset/problem/56/E" TargetMode="External"/><Relationship Id="rId498" Type="http://schemas.openxmlformats.org/officeDocument/2006/relationships/hyperlink" Target="https://codeforces.com/problemset/problem/1393/C" TargetMode="External"/><Relationship Id="rId621" Type="http://schemas.openxmlformats.org/officeDocument/2006/relationships/hyperlink" Target="https://codeforces.com/problemset/problem/1422/D" TargetMode="External"/><Relationship Id="rId663" Type="http://schemas.openxmlformats.org/officeDocument/2006/relationships/hyperlink" Target="https://codeforces.com/problemset/problem/1455/D" TargetMode="External"/><Relationship Id="rId13" Type="http://schemas.openxmlformats.org/officeDocument/2006/relationships/hyperlink" Target="https://codeforces.com/problemset/problem/677/A" TargetMode="External"/><Relationship Id="rId109" Type="http://schemas.openxmlformats.org/officeDocument/2006/relationships/hyperlink" Target="https://codeforces.com/problemset/problem/1029/B" TargetMode="External"/><Relationship Id="rId260" Type="http://schemas.openxmlformats.org/officeDocument/2006/relationships/hyperlink" Target="https://codeforces.com/problemset/problem/1526/C1" TargetMode="External"/><Relationship Id="rId316" Type="http://schemas.openxmlformats.org/officeDocument/2006/relationships/hyperlink" Target="https://codeforces.com/problemset/problem/1137/B" TargetMode="External"/><Relationship Id="rId523" Type="http://schemas.openxmlformats.org/officeDocument/2006/relationships/hyperlink" Target="https://codeforces.com/problemset/problem/1293/A" TargetMode="External"/><Relationship Id="rId719" Type="http://schemas.openxmlformats.org/officeDocument/2006/relationships/hyperlink" Target="https://codeforces.com/problemset/problem/1455/E" TargetMode="External"/><Relationship Id="rId55" Type="http://schemas.openxmlformats.org/officeDocument/2006/relationships/hyperlink" Target="https://codeforces.com/problemset/problem/1398/A" TargetMode="External"/><Relationship Id="rId97" Type="http://schemas.openxmlformats.org/officeDocument/2006/relationships/hyperlink" Target="https://codeforces.com/problemset/problem/34/B" TargetMode="External"/><Relationship Id="rId120" Type="http://schemas.openxmlformats.org/officeDocument/2006/relationships/hyperlink" Target="https://codeforces.com/problemset/problem/1670/B" TargetMode="External"/><Relationship Id="rId358" Type="http://schemas.openxmlformats.org/officeDocument/2006/relationships/hyperlink" Target="https://codeforces.com/problemset/problem/977/A" TargetMode="External"/><Relationship Id="rId565" Type="http://schemas.openxmlformats.org/officeDocument/2006/relationships/hyperlink" Target="https://codeforces.com/problemset/problem/543/D" TargetMode="External"/><Relationship Id="rId730" Type="http://schemas.openxmlformats.org/officeDocument/2006/relationships/hyperlink" Target="https://codeforces.com/problemset/problem/1114/F" TargetMode="External"/><Relationship Id="rId772" Type="http://schemas.openxmlformats.org/officeDocument/2006/relationships/hyperlink" Target="https://codeforces.com/problemset/problem/1299/B" TargetMode="External"/><Relationship Id="rId162" Type="http://schemas.openxmlformats.org/officeDocument/2006/relationships/hyperlink" Target="https://codeforces.com/problemset/problem/1437/C" TargetMode="External"/><Relationship Id="rId218" Type="http://schemas.openxmlformats.org/officeDocument/2006/relationships/hyperlink" Target="https://codeforces.com/problemset/problem/1251/D" TargetMode="External"/><Relationship Id="rId425" Type="http://schemas.openxmlformats.org/officeDocument/2006/relationships/hyperlink" Target="https://codeforces.com/problemset/problem/750/C" TargetMode="External"/><Relationship Id="rId467" Type="http://schemas.openxmlformats.org/officeDocument/2006/relationships/hyperlink" Target="https://codeforces.com/problemset/problem/1462/B" TargetMode="External"/><Relationship Id="rId632" Type="http://schemas.openxmlformats.org/officeDocument/2006/relationships/hyperlink" Target="https://codeforces.com/problemset/problem/939/D" TargetMode="External"/><Relationship Id="rId271" Type="http://schemas.openxmlformats.org/officeDocument/2006/relationships/hyperlink" Target="https://codeforces.com/problemset/problem/41/A" TargetMode="External"/><Relationship Id="rId674" Type="http://schemas.openxmlformats.org/officeDocument/2006/relationships/hyperlink" Target="https://codeforces.com/problemset/problem/1633/D" TargetMode="External"/><Relationship Id="rId24" Type="http://schemas.openxmlformats.org/officeDocument/2006/relationships/hyperlink" Target="https://codeforces.com/problemset/problem/996/A" TargetMode="External"/><Relationship Id="rId66" Type="http://schemas.openxmlformats.org/officeDocument/2006/relationships/hyperlink" Target="https://codeforces.com/problemset/problem/300/A" TargetMode="External"/><Relationship Id="rId131" Type="http://schemas.openxmlformats.org/officeDocument/2006/relationships/hyperlink" Target="https://codeforces.com/problemset/problem/1473/D" TargetMode="External"/><Relationship Id="rId327" Type="http://schemas.openxmlformats.org/officeDocument/2006/relationships/hyperlink" Target="https://codeforces.com/problemset/problem/1299/A" TargetMode="External"/><Relationship Id="rId369" Type="http://schemas.openxmlformats.org/officeDocument/2006/relationships/hyperlink" Target="https://codeforces.com/problemset/problem/1374/B" TargetMode="External"/><Relationship Id="rId534" Type="http://schemas.openxmlformats.org/officeDocument/2006/relationships/hyperlink" Target="https://codeforces.com/problemset/problem/1487/B" TargetMode="External"/><Relationship Id="rId576" Type="http://schemas.openxmlformats.org/officeDocument/2006/relationships/hyperlink" Target="https://codeforces.com/problemset/problem/587/C" TargetMode="External"/><Relationship Id="rId741" Type="http://schemas.openxmlformats.org/officeDocument/2006/relationships/hyperlink" Target="https://codeforces.com/problemset/problem/803/G" TargetMode="External"/><Relationship Id="rId783" Type="http://schemas.openxmlformats.org/officeDocument/2006/relationships/hyperlink" Target="https://codeforces.com/problemset/problem/1562/B" TargetMode="External"/><Relationship Id="rId173" Type="http://schemas.openxmlformats.org/officeDocument/2006/relationships/hyperlink" Target="https://codeforces.com/problemset/problem/1358/D" TargetMode="External"/><Relationship Id="rId229" Type="http://schemas.openxmlformats.org/officeDocument/2006/relationships/hyperlink" Target="https://codeforces.com/problemset/problem/1163/C2" TargetMode="External"/><Relationship Id="rId380" Type="http://schemas.openxmlformats.org/officeDocument/2006/relationships/hyperlink" Target="https://codeforces.com/problemset/problem/891/A" TargetMode="External"/><Relationship Id="rId436" Type="http://schemas.openxmlformats.org/officeDocument/2006/relationships/hyperlink" Target="https://codeforces.com/problemset/problem/864/C" TargetMode="External"/><Relationship Id="rId601" Type="http://schemas.openxmlformats.org/officeDocument/2006/relationships/hyperlink" Target="https://codeforces.com/problemset/problem/510/C" TargetMode="External"/><Relationship Id="rId643" Type="http://schemas.openxmlformats.org/officeDocument/2006/relationships/hyperlink" Target="https://codeforces.com/problemset/problem/891/C" TargetMode="External"/><Relationship Id="rId240" Type="http://schemas.openxmlformats.org/officeDocument/2006/relationships/hyperlink" Target="https://codeforces.com/problemset/problem/1144/D" TargetMode="External"/><Relationship Id="rId478" Type="http://schemas.openxmlformats.org/officeDocument/2006/relationships/hyperlink" Target="https://codeforces.com/problemset/problem/920/F" TargetMode="External"/><Relationship Id="rId685" Type="http://schemas.openxmlformats.org/officeDocument/2006/relationships/hyperlink" Target="https://codeforces.com/problemset/problem/1132/C" TargetMode="External"/><Relationship Id="rId35" Type="http://schemas.openxmlformats.org/officeDocument/2006/relationships/hyperlink" Target="https://codeforces.com/problemset/problem/1374/A" TargetMode="External"/><Relationship Id="rId77" Type="http://schemas.openxmlformats.org/officeDocument/2006/relationships/hyperlink" Target="https://codeforces.com/problemset/problem/1088/B" TargetMode="External"/><Relationship Id="rId100" Type="http://schemas.openxmlformats.org/officeDocument/2006/relationships/hyperlink" Target="https://codeforces.com/problemset/problem/489/B" TargetMode="External"/><Relationship Id="rId282" Type="http://schemas.openxmlformats.org/officeDocument/2006/relationships/hyperlink" Target="https://codeforces.com/problemset/problem/1108/B" TargetMode="External"/><Relationship Id="rId338" Type="http://schemas.openxmlformats.org/officeDocument/2006/relationships/hyperlink" Target="https://codeforces.com/problemset/problem/282/E" TargetMode="External"/><Relationship Id="rId503" Type="http://schemas.openxmlformats.org/officeDocument/2006/relationships/hyperlink" Target="https://codeforces.com/problemset/problem/1574/D" TargetMode="External"/><Relationship Id="rId545" Type="http://schemas.openxmlformats.org/officeDocument/2006/relationships/hyperlink" Target="https://codeforces.com/problemset/problem/219/D" TargetMode="External"/><Relationship Id="rId587" Type="http://schemas.openxmlformats.org/officeDocument/2006/relationships/hyperlink" Target="https://codeforces.com/problemset/problem/620/E" TargetMode="External"/><Relationship Id="rId710" Type="http://schemas.openxmlformats.org/officeDocument/2006/relationships/hyperlink" Target="https://codeforces.com/problemset/problem/1279/D" TargetMode="External"/><Relationship Id="rId752" Type="http://schemas.openxmlformats.org/officeDocument/2006/relationships/hyperlink" Target="https://codeforces.com/problemset/problem/961/E" TargetMode="External"/><Relationship Id="rId8" Type="http://schemas.openxmlformats.org/officeDocument/2006/relationships/hyperlink" Target="https://codeforces.com/problemset/problem/490/A" TargetMode="External"/><Relationship Id="rId142" Type="http://schemas.openxmlformats.org/officeDocument/2006/relationships/hyperlink" Target="https://codeforces.com/problemset/problem/1538/G" TargetMode="External"/><Relationship Id="rId184" Type="http://schemas.openxmlformats.org/officeDocument/2006/relationships/hyperlink" Target="https://codeforces.com/problemset/problem/580/B" TargetMode="External"/><Relationship Id="rId391" Type="http://schemas.openxmlformats.org/officeDocument/2006/relationships/hyperlink" Target="https://codeforces.com/problemset/problem/959/D" TargetMode="External"/><Relationship Id="rId405" Type="http://schemas.openxmlformats.org/officeDocument/2006/relationships/hyperlink" Target="https://codeforces.com/problemset/problem/294/C" TargetMode="External"/><Relationship Id="rId447" Type="http://schemas.openxmlformats.org/officeDocument/2006/relationships/hyperlink" Target="https://codeforces.com/problemset/problem/1225/C" TargetMode="External"/><Relationship Id="rId612" Type="http://schemas.openxmlformats.org/officeDocument/2006/relationships/hyperlink" Target="https://codeforces.com/problemset/problem/1144/F" TargetMode="External"/><Relationship Id="rId251" Type="http://schemas.openxmlformats.org/officeDocument/2006/relationships/hyperlink" Target="https://codeforces.com/problemset/problem/1353/D" TargetMode="External"/><Relationship Id="rId489" Type="http://schemas.openxmlformats.org/officeDocument/2006/relationships/hyperlink" Target="https://codeforces.com/problemset/problem/978/D" TargetMode="External"/><Relationship Id="rId654" Type="http://schemas.openxmlformats.org/officeDocument/2006/relationships/hyperlink" Target="https://codeforces.com/problemset/problem/189/A" TargetMode="External"/><Relationship Id="rId696" Type="http://schemas.openxmlformats.org/officeDocument/2006/relationships/hyperlink" Target="https://codeforces.com/problemset/problem/1225/D" TargetMode="External"/><Relationship Id="rId46" Type="http://schemas.openxmlformats.org/officeDocument/2006/relationships/hyperlink" Target="https://codeforces.com/problemset/problem/1005/B" TargetMode="External"/><Relationship Id="rId293" Type="http://schemas.openxmlformats.org/officeDocument/2006/relationships/hyperlink" Target="https://codeforces.com/problemset/problem/1216/A" TargetMode="External"/><Relationship Id="rId307" Type="http://schemas.openxmlformats.org/officeDocument/2006/relationships/hyperlink" Target="https://codeforces.com/problemset/problem/126/B" TargetMode="External"/><Relationship Id="rId349" Type="http://schemas.openxmlformats.org/officeDocument/2006/relationships/hyperlink" Target="https://codeforces.com/problemset/problem/948/D" TargetMode="External"/><Relationship Id="rId514" Type="http://schemas.openxmlformats.org/officeDocument/2006/relationships/hyperlink" Target="https://codeforces.com/problemset/problem/1294/F" TargetMode="External"/><Relationship Id="rId556" Type="http://schemas.openxmlformats.org/officeDocument/2006/relationships/hyperlink" Target="https://codeforces.com/problemset/problem/1187/E" TargetMode="External"/><Relationship Id="rId721" Type="http://schemas.openxmlformats.org/officeDocument/2006/relationships/hyperlink" Target="https://codeforces.com/problemset/problem/1260/F" TargetMode="External"/><Relationship Id="rId763" Type="http://schemas.openxmlformats.org/officeDocument/2006/relationships/hyperlink" Target="https://codeforces.com/problemset/problem/1612/B" TargetMode="External"/><Relationship Id="rId88" Type="http://schemas.openxmlformats.org/officeDocument/2006/relationships/hyperlink" Target="https://codeforces.com/problemset/problem/1407/A" TargetMode="External"/><Relationship Id="rId111" Type="http://schemas.openxmlformats.org/officeDocument/2006/relationships/hyperlink" Target="https://codeforces.com/problemset/problem/1294/C" TargetMode="External"/><Relationship Id="rId153" Type="http://schemas.openxmlformats.org/officeDocument/2006/relationships/hyperlink" Target="https://codeforces.com/problemset/problem/1272/C" TargetMode="External"/><Relationship Id="rId195" Type="http://schemas.openxmlformats.org/officeDocument/2006/relationships/hyperlink" Target="https://codeforces.com/problemset/problem/6/C" TargetMode="External"/><Relationship Id="rId209" Type="http://schemas.openxmlformats.org/officeDocument/2006/relationships/hyperlink" Target="https://codeforces.com/problemset/problem/1561/B" TargetMode="External"/><Relationship Id="rId360" Type="http://schemas.openxmlformats.org/officeDocument/2006/relationships/hyperlink" Target="https://codeforces.com/problemset/problem/119/A" TargetMode="External"/><Relationship Id="rId416" Type="http://schemas.openxmlformats.org/officeDocument/2006/relationships/hyperlink" Target="https://codeforces.com/problemset/problem/803/F" TargetMode="External"/><Relationship Id="rId598" Type="http://schemas.openxmlformats.org/officeDocument/2006/relationships/hyperlink" Target="https://codeforces.com/problemset/problem/1243/D" TargetMode="External"/><Relationship Id="rId220" Type="http://schemas.openxmlformats.org/officeDocument/2006/relationships/hyperlink" Target="https://codeforces.com/problemset/problem/670/D2" TargetMode="External"/><Relationship Id="rId458" Type="http://schemas.openxmlformats.org/officeDocument/2006/relationships/hyperlink" Target="https://codeforces.com/problemset/problem/847/B" TargetMode="External"/><Relationship Id="rId623" Type="http://schemas.openxmlformats.org/officeDocument/2006/relationships/hyperlink" Target="https://codeforces.com/problemset/problem/1705/E" TargetMode="External"/><Relationship Id="rId665" Type="http://schemas.openxmlformats.org/officeDocument/2006/relationships/hyperlink" Target="https://codeforces.com/problemset/problem/1472/C" TargetMode="External"/><Relationship Id="rId15" Type="http://schemas.openxmlformats.org/officeDocument/2006/relationships/hyperlink" Target="https://codeforces.com/problemset/problem/723/A" TargetMode="External"/><Relationship Id="rId57" Type="http://schemas.openxmlformats.org/officeDocument/2006/relationships/hyperlink" Target="https://codeforces.com/problemset/problem/1472/B" TargetMode="External"/><Relationship Id="rId262" Type="http://schemas.openxmlformats.org/officeDocument/2006/relationships/hyperlink" Target="https://codeforces.com/problemset/problem/1579/D" TargetMode="External"/><Relationship Id="rId318" Type="http://schemas.openxmlformats.org/officeDocument/2006/relationships/hyperlink" Target="https://codeforces.com/problemset/problem/271/D" TargetMode="External"/><Relationship Id="rId525" Type="http://schemas.openxmlformats.org/officeDocument/2006/relationships/hyperlink" Target="https://codeforces.com/problemset/problem/1409/B" TargetMode="External"/><Relationship Id="rId567" Type="http://schemas.openxmlformats.org/officeDocument/2006/relationships/hyperlink" Target="https://codeforces.com/problemset/problem/1099/F" TargetMode="External"/><Relationship Id="rId732" Type="http://schemas.openxmlformats.org/officeDocument/2006/relationships/hyperlink" Target="https://codeforces.com/problemset/problem/1252/G" TargetMode="External"/><Relationship Id="rId99" Type="http://schemas.openxmlformats.org/officeDocument/2006/relationships/hyperlink" Target="https://codeforces.com/problemset/problem/230/A" TargetMode="External"/><Relationship Id="rId122" Type="http://schemas.openxmlformats.org/officeDocument/2006/relationships/hyperlink" Target="https://codeforces.com/problemset/problem/1000/C" TargetMode="External"/><Relationship Id="rId164" Type="http://schemas.openxmlformats.org/officeDocument/2006/relationships/hyperlink" Target="https://codeforces.com/problemset/problem/1513/C" TargetMode="External"/><Relationship Id="rId371" Type="http://schemas.openxmlformats.org/officeDocument/2006/relationships/hyperlink" Target="https://codeforces.com/problemset/problem/1472/A" TargetMode="External"/><Relationship Id="rId774" Type="http://schemas.openxmlformats.org/officeDocument/2006/relationships/hyperlink" Target="https://codeforces.com/problemset/problem/166/A" TargetMode="External"/><Relationship Id="rId427" Type="http://schemas.openxmlformats.org/officeDocument/2006/relationships/hyperlink" Target="https://codeforces.com/problemset/problem/1030/C" TargetMode="External"/><Relationship Id="rId469" Type="http://schemas.openxmlformats.org/officeDocument/2006/relationships/hyperlink" Target="https://codeforces.com/problemset/problem/26/B" TargetMode="External"/><Relationship Id="rId634" Type="http://schemas.openxmlformats.org/officeDocument/2006/relationships/hyperlink" Target="https://codeforces.com/problemset/problem/1249/B1" TargetMode="External"/><Relationship Id="rId676" Type="http://schemas.openxmlformats.org/officeDocument/2006/relationships/hyperlink" Target="https://codeforces.com/problemset/problem/429/B" TargetMode="External"/><Relationship Id="rId26" Type="http://schemas.openxmlformats.org/officeDocument/2006/relationships/hyperlink" Target="https://codeforces.com/problemset/problem/1097/A" TargetMode="External"/><Relationship Id="rId231" Type="http://schemas.openxmlformats.org/officeDocument/2006/relationships/hyperlink" Target="https://codeforces.com/problemset/problem/1301/D" TargetMode="External"/><Relationship Id="rId273" Type="http://schemas.openxmlformats.org/officeDocument/2006/relationships/hyperlink" Target="https://codeforces.com/problemset/problem/96/A" TargetMode="External"/><Relationship Id="rId329" Type="http://schemas.openxmlformats.org/officeDocument/2006/relationships/hyperlink" Target="https://codeforces.com/problemset/problem/1362/A" TargetMode="External"/><Relationship Id="rId480" Type="http://schemas.openxmlformats.org/officeDocument/2006/relationships/hyperlink" Target="https://codeforces.com/problemset/problem/1237/D" TargetMode="External"/><Relationship Id="rId536" Type="http://schemas.openxmlformats.org/officeDocument/2006/relationships/hyperlink" Target="https://codeforces.com/problemset/problem/1299/C" TargetMode="External"/><Relationship Id="rId701" Type="http://schemas.openxmlformats.org/officeDocument/2006/relationships/hyperlink" Target="https://codeforces.com/problemset/problem/321/E" TargetMode="External"/><Relationship Id="rId68" Type="http://schemas.openxmlformats.org/officeDocument/2006/relationships/hyperlink" Target="https://codeforces.com/problemset/problem/478/A" TargetMode="External"/><Relationship Id="rId133" Type="http://schemas.openxmlformats.org/officeDocument/2006/relationships/hyperlink" Target="https://codeforces.com/problemset/problem/1512/D" TargetMode="External"/><Relationship Id="rId175" Type="http://schemas.openxmlformats.org/officeDocument/2006/relationships/hyperlink" Target="https://codeforces.com/problemset/problem/1530/E" TargetMode="External"/><Relationship Id="rId340" Type="http://schemas.openxmlformats.org/officeDocument/2006/relationships/hyperlink" Target="https://codeforces.com/problemset/problem/319/B" TargetMode="External"/><Relationship Id="rId578" Type="http://schemas.openxmlformats.org/officeDocument/2006/relationships/hyperlink" Target="https://codeforces.com/problemset/problem/832/D" TargetMode="External"/><Relationship Id="rId743" Type="http://schemas.openxmlformats.org/officeDocument/2006/relationships/hyperlink" Target="https://codeforces.com/problemset/problem/484/E" TargetMode="External"/><Relationship Id="rId785" Type="http://schemas.openxmlformats.org/officeDocument/2006/relationships/hyperlink" Target="https://codeforces.com/problemset/problem/730/I" TargetMode="External"/><Relationship Id="rId200" Type="http://schemas.openxmlformats.org/officeDocument/2006/relationships/hyperlink" Target="https://codeforces.com/problemset/problem/1234/D" TargetMode="External"/><Relationship Id="rId382" Type="http://schemas.openxmlformats.org/officeDocument/2006/relationships/hyperlink" Target="https://codeforces.com/problemset/problem/1244/C" TargetMode="External"/><Relationship Id="rId438" Type="http://schemas.openxmlformats.org/officeDocument/2006/relationships/hyperlink" Target="https://codeforces.com/problemset/problem/996/C" TargetMode="External"/><Relationship Id="rId603" Type="http://schemas.openxmlformats.org/officeDocument/2006/relationships/hyperlink" Target="https://codeforces.com/problemset/problem/915/D" TargetMode="External"/><Relationship Id="rId645" Type="http://schemas.openxmlformats.org/officeDocument/2006/relationships/hyperlink" Target="https://codeforces.com/problemset/problem/1253/D" TargetMode="External"/><Relationship Id="rId687" Type="http://schemas.openxmlformats.org/officeDocument/2006/relationships/hyperlink" Target="https://codeforces.com/problemset/problem/1509/C" TargetMode="External"/><Relationship Id="rId242" Type="http://schemas.openxmlformats.org/officeDocument/2006/relationships/hyperlink" Target="https://codeforces.com/problemset/problem/1385/C" TargetMode="External"/><Relationship Id="rId284" Type="http://schemas.openxmlformats.org/officeDocument/2006/relationships/hyperlink" Target="https://codeforces.com/problemset/problem/1266/A" TargetMode="External"/><Relationship Id="rId491" Type="http://schemas.openxmlformats.org/officeDocument/2006/relationships/hyperlink" Target="https://codeforces.com/problemset/problem/1104/B" TargetMode="External"/><Relationship Id="rId505" Type="http://schemas.openxmlformats.org/officeDocument/2006/relationships/hyperlink" Target="https://codeforces.com/problemset/problem/445/A" TargetMode="External"/><Relationship Id="rId712" Type="http://schemas.openxmlformats.org/officeDocument/2006/relationships/hyperlink" Target="https://codeforces.com/problemset/problem/1510/D" TargetMode="External"/><Relationship Id="rId37" Type="http://schemas.openxmlformats.org/officeDocument/2006/relationships/hyperlink" Target="https://codeforces.com/problemset/problem/1399/A" TargetMode="External"/><Relationship Id="rId79" Type="http://schemas.openxmlformats.org/officeDocument/2006/relationships/hyperlink" Target="https://codeforces.com/problemset/problem/1108/C" TargetMode="External"/><Relationship Id="rId102" Type="http://schemas.openxmlformats.org/officeDocument/2006/relationships/hyperlink" Target="https://codeforces.com/problemset/problem/659/C" TargetMode="External"/><Relationship Id="rId144" Type="http://schemas.openxmlformats.org/officeDocument/2006/relationships/hyperlink" Target="https://codeforces.com/problemset/problem/1606/C" TargetMode="External"/><Relationship Id="rId547" Type="http://schemas.openxmlformats.org/officeDocument/2006/relationships/hyperlink" Target="https://codeforces.com/problemset/problem/337/D" TargetMode="External"/><Relationship Id="rId589" Type="http://schemas.openxmlformats.org/officeDocument/2006/relationships/hyperlink" Target="https://codeforces.com/problemset/problem/1000/E" TargetMode="External"/><Relationship Id="rId754" Type="http://schemas.openxmlformats.org/officeDocument/2006/relationships/hyperlink" Target="https://codeforces.com/problemset/problem/369/E" TargetMode="External"/><Relationship Id="rId90" Type="http://schemas.openxmlformats.org/officeDocument/2006/relationships/hyperlink" Target="https://codeforces.com/problemset/problem/1466/A" TargetMode="External"/><Relationship Id="rId186" Type="http://schemas.openxmlformats.org/officeDocument/2006/relationships/hyperlink" Target="https://codeforces.com/problemset/problem/616/D" TargetMode="External"/><Relationship Id="rId351" Type="http://schemas.openxmlformats.org/officeDocument/2006/relationships/hyperlink" Target="https://codeforces.com/problemset/problem/1447/E" TargetMode="External"/><Relationship Id="rId393" Type="http://schemas.openxmlformats.org/officeDocument/2006/relationships/hyperlink" Target="https://codeforces.com/problemset/problem/1174/C" TargetMode="External"/><Relationship Id="rId407" Type="http://schemas.openxmlformats.org/officeDocument/2006/relationships/hyperlink" Target="https://codeforces.com/problemset/problem/553/A" TargetMode="External"/><Relationship Id="rId449" Type="http://schemas.openxmlformats.org/officeDocument/2006/relationships/hyperlink" Target="https://codeforces.com/problemset/problem/1366/C" TargetMode="External"/><Relationship Id="rId614" Type="http://schemas.openxmlformats.org/officeDocument/2006/relationships/hyperlink" Target="https://codeforces.com/problemset/problem/1702/E" TargetMode="External"/><Relationship Id="rId656" Type="http://schemas.openxmlformats.org/officeDocument/2006/relationships/hyperlink" Target="https://codeforces.com/problemset/problem/474/D" TargetMode="External"/><Relationship Id="rId211" Type="http://schemas.openxmlformats.org/officeDocument/2006/relationships/hyperlink" Target="https://codeforces.com/problemset/problem/888/E" TargetMode="External"/><Relationship Id="rId253" Type="http://schemas.openxmlformats.org/officeDocument/2006/relationships/hyperlink" Target="https://codeforces.com/problemset/problem/1468/H" TargetMode="External"/><Relationship Id="rId295" Type="http://schemas.openxmlformats.org/officeDocument/2006/relationships/hyperlink" Target="https://codeforces.com/problemset/problem/1368/B" TargetMode="External"/><Relationship Id="rId309" Type="http://schemas.openxmlformats.org/officeDocument/2006/relationships/hyperlink" Target="https://codeforces.com/problemset/problem/471/D" TargetMode="External"/><Relationship Id="rId460" Type="http://schemas.openxmlformats.org/officeDocument/2006/relationships/hyperlink" Target="https://codeforces.com/problemset/problem/1073/B" TargetMode="External"/><Relationship Id="rId516" Type="http://schemas.openxmlformats.org/officeDocument/2006/relationships/hyperlink" Target="https://codeforces.com/problemset/problem/1486/E" TargetMode="External"/><Relationship Id="rId698" Type="http://schemas.openxmlformats.org/officeDocument/2006/relationships/hyperlink" Target="https://codeforces.com/problemset/problem/11/D" TargetMode="External"/><Relationship Id="rId48" Type="http://schemas.openxmlformats.org/officeDocument/2006/relationships/hyperlink" Target="https://codeforces.com/problemset/problem/1141/A" TargetMode="External"/><Relationship Id="rId113" Type="http://schemas.openxmlformats.org/officeDocument/2006/relationships/hyperlink" Target="https://codeforces.com/problemset/problem/1358/B" TargetMode="External"/><Relationship Id="rId320" Type="http://schemas.openxmlformats.org/officeDocument/2006/relationships/hyperlink" Target="https://codeforces.com/problemset/problem/580/E" TargetMode="External"/><Relationship Id="rId558" Type="http://schemas.openxmlformats.org/officeDocument/2006/relationships/hyperlink" Target="https://codeforces.com/problemset/problem/734/E" TargetMode="External"/><Relationship Id="rId723" Type="http://schemas.openxmlformats.org/officeDocument/2006/relationships/hyperlink" Target="https://codeforces.com/problemset/problem/1553/F" TargetMode="External"/><Relationship Id="rId765" Type="http://schemas.openxmlformats.org/officeDocument/2006/relationships/hyperlink" Target="https://codeforces.com/problemset/problem/1451/E1" TargetMode="External"/><Relationship Id="rId155" Type="http://schemas.openxmlformats.org/officeDocument/2006/relationships/hyperlink" Target="https://codeforces.com/problemset/problem/1392/D" TargetMode="External"/><Relationship Id="rId197" Type="http://schemas.openxmlformats.org/officeDocument/2006/relationships/hyperlink" Target="https://codeforces.com/problemset/problem/961/B" TargetMode="External"/><Relationship Id="rId362" Type="http://schemas.openxmlformats.org/officeDocument/2006/relationships/hyperlink" Target="https://codeforces.com/problemset/problem/1220/A" TargetMode="External"/><Relationship Id="rId418" Type="http://schemas.openxmlformats.org/officeDocument/2006/relationships/hyperlink" Target="https://codeforces.com/problemset/problem/915/G" TargetMode="External"/><Relationship Id="rId625" Type="http://schemas.openxmlformats.org/officeDocument/2006/relationships/hyperlink" Target="https://codeforces.com/problemset/problem/567/E" TargetMode="External"/><Relationship Id="rId222" Type="http://schemas.openxmlformats.org/officeDocument/2006/relationships/hyperlink" Target="https://codeforces.com/problemset/problem/448/D" TargetMode="External"/><Relationship Id="rId264" Type="http://schemas.openxmlformats.org/officeDocument/2006/relationships/hyperlink" Target="https://codeforces.com/problemset/problem/1348/C" TargetMode="External"/><Relationship Id="rId471" Type="http://schemas.openxmlformats.org/officeDocument/2006/relationships/hyperlink" Target="https://codeforces.com/problemset/problem/1095/E" TargetMode="External"/><Relationship Id="rId667" Type="http://schemas.openxmlformats.org/officeDocument/2006/relationships/hyperlink" Target="https://codeforces.com/problemset/problem/366/C" TargetMode="External"/><Relationship Id="rId17" Type="http://schemas.openxmlformats.org/officeDocument/2006/relationships/hyperlink" Target="https://codeforces.com/problemset/problem/734/A" TargetMode="External"/><Relationship Id="rId59" Type="http://schemas.openxmlformats.org/officeDocument/2006/relationships/hyperlink" Target="https://codeforces.com/problemset/problem/1512/A" TargetMode="External"/><Relationship Id="rId124" Type="http://schemas.openxmlformats.org/officeDocument/2006/relationships/hyperlink" Target="https://codeforces.com/problemset/problem/1131/C" TargetMode="External"/><Relationship Id="rId527" Type="http://schemas.openxmlformats.org/officeDocument/2006/relationships/hyperlink" Target="https://codeforces.com/problemset/problem/659/D" TargetMode="External"/><Relationship Id="rId569" Type="http://schemas.openxmlformats.org/officeDocument/2006/relationships/hyperlink" Target="https://codeforces.com/problemset/problem/1131/F" TargetMode="External"/><Relationship Id="rId734" Type="http://schemas.openxmlformats.org/officeDocument/2006/relationships/hyperlink" Target="https://codeforces.com/problemset/problem/145/E" TargetMode="External"/><Relationship Id="rId776" Type="http://schemas.openxmlformats.org/officeDocument/2006/relationships/hyperlink" Target="https://codeforces.com/problemset/problem/1195/C" TargetMode="External"/><Relationship Id="rId70" Type="http://schemas.openxmlformats.org/officeDocument/2006/relationships/hyperlink" Target="https://codeforces.com/problemset/problem/518/B" TargetMode="External"/><Relationship Id="rId166" Type="http://schemas.openxmlformats.org/officeDocument/2006/relationships/hyperlink" Target="https://codeforces.com/problemset/problem/276/C" TargetMode="External"/><Relationship Id="rId331" Type="http://schemas.openxmlformats.org/officeDocument/2006/relationships/hyperlink" Target="https://codeforces.com/problemset/problem/1421/A" TargetMode="External"/><Relationship Id="rId373" Type="http://schemas.openxmlformats.org/officeDocument/2006/relationships/hyperlink" Target="https://codeforces.com/problemset/problem/1498/A" TargetMode="External"/><Relationship Id="rId429" Type="http://schemas.openxmlformats.org/officeDocument/2006/relationships/hyperlink" Target="https://codeforces.com/problemset/problem/1363/C" TargetMode="External"/><Relationship Id="rId580" Type="http://schemas.openxmlformats.org/officeDocument/2006/relationships/hyperlink" Target="https://codeforces.com/problemset/problem/1304/E" TargetMode="External"/><Relationship Id="rId636" Type="http://schemas.openxmlformats.org/officeDocument/2006/relationships/hyperlink" Target="https://codeforces.com/problemset/problem/1263/D" TargetMode="External"/><Relationship Id="rId1" Type="http://schemas.openxmlformats.org/officeDocument/2006/relationships/hyperlink" Target="https://codeforces.com/problemset/problem/263/A" TargetMode="External"/><Relationship Id="rId233" Type="http://schemas.openxmlformats.org/officeDocument/2006/relationships/hyperlink" Target="https://codeforces.com/problemset/problem/1256/A" TargetMode="External"/><Relationship Id="rId440" Type="http://schemas.openxmlformats.org/officeDocument/2006/relationships/hyperlink" Target="https://codeforces.com/problemset/problem/1182/C" TargetMode="External"/><Relationship Id="rId678" Type="http://schemas.openxmlformats.org/officeDocument/2006/relationships/hyperlink" Target="https://codeforces.com/problemset/problem/864/E" TargetMode="External"/><Relationship Id="rId28" Type="http://schemas.openxmlformats.org/officeDocument/2006/relationships/hyperlink" Target="https://codeforces.com/problemset/problem/1114/A" TargetMode="External"/><Relationship Id="rId275" Type="http://schemas.openxmlformats.org/officeDocument/2006/relationships/hyperlink" Target="https://codeforces.com/problemset/problem/118/A" TargetMode="External"/><Relationship Id="rId300" Type="http://schemas.openxmlformats.org/officeDocument/2006/relationships/hyperlink" Target="https://codeforces.com/problemset/problem/1200/E" TargetMode="External"/><Relationship Id="rId482" Type="http://schemas.openxmlformats.org/officeDocument/2006/relationships/hyperlink" Target="https://codeforces.com/problemset/problem/1503/C" TargetMode="External"/><Relationship Id="rId538" Type="http://schemas.openxmlformats.org/officeDocument/2006/relationships/hyperlink" Target="https://codeforces.com/problemset/problem/220/B" TargetMode="External"/><Relationship Id="rId703" Type="http://schemas.openxmlformats.org/officeDocument/2006/relationships/hyperlink" Target="https://codeforces.com/problemset/problem/919/D" TargetMode="External"/><Relationship Id="rId745" Type="http://schemas.openxmlformats.org/officeDocument/2006/relationships/hyperlink" Target="https://codeforces.com/problemset/problem/893/F" TargetMode="External"/><Relationship Id="rId81" Type="http://schemas.openxmlformats.org/officeDocument/2006/relationships/hyperlink" Target="https://codeforces.com/problemset/problem/1154/B" TargetMode="External"/><Relationship Id="rId135" Type="http://schemas.openxmlformats.org/officeDocument/2006/relationships/hyperlink" Target="https://codeforces.com/problemset/problem/1567/C" TargetMode="External"/><Relationship Id="rId177" Type="http://schemas.openxmlformats.org/officeDocument/2006/relationships/hyperlink" Target="https://codeforces.com/problemset/problem/703/D" TargetMode="External"/><Relationship Id="rId342" Type="http://schemas.openxmlformats.org/officeDocument/2006/relationships/hyperlink" Target="https://codeforces.com/problemset/problem/839/C" TargetMode="External"/><Relationship Id="rId384" Type="http://schemas.openxmlformats.org/officeDocument/2006/relationships/hyperlink" Target="https://codeforces.com/problemset/problem/1458/A" TargetMode="External"/><Relationship Id="rId591" Type="http://schemas.openxmlformats.org/officeDocument/2006/relationships/hyperlink" Target="https://codeforces.com/problemset/problem/217/A" TargetMode="External"/><Relationship Id="rId605" Type="http://schemas.openxmlformats.org/officeDocument/2006/relationships/hyperlink" Target="https://codeforces.com/problemset/problem/1063/B" TargetMode="External"/><Relationship Id="rId787" Type="http://schemas.openxmlformats.org/officeDocument/2006/relationships/hyperlink" Target="https://codeforces.com/problemset/problem/1187/G" TargetMode="External"/><Relationship Id="rId202" Type="http://schemas.openxmlformats.org/officeDocument/2006/relationships/hyperlink" Target="https://codeforces.com/problemset/problem/676/C" TargetMode="External"/><Relationship Id="rId244" Type="http://schemas.openxmlformats.org/officeDocument/2006/relationships/hyperlink" Target="https://codeforces.com/problemset/problem/527/D" TargetMode="External"/><Relationship Id="rId647" Type="http://schemas.openxmlformats.org/officeDocument/2006/relationships/hyperlink" Target="https://codeforces.com/problemset/problem/1095/F" TargetMode="External"/><Relationship Id="rId689" Type="http://schemas.openxmlformats.org/officeDocument/2006/relationships/hyperlink" Target="https://codeforces.com/problemset/problem/1771/D" TargetMode="External"/><Relationship Id="rId39" Type="http://schemas.openxmlformats.org/officeDocument/2006/relationships/hyperlink" Target="https://codeforces.com/problemset/problem/1426/A" TargetMode="External"/><Relationship Id="rId286" Type="http://schemas.openxmlformats.org/officeDocument/2006/relationships/hyperlink" Target="https://codeforces.com/problemset/problem/1433/A" TargetMode="External"/><Relationship Id="rId451" Type="http://schemas.openxmlformats.org/officeDocument/2006/relationships/hyperlink" Target="https://codeforces.com/problemset/problem/1492/D" TargetMode="External"/><Relationship Id="rId493" Type="http://schemas.openxmlformats.org/officeDocument/2006/relationships/hyperlink" Target="https://codeforces.com/problemset/problem/1287/A" TargetMode="External"/><Relationship Id="rId507" Type="http://schemas.openxmlformats.org/officeDocument/2006/relationships/hyperlink" Target="https://codeforces.com/problemset/problem/1077/F1" TargetMode="External"/><Relationship Id="rId549" Type="http://schemas.openxmlformats.org/officeDocument/2006/relationships/hyperlink" Target="https://codeforces.com/problemset/problem/763/A" TargetMode="External"/><Relationship Id="rId714" Type="http://schemas.openxmlformats.org/officeDocument/2006/relationships/hyperlink" Target="https://codeforces.com/problemset/problem/631/E" TargetMode="External"/><Relationship Id="rId756" Type="http://schemas.openxmlformats.org/officeDocument/2006/relationships/hyperlink" Target="https://codeforces.com/problemset/problem/1450/C2" TargetMode="External"/><Relationship Id="rId50" Type="http://schemas.openxmlformats.org/officeDocument/2006/relationships/hyperlink" Target="https://codeforces.com/problemset/problem/1228/A" TargetMode="External"/><Relationship Id="rId104" Type="http://schemas.openxmlformats.org/officeDocument/2006/relationships/hyperlink" Target="https://codeforces.com/problemset/problem/808/D" TargetMode="External"/><Relationship Id="rId146" Type="http://schemas.openxmlformats.org/officeDocument/2006/relationships/hyperlink" Target="https://codeforces.com/problemset/problem/1701/C" TargetMode="External"/><Relationship Id="rId188" Type="http://schemas.openxmlformats.org/officeDocument/2006/relationships/hyperlink" Target="https://codeforces.com/problemset/problem/1157/C1" TargetMode="External"/><Relationship Id="rId311" Type="http://schemas.openxmlformats.org/officeDocument/2006/relationships/hyperlink" Target="https://codeforces.com/problemset/problem/808/G" TargetMode="External"/><Relationship Id="rId353" Type="http://schemas.openxmlformats.org/officeDocument/2006/relationships/hyperlink" Target="https://codeforces.com/problemset/problem/50/A" TargetMode="External"/><Relationship Id="rId395" Type="http://schemas.openxmlformats.org/officeDocument/2006/relationships/hyperlink" Target="https://codeforces.com/problemset/problem/1295/D" TargetMode="External"/><Relationship Id="rId409" Type="http://schemas.openxmlformats.org/officeDocument/2006/relationships/hyperlink" Target="https://codeforces.com/problemset/problem/888/D" TargetMode="External"/><Relationship Id="rId560" Type="http://schemas.openxmlformats.org/officeDocument/2006/relationships/hyperlink" Target="https://codeforces.com/problemset/problem/1286/B" TargetMode="External"/><Relationship Id="rId92" Type="http://schemas.openxmlformats.org/officeDocument/2006/relationships/hyperlink" Target="https://codeforces.com/problemset/problem/1515/A" TargetMode="External"/><Relationship Id="rId213" Type="http://schemas.openxmlformats.org/officeDocument/2006/relationships/hyperlink" Target="https://codeforces.com/problemset/problem/1197/D" TargetMode="External"/><Relationship Id="rId420" Type="http://schemas.openxmlformats.org/officeDocument/2006/relationships/hyperlink" Target="https://codeforces.com/problemset/problem/1559/E" TargetMode="External"/><Relationship Id="rId616" Type="http://schemas.openxmlformats.org/officeDocument/2006/relationships/hyperlink" Target="https://codeforces.com/problemset/problem/229/B" TargetMode="External"/><Relationship Id="rId658" Type="http://schemas.openxmlformats.org/officeDocument/2006/relationships/hyperlink" Target="https://codeforces.com/problemset/problem/706/C" TargetMode="External"/><Relationship Id="rId255" Type="http://schemas.openxmlformats.org/officeDocument/2006/relationships/hyperlink" Target="https://codeforces.com/problemset/problem/864/D" TargetMode="External"/><Relationship Id="rId297" Type="http://schemas.openxmlformats.org/officeDocument/2006/relationships/hyperlink" Target="https://codeforces.com/problemset/problem/1450/A" TargetMode="External"/><Relationship Id="rId462" Type="http://schemas.openxmlformats.org/officeDocument/2006/relationships/hyperlink" Target="https://codeforces.com/problemset/problem/1092/D2" TargetMode="External"/><Relationship Id="rId518" Type="http://schemas.openxmlformats.org/officeDocument/2006/relationships/hyperlink" Target="https://codeforces.com/problemset/problem/863/D" TargetMode="External"/><Relationship Id="rId725" Type="http://schemas.openxmlformats.org/officeDocument/2006/relationships/hyperlink" Target="https://codeforces.com/problemset/problem/339/D" TargetMode="External"/><Relationship Id="rId115" Type="http://schemas.openxmlformats.org/officeDocument/2006/relationships/hyperlink" Target="https://codeforces.com/problemset/problem/1498/B" TargetMode="External"/><Relationship Id="rId157" Type="http://schemas.openxmlformats.org/officeDocument/2006/relationships/hyperlink" Target="https://codeforces.com/problemset/problem/1114/C" TargetMode="External"/><Relationship Id="rId322" Type="http://schemas.openxmlformats.org/officeDocument/2006/relationships/hyperlink" Target="https://codeforces.com/problemset/problem/963/D" TargetMode="External"/><Relationship Id="rId364" Type="http://schemas.openxmlformats.org/officeDocument/2006/relationships/hyperlink" Target="https://codeforces.com/problemset/problem/1285/A" TargetMode="External"/><Relationship Id="rId767" Type="http://schemas.openxmlformats.org/officeDocument/2006/relationships/hyperlink" Target="https://codeforces.com/problemset/problem/1592/D" TargetMode="External"/><Relationship Id="rId61" Type="http://schemas.openxmlformats.org/officeDocument/2006/relationships/hyperlink" Target="https://codeforces.com/problemset/problem/1542/A" TargetMode="External"/><Relationship Id="rId199" Type="http://schemas.openxmlformats.org/officeDocument/2006/relationships/hyperlink" Target="https://codeforces.com/problemset/problem/1156/C" TargetMode="External"/><Relationship Id="rId571" Type="http://schemas.openxmlformats.org/officeDocument/2006/relationships/hyperlink" Target="https://codeforces.com/problemset/problem/1324/F" TargetMode="External"/><Relationship Id="rId627" Type="http://schemas.openxmlformats.org/officeDocument/2006/relationships/hyperlink" Target="https://codeforces.com/problemset/problem/1209/F" TargetMode="External"/><Relationship Id="rId669" Type="http://schemas.openxmlformats.org/officeDocument/2006/relationships/hyperlink" Target="https://codeforces.com/problemset/problem/837/D" TargetMode="External"/><Relationship Id="rId19" Type="http://schemas.openxmlformats.org/officeDocument/2006/relationships/hyperlink" Target="https://codeforces.com/problemset/problem/750/A" TargetMode="External"/><Relationship Id="rId224" Type="http://schemas.openxmlformats.org/officeDocument/2006/relationships/hyperlink" Target="https://codeforces.com/problemset/problem/1520/G" TargetMode="External"/><Relationship Id="rId266" Type="http://schemas.openxmlformats.org/officeDocument/2006/relationships/hyperlink" Target="https://codeforces.com/problemset/problem/1474/D" TargetMode="External"/><Relationship Id="rId431" Type="http://schemas.openxmlformats.org/officeDocument/2006/relationships/hyperlink" Target="https://codeforces.com/problemset/problem/525/B" TargetMode="External"/><Relationship Id="rId473" Type="http://schemas.openxmlformats.org/officeDocument/2006/relationships/hyperlink" Target="https://codeforces.com/problemset/problem/1305/B" TargetMode="External"/><Relationship Id="rId529" Type="http://schemas.openxmlformats.org/officeDocument/2006/relationships/hyperlink" Target="https://codeforces.com/problemset/problem/1237/C1" TargetMode="External"/><Relationship Id="rId680" Type="http://schemas.openxmlformats.org/officeDocument/2006/relationships/hyperlink" Target="https://codeforces.com/problemset/problem/1246/C" TargetMode="External"/><Relationship Id="rId736" Type="http://schemas.openxmlformats.org/officeDocument/2006/relationships/hyperlink" Target="https://codeforces.com/problemset/problem/438/D" TargetMode="External"/><Relationship Id="rId30" Type="http://schemas.openxmlformats.org/officeDocument/2006/relationships/hyperlink" Target="https://codeforces.com/problemset/problem/1234/A" TargetMode="External"/><Relationship Id="rId126" Type="http://schemas.openxmlformats.org/officeDocument/2006/relationships/hyperlink" Target="https://codeforces.com/problemset/problem/1208/B" TargetMode="External"/><Relationship Id="rId168" Type="http://schemas.openxmlformats.org/officeDocument/2006/relationships/hyperlink" Target="https://codeforces.com/problemset/problem/1114/D" TargetMode="External"/><Relationship Id="rId333" Type="http://schemas.openxmlformats.org/officeDocument/2006/relationships/hyperlink" Target="https://codeforces.com/problemset/problem/1457/A" TargetMode="External"/><Relationship Id="rId540" Type="http://schemas.openxmlformats.org/officeDocument/2006/relationships/hyperlink" Target="https://codeforces.com/problemset/problem/847/E" TargetMode="External"/><Relationship Id="rId778" Type="http://schemas.openxmlformats.org/officeDocument/2006/relationships/hyperlink" Target="https://codeforces.com/problemset/problem/1016/D" TargetMode="External"/><Relationship Id="rId72" Type="http://schemas.openxmlformats.org/officeDocument/2006/relationships/hyperlink" Target="https://codeforces.com/problemset/problem/734/B" TargetMode="External"/><Relationship Id="rId375" Type="http://schemas.openxmlformats.org/officeDocument/2006/relationships/hyperlink" Target="https://codeforces.com/problemset/problem/16/C" TargetMode="External"/><Relationship Id="rId582" Type="http://schemas.openxmlformats.org/officeDocument/2006/relationships/hyperlink" Target="https://codeforces.com/problemset/problem/1702/G2" TargetMode="External"/><Relationship Id="rId638" Type="http://schemas.openxmlformats.org/officeDocument/2006/relationships/hyperlink" Target="https://codeforces.com/problemset/problem/1609/D" TargetMode="External"/><Relationship Id="rId3" Type="http://schemas.openxmlformats.org/officeDocument/2006/relationships/hyperlink" Target="https://codeforces.com/problemset/problem/339/A" TargetMode="External"/><Relationship Id="rId235" Type="http://schemas.openxmlformats.org/officeDocument/2006/relationships/hyperlink" Target="https://codeforces.com/problemset/problem/1418/A" TargetMode="External"/><Relationship Id="rId277" Type="http://schemas.openxmlformats.org/officeDocument/2006/relationships/hyperlink" Target="https://codeforces.com/problemset/problem/313/A" TargetMode="External"/><Relationship Id="rId400" Type="http://schemas.openxmlformats.org/officeDocument/2006/relationships/hyperlink" Target="https://codeforces.com/problemset/problem/622/F" TargetMode="External"/><Relationship Id="rId442" Type="http://schemas.openxmlformats.org/officeDocument/2006/relationships/hyperlink" Target="https://codeforces.com/problemset/problem/1301/A" TargetMode="External"/><Relationship Id="rId484" Type="http://schemas.openxmlformats.org/officeDocument/2006/relationships/hyperlink" Target="https://codeforces.com/problemset/problem/1239/D" TargetMode="External"/><Relationship Id="rId705" Type="http://schemas.openxmlformats.org/officeDocument/2006/relationships/hyperlink" Target="https://codeforces.com/problemset/problem/148/D" TargetMode="External"/><Relationship Id="rId137" Type="http://schemas.openxmlformats.org/officeDocument/2006/relationships/hyperlink" Target="https://codeforces.com/problemset/problem/1288/D" TargetMode="External"/><Relationship Id="rId302" Type="http://schemas.openxmlformats.org/officeDocument/2006/relationships/hyperlink" Target="https://codeforces.com/problemset/problem/1382/C1" TargetMode="External"/><Relationship Id="rId344" Type="http://schemas.openxmlformats.org/officeDocument/2006/relationships/hyperlink" Target="https://codeforces.com/problemset/problem/1316/E" TargetMode="External"/><Relationship Id="rId691" Type="http://schemas.openxmlformats.org/officeDocument/2006/relationships/hyperlink" Target="https://codeforces.com/problemset/problem/1036/C" TargetMode="External"/><Relationship Id="rId747" Type="http://schemas.openxmlformats.org/officeDocument/2006/relationships/hyperlink" Target="https://codeforces.com/problemset/problem/1479/D" TargetMode="External"/><Relationship Id="rId789" Type="http://schemas.openxmlformats.org/officeDocument/2006/relationships/hyperlink" Target="https://codeforces.com/problemset/problem/1601/C" TargetMode="External"/><Relationship Id="rId41" Type="http://schemas.openxmlformats.org/officeDocument/2006/relationships/hyperlink" Target="https://codeforces.com/problemset/problem/368/B" TargetMode="External"/><Relationship Id="rId83" Type="http://schemas.openxmlformats.org/officeDocument/2006/relationships/hyperlink" Target="https://codeforces.com/problemset/problem/1272/A" TargetMode="External"/><Relationship Id="rId179" Type="http://schemas.openxmlformats.org/officeDocument/2006/relationships/hyperlink" Target="https://codeforces.com/problemset/problem/983/B" TargetMode="External"/><Relationship Id="rId386" Type="http://schemas.openxmlformats.org/officeDocument/2006/relationships/hyperlink" Target="https://codeforces.com/problemset/problem/17/A" TargetMode="External"/><Relationship Id="rId551" Type="http://schemas.openxmlformats.org/officeDocument/2006/relationships/hyperlink" Target="https://codeforces.com/problemset/problem/920/E" TargetMode="External"/><Relationship Id="rId593" Type="http://schemas.openxmlformats.org/officeDocument/2006/relationships/hyperlink" Target="https://codeforces.com/problemset/problem/510/B" TargetMode="External"/><Relationship Id="rId607" Type="http://schemas.openxmlformats.org/officeDocument/2006/relationships/hyperlink" Target="https://codeforces.com/problemset/problem/1385/E" TargetMode="External"/><Relationship Id="rId649" Type="http://schemas.openxmlformats.org/officeDocument/2006/relationships/hyperlink" Target="https://codeforces.com/problemset/problem/1468/J" TargetMode="External"/><Relationship Id="rId190" Type="http://schemas.openxmlformats.org/officeDocument/2006/relationships/hyperlink" Target="https://codeforces.com/problemset/problem/1197/C" TargetMode="External"/><Relationship Id="rId204" Type="http://schemas.openxmlformats.org/officeDocument/2006/relationships/hyperlink" Target="https://codeforces.com/problemset/problem/1077/D" TargetMode="External"/><Relationship Id="rId246" Type="http://schemas.openxmlformats.org/officeDocument/2006/relationships/hyperlink" Target="https://codeforces.com/problemset/problem/1029/C" TargetMode="External"/><Relationship Id="rId288" Type="http://schemas.openxmlformats.org/officeDocument/2006/relationships/hyperlink" Target="https://codeforces.com/problemset/problem/443/A" TargetMode="External"/><Relationship Id="rId411" Type="http://schemas.openxmlformats.org/officeDocument/2006/relationships/hyperlink" Target="https://codeforces.com/problemset/problem/1312/D" TargetMode="External"/><Relationship Id="rId453" Type="http://schemas.openxmlformats.org/officeDocument/2006/relationships/hyperlink" Target="https://codeforces.com/problemset/problem/1114/E" TargetMode="External"/><Relationship Id="rId509" Type="http://schemas.openxmlformats.org/officeDocument/2006/relationships/hyperlink" Target="https://codeforces.com/problemset/problem/1485/C" TargetMode="External"/><Relationship Id="rId660" Type="http://schemas.openxmlformats.org/officeDocument/2006/relationships/hyperlink" Target="https://codeforces.com/problemset/problem/1282/B2" TargetMode="External"/><Relationship Id="rId106" Type="http://schemas.openxmlformats.org/officeDocument/2006/relationships/hyperlink" Target="https://codeforces.com/problemset/problem/977/C" TargetMode="External"/><Relationship Id="rId313" Type="http://schemas.openxmlformats.org/officeDocument/2006/relationships/hyperlink" Target="https://codeforces.com/problemset/problem/1721/E" TargetMode="External"/><Relationship Id="rId495" Type="http://schemas.openxmlformats.org/officeDocument/2006/relationships/hyperlink" Target="https://codeforces.com/problemset/problem/1511/A" TargetMode="External"/><Relationship Id="rId716" Type="http://schemas.openxmlformats.org/officeDocument/2006/relationships/hyperlink" Target="https://codeforces.com/problemset/problem/1012/E" TargetMode="External"/><Relationship Id="rId758" Type="http://schemas.openxmlformats.org/officeDocument/2006/relationships/hyperlink" Target="https://codeforces.com/problemset/problem/1220/D" TargetMode="External"/><Relationship Id="rId10" Type="http://schemas.openxmlformats.org/officeDocument/2006/relationships/hyperlink" Target="https://codeforces.com/problemset/problem/509/A" TargetMode="External"/><Relationship Id="rId52" Type="http://schemas.openxmlformats.org/officeDocument/2006/relationships/hyperlink" Target="https://codeforces.com/problemset/problem/1325/A" TargetMode="External"/><Relationship Id="rId94" Type="http://schemas.openxmlformats.org/officeDocument/2006/relationships/hyperlink" Target="https://codeforces.com/problemset/problem/1551/A" TargetMode="External"/><Relationship Id="rId148" Type="http://schemas.openxmlformats.org/officeDocument/2006/relationships/hyperlink" Target="https://codeforces.com/problemset/problem/363/B" TargetMode="External"/><Relationship Id="rId355" Type="http://schemas.openxmlformats.org/officeDocument/2006/relationships/hyperlink" Target="https://codeforces.com/problemset/problem/630/A" TargetMode="External"/><Relationship Id="rId397" Type="http://schemas.openxmlformats.org/officeDocument/2006/relationships/hyperlink" Target="https://codeforces.com/problemset/problem/337/C" TargetMode="External"/><Relationship Id="rId520" Type="http://schemas.openxmlformats.org/officeDocument/2006/relationships/hyperlink" Target="https://codeforces.com/problemset/problem/1196/A" TargetMode="External"/><Relationship Id="rId562" Type="http://schemas.openxmlformats.org/officeDocument/2006/relationships/hyperlink" Target="https://codeforces.com/problemset/problem/1363/E" TargetMode="External"/><Relationship Id="rId618" Type="http://schemas.openxmlformats.org/officeDocument/2006/relationships/hyperlink" Target="https://codeforces.com/problemset/problem/545/E" TargetMode="External"/><Relationship Id="rId215" Type="http://schemas.openxmlformats.org/officeDocument/2006/relationships/hyperlink" Target="https://codeforces.com/problemset/problem/1325/E" TargetMode="External"/><Relationship Id="rId257" Type="http://schemas.openxmlformats.org/officeDocument/2006/relationships/hyperlink" Target="https://codeforces.com/problemset/problem/1310/A" TargetMode="External"/><Relationship Id="rId422" Type="http://schemas.openxmlformats.org/officeDocument/2006/relationships/hyperlink" Target="https://codeforces.com/problemset/problem/448/A" TargetMode="External"/><Relationship Id="rId464" Type="http://schemas.openxmlformats.org/officeDocument/2006/relationships/hyperlink" Target="https://codeforces.com/problemset/problem/1263/C" TargetMode="External"/><Relationship Id="rId299" Type="http://schemas.openxmlformats.org/officeDocument/2006/relationships/hyperlink" Target="https://codeforces.com/problemset/problem/1165/C" TargetMode="External"/><Relationship Id="rId727" Type="http://schemas.openxmlformats.org/officeDocument/2006/relationships/hyperlink" Target="https://codeforces.com/problemset/problem/474/E" TargetMode="External"/><Relationship Id="rId63" Type="http://schemas.openxmlformats.org/officeDocument/2006/relationships/hyperlink" Target="https://codeforces.com/problemset/problem/1607/A" TargetMode="External"/><Relationship Id="rId159" Type="http://schemas.openxmlformats.org/officeDocument/2006/relationships/hyperlink" Target="https://codeforces.com/problemset/problem/1238/E" TargetMode="External"/><Relationship Id="rId366" Type="http://schemas.openxmlformats.org/officeDocument/2006/relationships/hyperlink" Target="https://codeforces.com/problemset/problem/1352/C" TargetMode="External"/><Relationship Id="rId573" Type="http://schemas.openxmlformats.org/officeDocument/2006/relationships/hyperlink" Target="https://codeforces.com/problemset/problem/1593/E" TargetMode="External"/><Relationship Id="rId780" Type="http://schemas.openxmlformats.org/officeDocument/2006/relationships/hyperlink" Target="https://codeforces.com/problemset/problem/1185/C" TargetMode="External"/><Relationship Id="rId226" Type="http://schemas.openxmlformats.org/officeDocument/2006/relationships/hyperlink" Target="https://codeforces.com/problemset/problem/578/C" TargetMode="External"/><Relationship Id="rId433" Type="http://schemas.openxmlformats.org/officeDocument/2006/relationships/hyperlink" Target="https://codeforces.com/problemset/problem/550/B" TargetMode="External"/><Relationship Id="rId640" Type="http://schemas.openxmlformats.org/officeDocument/2006/relationships/hyperlink" Target="https://codeforces.com/problemset/problem/277/A" TargetMode="External"/><Relationship Id="rId738" Type="http://schemas.openxmlformats.org/officeDocument/2006/relationships/hyperlink" Target="https://codeforces.com/problemset/problem/915/E" TargetMode="External"/><Relationship Id="rId74" Type="http://schemas.openxmlformats.org/officeDocument/2006/relationships/hyperlink" Target="https://codeforces.com/problemset/problem/1005/A" TargetMode="External"/><Relationship Id="rId377" Type="http://schemas.openxmlformats.org/officeDocument/2006/relationships/hyperlink" Target="https://codeforces.com/problemset/problem/475/D" TargetMode="External"/><Relationship Id="rId500" Type="http://schemas.openxmlformats.org/officeDocument/2006/relationships/hyperlink" Target="https://codeforces.com/problemset/problem/1469/C" TargetMode="External"/><Relationship Id="rId584" Type="http://schemas.openxmlformats.org/officeDocument/2006/relationships/hyperlink" Target="https://codeforces.com/problemset/problem/1388/C" TargetMode="External"/><Relationship Id="rId5" Type="http://schemas.openxmlformats.org/officeDocument/2006/relationships/hyperlink" Target="https://codeforces.com/problemset/problem/467/A" TargetMode="External"/><Relationship Id="rId237" Type="http://schemas.openxmlformats.org/officeDocument/2006/relationships/hyperlink" Target="https://codeforces.com/problemset/problem/1675/A" TargetMode="External"/><Relationship Id="rId791" Type="http://schemas.openxmlformats.org/officeDocument/2006/relationships/hyperlink" Target="https://codeforces.com/problemset/problem/1842/E" TargetMode="External"/><Relationship Id="rId444" Type="http://schemas.openxmlformats.org/officeDocument/2006/relationships/hyperlink" Target="https://codeforces.com/problemset/problem/1450/B" TargetMode="External"/><Relationship Id="rId651" Type="http://schemas.openxmlformats.org/officeDocument/2006/relationships/hyperlink" Target="https://codeforces.com/problemset/problem/1416/D" TargetMode="External"/><Relationship Id="rId749" Type="http://schemas.openxmlformats.org/officeDocument/2006/relationships/hyperlink" Target="https://codeforces.com/problemset/problem/1779/D" TargetMode="External"/><Relationship Id="rId290" Type="http://schemas.openxmlformats.org/officeDocument/2006/relationships/hyperlink" Target="https://codeforces.com/problemset/problem/897/A" TargetMode="External"/><Relationship Id="rId304" Type="http://schemas.openxmlformats.org/officeDocument/2006/relationships/hyperlink" Target="https://codeforces.com/problemset/problem/1430/E" TargetMode="External"/><Relationship Id="rId388" Type="http://schemas.openxmlformats.org/officeDocument/2006/relationships/hyperlink" Target="https://codeforces.com/problemset/problem/385/C" TargetMode="External"/><Relationship Id="rId511" Type="http://schemas.openxmlformats.org/officeDocument/2006/relationships/hyperlink" Target="https://codeforces.com/problemset/problem/877/D" TargetMode="External"/><Relationship Id="rId609" Type="http://schemas.openxmlformats.org/officeDocument/2006/relationships/hyperlink" Target="https://codeforces.com/problemset/problem/1679/D" TargetMode="External"/><Relationship Id="rId85" Type="http://schemas.openxmlformats.org/officeDocument/2006/relationships/hyperlink" Target="https://codeforces.com/problemset/problem/1334/B" TargetMode="External"/><Relationship Id="rId150" Type="http://schemas.openxmlformats.org/officeDocument/2006/relationships/hyperlink" Target="https://codeforces.com/problemset/problem/466/C" TargetMode="External"/><Relationship Id="rId595" Type="http://schemas.openxmlformats.org/officeDocument/2006/relationships/hyperlink" Target="https://codeforces.com/problemset/problem/755/C" TargetMode="External"/><Relationship Id="rId248" Type="http://schemas.openxmlformats.org/officeDocument/2006/relationships/hyperlink" Target="https://codeforces.com/problemset/problem/1249/D1" TargetMode="External"/><Relationship Id="rId455" Type="http://schemas.openxmlformats.org/officeDocument/2006/relationships/hyperlink" Target="https://codeforces.com/problemset/problem/1408/E" TargetMode="External"/><Relationship Id="rId662" Type="http://schemas.openxmlformats.org/officeDocument/2006/relationships/hyperlink" Target="https://codeforces.com/problemset/problem/1359/C" TargetMode="External"/><Relationship Id="rId12" Type="http://schemas.openxmlformats.org/officeDocument/2006/relationships/hyperlink" Target="https://codeforces.com/problemset/problem/581/A" TargetMode="External"/><Relationship Id="rId108" Type="http://schemas.openxmlformats.org/officeDocument/2006/relationships/hyperlink" Target="https://codeforces.com/problemset/problem/1006/C" TargetMode="External"/><Relationship Id="rId315" Type="http://schemas.openxmlformats.org/officeDocument/2006/relationships/hyperlink" Target="https://codeforces.com/problemset/problem/535/D" TargetMode="External"/><Relationship Id="rId522" Type="http://schemas.openxmlformats.org/officeDocument/2006/relationships/hyperlink" Target="https://codeforces.com/problemset/problem/1234/B2" TargetMode="External"/><Relationship Id="rId96" Type="http://schemas.openxmlformats.org/officeDocument/2006/relationships/hyperlink" Target="https://codeforces.com/problemset/problem/1607/C" TargetMode="External"/><Relationship Id="rId161" Type="http://schemas.openxmlformats.org/officeDocument/2006/relationships/hyperlink" Target="https://codeforces.com/problemset/problem/1303/C" TargetMode="External"/><Relationship Id="rId399" Type="http://schemas.openxmlformats.org/officeDocument/2006/relationships/hyperlink" Target="https://codeforces.com/problemset/problem/584/B" TargetMode="External"/><Relationship Id="rId259" Type="http://schemas.openxmlformats.org/officeDocument/2006/relationships/hyperlink" Target="https://codeforces.com/problemset/problem/1374/E2" TargetMode="External"/><Relationship Id="rId466" Type="http://schemas.openxmlformats.org/officeDocument/2006/relationships/hyperlink" Target="https://codeforces.com/problemset/problem/1445/A" TargetMode="External"/><Relationship Id="rId673" Type="http://schemas.openxmlformats.org/officeDocument/2006/relationships/hyperlink" Target="https://codeforces.com/problemset/problem/148/E" TargetMode="External"/><Relationship Id="rId23" Type="http://schemas.openxmlformats.org/officeDocument/2006/relationships/hyperlink" Target="https://codeforces.com/problemset/problem/935/A" TargetMode="External"/><Relationship Id="rId119" Type="http://schemas.openxmlformats.org/officeDocument/2006/relationships/hyperlink" Target="https://codeforces.com/problemset/problem/1611/C" TargetMode="External"/><Relationship Id="rId326" Type="http://schemas.openxmlformats.org/officeDocument/2006/relationships/hyperlink" Target="https://codeforces.com/problemset/problem/1151/A" TargetMode="External"/><Relationship Id="rId533" Type="http://schemas.openxmlformats.org/officeDocument/2006/relationships/hyperlink" Target="https://codeforces.com/problemset/problem/1468/K" TargetMode="External"/><Relationship Id="rId740" Type="http://schemas.openxmlformats.org/officeDocument/2006/relationships/hyperlink" Target="https://codeforces.com/problemset/problem/600/E" TargetMode="External"/><Relationship Id="rId172" Type="http://schemas.openxmlformats.org/officeDocument/2006/relationships/hyperlink" Target="https://codeforces.com/problemset/problem/1209/E2" TargetMode="External"/><Relationship Id="rId477" Type="http://schemas.openxmlformats.org/officeDocument/2006/relationships/hyperlink" Target="https://codeforces.com/problemset/problem/817/D" TargetMode="External"/><Relationship Id="rId600" Type="http://schemas.openxmlformats.org/officeDocument/2006/relationships/hyperlink" Target="https://codeforces.com/problemset/problem/1481/D" TargetMode="External"/><Relationship Id="rId684" Type="http://schemas.openxmlformats.org/officeDocument/2006/relationships/hyperlink" Target="https://codeforces.com/problemset/problem/607/B" TargetMode="External"/><Relationship Id="rId337" Type="http://schemas.openxmlformats.org/officeDocument/2006/relationships/hyperlink" Target="https://codeforces.com/problemset/problem/276/D" TargetMode="External"/><Relationship Id="rId34" Type="http://schemas.openxmlformats.org/officeDocument/2006/relationships/hyperlink" Target="https://codeforces.com/problemset/problem/1367/A" TargetMode="External"/><Relationship Id="rId544" Type="http://schemas.openxmlformats.org/officeDocument/2006/relationships/hyperlink" Target="https://codeforces.com/problemset/problem/1579/E2" TargetMode="External"/><Relationship Id="rId751" Type="http://schemas.openxmlformats.org/officeDocument/2006/relationships/hyperlink" Target="https://codeforces.com/problemset/problem/1076/E" TargetMode="External"/><Relationship Id="rId183" Type="http://schemas.openxmlformats.org/officeDocument/2006/relationships/hyperlink" Target="https://codeforces.com/problemset/problem/279/B" TargetMode="External"/><Relationship Id="rId390" Type="http://schemas.openxmlformats.org/officeDocument/2006/relationships/hyperlink" Target="https://codeforces.com/problemset/problem/776/B" TargetMode="External"/><Relationship Id="rId404" Type="http://schemas.openxmlformats.org/officeDocument/2006/relationships/hyperlink" Target="https://codeforces.com/problemset/problem/1452/D" TargetMode="External"/><Relationship Id="rId611" Type="http://schemas.openxmlformats.org/officeDocument/2006/relationships/hyperlink" Target="https://codeforces.com/problemset/problem/741/C" TargetMode="External"/><Relationship Id="rId250" Type="http://schemas.openxmlformats.org/officeDocument/2006/relationships/hyperlink" Target="https://codeforces.com/problemset/problem/1282/C" TargetMode="External"/><Relationship Id="rId488" Type="http://schemas.openxmlformats.org/officeDocument/2006/relationships/hyperlink" Target="https://codeforces.com/problemset/problem/920/A" TargetMode="External"/><Relationship Id="rId695" Type="http://schemas.openxmlformats.org/officeDocument/2006/relationships/hyperlink" Target="https://codeforces.com/problemset/problem/914/C" TargetMode="External"/><Relationship Id="rId709" Type="http://schemas.openxmlformats.org/officeDocument/2006/relationships/hyperlink" Target="https://codeforces.com/problemset/problem/1265/E" TargetMode="External"/><Relationship Id="rId45" Type="http://schemas.openxmlformats.org/officeDocument/2006/relationships/hyperlink" Target="https://codeforces.com/problemset/problem/978/A" TargetMode="External"/><Relationship Id="rId110" Type="http://schemas.openxmlformats.org/officeDocument/2006/relationships/hyperlink" Target="https://codeforces.com/problemset/problem/1201/C" TargetMode="External"/><Relationship Id="rId348" Type="http://schemas.openxmlformats.org/officeDocument/2006/relationships/hyperlink" Target="https://codeforces.com/problemset/problem/923/C" TargetMode="External"/><Relationship Id="rId555" Type="http://schemas.openxmlformats.org/officeDocument/2006/relationships/hyperlink" Target="https://codeforces.com/problemset/problem/1139/C" TargetMode="External"/><Relationship Id="rId762" Type="http://schemas.openxmlformats.org/officeDocument/2006/relationships/hyperlink" Target="https://codeforces.com/problemset/problem/1530/D" TargetMode="External"/><Relationship Id="rId194" Type="http://schemas.openxmlformats.org/officeDocument/2006/relationships/hyperlink" Target="https://codeforces.com/problemset/problem/1490/G" TargetMode="External"/><Relationship Id="rId208" Type="http://schemas.openxmlformats.org/officeDocument/2006/relationships/hyperlink" Target="https://codeforces.com/problemset/problem/1539/C" TargetMode="External"/><Relationship Id="rId415" Type="http://schemas.openxmlformats.org/officeDocument/2006/relationships/hyperlink" Target="https://codeforces.com/problemset/problem/547/C" TargetMode="External"/><Relationship Id="rId622" Type="http://schemas.openxmlformats.org/officeDocument/2006/relationships/hyperlink" Target="https://codeforces.com/problemset/problem/1433/G" TargetMode="External"/><Relationship Id="rId261" Type="http://schemas.openxmlformats.org/officeDocument/2006/relationships/hyperlink" Target="https://codeforces.com/problemset/problem/1526/C2" TargetMode="External"/><Relationship Id="rId499" Type="http://schemas.openxmlformats.org/officeDocument/2006/relationships/hyperlink" Target="https://codeforces.com/problemset/problem/1438/B" TargetMode="External"/><Relationship Id="rId56" Type="http://schemas.openxmlformats.org/officeDocument/2006/relationships/hyperlink" Target="https://codeforces.com/problemset/problem/1419/A" TargetMode="External"/><Relationship Id="rId359" Type="http://schemas.openxmlformats.org/officeDocument/2006/relationships/hyperlink" Target="https://codeforces.com/problemset/problem/1154/A" TargetMode="External"/><Relationship Id="rId566" Type="http://schemas.openxmlformats.org/officeDocument/2006/relationships/hyperlink" Target="https://codeforces.com/problemset/problem/960/E" TargetMode="External"/><Relationship Id="rId773" Type="http://schemas.openxmlformats.org/officeDocument/2006/relationships/hyperlink" Target="https://codeforces.com/problemset/problem/1359/F" TargetMode="External"/><Relationship Id="rId121" Type="http://schemas.openxmlformats.org/officeDocument/2006/relationships/hyperlink" Target="https://codeforces.com/problemset/problem/987/C" TargetMode="External"/><Relationship Id="rId219" Type="http://schemas.openxmlformats.org/officeDocument/2006/relationships/hyperlink" Target="https://codeforces.com/problemset/problem/1468/D" TargetMode="External"/><Relationship Id="rId426" Type="http://schemas.openxmlformats.org/officeDocument/2006/relationships/hyperlink" Target="https://codeforces.com/problemset/problem/863/C" TargetMode="External"/><Relationship Id="rId633" Type="http://schemas.openxmlformats.org/officeDocument/2006/relationships/hyperlink" Target="https://codeforces.com/problemset/problem/1167/C" TargetMode="External"/><Relationship Id="rId67" Type="http://schemas.openxmlformats.org/officeDocument/2006/relationships/hyperlink" Target="https://codeforces.com/problemset/problem/381/A" TargetMode="External"/><Relationship Id="rId272" Type="http://schemas.openxmlformats.org/officeDocument/2006/relationships/hyperlink" Target="https://codeforces.com/problemset/problem/58/A" TargetMode="External"/><Relationship Id="rId577" Type="http://schemas.openxmlformats.org/officeDocument/2006/relationships/hyperlink" Target="https://codeforces.com/problemset/problem/609/E" TargetMode="External"/><Relationship Id="rId700" Type="http://schemas.openxmlformats.org/officeDocument/2006/relationships/hyperlink" Target="https://codeforces.com/problemset/problem/41/D" TargetMode="External"/><Relationship Id="rId132" Type="http://schemas.openxmlformats.org/officeDocument/2006/relationships/hyperlink" Target="https://codeforces.com/problemset/problem/1490/D" TargetMode="External"/><Relationship Id="rId784" Type="http://schemas.openxmlformats.org/officeDocument/2006/relationships/hyperlink" Target="https://codeforces.com/problemset/problem/487/B" TargetMode="External"/><Relationship Id="rId437" Type="http://schemas.openxmlformats.org/officeDocument/2006/relationships/hyperlink" Target="https://codeforces.com/problemset/problem/903/D" TargetMode="External"/><Relationship Id="rId644" Type="http://schemas.openxmlformats.org/officeDocument/2006/relationships/hyperlink" Target="https://codeforces.com/problemset/problem/1131/D" TargetMode="External"/><Relationship Id="rId283" Type="http://schemas.openxmlformats.org/officeDocument/2006/relationships/hyperlink" Target="https://codeforces.com/problemset/problem/1182/A" TargetMode="External"/><Relationship Id="rId490" Type="http://schemas.openxmlformats.org/officeDocument/2006/relationships/hyperlink" Target="https://codeforces.com/problemset/problem/1015/C" TargetMode="External"/><Relationship Id="rId504" Type="http://schemas.openxmlformats.org/officeDocument/2006/relationships/hyperlink" Target="https://codeforces.com/problemset/problem/372/C" TargetMode="External"/><Relationship Id="rId711" Type="http://schemas.openxmlformats.org/officeDocument/2006/relationships/hyperlink" Target="https://codeforces.com/problemset/problem/607/A" TargetMode="External"/><Relationship Id="rId78" Type="http://schemas.openxmlformats.org/officeDocument/2006/relationships/hyperlink" Target="https://codeforces.com/problemset/problem/1099/C" TargetMode="External"/><Relationship Id="rId143" Type="http://schemas.openxmlformats.org/officeDocument/2006/relationships/hyperlink" Target="https://codeforces.com/problemset/problem/1552/D" TargetMode="External"/><Relationship Id="rId350" Type="http://schemas.openxmlformats.org/officeDocument/2006/relationships/hyperlink" Target="https://codeforces.com/problemset/problem/1285/D" TargetMode="External"/><Relationship Id="rId588" Type="http://schemas.openxmlformats.org/officeDocument/2006/relationships/hyperlink" Target="https://codeforces.com/problemset/problem/877/E" TargetMode="External"/><Relationship Id="rId9" Type="http://schemas.openxmlformats.org/officeDocument/2006/relationships/hyperlink" Target="https://codeforces.com/problemset/problem/501/A" TargetMode="External"/><Relationship Id="rId210" Type="http://schemas.openxmlformats.org/officeDocument/2006/relationships/hyperlink" Target="https://codeforces.com/problemset/problem/525/E" TargetMode="External"/><Relationship Id="rId448" Type="http://schemas.openxmlformats.org/officeDocument/2006/relationships/hyperlink" Target="https://codeforces.com/problemset/problem/1266/C" TargetMode="External"/><Relationship Id="rId655" Type="http://schemas.openxmlformats.org/officeDocument/2006/relationships/hyperlink" Target="https://codeforces.com/problemset/problem/455/A" TargetMode="External"/><Relationship Id="rId294" Type="http://schemas.openxmlformats.org/officeDocument/2006/relationships/hyperlink" Target="https://codeforces.com/problemset/problem/1277/A" TargetMode="External"/><Relationship Id="rId308" Type="http://schemas.openxmlformats.org/officeDocument/2006/relationships/hyperlink" Target="https://codeforces.com/problemset/problem/432/D" TargetMode="External"/><Relationship Id="rId515" Type="http://schemas.openxmlformats.org/officeDocument/2006/relationships/hyperlink" Target="https://codeforces.com/problemset/problem/1344/B" TargetMode="External"/><Relationship Id="rId722" Type="http://schemas.openxmlformats.org/officeDocument/2006/relationships/hyperlink" Target="https://codeforces.com/problemset/problem/1404/C" TargetMode="External"/><Relationship Id="rId89" Type="http://schemas.openxmlformats.org/officeDocument/2006/relationships/hyperlink" Target="https://codeforces.com/problemset/problem/1454/B" TargetMode="External"/><Relationship Id="rId154" Type="http://schemas.openxmlformats.org/officeDocument/2006/relationships/hyperlink" Target="https://codeforces.com/problemset/problem/1363/A" TargetMode="External"/><Relationship Id="rId361" Type="http://schemas.openxmlformats.org/officeDocument/2006/relationships/hyperlink" Target="https://codeforces.com/problemset/problem/1204/A" TargetMode="External"/><Relationship Id="rId599" Type="http://schemas.openxmlformats.org/officeDocument/2006/relationships/hyperlink" Target="https://codeforces.com/problemset/problem/1027/D" TargetMode="External"/><Relationship Id="rId459" Type="http://schemas.openxmlformats.org/officeDocument/2006/relationships/hyperlink" Target="https://codeforces.com/problemset/problem/1003/A" TargetMode="External"/><Relationship Id="rId666" Type="http://schemas.openxmlformats.org/officeDocument/2006/relationships/hyperlink" Target="https://codeforces.com/problemset/problem/1525/D" TargetMode="External"/><Relationship Id="rId16" Type="http://schemas.openxmlformats.org/officeDocument/2006/relationships/hyperlink" Target="https://codeforces.com/problemset/problem/731/A" TargetMode="External"/><Relationship Id="rId221" Type="http://schemas.openxmlformats.org/officeDocument/2006/relationships/hyperlink" Target="https://codeforces.com/problemset/problem/1117/C" TargetMode="External"/><Relationship Id="rId319" Type="http://schemas.openxmlformats.org/officeDocument/2006/relationships/hyperlink" Target="https://codeforces.com/problemset/problem/514/C" TargetMode="External"/><Relationship Id="rId526" Type="http://schemas.openxmlformats.org/officeDocument/2006/relationships/hyperlink" Target="https://codeforces.com/problemset/problem/1512/B" TargetMode="External"/><Relationship Id="rId733" Type="http://schemas.openxmlformats.org/officeDocument/2006/relationships/hyperlink" Target="https://codeforces.com/problemset/problem/1278/E" TargetMode="External"/><Relationship Id="rId165" Type="http://schemas.openxmlformats.org/officeDocument/2006/relationships/hyperlink" Target="https://codeforces.com/problemset/problem/295/A" TargetMode="External"/><Relationship Id="rId372" Type="http://schemas.openxmlformats.org/officeDocument/2006/relationships/hyperlink" Target="https://codeforces.com/problemset/problem/1487/A" TargetMode="External"/><Relationship Id="rId677" Type="http://schemas.openxmlformats.org/officeDocument/2006/relationships/hyperlink" Target="https://codeforces.com/problemset/problem/677/D" TargetMode="External"/><Relationship Id="rId232" Type="http://schemas.openxmlformats.org/officeDocument/2006/relationships/hyperlink" Target="https://codeforces.com/problemset/problem/58/B" TargetMode="External"/><Relationship Id="rId27" Type="http://schemas.openxmlformats.org/officeDocument/2006/relationships/hyperlink" Target="https://codeforces.com/problemset/problem/1108/A" TargetMode="External"/><Relationship Id="rId537" Type="http://schemas.openxmlformats.org/officeDocument/2006/relationships/hyperlink" Target="https://codeforces.com/problemset/problem/61/E" TargetMode="External"/><Relationship Id="rId744" Type="http://schemas.openxmlformats.org/officeDocument/2006/relationships/hyperlink" Target="https://codeforces.com/problemset/problem/786/C" TargetMode="External"/><Relationship Id="rId80" Type="http://schemas.openxmlformats.org/officeDocument/2006/relationships/hyperlink" Target="https://codeforces.com/problemset/problem/1141/C" TargetMode="External"/><Relationship Id="rId176" Type="http://schemas.openxmlformats.org/officeDocument/2006/relationships/hyperlink" Target="https://codeforces.com/problemset/problem/617/E" TargetMode="External"/><Relationship Id="rId383" Type="http://schemas.openxmlformats.org/officeDocument/2006/relationships/hyperlink" Target="https://codeforces.com/problemset/problem/1285/C" TargetMode="External"/><Relationship Id="rId590" Type="http://schemas.openxmlformats.org/officeDocument/2006/relationships/hyperlink" Target="https://codeforces.com/problemset/problem/1110/F" TargetMode="External"/><Relationship Id="rId604" Type="http://schemas.openxmlformats.org/officeDocument/2006/relationships/hyperlink" Target="https://codeforces.com/problemset/problem/1037/D" TargetMode="External"/><Relationship Id="rId243" Type="http://schemas.openxmlformats.org/officeDocument/2006/relationships/hyperlink" Target="https://codeforces.com/problemset/problem/1399/C" TargetMode="External"/><Relationship Id="rId450" Type="http://schemas.openxmlformats.org/officeDocument/2006/relationships/hyperlink" Target="https://codeforces.com/problemset/problem/1453/C" TargetMode="External"/><Relationship Id="rId688" Type="http://schemas.openxmlformats.org/officeDocument/2006/relationships/hyperlink" Target="https://codeforces.com/problemset/problem/1527/E" TargetMode="External"/><Relationship Id="rId38" Type="http://schemas.openxmlformats.org/officeDocument/2006/relationships/hyperlink" Target="https://codeforces.com/problemset/problem/1409/A" TargetMode="External"/><Relationship Id="rId103" Type="http://schemas.openxmlformats.org/officeDocument/2006/relationships/hyperlink" Target="https://codeforces.com/problemset/problem/706/B" TargetMode="External"/><Relationship Id="rId310" Type="http://schemas.openxmlformats.org/officeDocument/2006/relationships/hyperlink" Target="https://codeforces.com/problemset/problem/526/D" TargetMode="External"/><Relationship Id="rId548" Type="http://schemas.openxmlformats.org/officeDocument/2006/relationships/hyperlink" Target="https://codeforces.com/problemset/problem/545/C" TargetMode="External"/><Relationship Id="rId755" Type="http://schemas.openxmlformats.org/officeDocument/2006/relationships/hyperlink" Target="https://codeforces.com/problemset/problem/1450/C1" TargetMode="External"/><Relationship Id="rId91" Type="http://schemas.openxmlformats.org/officeDocument/2006/relationships/hyperlink" Target="https://codeforces.com/problemset/problem/1497/A" TargetMode="External"/><Relationship Id="rId187" Type="http://schemas.openxmlformats.org/officeDocument/2006/relationships/hyperlink" Target="https://codeforces.com/problemset/problem/702/C" TargetMode="External"/><Relationship Id="rId394" Type="http://schemas.openxmlformats.org/officeDocument/2006/relationships/hyperlink" Target="https://codeforces.com/problemset/problem/1228/C" TargetMode="External"/><Relationship Id="rId408" Type="http://schemas.openxmlformats.org/officeDocument/2006/relationships/hyperlink" Target="https://codeforces.com/problemset/problem/869/C" TargetMode="External"/><Relationship Id="rId615" Type="http://schemas.openxmlformats.org/officeDocument/2006/relationships/hyperlink" Target="https://codeforces.com/problemset/problem/20/C" TargetMode="External"/><Relationship Id="rId254" Type="http://schemas.openxmlformats.org/officeDocument/2006/relationships/hyperlink" Target="https://codeforces.com/problemset/problem/1550/C" TargetMode="External"/><Relationship Id="rId699" Type="http://schemas.openxmlformats.org/officeDocument/2006/relationships/hyperlink" Target="https://codeforces.com/problemset/problem/16/E" TargetMode="External"/><Relationship Id="rId49" Type="http://schemas.openxmlformats.org/officeDocument/2006/relationships/hyperlink" Target="https://codeforces.com/problemset/problem/1187/A" TargetMode="External"/><Relationship Id="rId114" Type="http://schemas.openxmlformats.org/officeDocument/2006/relationships/hyperlink" Target="https://codeforces.com/problemset/problem/1400/D" TargetMode="External"/><Relationship Id="rId461" Type="http://schemas.openxmlformats.org/officeDocument/2006/relationships/hyperlink" Target="https://codeforces.com/problemset/problem/1092/D1" TargetMode="External"/><Relationship Id="rId559" Type="http://schemas.openxmlformats.org/officeDocument/2006/relationships/hyperlink" Target="https://codeforces.com/problemset/problem/980/E" TargetMode="External"/><Relationship Id="rId766" Type="http://schemas.openxmlformats.org/officeDocument/2006/relationships/hyperlink" Target="https://codeforces.com/problemset/problem/1451/E2" TargetMode="External"/><Relationship Id="rId198" Type="http://schemas.openxmlformats.org/officeDocument/2006/relationships/hyperlink" Target="https://codeforces.com/problemset/problem/1133/C" TargetMode="External"/><Relationship Id="rId321" Type="http://schemas.openxmlformats.org/officeDocument/2006/relationships/hyperlink" Target="https://codeforces.com/problemset/problem/835/D" TargetMode="External"/><Relationship Id="rId419" Type="http://schemas.openxmlformats.org/officeDocument/2006/relationships/hyperlink" Target="https://codeforces.com/problemset/problem/986/F" TargetMode="External"/><Relationship Id="rId626" Type="http://schemas.openxmlformats.org/officeDocument/2006/relationships/hyperlink" Target="https://codeforces.com/problemset/problem/1074/D" TargetMode="External"/><Relationship Id="rId265" Type="http://schemas.openxmlformats.org/officeDocument/2006/relationships/hyperlink" Target="https://codeforces.com/problemset/problem/1380/D" TargetMode="External"/><Relationship Id="rId472" Type="http://schemas.openxmlformats.org/officeDocument/2006/relationships/hyperlink" Target="https://codeforces.com/problemset/problem/1153/C" TargetMode="External"/><Relationship Id="rId125" Type="http://schemas.openxmlformats.org/officeDocument/2006/relationships/hyperlink" Target="https://codeforces.com/problemset/problem/1181/C" TargetMode="External"/><Relationship Id="rId332" Type="http://schemas.openxmlformats.org/officeDocument/2006/relationships/hyperlink" Target="https://codeforces.com/problemset/problem/1438/A" TargetMode="External"/><Relationship Id="rId777" Type="http://schemas.openxmlformats.org/officeDocument/2006/relationships/hyperlink" Target="https://codeforces.com/problemset/problem/843/B" TargetMode="External"/><Relationship Id="rId637" Type="http://schemas.openxmlformats.org/officeDocument/2006/relationships/hyperlink" Target="https://codeforces.com/problemset/problem/1383/A" TargetMode="External"/><Relationship Id="rId276" Type="http://schemas.openxmlformats.org/officeDocument/2006/relationships/hyperlink" Target="https://codeforces.com/problemset/problem/281/A" TargetMode="External"/><Relationship Id="rId483" Type="http://schemas.openxmlformats.org/officeDocument/2006/relationships/hyperlink" Target="https://codeforces.com/problemset/problem/1795/E" TargetMode="External"/><Relationship Id="rId690" Type="http://schemas.openxmlformats.org/officeDocument/2006/relationships/hyperlink" Target="https://codeforces.com/problemset/problem/55/D" TargetMode="External"/><Relationship Id="rId704" Type="http://schemas.openxmlformats.org/officeDocument/2006/relationships/hyperlink" Target="https://codeforces.com/problemset/problem/981/C" TargetMode="External"/><Relationship Id="rId40" Type="http://schemas.openxmlformats.org/officeDocument/2006/relationships/hyperlink" Target="https://codeforces.com/problemset/problem/228/A" TargetMode="External"/><Relationship Id="rId136" Type="http://schemas.openxmlformats.org/officeDocument/2006/relationships/hyperlink" Target="https://codeforces.com/problemset/problem/1251/C" TargetMode="External"/><Relationship Id="rId343" Type="http://schemas.openxmlformats.org/officeDocument/2006/relationships/hyperlink" Target="https://codeforces.com/problemset/problem/1102/F" TargetMode="External"/><Relationship Id="rId550" Type="http://schemas.openxmlformats.org/officeDocument/2006/relationships/hyperlink" Target="https://codeforces.com/problemset/problem/893/C" TargetMode="External"/><Relationship Id="rId788" Type="http://schemas.openxmlformats.org/officeDocument/2006/relationships/hyperlink" Target="https://codeforces.com/problemset/problem/1388/D" TargetMode="External"/><Relationship Id="rId203" Type="http://schemas.openxmlformats.org/officeDocument/2006/relationships/hyperlink" Target="https://codeforces.com/problemset/problem/1041/C" TargetMode="External"/><Relationship Id="rId648" Type="http://schemas.openxmlformats.org/officeDocument/2006/relationships/hyperlink" Target="https://codeforces.com/problemset/problem/1245/D" TargetMode="External"/><Relationship Id="rId287" Type="http://schemas.openxmlformats.org/officeDocument/2006/relationships/hyperlink" Target="https://codeforces.com/problemset/problem/271/A" TargetMode="External"/><Relationship Id="rId410" Type="http://schemas.openxmlformats.org/officeDocument/2006/relationships/hyperlink" Target="https://codeforces.com/problemset/problem/1091/D" TargetMode="External"/><Relationship Id="rId494" Type="http://schemas.openxmlformats.org/officeDocument/2006/relationships/hyperlink" Target="https://codeforces.com/problemset/problem/1367/B" TargetMode="External"/><Relationship Id="rId508" Type="http://schemas.openxmlformats.org/officeDocument/2006/relationships/hyperlink" Target="https://codeforces.com/problemset/problem/1077/F2" TargetMode="External"/><Relationship Id="rId715" Type="http://schemas.openxmlformats.org/officeDocument/2006/relationships/hyperlink" Target="https://codeforces.com/problemset/problem/868/F" TargetMode="External"/><Relationship Id="rId147" Type="http://schemas.openxmlformats.org/officeDocument/2006/relationships/hyperlink" Target="https://codeforces.com/problemset/problem/313/B" TargetMode="External"/><Relationship Id="rId354" Type="http://schemas.openxmlformats.org/officeDocument/2006/relationships/hyperlink" Target="https://codeforces.com/problemset/problem/617/A" TargetMode="External"/><Relationship Id="rId51" Type="http://schemas.openxmlformats.org/officeDocument/2006/relationships/hyperlink" Target="https://codeforces.com/problemset/problem/1270/A" TargetMode="External"/><Relationship Id="rId561" Type="http://schemas.openxmlformats.org/officeDocument/2006/relationships/hyperlink" Target="https://codeforces.com/problemset/problem/1328/E" TargetMode="External"/><Relationship Id="rId659" Type="http://schemas.openxmlformats.org/officeDocument/2006/relationships/hyperlink" Target="https://codeforces.com/problemset/problem/1249/E" TargetMode="External"/><Relationship Id="rId214" Type="http://schemas.openxmlformats.org/officeDocument/2006/relationships/hyperlink" Target="https://codeforces.com/problemset/problem/1239/A" TargetMode="External"/><Relationship Id="rId298" Type="http://schemas.openxmlformats.org/officeDocument/2006/relationships/hyperlink" Target="https://codeforces.com/problemset/problem/1530/A" TargetMode="External"/><Relationship Id="rId421" Type="http://schemas.openxmlformats.org/officeDocument/2006/relationships/hyperlink" Target="https://codeforces.com/problemset/problem/1750/D" TargetMode="External"/><Relationship Id="rId519" Type="http://schemas.openxmlformats.org/officeDocument/2006/relationships/hyperlink" Target="https://codeforces.com/problemset/problem/1008/B" TargetMode="External"/><Relationship Id="rId158" Type="http://schemas.openxmlformats.org/officeDocument/2006/relationships/hyperlink" Target="https://codeforces.com/problemset/problem/1141/D" TargetMode="External"/><Relationship Id="rId726" Type="http://schemas.openxmlformats.org/officeDocument/2006/relationships/hyperlink" Target="https://codeforces.com/problemset/problem/52/C" TargetMode="External"/><Relationship Id="rId62" Type="http://schemas.openxmlformats.org/officeDocument/2006/relationships/hyperlink" Target="https://codeforces.com/problemset/problem/1560/A" TargetMode="External"/><Relationship Id="rId365" Type="http://schemas.openxmlformats.org/officeDocument/2006/relationships/hyperlink" Target="https://codeforces.com/problemset/problem/1328/A" TargetMode="External"/><Relationship Id="rId572" Type="http://schemas.openxmlformats.org/officeDocument/2006/relationships/hyperlink" Target="https://codeforces.com/problemset/problem/1528/A" TargetMode="External"/><Relationship Id="rId225" Type="http://schemas.openxmlformats.org/officeDocument/2006/relationships/hyperlink" Target="https://codeforces.com/problemset/problem/1705/C" TargetMode="External"/><Relationship Id="rId432" Type="http://schemas.openxmlformats.org/officeDocument/2006/relationships/hyperlink" Target="https://codeforces.com/problemset/problem/525/C" TargetMode="External"/><Relationship Id="rId737" Type="http://schemas.openxmlformats.org/officeDocument/2006/relationships/hyperlink" Target="https://codeforces.com/problemset/problem/446/C" TargetMode="External"/><Relationship Id="rId73" Type="http://schemas.openxmlformats.org/officeDocument/2006/relationships/hyperlink" Target="https://codeforces.com/problemset/problem/863/B" TargetMode="External"/><Relationship Id="rId169" Type="http://schemas.openxmlformats.org/officeDocument/2006/relationships/hyperlink" Target="https://codeforces.com/problemset/problem/1136/C" TargetMode="External"/><Relationship Id="rId376" Type="http://schemas.openxmlformats.org/officeDocument/2006/relationships/hyperlink" Target="https://codeforces.com/problemset/problem/340/A" TargetMode="External"/><Relationship Id="rId583" Type="http://schemas.openxmlformats.org/officeDocument/2006/relationships/hyperlink" Target="https://codeforces.com/problemset/problem/1092/F" TargetMode="External"/><Relationship Id="rId790" Type="http://schemas.openxmlformats.org/officeDocument/2006/relationships/hyperlink" Target="https://codeforces.com/problemset/problem/1731/E" TargetMode="External"/><Relationship Id="rId4" Type="http://schemas.openxmlformats.org/officeDocument/2006/relationships/hyperlink" Target="https://codeforces.com/problemset/problem/405/A" TargetMode="External"/><Relationship Id="rId236" Type="http://schemas.openxmlformats.org/officeDocument/2006/relationships/hyperlink" Target="https://codeforces.com/problemset/problem/1618/A" TargetMode="External"/><Relationship Id="rId443" Type="http://schemas.openxmlformats.org/officeDocument/2006/relationships/hyperlink" Target="https://codeforces.com/problemset/problem/1385/D" TargetMode="External"/><Relationship Id="rId650" Type="http://schemas.openxmlformats.org/officeDocument/2006/relationships/hyperlink" Target="https://codeforces.com/problemset/problem/160/D" TargetMode="External"/><Relationship Id="rId303" Type="http://schemas.openxmlformats.org/officeDocument/2006/relationships/hyperlink" Target="https://codeforces.com/problemset/problem/1382/C2" TargetMode="External"/><Relationship Id="rId748" Type="http://schemas.openxmlformats.org/officeDocument/2006/relationships/hyperlink" Target="https://codeforces.com/problemset/problem/1557/D" TargetMode="External"/><Relationship Id="rId84" Type="http://schemas.openxmlformats.org/officeDocument/2006/relationships/hyperlink" Target="https://codeforces.com/problemset/problem/1296/A" TargetMode="External"/><Relationship Id="rId387" Type="http://schemas.openxmlformats.org/officeDocument/2006/relationships/hyperlink" Target="https://codeforces.com/problemset/problem/230/B" TargetMode="External"/><Relationship Id="rId510" Type="http://schemas.openxmlformats.org/officeDocument/2006/relationships/hyperlink" Target="https://codeforces.com/problemset/problem/796/D" TargetMode="External"/><Relationship Id="rId594" Type="http://schemas.openxmlformats.org/officeDocument/2006/relationships/hyperlink" Target="https://codeforces.com/problemset/problem/659/E" TargetMode="External"/><Relationship Id="rId608" Type="http://schemas.openxmlformats.org/officeDocument/2006/relationships/hyperlink" Target="https://codeforces.com/problemset/problem/1364/D" TargetMode="External"/><Relationship Id="rId247" Type="http://schemas.openxmlformats.org/officeDocument/2006/relationships/hyperlink" Target="https://codeforces.com/problemset/problem/1106/D" TargetMode="External"/><Relationship Id="rId107" Type="http://schemas.openxmlformats.org/officeDocument/2006/relationships/hyperlink" Target="https://codeforces.com/problemset/problem/978/C" TargetMode="External"/><Relationship Id="rId454" Type="http://schemas.openxmlformats.org/officeDocument/2006/relationships/hyperlink" Target="https://codeforces.com/problemset/problem/1283/D" TargetMode="External"/><Relationship Id="rId661" Type="http://schemas.openxmlformats.org/officeDocument/2006/relationships/hyperlink" Target="https://codeforces.com/problemset/problem/1355/A" TargetMode="External"/><Relationship Id="rId759" Type="http://schemas.openxmlformats.org/officeDocument/2006/relationships/hyperlink" Target="https://codeforces.com/problemset/problem/1208/D" TargetMode="External"/><Relationship Id="rId11" Type="http://schemas.openxmlformats.org/officeDocument/2006/relationships/hyperlink" Target="https://codeforces.com/problemset/problem/510/A" TargetMode="External"/><Relationship Id="rId314" Type="http://schemas.openxmlformats.org/officeDocument/2006/relationships/hyperlink" Target="https://codeforces.com/problemset/problem/196/B" TargetMode="External"/><Relationship Id="rId398" Type="http://schemas.openxmlformats.org/officeDocument/2006/relationships/hyperlink" Target="https://codeforces.com/problemset/problem/451/E" TargetMode="External"/><Relationship Id="rId521" Type="http://schemas.openxmlformats.org/officeDocument/2006/relationships/hyperlink" Target="https://codeforces.com/problemset/problem/1234/B1" TargetMode="External"/><Relationship Id="rId619" Type="http://schemas.openxmlformats.org/officeDocument/2006/relationships/hyperlink" Target="https://codeforces.com/problemset/problem/938/D" TargetMode="External"/><Relationship Id="rId95" Type="http://schemas.openxmlformats.org/officeDocument/2006/relationships/hyperlink" Target="https://codeforces.com/problemset/problem/1561/A" TargetMode="External"/><Relationship Id="rId160" Type="http://schemas.openxmlformats.org/officeDocument/2006/relationships/hyperlink" Target="https://codeforces.com/problemset/problem/1285/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3"/>
  <sheetViews>
    <sheetView workbookViewId="0">
      <pane ySplit="1" topLeftCell="A6" activePane="bottomLeft" state="frozen"/>
      <selection pane="bottomLeft"/>
    </sheetView>
  </sheetViews>
  <sheetFormatPr defaultRowHeight="15"/>
  <cols>
    <col min="1" max="1" width="12" customWidth="1"/>
    <col min="2" max="3" width="45" customWidth="1"/>
    <col min="4" max="4" width="13" customWidth="1"/>
    <col min="5" max="5" width="14" customWidth="1"/>
    <col min="6" max="6" width="17" customWidth="1"/>
    <col min="7" max="7" width="45" customWidth="1"/>
    <col min="8" max="8" width="12" customWidth="1"/>
    <col min="9" max="9" width="14" customWidth="1"/>
    <col min="10" max="10" width="45" customWidth="1"/>
    <col min="11" max="11" width="25" customWidth="1"/>
    <col min="12" max="12" width="12" customWidth="1"/>
    <col min="13" max="13" width="45" customWidth="1"/>
    <col min="14" max="14" width="12" customWidth="1"/>
  </cols>
  <sheetData>
    <row r="1" spans="1:14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.100000000000001" customHeight="1">
      <c r="A2" s="2" t="s">
        <v>14</v>
      </c>
      <c r="B2" s="3" t="s">
        <v>15</v>
      </c>
      <c r="C2" s="3" t="s">
        <v>16</v>
      </c>
      <c r="D2" s="2" t="s">
        <v>17</v>
      </c>
      <c r="E2" s="2">
        <v>263</v>
      </c>
      <c r="F2" s="2" t="s">
        <v>18</v>
      </c>
      <c r="G2" s="3" t="s">
        <v>19</v>
      </c>
      <c r="H2" s="2">
        <v>800</v>
      </c>
      <c r="I2" s="4" t="s">
        <v>20</v>
      </c>
      <c r="J2" s="3" t="s">
        <v>21</v>
      </c>
      <c r="K2" s="2">
        <v>15</v>
      </c>
      <c r="L2" s="2">
        <v>10</v>
      </c>
      <c r="M2" s="5" t="s">
        <v>22</v>
      </c>
      <c r="N2" s="3"/>
    </row>
    <row r="3" spans="1:14" ht="20.100000000000001" customHeight="1">
      <c r="A3" s="6" t="s">
        <v>14</v>
      </c>
      <c r="B3" s="7" t="s">
        <v>15</v>
      </c>
      <c r="C3" s="7" t="s">
        <v>16</v>
      </c>
      <c r="D3" s="6" t="s">
        <v>23</v>
      </c>
      <c r="E3" s="6">
        <v>266</v>
      </c>
      <c r="F3" s="6" t="s">
        <v>18</v>
      </c>
      <c r="G3" s="7" t="s">
        <v>24</v>
      </c>
      <c r="H3" s="6">
        <v>800</v>
      </c>
      <c r="I3" s="4" t="s">
        <v>20</v>
      </c>
      <c r="J3" s="7" t="s">
        <v>21</v>
      </c>
      <c r="K3" s="6">
        <v>15</v>
      </c>
      <c r="L3" s="6">
        <v>10</v>
      </c>
      <c r="M3" s="8" t="s">
        <v>25</v>
      </c>
      <c r="N3" s="7"/>
    </row>
    <row r="4" spans="1:14" ht="20.100000000000001" customHeight="1">
      <c r="A4" s="2" t="s">
        <v>14</v>
      </c>
      <c r="B4" s="3" t="s">
        <v>15</v>
      </c>
      <c r="C4" s="3" t="s">
        <v>16</v>
      </c>
      <c r="D4" s="2" t="s">
        <v>26</v>
      </c>
      <c r="E4" s="2">
        <v>339</v>
      </c>
      <c r="F4" s="2" t="s">
        <v>18</v>
      </c>
      <c r="G4" s="3" t="s">
        <v>27</v>
      </c>
      <c r="H4" s="2">
        <v>800</v>
      </c>
      <c r="I4" s="4" t="s">
        <v>20</v>
      </c>
      <c r="J4" s="3" t="s">
        <v>28</v>
      </c>
      <c r="K4" s="2">
        <v>15</v>
      </c>
      <c r="L4" s="2">
        <v>10</v>
      </c>
      <c r="M4" s="5" t="s">
        <v>29</v>
      </c>
      <c r="N4" s="3"/>
    </row>
    <row r="5" spans="1:14" ht="20.100000000000001" customHeight="1">
      <c r="A5" s="6" t="s">
        <v>14</v>
      </c>
      <c r="B5" s="7" t="s">
        <v>15</v>
      </c>
      <c r="C5" s="7" t="s">
        <v>16</v>
      </c>
      <c r="D5" s="6" t="s">
        <v>30</v>
      </c>
      <c r="E5" s="6">
        <v>405</v>
      </c>
      <c r="F5" s="6" t="s">
        <v>18</v>
      </c>
      <c r="G5" s="7" t="s">
        <v>31</v>
      </c>
      <c r="H5" s="6">
        <v>900</v>
      </c>
      <c r="I5" s="4" t="s">
        <v>20</v>
      </c>
      <c r="J5" s="7" t="s">
        <v>32</v>
      </c>
      <c r="K5" s="6">
        <v>15</v>
      </c>
      <c r="L5" s="6">
        <v>10</v>
      </c>
      <c r="M5" s="8" t="s">
        <v>33</v>
      </c>
      <c r="N5" s="7"/>
    </row>
    <row r="6" spans="1:14" ht="20.100000000000001" customHeight="1">
      <c r="A6" s="2" t="s">
        <v>14</v>
      </c>
      <c r="B6" s="3" t="s">
        <v>15</v>
      </c>
      <c r="C6" s="3" t="s">
        <v>16</v>
      </c>
      <c r="D6" s="2" t="s">
        <v>34</v>
      </c>
      <c r="E6" s="2">
        <v>467</v>
      </c>
      <c r="F6" s="2" t="s">
        <v>18</v>
      </c>
      <c r="G6" s="3" t="s">
        <v>35</v>
      </c>
      <c r="H6" s="2">
        <v>800</v>
      </c>
      <c r="I6" s="4" t="s">
        <v>20</v>
      </c>
      <c r="J6" s="3" t="s">
        <v>21</v>
      </c>
      <c r="K6" s="2">
        <v>15</v>
      </c>
      <c r="L6" s="2">
        <v>10</v>
      </c>
      <c r="M6" s="5" t="s">
        <v>36</v>
      </c>
      <c r="N6" s="3"/>
    </row>
    <row r="7" spans="1:14" ht="20.100000000000001" customHeight="1">
      <c r="A7" s="6" t="s">
        <v>14</v>
      </c>
      <c r="B7" s="7" t="s">
        <v>15</v>
      </c>
      <c r="C7" s="7" t="s">
        <v>16</v>
      </c>
      <c r="D7" s="6" t="s">
        <v>37</v>
      </c>
      <c r="E7" s="6">
        <v>469</v>
      </c>
      <c r="F7" s="6" t="s">
        <v>18</v>
      </c>
      <c r="G7" s="7" t="s">
        <v>38</v>
      </c>
      <c r="H7" s="6">
        <v>800</v>
      </c>
      <c r="I7" s="4" t="s">
        <v>20</v>
      </c>
      <c r="J7" s="7" t="s">
        <v>39</v>
      </c>
      <c r="K7" s="6">
        <v>15</v>
      </c>
      <c r="L7" s="6">
        <v>10</v>
      </c>
      <c r="M7" s="8" t="s">
        <v>40</v>
      </c>
      <c r="N7" s="7"/>
    </row>
    <row r="8" spans="1:14" ht="20.100000000000001" customHeight="1">
      <c r="A8" s="2" t="s">
        <v>14</v>
      </c>
      <c r="B8" s="3" t="s">
        <v>15</v>
      </c>
      <c r="C8" s="3" t="s">
        <v>16</v>
      </c>
      <c r="D8" s="2" t="s">
        <v>41</v>
      </c>
      <c r="E8" s="2">
        <v>479</v>
      </c>
      <c r="F8" s="2" t="s">
        <v>18</v>
      </c>
      <c r="G8" s="3" t="s">
        <v>42</v>
      </c>
      <c r="H8" s="2">
        <v>1000</v>
      </c>
      <c r="I8" s="4" t="s">
        <v>43</v>
      </c>
      <c r="J8" s="3" t="s">
        <v>44</v>
      </c>
      <c r="K8" s="2">
        <v>15</v>
      </c>
      <c r="L8" s="2">
        <v>10</v>
      </c>
      <c r="M8" s="5" t="s">
        <v>45</v>
      </c>
      <c r="N8" s="3"/>
    </row>
    <row r="9" spans="1:14" ht="20.100000000000001" customHeight="1">
      <c r="A9" s="6" t="s">
        <v>14</v>
      </c>
      <c r="B9" s="7" t="s">
        <v>15</v>
      </c>
      <c r="C9" s="7" t="s">
        <v>16</v>
      </c>
      <c r="D9" s="6" t="s">
        <v>46</v>
      </c>
      <c r="E9" s="6">
        <v>490</v>
      </c>
      <c r="F9" s="6" t="s">
        <v>18</v>
      </c>
      <c r="G9" s="7" t="s">
        <v>47</v>
      </c>
      <c r="H9" s="6">
        <v>800</v>
      </c>
      <c r="I9" s="4" t="s">
        <v>20</v>
      </c>
      <c r="J9" s="7" t="s">
        <v>32</v>
      </c>
      <c r="K9" s="6">
        <v>15</v>
      </c>
      <c r="L9" s="6">
        <v>10</v>
      </c>
      <c r="M9" s="8" t="s">
        <v>48</v>
      </c>
      <c r="N9" s="7"/>
    </row>
    <row r="10" spans="1:14" ht="20.100000000000001" customHeight="1">
      <c r="A10" s="2" t="s">
        <v>14</v>
      </c>
      <c r="B10" s="3" t="s">
        <v>15</v>
      </c>
      <c r="C10" s="3" t="s">
        <v>16</v>
      </c>
      <c r="D10" s="2" t="s">
        <v>49</v>
      </c>
      <c r="E10" s="2">
        <v>501</v>
      </c>
      <c r="F10" s="2" t="s">
        <v>18</v>
      </c>
      <c r="G10" s="3" t="s">
        <v>50</v>
      </c>
      <c r="H10" s="2">
        <v>900</v>
      </c>
      <c r="I10" s="4" t="s">
        <v>20</v>
      </c>
      <c r="J10" s="3" t="s">
        <v>21</v>
      </c>
      <c r="K10" s="2">
        <v>15</v>
      </c>
      <c r="L10" s="2">
        <v>10</v>
      </c>
      <c r="M10" s="5" t="s">
        <v>51</v>
      </c>
      <c r="N10" s="3"/>
    </row>
    <row r="11" spans="1:14" ht="20.100000000000001" customHeight="1">
      <c r="A11" s="6" t="s">
        <v>14</v>
      </c>
      <c r="B11" s="7" t="s">
        <v>15</v>
      </c>
      <c r="C11" s="7" t="s">
        <v>16</v>
      </c>
      <c r="D11" s="6" t="s">
        <v>52</v>
      </c>
      <c r="E11" s="6">
        <v>509</v>
      </c>
      <c r="F11" s="6" t="s">
        <v>18</v>
      </c>
      <c r="G11" s="7" t="s">
        <v>53</v>
      </c>
      <c r="H11" s="6">
        <v>800</v>
      </c>
      <c r="I11" s="4" t="s">
        <v>20</v>
      </c>
      <c r="J11" s="7" t="s">
        <v>54</v>
      </c>
      <c r="K11" s="6">
        <v>15</v>
      </c>
      <c r="L11" s="6">
        <v>10</v>
      </c>
      <c r="M11" s="8" t="s">
        <v>55</v>
      </c>
      <c r="N11" s="7"/>
    </row>
    <row r="12" spans="1:14" ht="20.100000000000001" customHeight="1">
      <c r="A12" s="2" t="s">
        <v>14</v>
      </c>
      <c r="B12" s="3" t="s">
        <v>15</v>
      </c>
      <c r="C12" s="3" t="s">
        <v>16</v>
      </c>
      <c r="D12" s="2" t="s">
        <v>56</v>
      </c>
      <c r="E12" s="2">
        <v>510</v>
      </c>
      <c r="F12" s="2" t="s">
        <v>18</v>
      </c>
      <c r="G12" s="3" t="s">
        <v>57</v>
      </c>
      <c r="H12" s="2">
        <v>800</v>
      </c>
      <c r="I12" s="4" t="s">
        <v>20</v>
      </c>
      <c r="J12" s="3" t="s">
        <v>21</v>
      </c>
      <c r="K12" s="2">
        <v>15</v>
      </c>
      <c r="L12" s="2">
        <v>10</v>
      </c>
      <c r="M12" s="5" t="s">
        <v>58</v>
      </c>
      <c r="N12" s="3"/>
    </row>
    <row r="13" spans="1:14" ht="20.100000000000001" customHeight="1">
      <c r="A13" s="6" t="s">
        <v>14</v>
      </c>
      <c r="B13" s="7" t="s">
        <v>15</v>
      </c>
      <c r="C13" s="7" t="s">
        <v>16</v>
      </c>
      <c r="D13" s="6" t="s">
        <v>59</v>
      </c>
      <c r="E13" s="6">
        <v>581</v>
      </c>
      <c r="F13" s="6" t="s">
        <v>18</v>
      </c>
      <c r="G13" s="7" t="s">
        <v>60</v>
      </c>
      <c r="H13" s="6">
        <v>800</v>
      </c>
      <c r="I13" s="4" t="s">
        <v>20</v>
      </c>
      <c r="J13" s="7" t="s">
        <v>61</v>
      </c>
      <c r="K13" s="6">
        <v>15</v>
      </c>
      <c r="L13" s="6">
        <v>10</v>
      </c>
      <c r="M13" s="8" t="s">
        <v>62</v>
      </c>
      <c r="N13" s="7"/>
    </row>
    <row r="14" spans="1:14" ht="20.100000000000001" customHeight="1">
      <c r="A14" s="2" t="s">
        <v>14</v>
      </c>
      <c r="B14" s="3" t="s">
        <v>15</v>
      </c>
      <c r="C14" s="3" t="s">
        <v>16</v>
      </c>
      <c r="D14" s="2" t="s">
        <v>63</v>
      </c>
      <c r="E14" s="2">
        <v>677</v>
      </c>
      <c r="F14" s="2" t="s">
        <v>18</v>
      </c>
      <c r="G14" s="3" t="s">
        <v>64</v>
      </c>
      <c r="H14" s="2">
        <v>800</v>
      </c>
      <c r="I14" s="4" t="s">
        <v>20</v>
      </c>
      <c r="J14" s="3" t="s">
        <v>21</v>
      </c>
      <c r="K14" s="2">
        <v>15</v>
      </c>
      <c r="L14" s="2">
        <v>10</v>
      </c>
      <c r="M14" s="5" t="s">
        <v>65</v>
      </c>
      <c r="N14" s="3"/>
    </row>
    <row r="15" spans="1:14" ht="20.100000000000001" customHeight="1">
      <c r="A15" s="6" t="s">
        <v>14</v>
      </c>
      <c r="B15" s="7" t="s">
        <v>15</v>
      </c>
      <c r="C15" s="7" t="s">
        <v>16</v>
      </c>
      <c r="D15" s="6" t="s">
        <v>66</v>
      </c>
      <c r="E15" s="6">
        <v>705</v>
      </c>
      <c r="F15" s="6" t="s">
        <v>18</v>
      </c>
      <c r="G15" s="7" t="s">
        <v>67</v>
      </c>
      <c r="H15" s="6">
        <v>800</v>
      </c>
      <c r="I15" s="4" t="s">
        <v>20</v>
      </c>
      <c r="J15" s="7" t="s">
        <v>21</v>
      </c>
      <c r="K15" s="6">
        <v>15</v>
      </c>
      <c r="L15" s="6">
        <v>10</v>
      </c>
      <c r="M15" s="8" t="s">
        <v>68</v>
      </c>
      <c r="N15" s="7"/>
    </row>
    <row r="16" spans="1:14" ht="20.100000000000001" customHeight="1">
      <c r="A16" s="2" t="s">
        <v>14</v>
      </c>
      <c r="B16" s="3" t="s">
        <v>15</v>
      </c>
      <c r="C16" s="3" t="s">
        <v>16</v>
      </c>
      <c r="D16" s="2" t="s">
        <v>69</v>
      </c>
      <c r="E16" s="2">
        <v>723</v>
      </c>
      <c r="F16" s="2" t="s">
        <v>18</v>
      </c>
      <c r="G16" s="3" t="s">
        <v>70</v>
      </c>
      <c r="H16" s="2">
        <v>800</v>
      </c>
      <c r="I16" s="4" t="s">
        <v>20</v>
      </c>
      <c r="J16" s="3" t="s">
        <v>71</v>
      </c>
      <c r="K16" s="2">
        <v>15</v>
      </c>
      <c r="L16" s="2">
        <v>10</v>
      </c>
      <c r="M16" s="5" t="s">
        <v>72</v>
      </c>
      <c r="N16" s="3"/>
    </row>
    <row r="17" spans="1:14" ht="20.100000000000001" customHeight="1">
      <c r="A17" s="6" t="s">
        <v>14</v>
      </c>
      <c r="B17" s="7" t="s">
        <v>15</v>
      </c>
      <c r="C17" s="7" t="s">
        <v>16</v>
      </c>
      <c r="D17" s="6" t="s">
        <v>73</v>
      </c>
      <c r="E17" s="6">
        <v>731</v>
      </c>
      <c r="F17" s="6" t="s">
        <v>18</v>
      </c>
      <c r="G17" s="7" t="s">
        <v>74</v>
      </c>
      <c r="H17" s="6">
        <v>800</v>
      </c>
      <c r="I17" s="4" t="s">
        <v>20</v>
      </c>
      <c r="J17" s="7" t="s">
        <v>75</v>
      </c>
      <c r="K17" s="6">
        <v>15</v>
      </c>
      <c r="L17" s="6">
        <v>10</v>
      </c>
      <c r="M17" s="8" t="s">
        <v>76</v>
      </c>
      <c r="N17" s="7"/>
    </row>
    <row r="18" spans="1:14" ht="20.100000000000001" customHeight="1">
      <c r="A18" s="2" t="s">
        <v>14</v>
      </c>
      <c r="B18" s="3" t="s">
        <v>15</v>
      </c>
      <c r="C18" s="3" t="s">
        <v>16</v>
      </c>
      <c r="D18" s="2" t="s">
        <v>77</v>
      </c>
      <c r="E18" s="2">
        <v>734</v>
      </c>
      <c r="F18" s="2" t="s">
        <v>18</v>
      </c>
      <c r="G18" s="3" t="s">
        <v>78</v>
      </c>
      <c r="H18" s="2">
        <v>800</v>
      </c>
      <c r="I18" s="4" t="s">
        <v>20</v>
      </c>
      <c r="J18" s="3" t="s">
        <v>75</v>
      </c>
      <c r="K18" s="2">
        <v>15</v>
      </c>
      <c r="L18" s="2">
        <v>10</v>
      </c>
      <c r="M18" s="5" t="s">
        <v>79</v>
      </c>
      <c r="N18" s="3"/>
    </row>
    <row r="19" spans="1:14" ht="20.100000000000001" customHeight="1">
      <c r="A19" s="6" t="s">
        <v>14</v>
      </c>
      <c r="B19" s="7" t="s">
        <v>15</v>
      </c>
      <c r="C19" s="7" t="s">
        <v>16</v>
      </c>
      <c r="D19" s="6" t="s">
        <v>80</v>
      </c>
      <c r="E19" s="6">
        <v>746</v>
      </c>
      <c r="F19" s="6" t="s">
        <v>18</v>
      </c>
      <c r="G19" s="7" t="s">
        <v>81</v>
      </c>
      <c r="H19" s="6">
        <v>800</v>
      </c>
      <c r="I19" s="4" t="s">
        <v>20</v>
      </c>
      <c r="J19" s="7" t="s">
        <v>61</v>
      </c>
      <c r="K19" s="6">
        <v>15</v>
      </c>
      <c r="L19" s="6">
        <v>10</v>
      </c>
      <c r="M19" s="8" t="s">
        <v>82</v>
      </c>
      <c r="N19" s="7"/>
    </row>
    <row r="20" spans="1:14" ht="20.100000000000001" customHeight="1">
      <c r="A20" s="2" t="s">
        <v>14</v>
      </c>
      <c r="B20" s="3" t="s">
        <v>15</v>
      </c>
      <c r="C20" s="3" t="s">
        <v>16</v>
      </c>
      <c r="D20" s="2" t="s">
        <v>83</v>
      </c>
      <c r="E20" s="2">
        <v>750</v>
      </c>
      <c r="F20" s="2" t="s">
        <v>18</v>
      </c>
      <c r="G20" s="3" t="s">
        <v>84</v>
      </c>
      <c r="H20" s="2">
        <v>800</v>
      </c>
      <c r="I20" s="4" t="s">
        <v>20</v>
      </c>
      <c r="J20" s="3" t="s">
        <v>85</v>
      </c>
      <c r="K20" s="2">
        <v>15</v>
      </c>
      <c r="L20" s="2">
        <v>10</v>
      </c>
      <c r="M20" s="5" t="s">
        <v>86</v>
      </c>
      <c r="N20" s="3"/>
    </row>
    <row r="21" spans="1:14" ht="20.100000000000001" customHeight="1">
      <c r="A21" s="6" t="s">
        <v>14</v>
      </c>
      <c r="B21" s="7" t="s">
        <v>15</v>
      </c>
      <c r="C21" s="7" t="s">
        <v>16</v>
      </c>
      <c r="D21" s="6" t="s">
        <v>87</v>
      </c>
      <c r="E21" s="6">
        <v>758</v>
      </c>
      <c r="F21" s="6" t="s">
        <v>18</v>
      </c>
      <c r="G21" s="7" t="s">
        <v>88</v>
      </c>
      <c r="H21" s="6">
        <v>800</v>
      </c>
      <c r="I21" s="4" t="s">
        <v>20</v>
      </c>
      <c r="J21" s="7" t="s">
        <v>61</v>
      </c>
      <c r="K21" s="6">
        <v>15</v>
      </c>
      <c r="L21" s="6">
        <v>10</v>
      </c>
      <c r="M21" s="8" t="s">
        <v>89</v>
      </c>
      <c r="N21" s="7"/>
    </row>
    <row r="22" spans="1:14" ht="20.100000000000001" customHeight="1">
      <c r="A22" s="2" t="s">
        <v>14</v>
      </c>
      <c r="B22" s="3" t="s">
        <v>15</v>
      </c>
      <c r="C22" s="3" t="s">
        <v>16</v>
      </c>
      <c r="D22" s="2" t="s">
        <v>90</v>
      </c>
      <c r="E22" s="2">
        <v>785</v>
      </c>
      <c r="F22" s="2" t="s">
        <v>18</v>
      </c>
      <c r="G22" s="3" t="s">
        <v>91</v>
      </c>
      <c r="H22" s="2">
        <v>800</v>
      </c>
      <c r="I22" s="4" t="s">
        <v>20</v>
      </c>
      <c r="J22" s="3" t="s">
        <v>75</v>
      </c>
      <c r="K22" s="2">
        <v>15</v>
      </c>
      <c r="L22" s="2">
        <v>10</v>
      </c>
      <c r="M22" s="5" t="s">
        <v>92</v>
      </c>
      <c r="N22" s="3"/>
    </row>
    <row r="23" spans="1:14" ht="20.100000000000001" customHeight="1">
      <c r="A23" s="6" t="s">
        <v>14</v>
      </c>
      <c r="B23" s="7" t="s">
        <v>15</v>
      </c>
      <c r="C23" s="7" t="s">
        <v>16</v>
      </c>
      <c r="D23" s="6" t="s">
        <v>93</v>
      </c>
      <c r="E23" s="6">
        <v>791</v>
      </c>
      <c r="F23" s="6" t="s">
        <v>18</v>
      </c>
      <c r="G23" s="7" t="s">
        <v>94</v>
      </c>
      <c r="H23" s="6">
        <v>800</v>
      </c>
      <c r="I23" s="4" t="s">
        <v>20</v>
      </c>
      <c r="J23" s="7" t="s">
        <v>21</v>
      </c>
      <c r="K23" s="6">
        <v>15</v>
      </c>
      <c r="L23" s="6">
        <v>10</v>
      </c>
      <c r="M23" s="8" t="s">
        <v>95</v>
      </c>
      <c r="N23" s="7"/>
    </row>
    <row r="24" spans="1:14" ht="20.100000000000001" customHeight="1">
      <c r="A24" s="2" t="s">
        <v>14</v>
      </c>
      <c r="B24" s="3" t="s">
        <v>15</v>
      </c>
      <c r="C24" s="3" t="s">
        <v>16</v>
      </c>
      <c r="D24" s="2" t="s">
        <v>96</v>
      </c>
      <c r="E24" s="2">
        <v>935</v>
      </c>
      <c r="F24" s="2" t="s">
        <v>18</v>
      </c>
      <c r="G24" s="3" t="s">
        <v>97</v>
      </c>
      <c r="H24" s="2">
        <v>800</v>
      </c>
      <c r="I24" s="4" t="s">
        <v>20</v>
      </c>
      <c r="J24" s="3" t="s">
        <v>54</v>
      </c>
      <c r="K24" s="2">
        <v>15</v>
      </c>
      <c r="L24" s="2">
        <v>10</v>
      </c>
      <c r="M24" s="5" t="s">
        <v>98</v>
      </c>
      <c r="N24" s="3"/>
    </row>
    <row r="25" spans="1:14" ht="20.100000000000001" customHeight="1">
      <c r="A25" s="6" t="s">
        <v>14</v>
      </c>
      <c r="B25" s="7" t="s">
        <v>15</v>
      </c>
      <c r="C25" s="7" t="s">
        <v>16</v>
      </c>
      <c r="D25" s="6" t="s">
        <v>99</v>
      </c>
      <c r="E25" s="6">
        <v>996</v>
      </c>
      <c r="F25" s="6" t="s">
        <v>18</v>
      </c>
      <c r="G25" s="7" t="s">
        <v>100</v>
      </c>
      <c r="H25" s="6">
        <v>800</v>
      </c>
      <c r="I25" s="4" t="s">
        <v>20</v>
      </c>
      <c r="J25" s="7" t="s">
        <v>101</v>
      </c>
      <c r="K25" s="6">
        <v>15</v>
      </c>
      <c r="L25" s="6">
        <v>10</v>
      </c>
      <c r="M25" s="8" t="s">
        <v>102</v>
      </c>
      <c r="N25" s="7"/>
    </row>
    <row r="26" spans="1:14" ht="20.100000000000001" customHeight="1">
      <c r="A26" s="2" t="s">
        <v>14</v>
      </c>
      <c r="B26" s="3" t="s">
        <v>15</v>
      </c>
      <c r="C26" s="3" t="s">
        <v>16</v>
      </c>
      <c r="D26" s="2" t="s">
        <v>103</v>
      </c>
      <c r="E26" s="2">
        <v>1030</v>
      </c>
      <c r="F26" s="2" t="s">
        <v>18</v>
      </c>
      <c r="G26" s="3" t="s">
        <v>104</v>
      </c>
      <c r="H26" s="2">
        <v>800</v>
      </c>
      <c r="I26" s="4" t="s">
        <v>20</v>
      </c>
      <c r="J26" s="3" t="s">
        <v>21</v>
      </c>
      <c r="K26" s="2">
        <v>15</v>
      </c>
      <c r="L26" s="2">
        <v>10</v>
      </c>
      <c r="M26" s="5" t="s">
        <v>105</v>
      </c>
      <c r="N26" s="3"/>
    </row>
    <row r="27" spans="1:14" ht="20.100000000000001" customHeight="1">
      <c r="A27" s="6" t="s">
        <v>14</v>
      </c>
      <c r="B27" s="7" t="s">
        <v>15</v>
      </c>
      <c r="C27" s="7" t="s">
        <v>16</v>
      </c>
      <c r="D27" s="6" t="s">
        <v>106</v>
      </c>
      <c r="E27" s="6">
        <v>1097</v>
      </c>
      <c r="F27" s="6" t="s">
        <v>18</v>
      </c>
      <c r="G27" s="7" t="s">
        <v>107</v>
      </c>
      <c r="H27" s="6">
        <v>800</v>
      </c>
      <c r="I27" s="4" t="s">
        <v>20</v>
      </c>
      <c r="J27" s="7" t="s">
        <v>54</v>
      </c>
      <c r="K27" s="6">
        <v>15</v>
      </c>
      <c r="L27" s="6">
        <v>10</v>
      </c>
      <c r="M27" s="8" t="s">
        <v>108</v>
      </c>
      <c r="N27" s="7"/>
    </row>
    <row r="28" spans="1:14" ht="20.100000000000001" customHeight="1">
      <c r="A28" s="2" t="s">
        <v>14</v>
      </c>
      <c r="B28" s="3" t="s">
        <v>15</v>
      </c>
      <c r="C28" s="3" t="s">
        <v>16</v>
      </c>
      <c r="D28" s="2" t="s">
        <v>109</v>
      </c>
      <c r="E28" s="2">
        <v>1108</v>
      </c>
      <c r="F28" s="2" t="s">
        <v>18</v>
      </c>
      <c r="G28" s="3" t="s">
        <v>110</v>
      </c>
      <c r="H28" s="2">
        <v>800</v>
      </c>
      <c r="I28" s="4" t="s">
        <v>20</v>
      </c>
      <c r="J28" s="3" t="s">
        <v>21</v>
      </c>
      <c r="K28" s="2">
        <v>15</v>
      </c>
      <c r="L28" s="2">
        <v>10</v>
      </c>
      <c r="M28" s="5" t="s">
        <v>111</v>
      </c>
      <c r="N28" s="3"/>
    </row>
    <row r="29" spans="1:14" ht="20.100000000000001" customHeight="1">
      <c r="A29" s="6" t="s">
        <v>14</v>
      </c>
      <c r="B29" s="7" t="s">
        <v>15</v>
      </c>
      <c r="C29" s="7" t="s">
        <v>16</v>
      </c>
      <c r="D29" s="6" t="s">
        <v>112</v>
      </c>
      <c r="E29" s="6">
        <v>1114</v>
      </c>
      <c r="F29" s="6" t="s">
        <v>18</v>
      </c>
      <c r="G29" s="7" t="s">
        <v>113</v>
      </c>
      <c r="H29" s="6">
        <v>800</v>
      </c>
      <c r="I29" s="4" t="s">
        <v>20</v>
      </c>
      <c r="J29" s="7" t="s">
        <v>114</v>
      </c>
      <c r="K29" s="6">
        <v>15</v>
      </c>
      <c r="L29" s="6">
        <v>10</v>
      </c>
      <c r="M29" s="8" t="s">
        <v>115</v>
      </c>
      <c r="N29" s="7"/>
    </row>
    <row r="30" spans="1:14" ht="20.100000000000001" customHeight="1">
      <c r="A30" s="2" t="s">
        <v>14</v>
      </c>
      <c r="B30" s="3" t="s">
        <v>15</v>
      </c>
      <c r="C30" s="3" t="s">
        <v>16</v>
      </c>
      <c r="D30" s="2" t="s">
        <v>116</v>
      </c>
      <c r="E30" s="2">
        <v>116</v>
      </c>
      <c r="F30" s="2" t="s">
        <v>18</v>
      </c>
      <c r="G30" s="3" t="s">
        <v>117</v>
      </c>
      <c r="H30" s="2">
        <v>800</v>
      </c>
      <c r="I30" s="4" t="s">
        <v>20</v>
      </c>
      <c r="J30" s="3" t="s">
        <v>21</v>
      </c>
      <c r="K30" s="2">
        <v>15</v>
      </c>
      <c r="L30" s="2">
        <v>10</v>
      </c>
      <c r="M30" s="5" t="s">
        <v>118</v>
      </c>
      <c r="N30" s="3"/>
    </row>
    <row r="31" spans="1:14" ht="20.100000000000001" customHeight="1">
      <c r="A31" s="6" t="s">
        <v>14</v>
      </c>
      <c r="B31" s="7" t="s">
        <v>15</v>
      </c>
      <c r="C31" s="7" t="s">
        <v>16</v>
      </c>
      <c r="D31" s="6" t="s">
        <v>119</v>
      </c>
      <c r="E31" s="6">
        <v>1234</v>
      </c>
      <c r="F31" s="6" t="s">
        <v>18</v>
      </c>
      <c r="G31" s="7" t="s">
        <v>120</v>
      </c>
      <c r="H31" s="6">
        <v>800</v>
      </c>
      <c r="I31" s="4" t="s">
        <v>20</v>
      </c>
      <c r="J31" s="7" t="s">
        <v>121</v>
      </c>
      <c r="K31" s="6">
        <v>15</v>
      </c>
      <c r="L31" s="6">
        <v>10</v>
      </c>
      <c r="M31" s="8" t="s">
        <v>122</v>
      </c>
      <c r="N31" s="7"/>
    </row>
    <row r="32" spans="1:14" ht="20.100000000000001" customHeight="1">
      <c r="A32" s="2" t="s">
        <v>14</v>
      </c>
      <c r="B32" s="3" t="s">
        <v>15</v>
      </c>
      <c r="C32" s="3" t="s">
        <v>16</v>
      </c>
      <c r="D32" s="2" t="s">
        <v>123</v>
      </c>
      <c r="E32" s="2">
        <v>1294</v>
      </c>
      <c r="F32" s="2" t="s">
        <v>18</v>
      </c>
      <c r="G32" s="3" t="s">
        <v>124</v>
      </c>
      <c r="H32" s="2">
        <v>800</v>
      </c>
      <c r="I32" s="4" t="s">
        <v>20</v>
      </c>
      <c r="J32" s="3" t="s">
        <v>121</v>
      </c>
      <c r="K32" s="2">
        <v>15</v>
      </c>
      <c r="L32" s="2">
        <v>10</v>
      </c>
      <c r="M32" s="5" t="s">
        <v>125</v>
      </c>
      <c r="N32" s="3"/>
    </row>
    <row r="33" spans="1:14" ht="20.100000000000001" customHeight="1">
      <c r="A33" s="6" t="s">
        <v>14</v>
      </c>
      <c r="B33" s="7" t="s">
        <v>15</v>
      </c>
      <c r="C33" s="7" t="s">
        <v>16</v>
      </c>
      <c r="D33" s="6" t="s">
        <v>126</v>
      </c>
      <c r="E33" s="6">
        <v>1335</v>
      </c>
      <c r="F33" s="6" t="s">
        <v>18</v>
      </c>
      <c r="G33" s="7" t="s">
        <v>127</v>
      </c>
      <c r="H33" s="6">
        <v>800</v>
      </c>
      <c r="I33" s="4" t="s">
        <v>20</v>
      </c>
      <c r="J33" s="7" t="s">
        <v>121</v>
      </c>
      <c r="K33" s="6">
        <v>15</v>
      </c>
      <c r="L33" s="6">
        <v>10</v>
      </c>
      <c r="M33" s="8" t="s">
        <v>128</v>
      </c>
      <c r="N33" s="7"/>
    </row>
    <row r="34" spans="1:14" ht="20.100000000000001" customHeight="1">
      <c r="A34" s="2" t="s">
        <v>14</v>
      </c>
      <c r="B34" s="3" t="s">
        <v>15</v>
      </c>
      <c r="C34" s="3" t="s">
        <v>16</v>
      </c>
      <c r="D34" s="2" t="s">
        <v>129</v>
      </c>
      <c r="E34" s="2">
        <v>1352</v>
      </c>
      <c r="F34" s="2" t="s">
        <v>18</v>
      </c>
      <c r="G34" s="3" t="s">
        <v>130</v>
      </c>
      <c r="H34" s="2">
        <v>800</v>
      </c>
      <c r="I34" s="4" t="s">
        <v>20</v>
      </c>
      <c r="J34" s="3" t="s">
        <v>61</v>
      </c>
      <c r="K34" s="2">
        <v>15</v>
      </c>
      <c r="L34" s="2">
        <v>10</v>
      </c>
      <c r="M34" s="5" t="s">
        <v>131</v>
      </c>
      <c r="N34" s="3"/>
    </row>
    <row r="35" spans="1:14" ht="20.100000000000001" customHeight="1">
      <c r="A35" s="6" t="s">
        <v>14</v>
      </c>
      <c r="B35" s="7" t="s">
        <v>15</v>
      </c>
      <c r="C35" s="7" t="s">
        <v>16</v>
      </c>
      <c r="D35" s="6" t="s">
        <v>132</v>
      </c>
      <c r="E35" s="6">
        <v>1367</v>
      </c>
      <c r="F35" s="6" t="s">
        <v>18</v>
      </c>
      <c r="G35" s="7" t="s">
        <v>133</v>
      </c>
      <c r="H35" s="6">
        <v>800</v>
      </c>
      <c r="I35" s="4" t="s">
        <v>20</v>
      </c>
      <c r="J35" s="7" t="s">
        <v>75</v>
      </c>
      <c r="K35" s="6">
        <v>15</v>
      </c>
      <c r="L35" s="6">
        <v>10</v>
      </c>
      <c r="M35" s="8" t="s">
        <v>134</v>
      </c>
      <c r="N35" s="7"/>
    </row>
    <row r="36" spans="1:14" ht="20.100000000000001" customHeight="1">
      <c r="A36" s="2" t="s">
        <v>14</v>
      </c>
      <c r="B36" s="3" t="s">
        <v>15</v>
      </c>
      <c r="C36" s="3" t="s">
        <v>16</v>
      </c>
      <c r="D36" s="2" t="s">
        <v>135</v>
      </c>
      <c r="E36" s="2">
        <v>1374</v>
      </c>
      <c r="F36" s="2" t="s">
        <v>18</v>
      </c>
      <c r="G36" s="3" t="s">
        <v>136</v>
      </c>
      <c r="H36" s="2">
        <v>800</v>
      </c>
      <c r="I36" s="4" t="s">
        <v>20</v>
      </c>
      <c r="J36" s="3" t="s">
        <v>121</v>
      </c>
      <c r="K36" s="2">
        <v>15</v>
      </c>
      <c r="L36" s="2">
        <v>10</v>
      </c>
      <c r="M36" s="5" t="s">
        <v>137</v>
      </c>
      <c r="N36" s="3"/>
    </row>
    <row r="37" spans="1:14" ht="20.100000000000001" customHeight="1">
      <c r="A37" s="6" t="s">
        <v>14</v>
      </c>
      <c r="B37" s="7" t="s">
        <v>15</v>
      </c>
      <c r="C37" s="7" t="s">
        <v>16</v>
      </c>
      <c r="D37" s="6" t="s">
        <v>138</v>
      </c>
      <c r="E37" s="6">
        <v>1385</v>
      </c>
      <c r="F37" s="6" t="s">
        <v>18</v>
      </c>
      <c r="G37" s="7" t="s">
        <v>139</v>
      </c>
      <c r="H37" s="6">
        <v>800</v>
      </c>
      <c r="I37" s="4" t="s">
        <v>20</v>
      </c>
      <c r="J37" s="7" t="s">
        <v>121</v>
      </c>
      <c r="K37" s="6">
        <v>15</v>
      </c>
      <c r="L37" s="6">
        <v>10</v>
      </c>
      <c r="M37" s="8" t="s">
        <v>140</v>
      </c>
      <c r="N37" s="7"/>
    </row>
    <row r="38" spans="1:14" ht="20.100000000000001" customHeight="1">
      <c r="A38" s="2" t="s">
        <v>14</v>
      </c>
      <c r="B38" s="3" t="s">
        <v>15</v>
      </c>
      <c r="C38" s="3" t="s">
        <v>16</v>
      </c>
      <c r="D38" s="2" t="s">
        <v>141</v>
      </c>
      <c r="E38" s="2">
        <v>1399</v>
      </c>
      <c r="F38" s="2" t="s">
        <v>18</v>
      </c>
      <c r="G38" s="3" t="s">
        <v>142</v>
      </c>
      <c r="H38" s="2">
        <v>800</v>
      </c>
      <c r="I38" s="4" t="s">
        <v>20</v>
      </c>
      <c r="J38" s="3" t="s">
        <v>143</v>
      </c>
      <c r="K38" s="2">
        <v>15</v>
      </c>
      <c r="L38" s="2">
        <v>10</v>
      </c>
      <c r="M38" s="5" t="s">
        <v>144</v>
      </c>
      <c r="N38" s="3"/>
    </row>
    <row r="39" spans="1:14" ht="20.100000000000001" customHeight="1">
      <c r="A39" s="6" t="s">
        <v>14</v>
      </c>
      <c r="B39" s="7" t="s">
        <v>15</v>
      </c>
      <c r="C39" s="7" t="s">
        <v>16</v>
      </c>
      <c r="D39" s="6" t="s">
        <v>145</v>
      </c>
      <c r="E39" s="6">
        <v>1409</v>
      </c>
      <c r="F39" s="6" t="s">
        <v>18</v>
      </c>
      <c r="G39" s="7" t="s">
        <v>146</v>
      </c>
      <c r="H39" s="6">
        <v>800</v>
      </c>
      <c r="I39" s="4" t="s">
        <v>20</v>
      </c>
      <c r="J39" s="7" t="s">
        <v>147</v>
      </c>
      <c r="K39" s="6">
        <v>15</v>
      </c>
      <c r="L39" s="6">
        <v>10</v>
      </c>
      <c r="M39" s="8" t="s">
        <v>148</v>
      </c>
      <c r="N39" s="7"/>
    </row>
    <row r="40" spans="1:14" ht="20.100000000000001" customHeight="1">
      <c r="A40" s="2" t="s">
        <v>14</v>
      </c>
      <c r="B40" s="3" t="s">
        <v>15</v>
      </c>
      <c r="C40" s="3" t="s">
        <v>16</v>
      </c>
      <c r="D40" s="2" t="s">
        <v>149</v>
      </c>
      <c r="E40" s="2">
        <v>1426</v>
      </c>
      <c r="F40" s="2" t="s">
        <v>18</v>
      </c>
      <c r="G40" s="3" t="s">
        <v>150</v>
      </c>
      <c r="H40" s="2">
        <v>800</v>
      </c>
      <c r="I40" s="4" t="s">
        <v>20</v>
      </c>
      <c r="J40" s="3" t="s">
        <v>61</v>
      </c>
      <c r="K40" s="2">
        <v>15</v>
      </c>
      <c r="L40" s="2">
        <v>10</v>
      </c>
      <c r="M40" s="5" t="s">
        <v>151</v>
      </c>
      <c r="N40" s="3"/>
    </row>
    <row r="41" spans="1:14" ht="20.100000000000001" customHeight="1">
      <c r="A41" s="6" t="s">
        <v>14</v>
      </c>
      <c r="B41" s="7" t="s">
        <v>15</v>
      </c>
      <c r="C41" s="7" t="s">
        <v>152</v>
      </c>
      <c r="D41" s="6" t="s">
        <v>153</v>
      </c>
      <c r="E41" s="6">
        <v>228</v>
      </c>
      <c r="F41" s="6" t="s">
        <v>18</v>
      </c>
      <c r="G41" s="7" t="s">
        <v>154</v>
      </c>
      <c r="H41" s="6">
        <v>800</v>
      </c>
      <c r="I41" s="4" t="s">
        <v>20</v>
      </c>
      <c r="J41" s="7" t="s">
        <v>21</v>
      </c>
      <c r="K41" s="6">
        <v>15</v>
      </c>
      <c r="L41" s="6">
        <v>10</v>
      </c>
      <c r="M41" s="8" t="s">
        <v>155</v>
      </c>
      <c r="N41" s="7"/>
    </row>
    <row r="42" spans="1:14" ht="20.100000000000001" customHeight="1">
      <c r="A42" s="2" t="s">
        <v>14</v>
      </c>
      <c r="B42" s="3" t="s">
        <v>15</v>
      </c>
      <c r="C42" s="3" t="s">
        <v>152</v>
      </c>
      <c r="D42" s="2" t="s">
        <v>156</v>
      </c>
      <c r="E42" s="2">
        <v>368</v>
      </c>
      <c r="F42" s="2" t="s">
        <v>157</v>
      </c>
      <c r="G42" s="3" t="s">
        <v>158</v>
      </c>
      <c r="H42" s="2">
        <v>1100</v>
      </c>
      <c r="I42" s="4" t="s">
        <v>43</v>
      </c>
      <c r="J42" s="3" t="s">
        <v>159</v>
      </c>
      <c r="K42" s="2">
        <v>25</v>
      </c>
      <c r="L42" s="2">
        <v>20</v>
      </c>
      <c r="M42" s="5" t="s">
        <v>160</v>
      </c>
      <c r="N42" s="3"/>
    </row>
    <row r="43" spans="1:14" ht="20.100000000000001" customHeight="1">
      <c r="A43" s="6" t="s">
        <v>14</v>
      </c>
      <c r="B43" s="7" t="s">
        <v>15</v>
      </c>
      <c r="C43" s="7" t="s">
        <v>152</v>
      </c>
      <c r="D43" s="6" t="s">
        <v>161</v>
      </c>
      <c r="E43" s="6">
        <v>459</v>
      </c>
      <c r="F43" s="6" t="s">
        <v>157</v>
      </c>
      <c r="G43" s="7" t="s">
        <v>162</v>
      </c>
      <c r="H43" s="6">
        <v>1300</v>
      </c>
      <c r="I43" s="9" t="s">
        <v>163</v>
      </c>
      <c r="J43" s="7" t="s">
        <v>164</v>
      </c>
      <c r="K43" s="6">
        <v>25</v>
      </c>
      <c r="L43" s="6">
        <v>20</v>
      </c>
      <c r="M43" s="8" t="s">
        <v>165</v>
      </c>
      <c r="N43" s="7"/>
    </row>
    <row r="44" spans="1:14" ht="20.100000000000001" customHeight="1">
      <c r="A44" s="2" t="s">
        <v>14</v>
      </c>
      <c r="B44" s="3" t="s">
        <v>15</v>
      </c>
      <c r="C44" s="3" t="s">
        <v>152</v>
      </c>
      <c r="D44" s="2" t="s">
        <v>166</v>
      </c>
      <c r="E44" s="2">
        <v>478</v>
      </c>
      <c r="F44" s="2" t="s">
        <v>157</v>
      </c>
      <c r="G44" s="3" t="s">
        <v>167</v>
      </c>
      <c r="H44" s="2">
        <v>1300</v>
      </c>
      <c r="I44" s="9" t="s">
        <v>163</v>
      </c>
      <c r="J44" s="3" t="s">
        <v>168</v>
      </c>
      <c r="K44" s="2">
        <v>25</v>
      </c>
      <c r="L44" s="2">
        <v>20</v>
      </c>
      <c r="M44" s="5" t="s">
        <v>169</v>
      </c>
      <c r="N44" s="3"/>
    </row>
    <row r="45" spans="1:14" ht="20.100000000000001" customHeight="1">
      <c r="A45" s="6" t="s">
        <v>14</v>
      </c>
      <c r="B45" s="7" t="s">
        <v>15</v>
      </c>
      <c r="C45" s="7" t="s">
        <v>152</v>
      </c>
      <c r="D45" s="6" t="s">
        <v>170</v>
      </c>
      <c r="E45" s="6">
        <v>550</v>
      </c>
      <c r="F45" s="6" t="s">
        <v>18</v>
      </c>
      <c r="G45" s="7" t="s">
        <v>171</v>
      </c>
      <c r="H45" s="6">
        <v>1500</v>
      </c>
      <c r="I45" s="9" t="s">
        <v>172</v>
      </c>
      <c r="J45" s="7" t="s">
        <v>173</v>
      </c>
      <c r="K45" s="6">
        <v>40</v>
      </c>
      <c r="L45" s="6">
        <v>35</v>
      </c>
      <c r="M45" s="8" t="s">
        <v>174</v>
      </c>
      <c r="N45" s="7"/>
    </row>
    <row r="46" spans="1:14" ht="20.100000000000001" customHeight="1">
      <c r="A46" s="2" t="s">
        <v>14</v>
      </c>
      <c r="B46" s="3" t="s">
        <v>15</v>
      </c>
      <c r="C46" s="3" t="s">
        <v>152</v>
      </c>
      <c r="D46" s="2" t="s">
        <v>175</v>
      </c>
      <c r="E46" s="2">
        <v>978</v>
      </c>
      <c r="F46" s="2" t="s">
        <v>18</v>
      </c>
      <c r="G46" s="3" t="s">
        <v>176</v>
      </c>
      <c r="H46" s="2">
        <v>800</v>
      </c>
      <c r="I46" s="4" t="s">
        <v>20</v>
      </c>
      <c r="J46" s="3" t="s">
        <v>21</v>
      </c>
      <c r="K46" s="2">
        <v>15</v>
      </c>
      <c r="L46" s="2">
        <v>10</v>
      </c>
      <c r="M46" s="5" t="s">
        <v>177</v>
      </c>
      <c r="N46" s="3"/>
    </row>
    <row r="47" spans="1:14" ht="20.100000000000001" customHeight="1">
      <c r="A47" s="6" t="s">
        <v>14</v>
      </c>
      <c r="B47" s="7" t="s">
        <v>15</v>
      </c>
      <c r="C47" s="7" t="s">
        <v>152</v>
      </c>
      <c r="D47" s="6" t="s">
        <v>178</v>
      </c>
      <c r="E47" s="6">
        <v>1005</v>
      </c>
      <c r="F47" s="6" t="s">
        <v>157</v>
      </c>
      <c r="G47" s="7" t="s">
        <v>179</v>
      </c>
      <c r="H47" s="6">
        <v>900</v>
      </c>
      <c r="I47" s="4" t="s">
        <v>20</v>
      </c>
      <c r="J47" s="7" t="s">
        <v>180</v>
      </c>
      <c r="K47" s="6">
        <v>15</v>
      </c>
      <c r="L47" s="6">
        <v>10</v>
      </c>
      <c r="M47" s="8" t="s">
        <v>181</v>
      </c>
      <c r="N47" s="7"/>
    </row>
    <row r="48" spans="1:14" ht="20.100000000000001" customHeight="1">
      <c r="A48" s="2" t="s">
        <v>14</v>
      </c>
      <c r="B48" s="3" t="s">
        <v>15</v>
      </c>
      <c r="C48" s="3" t="s">
        <v>152</v>
      </c>
      <c r="D48" s="2" t="s">
        <v>182</v>
      </c>
      <c r="E48" s="2">
        <v>1077</v>
      </c>
      <c r="F48" s="2" t="s">
        <v>183</v>
      </c>
      <c r="G48" s="3" t="s">
        <v>184</v>
      </c>
      <c r="H48" s="2">
        <v>1300</v>
      </c>
      <c r="I48" s="9" t="s">
        <v>163</v>
      </c>
      <c r="J48" s="3" t="s">
        <v>185</v>
      </c>
      <c r="K48" s="2">
        <v>25</v>
      </c>
      <c r="L48" s="2">
        <v>20</v>
      </c>
      <c r="M48" s="5" t="s">
        <v>186</v>
      </c>
      <c r="N48" s="3"/>
    </row>
    <row r="49" spans="1:14" ht="20.100000000000001" customHeight="1">
      <c r="A49" s="6" t="s">
        <v>14</v>
      </c>
      <c r="B49" s="7" t="s">
        <v>15</v>
      </c>
      <c r="C49" s="7" t="s">
        <v>152</v>
      </c>
      <c r="D49" s="6" t="s">
        <v>187</v>
      </c>
      <c r="E49" s="6">
        <v>1141</v>
      </c>
      <c r="F49" s="6" t="s">
        <v>18</v>
      </c>
      <c r="G49" s="7" t="s">
        <v>188</v>
      </c>
      <c r="H49" s="6">
        <v>1000</v>
      </c>
      <c r="I49" s="4" t="s">
        <v>43</v>
      </c>
      <c r="J49" s="7" t="s">
        <v>61</v>
      </c>
      <c r="K49" s="6">
        <v>15</v>
      </c>
      <c r="L49" s="6">
        <v>10</v>
      </c>
      <c r="M49" s="8" t="s">
        <v>189</v>
      </c>
      <c r="N49" s="7"/>
    </row>
    <row r="50" spans="1:14" ht="20.100000000000001" customHeight="1">
      <c r="A50" s="2" t="s">
        <v>14</v>
      </c>
      <c r="B50" s="3" t="s">
        <v>15</v>
      </c>
      <c r="C50" s="3" t="s">
        <v>152</v>
      </c>
      <c r="D50" s="2" t="s">
        <v>190</v>
      </c>
      <c r="E50" s="2">
        <v>1187</v>
      </c>
      <c r="F50" s="2" t="s">
        <v>18</v>
      </c>
      <c r="G50" s="3" t="s">
        <v>191</v>
      </c>
      <c r="H50" s="2">
        <v>900</v>
      </c>
      <c r="I50" s="4" t="s">
        <v>20</v>
      </c>
      <c r="J50" s="3" t="s">
        <v>121</v>
      </c>
      <c r="K50" s="2">
        <v>15</v>
      </c>
      <c r="L50" s="2">
        <v>10</v>
      </c>
      <c r="M50" s="5" t="s">
        <v>192</v>
      </c>
      <c r="N50" s="3"/>
    </row>
    <row r="51" spans="1:14" ht="20.100000000000001" customHeight="1">
      <c r="A51" s="6" t="s">
        <v>14</v>
      </c>
      <c r="B51" s="7" t="s">
        <v>15</v>
      </c>
      <c r="C51" s="7" t="s">
        <v>152</v>
      </c>
      <c r="D51" s="6" t="s">
        <v>193</v>
      </c>
      <c r="E51" s="6">
        <v>1228</v>
      </c>
      <c r="F51" s="6" t="s">
        <v>18</v>
      </c>
      <c r="G51" s="7" t="s">
        <v>194</v>
      </c>
      <c r="H51" s="6">
        <v>800</v>
      </c>
      <c r="I51" s="4" t="s">
        <v>20</v>
      </c>
      <c r="J51" s="7" t="s">
        <v>54</v>
      </c>
      <c r="K51" s="6">
        <v>15</v>
      </c>
      <c r="L51" s="6">
        <v>10</v>
      </c>
      <c r="M51" s="8" t="s">
        <v>195</v>
      </c>
      <c r="N51" s="7"/>
    </row>
    <row r="52" spans="1:14" ht="20.100000000000001" customHeight="1">
      <c r="A52" s="2" t="s">
        <v>14</v>
      </c>
      <c r="B52" s="3" t="s">
        <v>15</v>
      </c>
      <c r="C52" s="3" t="s">
        <v>152</v>
      </c>
      <c r="D52" s="2" t="s">
        <v>196</v>
      </c>
      <c r="E52" s="2">
        <v>1270</v>
      </c>
      <c r="F52" s="2" t="s">
        <v>18</v>
      </c>
      <c r="G52" s="3" t="s">
        <v>197</v>
      </c>
      <c r="H52" s="2">
        <v>800</v>
      </c>
      <c r="I52" s="4" t="s">
        <v>20</v>
      </c>
      <c r="J52" s="3" t="s">
        <v>198</v>
      </c>
      <c r="K52" s="2">
        <v>15</v>
      </c>
      <c r="L52" s="2">
        <v>10</v>
      </c>
      <c r="M52" s="5" t="s">
        <v>199</v>
      </c>
      <c r="N52" s="3"/>
    </row>
    <row r="53" spans="1:14" ht="20.100000000000001" customHeight="1">
      <c r="A53" s="6" t="s">
        <v>14</v>
      </c>
      <c r="B53" s="7" t="s">
        <v>15</v>
      </c>
      <c r="C53" s="7" t="s">
        <v>152</v>
      </c>
      <c r="D53" s="6" t="s">
        <v>200</v>
      </c>
      <c r="E53" s="6">
        <v>1325</v>
      </c>
      <c r="F53" s="6" t="s">
        <v>18</v>
      </c>
      <c r="G53" s="7" t="s">
        <v>201</v>
      </c>
      <c r="H53" s="6">
        <v>800</v>
      </c>
      <c r="I53" s="4" t="s">
        <v>20</v>
      </c>
      <c r="J53" s="7" t="s">
        <v>202</v>
      </c>
      <c r="K53" s="6">
        <v>15</v>
      </c>
      <c r="L53" s="6">
        <v>10</v>
      </c>
      <c r="M53" s="8" t="s">
        <v>203</v>
      </c>
      <c r="N53" s="7"/>
    </row>
    <row r="54" spans="1:14" ht="20.100000000000001" customHeight="1">
      <c r="A54" s="2" t="s">
        <v>14</v>
      </c>
      <c r="B54" s="3" t="s">
        <v>15</v>
      </c>
      <c r="C54" s="3" t="s">
        <v>152</v>
      </c>
      <c r="D54" s="2" t="s">
        <v>204</v>
      </c>
      <c r="E54" s="2">
        <v>1360</v>
      </c>
      <c r="F54" s="2" t="s">
        <v>157</v>
      </c>
      <c r="G54" s="3" t="s">
        <v>205</v>
      </c>
      <c r="H54" s="2">
        <v>800</v>
      </c>
      <c r="I54" s="4" t="s">
        <v>20</v>
      </c>
      <c r="J54" s="3" t="s">
        <v>143</v>
      </c>
      <c r="K54" s="2">
        <v>15</v>
      </c>
      <c r="L54" s="2">
        <v>10</v>
      </c>
      <c r="M54" s="5" t="s">
        <v>206</v>
      </c>
      <c r="N54" s="3"/>
    </row>
    <row r="55" spans="1:14" ht="20.100000000000001" customHeight="1">
      <c r="A55" s="6" t="s">
        <v>14</v>
      </c>
      <c r="B55" s="7" t="s">
        <v>15</v>
      </c>
      <c r="C55" s="7" t="s">
        <v>152</v>
      </c>
      <c r="D55" s="6" t="s">
        <v>207</v>
      </c>
      <c r="E55" s="6">
        <v>1382</v>
      </c>
      <c r="F55" s="6" t="s">
        <v>18</v>
      </c>
      <c r="G55" s="7" t="s">
        <v>208</v>
      </c>
      <c r="H55" s="6">
        <v>800</v>
      </c>
      <c r="I55" s="4" t="s">
        <v>20</v>
      </c>
      <c r="J55" s="7" t="s">
        <v>209</v>
      </c>
      <c r="K55" s="6">
        <v>15</v>
      </c>
      <c r="L55" s="6">
        <v>10</v>
      </c>
      <c r="M55" s="8" t="s">
        <v>210</v>
      </c>
      <c r="N55" s="7"/>
    </row>
    <row r="56" spans="1:14" ht="20.100000000000001" customHeight="1">
      <c r="A56" s="2" t="s">
        <v>14</v>
      </c>
      <c r="B56" s="3" t="s">
        <v>15</v>
      </c>
      <c r="C56" s="3" t="s">
        <v>152</v>
      </c>
      <c r="D56" s="2" t="s">
        <v>211</v>
      </c>
      <c r="E56" s="2">
        <v>1398</v>
      </c>
      <c r="F56" s="2" t="s">
        <v>18</v>
      </c>
      <c r="G56" s="3" t="s">
        <v>212</v>
      </c>
      <c r="H56" s="2">
        <v>800</v>
      </c>
      <c r="I56" s="4" t="s">
        <v>20</v>
      </c>
      <c r="J56" s="3" t="s">
        <v>213</v>
      </c>
      <c r="K56" s="2">
        <v>15</v>
      </c>
      <c r="L56" s="2">
        <v>10</v>
      </c>
      <c r="M56" s="5" t="s">
        <v>214</v>
      </c>
      <c r="N56" s="3"/>
    </row>
    <row r="57" spans="1:14" ht="20.100000000000001" customHeight="1">
      <c r="A57" s="6" t="s">
        <v>14</v>
      </c>
      <c r="B57" s="7" t="s">
        <v>15</v>
      </c>
      <c r="C57" s="7" t="s">
        <v>152</v>
      </c>
      <c r="D57" s="6" t="s">
        <v>215</v>
      </c>
      <c r="E57" s="6">
        <v>1419</v>
      </c>
      <c r="F57" s="6" t="s">
        <v>18</v>
      </c>
      <c r="G57" s="7" t="s">
        <v>216</v>
      </c>
      <c r="H57" s="6">
        <v>900</v>
      </c>
      <c r="I57" s="4" t="s">
        <v>20</v>
      </c>
      <c r="J57" s="7" t="s">
        <v>217</v>
      </c>
      <c r="K57" s="6">
        <v>15</v>
      </c>
      <c r="L57" s="6">
        <v>10</v>
      </c>
      <c r="M57" s="8" t="s">
        <v>218</v>
      </c>
      <c r="N57" s="7"/>
    </row>
    <row r="58" spans="1:14" ht="20.100000000000001" customHeight="1">
      <c r="A58" s="2" t="s">
        <v>14</v>
      </c>
      <c r="B58" s="3" t="s">
        <v>15</v>
      </c>
      <c r="C58" s="3" t="s">
        <v>152</v>
      </c>
      <c r="D58" s="2" t="s">
        <v>219</v>
      </c>
      <c r="E58" s="2">
        <v>1472</v>
      </c>
      <c r="F58" s="2" t="s">
        <v>157</v>
      </c>
      <c r="G58" s="3" t="s">
        <v>220</v>
      </c>
      <c r="H58" s="2">
        <v>800</v>
      </c>
      <c r="I58" s="4" t="s">
        <v>20</v>
      </c>
      <c r="J58" s="3" t="s">
        <v>221</v>
      </c>
      <c r="K58" s="2">
        <v>15</v>
      </c>
      <c r="L58" s="2">
        <v>10</v>
      </c>
      <c r="M58" s="5" t="s">
        <v>222</v>
      </c>
      <c r="N58" s="3"/>
    </row>
    <row r="59" spans="1:14" ht="20.100000000000001" customHeight="1">
      <c r="A59" s="6" t="s">
        <v>14</v>
      </c>
      <c r="B59" s="7" t="s">
        <v>15</v>
      </c>
      <c r="C59" s="7" t="s">
        <v>152</v>
      </c>
      <c r="D59" s="6" t="s">
        <v>223</v>
      </c>
      <c r="E59" s="6">
        <v>1490</v>
      </c>
      <c r="F59" s="6" t="s">
        <v>18</v>
      </c>
      <c r="G59" s="7" t="s">
        <v>224</v>
      </c>
      <c r="H59" s="6">
        <v>800</v>
      </c>
      <c r="I59" s="4" t="s">
        <v>20</v>
      </c>
      <c r="J59" s="7" t="s">
        <v>147</v>
      </c>
      <c r="K59" s="6">
        <v>15</v>
      </c>
      <c r="L59" s="6">
        <v>10</v>
      </c>
      <c r="M59" s="8" t="s">
        <v>225</v>
      </c>
      <c r="N59" s="7"/>
    </row>
    <row r="60" spans="1:14" ht="20.100000000000001" customHeight="1">
      <c r="A60" s="2" t="s">
        <v>14</v>
      </c>
      <c r="B60" s="3" t="s">
        <v>15</v>
      </c>
      <c r="C60" s="3" t="s">
        <v>152</v>
      </c>
      <c r="D60" s="2" t="s">
        <v>226</v>
      </c>
      <c r="E60" s="2">
        <v>1512</v>
      </c>
      <c r="F60" s="2" t="s">
        <v>18</v>
      </c>
      <c r="G60" s="3" t="s">
        <v>227</v>
      </c>
      <c r="H60" s="2">
        <v>800</v>
      </c>
      <c r="I60" s="4" t="s">
        <v>20</v>
      </c>
      <c r="J60" s="3" t="s">
        <v>54</v>
      </c>
      <c r="K60" s="2">
        <v>15</v>
      </c>
      <c r="L60" s="2">
        <v>10</v>
      </c>
      <c r="M60" s="5" t="s">
        <v>228</v>
      </c>
      <c r="N60" s="3"/>
    </row>
    <row r="61" spans="1:14" ht="20.100000000000001" customHeight="1">
      <c r="A61" s="6" t="s">
        <v>14</v>
      </c>
      <c r="B61" s="7" t="s">
        <v>15</v>
      </c>
      <c r="C61" s="7" t="s">
        <v>152</v>
      </c>
      <c r="D61" s="6" t="s">
        <v>229</v>
      </c>
      <c r="E61" s="6">
        <v>1520</v>
      </c>
      <c r="F61" s="6" t="s">
        <v>18</v>
      </c>
      <c r="G61" s="7" t="s">
        <v>230</v>
      </c>
      <c r="H61" s="6">
        <v>800</v>
      </c>
      <c r="I61" s="4" t="s">
        <v>20</v>
      </c>
      <c r="J61" s="7" t="s">
        <v>54</v>
      </c>
      <c r="K61" s="6">
        <v>15</v>
      </c>
      <c r="L61" s="6">
        <v>10</v>
      </c>
      <c r="M61" s="8" t="s">
        <v>231</v>
      </c>
      <c r="N61" s="7"/>
    </row>
    <row r="62" spans="1:14" ht="20.100000000000001" customHeight="1">
      <c r="A62" s="2" t="s">
        <v>14</v>
      </c>
      <c r="B62" s="3" t="s">
        <v>15</v>
      </c>
      <c r="C62" s="3" t="s">
        <v>152</v>
      </c>
      <c r="D62" s="2" t="s">
        <v>232</v>
      </c>
      <c r="E62" s="2">
        <v>1542</v>
      </c>
      <c r="F62" s="2" t="s">
        <v>18</v>
      </c>
      <c r="G62" s="3" t="s">
        <v>233</v>
      </c>
      <c r="H62" s="2">
        <v>800</v>
      </c>
      <c r="I62" s="4" t="s">
        <v>20</v>
      </c>
      <c r="J62" s="3" t="s">
        <v>121</v>
      </c>
      <c r="K62" s="2">
        <v>15</v>
      </c>
      <c r="L62" s="2">
        <v>10</v>
      </c>
      <c r="M62" s="5" t="s">
        <v>234</v>
      </c>
      <c r="N62" s="3"/>
    </row>
    <row r="63" spans="1:14" ht="20.100000000000001" customHeight="1">
      <c r="A63" s="6" t="s">
        <v>14</v>
      </c>
      <c r="B63" s="7" t="s">
        <v>15</v>
      </c>
      <c r="C63" s="7" t="s">
        <v>152</v>
      </c>
      <c r="D63" s="6" t="s">
        <v>235</v>
      </c>
      <c r="E63" s="6">
        <v>1560</v>
      </c>
      <c r="F63" s="6" t="s">
        <v>18</v>
      </c>
      <c r="G63" s="7" t="s">
        <v>236</v>
      </c>
      <c r="H63" s="6">
        <v>800</v>
      </c>
      <c r="I63" s="4" t="s">
        <v>20</v>
      </c>
      <c r="J63" s="7" t="s">
        <v>21</v>
      </c>
      <c r="K63" s="6">
        <v>15</v>
      </c>
      <c r="L63" s="6">
        <v>10</v>
      </c>
      <c r="M63" s="8" t="s">
        <v>237</v>
      </c>
      <c r="N63" s="7"/>
    </row>
    <row r="64" spans="1:14" ht="20.100000000000001" customHeight="1">
      <c r="A64" s="2" t="s">
        <v>14</v>
      </c>
      <c r="B64" s="3" t="s">
        <v>15</v>
      </c>
      <c r="C64" s="3" t="s">
        <v>152</v>
      </c>
      <c r="D64" s="2" t="s">
        <v>238</v>
      </c>
      <c r="E64" s="2">
        <v>1607</v>
      </c>
      <c r="F64" s="2" t="s">
        <v>18</v>
      </c>
      <c r="G64" s="3" t="s">
        <v>239</v>
      </c>
      <c r="H64" s="2">
        <v>800</v>
      </c>
      <c r="I64" s="4" t="s">
        <v>20</v>
      </c>
      <c r="J64" s="3" t="s">
        <v>75</v>
      </c>
      <c r="K64" s="2">
        <v>15</v>
      </c>
      <c r="L64" s="2">
        <v>10</v>
      </c>
      <c r="M64" s="5" t="s">
        <v>240</v>
      </c>
      <c r="N64" s="3"/>
    </row>
    <row r="65" spans="1:14" ht="20.100000000000001" customHeight="1">
      <c r="A65" s="6" t="s">
        <v>14</v>
      </c>
      <c r="B65" s="7" t="s">
        <v>15</v>
      </c>
      <c r="C65" s="7" t="s">
        <v>152</v>
      </c>
      <c r="D65" s="6" t="s">
        <v>241</v>
      </c>
      <c r="E65" s="6">
        <v>1619</v>
      </c>
      <c r="F65" s="6" t="s">
        <v>18</v>
      </c>
      <c r="G65" s="7" t="s">
        <v>242</v>
      </c>
      <c r="H65" s="6">
        <v>800</v>
      </c>
      <c r="I65" s="4" t="s">
        <v>20</v>
      </c>
      <c r="J65" s="7" t="s">
        <v>75</v>
      </c>
      <c r="K65" s="6">
        <v>15</v>
      </c>
      <c r="L65" s="6">
        <v>10</v>
      </c>
      <c r="M65" s="8" t="s">
        <v>243</v>
      </c>
      <c r="N65" s="7"/>
    </row>
    <row r="66" spans="1:14" ht="20.100000000000001" customHeight="1">
      <c r="A66" s="2" t="s">
        <v>14</v>
      </c>
      <c r="B66" s="3" t="s">
        <v>15</v>
      </c>
      <c r="C66" s="3" t="s">
        <v>152</v>
      </c>
      <c r="D66" s="2" t="s">
        <v>244</v>
      </c>
      <c r="E66" s="2">
        <v>1676</v>
      </c>
      <c r="F66" s="2" t="s">
        <v>18</v>
      </c>
      <c r="G66" s="3" t="s">
        <v>245</v>
      </c>
      <c r="H66" s="2">
        <v>800</v>
      </c>
      <c r="I66" s="4" t="s">
        <v>20</v>
      </c>
      <c r="J66" s="3" t="s">
        <v>21</v>
      </c>
      <c r="K66" s="2">
        <v>15</v>
      </c>
      <c r="L66" s="2">
        <v>10</v>
      </c>
      <c r="M66" s="5" t="s">
        <v>246</v>
      </c>
      <c r="N66" s="3"/>
    </row>
    <row r="67" spans="1:14" ht="20.100000000000001" customHeight="1">
      <c r="A67" s="6" t="s">
        <v>14</v>
      </c>
      <c r="B67" s="7" t="s">
        <v>15</v>
      </c>
      <c r="C67" s="7" t="s">
        <v>247</v>
      </c>
      <c r="D67" s="6" t="s">
        <v>248</v>
      </c>
      <c r="E67" s="6">
        <v>300</v>
      </c>
      <c r="F67" s="6" t="s">
        <v>18</v>
      </c>
      <c r="G67" s="7" t="s">
        <v>249</v>
      </c>
      <c r="H67" s="6">
        <v>1100</v>
      </c>
      <c r="I67" s="4" t="s">
        <v>43</v>
      </c>
      <c r="J67" s="7" t="s">
        <v>250</v>
      </c>
      <c r="K67" s="6">
        <v>25</v>
      </c>
      <c r="L67" s="6">
        <v>20</v>
      </c>
      <c r="M67" s="8" t="s">
        <v>251</v>
      </c>
      <c r="N67" s="7"/>
    </row>
    <row r="68" spans="1:14" ht="20.100000000000001" customHeight="1">
      <c r="A68" s="2" t="s">
        <v>14</v>
      </c>
      <c r="B68" s="3" t="s">
        <v>15</v>
      </c>
      <c r="C68" s="3" t="s">
        <v>247</v>
      </c>
      <c r="D68" s="2" t="s">
        <v>252</v>
      </c>
      <c r="E68" s="2">
        <v>381</v>
      </c>
      <c r="F68" s="2" t="s">
        <v>18</v>
      </c>
      <c r="G68" s="3" t="s">
        <v>253</v>
      </c>
      <c r="H68" s="2">
        <v>800</v>
      </c>
      <c r="I68" s="4" t="s">
        <v>20</v>
      </c>
      <c r="J68" s="3" t="s">
        <v>254</v>
      </c>
      <c r="K68" s="2">
        <v>15</v>
      </c>
      <c r="L68" s="2">
        <v>10</v>
      </c>
      <c r="M68" s="5" t="s">
        <v>255</v>
      </c>
      <c r="N68" s="3"/>
    </row>
    <row r="69" spans="1:14" ht="20.100000000000001" customHeight="1">
      <c r="A69" s="6" t="s">
        <v>14</v>
      </c>
      <c r="B69" s="7" t="s">
        <v>15</v>
      </c>
      <c r="C69" s="7" t="s">
        <v>247</v>
      </c>
      <c r="D69" s="6" t="s">
        <v>256</v>
      </c>
      <c r="E69" s="6">
        <v>478</v>
      </c>
      <c r="F69" s="6" t="s">
        <v>18</v>
      </c>
      <c r="G69" s="7" t="s">
        <v>257</v>
      </c>
      <c r="H69" s="6">
        <v>1100</v>
      </c>
      <c r="I69" s="4" t="s">
        <v>43</v>
      </c>
      <c r="J69" s="7" t="s">
        <v>21</v>
      </c>
      <c r="K69" s="6">
        <v>25</v>
      </c>
      <c r="L69" s="6">
        <v>20</v>
      </c>
      <c r="M69" s="8" t="s">
        <v>258</v>
      </c>
      <c r="N69" s="7"/>
    </row>
    <row r="70" spans="1:14" ht="20.100000000000001" customHeight="1">
      <c r="A70" s="2" t="s">
        <v>14</v>
      </c>
      <c r="B70" s="3" t="s">
        <v>15</v>
      </c>
      <c r="C70" s="3" t="s">
        <v>247</v>
      </c>
      <c r="D70" s="2" t="s">
        <v>259</v>
      </c>
      <c r="E70" s="2">
        <v>500</v>
      </c>
      <c r="F70" s="2" t="s">
        <v>18</v>
      </c>
      <c r="G70" s="3" t="s">
        <v>260</v>
      </c>
      <c r="H70" s="2">
        <v>1000</v>
      </c>
      <c r="I70" s="4" t="s">
        <v>43</v>
      </c>
      <c r="J70" s="3" t="s">
        <v>261</v>
      </c>
      <c r="K70" s="2">
        <v>15</v>
      </c>
      <c r="L70" s="2">
        <v>10</v>
      </c>
      <c r="M70" s="5" t="s">
        <v>262</v>
      </c>
      <c r="N70" s="3"/>
    </row>
    <row r="71" spans="1:14" ht="20.100000000000001" customHeight="1">
      <c r="A71" s="6" t="s">
        <v>14</v>
      </c>
      <c r="B71" s="7" t="s">
        <v>15</v>
      </c>
      <c r="C71" s="7" t="s">
        <v>247</v>
      </c>
      <c r="D71" s="6" t="s">
        <v>263</v>
      </c>
      <c r="E71" s="6">
        <v>518</v>
      </c>
      <c r="F71" s="6" t="s">
        <v>157</v>
      </c>
      <c r="G71" s="7" t="s">
        <v>264</v>
      </c>
      <c r="H71" s="6">
        <v>1400</v>
      </c>
      <c r="I71" s="9" t="s">
        <v>163</v>
      </c>
      <c r="J71" s="7" t="s">
        <v>265</v>
      </c>
      <c r="K71" s="6">
        <v>40</v>
      </c>
      <c r="L71" s="6">
        <v>35</v>
      </c>
      <c r="M71" s="8" t="s">
        <v>266</v>
      </c>
      <c r="N71" s="7"/>
    </row>
    <row r="72" spans="1:14" ht="20.100000000000001" customHeight="1">
      <c r="A72" s="2" t="s">
        <v>14</v>
      </c>
      <c r="B72" s="3" t="s">
        <v>15</v>
      </c>
      <c r="C72" s="3" t="s">
        <v>247</v>
      </c>
      <c r="D72" s="2" t="s">
        <v>267</v>
      </c>
      <c r="E72" s="2">
        <v>545</v>
      </c>
      <c r="F72" s="2" t="s">
        <v>18</v>
      </c>
      <c r="G72" s="3" t="s">
        <v>268</v>
      </c>
      <c r="H72" s="2">
        <v>900</v>
      </c>
      <c r="I72" s="4" t="s">
        <v>20</v>
      </c>
      <c r="J72" s="3" t="s">
        <v>21</v>
      </c>
      <c r="K72" s="2">
        <v>15</v>
      </c>
      <c r="L72" s="2">
        <v>10</v>
      </c>
      <c r="M72" s="5" t="s">
        <v>269</v>
      </c>
      <c r="N72" s="3"/>
    </row>
    <row r="73" spans="1:14" ht="20.100000000000001" customHeight="1">
      <c r="A73" s="6" t="s">
        <v>14</v>
      </c>
      <c r="B73" s="7" t="s">
        <v>15</v>
      </c>
      <c r="C73" s="7" t="s">
        <v>247</v>
      </c>
      <c r="D73" s="6" t="s">
        <v>270</v>
      </c>
      <c r="E73" s="6">
        <v>734</v>
      </c>
      <c r="F73" s="6" t="s">
        <v>157</v>
      </c>
      <c r="G73" s="7" t="s">
        <v>271</v>
      </c>
      <c r="H73" s="6">
        <v>800</v>
      </c>
      <c r="I73" s="4" t="s">
        <v>20</v>
      </c>
      <c r="J73" s="7" t="s">
        <v>272</v>
      </c>
      <c r="K73" s="6">
        <v>15</v>
      </c>
      <c r="L73" s="6">
        <v>10</v>
      </c>
      <c r="M73" s="8" t="s">
        <v>273</v>
      </c>
      <c r="N73" s="7"/>
    </row>
    <row r="74" spans="1:14" ht="20.100000000000001" customHeight="1">
      <c r="A74" s="2" t="s">
        <v>14</v>
      </c>
      <c r="B74" s="3" t="s">
        <v>15</v>
      </c>
      <c r="C74" s="3" t="s">
        <v>247</v>
      </c>
      <c r="D74" s="2" t="s">
        <v>274</v>
      </c>
      <c r="E74" s="2">
        <v>863</v>
      </c>
      <c r="F74" s="2" t="s">
        <v>157</v>
      </c>
      <c r="G74" s="3" t="s">
        <v>275</v>
      </c>
      <c r="H74" s="2">
        <v>1500</v>
      </c>
      <c r="I74" s="9" t="s">
        <v>172</v>
      </c>
      <c r="J74" s="3" t="s">
        <v>276</v>
      </c>
      <c r="K74" s="2">
        <v>40</v>
      </c>
      <c r="L74" s="2">
        <v>35</v>
      </c>
      <c r="M74" s="5" t="s">
        <v>277</v>
      </c>
      <c r="N74" s="3"/>
    </row>
    <row r="75" spans="1:14" ht="20.100000000000001" customHeight="1">
      <c r="A75" s="6" t="s">
        <v>14</v>
      </c>
      <c r="B75" s="7" t="s">
        <v>15</v>
      </c>
      <c r="C75" s="7" t="s">
        <v>247</v>
      </c>
      <c r="D75" s="6" t="s">
        <v>278</v>
      </c>
      <c r="E75" s="6">
        <v>1005</v>
      </c>
      <c r="F75" s="6" t="s">
        <v>18</v>
      </c>
      <c r="G75" s="7" t="s">
        <v>279</v>
      </c>
      <c r="H75" s="6">
        <v>800</v>
      </c>
      <c r="I75" s="4" t="s">
        <v>20</v>
      </c>
      <c r="J75" s="7" t="s">
        <v>21</v>
      </c>
      <c r="K75" s="6">
        <v>15</v>
      </c>
      <c r="L75" s="6">
        <v>10</v>
      </c>
      <c r="M75" s="8" t="s">
        <v>280</v>
      </c>
      <c r="N75" s="7"/>
    </row>
    <row r="76" spans="1:14" ht="20.100000000000001" customHeight="1">
      <c r="A76" s="2" t="s">
        <v>14</v>
      </c>
      <c r="B76" s="3" t="s">
        <v>15</v>
      </c>
      <c r="C76" s="3" t="s">
        <v>247</v>
      </c>
      <c r="D76" s="2" t="s">
        <v>281</v>
      </c>
      <c r="E76" s="2">
        <v>1015</v>
      </c>
      <c r="F76" s="2" t="s">
        <v>18</v>
      </c>
      <c r="G76" s="3" t="s">
        <v>282</v>
      </c>
      <c r="H76" s="2">
        <v>800</v>
      </c>
      <c r="I76" s="4" t="s">
        <v>20</v>
      </c>
      <c r="J76" s="3" t="s">
        <v>21</v>
      </c>
      <c r="K76" s="2">
        <v>15</v>
      </c>
      <c r="L76" s="2">
        <v>10</v>
      </c>
      <c r="M76" s="5" t="s">
        <v>283</v>
      </c>
      <c r="N76" s="3"/>
    </row>
    <row r="77" spans="1:14" ht="20.100000000000001" customHeight="1">
      <c r="A77" s="6" t="s">
        <v>14</v>
      </c>
      <c r="B77" s="7" t="s">
        <v>15</v>
      </c>
      <c r="C77" s="7" t="s">
        <v>247</v>
      </c>
      <c r="D77" s="6" t="s">
        <v>284</v>
      </c>
      <c r="E77" s="6">
        <v>1066</v>
      </c>
      <c r="F77" s="6" t="s">
        <v>18</v>
      </c>
      <c r="G77" s="7" t="s">
        <v>285</v>
      </c>
      <c r="H77" s="6">
        <v>1100</v>
      </c>
      <c r="I77" s="4" t="s">
        <v>43</v>
      </c>
      <c r="J77" s="7" t="s">
        <v>121</v>
      </c>
      <c r="K77" s="6">
        <v>25</v>
      </c>
      <c r="L77" s="6">
        <v>20</v>
      </c>
      <c r="M77" s="8" t="s">
        <v>286</v>
      </c>
      <c r="N77" s="7"/>
    </row>
    <row r="78" spans="1:14" ht="20.100000000000001" customHeight="1">
      <c r="A78" s="2" t="s">
        <v>14</v>
      </c>
      <c r="B78" s="3" t="s">
        <v>15</v>
      </c>
      <c r="C78" s="3" t="s">
        <v>247</v>
      </c>
      <c r="D78" s="2" t="s">
        <v>287</v>
      </c>
      <c r="E78" s="2">
        <v>1088</v>
      </c>
      <c r="F78" s="2" t="s">
        <v>157</v>
      </c>
      <c r="G78" s="3" t="s">
        <v>288</v>
      </c>
      <c r="H78" s="2">
        <v>1000</v>
      </c>
      <c r="I78" s="4" t="s">
        <v>43</v>
      </c>
      <c r="J78" s="3" t="s">
        <v>289</v>
      </c>
      <c r="K78" s="2">
        <v>15</v>
      </c>
      <c r="L78" s="2">
        <v>10</v>
      </c>
      <c r="M78" s="5" t="s">
        <v>290</v>
      </c>
      <c r="N78" s="3"/>
    </row>
    <row r="79" spans="1:14" ht="20.100000000000001" customHeight="1">
      <c r="A79" s="6" t="s">
        <v>14</v>
      </c>
      <c r="B79" s="7" t="s">
        <v>15</v>
      </c>
      <c r="C79" s="7" t="s">
        <v>247</v>
      </c>
      <c r="D79" s="6" t="s">
        <v>291</v>
      </c>
      <c r="E79" s="6">
        <v>1099</v>
      </c>
      <c r="F79" s="6" t="s">
        <v>183</v>
      </c>
      <c r="G79" s="7" t="s">
        <v>292</v>
      </c>
      <c r="H79" s="6">
        <v>1200</v>
      </c>
      <c r="I79" s="4" t="s">
        <v>43</v>
      </c>
      <c r="J79" s="7" t="s">
        <v>293</v>
      </c>
      <c r="K79" s="6">
        <v>25</v>
      </c>
      <c r="L79" s="6">
        <v>20</v>
      </c>
      <c r="M79" s="8" t="s">
        <v>294</v>
      </c>
      <c r="N79" s="7"/>
    </row>
    <row r="80" spans="1:14" ht="20.100000000000001" customHeight="1">
      <c r="A80" s="2" t="s">
        <v>14</v>
      </c>
      <c r="B80" s="3" t="s">
        <v>15</v>
      </c>
      <c r="C80" s="3" t="s">
        <v>247</v>
      </c>
      <c r="D80" s="2" t="s">
        <v>295</v>
      </c>
      <c r="E80" s="2">
        <v>1108</v>
      </c>
      <c r="F80" s="2" t="s">
        <v>183</v>
      </c>
      <c r="G80" s="3" t="s">
        <v>296</v>
      </c>
      <c r="H80" s="2">
        <v>1300</v>
      </c>
      <c r="I80" s="9" t="s">
        <v>163</v>
      </c>
      <c r="J80" s="3" t="s">
        <v>297</v>
      </c>
      <c r="K80" s="2">
        <v>25</v>
      </c>
      <c r="L80" s="2">
        <v>20</v>
      </c>
      <c r="M80" s="5" t="s">
        <v>298</v>
      </c>
      <c r="N80" s="3"/>
    </row>
    <row r="81" spans="1:14" ht="20.100000000000001" customHeight="1">
      <c r="A81" s="6" t="s">
        <v>14</v>
      </c>
      <c r="B81" s="7" t="s">
        <v>15</v>
      </c>
      <c r="C81" s="7" t="s">
        <v>247</v>
      </c>
      <c r="D81" s="6" t="s">
        <v>299</v>
      </c>
      <c r="E81" s="6">
        <v>1141</v>
      </c>
      <c r="F81" s="6" t="s">
        <v>183</v>
      </c>
      <c r="G81" s="7" t="s">
        <v>300</v>
      </c>
      <c r="H81" s="6">
        <v>1500</v>
      </c>
      <c r="I81" s="9" t="s">
        <v>172</v>
      </c>
      <c r="J81" s="7" t="s">
        <v>121</v>
      </c>
      <c r="K81" s="6">
        <v>40</v>
      </c>
      <c r="L81" s="6">
        <v>35</v>
      </c>
      <c r="M81" s="8" t="s">
        <v>301</v>
      </c>
      <c r="N81" s="7"/>
    </row>
    <row r="82" spans="1:14" ht="20.100000000000001" customHeight="1">
      <c r="A82" s="2" t="s">
        <v>14</v>
      </c>
      <c r="B82" s="3" t="s">
        <v>15</v>
      </c>
      <c r="C82" s="3" t="s">
        <v>247</v>
      </c>
      <c r="D82" s="2" t="s">
        <v>302</v>
      </c>
      <c r="E82" s="2">
        <v>1154</v>
      </c>
      <c r="F82" s="2" t="s">
        <v>157</v>
      </c>
      <c r="G82" s="3" t="s">
        <v>303</v>
      </c>
      <c r="H82" s="2">
        <v>1200</v>
      </c>
      <c r="I82" s="4" t="s">
        <v>43</v>
      </c>
      <c r="J82" s="3" t="s">
        <v>121</v>
      </c>
      <c r="K82" s="2">
        <v>25</v>
      </c>
      <c r="L82" s="2">
        <v>20</v>
      </c>
      <c r="M82" s="5" t="s">
        <v>304</v>
      </c>
      <c r="N82" s="3"/>
    </row>
    <row r="83" spans="1:14" ht="20.100000000000001" customHeight="1">
      <c r="A83" s="6" t="s">
        <v>14</v>
      </c>
      <c r="B83" s="7" t="s">
        <v>15</v>
      </c>
      <c r="C83" s="7" t="s">
        <v>247</v>
      </c>
      <c r="D83" s="6" t="s">
        <v>305</v>
      </c>
      <c r="E83" s="6">
        <v>1208</v>
      </c>
      <c r="F83" s="6" t="s">
        <v>18</v>
      </c>
      <c r="G83" s="7" t="s">
        <v>306</v>
      </c>
      <c r="H83" s="6">
        <v>900</v>
      </c>
      <c r="I83" s="4" t="s">
        <v>20</v>
      </c>
      <c r="J83" s="7" t="s">
        <v>121</v>
      </c>
      <c r="K83" s="6">
        <v>15</v>
      </c>
      <c r="L83" s="6">
        <v>10</v>
      </c>
      <c r="M83" s="8" t="s">
        <v>307</v>
      </c>
      <c r="N83" s="7"/>
    </row>
    <row r="84" spans="1:14" ht="20.100000000000001" customHeight="1">
      <c r="A84" s="2" t="s">
        <v>14</v>
      </c>
      <c r="B84" s="3" t="s">
        <v>15</v>
      </c>
      <c r="C84" s="3" t="s">
        <v>247</v>
      </c>
      <c r="D84" s="2" t="s">
        <v>308</v>
      </c>
      <c r="E84" s="2">
        <v>1272</v>
      </c>
      <c r="F84" s="2" t="s">
        <v>18</v>
      </c>
      <c r="G84" s="3" t="s">
        <v>309</v>
      </c>
      <c r="H84" s="2">
        <v>900</v>
      </c>
      <c r="I84" s="4" t="s">
        <v>20</v>
      </c>
      <c r="J84" s="3" t="s">
        <v>310</v>
      </c>
      <c r="K84" s="2">
        <v>15</v>
      </c>
      <c r="L84" s="2">
        <v>10</v>
      </c>
      <c r="M84" s="5" t="s">
        <v>311</v>
      </c>
      <c r="N84" s="3"/>
    </row>
    <row r="85" spans="1:14" ht="20.100000000000001" customHeight="1">
      <c r="A85" s="6" t="s">
        <v>14</v>
      </c>
      <c r="B85" s="7" t="s">
        <v>15</v>
      </c>
      <c r="C85" s="7" t="s">
        <v>247</v>
      </c>
      <c r="D85" s="6" t="s">
        <v>312</v>
      </c>
      <c r="E85" s="6">
        <v>1296</v>
      </c>
      <c r="F85" s="6" t="s">
        <v>18</v>
      </c>
      <c r="G85" s="7" t="s">
        <v>313</v>
      </c>
      <c r="H85" s="6">
        <v>800</v>
      </c>
      <c r="I85" s="4" t="s">
        <v>20</v>
      </c>
      <c r="J85" s="7" t="s">
        <v>121</v>
      </c>
      <c r="K85" s="6">
        <v>15</v>
      </c>
      <c r="L85" s="6">
        <v>10</v>
      </c>
      <c r="M85" s="8" t="s">
        <v>314</v>
      </c>
      <c r="N85" s="7"/>
    </row>
    <row r="86" spans="1:14" ht="20.100000000000001" customHeight="1">
      <c r="A86" s="2" t="s">
        <v>14</v>
      </c>
      <c r="B86" s="3" t="s">
        <v>15</v>
      </c>
      <c r="C86" s="3" t="s">
        <v>247</v>
      </c>
      <c r="D86" s="2" t="s">
        <v>315</v>
      </c>
      <c r="E86" s="2">
        <v>1334</v>
      </c>
      <c r="F86" s="2" t="s">
        <v>157</v>
      </c>
      <c r="G86" s="3" t="s">
        <v>316</v>
      </c>
      <c r="H86" s="2">
        <v>1100</v>
      </c>
      <c r="I86" s="4" t="s">
        <v>43</v>
      </c>
      <c r="J86" s="3" t="s">
        <v>143</v>
      </c>
      <c r="K86" s="2">
        <v>25</v>
      </c>
      <c r="L86" s="2">
        <v>20</v>
      </c>
      <c r="M86" s="5" t="s">
        <v>317</v>
      </c>
      <c r="N86" s="3"/>
    </row>
    <row r="87" spans="1:14" ht="20.100000000000001" customHeight="1">
      <c r="A87" s="6" t="s">
        <v>14</v>
      </c>
      <c r="B87" s="7" t="s">
        <v>15</v>
      </c>
      <c r="C87" s="7" t="s">
        <v>247</v>
      </c>
      <c r="D87" s="6" t="s">
        <v>318</v>
      </c>
      <c r="E87" s="6">
        <v>1355</v>
      </c>
      <c r="F87" s="6" t="s">
        <v>157</v>
      </c>
      <c r="G87" s="7" t="s">
        <v>319</v>
      </c>
      <c r="H87" s="6">
        <v>1200</v>
      </c>
      <c r="I87" s="4" t="s">
        <v>43</v>
      </c>
      <c r="J87" s="7" t="s">
        <v>320</v>
      </c>
      <c r="K87" s="6">
        <v>25</v>
      </c>
      <c r="L87" s="6">
        <v>20</v>
      </c>
      <c r="M87" s="8" t="s">
        <v>321</v>
      </c>
      <c r="N87" s="7"/>
    </row>
    <row r="88" spans="1:14" ht="20.100000000000001" customHeight="1">
      <c r="A88" s="2" t="s">
        <v>14</v>
      </c>
      <c r="B88" s="3" t="s">
        <v>15</v>
      </c>
      <c r="C88" s="3" t="s">
        <v>247</v>
      </c>
      <c r="D88" s="2" t="s">
        <v>322</v>
      </c>
      <c r="E88" s="2">
        <v>1368</v>
      </c>
      <c r="F88" s="2" t="s">
        <v>18</v>
      </c>
      <c r="G88" s="3" t="s">
        <v>323</v>
      </c>
      <c r="H88" s="2">
        <v>800</v>
      </c>
      <c r="I88" s="4" t="s">
        <v>20</v>
      </c>
      <c r="J88" s="3" t="s">
        <v>272</v>
      </c>
      <c r="K88" s="2">
        <v>15</v>
      </c>
      <c r="L88" s="2">
        <v>10</v>
      </c>
      <c r="M88" s="5" t="s">
        <v>324</v>
      </c>
      <c r="N88" s="3"/>
    </row>
    <row r="89" spans="1:14" ht="20.100000000000001" customHeight="1">
      <c r="A89" s="6" t="s">
        <v>14</v>
      </c>
      <c r="B89" s="7" t="s">
        <v>15</v>
      </c>
      <c r="C89" s="7" t="s">
        <v>247</v>
      </c>
      <c r="D89" s="6" t="s">
        <v>325</v>
      </c>
      <c r="E89" s="6">
        <v>1407</v>
      </c>
      <c r="F89" s="6" t="s">
        <v>18</v>
      </c>
      <c r="G89" s="7" t="s">
        <v>326</v>
      </c>
      <c r="H89" s="6">
        <v>1100</v>
      </c>
      <c r="I89" s="4" t="s">
        <v>43</v>
      </c>
      <c r="J89" s="7" t="s">
        <v>327</v>
      </c>
      <c r="K89" s="6">
        <v>25</v>
      </c>
      <c r="L89" s="6">
        <v>20</v>
      </c>
      <c r="M89" s="8" t="s">
        <v>328</v>
      </c>
      <c r="N89" s="7"/>
    </row>
    <row r="90" spans="1:14" ht="20.100000000000001" customHeight="1">
      <c r="A90" s="2" t="s">
        <v>14</v>
      </c>
      <c r="B90" s="3" t="s">
        <v>15</v>
      </c>
      <c r="C90" s="3" t="s">
        <v>247</v>
      </c>
      <c r="D90" s="2" t="s">
        <v>329</v>
      </c>
      <c r="E90" s="2">
        <v>1454</v>
      </c>
      <c r="F90" s="2" t="s">
        <v>157</v>
      </c>
      <c r="G90" s="3" t="s">
        <v>330</v>
      </c>
      <c r="H90" s="2">
        <v>800</v>
      </c>
      <c r="I90" s="4" t="s">
        <v>20</v>
      </c>
      <c r="J90" s="3" t="s">
        <v>21</v>
      </c>
      <c r="K90" s="2">
        <v>15</v>
      </c>
      <c r="L90" s="2">
        <v>10</v>
      </c>
      <c r="M90" s="5" t="s">
        <v>331</v>
      </c>
      <c r="N90" s="3"/>
    </row>
    <row r="91" spans="1:14" ht="20.100000000000001" customHeight="1">
      <c r="A91" s="6" t="s">
        <v>14</v>
      </c>
      <c r="B91" s="7" t="s">
        <v>15</v>
      </c>
      <c r="C91" s="7" t="s">
        <v>247</v>
      </c>
      <c r="D91" s="6" t="s">
        <v>332</v>
      </c>
      <c r="E91" s="6">
        <v>1466</v>
      </c>
      <c r="F91" s="6" t="s">
        <v>18</v>
      </c>
      <c r="G91" s="7" t="s">
        <v>333</v>
      </c>
      <c r="H91" s="6">
        <v>800</v>
      </c>
      <c r="I91" s="4" t="s">
        <v>20</v>
      </c>
      <c r="J91" s="7" t="s">
        <v>334</v>
      </c>
      <c r="K91" s="6">
        <v>15</v>
      </c>
      <c r="L91" s="6">
        <v>10</v>
      </c>
      <c r="M91" s="8" t="s">
        <v>335</v>
      </c>
      <c r="N91" s="7"/>
    </row>
    <row r="92" spans="1:14" ht="20.100000000000001" customHeight="1">
      <c r="A92" s="2" t="s">
        <v>14</v>
      </c>
      <c r="B92" s="3" t="s">
        <v>15</v>
      </c>
      <c r="C92" s="3" t="s">
        <v>247</v>
      </c>
      <c r="D92" s="2" t="s">
        <v>336</v>
      </c>
      <c r="E92" s="2">
        <v>1497</v>
      </c>
      <c r="F92" s="2" t="s">
        <v>18</v>
      </c>
      <c r="G92" s="3" t="s">
        <v>337</v>
      </c>
      <c r="H92" s="2">
        <v>800</v>
      </c>
      <c r="I92" s="4" t="s">
        <v>20</v>
      </c>
      <c r="J92" s="3" t="s">
        <v>338</v>
      </c>
      <c r="K92" s="2">
        <v>15</v>
      </c>
      <c r="L92" s="2">
        <v>10</v>
      </c>
      <c r="M92" s="5" t="s">
        <v>339</v>
      </c>
      <c r="N92" s="3"/>
    </row>
    <row r="93" spans="1:14" ht="20.100000000000001" customHeight="1">
      <c r="A93" s="6" t="s">
        <v>14</v>
      </c>
      <c r="B93" s="7" t="s">
        <v>15</v>
      </c>
      <c r="C93" s="7" t="s">
        <v>247</v>
      </c>
      <c r="D93" s="6" t="s">
        <v>340</v>
      </c>
      <c r="E93" s="6">
        <v>1515</v>
      </c>
      <c r="F93" s="6" t="s">
        <v>18</v>
      </c>
      <c r="G93" s="7" t="s">
        <v>341</v>
      </c>
      <c r="H93" s="6">
        <v>800</v>
      </c>
      <c r="I93" s="4" t="s">
        <v>20</v>
      </c>
      <c r="J93" s="7" t="s">
        <v>342</v>
      </c>
      <c r="K93" s="6">
        <v>15</v>
      </c>
      <c r="L93" s="6">
        <v>10</v>
      </c>
      <c r="M93" s="8" t="s">
        <v>343</v>
      </c>
      <c r="N93" s="7"/>
    </row>
    <row r="94" spans="1:14" ht="20.100000000000001" customHeight="1">
      <c r="A94" s="2" t="s">
        <v>14</v>
      </c>
      <c r="B94" s="3" t="s">
        <v>15</v>
      </c>
      <c r="C94" s="3" t="s">
        <v>247</v>
      </c>
      <c r="D94" s="2" t="s">
        <v>344</v>
      </c>
      <c r="E94" s="2">
        <v>1535</v>
      </c>
      <c r="F94" s="2" t="s">
        <v>18</v>
      </c>
      <c r="G94" s="3" t="s">
        <v>345</v>
      </c>
      <c r="H94" s="2">
        <v>800</v>
      </c>
      <c r="I94" s="4" t="s">
        <v>20</v>
      </c>
      <c r="J94" s="3" t="s">
        <v>54</v>
      </c>
      <c r="K94" s="2">
        <v>15</v>
      </c>
      <c r="L94" s="2">
        <v>10</v>
      </c>
      <c r="M94" s="5" t="s">
        <v>346</v>
      </c>
      <c r="N94" s="3"/>
    </row>
    <row r="95" spans="1:14" ht="20.100000000000001" customHeight="1">
      <c r="A95" s="6" t="s">
        <v>14</v>
      </c>
      <c r="B95" s="7" t="s">
        <v>15</v>
      </c>
      <c r="C95" s="7" t="s">
        <v>247</v>
      </c>
      <c r="D95" s="6" t="s">
        <v>347</v>
      </c>
      <c r="E95" s="6">
        <v>1551</v>
      </c>
      <c r="F95" s="6" t="s">
        <v>18</v>
      </c>
      <c r="G95" s="7" t="s">
        <v>348</v>
      </c>
      <c r="H95" s="6">
        <v>800</v>
      </c>
      <c r="I95" s="4" t="s">
        <v>20</v>
      </c>
      <c r="J95" s="7" t="s">
        <v>147</v>
      </c>
      <c r="K95" s="6">
        <v>15</v>
      </c>
      <c r="L95" s="6">
        <v>10</v>
      </c>
      <c r="M95" s="8" t="s">
        <v>349</v>
      </c>
      <c r="N95" s="7"/>
    </row>
    <row r="96" spans="1:14" ht="20.100000000000001" customHeight="1">
      <c r="A96" s="2" t="s">
        <v>14</v>
      </c>
      <c r="B96" s="3" t="s">
        <v>15</v>
      </c>
      <c r="C96" s="3" t="s">
        <v>247</v>
      </c>
      <c r="D96" s="2" t="s">
        <v>350</v>
      </c>
      <c r="E96" s="2">
        <v>1561</v>
      </c>
      <c r="F96" s="2" t="s">
        <v>18</v>
      </c>
      <c r="G96" s="3" t="s">
        <v>351</v>
      </c>
      <c r="H96" s="2">
        <v>800</v>
      </c>
      <c r="I96" s="4" t="s">
        <v>20</v>
      </c>
      <c r="J96" s="3" t="s">
        <v>352</v>
      </c>
      <c r="K96" s="2">
        <v>15</v>
      </c>
      <c r="L96" s="2">
        <v>10</v>
      </c>
      <c r="M96" s="5" t="s">
        <v>353</v>
      </c>
      <c r="N96" s="3"/>
    </row>
    <row r="97" spans="1:14" ht="20.100000000000001" customHeight="1">
      <c r="A97" s="6" t="s">
        <v>14</v>
      </c>
      <c r="B97" s="7" t="s">
        <v>15</v>
      </c>
      <c r="C97" s="7" t="s">
        <v>247</v>
      </c>
      <c r="D97" s="6" t="s">
        <v>354</v>
      </c>
      <c r="E97" s="6">
        <v>1607</v>
      </c>
      <c r="F97" s="6" t="s">
        <v>183</v>
      </c>
      <c r="G97" s="7" t="s">
        <v>355</v>
      </c>
      <c r="H97" s="6">
        <v>1000</v>
      </c>
      <c r="I97" s="4" t="s">
        <v>43</v>
      </c>
      <c r="J97" s="7" t="s">
        <v>356</v>
      </c>
      <c r="K97" s="6">
        <v>15</v>
      </c>
      <c r="L97" s="6">
        <v>10</v>
      </c>
      <c r="M97" s="8" t="s">
        <v>357</v>
      </c>
      <c r="N97" s="7"/>
    </row>
    <row r="98" spans="1:14" ht="20.100000000000001" customHeight="1">
      <c r="A98" s="2" t="s">
        <v>14</v>
      </c>
      <c r="B98" s="3" t="s">
        <v>15</v>
      </c>
      <c r="C98" s="3" t="s">
        <v>358</v>
      </c>
      <c r="D98" s="2" t="s">
        <v>359</v>
      </c>
      <c r="E98" s="2">
        <v>34</v>
      </c>
      <c r="F98" s="2" t="s">
        <v>157</v>
      </c>
      <c r="G98" s="3" t="s">
        <v>360</v>
      </c>
      <c r="H98" s="2">
        <v>900</v>
      </c>
      <c r="I98" s="4" t="s">
        <v>20</v>
      </c>
      <c r="J98" s="3" t="s">
        <v>143</v>
      </c>
      <c r="K98" s="2">
        <v>15</v>
      </c>
      <c r="L98" s="2">
        <v>10</v>
      </c>
      <c r="M98" s="5" t="s">
        <v>361</v>
      </c>
      <c r="N98" s="3"/>
    </row>
    <row r="99" spans="1:14" ht="20.100000000000001" customHeight="1">
      <c r="A99" s="6" t="s">
        <v>14</v>
      </c>
      <c r="B99" s="7" t="s">
        <v>15</v>
      </c>
      <c r="C99" s="7" t="s">
        <v>358</v>
      </c>
      <c r="D99" s="6" t="s">
        <v>362</v>
      </c>
      <c r="E99" s="6">
        <v>160</v>
      </c>
      <c r="F99" s="6" t="s">
        <v>18</v>
      </c>
      <c r="G99" s="7" t="s">
        <v>363</v>
      </c>
      <c r="H99" s="6">
        <v>900</v>
      </c>
      <c r="I99" s="4" t="s">
        <v>20</v>
      </c>
      <c r="J99" s="7" t="s">
        <v>143</v>
      </c>
      <c r="K99" s="6">
        <v>15</v>
      </c>
      <c r="L99" s="6">
        <v>10</v>
      </c>
      <c r="M99" s="8" t="s">
        <v>364</v>
      </c>
      <c r="N99" s="7"/>
    </row>
    <row r="100" spans="1:14" ht="20.100000000000001" customHeight="1">
      <c r="A100" s="2" t="s">
        <v>14</v>
      </c>
      <c r="B100" s="3" t="s">
        <v>15</v>
      </c>
      <c r="C100" s="3" t="s">
        <v>358</v>
      </c>
      <c r="D100" s="2" t="s">
        <v>365</v>
      </c>
      <c r="E100" s="2">
        <v>230</v>
      </c>
      <c r="F100" s="2" t="s">
        <v>18</v>
      </c>
      <c r="G100" s="3" t="s">
        <v>366</v>
      </c>
      <c r="H100" s="2">
        <v>1000</v>
      </c>
      <c r="I100" s="4" t="s">
        <v>43</v>
      </c>
      <c r="J100" s="3" t="s">
        <v>143</v>
      </c>
      <c r="K100" s="2">
        <v>15</v>
      </c>
      <c r="L100" s="2">
        <v>10</v>
      </c>
      <c r="M100" s="5" t="s">
        <v>367</v>
      </c>
      <c r="N100" s="3"/>
    </row>
    <row r="101" spans="1:14" ht="20.100000000000001" customHeight="1">
      <c r="A101" s="6" t="s">
        <v>14</v>
      </c>
      <c r="B101" s="7" t="s">
        <v>15</v>
      </c>
      <c r="C101" s="7" t="s">
        <v>358</v>
      </c>
      <c r="D101" s="6" t="s">
        <v>368</v>
      </c>
      <c r="E101" s="6">
        <v>489</v>
      </c>
      <c r="F101" s="6" t="s">
        <v>157</v>
      </c>
      <c r="G101" s="7" t="s">
        <v>369</v>
      </c>
      <c r="H101" s="6">
        <v>1200</v>
      </c>
      <c r="I101" s="4" t="s">
        <v>43</v>
      </c>
      <c r="J101" s="7" t="s">
        <v>370</v>
      </c>
      <c r="K101" s="6">
        <v>25</v>
      </c>
      <c r="L101" s="6">
        <v>20</v>
      </c>
      <c r="M101" s="8" t="s">
        <v>371</v>
      </c>
      <c r="N101" s="7"/>
    </row>
    <row r="102" spans="1:14" ht="20.100000000000001" customHeight="1">
      <c r="A102" s="2" t="s">
        <v>14</v>
      </c>
      <c r="B102" s="3" t="s">
        <v>15</v>
      </c>
      <c r="C102" s="3" t="s">
        <v>358</v>
      </c>
      <c r="D102" s="2" t="s">
        <v>372</v>
      </c>
      <c r="E102" s="2">
        <v>580</v>
      </c>
      <c r="F102" s="2" t="s">
        <v>18</v>
      </c>
      <c r="G102" s="3" t="s">
        <v>373</v>
      </c>
      <c r="H102" s="2">
        <v>900</v>
      </c>
      <c r="I102" s="4" t="s">
        <v>20</v>
      </c>
      <c r="J102" s="3" t="s">
        <v>374</v>
      </c>
      <c r="K102" s="2">
        <v>15</v>
      </c>
      <c r="L102" s="2">
        <v>10</v>
      </c>
      <c r="M102" s="5" t="s">
        <v>375</v>
      </c>
      <c r="N102" s="3"/>
    </row>
    <row r="103" spans="1:14" ht="20.100000000000001" customHeight="1">
      <c r="A103" s="6" t="s">
        <v>14</v>
      </c>
      <c r="B103" s="7" t="s">
        <v>15</v>
      </c>
      <c r="C103" s="7" t="s">
        <v>358</v>
      </c>
      <c r="D103" s="6" t="s">
        <v>376</v>
      </c>
      <c r="E103" s="6">
        <v>659</v>
      </c>
      <c r="F103" s="6" t="s">
        <v>183</v>
      </c>
      <c r="G103" s="7" t="s">
        <v>377</v>
      </c>
      <c r="H103" s="6">
        <v>1200</v>
      </c>
      <c r="I103" s="4" t="s">
        <v>43</v>
      </c>
      <c r="J103" s="7" t="s">
        <v>39</v>
      </c>
      <c r="K103" s="6">
        <v>25</v>
      </c>
      <c r="L103" s="6">
        <v>20</v>
      </c>
      <c r="M103" s="8" t="s">
        <v>378</v>
      </c>
      <c r="N103" s="7"/>
    </row>
    <row r="104" spans="1:14" ht="20.100000000000001" customHeight="1">
      <c r="A104" s="2" t="s">
        <v>14</v>
      </c>
      <c r="B104" s="3" t="s">
        <v>15</v>
      </c>
      <c r="C104" s="3" t="s">
        <v>358</v>
      </c>
      <c r="D104" s="2" t="s">
        <v>379</v>
      </c>
      <c r="E104" s="2">
        <v>706</v>
      </c>
      <c r="F104" s="2" t="s">
        <v>157</v>
      </c>
      <c r="G104" s="3" t="s">
        <v>380</v>
      </c>
      <c r="H104" s="2">
        <v>1100</v>
      </c>
      <c r="I104" s="4" t="s">
        <v>43</v>
      </c>
      <c r="J104" s="3" t="s">
        <v>381</v>
      </c>
      <c r="K104" s="2">
        <v>25</v>
      </c>
      <c r="L104" s="2">
        <v>20</v>
      </c>
      <c r="M104" s="5" t="s">
        <v>382</v>
      </c>
      <c r="N104" s="3"/>
    </row>
    <row r="105" spans="1:14" ht="20.100000000000001" customHeight="1">
      <c r="A105" s="6" t="s">
        <v>14</v>
      </c>
      <c r="B105" s="7" t="s">
        <v>15</v>
      </c>
      <c r="C105" s="7" t="s">
        <v>358</v>
      </c>
      <c r="D105" s="6" t="s">
        <v>383</v>
      </c>
      <c r="E105" s="6">
        <v>808</v>
      </c>
      <c r="F105" s="6" t="s">
        <v>384</v>
      </c>
      <c r="G105" s="7" t="s">
        <v>385</v>
      </c>
      <c r="H105" s="6">
        <v>1900</v>
      </c>
      <c r="I105" s="10" t="s">
        <v>386</v>
      </c>
      <c r="J105" s="7" t="s">
        <v>387</v>
      </c>
      <c r="K105" s="6">
        <v>60</v>
      </c>
      <c r="L105" s="6">
        <v>55</v>
      </c>
      <c r="M105" s="8" t="s">
        <v>388</v>
      </c>
      <c r="N105" s="7"/>
    </row>
    <row r="106" spans="1:14" ht="20.100000000000001" customHeight="1">
      <c r="A106" s="2" t="s">
        <v>14</v>
      </c>
      <c r="B106" s="3" t="s">
        <v>15</v>
      </c>
      <c r="C106" s="3" t="s">
        <v>358</v>
      </c>
      <c r="D106" s="2" t="s">
        <v>389</v>
      </c>
      <c r="E106" s="2">
        <v>812</v>
      </c>
      <c r="F106" s="2" t="s">
        <v>183</v>
      </c>
      <c r="G106" s="3" t="s">
        <v>390</v>
      </c>
      <c r="H106" s="2">
        <v>1500</v>
      </c>
      <c r="I106" s="9" t="s">
        <v>172</v>
      </c>
      <c r="J106" s="3" t="s">
        <v>391</v>
      </c>
      <c r="K106" s="2">
        <v>40</v>
      </c>
      <c r="L106" s="2">
        <v>35</v>
      </c>
      <c r="M106" s="5" t="s">
        <v>392</v>
      </c>
      <c r="N106" s="3"/>
    </row>
    <row r="107" spans="1:14" ht="20.100000000000001" customHeight="1">
      <c r="A107" s="6" t="s">
        <v>14</v>
      </c>
      <c r="B107" s="7" t="s">
        <v>15</v>
      </c>
      <c r="C107" s="7" t="s">
        <v>358</v>
      </c>
      <c r="D107" s="6" t="s">
        <v>393</v>
      </c>
      <c r="E107" s="6">
        <v>977</v>
      </c>
      <c r="F107" s="6" t="s">
        <v>183</v>
      </c>
      <c r="G107" s="7" t="s">
        <v>394</v>
      </c>
      <c r="H107" s="6">
        <v>1200</v>
      </c>
      <c r="I107" s="4" t="s">
        <v>43</v>
      </c>
      <c r="J107" s="7" t="s">
        <v>395</v>
      </c>
      <c r="K107" s="6">
        <v>25</v>
      </c>
      <c r="L107" s="6">
        <v>20</v>
      </c>
      <c r="M107" s="8" t="s">
        <v>396</v>
      </c>
      <c r="N107" s="7"/>
    </row>
    <row r="108" spans="1:14" ht="20.100000000000001" customHeight="1">
      <c r="A108" s="2" t="s">
        <v>14</v>
      </c>
      <c r="B108" s="3" t="s">
        <v>15</v>
      </c>
      <c r="C108" s="3" t="s">
        <v>358</v>
      </c>
      <c r="D108" s="2" t="s">
        <v>397</v>
      </c>
      <c r="E108" s="2">
        <v>978</v>
      </c>
      <c r="F108" s="2" t="s">
        <v>183</v>
      </c>
      <c r="G108" s="3" t="s">
        <v>398</v>
      </c>
      <c r="H108" s="2">
        <v>1000</v>
      </c>
      <c r="I108" s="4" t="s">
        <v>43</v>
      </c>
      <c r="J108" s="3" t="s">
        <v>399</v>
      </c>
      <c r="K108" s="2">
        <v>15</v>
      </c>
      <c r="L108" s="2">
        <v>10</v>
      </c>
      <c r="M108" s="5" t="s">
        <v>400</v>
      </c>
      <c r="N108" s="3"/>
    </row>
    <row r="109" spans="1:14" ht="20.100000000000001" customHeight="1">
      <c r="A109" s="6" t="s">
        <v>14</v>
      </c>
      <c r="B109" s="7" t="s">
        <v>15</v>
      </c>
      <c r="C109" s="7" t="s">
        <v>358</v>
      </c>
      <c r="D109" s="6" t="s">
        <v>401</v>
      </c>
      <c r="E109" s="6">
        <v>1006</v>
      </c>
      <c r="F109" s="6" t="s">
        <v>183</v>
      </c>
      <c r="G109" s="7" t="s">
        <v>402</v>
      </c>
      <c r="H109" s="6">
        <v>1200</v>
      </c>
      <c r="I109" s="4" t="s">
        <v>43</v>
      </c>
      <c r="J109" s="7" t="s">
        <v>403</v>
      </c>
      <c r="K109" s="6">
        <v>25</v>
      </c>
      <c r="L109" s="6">
        <v>20</v>
      </c>
      <c r="M109" s="8" t="s">
        <v>404</v>
      </c>
      <c r="N109" s="7"/>
    </row>
    <row r="110" spans="1:14" ht="20.100000000000001" customHeight="1">
      <c r="A110" s="2" t="s">
        <v>14</v>
      </c>
      <c r="B110" s="3" t="s">
        <v>15</v>
      </c>
      <c r="C110" s="3" t="s">
        <v>358</v>
      </c>
      <c r="D110" s="2" t="s">
        <v>405</v>
      </c>
      <c r="E110" s="2">
        <v>1029</v>
      </c>
      <c r="F110" s="2" t="s">
        <v>157</v>
      </c>
      <c r="G110" s="3" t="s">
        <v>406</v>
      </c>
      <c r="H110" s="2">
        <v>1200</v>
      </c>
      <c r="I110" s="4" t="s">
        <v>43</v>
      </c>
      <c r="J110" s="3" t="s">
        <v>221</v>
      </c>
      <c r="K110" s="2">
        <v>25</v>
      </c>
      <c r="L110" s="2">
        <v>20</v>
      </c>
      <c r="M110" s="5" t="s">
        <v>407</v>
      </c>
      <c r="N110" s="3"/>
    </row>
    <row r="111" spans="1:14" ht="20.100000000000001" customHeight="1">
      <c r="A111" s="6" t="s">
        <v>14</v>
      </c>
      <c r="B111" s="7" t="s">
        <v>15</v>
      </c>
      <c r="C111" s="7" t="s">
        <v>358</v>
      </c>
      <c r="D111" s="6" t="s">
        <v>408</v>
      </c>
      <c r="E111" s="6">
        <v>1201</v>
      </c>
      <c r="F111" s="6" t="s">
        <v>183</v>
      </c>
      <c r="G111" s="7" t="s">
        <v>409</v>
      </c>
      <c r="H111" s="6">
        <v>1400</v>
      </c>
      <c r="I111" s="9" t="s">
        <v>163</v>
      </c>
      <c r="J111" s="7" t="s">
        <v>410</v>
      </c>
      <c r="K111" s="6">
        <v>40</v>
      </c>
      <c r="L111" s="6">
        <v>35</v>
      </c>
      <c r="M111" s="8" t="s">
        <v>411</v>
      </c>
      <c r="N111" s="7"/>
    </row>
    <row r="112" spans="1:14" ht="20.100000000000001" customHeight="1">
      <c r="A112" s="2" t="s">
        <v>14</v>
      </c>
      <c r="B112" s="3" t="s">
        <v>15</v>
      </c>
      <c r="C112" s="3" t="s">
        <v>358</v>
      </c>
      <c r="D112" s="2" t="s">
        <v>412</v>
      </c>
      <c r="E112" s="2">
        <v>1294</v>
      </c>
      <c r="F112" s="2" t="s">
        <v>183</v>
      </c>
      <c r="G112" s="3" t="s">
        <v>413</v>
      </c>
      <c r="H112" s="2">
        <v>1300</v>
      </c>
      <c r="I112" s="9" t="s">
        <v>163</v>
      </c>
      <c r="J112" s="3" t="s">
        <v>414</v>
      </c>
      <c r="K112" s="2">
        <v>25</v>
      </c>
      <c r="L112" s="2">
        <v>20</v>
      </c>
      <c r="M112" s="5" t="s">
        <v>415</v>
      </c>
      <c r="N112" s="3"/>
    </row>
    <row r="113" spans="1:14" ht="20.100000000000001" customHeight="1">
      <c r="A113" s="6" t="s">
        <v>14</v>
      </c>
      <c r="B113" s="7" t="s">
        <v>15</v>
      </c>
      <c r="C113" s="7" t="s">
        <v>358</v>
      </c>
      <c r="D113" s="6" t="s">
        <v>416</v>
      </c>
      <c r="E113" s="6">
        <v>1333</v>
      </c>
      <c r="F113" s="6" t="s">
        <v>183</v>
      </c>
      <c r="G113" s="7" t="s">
        <v>417</v>
      </c>
      <c r="H113" s="6">
        <v>1700</v>
      </c>
      <c r="I113" s="10" t="s">
        <v>418</v>
      </c>
      <c r="J113" s="7" t="s">
        <v>419</v>
      </c>
      <c r="K113" s="6">
        <v>60</v>
      </c>
      <c r="L113" s="6">
        <v>55</v>
      </c>
      <c r="M113" s="8" t="s">
        <v>420</v>
      </c>
      <c r="N113" s="7"/>
    </row>
    <row r="114" spans="1:14" ht="20.100000000000001" customHeight="1">
      <c r="A114" s="2" t="s">
        <v>14</v>
      </c>
      <c r="B114" s="3" t="s">
        <v>15</v>
      </c>
      <c r="C114" s="3" t="s">
        <v>358</v>
      </c>
      <c r="D114" s="2" t="s">
        <v>421</v>
      </c>
      <c r="E114" s="2">
        <v>1358</v>
      </c>
      <c r="F114" s="2" t="s">
        <v>157</v>
      </c>
      <c r="G114" s="3" t="s">
        <v>422</v>
      </c>
      <c r="H114" s="2">
        <v>1000</v>
      </c>
      <c r="I114" s="4" t="s">
        <v>43</v>
      </c>
      <c r="J114" s="3" t="s">
        <v>143</v>
      </c>
      <c r="K114" s="2">
        <v>15</v>
      </c>
      <c r="L114" s="2">
        <v>10</v>
      </c>
      <c r="M114" s="5" t="s">
        <v>423</v>
      </c>
      <c r="N114" s="3"/>
    </row>
    <row r="115" spans="1:14" ht="20.100000000000001" customHeight="1">
      <c r="A115" s="6" t="s">
        <v>14</v>
      </c>
      <c r="B115" s="7" t="s">
        <v>15</v>
      </c>
      <c r="C115" s="7" t="s">
        <v>358</v>
      </c>
      <c r="D115" s="6" t="s">
        <v>424</v>
      </c>
      <c r="E115" s="6">
        <v>1400</v>
      </c>
      <c r="F115" s="6" t="s">
        <v>384</v>
      </c>
      <c r="G115" s="7" t="s">
        <v>425</v>
      </c>
      <c r="H115" s="6">
        <v>1900</v>
      </c>
      <c r="I115" s="10" t="s">
        <v>386</v>
      </c>
      <c r="J115" s="7" t="s">
        <v>426</v>
      </c>
      <c r="K115" s="6">
        <v>60</v>
      </c>
      <c r="L115" s="6">
        <v>55</v>
      </c>
      <c r="M115" s="8" t="s">
        <v>427</v>
      </c>
      <c r="N115" s="7"/>
    </row>
    <row r="116" spans="1:14" ht="20.100000000000001" customHeight="1">
      <c r="A116" s="2" t="s">
        <v>14</v>
      </c>
      <c r="B116" s="3" t="s">
        <v>15</v>
      </c>
      <c r="C116" s="3" t="s">
        <v>358</v>
      </c>
      <c r="D116" s="2" t="s">
        <v>428</v>
      </c>
      <c r="E116" s="2">
        <v>1498</v>
      </c>
      <c r="F116" s="2" t="s">
        <v>157</v>
      </c>
      <c r="G116" s="3" t="s">
        <v>429</v>
      </c>
      <c r="H116" s="2">
        <v>1300</v>
      </c>
      <c r="I116" s="9" t="s">
        <v>163</v>
      </c>
      <c r="J116" s="3" t="s">
        <v>430</v>
      </c>
      <c r="K116" s="2">
        <v>25</v>
      </c>
      <c r="L116" s="2">
        <v>20</v>
      </c>
      <c r="M116" s="5" t="s">
        <v>431</v>
      </c>
      <c r="N116" s="3"/>
    </row>
    <row r="117" spans="1:14" ht="20.100000000000001" customHeight="1">
      <c r="A117" s="6" t="s">
        <v>14</v>
      </c>
      <c r="B117" s="7" t="s">
        <v>15</v>
      </c>
      <c r="C117" s="7" t="s">
        <v>358</v>
      </c>
      <c r="D117" s="6" t="s">
        <v>432</v>
      </c>
      <c r="E117" s="6">
        <v>1519</v>
      </c>
      <c r="F117" s="6" t="s">
        <v>183</v>
      </c>
      <c r="G117" s="7" t="s">
        <v>433</v>
      </c>
      <c r="H117" s="6">
        <v>1400</v>
      </c>
      <c r="I117" s="9" t="s">
        <v>163</v>
      </c>
      <c r="J117" s="7" t="s">
        <v>434</v>
      </c>
      <c r="K117" s="6">
        <v>40</v>
      </c>
      <c r="L117" s="6">
        <v>35</v>
      </c>
      <c r="M117" s="8" t="s">
        <v>435</v>
      </c>
      <c r="N117" s="7"/>
    </row>
    <row r="118" spans="1:14" ht="20.100000000000001" customHeight="1">
      <c r="A118" s="2" t="s">
        <v>14</v>
      </c>
      <c r="B118" s="3" t="s">
        <v>15</v>
      </c>
      <c r="C118" s="3" t="s">
        <v>358</v>
      </c>
      <c r="D118" s="2" t="s">
        <v>436</v>
      </c>
      <c r="E118" s="2">
        <v>1538</v>
      </c>
      <c r="F118" s="2" t="s">
        <v>183</v>
      </c>
      <c r="G118" s="3" t="s">
        <v>437</v>
      </c>
      <c r="H118" s="2">
        <v>1300</v>
      </c>
      <c r="I118" s="9" t="s">
        <v>163</v>
      </c>
      <c r="J118" s="3" t="s">
        <v>438</v>
      </c>
      <c r="K118" s="2">
        <v>25</v>
      </c>
      <c r="L118" s="2">
        <v>20</v>
      </c>
      <c r="M118" s="5" t="s">
        <v>439</v>
      </c>
      <c r="N118" s="3"/>
    </row>
    <row r="119" spans="1:14" ht="20.100000000000001" customHeight="1">
      <c r="A119" s="6" t="s">
        <v>14</v>
      </c>
      <c r="B119" s="7" t="s">
        <v>15</v>
      </c>
      <c r="C119" s="7" t="s">
        <v>358</v>
      </c>
      <c r="D119" s="6" t="s">
        <v>440</v>
      </c>
      <c r="E119" s="6">
        <v>1552</v>
      </c>
      <c r="F119" s="6" t="s">
        <v>183</v>
      </c>
      <c r="G119" s="7" t="s">
        <v>441</v>
      </c>
      <c r="H119" s="6">
        <v>1800</v>
      </c>
      <c r="I119" s="10" t="s">
        <v>418</v>
      </c>
      <c r="J119" s="7" t="s">
        <v>442</v>
      </c>
      <c r="K119" s="6">
        <v>60</v>
      </c>
      <c r="L119" s="6">
        <v>55</v>
      </c>
      <c r="M119" s="8" t="s">
        <v>443</v>
      </c>
      <c r="N119" s="7"/>
    </row>
    <row r="120" spans="1:14" ht="20.100000000000001" customHeight="1">
      <c r="A120" s="2" t="s">
        <v>14</v>
      </c>
      <c r="B120" s="3" t="s">
        <v>15</v>
      </c>
      <c r="C120" s="3" t="s">
        <v>358</v>
      </c>
      <c r="D120" s="2" t="s">
        <v>444</v>
      </c>
      <c r="E120" s="2">
        <v>1611</v>
      </c>
      <c r="F120" s="2" t="s">
        <v>183</v>
      </c>
      <c r="G120" s="3" t="s">
        <v>445</v>
      </c>
      <c r="H120" s="2">
        <v>1000</v>
      </c>
      <c r="I120" s="4" t="s">
        <v>43</v>
      </c>
      <c r="J120" s="3" t="s">
        <v>446</v>
      </c>
      <c r="K120" s="2">
        <v>15</v>
      </c>
      <c r="L120" s="2">
        <v>10</v>
      </c>
      <c r="M120" s="5" t="s">
        <v>447</v>
      </c>
      <c r="N120" s="3"/>
    </row>
    <row r="121" spans="1:14" ht="20.100000000000001" customHeight="1">
      <c r="A121" s="6" t="s">
        <v>14</v>
      </c>
      <c r="B121" s="7" t="s">
        <v>15</v>
      </c>
      <c r="C121" s="7" t="s">
        <v>358</v>
      </c>
      <c r="D121" s="6" t="s">
        <v>448</v>
      </c>
      <c r="E121" s="6">
        <v>1670</v>
      </c>
      <c r="F121" s="6" t="s">
        <v>157</v>
      </c>
      <c r="G121" s="7" t="s">
        <v>449</v>
      </c>
      <c r="H121" s="6">
        <v>1100</v>
      </c>
      <c r="I121" s="4" t="s">
        <v>43</v>
      </c>
      <c r="J121" s="7" t="s">
        <v>180</v>
      </c>
      <c r="K121" s="6">
        <v>25</v>
      </c>
      <c r="L121" s="6">
        <v>20</v>
      </c>
      <c r="M121" s="8" t="s">
        <v>450</v>
      </c>
      <c r="N121" s="7"/>
    </row>
    <row r="122" spans="1:14" ht="20.100000000000001" customHeight="1">
      <c r="A122" s="2" t="s">
        <v>14</v>
      </c>
      <c r="B122" s="3" t="s">
        <v>15</v>
      </c>
      <c r="C122" s="3" t="s">
        <v>451</v>
      </c>
      <c r="D122" s="2" t="s">
        <v>452</v>
      </c>
      <c r="E122" s="2">
        <v>987</v>
      </c>
      <c r="F122" s="2" t="s">
        <v>183</v>
      </c>
      <c r="G122" s="3" t="s">
        <v>453</v>
      </c>
      <c r="H122" s="2">
        <v>1400</v>
      </c>
      <c r="I122" s="9" t="s">
        <v>163</v>
      </c>
      <c r="J122" s="3" t="s">
        <v>374</v>
      </c>
      <c r="K122" s="2">
        <v>40</v>
      </c>
      <c r="L122" s="2">
        <v>35</v>
      </c>
      <c r="M122" s="5" t="s">
        <v>454</v>
      </c>
      <c r="N122" s="3"/>
    </row>
    <row r="123" spans="1:14" ht="20.100000000000001" customHeight="1">
      <c r="A123" s="6" t="s">
        <v>14</v>
      </c>
      <c r="B123" s="7" t="s">
        <v>15</v>
      </c>
      <c r="C123" s="7" t="s">
        <v>451</v>
      </c>
      <c r="D123" s="6" t="s">
        <v>455</v>
      </c>
      <c r="E123" s="6">
        <v>1000</v>
      </c>
      <c r="F123" s="6" t="s">
        <v>183</v>
      </c>
      <c r="G123" s="7" t="s">
        <v>456</v>
      </c>
      <c r="H123" s="6">
        <v>1700</v>
      </c>
      <c r="I123" s="10" t="s">
        <v>418</v>
      </c>
      <c r="J123" s="7" t="s">
        <v>457</v>
      </c>
      <c r="K123" s="6">
        <v>60</v>
      </c>
      <c r="L123" s="6">
        <v>55</v>
      </c>
      <c r="M123" s="8" t="s">
        <v>458</v>
      </c>
      <c r="N123" s="7"/>
    </row>
    <row r="124" spans="1:14" ht="20.100000000000001" customHeight="1">
      <c r="A124" s="2" t="s">
        <v>14</v>
      </c>
      <c r="B124" s="3" t="s">
        <v>15</v>
      </c>
      <c r="C124" s="3" t="s">
        <v>451</v>
      </c>
      <c r="D124" s="2" t="s">
        <v>459</v>
      </c>
      <c r="E124" s="2">
        <v>1042</v>
      </c>
      <c r="F124" s="2" t="s">
        <v>384</v>
      </c>
      <c r="G124" s="3" t="s">
        <v>460</v>
      </c>
      <c r="H124" s="2">
        <v>1800</v>
      </c>
      <c r="I124" s="10" t="s">
        <v>418</v>
      </c>
      <c r="J124" s="3" t="s">
        <v>461</v>
      </c>
      <c r="K124" s="2">
        <v>60</v>
      </c>
      <c r="L124" s="2">
        <v>55</v>
      </c>
      <c r="M124" s="5" t="s">
        <v>462</v>
      </c>
      <c r="N124" s="3"/>
    </row>
    <row r="125" spans="1:14" ht="20.100000000000001" customHeight="1">
      <c r="A125" s="6" t="s">
        <v>14</v>
      </c>
      <c r="B125" s="7" t="s">
        <v>15</v>
      </c>
      <c r="C125" s="7" t="s">
        <v>451</v>
      </c>
      <c r="D125" s="6" t="s">
        <v>463</v>
      </c>
      <c r="E125" s="6">
        <v>1131</v>
      </c>
      <c r="F125" s="6" t="s">
        <v>183</v>
      </c>
      <c r="G125" s="7" t="s">
        <v>464</v>
      </c>
      <c r="H125" s="6">
        <v>1200</v>
      </c>
      <c r="I125" s="4" t="s">
        <v>43</v>
      </c>
      <c r="J125" s="7" t="s">
        <v>465</v>
      </c>
      <c r="K125" s="6">
        <v>25</v>
      </c>
      <c r="L125" s="6">
        <v>20</v>
      </c>
      <c r="M125" s="8" t="s">
        <v>466</v>
      </c>
      <c r="N125" s="7"/>
    </row>
    <row r="126" spans="1:14" ht="20.100000000000001" customHeight="1">
      <c r="A126" s="2" t="s">
        <v>14</v>
      </c>
      <c r="B126" s="3" t="s">
        <v>15</v>
      </c>
      <c r="C126" s="3" t="s">
        <v>451</v>
      </c>
      <c r="D126" s="2" t="s">
        <v>467</v>
      </c>
      <c r="E126" s="2">
        <v>1181</v>
      </c>
      <c r="F126" s="2" t="s">
        <v>183</v>
      </c>
      <c r="G126" s="3" t="s">
        <v>468</v>
      </c>
      <c r="H126" s="2">
        <v>1900</v>
      </c>
      <c r="I126" s="10" t="s">
        <v>386</v>
      </c>
      <c r="J126" s="3" t="s">
        <v>469</v>
      </c>
      <c r="K126" s="2">
        <v>60</v>
      </c>
      <c r="L126" s="2">
        <v>55</v>
      </c>
      <c r="M126" s="5" t="s">
        <v>470</v>
      </c>
      <c r="N126" s="3"/>
    </row>
    <row r="127" spans="1:14" ht="20.100000000000001" customHeight="1">
      <c r="A127" s="6" t="s">
        <v>14</v>
      </c>
      <c r="B127" s="7" t="s">
        <v>15</v>
      </c>
      <c r="C127" s="7" t="s">
        <v>451</v>
      </c>
      <c r="D127" s="6" t="s">
        <v>471</v>
      </c>
      <c r="E127" s="6">
        <v>1208</v>
      </c>
      <c r="F127" s="6" t="s">
        <v>157</v>
      </c>
      <c r="G127" s="7" t="s">
        <v>472</v>
      </c>
      <c r="H127" s="6">
        <v>1500</v>
      </c>
      <c r="I127" s="9" t="s">
        <v>172</v>
      </c>
      <c r="J127" s="7" t="s">
        <v>473</v>
      </c>
      <c r="K127" s="6">
        <v>40</v>
      </c>
      <c r="L127" s="6">
        <v>35</v>
      </c>
      <c r="M127" s="8" t="s">
        <v>474</v>
      </c>
      <c r="N127" s="7"/>
    </row>
    <row r="128" spans="1:14" ht="20.100000000000001" customHeight="1">
      <c r="A128" s="2" t="s">
        <v>14</v>
      </c>
      <c r="B128" s="3" t="s">
        <v>15</v>
      </c>
      <c r="C128" s="3" t="s">
        <v>451</v>
      </c>
      <c r="D128" s="2" t="s">
        <v>475</v>
      </c>
      <c r="E128" s="2">
        <v>1230</v>
      </c>
      <c r="F128" s="2" t="s">
        <v>183</v>
      </c>
      <c r="G128" s="3" t="s">
        <v>185</v>
      </c>
      <c r="H128" s="2" t="s">
        <v>185</v>
      </c>
      <c r="I128" s="11" t="s">
        <v>185</v>
      </c>
      <c r="J128" s="3" t="s">
        <v>185</v>
      </c>
      <c r="K128" s="2">
        <v>0</v>
      </c>
      <c r="L128" s="2">
        <v>0</v>
      </c>
      <c r="M128" s="5" t="s">
        <v>476</v>
      </c>
      <c r="N128" s="3"/>
    </row>
    <row r="129" spans="1:14" ht="20.100000000000001" customHeight="1">
      <c r="A129" s="6" t="s">
        <v>14</v>
      </c>
      <c r="B129" s="7" t="s">
        <v>15</v>
      </c>
      <c r="C129" s="7" t="s">
        <v>451</v>
      </c>
      <c r="D129" s="6" t="s">
        <v>477</v>
      </c>
      <c r="E129" s="6">
        <v>1324</v>
      </c>
      <c r="F129" s="6" t="s">
        <v>384</v>
      </c>
      <c r="G129" s="7" t="s">
        <v>478</v>
      </c>
      <c r="H129" s="6">
        <v>1400</v>
      </c>
      <c r="I129" s="9" t="s">
        <v>163</v>
      </c>
      <c r="J129" s="7" t="s">
        <v>479</v>
      </c>
      <c r="K129" s="6">
        <v>40</v>
      </c>
      <c r="L129" s="6">
        <v>35</v>
      </c>
      <c r="M129" s="8" t="s">
        <v>480</v>
      </c>
      <c r="N129" s="7"/>
    </row>
    <row r="130" spans="1:14" ht="20.100000000000001" customHeight="1">
      <c r="A130" s="2" t="s">
        <v>14</v>
      </c>
      <c r="B130" s="3" t="s">
        <v>15</v>
      </c>
      <c r="C130" s="3" t="s">
        <v>451</v>
      </c>
      <c r="D130" s="2" t="s">
        <v>481</v>
      </c>
      <c r="E130" s="2">
        <v>1355</v>
      </c>
      <c r="F130" s="2" t="s">
        <v>183</v>
      </c>
      <c r="G130" s="3" t="s">
        <v>482</v>
      </c>
      <c r="H130" s="2">
        <v>1800</v>
      </c>
      <c r="I130" s="10" t="s">
        <v>418</v>
      </c>
      <c r="J130" s="3" t="s">
        <v>483</v>
      </c>
      <c r="K130" s="2">
        <v>60</v>
      </c>
      <c r="L130" s="2">
        <v>55</v>
      </c>
      <c r="M130" s="5" t="s">
        <v>484</v>
      </c>
      <c r="N130" s="3"/>
    </row>
    <row r="131" spans="1:14" ht="20.100000000000001" customHeight="1">
      <c r="A131" s="6" t="s">
        <v>14</v>
      </c>
      <c r="B131" s="7" t="s">
        <v>15</v>
      </c>
      <c r="C131" s="7" t="s">
        <v>451</v>
      </c>
      <c r="D131" s="6" t="s">
        <v>485</v>
      </c>
      <c r="E131" s="6">
        <v>1400</v>
      </c>
      <c r="F131" s="6" t="s">
        <v>183</v>
      </c>
      <c r="G131" s="7" t="s">
        <v>486</v>
      </c>
      <c r="H131" s="6">
        <v>1500</v>
      </c>
      <c r="I131" s="9" t="s">
        <v>172</v>
      </c>
      <c r="J131" s="7" t="s">
        <v>487</v>
      </c>
      <c r="K131" s="6">
        <v>40</v>
      </c>
      <c r="L131" s="6">
        <v>35</v>
      </c>
      <c r="M131" s="8" t="s">
        <v>488</v>
      </c>
      <c r="N131" s="7"/>
    </row>
    <row r="132" spans="1:14" ht="20.100000000000001" customHeight="1">
      <c r="A132" s="2" t="s">
        <v>14</v>
      </c>
      <c r="B132" s="3" t="s">
        <v>15</v>
      </c>
      <c r="C132" s="3" t="s">
        <v>451</v>
      </c>
      <c r="D132" s="2" t="s">
        <v>489</v>
      </c>
      <c r="E132" s="2">
        <v>1473</v>
      </c>
      <c r="F132" s="2" t="s">
        <v>384</v>
      </c>
      <c r="G132" s="3" t="s">
        <v>490</v>
      </c>
      <c r="H132" s="2">
        <v>1700</v>
      </c>
      <c r="I132" s="10" t="s">
        <v>418</v>
      </c>
      <c r="J132" s="3" t="s">
        <v>491</v>
      </c>
      <c r="K132" s="2">
        <v>60</v>
      </c>
      <c r="L132" s="2">
        <v>55</v>
      </c>
      <c r="M132" s="5" t="s">
        <v>492</v>
      </c>
      <c r="N132" s="3"/>
    </row>
    <row r="133" spans="1:14" ht="20.100000000000001" customHeight="1">
      <c r="A133" s="6" t="s">
        <v>14</v>
      </c>
      <c r="B133" s="7" t="s">
        <v>15</v>
      </c>
      <c r="C133" s="7" t="s">
        <v>451</v>
      </c>
      <c r="D133" s="6" t="s">
        <v>493</v>
      </c>
      <c r="E133" s="6">
        <v>1490</v>
      </c>
      <c r="F133" s="6" t="s">
        <v>384</v>
      </c>
      <c r="G133" s="7" t="s">
        <v>494</v>
      </c>
      <c r="H133" s="6">
        <v>1200</v>
      </c>
      <c r="I133" s="4" t="s">
        <v>43</v>
      </c>
      <c r="J133" s="7" t="s">
        <v>495</v>
      </c>
      <c r="K133" s="6">
        <v>25</v>
      </c>
      <c r="L133" s="6">
        <v>20</v>
      </c>
      <c r="M133" s="8" t="s">
        <v>496</v>
      </c>
      <c r="N133" s="7"/>
    </row>
    <row r="134" spans="1:14" ht="20.100000000000001" customHeight="1">
      <c r="A134" s="2" t="s">
        <v>14</v>
      </c>
      <c r="B134" s="3" t="s">
        <v>15</v>
      </c>
      <c r="C134" s="3" t="s">
        <v>451</v>
      </c>
      <c r="D134" s="2" t="s">
        <v>497</v>
      </c>
      <c r="E134" s="2">
        <v>1512</v>
      </c>
      <c r="F134" s="2" t="s">
        <v>384</v>
      </c>
      <c r="G134" s="3" t="s">
        <v>498</v>
      </c>
      <c r="H134" s="2">
        <v>1200</v>
      </c>
      <c r="I134" s="4" t="s">
        <v>43</v>
      </c>
      <c r="J134" s="3" t="s">
        <v>499</v>
      </c>
      <c r="K134" s="2">
        <v>25</v>
      </c>
      <c r="L134" s="2">
        <v>20</v>
      </c>
      <c r="M134" s="5" t="s">
        <v>500</v>
      </c>
      <c r="N134" s="3"/>
    </row>
    <row r="135" spans="1:14" ht="20.100000000000001" customHeight="1">
      <c r="A135" s="6" t="s">
        <v>14</v>
      </c>
      <c r="B135" s="7" t="s">
        <v>15</v>
      </c>
      <c r="C135" s="7" t="s">
        <v>451</v>
      </c>
      <c r="D135" s="6" t="s">
        <v>501</v>
      </c>
      <c r="E135" s="6">
        <v>1547</v>
      </c>
      <c r="F135" s="6" t="s">
        <v>183</v>
      </c>
      <c r="G135" s="7" t="s">
        <v>502</v>
      </c>
      <c r="H135" s="6">
        <v>1100</v>
      </c>
      <c r="I135" s="4" t="s">
        <v>43</v>
      </c>
      <c r="J135" s="7" t="s">
        <v>503</v>
      </c>
      <c r="K135" s="6">
        <v>25</v>
      </c>
      <c r="L135" s="6">
        <v>20</v>
      </c>
      <c r="M135" s="8" t="s">
        <v>504</v>
      </c>
      <c r="N135" s="7"/>
    </row>
    <row r="136" spans="1:14" ht="20.100000000000001" customHeight="1">
      <c r="A136" s="2" t="s">
        <v>14</v>
      </c>
      <c r="B136" s="3" t="s">
        <v>15</v>
      </c>
      <c r="C136" s="3" t="s">
        <v>451</v>
      </c>
      <c r="D136" s="2" t="s">
        <v>505</v>
      </c>
      <c r="E136" s="2">
        <v>1567</v>
      </c>
      <c r="F136" s="2" t="s">
        <v>183</v>
      </c>
      <c r="G136" s="3" t="s">
        <v>506</v>
      </c>
      <c r="H136" s="2">
        <v>1600</v>
      </c>
      <c r="I136" s="9" t="s">
        <v>172</v>
      </c>
      <c r="J136" s="3" t="s">
        <v>507</v>
      </c>
      <c r="K136" s="2">
        <v>40</v>
      </c>
      <c r="L136" s="2">
        <v>35</v>
      </c>
      <c r="M136" s="5" t="s">
        <v>508</v>
      </c>
      <c r="N136" s="3"/>
    </row>
    <row r="137" spans="1:14" ht="20.100000000000001" customHeight="1">
      <c r="A137" s="6" t="s">
        <v>14</v>
      </c>
      <c r="B137" s="7" t="s">
        <v>15</v>
      </c>
      <c r="C137" s="7" t="s">
        <v>509</v>
      </c>
      <c r="D137" s="6" t="s">
        <v>510</v>
      </c>
      <c r="E137" s="6">
        <v>1251</v>
      </c>
      <c r="F137" s="6" t="s">
        <v>183</v>
      </c>
      <c r="G137" s="7" t="s">
        <v>511</v>
      </c>
      <c r="H137" s="6">
        <v>1600</v>
      </c>
      <c r="I137" s="9" t="s">
        <v>172</v>
      </c>
      <c r="J137" s="7" t="s">
        <v>503</v>
      </c>
      <c r="K137" s="6">
        <v>40</v>
      </c>
      <c r="L137" s="6">
        <v>35</v>
      </c>
      <c r="M137" s="8" t="s">
        <v>512</v>
      </c>
      <c r="N137" s="7"/>
    </row>
    <row r="138" spans="1:14" ht="20.100000000000001" customHeight="1">
      <c r="A138" s="2" t="s">
        <v>14</v>
      </c>
      <c r="B138" s="3" t="s">
        <v>15</v>
      </c>
      <c r="C138" s="3" t="s">
        <v>509</v>
      </c>
      <c r="D138" s="2" t="s">
        <v>513</v>
      </c>
      <c r="E138" s="2">
        <v>1288</v>
      </c>
      <c r="F138" s="2" t="s">
        <v>384</v>
      </c>
      <c r="G138" s="3" t="s">
        <v>514</v>
      </c>
      <c r="H138" s="2">
        <v>2000</v>
      </c>
      <c r="I138" s="10" t="s">
        <v>386</v>
      </c>
      <c r="J138" s="3" t="s">
        <v>515</v>
      </c>
      <c r="K138" s="2">
        <v>90</v>
      </c>
      <c r="L138" s="2">
        <v>80</v>
      </c>
      <c r="M138" s="5" t="s">
        <v>516</v>
      </c>
      <c r="N138" s="3"/>
    </row>
    <row r="139" spans="1:14" ht="20.100000000000001" customHeight="1">
      <c r="A139" s="6" t="s">
        <v>14</v>
      </c>
      <c r="B139" s="7" t="s">
        <v>15</v>
      </c>
      <c r="C139" s="7" t="s">
        <v>509</v>
      </c>
      <c r="D139" s="6" t="s">
        <v>517</v>
      </c>
      <c r="E139" s="6">
        <v>1370</v>
      </c>
      <c r="F139" s="6" t="s">
        <v>384</v>
      </c>
      <c r="G139" s="7" t="s">
        <v>518</v>
      </c>
      <c r="H139" s="6">
        <v>2000</v>
      </c>
      <c r="I139" s="10" t="s">
        <v>386</v>
      </c>
      <c r="J139" s="7" t="s">
        <v>519</v>
      </c>
      <c r="K139" s="6">
        <v>90</v>
      </c>
      <c r="L139" s="6">
        <v>80</v>
      </c>
      <c r="M139" s="8" t="s">
        <v>520</v>
      </c>
      <c r="N139" s="7"/>
    </row>
    <row r="140" spans="1:14" ht="20.100000000000001" customHeight="1">
      <c r="A140" s="2" t="s">
        <v>14</v>
      </c>
      <c r="B140" s="3" t="s">
        <v>15</v>
      </c>
      <c r="C140" s="3" t="s">
        <v>509</v>
      </c>
      <c r="D140" s="2" t="s">
        <v>521</v>
      </c>
      <c r="E140" s="2">
        <v>1407</v>
      </c>
      <c r="F140" s="2" t="s">
        <v>384</v>
      </c>
      <c r="G140" s="3" t="s">
        <v>522</v>
      </c>
      <c r="H140" s="2">
        <v>2200</v>
      </c>
      <c r="I140" s="12" t="s">
        <v>523</v>
      </c>
      <c r="J140" s="3" t="s">
        <v>524</v>
      </c>
      <c r="K140" s="2">
        <v>90</v>
      </c>
      <c r="L140" s="2">
        <v>80</v>
      </c>
      <c r="M140" s="5" t="s">
        <v>525</v>
      </c>
      <c r="N140" s="3"/>
    </row>
    <row r="141" spans="1:14" ht="20.100000000000001" customHeight="1">
      <c r="A141" s="6" t="s">
        <v>14</v>
      </c>
      <c r="B141" s="7" t="s">
        <v>15</v>
      </c>
      <c r="C141" s="7" t="s">
        <v>509</v>
      </c>
      <c r="D141" s="6" t="s">
        <v>526</v>
      </c>
      <c r="E141" s="6">
        <v>1486</v>
      </c>
      <c r="F141" s="6" t="s">
        <v>384</v>
      </c>
      <c r="G141" s="7" t="s">
        <v>527</v>
      </c>
      <c r="H141" s="6">
        <v>2100</v>
      </c>
      <c r="I141" s="12" t="s">
        <v>523</v>
      </c>
      <c r="J141" s="7" t="s">
        <v>528</v>
      </c>
      <c r="K141" s="6">
        <v>90</v>
      </c>
      <c r="L141" s="6">
        <v>80</v>
      </c>
      <c r="M141" s="8" t="s">
        <v>529</v>
      </c>
      <c r="N141" s="7"/>
    </row>
    <row r="142" spans="1:14" ht="20.100000000000001" customHeight="1">
      <c r="A142" s="2" t="s">
        <v>14</v>
      </c>
      <c r="B142" s="3" t="s">
        <v>15</v>
      </c>
      <c r="C142" s="3" t="s">
        <v>509</v>
      </c>
      <c r="D142" s="2" t="s">
        <v>530</v>
      </c>
      <c r="E142" s="2">
        <v>1512</v>
      </c>
      <c r="F142" s="2" t="s">
        <v>531</v>
      </c>
      <c r="G142" s="3" t="s">
        <v>532</v>
      </c>
      <c r="H142" s="2">
        <v>1600</v>
      </c>
      <c r="I142" s="9" t="s">
        <v>172</v>
      </c>
      <c r="J142" s="3" t="s">
        <v>297</v>
      </c>
      <c r="K142" s="2">
        <v>40</v>
      </c>
      <c r="L142" s="2">
        <v>35</v>
      </c>
      <c r="M142" s="5" t="s">
        <v>533</v>
      </c>
      <c r="N142" s="3"/>
    </row>
    <row r="143" spans="1:14" ht="20.100000000000001" customHeight="1">
      <c r="A143" s="6" t="s">
        <v>14</v>
      </c>
      <c r="B143" s="7" t="s">
        <v>15</v>
      </c>
      <c r="C143" s="7" t="s">
        <v>509</v>
      </c>
      <c r="D143" s="6" t="s">
        <v>534</v>
      </c>
      <c r="E143" s="6">
        <v>1538</v>
      </c>
      <c r="F143" s="6" t="s">
        <v>535</v>
      </c>
      <c r="G143" s="7" t="s">
        <v>536</v>
      </c>
      <c r="H143" s="6">
        <v>2100</v>
      </c>
      <c r="I143" s="12" t="s">
        <v>523</v>
      </c>
      <c r="J143" s="7" t="s">
        <v>537</v>
      </c>
      <c r="K143" s="6">
        <v>90</v>
      </c>
      <c r="L143" s="6">
        <v>80</v>
      </c>
      <c r="M143" s="8" t="s">
        <v>538</v>
      </c>
      <c r="N143" s="7"/>
    </row>
    <row r="144" spans="1:14" ht="20.100000000000001" customHeight="1">
      <c r="A144" s="2" t="s">
        <v>14</v>
      </c>
      <c r="B144" s="3" t="s">
        <v>15</v>
      </c>
      <c r="C144" s="3" t="s">
        <v>509</v>
      </c>
      <c r="D144" s="2" t="s">
        <v>539</v>
      </c>
      <c r="E144" s="2">
        <v>1552</v>
      </c>
      <c r="F144" s="2" t="s">
        <v>384</v>
      </c>
      <c r="G144" s="3" t="s">
        <v>540</v>
      </c>
      <c r="H144" s="2">
        <v>1800</v>
      </c>
      <c r="I144" s="10" t="s">
        <v>418</v>
      </c>
      <c r="J144" s="3" t="s">
        <v>541</v>
      </c>
      <c r="K144" s="2">
        <v>60</v>
      </c>
      <c r="L144" s="2">
        <v>55</v>
      </c>
      <c r="M144" s="5" t="s">
        <v>542</v>
      </c>
      <c r="N144" s="3"/>
    </row>
    <row r="145" spans="1:14" ht="20.100000000000001" customHeight="1">
      <c r="A145" s="6" t="s">
        <v>14</v>
      </c>
      <c r="B145" s="7" t="s">
        <v>15</v>
      </c>
      <c r="C145" s="7" t="s">
        <v>509</v>
      </c>
      <c r="D145" s="6" t="s">
        <v>543</v>
      </c>
      <c r="E145" s="6">
        <v>1606</v>
      </c>
      <c r="F145" s="6" t="s">
        <v>183</v>
      </c>
      <c r="G145" s="7" t="s">
        <v>544</v>
      </c>
      <c r="H145" s="6">
        <v>1400</v>
      </c>
      <c r="I145" s="9" t="s">
        <v>163</v>
      </c>
      <c r="J145" s="7" t="s">
        <v>545</v>
      </c>
      <c r="K145" s="6">
        <v>40</v>
      </c>
      <c r="L145" s="6">
        <v>35</v>
      </c>
      <c r="M145" s="8" t="s">
        <v>546</v>
      </c>
      <c r="N145" s="7"/>
    </row>
    <row r="146" spans="1:14" ht="20.100000000000001" customHeight="1">
      <c r="A146" s="2" t="s">
        <v>14</v>
      </c>
      <c r="B146" s="3" t="s">
        <v>15</v>
      </c>
      <c r="C146" s="3" t="s">
        <v>509</v>
      </c>
      <c r="D146" s="2" t="s">
        <v>547</v>
      </c>
      <c r="E146" s="2">
        <v>1623</v>
      </c>
      <c r="F146" s="2" t="s">
        <v>183</v>
      </c>
      <c r="G146" s="3" t="s">
        <v>548</v>
      </c>
      <c r="H146" s="2">
        <v>1600</v>
      </c>
      <c r="I146" s="9" t="s">
        <v>172</v>
      </c>
      <c r="J146" s="3" t="s">
        <v>549</v>
      </c>
      <c r="K146" s="2">
        <v>40</v>
      </c>
      <c r="L146" s="2">
        <v>35</v>
      </c>
      <c r="M146" s="5" t="s">
        <v>550</v>
      </c>
      <c r="N146" s="3"/>
    </row>
    <row r="147" spans="1:14" ht="20.100000000000001" customHeight="1">
      <c r="A147" s="6" t="s">
        <v>14</v>
      </c>
      <c r="B147" s="7" t="s">
        <v>15</v>
      </c>
      <c r="C147" s="7" t="s">
        <v>509</v>
      </c>
      <c r="D147" s="6" t="s">
        <v>551</v>
      </c>
      <c r="E147" s="6">
        <v>1701</v>
      </c>
      <c r="F147" s="6" t="s">
        <v>183</v>
      </c>
      <c r="G147" s="7" t="s">
        <v>552</v>
      </c>
      <c r="H147" s="6">
        <v>1400</v>
      </c>
      <c r="I147" s="9" t="s">
        <v>163</v>
      </c>
      <c r="J147" s="7" t="s">
        <v>553</v>
      </c>
      <c r="K147" s="6">
        <v>40</v>
      </c>
      <c r="L147" s="6">
        <v>35</v>
      </c>
      <c r="M147" s="8" t="s">
        <v>554</v>
      </c>
      <c r="N147" s="7"/>
    </row>
    <row r="148" spans="1:14" ht="20.100000000000001" customHeight="1">
      <c r="A148" s="2" t="s">
        <v>14</v>
      </c>
      <c r="B148" s="3" t="s">
        <v>555</v>
      </c>
      <c r="C148" s="3" t="s">
        <v>556</v>
      </c>
      <c r="D148" s="2" t="s">
        <v>557</v>
      </c>
      <c r="E148" s="2">
        <v>313</v>
      </c>
      <c r="F148" s="2" t="s">
        <v>157</v>
      </c>
      <c r="G148" s="3" t="s">
        <v>558</v>
      </c>
      <c r="H148" s="2">
        <v>1100</v>
      </c>
      <c r="I148" s="4" t="s">
        <v>43</v>
      </c>
      <c r="J148" s="3" t="s">
        <v>559</v>
      </c>
      <c r="K148" s="2">
        <v>25</v>
      </c>
      <c r="L148" s="2">
        <v>20</v>
      </c>
      <c r="M148" s="5" t="s">
        <v>560</v>
      </c>
      <c r="N148" s="3"/>
    </row>
    <row r="149" spans="1:14" ht="20.100000000000001" customHeight="1">
      <c r="A149" s="6" t="s">
        <v>14</v>
      </c>
      <c r="B149" s="7" t="s">
        <v>555</v>
      </c>
      <c r="C149" s="7" t="s">
        <v>556</v>
      </c>
      <c r="D149" s="6" t="s">
        <v>561</v>
      </c>
      <c r="E149" s="6">
        <v>363</v>
      </c>
      <c r="F149" s="6" t="s">
        <v>157</v>
      </c>
      <c r="G149" s="7" t="s">
        <v>562</v>
      </c>
      <c r="H149" s="6">
        <v>1100</v>
      </c>
      <c r="I149" s="4" t="s">
        <v>43</v>
      </c>
      <c r="J149" s="7" t="s">
        <v>563</v>
      </c>
      <c r="K149" s="6">
        <v>25</v>
      </c>
      <c r="L149" s="6">
        <v>20</v>
      </c>
      <c r="M149" s="8" t="s">
        <v>564</v>
      </c>
      <c r="N149" s="7"/>
    </row>
    <row r="150" spans="1:14" ht="20.100000000000001" customHeight="1">
      <c r="A150" s="2" t="s">
        <v>14</v>
      </c>
      <c r="B150" s="3" t="s">
        <v>555</v>
      </c>
      <c r="C150" s="3" t="s">
        <v>556</v>
      </c>
      <c r="D150" s="2" t="s">
        <v>565</v>
      </c>
      <c r="E150" s="2">
        <v>433</v>
      </c>
      <c r="F150" s="2" t="s">
        <v>157</v>
      </c>
      <c r="G150" s="3" t="s">
        <v>566</v>
      </c>
      <c r="H150" s="2">
        <v>1200</v>
      </c>
      <c r="I150" s="4" t="s">
        <v>43</v>
      </c>
      <c r="J150" s="3" t="s">
        <v>567</v>
      </c>
      <c r="K150" s="2">
        <v>25</v>
      </c>
      <c r="L150" s="2">
        <v>20</v>
      </c>
      <c r="M150" s="5" t="s">
        <v>568</v>
      </c>
      <c r="N150" s="3"/>
    </row>
    <row r="151" spans="1:14" ht="20.100000000000001" customHeight="1">
      <c r="A151" s="6" t="s">
        <v>14</v>
      </c>
      <c r="B151" s="7" t="s">
        <v>555</v>
      </c>
      <c r="C151" s="7" t="s">
        <v>556</v>
      </c>
      <c r="D151" s="6" t="s">
        <v>569</v>
      </c>
      <c r="E151" s="6">
        <v>466</v>
      </c>
      <c r="F151" s="6" t="s">
        <v>183</v>
      </c>
      <c r="G151" s="7" t="s">
        <v>570</v>
      </c>
      <c r="H151" s="6">
        <v>1700</v>
      </c>
      <c r="I151" s="10" t="s">
        <v>418</v>
      </c>
      <c r="J151" s="7" t="s">
        <v>571</v>
      </c>
      <c r="K151" s="6">
        <v>60</v>
      </c>
      <c r="L151" s="6">
        <v>55</v>
      </c>
      <c r="M151" s="8" t="s">
        <v>572</v>
      </c>
      <c r="N151" s="7"/>
    </row>
    <row r="152" spans="1:14" ht="20.100000000000001" customHeight="1">
      <c r="A152" s="2" t="s">
        <v>14</v>
      </c>
      <c r="B152" s="3" t="s">
        <v>555</v>
      </c>
      <c r="C152" s="3" t="s">
        <v>556</v>
      </c>
      <c r="D152" s="2" t="s">
        <v>573</v>
      </c>
      <c r="E152" s="2">
        <v>816</v>
      </c>
      <c r="F152" s="2" t="s">
        <v>157</v>
      </c>
      <c r="G152" s="3" t="s">
        <v>574</v>
      </c>
      <c r="H152" s="2">
        <v>1400</v>
      </c>
      <c r="I152" s="9" t="s">
        <v>163</v>
      </c>
      <c r="J152" s="3" t="s">
        <v>387</v>
      </c>
      <c r="K152" s="2">
        <v>40</v>
      </c>
      <c r="L152" s="2">
        <v>35</v>
      </c>
      <c r="M152" s="5" t="s">
        <v>575</v>
      </c>
      <c r="N152" s="3"/>
    </row>
    <row r="153" spans="1:14" ht="20.100000000000001" customHeight="1">
      <c r="A153" s="6" t="s">
        <v>14</v>
      </c>
      <c r="B153" s="7" t="s">
        <v>555</v>
      </c>
      <c r="C153" s="7" t="s">
        <v>556</v>
      </c>
      <c r="D153" s="6" t="s">
        <v>576</v>
      </c>
      <c r="E153" s="6">
        <v>1191</v>
      </c>
      <c r="F153" s="6" t="s">
        <v>183</v>
      </c>
      <c r="G153" s="7" t="s">
        <v>185</v>
      </c>
      <c r="H153" s="6" t="s">
        <v>185</v>
      </c>
      <c r="I153" s="11" t="s">
        <v>185</v>
      </c>
      <c r="J153" s="7" t="s">
        <v>185</v>
      </c>
      <c r="K153" s="6">
        <v>0</v>
      </c>
      <c r="L153" s="6">
        <v>0</v>
      </c>
      <c r="M153" s="8" t="s">
        <v>577</v>
      </c>
      <c r="N153" s="7"/>
    </row>
    <row r="154" spans="1:14" ht="20.100000000000001" customHeight="1">
      <c r="A154" s="2" t="s">
        <v>14</v>
      </c>
      <c r="B154" s="3" t="s">
        <v>555</v>
      </c>
      <c r="C154" s="3" t="s">
        <v>556</v>
      </c>
      <c r="D154" s="2" t="s">
        <v>578</v>
      </c>
      <c r="E154" s="2">
        <v>1272</v>
      </c>
      <c r="F154" s="2" t="s">
        <v>183</v>
      </c>
      <c r="G154" s="3" t="s">
        <v>579</v>
      </c>
      <c r="H154" s="2">
        <v>1200</v>
      </c>
      <c r="I154" s="4" t="s">
        <v>43</v>
      </c>
      <c r="J154" s="3" t="s">
        <v>580</v>
      </c>
      <c r="K154" s="2">
        <v>25</v>
      </c>
      <c r="L154" s="2">
        <v>20</v>
      </c>
      <c r="M154" s="5" t="s">
        <v>581</v>
      </c>
      <c r="N154" s="3"/>
    </row>
    <row r="155" spans="1:14" ht="20.100000000000001" customHeight="1">
      <c r="A155" s="6" t="s">
        <v>14</v>
      </c>
      <c r="B155" s="7" t="s">
        <v>555</v>
      </c>
      <c r="C155" s="7" t="s">
        <v>556</v>
      </c>
      <c r="D155" s="6" t="s">
        <v>582</v>
      </c>
      <c r="E155" s="6">
        <v>1363</v>
      </c>
      <c r="F155" s="6" t="s">
        <v>18</v>
      </c>
      <c r="G155" s="7" t="s">
        <v>583</v>
      </c>
      <c r="H155" s="6">
        <v>1200</v>
      </c>
      <c r="I155" s="4" t="s">
        <v>43</v>
      </c>
      <c r="J155" s="7" t="s">
        <v>584</v>
      </c>
      <c r="K155" s="6">
        <v>25</v>
      </c>
      <c r="L155" s="6">
        <v>20</v>
      </c>
      <c r="M155" s="8" t="s">
        <v>585</v>
      </c>
      <c r="N155" s="7"/>
    </row>
    <row r="156" spans="1:14" ht="20.100000000000001" customHeight="1">
      <c r="A156" s="2" t="s">
        <v>14</v>
      </c>
      <c r="B156" s="3" t="s">
        <v>555</v>
      </c>
      <c r="C156" s="3" t="s">
        <v>556</v>
      </c>
      <c r="D156" s="2" t="s">
        <v>586</v>
      </c>
      <c r="E156" s="2">
        <v>1392</v>
      </c>
      <c r="F156" s="2" t="s">
        <v>384</v>
      </c>
      <c r="G156" s="3" t="s">
        <v>587</v>
      </c>
      <c r="H156" s="2">
        <v>1700</v>
      </c>
      <c r="I156" s="10" t="s">
        <v>418</v>
      </c>
      <c r="J156" s="3" t="s">
        <v>101</v>
      </c>
      <c r="K156" s="2">
        <v>60</v>
      </c>
      <c r="L156" s="2">
        <v>55</v>
      </c>
      <c r="M156" s="5" t="s">
        <v>588</v>
      </c>
      <c r="N156" s="3"/>
    </row>
    <row r="157" spans="1:14" ht="20.100000000000001" customHeight="1">
      <c r="A157" s="6" t="s">
        <v>14</v>
      </c>
      <c r="B157" s="7" t="s">
        <v>555</v>
      </c>
      <c r="C157" s="7" t="s">
        <v>556</v>
      </c>
      <c r="D157" s="6" t="s">
        <v>589</v>
      </c>
      <c r="E157" s="6">
        <v>1430</v>
      </c>
      <c r="F157" s="6" t="s">
        <v>384</v>
      </c>
      <c r="G157" s="7" t="s">
        <v>590</v>
      </c>
      <c r="H157" s="6">
        <v>1700</v>
      </c>
      <c r="I157" s="10" t="s">
        <v>418</v>
      </c>
      <c r="J157" s="7" t="s">
        <v>591</v>
      </c>
      <c r="K157" s="6">
        <v>60</v>
      </c>
      <c r="L157" s="6">
        <v>55</v>
      </c>
      <c r="M157" s="8" t="s">
        <v>592</v>
      </c>
      <c r="N157" s="7"/>
    </row>
    <row r="158" spans="1:14" ht="20.100000000000001" customHeight="1">
      <c r="A158" s="2" t="s">
        <v>14</v>
      </c>
      <c r="B158" s="3" t="s">
        <v>555</v>
      </c>
      <c r="C158" s="3" t="s">
        <v>593</v>
      </c>
      <c r="D158" s="2" t="s">
        <v>594</v>
      </c>
      <c r="E158" s="2">
        <v>1114</v>
      </c>
      <c r="F158" s="2" t="s">
        <v>183</v>
      </c>
      <c r="G158" s="3" t="s">
        <v>595</v>
      </c>
      <c r="H158" s="2">
        <v>1700</v>
      </c>
      <c r="I158" s="10" t="s">
        <v>418</v>
      </c>
      <c r="J158" s="3" t="s">
        <v>596</v>
      </c>
      <c r="K158" s="2">
        <v>60</v>
      </c>
      <c r="L158" s="2">
        <v>55</v>
      </c>
      <c r="M158" s="5" t="s">
        <v>597</v>
      </c>
      <c r="N158" s="3"/>
    </row>
    <row r="159" spans="1:14" ht="20.100000000000001" customHeight="1">
      <c r="A159" s="6" t="s">
        <v>14</v>
      </c>
      <c r="B159" s="7" t="s">
        <v>555</v>
      </c>
      <c r="C159" s="7" t="s">
        <v>593</v>
      </c>
      <c r="D159" s="6" t="s">
        <v>598</v>
      </c>
      <c r="E159" s="6">
        <v>1141</v>
      </c>
      <c r="F159" s="6" t="s">
        <v>384</v>
      </c>
      <c r="G159" s="7" t="s">
        <v>599</v>
      </c>
      <c r="H159" s="6">
        <v>1500</v>
      </c>
      <c r="I159" s="9" t="s">
        <v>172</v>
      </c>
      <c r="J159" s="7" t="s">
        <v>39</v>
      </c>
      <c r="K159" s="6">
        <v>40</v>
      </c>
      <c r="L159" s="6">
        <v>35</v>
      </c>
      <c r="M159" s="8" t="s">
        <v>600</v>
      </c>
      <c r="N159" s="7"/>
    </row>
    <row r="160" spans="1:14" ht="20.100000000000001" customHeight="1">
      <c r="A160" s="2" t="s">
        <v>14</v>
      </c>
      <c r="B160" s="3" t="s">
        <v>555</v>
      </c>
      <c r="C160" s="3" t="s">
        <v>593</v>
      </c>
      <c r="D160" s="2" t="s">
        <v>601</v>
      </c>
      <c r="E160" s="2">
        <v>1238</v>
      </c>
      <c r="F160" s="2" t="s">
        <v>531</v>
      </c>
      <c r="G160" s="3" t="s">
        <v>602</v>
      </c>
      <c r="H160" s="2">
        <v>2200</v>
      </c>
      <c r="I160" s="12" t="s">
        <v>523</v>
      </c>
      <c r="J160" s="3" t="s">
        <v>603</v>
      </c>
      <c r="K160" s="2">
        <v>90</v>
      </c>
      <c r="L160" s="2">
        <v>80</v>
      </c>
      <c r="M160" s="5" t="s">
        <v>604</v>
      </c>
      <c r="N160" s="3"/>
    </row>
    <row r="161" spans="1:14" ht="20.100000000000001" customHeight="1">
      <c r="A161" s="6" t="s">
        <v>14</v>
      </c>
      <c r="B161" s="7" t="s">
        <v>555</v>
      </c>
      <c r="C161" s="7" t="s">
        <v>593</v>
      </c>
      <c r="D161" s="6" t="s">
        <v>605</v>
      </c>
      <c r="E161" s="6">
        <v>1285</v>
      </c>
      <c r="F161" s="6" t="s">
        <v>157</v>
      </c>
      <c r="G161" s="7" t="s">
        <v>606</v>
      </c>
      <c r="H161" s="6">
        <v>1300</v>
      </c>
      <c r="I161" s="9" t="s">
        <v>163</v>
      </c>
      <c r="J161" s="7" t="s">
        <v>607</v>
      </c>
      <c r="K161" s="6">
        <v>25</v>
      </c>
      <c r="L161" s="6">
        <v>20</v>
      </c>
      <c r="M161" s="8" t="s">
        <v>608</v>
      </c>
      <c r="N161" s="7"/>
    </row>
    <row r="162" spans="1:14" ht="20.100000000000001" customHeight="1">
      <c r="A162" s="2" t="s">
        <v>14</v>
      </c>
      <c r="B162" s="3" t="s">
        <v>555</v>
      </c>
      <c r="C162" s="3" t="s">
        <v>593</v>
      </c>
      <c r="D162" s="2" t="s">
        <v>609</v>
      </c>
      <c r="E162" s="2">
        <v>1303</v>
      </c>
      <c r="F162" s="2" t="s">
        <v>183</v>
      </c>
      <c r="G162" s="3" t="s">
        <v>610</v>
      </c>
      <c r="H162" s="2">
        <v>1600</v>
      </c>
      <c r="I162" s="9" t="s">
        <v>172</v>
      </c>
      <c r="J162" s="3" t="s">
        <v>611</v>
      </c>
      <c r="K162" s="2">
        <v>40</v>
      </c>
      <c r="L162" s="2">
        <v>35</v>
      </c>
      <c r="M162" s="5" t="s">
        <v>612</v>
      </c>
      <c r="N162" s="3"/>
    </row>
    <row r="163" spans="1:14" ht="20.100000000000001" customHeight="1">
      <c r="A163" s="6" t="s">
        <v>14</v>
      </c>
      <c r="B163" s="7" t="s">
        <v>555</v>
      </c>
      <c r="C163" s="7" t="s">
        <v>593</v>
      </c>
      <c r="D163" s="6" t="s">
        <v>613</v>
      </c>
      <c r="E163" s="6">
        <v>1437</v>
      </c>
      <c r="F163" s="6" t="s">
        <v>183</v>
      </c>
      <c r="G163" s="7" t="s">
        <v>614</v>
      </c>
      <c r="H163" s="6">
        <v>1800</v>
      </c>
      <c r="I163" s="10" t="s">
        <v>418</v>
      </c>
      <c r="J163" s="7" t="s">
        <v>615</v>
      </c>
      <c r="K163" s="6">
        <v>60</v>
      </c>
      <c r="L163" s="6">
        <v>55</v>
      </c>
      <c r="M163" s="8" t="s">
        <v>616</v>
      </c>
      <c r="N163" s="7"/>
    </row>
    <row r="164" spans="1:14" ht="20.100000000000001" customHeight="1">
      <c r="A164" s="2" t="s">
        <v>14</v>
      </c>
      <c r="B164" s="3" t="s">
        <v>555</v>
      </c>
      <c r="C164" s="3" t="s">
        <v>593</v>
      </c>
      <c r="D164" s="2" t="s">
        <v>617</v>
      </c>
      <c r="E164" s="2">
        <v>1498</v>
      </c>
      <c r="F164" s="2" t="s">
        <v>183</v>
      </c>
      <c r="G164" s="3" t="s">
        <v>618</v>
      </c>
      <c r="H164" s="2">
        <v>1600</v>
      </c>
      <c r="I164" s="9" t="s">
        <v>172</v>
      </c>
      <c r="J164" s="3" t="s">
        <v>619</v>
      </c>
      <c r="K164" s="2">
        <v>40</v>
      </c>
      <c r="L164" s="2">
        <v>35</v>
      </c>
      <c r="M164" s="5" t="s">
        <v>620</v>
      </c>
      <c r="N164" s="3"/>
    </row>
    <row r="165" spans="1:14" ht="20.100000000000001" customHeight="1">
      <c r="A165" s="6" t="s">
        <v>14</v>
      </c>
      <c r="B165" s="7" t="s">
        <v>555</v>
      </c>
      <c r="C165" s="7" t="s">
        <v>593</v>
      </c>
      <c r="D165" s="6" t="s">
        <v>621</v>
      </c>
      <c r="E165" s="6">
        <v>1513</v>
      </c>
      <c r="F165" s="6" t="s">
        <v>183</v>
      </c>
      <c r="G165" s="7" t="s">
        <v>622</v>
      </c>
      <c r="H165" s="6">
        <v>1600</v>
      </c>
      <c r="I165" s="9" t="s">
        <v>172</v>
      </c>
      <c r="J165" s="7" t="s">
        <v>623</v>
      </c>
      <c r="K165" s="6">
        <v>40</v>
      </c>
      <c r="L165" s="6">
        <v>35</v>
      </c>
      <c r="M165" s="8" t="s">
        <v>624</v>
      </c>
      <c r="N165" s="7"/>
    </row>
    <row r="166" spans="1:14" ht="20.100000000000001" customHeight="1">
      <c r="A166" s="2" t="s">
        <v>14</v>
      </c>
      <c r="B166" s="3" t="s">
        <v>555</v>
      </c>
      <c r="C166" s="3" t="s">
        <v>625</v>
      </c>
      <c r="D166" s="2" t="s">
        <v>626</v>
      </c>
      <c r="E166" s="2">
        <v>295</v>
      </c>
      <c r="F166" s="2" t="s">
        <v>18</v>
      </c>
      <c r="G166" s="3" t="s">
        <v>627</v>
      </c>
      <c r="H166" s="2">
        <v>1400</v>
      </c>
      <c r="I166" s="9" t="s">
        <v>163</v>
      </c>
      <c r="J166" s="3" t="s">
        <v>628</v>
      </c>
      <c r="K166" s="2">
        <v>40</v>
      </c>
      <c r="L166" s="2">
        <v>35</v>
      </c>
      <c r="M166" s="5" t="s">
        <v>629</v>
      </c>
      <c r="N166" s="3"/>
    </row>
    <row r="167" spans="1:14" ht="20.100000000000001" customHeight="1">
      <c r="A167" s="6" t="s">
        <v>14</v>
      </c>
      <c r="B167" s="7" t="s">
        <v>555</v>
      </c>
      <c r="C167" s="7" t="s">
        <v>625</v>
      </c>
      <c r="D167" s="6" t="s">
        <v>630</v>
      </c>
      <c r="E167" s="6">
        <v>276</v>
      </c>
      <c r="F167" s="6" t="s">
        <v>183</v>
      </c>
      <c r="G167" s="7" t="s">
        <v>631</v>
      </c>
      <c r="H167" s="6">
        <v>1500</v>
      </c>
      <c r="I167" s="9" t="s">
        <v>172</v>
      </c>
      <c r="J167" s="7" t="s">
        <v>632</v>
      </c>
      <c r="K167" s="6">
        <v>40</v>
      </c>
      <c r="L167" s="6">
        <v>35</v>
      </c>
      <c r="M167" s="8" t="s">
        <v>633</v>
      </c>
      <c r="N167" s="7"/>
    </row>
    <row r="168" spans="1:14" ht="20.100000000000001" customHeight="1">
      <c r="A168" s="2" t="s">
        <v>14</v>
      </c>
      <c r="B168" s="3" t="s">
        <v>555</v>
      </c>
      <c r="C168" s="3" t="s">
        <v>625</v>
      </c>
      <c r="D168" s="2" t="s">
        <v>634</v>
      </c>
      <c r="E168" s="2">
        <v>817</v>
      </c>
      <c r="F168" s="2" t="s">
        <v>635</v>
      </c>
      <c r="G168" s="3" t="s">
        <v>636</v>
      </c>
      <c r="H168" s="2">
        <v>2300</v>
      </c>
      <c r="I168" s="12" t="s">
        <v>523</v>
      </c>
      <c r="J168" s="3" t="s">
        <v>637</v>
      </c>
      <c r="K168" s="2">
        <v>120</v>
      </c>
      <c r="L168" s="2">
        <v>110</v>
      </c>
      <c r="M168" s="5" t="s">
        <v>638</v>
      </c>
      <c r="N168" s="3"/>
    </row>
    <row r="169" spans="1:14" ht="20.100000000000001" customHeight="1">
      <c r="A169" s="6" t="s">
        <v>14</v>
      </c>
      <c r="B169" s="7" t="s">
        <v>555</v>
      </c>
      <c r="C169" s="7" t="s">
        <v>625</v>
      </c>
      <c r="D169" s="6" t="s">
        <v>639</v>
      </c>
      <c r="E169" s="6">
        <v>1114</v>
      </c>
      <c r="F169" s="6" t="s">
        <v>384</v>
      </c>
      <c r="G169" s="7" t="s">
        <v>640</v>
      </c>
      <c r="H169" s="6">
        <v>1900</v>
      </c>
      <c r="I169" s="10" t="s">
        <v>386</v>
      </c>
      <c r="J169" s="7" t="s">
        <v>641</v>
      </c>
      <c r="K169" s="6">
        <v>60</v>
      </c>
      <c r="L169" s="6">
        <v>55</v>
      </c>
      <c r="M169" s="8" t="s">
        <v>642</v>
      </c>
      <c r="N169" s="7"/>
    </row>
    <row r="170" spans="1:14" ht="20.100000000000001" customHeight="1">
      <c r="A170" s="2" t="s">
        <v>14</v>
      </c>
      <c r="B170" s="3" t="s">
        <v>555</v>
      </c>
      <c r="C170" s="3" t="s">
        <v>625</v>
      </c>
      <c r="D170" s="2" t="s">
        <v>643</v>
      </c>
      <c r="E170" s="2">
        <v>1136</v>
      </c>
      <c r="F170" s="2" t="s">
        <v>183</v>
      </c>
      <c r="G170" s="3" t="s">
        <v>644</v>
      </c>
      <c r="H170" s="2">
        <v>1500</v>
      </c>
      <c r="I170" s="9" t="s">
        <v>172</v>
      </c>
      <c r="J170" s="3" t="s">
        <v>645</v>
      </c>
      <c r="K170" s="2">
        <v>40</v>
      </c>
      <c r="L170" s="2">
        <v>35</v>
      </c>
      <c r="M170" s="5" t="s">
        <v>646</v>
      </c>
      <c r="N170" s="3"/>
    </row>
    <row r="171" spans="1:14" ht="20.100000000000001" customHeight="1">
      <c r="A171" s="6" t="s">
        <v>14</v>
      </c>
      <c r="B171" s="7" t="s">
        <v>555</v>
      </c>
      <c r="C171" s="7" t="s">
        <v>625</v>
      </c>
      <c r="D171" s="6" t="s">
        <v>647</v>
      </c>
      <c r="E171" s="6">
        <v>1187</v>
      </c>
      <c r="F171" s="6" t="s">
        <v>183</v>
      </c>
      <c r="G171" s="7" t="s">
        <v>648</v>
      </c>
      <c r="H171" s="6">
        <v>1800</v>
      </c>
      <c r="I171" s="10" t="s">
        <v>418</v>
      </c>
      <c r="J171" s="7" t="s">
        <v>649</v>
      </c>
      <c r="K171" s="6">
        <v>60</v>
      </c>
      <c r="L171" s="6">
        <v>55</v>
      </c>
      <c r="M171" s="8" t="s">
        <v>650</v>
      </c>
      <c r="N171" s="7"/>
    </row>
    <row r="172" spans="1:14" ht="20.100000000000001" customHeight="1">
      <c r="A172" s="2" t="s">
        <v>14</v>
      </c>
      <c r="B172" s="3" t="s">
        <v>555</v>
      </c>
      <c r="C172" s="3" t="s">
        <v>625</v>
      </c>
      <c r="D172" s="2" t="s">
        <v>651</v>
      </c>
      <c r="E172" s="2">
        <v>1209</v>
      </c>
      <c r="F172" s="2" t="s">
        <v>652</v>
      </c>
      <c r="G172" s="3" t="s">
        <v>653</v>
      </c>
      <c r="H172" s="2">
        <v>2000</v>
      </c>
      <c r="I172" s="10" t="s">
        <v>386</v>
      </c>
      <c r="J172" s="3" t="s">
        <v>654</v>
      </c>
      <c r="K172" s="2">
        <v>90</v>
      </c>
      <c r="L172" s="2">
        <v>80</v>
      </c>
      <c r="M172" s="5" t="s">
        <v>655</v>
      </c>
      <c r="N172" s="3"/>
    </row>
    <row r="173" spans="1:14" ht="20.100000000000001" customHeight="1">
      <c r="A173" s="6" t="s">
        <v>14</v>
      </c>
      <c r="B173" s="7" t="s">
        <v>555</v>
      </c>
      <c r="C173" s="7" t="s">
        <v>625</v>
      </c>
      <c r="D173" s="6" t="s">
        <v>656</v>
      </c>
      <c r="E173" s="6">
        <v>1209</v>
      </c>
      <c r="F173" s="6" t="s">
        <v>657</v>
      </c>
      <c r="G173" s="7" t="s">
        <v>658</v>
      </c>
      <c r="H173" s="6">
        <v>2500</v>
      </c>
      <c r="I173" s="12" t="s">
        <v>659</v>
      </c>
      <c r="J173" s="7" t="s">
        <v>660</v>
      </c>
      <c r="K173" s="6">
        <v>120</v>
      </c>
      <c r="L173" s="6">
        <v>110</v>
      </c>
      <c r="M173" s="8" t="s">
        <v>661</v>
      </c>
      <c r="N173" s="7"/>
    </row>
    <row r="174" spans="1:14" ht="20.100000000000001" customHeight="1">
      <c r="A174" s="2" t="s">
        <v>14</v>
      </c>
      <c r="B174" s="3" t="s">
        <v>555</v>
      </c>
      <c r="C174" s="3" t="s">
        <v>625</v>
      </c>
      <c r="D174" s="2" t="s">
        <v>662</v>
      </c>
      <c r="E174" s="2">
        <v>1358</v>
      </c>
      <c r="F174" s="2" t="s">
        <v>384</v>
      </c>
      <c r="G174" s="3" t="s">
        <v>663</v>
      </c>
      <c r="H174" s="2">
        <v>1900</v>
      </c>
      <c r="I174" s="10" t="s">
        <v>386</v>
      </c>
      <c r="J174" s="3" t="s">
        <v>664</v>
      </c>
      <c r="K174" s="2">
        <v>60</v>
      </c>
      <c r="L174" s="2">
        <v>55</v>
      </c>
      <c r="M174" s="5" t="s">
        <v>665</v>
      </c>
      <c r="N174" s="3"/>
    </row>
    <row r="175" spans="1:14" ht="20.100000000000001" customHeight="1">
      <c r="A175" s="6" t="s">
        <v>14</v>
      </c>
      <c r="B175" s="7" t="s">
        <v>555</v>
      </c>
      <c r="C175" s="7" t="s">
        <v>625</v>
      </c>
      <c r="D175" s="6" t="s">
        <v>666</v>
      </c>
      <c r="E175" s="6">
        <v>1490</v>
      </c>
      <c r="F175" s="6" t="s">
        <v>635</v>
      </c>
      <c r="G175" s="7" t="s">
        <v>667</v>
      </c>
      <c r="H175" s="6">
        <v>1500</v>
      </c>
      <c r="I175" s="9" t="s">
        <v>172</v>
      </c>
      <c r="J175" s="7" t="s">
        <v>668</v>
      </c>
      <c r="K175" s="6">
        <v>40</v>
      </c>
      <c r="L175" s="6">
        <v>35</v>
      </c>
      <c r="M175" s="8" t="s">
        <v>669</v>
      </c>
      <c r="N175" s="7"/>
    </row>
    <row r="176" spans="1:14" ht="20.100000000000001" customHeight="1">
      <c r="A176" s="2" t="s">
        <v>14</v>
      </c>
      <c r="B176" s="3" t="s">
        <v>555</v>
      </c>
      <c r="C176" s="3" t="s">
        <v>625</v>
      </c>
      <c r="D176" s="2" t="s">
        <v>670</v>
      </c>
      <c r="E176" s="2">
        <v>1530</v>
      </c>
      <c r="F176" s="2" t="s">
        <v>531</v>
      </c>
      <c r="G176" s="3" t="s">
        <v>671</v>
      </c>
      <c r="H176" s="2">
        <v>2100</v>
      </c>
      <c r="I176" s="12" t="s">
        <v>523</v>
      </c>
      <c r="J176" s="3" t="s">
        <v>672</v>
      </c>
      <c r="K176" s="2">
        <v>90</v>
      </c>
      <c r="L176" s="2">
        <v>80</v>
      </c>
      <c r="M176" s="5" t="s">
        <v>673</v>
      </c>
      <c r="N176" s="3"/>
    </row>
    <row r="177" spans="1:14" ht="20.100000000000001" customHeight="1">
      <c r="A177" s="6" t="s">
        <v>14</v>
      </c>
      <c r="B177" s="7" t="s">
        <v>555</v>
      </c>
      <c r="C177" s="7" t="s">
        <v>674</v>
      </c>
      <c r="D177" s="6" t="s">
        <v>675</v>
      </c>
      <c r="E177" s="6">
        <v>617</v>
      </c>
      <c r="F177" s="6" t="s">
        <v>531</v>
      </c>
      <c r="G177" s="7" t="s">
        <v>676</v>
      </c>
      <c r="H177" s="6">
        <v>2200</v>
      </c>
      <c r="I177" s="12" t="s">
        <v>523</v>
      </c>
      <c r="J177" s="7" t="s">
        <v>677</v>
      </c>
      <c r="K177" s="6">
        <v>90</v>
      </c>
      <c r="L177" s="6">
        <v>80</v>
      </c>
      <c r="M177" s="8" t="s">
        <v>678</v>
      </c>
      <c r="N177" s="7"/>
    </row>
    <row r="178" spans="1:14" ht="20.100000000000001" customHeight="1">
      <c r="A178" s="2" t="s">
        <v>14</v>
      </c>
      <c r="B178" s="3" t="s">
        <v>555</v>
      </c>
      <c r="C178" s="3" t="s">
        <v>674</v>
      </c>
      <c r="D178" s="2" t="s">
        <v>679</v>
      </c>
      <c r="E178" s="2">
        <v>703</v>
      </c>
      <c r="F178" s="2" t="s">
        <v>384</v>
      </c>
      <c r="G178" s="3" t="s">
        <v>680</v>
      </c>
      <c r="H178" s="2">
        <v>2100</v>
      </c>
      <c r="I178" s="12" t="s">
        <v>523</v>
      </c>
      <c r="J178" s="3" t="s">
        <v>677</v>
      </c>
      <c r="K178" s="2">
        <v>90</v>
      </c>
      <c r="L178" s="2">
        <v>80</v>
      </c>
      <c r="M178" s="5" t="s">
        <v>681</v>
      </c>
      <c r="N178" s="3"/>
    </row>
    <row r="179" spans="1:14" ht="20.100000000000001" customHeight="1">
      <c r="A179" s="6" t="s">
        <v>14</v>
      </c>
      <c r="B179" s="7" t="s">
        <v>555</v>
      </c>
      <c r="C179" s="7" t="s">
        <v>674</v>
      </c>
      <c r="D179" s="6" t="s">
        <v>682</v>
      </c>
      <c r="E179" s="6">
        <v>862</v>
      </c>
      <c r="F179" s="6" t="s">
        <v>183</v>
      </c>
      <c r="G179" s="7" t="s">
        <v>683</v>
      </c>
      <c r="H179" s="6">
        <v>1900</v>
      </c>
      <c r="I179" s="10" t="s">
        <v>386</v>
      </c>
      <c r="J179" s="7" t="s">
        <v>446</v>
      </c>
      <c r="K179" s="6">
        <v>60</v>
      </c>
      <c r="L179" s="6">
        <v>55</v>
      </c>
      <c r="M179" s="8" t="s">
        <v>684</v>
      </c>
      <c r="N179" s="7"/>
    </row>
    <row r="180" spans="1:14" ht="20.100000000000001" customHeight="1">
      <c r="A180" s="2" t="s">
        <v>14</v>
      </c>
      <c r="B180" s="3" t="s">
        <v>555</v>
      </c>
      <c r="C180" s="3" t="s">
        <v>674</v>
      </c>
      <c r="D180" s="2" t="s">
        <v>685</v>
      </c>
      <c r="E180" s="2">
        <v>983</v>
      </c>
      <c r="F180" s="2" t="s">
        <v>157</v>
      </c>
      <c r="G180" s="3" t="s">
        <v>686</v>
      </c>
      <c r="H180" s="2">
        <v>1800</v>
      </c>
      <c r="I180" s="10" t="s">
        <v>418</v>
      </c>
      <c r="J180" s="3" t="s">
        <v>641</v>
      </c>
      <c r="K180" s="2">
        <v>60</v>
      </c>
      <c r="L180" s="2">
        <v>55</v>
      </c>
      <c r="M180" s="5" t="s">
        <v>687</v>
      </c>
      <c r="N180" s="3"/>
    </row>
    <row r="181" spans="1:14" ht="20.100000000000001" customHeight="1">
      <c r="A181" s="6" t="s">
        <v>14</v>
      </c>
      <c r="B181" s="7" t="s">
        <v>555</v>
      </c>
      <c r="C181" s="7" t="s">
        <v>674</v>
      </c>
      <c r="D181" s="6" t="s">
        <v>688</v>
      </c>
      <c r="E181" s="6">
        <v>1110</v>
      </c>
      <c r="F181" s="6" t="s">
        <v>531</v>
      </c>
      <c r="G181" s="7" t="s">
        <v>689</v>
      </c>
      <c r="H181" s="6">
        <v>2200</v>
      </c>
      <c r="I181" s="12" t="s">
        <v>523</v>
      </c>
      <c r="J181" s="7" t="s">
        <v>690</v>
      </c>
      <c r="K181" s="6">
        <v>90</v>
      </c>
      <c r="L181" s="6">
        <v>80</v>
      </c>
      <c r="M181" s="8" t="s">
        <v>691</v>
      </c>
      <c r="N181" s="7"/>
    </row>
    <row r="182" spans="1:14" ht="20.100000000000001" customHeight="1">
      <c r="A182" s="2" t="s">
        <v>14</v>
      </c>
      <c r="B182" s="3" t="s">
        <v>555</v>
      </c>
      <c r="C182" s="3" t="s">
        <v>674</v>
      </c>
      <c r="D182" s="2" t="s">
        <v>692</v>
      </c>
      <c r="E182" s="2">
        <v>1450</v>
      </c>
      <c r="F182" s="2" t="s">
        <v>384</v>
      </c>
      <c r="G182" s="3" t="s">
        <v>693</v>
      </c>
      <c r="H182" s="2">
        <v>1800</v>
      </c>
      <c r="I182" s="10" t="s">
        <v>418</v>
      </c>
      <c r="J182" s="3" t="s">
        <v>694</v>
      </c>
      <c r="K182" s="2">
        <v>60</v>
      </c>
      <c r="L182" s="2">
        <v>55</v>
      </c>
      <c r="M182" s="5" t="s">
        <v>695</v>
      </c>
      <c r="N182" s="3"/>
    </row>
    <row r="183" spans="1:14" ht="20.100000000000001" customHeight="1">
      <c r="A183" s="6" t="s">
        <v>14</v>
      </c>
      <c r="B183" s="7" t="s">
        <v>555</v>
      </c>
      <c r="C183" s="7" t="s">
        <v>674</v>
      </c>
      <c r="D183" s="6" t="s">
        <v>696</v>
      </c>
      <c r="E183" s="6">
        <v>1552</v>
      </c>
      <c r="F183" s="6" t="s">
        <v>635</v>
      </c>
      <c r="G183" s="7" t="s">
        <v>697</v>
      </c>
      <c r="H183" s="6">
        <v>2200</v>
      </c>
      <c r="I183" s="12" t="s">
        <v>523</v>
      </c>
      <c r="J183" s="7" t="s">
        <v>698</v>
      </c>
      <c r="K183" s="6">
        <v>90</v>
      </c>
      <c r="L183" s="6">
        <v>80</v>
      </c>
      <c r="M183" s="8" t="s">
        <v>699</v>
      </c>
      <c r="N183" s="7"/>
    </row>
    <row r="184" spans="1:14" ht="20.100000000000001" customHeight="1">
      <c r="A184" s="2" t="s">
        <v>14</v>
      </c>
      <c r="B184" s="3" t="s">
        <v>700</v>
      </c>
      <c r="C184" s="3" t="s">
        <v>701</v>
      </c>
      <c r="D184" s="2" t="s">
        <v>702</v>
      </c>
      <c r="E184" s="2">
        <v>279</v>
      </c>
      <c r="F184" s="2" t="s">
        <v>157</v>
      </c>
      <c r="G184" s="3" t="s">
        <v>703</v>
      </c>
      <c r="H184" s="2">
        <v>1400</v>
      </c>
      <c r="I184" s="9" t="s">
        <v>163</v>
      </c>
      <c r="J184" s="3" t="s">
        <v>473</v>
      </c>
      <c r="K184" s="2">
        <v>40</v>
      </c>
      <c r="L184" s="2">
        <v>35</v>
      </c>
      <c r="M184" s="5" t="s">
        <v>704</v>
      </c>
      <c r="N184" s="3"/>
    </row>
    <row r="185" spans="1:14" ht="20.100000000000001" customHeight="1">
      <c r="A185" s="6" t="s">
        <v>14</v>
      </c>
      <c r="B185" s="7" t="s">
        <v>700</v>
      </c>
      <c r="C185" s="7" t="s">
        <v>701</v>
      </c>
      <c r="D185" s="6" t="s">
        <v>705</v>
      </c>
      <c r="E185" s="6">
        <v>580</v>
      </c>
      <c r="F185" s="6" t="s">
        <v>157</v>
      </c>
      <c r="G185" s="7" t="s">
        <v>706</v>
      </c>
      <c r="H185" s="6">
        <v>1500</v>
      </c>
      <c r="I185" s="9" t="s">
        <v>172</v>
      </c>
      <c r="J185" s="7" t="s">
        <v>707</v>
      </c>
      <c r="K185" s="6">
        <v>40</v>
      </c>
      <c r="L185" s="6">
        <v>35</v>
      </c>
      <c r="M185" s="8" t="s">
        <v>708</v>
      </c>
      <c r="N185" s="7"/>
    </row>
    <row r="186" spans="1:14" ht="20.100000000000001" customHeight="1">
      <c r="A186" s="2" t="s">
        <v>14</v>
      </c>
      <c r="B186" s="3" t="s">
        <v>700</v>
      </c>
      <c r="C186" s="3" t="s">
        <v>701</v>
      </c>
      <c r="D186" s="2" t="s">
        <v>709</v>
      </c>
      <c r="E186" s="2">
        <v>602</v>
      </c>
      <c r="F186" s="2" t="s">
        <v>157</v>
      </c>
      <c r="G186" s="3" t="s">
        <v>710</v>
      </c>
      <c r="H186" s="2">
        <v>1400</v>
      </c>
      <c r="I186" s="9" t="s">
        <v>163</v>
      </c>
      <c r="J186" s="3" t="s">
        <v>711</v>
      </c>
      <c r="K186" s="2">
        <v>40</v>
      </c>
      <c r="L186" s="2">
        <v>35</v>
      </c>
      <c r="M186" s="5" t="s">
        <v>712</v>
      </c>
      <c r="N186" s="3"/>
    </row>
    <row r="187" spans="1:14" ht="20.100000000000001" customHeight="1">
      <c r="A187" s="6" t="s">
        <v>14</v>
      </c>
      <c r="B187" s="7" t="s">
        <v>700</v>
      </c>
      <c r="C187" s="7" t="s">
        <v>701</v>
      </c>
      <c r="D187" s="6" t="s">
        <v>713</v>
      </c>
      <c r="E187" s="6">
        <v>616</v>
      </c>
      <c r="F187" s="6" t="s">
        <v>384</v>
      </c>
      <c r="G187" s="7" t="s">
        <v>714</v>
      </c>
      <c r="H187" s="6">
        <v>1600</v>
      </c>
      <c r="I187" s="9" t="s">
        <v>172</v>
      </c>
      <c r="J187" s="7" t="s">
        <v>403</v>
      </c>
      <c r="K187" s="6">
        <v>40</v>
      </c>
      <c r="L187" s="6">
        <v>35</v>
      </c>
      <c r="M187" s="8" t="s">
        <v>715</v>
      </c>
      <c r="N187" s="7"/>
    </row>
    <row r="188" spans="1:14" ht="20.100000000000001" customHeight="1">
      <c r="A188" s="2" t="s">
        <v>14</v>
      </c>
      <c r="B188" s="3" t="s">
        <v>700</v>
      </c>
      <c r="C188" s="3" t="s">
        <v>701</v>
      </c>
      <c r="D188" s="2" t="s">
        <v>716</v>
      </c>
      <c r="E188" s="2">
        <v>702</v>
      </c>
      <c r="F188" s="2" t="s">
        <v>183</v>
      </c>
      <c r="G188" s="3" t="s">
        <v>717</v>
      </c>
      <c r="H188" s="2">
        <v>1500</v>
      </c>
      <c r="I188" s="9" t="s">
        <v>172</v>
      </c>
      <c r="J188" s="3" t="s">
        <v>399</v>
      </c>
      <c r="K188" s="2">
        <v>40</v>
      </c>
      <c r="L188" s="2">
        <v>35</v>
      </c>
      <c r="M188" s="5" t="s">
        <v>718</v>
      </c>
      <c r="N188" s="3"/>
    </row>
    <row r="189" spans="1:14" ht="20.100000000000001" customHeight="1">
      <c r="A189" s="6" t="s">
        <v>14</v>
      </c>
      <c r="B189" s="7" t="s">
        <v>700</v>
      </c>
      <c r="C189" s="7" t="s">
        <v>701</v>
      </c>
      <c r="D189" s="6" t="s">
        <v>719</v>
      </c>
      <c r="E189" s="6">
        <v>1157</v>
      </c>
      <c r="F189" s="6" t="s">
        <v>720</v>
      </c>
      <c r="G189" s="7" t="s">
        <v>721</v>
      </c>
      <c r="H189" s="6">
        <v>1300</v>
      </c>
      <c r="I189" s="9" t="s">
        <v>163</v>
      </c>
      <c r="J189" s="7" t="s">
        <v>722</v>
      </c>
      <c r="K189" s="6">
        <v>25</v>
      </c>
      <c r="L189" s="6">
        <v>20</v>
      </c>
      <c r="M189" s="8" t="s">
        <v>723</v>
      </c>
      <c r="N189" s="7"/>
    </row>
    <row r="190" spans="1:14" ht="20.100000000000001" customHeight="1">
      <c r="A190" s="2" t="s">
        <v>14</v>
      </c>
      <c r="B190" s="3" t="s">
        <v>700</v>
      </c>
      <c r="C190" s="3" t="s">
        <v>701</v>
      </c>
      <c r="D190" s="2" t="s">
        <v>724</v>
      </c>
      <c r="E190" s="2">
        <v>1157</v>
      </c>
      <c r="F190" s="2" t="s">
        <v>725</v>
      </c>
      <c r="G190" s="3" t="s">
        <v>726</v>
      </c>
      <c r="H190" s="2">
        <v>1700</v>
      </c>
      <c r="I190" s="10" t="s">
        <v>418</v>
      </c>
      <c r="J190" s="3" t="s">
        <v>722</v>
      </c>
      <c r="K190" s="2">
        <v>60</v>
      </c>
      <c r="L190" s="2">
        <v>55</v>
      </c>
      <c r="M190" s="5" t="s">
        <v>727</v>
      </c>
      <c r="N190" s="3"/>
    </row>
    <row r="191" spans="1:14" ht="20.100000000000001" customHeight="1">
      <c r="A191" s="6" t="s">
        <v>14</v>
      </c>
      <c r="B191" s="7" t="s">
        <v>700</v>
      </c>
      <c r="C191" s="7" t="s">
        <v>701</v>
      </c>
      <c r="D191" s="6" t="s">
        <v>728</v>
      </c>
      <c r="E191" s="6">
        <v>1197</v>
      </c>
      <c r="F191" s="6" t="s">
        <v>183</v>
      </c>
      <c r="G191" s="7" t="s">
        <v>729</v>
      </c>
      <c r="H191" s="6">
        <v>1400</v>
      </c>
      <c r="I191" s="9" t="s">
        <v>163</v>
      </c>
      <c r="J191" s="7" t="s">
        <v>143</v>
      </c>
      <c r="K191" s="6">
        <v>40</v>
      </c>
      <c r="L191" s="6">
        <v>35</v>
      </c>
      <c r="M191" s="8" t="s">
        <v>730</v>
      </c>
      <c r="N191" s="7"/>
    </row>
    <row r="192" spans="1:14" ht="20.100000000000001" customHeight="1">
      <c r="A192" s="2" t="s">
        <v>14</v>
      </c>
      <c r="B192" s="3" t="s">
        <v>700</v>
      </c>
      <c r="C192" s="3" t="s">
        <v>701</v>
      </c>
      <c r="D192" s="2" t="s">
        <v>731</v>
      </c>
      <c r="E192" s="2">
        <v>1257</v>
      </c>
      <c r="F192" s="2" t="s">
        <v>183</v>
      </c>
      <c r="G192" s="3" t="s">
        <v>732</v>
      </c>
      <c r="H192" s="2">
        <v>1200</v>
      </c>
      <c r="I192" s="4" t="s">
        <v>43</v>
      </c>
      <c r="J192" s="3" t="s">
        <v>733</v>
      </c>
      <c r="K192" s="2">
        <v>25</v>
      </c>
      <c r="L192" s="2">
        <v>20</v>
      </c>
      <c r="M192" s="5" t="s">
        <v>734</v>
      </c>
      <c r="N192" s="3"/>
    </row>
    <row r="193" spans="1:14" ht="20.100000000000001" customHeight="1">
      <c r="A193" s="6" t="s">
        <v>14</v>
      </c>
      <c r="B193" s="7" t="s">
        <v>700</v>
      </c>
      <c r="C193" s="7" t="s">
        <v>701</v>
      </c>
      <c r="D193" s="6" t="s">
        <v>735</v>
      </c>
      <c r="E193" s="6">
        <v>1295</v>
      </c>
      <c r="F193" s="6" t="s">
        <v>157</v>
      </c>
      <c r="G193" s="7" t="s">
        <v>736</v>
      </c>
      <c r="H193" s="6">
        <v>1700</v>
      </c>
      <c r="I193" s="10" t="s">
        <v>418</v>
      </c>
      <c r="J193" s="7" t="s">
        <v>737</v>
      </c>
      <c r="K193" s="6">
        <v>60</v>
      </c>
      <c r="L193" s="6">
        <v>55</v>
      </c>
      <c r="M193" s="8" t="s">
        <v>738</v>
      </c>
      <c r="N193" s="7"/>
    </row>
    <row r="194" spans="1:14" ht="20.100000000000001" customHeight="1">
      <c r="A194" s="2" t="s">
        <v>14</v>
      </c>
      <c r="B194" s="3" t="s">
        <v>700</v>
      </c>
      <c r="C194" s="3" t="s">
        <v>701</v>
      </c>
      <c r="D194" s="2" t="s">
        <v>739</v>
      </c>
      <c r="E194" s="2">
        <v>1373</v>
      </c>
      <c r="F194" s="2" t="s">
        <v>183</v>
      </c>
      <c r="G194" s="3" t="s">
        <v>740</v>
      </c>
      <c r="H194" s="2">
        <v>1300</v>
      </c>
      <c r="I194" s="9" t="s">
        <v>163</v>
      </c>
      <c r="J194" s="3" t="s">
        <v>121</v>
      </c>
      <c r="K194" s="2">
        <v>25</v>
      </c>
      <c r="L194" s="2">
        <v>20</v>
      </c>
      <c r="M194" s="5" t="s">
        <v>741</v>
      </c>
      <c r="N194" s="3"/>
    </row>
    <row r="195" spans="1:14" ht="20.100000000000001" customHeight="1">
      <c r="A195" s="6" t="s">
        <v>14</v>
      </c>
      <c r="B195" s="7" t="s">
        <v>700</v>
      </c>
      <c r="C195" s="7" t="s">
        <v>701</v>
      </c>
      <c r="D195" s="6" t="s">
        <v>742</v>
      </c>
      <c r="E195" s="6">
        <v>1490</v>
      </c>
      <c r="F195" s="6" t="s">
        <v>535</v>
      </c>
      <c r="G195" s="7" t="s">
        <v>743</v>
      </c>
      <c r="H195" s="6">
        <v>1900</v>
      </c>
      <c r="I195" s="10" t="s">
        <v>386</v>
      </c>
      <c r="J195" s="7" t="s">
        <v>744</v>
      </c>
      <c r="K195" s="6">
        <v>60</v>
      </c>
      <c r="L195" s="6">
        <v>55</v>
      </c>
      <c r="M195" s="8" t="s">
        <v>745</v>
      </c>
      <c r="N195" s="7"/>
    </row>
    <row r="196" spans="1:14" ht="20.100000000000001" customHeight="1">
      <c r="A196" s="2" t="s">
        <v>14</v>
      </c>
      <c r="B196" s="3" t="s">
        <v>700</v>
      </c>
      <c r="C196" s="3" t="s">
        <v>746</v>
      </c>
      <c r="D196" s="2" t="s">
        <v>747</v>
      </c>
      <c r="E196" s="2">
        <v>6</v>
      </c>
      <c r="F196" s="2" t="s">
        <v>183</v>
      </c>
      <c r="G196" s="3" t="s">
        <v>748</v>
      </c>
      <c r="H196" s="2">
        <v>1200</v>
      </c>
      <c r="I196" s="4" t="s">
        <v>43</v>
      </c>
      <c r="J196" s="3" t="s">
        <v>503</v>
      </c>
      <c r="K196" s="2">
        <v>25</v>
      </c>
      <c r="L196" s="2">
        <v>20</v>
      </c>
      <c r="M196" s="5" t="s">
        <v>749</v>
      </c>
      <c r="N196" s="3"/>
    </row>
    <row r="197" spans="1:14" ht="20.100000000000001" customHeight="1">
      <c r="A197" s="6" t="s">
        <v>14</v>
      </c>
      <c r="B197" s="7" t="s">
        <v>700</v>
      </c>
      <c r="C197" s="7" t="s">
        <v>746</v>
      </c>
      <c r="D197" s="6" t="s">
        <v>750</v>
      </c>
      <c r="E197" s="6">
        <v>701</v>
      </c>
      <c r="F197" s="6" t="s">
        <v>183</v>
      </c>
      <c r="G197" s="7" t="s">
        <v>751</v>
      </c>
      <c r="H197" s="6">
        <v>1500</v>
      </c>
      <c r="I197" s="9" t="s">
        <v>172</v>
      </c>
      <c r="J197" s="7" t="s">
        <v>752</v>
      </c>
      <c r="K197" s="6">
        <v>40</v>
      </c>
      <c r="L197" s="6">
        <v>35</v>
      </c>
      <c r="M197" s="8" t="s">
        <v>753</v>
      </c>
      <c r="N197" s="7"/>
    </row>
    <row r="198" spans="1:14" ht="20.100000000000001" customHeight="1">
      <c r="A198" s="2" t="s">
        <v>14</v>
      </c>
      <c r="B198" s="3" t="s">
        <v>700</v>
      </c>
      <c r="C198" s="3" t="s">
        <v>746</v>
      </c>
      <c r="D198" s="2" t="s">
        <v>754</v>
      </c>
      <c r="E198" s="2">
        <v>961</v>
      </c>
      <c r="F198" s="2" t="s">
        <v>157</v>
      </c>
      <c r="G198" s="3" t="s">
        <v>755</v>
      </c>
      <c r="H198" s="2">
        <v>1200</v>
      </c>
      <c r="I198" s="4" t="s">
        <v>43</v>
      </c>
      <c r="J198" s="3" t="s">
        <v>756</v>
      </c>
      <c r="K198" s="2">
        <v>25</v>
      </c>
      <c r="L198" s="2">
        <v>20</v>
      </c>
      <c r="M198" s="5" t="s">
        <v>757</v>
      </c>
      <c r="N198" s="3"/>
    </row>
    <row r="199" spans="1:14" ht="20.100000000000001" customHeight="1">
      <c r="A199" s="6" t="s">
        <v>14</v>
      </c>
      <c r="B199" s="7" t="s">
        <v>700</v>
      </c>
      <c r="C199" s="7" t="s">
        <v>746</v>
      </c>
      <c r="D199" s="6" t="s">
        <v>758</v>
      </c>
      <c r="E199" s="6">
        <v>1133</v>
      </c>
      <c r="F199" s="6" t="s">
        <v>183</v>
      </c>
      <c r="G199" s="7" t="s">
        <v>759</v>
      </c>
      <c r="H199" s="6">
        <v>1200</v>
      </c>
      <c r="I199" s="4" t="s">
        <v>43</v>
      </c>
      <c r="J199" s="7" t="s">
        <v>760</v>
      </c>
      <c r="K199" s="6">
        <v>25</v>
      </c>
      <c r="L199" s="6">
        <v>20</v>
      </c>
      <c r="M199" s="8" t="s">
        <v>761</v>
      </c>
      <c r="N199" s="7"/>
    </row>
    <row r="200" spans="1:14" ht="20.100000000000001" customHeight="1">
      <c r="A200" s="2" t="s">
        <v>14</v>
      </c>
      <c r="B200" s="3" t="s">
        <v>700</v>
      </c>
      <c r="C200" s="3" t="s">
        <v>746</v>
      </c>
      <c r="D200" s="2" t="s">
        <v>762</v>
      </c>
      <c r="E200" s="2">
        <v>1156</v>
      </c>
      <c r="F200" s="2" t="s">
        <v>183</v>
      </c>
      <c r="G200" s="3" t="s">
        <v>763</v>
      </c>
      <c r="H200" s="2">
        <v>2000</v>
      </c>
      <c r="I200" s="10" t="s">
        <v>386</v>
      </c>
      <c r="J200" s="3" t="s">
        <v>764</v>
      </c>
      <c r="K200" s="2">
        <v>90</v>
      </c>
      <c r="L200" s="2">
        <v>80</v>
      </c>
      <c r="M200" s="5" t="s">
        <v>765</v>
      </c>
      <c r="N200" s="3"/>
    </row>
    <row r="201" spans="1:14" ht="20.100000000000001" customHeight="1">
      <c r="A201" s="6" t="s">
        <v>14</v>
      </c>
      <c r="B201" s="7" t="s">
        <v>700</v>
      </c>
      <c r="C201" s="7" t="s">
        <v>746</v>
      </c>
      <c r="D201" s="6" t="s">
        <v>766</v>
      </c>
      <c r="E201" s="6">
        <v>1234</v>
      </c>
      <c r="F201" s="6" t="s">
        <v>384</v>
      </c>
      <c r="G201" s="7" t="s">
        <v>767</v>
      </c>
      <c r="H201" s="6">
        <v>1600</v>
      </c>
      <c r="I201" s="9" t="s">
        <v>172</v>
      </c>
      <c r="J201" s="7" t="s">
        <v>677</v>
      </c>
      <c r="K201" s="6">
        <v>40</v>
      </c>
      <c r="L201" s="6">
        <v>35</v>
      </c>
      <c r="M201" s="8" t="s">
        <v>768</v>
      </c>
      <c r="N201" s="7"/>
    </row>
    <row r="202" spans="1:14" ht="20.100000000000001" customHeight="1">
      <c r="A202" s="2" t="s">
        <v>14</v>
      </c>
      <c r="B202" s="3" t="s">
        <v>700</v>
      </c>
      <c r="C202" s="3" t="s">
        <v>746</v>
      </c>
      <c r="D202" s="2" t="s">
        <v>769</v>
      </c>
      <c r="E202" s="2">
        <v>1605</v>
      </c>
      <c r="F202" s="2" t="s">
        <v>183</v>
      </c>
      <c r="G202" s="3" t="s">
        <v>770</v>
      </c>
      <c r="H202" s="2">
        <v>1400</v>
      </c>
      <c r="I202" s="9" t="s">
        <v>163</v>
      </c>
      <c r="J202" s="3" t="s">
        <v>771</v>
      </c>
      <c r="K202" s="2">
        <v>40</v>
      </c>
      <c r="L202" s="2">
        <v>35</v>
      </c>
      <c r="M202" s="5" t="s">
        <v>772</v>
      </c>
      <c r="N202" s="3"/>
    </row>
    <row r="203" spans="1:14" ht="20.100000000000001" customHeight="1">
      <c r="A203" s="6" t="s">
        <v>14</v>
      </c>
      <c r="B203" s="7" t="s">
        <v>700</v>
      </c>
      <c r="C203" s="7" t="s">
        <v>773</v>
      </c>
      <c r="D203" s="6" t="s">
        <v>774</v>
      </c>
      <c r="E203" s="6">
        <v>676</v>
      </c>
      <c r="F203" s="6" t="s">
        <v>183</v>
      </c>
      <c r="G203" s="7" t="s">
        <v>775</v>
      </c>
      <c r="H203" s="6">
        <v>1500</v>
      </c>
      <c r="I203" s="9" t="s">
        <v>172</v>
      </c>
      <c r="J203" s="7" t="s">
        <v>776</v>
      </c>
      <c r="K203" s="6">
        <v>40</v>
      </c>
      <c r="L203" s="6">
        <v>35</v>
      </c>
      <c r="M203" s="8" t="s">
        <v>777</v>
      </c>
      <c r="N203" s="7"/>
    </row>
    <row r="204" spans="1:14" ht="20.100000000000001" customHeight="1">
      <c r="A204" s="2" t="s">
        <v>14</v>
      </c>
      <c r="B204" s="3" t="s">
        <v>700</v>
      </c>
      <c r="C204" s="3" t="s">
        <v>773</v>
      </c>
      <c r="D204" s="2" t="s">
        <v>778</v>
      </c>
      <c r="E204" s="2">
        <v>1041</v>
      </c>
      <c r="F204" s="2" t="s">
        <v>183</v>
      </c>
      <c r="G204" s="3" t="s">
        <v>779</v>
      </c>
      <c r="H204" s="2">
        <v>1600</v>
      </c>
      <c r="I204" s="9" t="s">
        <v>172</v>
      </c>
      <c r="J204" s="3" t="s">
        <v>591</v>
      </c>
      <c r="K204" s="2">
        <v>40</v>
      </c>
      <c r="L204" s="2">
        <v>35</v>
      </c>
      <c r="M204" s="5" t="s">
        <v>780</v>
      </c>
      <c r="N204" s="3"/>
    </row>
    <row r="205" spans="1:14" ht="20.100000000000001" customHeight="1">
      <c r="A205" s="6" t="s">
        <v>14</v>
      </c>
      <c r="B205" s="7" t="s">
        <v>700</v>
      </c>
      <c r="C205" s="7" t="s">
        <v>773</v>
      </c>
      <c r="D205" s="6" t="s">
        <v>781</v>
      </c>
      <c r="E205" s="6">
        <v>1077</v>
      </c>
      <c r="F205" s="6" t="s">
        <v>384</v>
      </c>
      <c r="G205" s="7" t="s">
        <v>782</v>
      </c>
      <c r="H205" s="6">
        <v>1600</v>
      </c>
      <c r="I205" s="9" t="s">
        <v>172</v>
      </c>
      <c r="J205" s="7" t="s">
        <v>391</v>
      </c>
      <c r="K205" s="6">
        <v>40</v>
      </c>
      <c r="L205" s="6">
        <v>35</v>
      </c>
      <c r="M205" s="8" t="s">
        <v>783</v>
      </c>
      <c r="N205" s="7"/>
    </row>
    <row r="206" spans="1:14" ht="20.100000000000001" customHeight="1">
      <c r="A206" s="2" t="s">
        <v>14</v>
      </c>
      <c r="B206" s="3" t="s">
        <v>700</v>
      </c>
      <c r="C206" s="3" t="s">
        <v>773</v>
      </c>
      <c r="D206" s="2" t="s">
        <v>784</v>
      </c>
      <c r="E206" s="2">
        <v>1335</v>
      </c>
      <c r="F206" s="2" t="s">
        <v>183</v>
      </c>
      <c r="G206" s="3" t="s">
        <v>785</v>
      </c>
      <c r="H206" s="2">
        <v>1100</v>
      </c>
      <c r="I206" s="4" t="s">
        <v>43</v>
      </c>
      <c r="J206" s="3" t="s">
        <v>786</v>
      </c>
      <c r="K206" s="2">
        <v>25</v>
      </c>
      <c r="L206" s="2">
        <v>20</v>
      </c>
      <c r="M206" s="5" t="s">
        <v>787</v>
      </c>
      <c r="N206" s="3"/>
    </row>
    <row r="207" spans="1:14" ht="20.100000000000001" customHeight="1">
      <c r="A207" s="6" t="s">
        <v>14</v>
      </c>
      <c r="B207" s="7" t="s">
        <v>700</v>
      </c>
      <c r="C207" s="7" t="s">
        <v>773</v>
      </c>
      <c r="D207" s="6" t="s">
        <v>788</v>
      </c>
      <c r="E207" s="6">
        <v>1371</v>
      </c>
      <c r="F207" s="6" t="s">
        <v>183</v>
      </c>
      <c r="G207" s="7" t="s">
        <v>789</v>
      </c>
      <c r="H207" s="6">
        <v>1300</v>
      </c>
      <c r="I207" s="9" t="s">
        <v>163</v>
      </c>
      <c r="J207" s="7" t="s">
        <v>790</v>
      </c>
      <c r="K207" s="6">
        <v>25</v>
      </c>
      <c r="L207" s="6">
        <v>20</v>
      </c>
      <c r="M207" s="8" t="s">
        <v>791</v>
      </c>
      <c r="N207" s="7"/>
    </row>
    <row r="208" spans="1:14" ht="20.100000000000001" customHeight="1">
      <c r="A208" s="2" t="s">
        <v>14</v>
      </c>
      <c r="B208" s="3" t="s">
        <v>700</v>
      </c>
      <c r="C208" s="3" t="s">
        <v>773</v>
      </c>
      <c r="D208" s="2" t="s">
        <v>792</v>
      </c>
      <c r="E208" s="2">
        <v>1516</v>
      </c>
      <c r="F208" s="2" t="s">
        <v>157</v>
      </c>
      <c r="G208" s="3" t="s">
        <v>793</v>
      </c>
      <c r="H208" s="2">
        <v>1500</v>
      </c>
      <c r="I208" s="9" t="s">
        <v>172</v>
      </c>
      <c r="J208" s="3" t="s">
        <v>794</v>
      </c>
      <c r="K208" s="2">
        <v>40</v>
      </c>
      <c r="L208" s="2">
        <v>35</v>
      </c>
      <c r="M208" s="5" t="s">
        <v>795</v>
      </c>
      <c r="N208" s="3"/>
    </row>
    <row r="209" spans="1:14" ht="20.100000000000001" customHeight="1">
      <c r="A209" s="6" t="s">
        <v>14</v>
      </c>
      <c r="B209" s="7" t="s">
        <v>700</v>
      </c>
      <c r="C209" s="7" t="s">
        <v>773</v>
      </c>
      <c r="D209" s="6" t="s">
        <v>796</v>
      </c>
      <c r="E209" s="6">
        <v>1539</v>
      </c>
      <c r="F209" s="6" t="s">
        <v>183</v>
      </c>
      <c r="G209" s="7" t="s">
        <v>797</v>
      </c>
      <c r="H209" s="6">
        <v>1200</v>
      </c>
      <c r="I209" s="4" t="s">
        <v>43</v>
      </c>
      <c r="J209" s="7" t="s">
        <v>143</v>
      </c>
      <c r="K209" s="6">
        <v>25</v>
      </c>
      <c r="L209" s="6">
        <v>20</v>
      </c>
      <c r="M209" s="8" t="s">
        <v>798</v>
      </c>
      <c r="N209" s="7"/>
    </row>
    <row r="210" spans="1:14" ht="20.100000000000001" customHeight="1">
      <c r="A210" s="2" t="s">
        <v>14</v>
      </c>
      <c r="B210" s="3" t="s">
        <v>700</v>
      </c>
      <c r="C210" s="3" t="s">
        <v>773</v>
      </c>
      <c r="D210" s="2" t="s">
        <v>799</v>
      </c>
      <c r="E210" s="2">
        <v>1561</v>
      </c>
      <c r="F210" s="2" t="s">
        <v>157</v>
      </c>
      <c r="G210" s="3" t="s">
        <v>185</v>
      </c>
      <c r="H210" s="2" t="s">
        <v>185</v>
      </c>
      <c r="I210" s="11" t="s">
        <v>185</v>
      </c>
      <c r="J210" s="3" t="s">
        <v>185</v>
      </c>
      <c r="K210" s="2">
        <v>0</v>
      </c>
      <c r="L210" s="2">
        <v>0</v>
      </c>
      <c r="M210" s="5" t="s">
        <v>800</v>
      </c>
      <c r="N210" s="3"/>
    </row>
    <row r="211" spans="1:14" ht="20.100000000000001" customHeight="1">
      <c r="A211" s="6" t="s">
        <v>14</v>
      </c>
      <c r="B211" s="7" t="s">
        <v>700</v>
      </c>
      <c r="C211" s="7" t="s">
        <v>801</v>
      </c>
      <c r="D211" s="6" t="s">
        <v>802</v>
      </c>
      <c r="E211" s="6">
        <v>525</v>
      </c>
      <c r="F211" s="6" t="s">
        <v>531</v>
      </c>
      <c r="G211" s="7" t="s">
        <v>803</v>
      </c>
      <c r="H211" s="6">
        <v>2100</v>
      </c>
      <c r="I211" s="12" t="s">
        <v>523</v>
      </c>
      <c r="J211" s="7" t="s">
        <v>804</v>
      </c>
      <c r="K211" s="6">
        <v>90</v>
      </c>
      <c r="L211" s="6">
        <v>80</v>
      </c>
      <c r="M211" s="8" t="s">
        <v>805</v>
      </c>
      <c r="N211" s="7"/>
    </row>
    <row r="212" spans="1:14" ht="20.100000000000001" customHeight="1">
      <c r="A212" s="2" t="s">
        <v>14</v>
      </c>
      <c r="B212" s="3" t="s">
        <v>700</v>
      </c>
      <c r="C212" s="3" t="s">
        <v>801</v>
      </c>
      <c r="D212" s="2" t="s">
        <v>806</v>
      </c>
      <c r="E212" s="2">
        <v>888</v>
      </c>
      <c r="F212" s="2" t="s">
        <v>531</v>
      </c>
      <c r="G212" s="3" t="s">
        <v>807</v>
      </c>
      <c r="H212" s="2">
        <v>1800</v>
      </c>
      <c r="I212" s="10" t="s">
        <v>418</v>
      </c>
      <c r="J212" s="3" t="s">
        <v>808</v>
      </c>
      <c r="K212" s="2">
        <v>60</v>
      </c>
      <c r="L212" s="2">
        <v>55</v>
      </c>
      <c r="M212" s="5" t="s">
        <v>809</v>
      </c>
      <c r="N212" s="3"/>
    </row>
    <row r="213" spans="1:14" ht="20.100000000000001" customHeight="1">
      <c r="A213" s="6" t="s">
        <v>14</v>
      </c>
      <c r="B213" s="7" t="s">
        <v>700</v>
      </c>
      <c r="C213" s="7" t="s">
        <v>801</v>
      </c>
      <c r="D213" s="6" t="s">
        <v>810</v>
      </c>
      <c r="E213" s="6">
        <v>1006</v>
      </c>
      <c r="F213" s="6" t="s">
        <v>635</v>
      </c>
      <c r="G213" s="7" t="s">
        <v>811</v>
      </c>
      <c r="H213" s="6">
        <v>2100</v>
      </c>
      <c r="I213" s="12" t="s">
        <v>523</v>
      </c>
      <c r="J213" s="7" t="s">
        <v>812</v>
      </c>
      <c r="K213" s="6">
        <v>90</v>
      </c>
      <c r="L213" s="6">
        <v>80</v>
      </c>
      <c r="M213" s="8" t="s">
        <v>813</v>
      </c>
      <c r="N213" s="7"/>
    </row>
    <row r="214" spans="1:14" ht="20.100000000000001" customHeight="1">
      <c r="A214" s="2" t="s">
        <v>14</v>
      </c>
      <c r="B214" s="3" t="s">
        <v>700</v>
      </c>
      <c r="C214" s="3" t="s">
        <v>801</v>
      </c>
      <c r="D214" s="2" t="s">
        <v>814</v>
      </c>
      <c r="E214" s="2">
        <v>1197</v>
      </c>
      <c r="F214" s="2" t="s">
        <v>384</v>
      </c>
      <c r="G214" s="3" t="s">
        <v>815</v>
      </c>
      <c r="H214" s="2">
        <v>1900</v>
      </c>
      <c r="I214" s="10" t="s">
        <v>386</v>
      </c>
      <c r="J214" s="3" t="s">
        <v>221</v>
      </c>
      <c r="K214" s="2">
        <v>60</v>
      </c>
      <c r="L214" s="2">
        <v>55</v>
      </c>
      <c r="M214" s="5" t="s">
        <v>816</v>
      </c>
      <c r="N214" s="3"/>
    </row>
    <row r="215" spans="1:14" ht="20.100000000000001" customHeight="1">
      <c r="A215" s="6" t="s">
        <v>14</v>
      </c>
      <c r="B215" s="7" t="s">
        <v>700</v>
      </c>
      <c r="C215" s="7" t="s">
        <v>801</v>
      </c>
      <c r="D215" s="6" t="s">
        <v>817</v>
      </c>
      <c r="E215" s="6">
        <v>1239</v>
      </c>
      <c r="F215" s="6" t="s">
        <v>18</v>
      </c>
      <c r="G215" s="7" t="s">
        <v>818</v>
      </c>
      <c r="H215" s="6">
        <v>1700</v>
      </c>
      <c r="I215" s="10" t="s">
        <v>418</v>
      </c>
      <c r="J215" s="7" t="s">
        <v>819</v>
      </c>
      <c r="K215" s="6">
        <v>60</v>
      </c>
      <c r="L215" s="6">
        <v>55</v>
      </c>
      <c r="M215" s="8" t="s">
        <v>820</v>
      </c>
      <c r="N215" s="7"/>
    </row>
    <row r="216" spans="1:14" ht="20.100000000000001" customHeight="1">
      <c r="A216" s="2" t="s">
        <v>14</v>
      </c>
      <c r="B216" s="3" t="s">
        <v>700</v>
      </c>
      <c r="C216" s="3" t="s">
        <v>801</v>
      </c>
      <c r="D216" s="2" t="s">
        <v>821</v>
      </c>
      <c r="E216" s="2">
        <v>1325</v>
      </c>
      <c r="F216" s="2" t="s">
        <v>531</v>
      </c>
      <c r="G216" s="3" t="s">
        <v>822</v>
      </c>
      <c r="H216" s="2">
        <v>2600</v>
      </c>
      <c r="I216" s="12" t="s">
        <v>659</v>
      </c>
      <c r="J216" s="3" t="s">
        <v>823</v>
      </c>
      <c r="K216" s="2">
        <v>180</v>
      </c>
      <c r="L216" s="2">
        <v>150</v>
      </c>
      <c r="M216" s="5" t="s">
        <v>824</v>
      </c>
      <c r="N216" s="3"/>
    </row>
    <row r="217" spans="1:14" ht="20.100000000000001" customHeight="1">
      <c r="A217" s="6" t="s">
        <v>14</v>
      </c>
      <c r="B217" s="7" t="s">
        <v>825</v>
      </c>
      <c r="C217" s="7" t="s">
        <v>826</v>
      </c>
      <c r="D217" s="6" t="s">
        <v>827</v>
      </c>
      <c r="E217" s="6">
        <v>492</v>
      </c>
      <c r="F217" s="6" t="s">
        <v>157</v>
      </c>
      <c r="G217" s="7" t="s">
        <v>828</v>
      </c>
      <c r="H217" s="6">
        <v>1200</v>
      </c>
      <c r="I217" s="4" t="s">
        <v>43</v>
      </c>
      <c r="J217" s="7" t="s">
        <v>829</v>
      </c>
      <c r="K217" s="6">
        <v>25</v>
      </c>
      <c r="L217" s="6">
        <v>20</v>
      </c>
      <c r="M217" s="8" t="s">
        <v>830</v>
      </c>
      <c r="N217" s="7"/>
    </row>
    <row r="218" spans="1:14" ht="20.100000000000001" customHeight="1">
      <c r="A218" s="2" t="s">
        <v>14</v>
      </c>
      <c r="B218" s="3" t="s">
        <v>825</v>
      </c>
      <c r="C218" s="3" t="s">
        <v>826</v>
      </c>
      <c r="D218" s="2" t="s">
        <v>831</v>
      </c>
      <c r="E218" s="2">
        <v>371</v>
      </c>
      <c r="F218" s="2" t="s">
        <v>183</v>
      </c>
      <c r="G218" s="3" t="s">
        <v>832</v>
      </c>
      <c r="H218" s="2">
        <v>1600</v>
      </c>
      <c r="I218" s="9" t="s">
        <v>172</v>
      </c>
      <c r="J218" s="3" t="s">
        <v>833</v>
      </c>
      <c r="K218" s="2">
        <v>40</v>
      </c>
      <c r="L218" s="2">
        <v>35</v>
      </c>
      <c r="M218" s="5" t="s">
        <v>834</v>
      </c>
      <c r="N218" s="3"/>
    </row>
    <row r="219" spans="1:14" ht="20.100000000000001" customHeight="1">
      <c r="A219" s="6" t="s">
        <v>14</v>
      </c>
      <c r="B219" s="7" t="s">
        <v>825</v>
      </c>
      <c r="C219" s="7" t="s">
        <v>826</v>
      </c>
      <c r="D219" s="6" t="s">
        <v>835</v>
      </c>
      <c r="E219" s="6">
        <v>1251</v>
      </c>
      <c r="F219" s="6" t="s">
        <v>384</v>
      </c>
      <c r="G219" s="7" t="s">
        <v>836</v>
      </c>
      <c r="H219" s="6">
        <v>1900</v>
      </c>
      <c r="I219" s="10" t="s">
        <v>386</v>
      </c>
      <c r="J219" s="7" t="s">
        <v>465</v>
      </c>
      <c r="K219" s="6">
        <v>60</v>
      </c>
      <c r="L219" s="6">
        <v>55</v>
      </c>
      <c r="M219" s="8" t="s">
        <v>837</v>
      </c>
      <c r="N219" s="7"/>
    </row>
    <row r="220" spans="1:14" ht="20.100000000000001" customHeight="1">
      <c r="A220" s="2" t="s">
        <v>14</v>
      </c>
      <c r="B220" s="3" t="s">
        <v>825</v>
      </c>
      <c r="C220" s="3" t="s">
        <v>826</v>
      </c>
      <c r="D220" s="2" t="s">
        <v>838</v>
      </c>
      <c r="E220" s="2">
        <v>1468</v>
      </c>
      <c r="F220" s="2" t="s">
        <v>384</v>
      </c>
      <c r="G220" s="3" t="s">
        <v>839</v>
      </c>
      <c r="H220" s="2">
        <v>1700</v>
      </c>
      <c r="I220" s="10" t="s">
        <v>418</v>
      </c>
      <c r="J220" s="3" t="s">
        <v>391</v>
      </c>
      <c r="K220" s="2">
        <v>60</v>
      </c>
      <c r="L220" s="2">
        <v>55</v>
      </c>
      <c r="M220" s="5" t="s">
        <v>840</v>
      </c>
      <c r="N220" s="3"/>
    </row>
    <row r="221" spans="1:14" ht="20.100000000000001" customHeight="1">
      <c r="A221" s="6" t="s">
        <v>14</v>
      </c>
      <c r="B221" s="7" t="s">
        <v>825</v>
      </c>
      <c r="C221" s="7" t="s">
        <v>841</v>
      </c>
      <c r="D221" s="6" t="s">
        <v>842</v>
      </c>
      <c r="E221" s="6">
        <v>670</v>
      </c>
      <c r="F221" s="6" t="s">
        <v>843</v>
      </c>
      <c r="G221" s="7" t="s">
        <v>844</v>
      </c>
      <c r="H221" s="6">
        <v>1500</v>
      </c>
      <c r="I221" s="9" t="s">
        <v>172</v>
      </c>
      <c r="J221" s="7" t="s">
        <v>845</v>
      </c>
      <c r="K221" s="6">
        <v>40</v>
      </c>
      <c r="L221" s="6">
        <v>35</v>
      </c>
      <c r="M221" s="8" t="s">
        <v>846</v>
      </c>
      <c r="N221" s="7"/>
    </row>
    <row r="222" spans="1:14" ht="20.100000000000001" customHeight="1">
      <c r="A222" s="2" t="s">
        <v>14</v>
      </c>
      <c r="B222" s="3" t="s">
        <v>825</v>
      </c>
      <c r="C222" s="3" t="s">
        <v>841</v>
      </c>
      <c r="D222" s="2" t="s">
        <v>847</v>
      </c>
      <c r="E222" s="2">
        <v>1117</v>
      </c>
      <c r="F222" s="2" t="s">
        <v>183</v>
      </c>
      <c r="G222" s="3" t="s">
        <v>848</v>
      </c>
      <c r="H222" s="2">
        <v>1900</v>
      </c>
      <c r="I222" s="10" t="s">
        <v>386</v>
      </c>
      <c r="J222" s="3" t="s">
        <v>849</v>
      </c>
      <c r="K222" s="2">
        <v>60</v>
      </c>
      <c r="L222" s="2">
        <v>55</v>
      </c>
      <c r="M222" s="5" t="s">
        <v>850</v>
      </c>
      <c r="N222" s="3"/>
    </row>
    <row r="223" spans="1:14" ht="20.100000000000001" customHeight="1">
      <c r="A223" s="6" t="s">
        <v>14</v>
      </c>
      <c r="B223" s="7" t="s">
        <v>825</v>
      </c>
      <c r="C223" s="7" t="s">
        <v>851</v>
      </c>
      <c r="D223" s="6" t="s">
        <v>852</v>
      </c>
      <c r="E223" s="6">
        <v>448</v>
      </c>
      <c r="F223" s="6" t="s">
        <v>384</v>
      </c>
      <c r="G223" s="7" t="s">
        <v>853</v>
      </c>
      <c r="H223" s="6">
        <v>1800</v>
      </c>
      <c r="I223" s="10" t="s">
        <v>418</v>
      </c>
      <c r="J223" s="7" t="s">
        <v>833</v>
      </c>
      <c r="K223" s="6">
        <v>60</v>
      </c>
      <c r="L223" s="6">
        <v>55</v>
      </c>
      <c r="M223" s="8" t="s">
        <v>854</v>
      </c>
      <c r="N223" s="7"/>
    </row>
    <row r="224" spans="1:14" ht="20.100000000000001" customHeight="1">
      <c r="A224" s="2" t="s">
        <v>14</v>
      </c>
      <c r="B224" s="3" t="s">
        <v>825</v>
      </c>
      <c r="C224" s="3" t="s">
        <v>851</v>
      </c>
      <c r="D224" s="2" t="s">
        <v>855</v>
      </c>
      <c r="E224" s="2">
        <v>1168</v>
      </c>
      <c r="F224" s="2" t="s">
        <v>18</v>
      </c>
      <c r="G224" s="3" t="s">
        <v>856</v>
      </c>
      <c r="H224" s="2">
        <v>1700</v>
      </c>
      <c r="I224" s="10" t="s">
        <v>418</v>
      </c>
      <c r="J224" s="3" t="s">
        <v>549</v>
      </c>
      <c r="K224" s="2">
        <v>60</v>
      </c>
      <c r="L224" s="2">
        <v>55</v>
      </c>
      <c r="M224" s="5" t="s">
        <v>857</v>
      </c>
      <c r="N224" s="3"/>
    </row>
    <row r="225" spans="1:14" ht="20.100000000000001" customHeight="1">
      <c r="A225" s="6" t="s">
        <v>14</v>
      </c>
      <c r="B225" s="7" t="s">
        <v>825</v>
      </c>
      <c r="C225" s="7" t="s">
        <v>851</v>
      </c>
      <c r="D225" s="6" t="s">
        <v>858</v>
      </c>
      <c r="E225" s="6">
        <v>1520</v>
      </c>
      <c r="F225" s="6" t="s">
        <v>535</v>
      </c>
      <c r="G225" s="7" t="s">
        <v>859</v>
      </c>
      <c r="H225" s="6">
        <v>2200</v>
      </c>
      <c r="I225" s="12" t="s">
        <v>523</v>
      </c>
      <c r="J225" s="7" t="s">
        <v>860</v>
      </c>
      <c r="K225" s="6">
        <v>90</v>
      </c>
      <c r="L225" s="6">
        <v>80</v>
      </c>
      <c r="M225" s="8" t="s">
        <v>861</v>
      </c>
      <c r="N225" s="7"/>
    </row>
    <row r="226" spans="1:14" ht="20.100000000000001" customHeight="1">
      <c r="A226" s="2" t="s">
        <v>14</v>
      </c>
      <c r="B226" s="3" t="s">
        <v>825</v>
      </c>
      <c r="C226" s="3" t="s">
        <v>851</v>
      </c>
      <c r="D226" s="2" t="s">
        <v>862</v>
      </c>
      <c r="E226" s="2">
        <v>1705</v>
      </c>
      <c r="F226" s="2" t="s">
        <v>183</v>
      </c>
      <c r="G226" s="3" t="s">
        <v>863</v>
      </c>
      <c r="H226" s="2">
        <v>1400</v>
      </c>
      <c r="I226" s="9" t="s">
        <v>163</v>
      </c>
      <c r="J226" s="3" t="s">
        <v>54</v>
      </c>
      <c r="K226" s="2">
        <v>40</v>
      </c>
      <c r="L226" s="2">
        <v>35</v>
      </c>
      <c r="M226" s="5" t="s">
        <v>864</v>
      </c>
      <c r="N226" s="3"/>
    </row>
    <row r="227" spans="1:14" ht="20.100000000000001" customHeight="1">
      <c r="A227" s="6" t="s">
        <v>14</v>
      </c>
      <c r="B227" s="7" t="s">
        <v>825</v>
      </c>
      <c r="C227" s="7" t="s">
        <v>865</v>
      </c>
      <c r="D227" s="6" t="s">
        <v>866</v>
      </c>
      <c r="E227" s="6">
        <v>578</v>
      </c>
      <c r="F227" s="6" t="s">
        <v>183</v>
      </c>
      <c r="G227" s="7" t="s">
        <v>867</v>
      </c>
      <c r="H227" s="6">
        <v>2000</v>
      </c>
      <c r="I227" s="10" t="s">
        <v>386</v>
      </c>
      <c r="J227" s="7" t="s">
        <v>868</v>
      </c>
      <c r="K227" s="6">
        <v>90</v>
      </c>
      <c r="L227" s="6">
        <v>80</v>
      </c>
      <c r="M227" s="8" t="s">
        <v>869</v>
      </c>
      <c r="N227" s="7"/>
    </row>
    <row r="228" spans="1:14" ht="20.100000000000001" customHeight="1">
      <c r="A228" s="2" t="s">
        <v>14</v>
      </c>
      <c r="B228" s="3" t="s">
        <v>825</v>
      </c>
      <c r="C228" s="3" t="s">
        <v>865</v>
      </c>
      <c r="D228" s="2" t="s">
        <v>870</v>
      </c>
      <c r="E228" s="2">
        <v>780</v>
      </c>
      <c r="F228" s="2" t="s">
        <v>157</v>
      </c>
      <c r="G228" s="3" t="s">
        <v>871</v>
      </c>
      <c r="H228" s="2">
        <v>1600</v>
      </c>
      <c r="I228" s="9" t="s">
        <v>172</v>
      </c>
      <c r="J228" s="3" t="s">
        <v>849</v>
      </c>
      <c r="K228" s="2">
        <v>40</v>
      </c>
      <c r="L228" s="2">
        <v>35</v>
      </c>
      <c r="M228" s="5" t="s">
        <v>872</v>
      </c>
      <c r="N228" s="3"/>
    </row>
    <row r="229" spans="1:14" ht="20.100000000000001" customHeight="1">
      <c r="A229" s="6" t="s">
        <v>14</v>
      </c>
      <c r="B229" s="7" t="s">
        <v>825</v>
      </c>
      <c r="C229" s="7" t="s">
        <v>865</v>
      </c>
      <c r="D229" s="6" t="s">
        <v>873</v>
      </c>
      <c r="E229" s="6">
        <v>1030</v>
      </c>
      <c r="F229" s="6" t="s">
        <v>384</v>
      </c>
      <c r="G229" s="7" t="s">
        <v>874</v>
      </c>
      <c r="H229" s="6">
        <v>1800</v>
      </c>
      <c r="I229" s="10" t="s">
        <v>418</v>
      </c>
      <c r="J229" s="7" t="s">
        <v>875</v>
      </c>
      <c r="K229" s="6">
        <v>60</v>
      </c>
      <c r="L229" s="6">
        <v>55</v>
      </c>
      <c r="M229" s="8" t="s">
        <v>876</v>
      </c>
      <c r="N229" s="7"/>
    </row>
    <row r="230" spans="1:14" ht="20.100000000000001" customHeight="1">
      <c r="A230" s="2" t="s">
        <v>14</v>
      </c>
      <c r="B230" s="3" t="s">
        <v>825</v>
      </c>
      <c r="C230" s="3" t="s">
        <v>865</v>
      </c>
      <c r="D230" s="2" t="s">
        <v>877</v>
      </c>
      <c r="E230" s="2">
        <v>1163</v>
      </c>
      <c r="F230" s="2" t="s">
        <v>725</v>
      </c>
      <c r="G230" s="3" t="s">
        <v>878</v>
      </c>
      <c r="H230" s="2">
        <v>1900</v>
      </c>
      <c r="I230" s="10" t="s">
        <v>386</v>
      </c>
      <c r="J230" s="3" t="s">
        <v>879</v>
      </c>
      <c r="K230" s="2">
        <v>60</v>
      </c>
      <c r="L230" s="2">
        <v>55</v>
      </c>
      <c r="M230" s="5" t="s">
        <v>880</v>
      </c>
      <c r="N230" s="3"/>
    </row>
    <row r="231" spans="1:14" ht="20.100000000000001" customHeight="1">
      <c r="A231" s="6" t="s">
        <v>14</v>
      </c>
      <c r="B231" s="7" t="s">
        <v>825</v>
      </c>
      <c r="C231" s="7" t="s">
        <v>865</v>
      </c>
      <c r="D231" s="6" t="s">
        <v>881</v>
      </c>
      <c r="E231" s="6">
        <v>1283</v>
      </c>
      <c r="F231" s="6" t="s">
        <v>183</v>
      </c>
      <c r="G231" s="7" t="s">
        <v>882</v>
      </c>
      <c r="H231" s="6">
        <v>1500</v>
      </c>
      <c r="I231" s="9" t="s">
        <v>172</v>
      </c>
      <c r="J231" s="7" t="s">
        <v>883</v>
      </c>
      <c r="K231" s="6">
        <v>40</v>
      </c>
      <c r="L231" s="6">
        <v>35</v>
      </c>
      <c r="M231" s="8" t="s">
        <v>884</v>
      </c>
      <c r="N231" s="7"/>
    </row>
    <row r="232" spans="1:14" ht="20.100000000000001" customHeight="1">
      <c r="A232" s="2" t="s">
        <v>14</v>
      </c>
      <c r="B232" s="3" t="s">
        <v>825</v>
      </c>
      <c r="C232" s="3" t="s">
        <v>865</v>
      </c>
      <c r="D232" s="2" t="s">
        <v>885</v>
      </c>
      <c r="E232" s="2">
        <v>1301</v>
      </c>
      <c r="F232" s="2" t="s">
        <v>384</v>
      </c>
      <c r="G232" s="3" t="s">
        <v>886</v>
      </c>
      <c r="H232" s="2">
        <v>2000</v>
      </c>
      <c r="I232" s="10" t="s">
        <v>386</v>
      </c>
      <c r="J232" s="3" t="s">
        <v>887</v>
      </c>
      <c r="K232" s="2">
        <v>90</v>
      </c>
      <c r="L232" s="2">
        <v>80</v>
      </c>
      <c r="M232" s="5" t="s">
        <v>888</v>
      </c>
      <c r="N232" s="3"/>
    </row>
    <row r="233" spans="1:14" ht="20.100000000000001" customHeight="1">
      <c r="A233" s="6" t="s">
        <v>14</v>
      </c>
      <c r="B233" s="7" t="s">
        <v>889</v>
      </c>
      <c r="C233" s="7" t="s">
        <v>890</v>
      </c>
      <c r="D233" s="6" t="s">
        <v>891</v>
      </c>
      <c r="E233" s="6">
        <v>58</v>
      </c>
      <c r="F233" s="6" t="s">
        <v>157</v>
      </c>
      <c r="G233" s="7" t="s">
        <v>892</v>
      </c>
      <c r="H233" s="6">
        <v>1300</v>
      </c>
      <c r="I233" s="9" t="s">
        <v>163</v>
      </c>
      <c r="J233" s="7" t="s">
        <v>722</v>
      </c>
      <c r="K233" s="6">
        <v>25</v>
      </c>
      <c r="L233" s="6">
        <v>20</v>
      </c>
      <c r="M233" s="8" t="s">
        <v>893</v>
      </c>
      <c r="N233" s="7"/>
    </row>
    <row r="234" spans="1:14" ht="20.100000000000001" customHeight="1">
      <c r="A234" s="2" t="s">
        <v>14</v>
      </c>
      <c r="B234" s="3" t="s">
        <v>889</v>
      </c>
      <c r="C234" s="3" t="s">
        <v>890</v>
      </c>
      <c r="D234" s="2" t="s">
        <v>894</v>
      </c>
      <c r="E234" s="2">
        <v>1256</v>
      </c>
      <c r="F234" s="2" t="s">
        <v>18</v>
      </c>
      <c r="G234" s="3" t="s">
        <v>895</v>
      </c>
      <c r="H234" s="2">
        <v>1000</v>
      </c>
      <c r="I234" s="4" t="s">
        <v>43</v>
      </c>
      <c r="J234" s="3" t="s">
        <v>121</v>
      </c>
      <c r="K234" s="2">
        <v>15</v>
      </c>
      <c r="L234" s="2">
        <v>10</v>
      </c>
      <c r="M234" s="5" t="s">
        <v>896</v>
      </c>
      <c r="N234" s="3"/>
    </row>
    <row r="235" spans="1:14" ht="20.100000000000001" customHeight="1">
      <c r="A235" s="6" t="s">
        <v>14</v>
      </c>
      <c r="B235" s="7" t="s">
        <v>889</v>
      </c>
      <c r="C235" s="7" t="s">
        <v>890</v>
      </c>
      <c r="D235" s="6" t="s">
        <v>897</v>
      </c>
      <c r="E235" s="6">
        <v>1312</v>
      </c>
      <c r="F235" s="6" t="s">
        <v>157</v>
      </c>
      <c r="G235" s="7" t="s">
        <v>898</v>
      </c>
      <c r="H235" s="6">
        <v>1000</v>
      </c>
      <c r="I235" s="4" t="s">
        <v>43</v>
      </c>
      <c r="J235" s="7" t="s">
        <v>645</v>
      </c>
      <c r="K235" s="6">
        <v>15</v>
      </c>
      <c r="L235" s="6">
        <v>10</v>
      </c>
      <c r="M235" s="8" t="s">
        <v>899</v>
      </c>
      <c r="N235" s="7"/>
    </row>
    <row r="236" spans="1:14" ht="20.100000000000001" customHeight="1">
      <c r="A236" s="2" t="s">
        <v>14</v>
      </c>
      <c r="B236" s="3" t="s">
        <v>889</v>
      </c>
      <c r="C236" s="3" t="s">
        <v>890</v>
      </c>
      <c r="D236" s="2" t="s">
        <v>900</v>
      </c>
      <c r="E236" s="2">
        <v>1418</v>
      </c>
      <c r="F236" s="2" t="s">
        <v>18</v>
      </c>
      <c r="G236" s="3" t="s">
        <v>901</v>
      </c>
      <c r="H236" s="2">
        <v>1000</v>
      </c>
      <c r="I236" s="4" t="s">
        <v>43</v>
      </c>
      <c r="J236" s="3" t="s">
        <v>121</v>
      </c>
      <c r="K236" s="2">
        <v>15</v>
      </c>
      <c r="L236" s="2">
        <v>10</v>
      </c>
      <c r="M236" s="5" t="s">
        <v>902</v>
      </c>
      <c r="N236" s="3"/>
    </row>
    <row r="237" spans="1:14" ht="20.100000000000001" customHeight="1">
      <c r="A237" s="6" t="s">
        <v>14</v>
      </c>
      <c r="B237" s="7" t="s">
        <v>889</v>
      </c>
      <c r="C237" s="7" t="s">
        <v>890</v>
      </c>
      <c r="D237" s="6" t="s">
        <v>903</v>
      </c>
      <c r="E237" s="6">
        <v>1618</v>
      </c>
      <c r="F237" s="6" t="s">
        <v>18</v>
      </c>
      <c r="G237" s="7" t="s">
        <v>904</v>
      </c>
      <c r="H237" s="6">
        <v>800</v>
      </c>
      <c r="I237" s="4" t="s">
        <v>20</v>
      </c>
      <c r="J237" s="7" t="s">
        <v>905</v>
      </c>
      <c r="K237" s="6">
        <v>15</v>
      </c>
      <c r="L237" s="6">
        <v>10</v>
      </c>
      <c r="M237" s="8" t="s">
        <v>906</v>
      </c>
      <c r="N237" s="7"/>
    </row>
    <row r="238" spans="1:14" ht="20.100000000000001" customHeight="1">
      <c r="A238" s="2" t="s">
        <v>14</v>
      </c>
      <c r="B238" s="3" t="s">
        <v>889</v>
      </c>
      <c r="C238" s="3" t="s">
        <v>890</v>
      </c>
      <c r="D238" s="2" t="s">
        <v>907</v>
      </c>
      <c r="E238" s="2">
        <v>1675</v>
      </c>
      <c r="F238" s="2" t="s">
        <v>18</v>
      </c>
      <c r="G238" s="3" t="s">
        <v>908</v>
      </c>
      <c r="H238" s="2">
        <v>800</v>
      </c>
      <c r="I238" s="4" t="s">
        <v>20</v>
      </c>
      <c r="J238" s="3" t="s">
        <v>147</v>
      </c>
      <c r="K238" s="2">
        <v>15</v>
      </c>
      <c r="L238" s="2">
        <v>10</v>
      </c>
      <c r="M238" s="5" t="s">
        <v>909</v>
      </c>
      <c r="N238" s="3"/>
    </row>
    <row r="239" spans="1:14" ht="20.100000000000001" customHeight="1">
      <c r="A239" s="6" t="s">
        <v>14</v>
      </c>
      <c r="B239" s="7" t="s">
        <v>889</v>
      </c>
      <c r="C239" s="7" t="s">
        <v>910</v>
      </c>
      <c r="D239" s="6" t="s">
        <v>911</v>
      </c>
      <c r="E239" s="6">
        <v>1005</v>
      </c>
      <c r="F239" s="6" t="s">
        <v>183</v>
      </c>
      <c r="G239" s="7" t="s">
        <v>912</v>
      </c>
      <c r="H239" s="6">
        <v>1300</v>
      </c>
      <c r="I239" s="9" t="s">
        <v>163</v>
      </c>
      <c r="J239" s="7" t="s">
        <v>114</v>
      </c>
      <c r="K239" s="6">
        <v>25</v>
      </c>
      <c r="L239" s="6">
        <v>20</v>
      </c>
      <c r="M239" s="8" t="s">
        <v>913</v>
      </c>
      <c r="N239" s="7"/>
    </row>
    <row r="240" spans="1:14" ht="20.100000000000001" customHeight="1">
      <c r="A240" s="2" t="s">
        <v>14</v>
      </c>
      <c r="B240" s="3" t="s">
        <v>889</v>
      </c>
      <c r="C240" s="3" t="s">
        <v>910</v>
      </c>
      <c r="D240" s="2" t="s">
        <v>914</v>
      </c>
      <c r="E240" s="2">
        <v>1092</v>
      </c>
      <c r="F240" s="2" t="s">
        <v>183</v>
      </c>
      <c r="G240" s="3" t="s">
        <v>915</v>
      </c>
      <c r="H240" s="2">
        <v>1700</v>
      </c>
      <c r="I240" s="10" t="s">
        <v>418</v>
      </c>
      <c r="J240" s="3" t="s">
        <v>916</v>
      </c>
      <c r="K240" s="2">
        <v>60</v>
      </c>
      <c r="L240" s="2">
        <v>55</v>
      </c>
      <c r="M240" s="5" t="s">
        <v>917</v>
      </c>
      <c r="N240" s="3"/>
    </row>
    <row r="241" spans="1:14" ht="20.100000000000001" customHeight="1">
      <c r="A241" s="6" t="s">
        <v>14</v>
      </c>
      <c r="B241" s="7" t="s">
        <v>889</v>
      </c>
      <c r="C241" s="7" t="s">
        <v>910</v>
      </c>
      <c r="D241" s="6" t="s">
        <v>918</v>
      </c>
      <c r="E241" s="6">
        <v>1144</v>
      </c>
      <c r="F241" s="6" t="s">
        <v>384</v>
      </c>
      <c r="G241" s="7" t="s">
        <v>919</v>
      </c>
      <c r="H241" s="6">
        <v>1400</v>
      </c>
      <c r="I241" s="9" t="s">
        <v>163</v>
      </c>
      <c r="J241" s="7" t="s">
        <v>920</v>
      </c>
      <c r="K241" s="6">
        <v>40</v>
      </c>
      <c r="L241" s="6">
        <v>35</v>
      </c>
      <c r="M241" s="8" t="s">
        <v>921</v>
      </c>
      <c r="N241" s="7"/>
    </row>
    <row r="242" spans="1:14" ht="20.100000000000001" customHeight="1">
      <c r="A242" s="2" t="s">
        <v>14</v>
      </c>
      <c r="B242" s="3" t="s">
        <v>889</v>
      </c>
      <c r="C242" s="3" t="s">
        <v>910</v>
      </c>
      <c r="D242" s="2" t="s">
        <v>922</v>
      </c>
      <c r="E242" s="2">
        <v>1203</v>
      </c>
      <c r="F242" s="2" t="s">
        <v>183</v>
      </c>
      <c r="G242" s="3" t="s">
        <v>923</v>
      </c>
      <c r="H242" s="2">
        <v>1300</v>
      </c>
      <c r="I242" s="9" t="s">
        <v>163</v>
      </c>
      <c r="J242" s="3" t="s">
        <v>61</v>
      </c>
      <c r="K242" s="2">
        <v>25</v>
      </c>
      <c r="L242" s="2">
        <v>20</v>
      </c>
      <c r="M242" s="5" t="s">
        <v>924</v>
      </c>
      <c r="N242" s="3"/>
    </row>
    <row r="243" spans="1:14" ht="20.100000000000001" customHeight="1">
      <c r="A243" s="6" t="s">
        <v>14</v>
      </c>
      <c r="B243" s="7" t="s">
        <v>889</v>
      </c>
      <c r="C243" s="7" t="s">
        <v>910</v>
      </c>
      <c r="D243" s="6" t="s">
        <v>925</v>
      </c>
      <c r="E243" s="6">
        <v>1385</v>
      </c>
      <c r="F243" s="6" t="s">
        <v>183</v>
      </c>
      <c r="G243" s="7" t="s">
        <v>926</v>
      </c>
      <c r="H243" s="6">
        <v>1200</v>
      </c>
      <c r="I243" s="4" t="s">
        <v>43</v>
      </c>
      <c r="J243" s="7" t="s">
        <v>722</v>
      </c>
      <c r="K243" s="6">
        <v>25</v>
      </c>
      <c r="L243" s="6">
        <v>20</v>
      </c>
      <c r="M243" s="8" t="s">
        <v>927</v>
      </c>
      <c r="N243" s="7"/>
    </row>
    <row r="244" spans="1:14" ht="20.100000000000001" customHeight="1">
      <c r="A244" s="2" t="s">
        <v>14</v>
      </c>
      <c r="B244" s="3" t="s">
        <v>889</v>
      </c>
      <c r="C244" s="3" t="s">
        <v>910</v>
      </c>
      <c r="D244" s="2" t="s">
        <v>928</v>
      </c>
      <c r="E244" s="2">
        <v>1399</v>
      </c>
      <c r="F244" s="2" t="s">
        <v>183</v>
      </c>
      <c r="G244" s="3" t="s">
        <v>929</v>
      </c>
      <c r="H244" s="2">
        <v>1200</v>
      </c>
      <c r="I244" s="4" t="s">
        <v>43</v>
      </c>
      <c r="J244" s="3" t="s">
        <v>930</v>
      </c>
      <c r="K244" s="2">
        <v>25</v>
      </c>
      <c r="L244" s="2">
        <v>20</v>
      </c>
      <c r="M244" s="5" t="s">
        <v>931</v>
      </c>
      <c r="N244" s="3"/>
    </row>
    <row r="245" spans="1:14" ht="20.100000000000001" customHeight="1">
      <c r="A245" s="6" t="s">
        <v>14</v>
      </c>
      <c r="B245" s="7" t="s">
        <v>889</v>
      </c>
      <c r="C245" s="7" t="s">
        <v>932</v>
      </c>
      <c r="D245" s="6" t="s">
        <v>933</v>
      </c>
      <c r="E245" s="6">
        <v>527</v>
      </c>
      <c r="F245" s="6" t="s">
        <v>384</v>
      </c>
      <c r="G245" s="7" t="s">
        <v>934</v>
      </c>
      <c r="H245" s="6">
        <v>1800</v>
      </c>
      <c r="I245" s="10" t="s">
        <v>418</v>
      </c>
      <c r="J245" s="7" t="s">
        <v>935</v>
      </c>
      <c r="K245" s="6">
        <v>60</v>
      </c>
      <c r="L245" s="6">
        <v>55</v>
      </c>
      <c r="M245" s="8" t="s">
        <v>936</v>
      </c>
      <c r="N245" s="7"/>
    </row>
    <row r="246" spans="1:14" ht="20.100000000000001" customHeight="1">
      <c r="A246" s="2" t="s">
        <v>14</v>
      </c>
      <c r="B246" s="3" t="s">
        <v>889</v>
      </c>
      <c r="C246" s="3" t="s">
        <v>932</v>
      </c>
      <c r="D246" s="2" t="s">
        <v>937</v>
      </c>
      <c r="E246" s="2">
        <v>913</v>
      </c>
      <c r="F246" s="2" t="s">
        <v>384</v>
      </c>
      <c r="G246" s="3" t="s">
        <v>938</v>
      </c>
      <c r="H246" s="2">
        <v>1800</v>
      </c>
      <c r="I246" s="10" t="s">
        <v>418</v>
      </c>
      <c r="J246" s="3" t="s">
        <v>939</v>
      </c>
      <c r="K246" s="2">
        <v>60</v>
      </c>
      <c r="L246" s="2">
        <v>55</v>
      </c>
      <c r="M246" s="5" t="s">
        <v>940</v>
      </c>
      <c r="N246" s="3"/>
    </row>
    <row r="247" spans="1:14" ht="20.100000000000001" customHeight="1">
      <c r="A247" s="6" t="s">
        <v>14</v>
      </c>
      <c r="B247" s="7" t="s">
        <v>889</v>
      </c>
      <c r="C247" s="7" t="s">
        <v>932</v>
      </c>
      <c r="D247" s="6" t="s">
        <v>941</v>
      </c>
      <c r="E247" s="6">
        <v>1029</v>
      </c>
      <c r="F247" s="6" t="s">
        <v>183</v>
      </c>
      <c r="G247" s="7" t="s">
        <v>942</v>
      </c>
      <c r="H247" s="6">
        <v>1600</v>
      </c>
      <c r="I247" s="9" t="s">
        <v>172</v>
      </c>
      <c r="J247" s="7" t="s">
        <v>943</v>
      </c>
      <c r="K247" s="6">
        <v>40</v>
      </c>
      <c r="L247" s="6">
        <v>35</v>
      </c>
      <c r="M247" s="8" t="s">
        <v>944</v>
      </c>
      <c r="N247" s="7"/>
    </row>
    <row r="248" spans="1:14" ht="20.100000000000001" customHeight="1">
      <c r="A248" s="2" t="s">
        <v>14</v>
      </c>
      <c r="B248" s="3" t="s">
        <v>889</v>
      </c>
      <c r="C248" s="3" t="s">
        <v>932</v>
      </c>
      <c r="D248" s="2" t="s">
        <v>945</v>
      </c>
      <c r="E248" s="2">
        <v>1106</v>
      </c>
      <c r="F248" s="2" t="s">
        <v>384</v>
      </c>
      <c r="G248" s="3" t="s">
        <v>946</v>
      </c>
      <c r="H248" s="2">
        <v>1500</v>
      </c>
      <c r="I248" s="9" t="s">
        <v>172</v>
      </c>
      <c r="J248" s="3" t="s">
        <v>947</v>
      </c>
      <c r="K248" s="2">
        <v>40</v>
      </c>
      <c r="L248" s="2">
        <v>35</v>
      </c>
      <c r="M248" s="5" t="s">
        <v>948</v>
      </c>
      <c r="N248" s="3"/>
    </row>
    <row r="249" spans="1:14" ht="20.100000000000001" customHeight="1">
      <c r="A249" s="6" t="s">
        <v>14</v>
      </c>
      <c r="B249" s="7" t="s">
        <v>889</v>
      </c>
      <c r="C249" s="7" t="s">
        <v>932</v>
      </c>
      <c r="D249" s="6" t="s">
        <v>949</v>
      </c>
      <c r="E249" s="6">
        <v>1249</v>
      </c>
      <c r="F249" s="6" t="s">
        <v>950</v>
      </c>
      <c r="G249" s="7" t="s">
        <v>951</v>
      </c>
      <c r="H249" s="6">
        <v>1800</v>
      </c>
      <c r="I249" s="10" t="s">
        <v>418</v>
      </c>
      <c r="J249" s="7" t="s">
        <v>722</v>
      </c>
      <c r="K249" s="6">
        <v>60</v>
      </c>
      <c r="L249" s="6">
        <v>55</v>
      </c>
      <c r="M249" s="8" t="s">
        <v>952</v>
      </c>
      <c r="N249" s="7"/>
    </row>
    <row r="250" spans="1:14" ht="20.100000000000001" customHeight="1">
      <c r="A250" s="2" t="s">
        <v>14</v>
      </c>
      <c r="B250" s="3" t="s">
        <v>889</v>
      </c>
      <c r="C250" s="3" t="s">
        <v>932</v>
      </c>
      <c r="D250" s="2" t="s">
        <v>953</v>
      </c>
      <c r="E250" s="2">
        <v>1249</v>
      </c>
      <c r="F250" s="2" t="s">
        <v>843</v>
      </c>
      <c r="G250" s="3" t="s">
        <v>954</v>
      </c>
      <c r="H250" s="2">
        <v>1800</v>
      </c>
      <c r="I250" s="10" t="s">
        <v>418</v>
      </c>
      <c r="J250" s="3" t="s">
        <v>955</v>
      </c>
      <c r="K250" s="2">
        <v>60</v>
      </c>
      <c r="L250" s="2">
        <v>55</v>
      </c>
      <c r="M250" s="5" t="s">
        <v>956</v>
      </c>
      <c r="N250" s="3"/>
    </row>
    <row r="251" spans="1:14" ht="20.100000000000001" customHeight="1">
      <c r="A251" s="6" t="s">
        <v>14</v>
      </c>
      <c r="B251" s="7" t="s">
        <v>889</v>
      </c>
      <c r="C251" s="7" t="s">
        <v>932</v>
      </c>
      <c r="D251" s="6" t="s">
        <v>957</v>
      </c>
      <c r="E251" s="6">
        <v>1282</v>
      </c>
      <c r="F251" s="6" t="s">
        <v>183</v>
      </c>
      <c r="G251" s="7" t="s">
        <v>958</v>
      </c>
      <c r="H251" s="6">
        <v>1800</v>
      </c>
      <c r="I251" s="10" t="s">
        <v>418</v>
      </c>
      <c r="J251" s="7" t="s">
        <v>959</v>
      </c>
      <c r="K251" s="6">
        <v>60</v>
      </c>
      <c r="L251" s="6">
        <v>55</v>
      </c>
      <c r="M251" s="8" t="s">
        <v>960</v>
      </c>
      <c r="N251" s="7"/>
    </row>
    <row r="252" spans="1:14" ht="20.100000000000001" customHeight="1">
      <c r="A252" s="2" t="s">
        <v>14</v>
      </c>
      <c r="B252" s="3" t="s">
        <v>889</v>
      </c>
      <c r="C252" s="3" t="s">
        <v>932</v>
      </c>
      <c r="D252" s="2" t="s">
        <v>961</v>
      </c>
      <c r="E252" s="2">
        <v>1353</v>
      </c>
      <c r="F252" s="2" t="s">
        <v>384</v>
      </c>
      <c r="G252" s="3" t="s">
        <v>962</v>
      </c>
      <c r="H252" s="2">
        <v>1600</v>
      </c>
      <c r="I252" s="9" t="s">
        <v>172</v>
      </c>
      <c r="J252" s="3" t="s">
        <v>963</v>
      </c>
      <c r="K252" s="2">
        <v>40</v>
      </c>
      <c r="L252" s="2">
        <v>35</v>
      </c>
      <c r="M252" s="5" t="s">
        <v>964</v>
      </c>
      <c r="N252" s="3"/>
    </row>
    <row r="253" spans="1:14" ht="20.100000000000001" customHeight="1">
      <c r="A253" s="6" t="s">
        <v>14</v>
      </c>
      <c r="B253" s="7" t="s">
        <v>889</v>
      </c>
      <c r="C253" s="7" t="s">
        <v>932</v>
      </c>
      <c r="D253" s="6" t="s">
        <v>965</v>
      </c>
      <c r="E253" s="6">
        <v>1428</v>
      </c>
      <c r="F253" s="6" t="s">
        <v>531</v>
      </c>
      <c r="G253" s="7" t="s">
        <v>966</v>
      </c>
      <c r="H253" s="6">
        <v>2200</v>
      </c>
      <c r="I253" s="12" t="s">
        <v>523</v>
      </c>
      <c r="J253" s="7" t="s">
        <v>668</v>
      </c>
      <c r="K253" s="6">
        <v>90</v>
      </c>
      <c r="L253" s="6">
        <v>80</v>
      </c>
      <c r="M253" s="8" t="s">
        <v>967</v>
      </c>
      <c r="N253" s="7"/>
    </row>
    <row r="254" spans="1:14" ht="20.100000000000001" customHeight="1">
      <c r="A254" s="2" t="s">
        <v>14</v>
      </c>
      <c r="B254" s="3" t="s">
        <v>889</v>
      </c>
      <c r="C254" s="3" t="s">
        <v>932</v>
      </c>
      <c r="D254" s="2" t="s">
        <v>968</v>
      </c>
      <c r="E254" s="2">
        <v>1468</v>
      </c>
      <c r="F254" s="2" t="s">
        <v>969</v>
      </c>
      <c r="G254" s="3" t="s">
        <v>970</v>
      </c>
      <c r="H254" s="2">
        <v>2200</v>
      </c>
      <c r="I254" s="12" t="s">
        <v>523</v>
      </c>
      <c r="J254" s="3" t="s">
        <v>342</v>
      </c>
      <c r="K254" s="2">
        <v>90</v>
      </c>
      <c r="L254" s="2">
        <v>80</v>
      </c>
      <c r="M254" s="5" t="s">
        <v>971</v>
      </c>
      <c r="N254" s="3"/>
    </row>
    <row r="255" spans="1:14" ht="20.100000000000001" customHeight="1">
      <c r="A255" s="6" t="s">
        <v>14</v>
      </c>
      <c r="B255" s="7" t="s">
        <v>889</v>
      </c>
      <c r="C255" s="7" t="s">
        <v>932</v>
      </c>
      <c r="D255" s="6" t="s">
        <v>972</v>
      </c>
      <c r="E255" s="6">
        <v>1550</v>
      </c>
      <c r="F255" s="6" t="s">
        <v>183</v>
      </c>
      <c r="G255" s="7" t="s">
        <v>973</v>
      </c>
      <c r="H255" s="6">
        <v>1700</v>
      </c>
      <c r="I255" s="10" t="s">
        <v>418</v>
      </c>
      <c r="J255" s="7" t="s">
        <v>974</v>
      </c>
      <c r="K255" s="6">
        <v>60</v>
      </c>
      <c r="L255" s="6">
        <v>55</v>
      </c>
      <c r="M255" s="8" t="s">
        <v>975</v>
      </c>
      <c r="N255" s="7"/>
    </row>
    <row r="256" spans="1:14" ht="20.100000000000001" customHeight="1">
      <c r="A256" s="2" t="s">
        <v>14</v>
      </c>
      <c r="B256" s="3" t="s">
        <v>889</v>
      </c>
      <c r="C256" s="3" t="s">
        <v>976</v>
      </c>
      <c r="D256" s="2" t="s">
        <v>977</v>
      </c>
      <c r="E256" s="2">
        <v>864</v>
      </c>
      <c r="F256" s="2" t="s">
        <v>384</v>
      </c>
      <c r="G256" s="3" t="s">
        <v>978</v>
      </c>
      <c r="H256" s="2">
        <v>1500</v>
      </c>
      <c r="I256" s="9" t="s">
        <v>172</v>
      </c>
      <c r="J256" s="3" t="s">
        <v>790</v>
      </c>
      <c r="K256" s="2">
        <v>40</v>
      </c>
      <c r="L256" s="2">
        <v>35</v>
      </c>
      <c r="M256" s="5" t="s">
        <v>979</v>
      </c>
      <c r="N256" s="3"/>
    </row>
    <row r="257" spans="1:14" ht="20.100000000000001" customHeight="1">
      <c r="A257" s="6" t="s">
        <v>14</v>
      </c>
      <c r="B257" s="7" t="s">
        <v>889</v>
      </c>
      <c r="C257" s="7" t="s">
        <v>976</v>
      </c>
      <c r="D257" s="6" t="s">
        <v>980</v>
      </c>
      <c r="E257" s="6">
        <v>1140</v>
      </c>
      <c r="F257" s="6" t="s">
        <v>183</v>
      </c>
      <c r="G257" s="7" t="s">
        <v>981</v>
      </c>
      <c r="H257" s="6">
        <v>1600</v>
      </c>
      <c r="I257" s="9" t="s">
        <v>172</v>
      </c>
      <c r="J257" s="7" t="s">
        <v>982</v>
      </c>
      <c r="K257" s="6">
        <v>40</v>
      </c>
      <c r="L257" s="6">
        <v>35</v>
      </c>
      <c r="M257" s="8" t="s">
        <v>983</v>
      </c>
      <c r="N257" s="7"/>
    </row>
    <row r="258" spans="1:14" ht="20.100000000000001" customHeight="1">
      <c r="A258" s="2" t="s">
        <v>14</v>
      </c>
      <c r="B258" s="3" t="s">
        <v>889</v>
      </c>
      <c r="C258" s="3" t="s">
        <v>976</v>
      </c>
      <c r="D258" s="2" t="s">
        <v>984</v>
      </c>
      <c r="E258" s="2">
        <v>1310</v>
      </c>
      <c r="F258" s="2" t="s">
        <v>18</v>
      </c>
      <c r="G258" s="3" t="s">
        <v>985</v>
      </c>
      <c r="H258" s="2">
        <v>1700</v>
      </c>
      <c r="I258" s="10" t="s">
        <v>418</v>
      </c>
      <c r="J258" s="3" t="s">
        <v>955</v>
      </c>
      <c r="K258" s="2">
        <v>60</v>
      </c>
      <c r="L258" s="2">
        <v>55</v>
      </c>
      <c r="M258" s="5" t="s">
        <v>986</v>
      </c>
      <c r="N258" s="3"/>
    </row>
    <row r="259" spans="1:14" ht="20.100000000000001" customHeight="1">
      <c r="A259" s="6" t="s">
        <v>14</v>
      </c>
      <c r="B259" s="7" t="s">
        <v>889</v>
      </c>
      <c r="C259" s="7" t="s">
        <v>976</v>
      </c>
      <c r="D259" s="6" t="s">
        <v>987</v>
      </c>
      <c r="E259" s="6">
        <v>1374</v>
      </c>
      <c r="F259" s="6" t="s">
        <v>652</v>
      </c>
      <c r="G259" s="7" t="s">
        <v>988</v>
      </c>
      <c r="H259" s="6">
        <v>1600</v>
      </c>
      <c r="I259" s="9" t="s">
        <v>172</v>
      </c>
      <c r="J259" s="7" t="s">
        <v>955</v>
      </c>
      <c r="K259" s="6">
        <v>40</v>
      </c>
      <c r="L259" s="6">
        <v>35</v>
      </c>
      <c r="M259" s="8" t="s">
        <v>989</v>
      </c>
      <c r="N259" s="7"/>
    </row>
    <row r="260" spans="1:14" ht="20.100000000000001" customHeight="1">
      <c r="A260" s="2" t="s">
        <v>14</v>
      </c>
      <c r="B260" s="3" t="s">
        <v>889</v>
      </c>
      <c r="C260" s="3" t="s">
        <v>976</v>
      </c>
      <c r="D260" s="2" t="s">
        <v>990</v>
      </c>
      <c r="E260" s="2">
        <v>1374</v>
      </c>
      <c r="F260" s="2" t="s">
        <v>657</v>
      </c>
      <c r="G260" s="3" t="s">
        <v>991</v>
      </c>
      <c r="H260" s="2">
        <v>2500</v>
      </c>
      <c r="I260" s="12" t="s">
        <v>659</v>
      </c>
      <c r="J260" s="3" t="s">
        <v>992</v>
      </c>
      <c r="K260" s="2">
        <v>120</v>
      </c>
      <c r="L260" s="2">
        <v>110</v>
      </c>
      <c r="M260" s="5" t="s">
        <v>993</v>
      </c>
      <c r="N260" s="3"/>
    </row>
    <row r="261" spans="1:14" ht="20.100000000000001" customHeight="1">
      <c r="A261" s="6" t="s">
        <v>14</v>
      </c>
      <c r="B261" s="7" t="s">
        <v>889</v>
      </c>
      <c r="C261" s="7" t="s">
        <v>976</v>
      </c>
      <c r="D261" s="6" t="s">
        <v>994</v>
      </c>
      <c r="E261" s="6">
        <v>1526</v>
      </c>
      <c r="F261" s="6" t="s">
        <v>720</v>
      </c>
      <c r="G261" s="7" t="s">
        <v>995</v>
      </c>
      <c r="H261" s="6">
        <v>1500</v>
      </c>
      <c r="I261" s="9" t="s">
        <v>172</v>
      </c>
      <c r="J261" s="7" t="s">
        <v>996</v>
      </c>
      <c r="K261" s="6">
        <v>40</v>
      </c>
      <c r="L261" s="6">
        <v>35</v>
      </c>
      <c r="M261" s="8" t="s">
        <v>997</v>
      </c>
      <c r="N261" s="7"/>
    </row>
    <row r="262" spans="1:14" ht="20.100000000000001" customHeight="1">
      <c r="A262" s="2" t="s">
        <v>14</v>
      </c>
      <c r="B262" s="3" t="s">
        <v>889</v>
      </c>
      <c r="C262" s="3" t="s">
        <v>976</v>
      </c>
      <c r="D262" s="2" t="s">
        <v>998</v>
      </c>
      <c r="E262" s="2">
        <v>1526</v>
      </c>
      <c r="F262" s="2" t="s">
        <v>725</v>
      </c>
      <c r="G262" s="3" t="s">
        <v>999</v>
      </c>
      <c r="H262" s="2">
        <v>1600</v>
      </c>
      <c r="I262" s="9" t="s">
        <v>172</v>
      </c>
      <c r="J262" s="3" t="s">
        <v>1000</v>
      </c>
      <c r="K262" s="2">
        <v>40</v>
      </c>
      <c r="L262" s="2">
        <v>35</v>
      </c>
      <c r="M262" s="5" t="s">
        <v>1001</v>
      </c>
      <c r="N262" s="3"/>
    </row>
    <row r="263" spans="1:14" ht="20.100000000000001" customHeight="1">
      <c r="A263" s="6" t="s">
        <v>14</v>
      </c>
      <c r="B263" s="7" t="s">
        <v>889</v>
      </c>
      <c r="C263" s="7" t="s">
        <v>976</v>
      </c>
      <c r="D263" s="6" t="s">
        <v>1002</v>
      </c>
      <c r="E263" s="6">
        <v>1579</v>
      </c>
      <c r="F263" s="6" t="s">
        <v>384</v>
      </c>
      <c r="G263" s="7" t="s">
        <v>1003</v>
      </c>
      <c r="H263" s="6">
        <v>1400</v>
      </c>
      <c r="I263" s="9" t="s">
        <v>163</v>
      </c>
      <c r="J263" s="7" t="s">
        <v>1004</v>
      </c>
      <c r="K263" s="6">
        <v>40</v>
      </c>
      <c r="L263" s="6">
        <v>35</v>
      </c>
      <c r="M263" s="8" t="s">
        <v>1005</v>
      </c>
      <c r="N263" s="7"/>
    </row>
    <row r="264" spans="1:14" ht="20.100000000000001" customHeight="1">
      <c r="A264" s="2" t="s">
        <v>14</v>
      </c>
      <c r="B264" s="3" t="s">
        <v>889</v>
      </c>
      <c r="C264" s="3" t="s">
        <v>1006</v>
      </c>
      <c r="D264" s="2" t="s">
        <v>1007</v>
      </c>
      <c r="E264" s="2">
        <v>1304</v>
      </c>
      <c r="F264" s="2" t="s">
        <v>384</v>
      </c>
      <c r="G264" s="3" t="s">
        <v>1008</v>
      </c>
      <c r="H264" s="2">
        <v>1800</v>
      </c>
      <c r="I264" s="10" t="s">
        <v>418</v>
      </c>
      <c r="J264" s="3" t="s">
        <v>1009</v>
      </c>
      <c r="K264" s="2">
        <v>60</v>
      </c>
      <c r="L264" s="2">
        <v>55</v>
      </c>
      <c r="M264" s="5" t="s">
        <v>1010</v>
      </c>
      <c r="N264" s="3"/>
    </row>
    <row r="265" spans="1:14" ht="20.100000000000001" customHeight="1">
      <c r="A265" s="6" t="s">
        <v>14</v>
      </c>
      <c r="B265" s="7" t="s">
        <v>889</v>
      </c>
      <c r="C265" s="7" t="s">
        <v>1006</v>
      </c>
      <c r="D265" s="6" t="s">
        <v>1011</v>
      </c>
      <c r="E265" s="6">
        <v>1348</v>
      </c>
      <c r="F265" s="6" t="s">
        <v>183</v>
      </c>
      <c r="G265" s="7" t="s">
        <v>1012</v>
      </c>
      <c r="H265" s="6">
        <v>1600</v>
      </c>
      <c r="I265" s="9" t="s">
        <v>172</v>
      </c>
      <c r="J265" s="7" t="s">
        <v>1013</v>
      </c>
      <c r="K265" s="6">
        <v>40</v>
      </c>
      <c r="L265" s="6">
        <v>35</v>
      </c>
      <c r="M265" s="8" t="s">
        <v>1014</v>
      </c>
      <c r="N265" s="7"/>
    </row>
    <row r="266" spans="1:14" ht="20.100000000000001" customHeight="1">
      <c r="A266" s="2" t="s">
        <v>14</v>
      </c>
      <c r="B266" s="3" t="s">
        <v>889</v>
      </c>
      <c r="C266" s="3" t="s">
        <v>1006</v>
      </c>
      <c r="D266" s="2" t="s">
        <v>1015</v>
      </c>
      <c r="E266" s="2">
        <v>1380</v>
      </c>
      <c r="F266" s="2" t="s">
        <v>384</v>
      </c>
      <c r="G266" s="3" t="s">
        <v>1016</v>
      </c>
      <c r="H266" s="2">
        <v>2000</v>
      </c>
      <c r="I266" s="10" t="s">
        <v>386</v>
      </c>
      <c r="J266" s="3" t="s">
        <v>1017</v>
      </c>
      <c r="K266" s="2">
        <v>90</v>
      </c>
      <c r="L266" s="2">
        <v>80</v>
      </c>
      <c r="M266" s="5" t="s">
        <v>1018</v>
      </c>
      <c r="N266" s="3"/>
    </row>
    <row r="267" spans="1:14" ht="20.100000000000001" customHeight="1">
      <c r="A267" s="6" t="s">
        <v>14</v>
      </c>
      <c r="B267" s="7" t="s">
        <v>889</v>
      </c>
      <c r="C267" s="7" t="s">
        <v>1006</v>
      </c>
      <c r="D267" s="6" t="s">
        <v>1019</v>
      </c>
      <c r="E267" s="6">
        <v>1474</v>
      </c>
      <c r="F267" s="6" t="s">
        <v>384</v>
      </c>
      <c r="G267" s="7" t="s">
        <v>1020</v>
      </c>
      <c r="H267" s="6">
        <v>2200</v>
      </c>
      <c r="I267" s="12" t="s">
        <v>523</v>
      </c>
      <c r="J267" s="7" t="s">
        <v>1021</v>
      </c>
      <c r="K267" s="6">
        <v>90</v>
      </c>
      <c r="L267" s="6">
        <v>80</v>
      </c>
      <c r="M267" s="8" t="s">
        <v>1022</v>
      </c>
      <c r="N267" s="7"/>
    </row>
    <row r="268" spans="1:14" ht="20.100000000000001" customHeight="1">
      <c r="A268" s="2" t="s">
        <v>14</v>
      </c>
      <c r="B268" s="3" t="s">
        <v>889</v>
      </c>
      <c r="C268" s="3" t="s">
        <v>1006</v>
      </c>
      <c r="D268" s="2" t="s">
        <v>1023</v>
      </c>
      <c r="E268" s="2">
        <v>1506</v>
      </c>
      <c r="F268" s="2" t="s">
        <v>635</v>
      </c>
      <c r="G268" s="3" t="s">
        <v>1024</v>
      </c>
      <c r="H268" s="2">
        <v>2000</v>
      </c>
      <c r="I268" s="10" t="s">
        <v>386</v>
      </c>
      <c r="J268" s="3" t="s">
        <v>1025</v>
      </c>
      <c r="K268" s="2">
        <v>90</v>
      </c>
      <c r="L268" s="2">
        <v>80</v>
      </c>
      <c r="M268" s="5" t="s">
        <v>1026</v>
      </c>
      <c r="N268" s="3"/>
    </row>
    <row r="269" spans="1:14" ht="20.100000000000001" customHeight="1">
      <c r="A269" s="6" t="s">
        <v>14</v>
      </c>
      <c r="B269" s="7" t="s">
        <v>889</v>
      </c>
      <c r="C269" s="7" t="s">
        <v>1006</v>
      </c>
      <c r="D269" s="6" t="s">
        <v>1027</v>
      </c>
      <c r="E269" s="6">
        <v>1537</v>
      </c>
      <c r="F269" s="6" t="s">
        <v>384</v>
      </c>
      <c r="G269" s="7" t="s">
        <v>1028</v>
      </c>
      <c r="H269" s="6">
        <v>1700</v>
      </c>
      <c r="I269" s="10" t="s">
        <v>418</v>
      </c>
      <c r="J269" s="7" t="s">
        <v>1029</v>
      </c>
      <c r="K269" s="6">
        <v>60</v>
      </c>
      <c r="L269" s="6">
        <v>55</v>
      </c>
      <c r="M269" s="8" t="s">
        <v>1030</v>
      </c>
      <c r="N269" s="7"/>
    </row>
    <row r="270" spans="1:14" ht="20.100000000000001" customHeight="1">
      <c r="A270" s="2" t="s">
        <v>14</v>
      </c>
      <c r="B270" s="3" t="s">
        <v>889</v>
      </c>
      <c r="C270" s="3" t="s">
        <v>1006</v>
      </c>
      <c r="D270" s="2" t="s">
        <v>1031</v>
      </c>
      <c r="E270" s="2">
        <v>1572</v>
      </c>
      <c r="F270" s="2" t="s">
        <v>18</v>
      </c>
      <c r="G270" s="3" t="s">
        <v>1032</v>
      </c>
      <c r="H270" s="2">
        <v>1800</v>
      </c>
      <c r="I270" s="10" t="s">
        <v>418</v>
      </c>
      <c r="J270" s="3" t="s">
        <v>1033</v>
      </c>
      <c r="K270" s="2">
        <v>60</v>
      </c>
      <c r="L270" s="2">
        <v>55</v>
      </c>
      <c r="M270" s="5" t="s">
        <v>1034</v>
      </c>
      <c r="N270" s="3"/>
    </row>
    <row r="271" spans="1:14" ht="20.100000000000001" customHeight="1">
      <c r="A271" s="6" t="s">
        <v>14</v>
      </c>
      <c r="B271" s="7" t="s">
        <v>889</v>
      </c>
      <c r="C271" s="7" t="s">
        <v>1006</v>
      </c>
      <c r="D271" s="6" t="s">
        <v>1035</v>
      </c>
      <c r="E271" s="6">
        <v>1705</v>
      </c>
      <c r="F271" s="6" t="s">
        <v>157</v>
      </c>
      <c r="G271" s="7" t="s">
        <v>1036</v>
      </c>
      <c r="H271" s="6">
        <v>900</v>
      </c>
      <c r="I271" s="4" t="s">
        <v>20</v>
      </c>
      <c r="J271" s="7" t="s">
        <v>649</v>
      </c>
      <c r="K271" s="6">
        <v>15</v>
      </c>
      <c r="L271" s="6">
        <v>10</v>
      </c>
      <c r="M271" s="8" t="s">
        <v>1037</v>
      </c>
      <c r="N271" s="7"/>
    </row>
    <row r="272" spans="1:14" ht="20.100000000000001" customHeight="1">
      <c r="A272" s="2" t="s">
        <v>14</v>
      </c>
      <c r="B272" s="3" t="s">
        <v>1038</v>
      </c>
      <c r="C272" s="3" t="s">
        <v>1039</v>
      </c>
      <c r="D272" s="2" t="s">
        <v>1040</v>
      </c>
      <c r="E272" s="2">
        <v>41</v>
      </c>
      <c r="F272" s="2" t="s">
        <v>18</v>
      </c>
      <c r="G272" s="3" t="s">
        <v>1041</v>
      </c>
      <c r="H272" s="2">
        <v>800</v>
      </c>
      <c r="I272" s="4" t="s">
        <v>20</v>
      </c>
      <c r="J272" s="3" t="s">
        <v>75</v>
      </c>
      <c r="K272" s="2">
        <v>15</v>
      </c>
      <c r="L272" s="2">
        <v>10</v>
      </c>
      <c r="M272" s="5" t="s">
        <v>1042</v>
      </c>
      <c r="N272" s="3"/>
    </row>
    <row r="273" spans="1:14" ht="20.100000000000001" customHeight="1">
      <c r="A273" s="6" t="s">
        <v>14</v>
      </c>
      <c r="B273" s="7" t="s">
        <v>1038</v>
      </c>
      <c r="C273" s="7" t="s">
        <v>1039</v>
      </c>
      <c r="D273" s="6" t="s">
        <v>1043</v>
      </c>
      <c r="E273" s="6">
        <v>58</v>
      </c>
      <c r="F273" s="6" t="s">
        <v>18</v>
      </c>
      <c r="G273" s="7" t="s">
        <v>1044</v>
      </c>
      <c r="H273" s="6">
        <v>1000</v>
      </c>
      <c r="I273" s="4" t="s">
        <v>43</v>
      </c>
      <c r="J273" s="7" t="s">
        <v>1045</v>
      </c>
      <c r="K273" s="6">
        <v>15</v>
      </c>
      <c r="L273" s="6">
        <v>10</v>
      </c>
      <c r="M273" s="8" t="s">
        <v>1046</v>
      </c>
      <c r="N273" s="7"/>
    </row>
    <row r="274" spans="1:14" ht="20.100000000000001" customHeight="1">
      <c r="A274" s="2" t="s">
        <v>14</v>
      </c>
      <c r="B274" s="3" t="s">
        <v>1038</v>
      </c>
      <c r="C274" s="3" t="s">
        <v>1039</v>
      </c>
      <c r="D274" s="2" t="s">
        <v>1047</v>
      </c>
      <c r="E274" s="2">
        <v>96</v>
      </c>
      <c r="F274" s="2" t="s">
        <v>18</v>
      </c>
      <c r="G274" s="3" t="s">
        <v>1048</v>
      </c>
      <c r="H274" s="2">
        <v>900</v>
      </c>
      <c r="I274" s="4" t="s">
        <v>20</v>
      </c>
      <c r="J274" s="3" t="s">
        <v>75</v>
      </c>
      <c r="K274" s="2">
        <v>15</v>
      </c>
      <c r="L274" s="2">
        <v>10</v>
      </c>
      <c r="M274" s="5" t="s">
        <v>1049</v>
      </c>
      <c r="N274" s="3"/>
    </row>
    <row r="275" spans="1:14" ht="20.100000000000001" customHeight="1">
      <c r="A275" s="6" t="s">
        <v>14</v>
      </c>
      <c r="B275" s="7" t="s">
        <v>1038</v>
      </c>
      <c r="C275" s="7" t="s">
        <v>1039</v>
      </c>
      <c r="D275" s="6" t="s">
        <v>1050</v>
      </c>
      <c r="E275" s="6">
        <v>112</v>
      </c>
      <c r="F275" s="6" t="s">
        <v>18</v>
      </c>
      <c r="G275" s="7" t="s">
        <v>1051</v>
      </c>
      <c r="H275" s="6">
        <v>800</v>
      </c>
      <c r="I275" s="4" t="s">
        <v>20</v>
      </c>
      <c r="J275" s="7" t="s">
        <v>75</v>
      </c>
      <c r="K275" s="6">
        <v>15</v>
      </c>
      <c r="L275" s="6">
        <v>10</v>
      </c>
      <c r="M275" s="8" t="s">
        <v>1052</v>
      </c>
      <c r="N275" s="7"/>
    </row>
    <row r="276" spans="1:14" ht="20.100000000000001" customHeight="1">
      <c r="A276" s="2" t="s">
        <v>14</v>
      </c>
      <c r="B276" s="3" t="s">
        <v>1038</v>
      </c>
      <c r="C276" s="3" t="s">
        <v>1039</v>
      </c>
      <c r="D276" s="2" t="s">
        <v>1053</v>
      </c>
      <c r="E276" s="2">
        <v>118</v>
      </c>
      <c r="F276" s="2" t="s">
        <v>18</v>
      </c>
      <c r="G276" s="3" t="s">
        <v>1054</v>
      </c>
      <c r="H276" s="2">
        <v>1000</v>
      </c>
      <c r="I276" s="4" t="s">
        <v>43</v>
      </c>
      <c r="J276" s="3" t="s">
        <v>75</v>
      </c>
      <c r="K276" s="2">
        <v>15</v>
      </c>
      <c r="L276" s="2">
        <v>10</v>
      </c>
      <c r="M276" s="5" t="s">
        <v>1055</v>
      </c>
      <c r="N276" s="3"/>
    </row>
    <row r="277" spans="1:14" ht="20.100000000000001" customHeight="1">
      <c r="A277" s="6" t="s">
        <v>14</v>
      </c>
      <c r="B277" s="7" t="s">
        <v>1038</v>
      </c>
      <c r="C277" s="7" t="s">
        <v>1039</v>
      </c>
      <c r="D277" s="6" t="s">
        <v>1056</v>
      </c>
      <c r="E277" s="6">
        <v>281</v>
      </c>
      <c r="F277" s="6" t="s">
        <v>18</v>
      </c>
      <c r="G277" s="7" t="s">
        <v>1057</v>
      </c>
      <c r="H277" s="6">
        <v>800</v>
      </c>
      <c r="I277" s="4" t="s">
        <v>20</v>
      </c>
      <c r="J277" s="7" t="s">
        <v>75</v>
      </c>
      <c r="K277" s="6">
        <v>15</v>
      </c>
      <c r="L277" s="6">
        <v>10</v>
      </c>
      <c r="M277" s="8" t="s">
        <v>1058</v>
      </c>
      <c r="N277" s="7"/>
    </row>
    <row r="278" spans="1:14" ht="20.100000000000001" customHeight="1">
      <c r="A278" s="2" t="s">
        <v>14</v>
      </c>
      <c r="B278" s="3" t="s">
        <v>1038</v>
      </c>
      <c r="C278" s="3" t="s">
        <v>1039</v>
      </c>
      <c r="D278" s="2" t="s">
        <v>1059</v>
      </c>
      <c r="E278" s="2">
        <v>313</v>
      </c>
      <c r="F278" s="2" t="s">
        <v>18</v>
      </c>
      <c r="G278" s="3" t="s">
        <v>1060</v>
      </c>
      <c r="H278" s="2">
        <v>900</v>
      </c>
      <c r="I278" s="4" t="s">
        <v>20</v>
      </c>
      <c r="J278" s="3" t="s">
        <v>1061</v>
      </c>
      <c r="K278" s="2">
        <v>15</v>
      </c>
      <c r="L278" s="2">
        <v>10</v>
      </c>
      <c r="M278" s="5" t="s">
        <v>1062</v>
      </c>
      <c r="N278" s="3"/>
    </row>
    <row r="279" spans="1:14" ht="20.100000000000001" customHeight="1">
      <c r="A279" s="6" t="s">
        <v>14</v>
      </c>
      <c r="B279" s="7" t="s">
        <v>1038</v>
      </c>
      <c r="C279" s="7" t="s">
        <v>1039</v>
      </c>
      <c r="D279" s="6" t="s">
        <v>1063</v>
      </c>
      <c r="E279" s="6">
        <v>472</v>
      </c>
      <c r="F279" s="6" t="s">
        <v>18</v>
      </c>
      <c r="G279" s="7" t="s">
        <v>1064</v>
      </c>
      <c r="H279" s="6">
        <v>800</v>
      </c>
      <c r="I279" s="4" t="s">
        <v>20</v>
      </c>
      <c r="J279" s="7" t="s">
        <v>1065</v>
      </c>
      <c r="K279" s="6">
        <v>15</v>
      </c>
      <c r="L279" s="6">
        <v>10</v>
      </c>
      <c r="M279" s="8" t="s">
        <v>1066</v>
      </c>
      <c r="N279" s="7"/>
    </row>
    <row r="280" spans="1:14" ht="20.100000000000001" customHeight="1">
      <c r="A280" s="2" t="s">
        <v>14</v>
      </c>
      <c r="B280" s="3" t="s">
        <v>1038</v>
      </c>
      <c r="C280" s="3" t="s">
        <v>1039</v>
      </c>
      <c r="D280" s="2" t="s">
        <v>1067</v>
      </c>
      <c r="E280" s="2">
        <v>520</v>
      </c>
      <c r="F280" s="2" t="s">
        <v>18</v>
      </c>
      <c r="G280" s="3" t="s">
        <v>1068</v>
      </c>
      <c r="H280" s="2">
        <v>800</v>
      </c>
      <c r="I280" s="4" t="s">
        <v>20</v>
      </c>
      <c r="J280" s="3" t="s">
        <v>75</v>
      </c>
      <c r="K280" s="2">
        <v>15</v>
      </c>
      <c r="L280" s="2">
        <v>10</v>
      </c>
      <c r="M280" s="5" t="s">
        <v>1069</v>
      </c>
      <c r="N280" s="3"/>
    </row>
    <row r="281" spans="1:14" ht="20.100000000000001" customHeight="1">
      <c r="A281" s="6" t="s">
        <v>14</v>
      </c>
      <c r="B281" s="7" t="s">
        <v>1038</v>
      </c>
      <c r="C281" s="7" t="s">
        <v>1039</v>
      </c>
      <c r="D281" s="6" t="s">
        <v>1070</v>
      </c>
      <c r="E281" s="6">
        <v>977</v>
      </c>
      <c r="F281" s="6" t="s">
        <v>157</v>
      </c>
      <c r="G281" s="7" t="s">
        <v>1071</v>
      </c>
      <c r="H281" s="6">
        <v>900</v>
      </c>
      <c r="I281" s="4" t="s">
        <v>20</v>
      </c>
      <c r="J281" s="7" t="s">
        <v>75</v>
      </c>
      <c r="K281" s="6">
        <v>15</v>
      </c>
      <c r="L281" s="6">
        <v>10</v>
      </c>
      <c r="M281" s="8" t="s">
        <v>1072</v>
      </c>
      <c r="N281" s="7"/>
    </row>
    <row r="282" spans="1:14" ht="20.100000000000001" customHeight="1">
      <c r="A282" s="2" t="s">
        <v>14</v>
      </c>
      <c r="B282" s="3" t="s">
        <v>1038</v>
      </c>
      <c r="C282" s="3" t="s">
        <v>1039</v>
      </c>
      <c r="D282" s="2" t="s">
        <v>1073</v>
      </c>
      <c r="E282" s="2">
        <v>1095</v>
      </c>
      <c r="F282" s="2" t="s">
        <v>18</v>
      </c>
      <c r="G282" s="3" t="s">
        <v>1074</v>
      </c>
      <c r="H282" s="2">
        <v>800</v>
      </c>
      <c r="I282" s="4" t="s">
        <v>20</v>
      </c>
      <c r="J282" s="3" t="s">
        <v>21</v>
      </c>
      <c r="K282" s="2">
        <v>15</v>
      </c>
      <c r="L282" s="2">
        <v>10</v>
      </c>
      <c r="M282" s="5" t="s">
        <v>1075</v>
      </c>
      <c r="N282" s="3"/>
    </row>
    <row r="283" spans="1:14" ht="20.100000000000001" customHeight="1">
      <c r="A283" s="6" t="s">
        <v>14</v>
      </c>
      <c r="B283" s="7" t="s">
        <v>1038</v>
      </c>
      <c r="C283" s="7" t="s">
        <v>1039</v>
      </c>
      <c r="D283" s="6" t="s">
        <v>1076</v>
      </c>
      <c r="E283" s="6">
        <v>1108</v>
      </c>
      <c r="F283" s="6" t="s">
        <v>157</v>
      </c>
      <c r="G283" s="7" t="s">
        <v>1077</v>
      </c>
      <c r="H283" s="6">
        <v>1100</v>
      </c>
      <c r="I283" s="4" t="s">
        <v>43</v>
      </c>
      <c r="J283" s="7" t="s">
        <v>1078</v>
      </c>
      <c r="K283" s="6">
        <v>25</v>
      </c>
      <c r="L283" s="6">
        <v>20</v>
      </c>
      <c r="M283" s="8" t="s">
        <v>1079</v>
      </c>
      <c r="N283" s="7"/>
    </row>
    <row r="284" spans="1:14" ht="20.100000000000001" customHeight="1">
      <c r="A284" s="2" t="s">
        <v>14</v>
      </c>
      <c r="B284" s="3" t="s">
        <v>1038</v>
      </c>
      <c r="C284" s="3" t="s">
        <v>1039</v>
      </c>
      <c r="D284" s="2" t="s">
        <v>1080</v>
      </c>
      <c r="E284" s="2">
        <v>1182</v>
      </c>
      <c r="F284" s="2" t="s">
        <v>18</v>
      </c>
      <c r="G284" s="3" t="s">
        <v>1081</v>
      </c>
      <c r="H284" s="2">
        <v>1000</v>
      </c>
      <c r="I284" s="4" t="s">
        <v>43</v>
      </c>
      <c r="J284" s="3" t="s">
        <v>1082</v>
      </c>
      <c r="K284" s="2">
        <v>15</v>
      </c>
      <c r="L284" s="2">
        <v>10</v>
      </c>
      <c r="M284" s="5" t="s">
        <v>1083</v>
      </c>
      <c r="N284" s="3"/>
    </row>
    <row r="285" spans="1:14" ht="20.100000000000001" customHeight="1">
      <c r="A285" s="6" t="s">
        <v>14</v>
      </c>
      <c r="B285" s="7" t="s">
        <v>1038</v>
      </c>
      <c r="C285" s="7" t="s">
        <v>1039</v>
      </c>
      <c r="D285" s="6" t="s">
        <v>1084</v>
      </c>
      <c r="E285" s="6">
        <v>1266</v>
      </c>
      <c r="F285" s="6" t="s">
        <v>18</v>
      </c>
      <c r="G285" s="7" t="s">
        <v>1085</v>
      </c>
      <c r="H285" s="6">
        <v>1000</v>
      </c>
      <c r="I285" s="4" t="s">
        <v>43</v>
      </c>
      <c r="J285" s="7" t="s">
        <v>1086</v>
      </c>
      <c r="K285" s="6">
        <v>15</v>
      </c>
      <c r="L285" s="6">
        <v>10</v>
      </c>
      <c r="M285" s="8" t="s">
        <v>1087</v>
      </c>
      <c r="N285" s="7"/>
    </row>
    <row r="286" spans="1:14" ht="20.100000000000001" customHeight="1">
      <c r="A286" s="2" t="s">
        <v>14</v>
      </c>
      <c r="B286" s="3" t="s">
        <v>1038</v>
      </c>
      <c r="C286" s="3" t="s">
        <v>1039</v>
      </c>
      <c r="D286" s="2" t="s">
        <v>1088</v>
      </c>
      <c r="E286" s="2">
        <v>1295</v>
      </c>
      <c r="F286" s="2" t="s">
        <v>18</v>
      </c>
      <c r="G286" s="3" t="s">
        <v>1089</v>
      </c>
      <c r="H286" s="2">
        <v>900</v>
      </c>
      <c r="I286" s="4" t="s">
        <v>20</v>
      </c>
      <c r="J286" s="3" t="s">
        <v>722</v>
      </c>
      <c r="K286" s="2">
        <v>15</v>
      </c>
      <c r="L286" s="2">
        <v>10</v>
      </c>
      <c r="M286" s="5" t="s">
        <v>1090</v>
      </c>
      <c r="N286" s="3"/>
    </row>
    <row r="287" spans="1:14" ht="20.100000000000001" customHeight="1">
      <c r="A287" s="6" t="s">
        <v>14</v>
      </c>
      <c r="B287" s="7" t="s">
        <v>1038</v>
      </c>
      <c r="C287" s="7" t="s">
        <v>1039</v>
      </c>
      <c r="D287" s="6" t="s">
        <v>1091</v>
      </c>
      <c r="E287" s="6">
        <v>1433</v>
      </c>
      <c r="F287" s="6" t="s">
        <v>18</v>
      </c>
      <c r="G287" s="7" t="s">
        <v>1092</v>
      </c>
      <c r="H287" s="6">
        <v>800</v>
      </c>
      <c r="I287" s="4" t="s">
        <v>20</v>
      </c>
      <c r="J287" s="7" t="s">
        <v>61</v>
      </c>
      <c r="K287" s="6">
        <v>15</v>
      </c>
      <c r="L287" s="6">
        <v>10</v>
      </c>
      <c r="M287" s="8" t="s">
        <v>1093</v>
      </c>
      <c r="N287" s="7"/>
    </row>
    <row r="288" spans="1:14" ht="20.100000000000001" customHeight="1">
      <c r="A288" s="2" t="s">
        <v>14</v>
      </c>
      <c r="B288" s="3" t="s">
        <v>1038</v>
      </c>
      <c r="C288" s="3" t="s">
        <v>1094</v>
      </c>
      <c r="D288" s="2" t="s">
        <v>1095</v>
      </c>
      <c r="E288" s="2">
        <v>271</v>
      </c>
      <c r="F288" s="2" t="s">
        <v>18</v>
      </c>
      <c r="G288" s="3" t="s">
        <v>1096</v>
      </c>
      <c r="H288" s="2">
        <v>800</v>
      </c>
      <c r="I288" s="4" t="s">
        <v>20</v>
      </c>
      <c r="J288" s="3" t="s">
        <v>209</v>
      </c>
      <c r="K288" s="2">
        <v>15</v>
      </c>
      <c r="L288" s="2">
        <v>10</v>
      </c>
      <c r="M288" s="5" t="s">
        <v>1097</v>
      </c>
      <c r="N288" s="3"/>
    </row>
    <row r="289" spans="1:14" ht="20.100000000000001" customHeight="1">
      <c r="A289" s="6" t="s">
        <v>14</v>
      </c>
      <c r="B289" s="7" t="s">
        <v>1038</v>
      </c>
      <c r="C289" s="7" t="s">
        <v>1094</v>
      </c>
      <c r="D289" s="6" t="s">
        <v>1098</v>
      </c>
      <c r="E289" s="6">
        <v>443</v>
      </c>
      <c r="F289" s="6" t="s">
        <v>18</v>
      </c>
      <c r="G289" s="7" t="s">
        <v>1099</v>
      </c>
      <c r="H289" s="6">
        <v>800</v>
      </c>
      <c r="I289" s="4" t="s">
        <v>20</v>
      </c>
      <c r="J289" s="7" t="s">
        <v>293</v>
      </c>
      <c r="K289" s="6">
        <v>15</v>
      </c>
      <c r="L289" s="6">
        <v>10</v>
      </c>
      <c r="M289" s="8" t="s">
        <v>1100</v>
      </c>
      <c r="N289" s="7"/>
    </row>
    <row r="290" spans="1:14" ht="20.100000000000001" customHeight="1">
      <c r="A290" s="2" t="s">
        <v>14</v>
      </c>
      <c r="B290" s="3" t="s">
        <v>1038</v>
      </c>
      <c r="C290" s="3" t="s">
        <v>1094</v>
      </c>
      <c r="D290" s="2" t="s">
        <v>1101</v>
      </c>
      <c r="E290" s="2">
        <v>554</v>
      </c>
      <c r="F290" s="2" t="s">
        <v>18</v>
      </c>
      <c r="G290" s="3" t="s">
        <v>1102</v>
      </c>
      <c r="H290" s="2">
        <v>900</v>
      </c>
      <c r="I290" s="4" t="s">
        <v>20</v>
      </c>
      <c r="J290" s="3" t="s">
        <v>1103</v>
      </c>
      <c r="K290" s="2">
        <v>15</v>
      </c>
      <c r="L290" s="2">
        <v>10</v>
      </c>
      <c r="M290" s="5" t="s">
        <v>1104</v>
      </c>
      <c r="N290" s="3"/>
    </row>
    <row r="291" spans="1:14" ht="20.100000000000001" customHeight="1">
      <c r="A291" s="6" t="s">
        <v>14</v>
      </c>
      <c r="B291" s="7" t="s">
        <v>1038</v>
      </c>
      <c r="C291" s="7" t="s">
        <v>1094</v>
      </c>
      <c r="D291" s="6" t="s">
        <v>1105</v>
      </c>
      <c r="E291" s="6">
        <v>897</v>
      </c>
      <c r="F291" s="6" t="s">
        <v>18</v>
      </c>
      <c r="G291" s="7" t="s">
        <v>1106</v>
      </c>
      <c r="H291" s="6">
        <v>800</v>
      </c>
      <c r="I291" s="4" t="s">
        <v>20</v>
      </c>
      <c r="J291" s="7" t="s">
        <v>21</v>
      </c>
      <c r="K291" s="6">
        <v>15</v>
      </c>
      <c r="L291" s="6">
        <v>10</v>
      </c>
      <c r="M291" s="8" t="s">
        <v>1107</v>
      </c>
      <c r="N291" s="7"/>
    </row>
    <row r="292" spans="1:14" ht="20.100000000000001" customHeight="1">
      <c r="A292" s="2" t="s">
        <v>14</v>
      </c>
      <c r="B292" s="3" t="s">
        <v>1038</v>
      </c>
      <c r="C292" s="3" t="s">
        <v>1094</v>
      </c>
      <c r="D292" s="2" t="s">
        <v>1108</v>
      </c>
      <c r="E292" s="2">
        <v>978</v>
      </c>
      <c r="F292" s="2" t="s">
        <v>157</v>
      </c>
      <c r="G292" s="3" t="s">
        <v>1109</v>
      </c>
      <c r="H292" s="2">
        <v>800</v>
      </c>
      <c r="I292" s="4" t="s">
        <v>20</v>
      </c>
      <c r="J292" s="3" t="s">
        <v>1045</v>
      </c>
      <c r="K292" s="2">
        <v>15</v>
      </c>
      <c r="L292" s="2">
        <v>10</v>
      </c>
      <c r="M292" s="5" t="s">
        <v>1110</v>
      </c>
      <c r="N292" s="3"/>
    </row>
    <row r="293" spans="1:14" ht="20.100000000000001" customHeight="1">
      <c r="A293" s="6" t="s">
        <v>14</v>
      </c>
      <c r="B293" s="7" t="s">
        <v>1038</v>
      </c>
      <c r="C293" s="7" t="s">
        <v>1094</v>
      </c>
      <c r="D293" s="6" t="s">
        <v>1111</v>
      </c>
      <c r="E293" s="6">
        <v>1008</v>
      </c>
      <c r="F293" s="6" t="s">
        <v>18</v>
      </c>
      <c r="G293" s="7" t="s">
        <v>1112</v>
      </c>
      <c r="H293" s="6">
        <v>900</v>
      </c>
      <c r="I293" s="4" t="s">
        <v>20</v>
      </c>
      <c r="J293" s="7" t="s">
        <v>75</v>
      </c>
      <c r="K293" s="6">
        <v>15</v>
      </c>
      <c r="L293" s="6">
        <v>10</v>
      </c>
      <c r="M293" s="8" t="s">
        <v>1113</v>
      </c>
      <c r="N293" s="7"/>
    </row>
    <row r="294" spans="1:14" ht="20.100000000000001" customHeight="1">
      <c r="A294" s="2" t="s">
        <v>14</v>
      </c>
      <c r="B294" s="3" t="s">
        <v>1038</v>
      </c>
      <c r="C294" s="3" t="s">
        <v>1094</v>
      </c>
      <c r="D294" s="2" t="s">
        <v>1114</v>
      </c>
      <c r="E294" s="2">
        <v>1216</v>
      </c>
      <c r="F294" s="2" t="s">
        <v>18</v>
      </c>
      <c r="G294" s="3" t="s">
        <v>1115</v>
      </c>
      <c r="H294" s="2">
        <v>800</v>
      </c>
      <c r="I294" s="4" t="s">
        <v>20</v>
      </c>
      <c r="J294" s="3" t="s">
        <v>916</v>
      </c>
      <c r="K294" s="2">
        <v>15</v>
      </c>
      <c r="L294" s="2">
        <v>10</v>
      </c>
      <c r="M294" s="5" t="s">
        <v>1116</v>
      </c>
      <c r="N294" s="3"/>
    </row>
    <row r="295" spans="1:14" ht="20.100000000000001" customHeight="1">
      <c r="A295" s="6" t="s">
        <v>14</v>
      </c>
      <c r="B295" s="7" t="s">
        <v>1038</v>
      </c>
      <c r="C295" s="7" t="s">
        <v>1094</v>
      </c>
      <c r="D295" s="6" t="s">
        <v>1117</v>
      </c>
      <c r="E295" s="6">
        <v>1277</v>
      </c>
      <c r="F295" s="6" t="s">
        <v>18</v>
      </c>
      <c r="G295" s="7" t="s">
        <v>1118</v>
      </c>
      <c r="H295" s="6">
        <v>1000</v>
      </c>
      <c r="I295" s="4" t="s">
        <v>43</v>
      </c>
      <c r="J295" s="7" t="s">
        <v>21</v>
      </c>
      <c r="K295" s="6">
        <v>15</v>
      </c>
      <c r="L295" s="6">
        <v>10</v>
      </c>
      <c r="M295" s="8" t="s">
        <v>1119</v>
      </c>
      <c r="N295" s="7"/>
    </row>
    <row r="296" spans="1:14" ht="20.100000000000001" customHeight="1">
      <c r="A296" s="2" t="s">
        <v>14</v>
      </c>
      <c r="B296" s="3" t="s">
        <v>1038</v>
      </c>
      <c r="C296" s="3" t="s">
        <v>1094</v>
      </c>
      <c r="D296" s="2" t="s">
        <v>1120</v>
      </c>
      <c r="E296" s="2">
        <v>1368</v>
      </c>
      <c r="F296" s="2" t="s">
        <v>157</v>
      </c>
      <c r="G296" s="3" t="s">
        <v>1121</v>
      </c>
      <c r="H296" s="2">
        <v>1500</v>
      </c>
      <c r="I296" s="9" t="s">
        <v>172</v>
      </c>
      <c r="J296" s="3" t="s">
        <v>1122</v>
      </c>
      <c r="K296" s="2">
        <v>40</v>
      </c>
      <c r="L296" s="2">
        <v>35</v>
      </c>
      <c r="M296" s="5" t="s">
        <v>1123</v>
      </c>
      <c r="N296" s="3"/>
    </row>
    <row r="297" spans="1:14" ht="20.100000000000001" customHeight="1">
      <c r="A297" s="6" t="s">
        <v>14</v>
      </c>
      <c r="B297" s="7" t="s">
        <v>1038</v>
      </c>
      <c r="C297" s="7" t="s">
        <v>1094</v>
      </c>
      <c r="D297" s="6" t="s">
        <v>1124</v>
      </c>
      <c r="E297" s="6">
        <v>1430</v>
      </c>
      <c r="F297" s="6" t="s">
        <v>183</v>
      </c>
      <c r="G297" s="7" t="s">
        <v>1125</v>
      </c>
      <c r="H297" s="6">
        <v>1000</v>
      </c>
      <c r="I297" s="4" t="s">
        <v>43</v>
      </c>
      <c r="J297" s="7" t="s">
        <v>1126</v>
      </c>
      <c r="K297" s="6">
        <v>15</v>
      </c>
      <c r="L297" s="6">
        <v>10</v>
      </c>
      <c r="M297" s="8" t="s">
        <v>1127</v>
      </c>
      <c r="N297" s="7"/>
    </row>
    <row r="298" spans="1:14" ht="20.100000000000001" customHeight="1">
      <c r="A298" s="2" t="s">
        <v>14</v>
      </c>
      <c r="B298" s="3" t="s">
        <v>1038</v>
      </c>
      <c r="C298" s="3" t="s">
        <v>1094</v>
      </c>
      <c r="D298" s="2" t="s">
        <v>1128</v>
      </c>
      <c r="E298" s="2">
        <v>1450</v>
      </c>
      <c r="F298" s="2" t="s">
        <v>18</v>
      </c>
      <c r="G298" s="3" t="s">
        <v>1129</v>
      </c>
      <c r="H298" s="2">
        <v>800</v>
      </c>
      <c r="I298" s="4" t="s">
        <v>20</v>
      </c>
      <c r="J298" s="3" t="s">
        <v>645</v>
      </c>
      <c r="K298" s="2">
        <v>15</v>
      </c>
      <c r="L298" s="2">
        <v>10</v>
      </c>
      <c r="M298" s="5" t="s">
        <v>1130</v>
      </c>
      <c r="N298" s="3"/>
    </row>
    <row r="299" spans="1:14" ht="20.100000000000001" customHeight="1">
      <c r="A299" s="6" t="s">
        <v>14</v>
      </c>
      <c r="B299" s="7" t="s">
        <v>1038</v>
      </c>
      <c r="C299" s="7" t="s">
        <v>1094</v>
      </c>
      <c r="D299" s="6" t="s">
        <v>1131</v>
      </c>
      <c r="E299" s="6">
        <v>1530</v>
      </c>
      <c r="F299" s="6" t="s">
        <v>18</v>
      </c>
      <c r="G299" s="7" t="s">
        <v>1132</v>
      </c>
      <c r="H299" s="6">
        <v>800</v>
      </c>
      <c r="I299" s="4" t="s">
        <v>20</v>
      </c>
      <c r="J299" s="7" t="s">
        <v>147</v>
      </c>
      <c r="K299" s="6">
        <v>15</v>
      </c>
      <c r="L299" s="6">
        <v>10</v>
      </c>
      <c r="M299" s="8" t="s">
        <v>1133</v>
      </c>
      <c r="N299" s="7"/>
    </row>
    <row r="300" spans="1:14" ht="20.100000000000001" customHeight="1">
      <c r="A300" s="2" t="s">
        <v>14</v>
      </c>
      <c r="B300" s="3" t="s">
        <v>1038</v>
      </c>
      <c r="C300" s="3" t="s">
        <v>1134</v>
      </c>
      <c r="D300" s="2" t="s">
        <v>1135</v>
      </c>
      <c r="E300" s="2">
        <v>1165</v>
      </c>
      <c r="F300" s="2" t="s">
        <v>183</v>
      </c>
      <c r="G300" s="3" t="s">
        <v>1136</v>
      </c>
      <c r="H300" s="2">
        <v>1300</v>
      </c>
      <c r="I300" s="9" t="s">
        <v>163</v>
      </c>
      <c r="J300" s="3" t="s">
        <v>722</v>
      </c>
      <c r="K300" s="2">
        <v>25</v>
      </c>
      <c r="L300" s="2">
        <v>20</v>
      </c>
      <c r="M300" s="5" t="s">
        <v>1137</v>
      </c>
      <c r="N300" s="3"/>
    </row>
    <row r="301" spans="1:14" ht="20.100000000000001" customHeight="1">
      <c r="A301" s="6" t="s">
        <v>14</v>
      </c>
      <c r="B301" s="7" t="s">
        <v>1038</v>
      </c>
      <c r="C301" s="7" t="s">
        <v>1134</v>
      </c>
      <c r="D301" s="6" t="s">
        <v>1138</v>
      </c>
      <c r="E301" s="6">
        <v>1200</v>
      </c>
      <c r="F301" s="6" t="s">
        <v>531</v>
      </c>
      <c r="G301" s="7" t="s">
        <v>1139</v>
      </c>
      <c r="H301" s="6">
        <v>2000</v>
      </c>
      <c r="I301" s="10" t="s">
        <v>386</v>
      </c>
      <c r="J301" s="7" t="s">
        <v>1140</v>
      </c>
      <c r="K301" s="6">
        <v>90</v>
      </c>
      <c r="L301" s="6">
        <v>80</v>
      </c>
      <c r="M301" s="8" t="s">
        <v>1141</v>
      </c>
      <c r="N301" s="7"/>
    </row>
    <row r="302" spans="1:14" ht="20.100000000000001" customHeight="1">
      <c r="A302" s="2" t="s">
        <v>14</v>
      </c>
      <c r="B302" s="3" t="s">
        <v>1038</v>
      </c>
      <c r="C302" s="3" t="s">
        <v>1134</v>
      </c>
      <c r="D302" s="2" t="s">
        <v>1142</v>
      </c>
      <c r="E302" s="2">
        <v>1367</v>
      </c>
      <c r="F302" s="2" t="s">
        <v>384</v>
      </c>
      <c r="G302" s="3" t="s">
        <v>1143</v>
      </c>
      <c r="H302" s="2">
        <v>1800</v>
      </c>
      <c r="I302" s="10" t="s">
        <v>418</v>
      </c>
      <c r="J302" s="3" t="s">
        <v>1144</v>
      </c>
      <c r="K302" s="2">
        <v>60</v>
      </c>
      <c r="L302" s="2">
        <v>55</v>
      </c>
      <c r="M302" s="5" t="s">
        <v>1145</v>
      </c>
      <c r="N302" s="3"/>
    </row>
    <row r="303" spans="1:14" ht="20.100000000000001" customHeight="1">
      <c r="A303" s="6" t="s">
        <v>14</v>
      </c>
      <c r="B303" s="7" t="s">
        <v>1038</v>
      </c>
      <c r="C303" s="7" t="s">
        <v>1134</v>
      </c>
      <c r="D303" s="6" t="s">
        <v>1146</v>
      </c>
      <c r="E303" s="6">
        <v>1382</v>
      </c>
      <c r="F303" s="6" t="s">
        <v>720</v>
      </c>
      <c r="G303" s="7" t="s">
        <v>185</v>
      </c>
      <c r="H303" s="6" t="s">
        <v>185</v>
      </c>
      <c r="I303" s="11" t="s">
        <v>185</v>
      </c>
      <c r="J303" s="7" t="s">
        <v>185</v>
      </c>
      <c r="K303" s="6">
        <v>0</v>
      </c>
      <c r="L303" s="6">
        <v>0</v>
      </c>
      <c r="M303" s="8" t="s">
        <v>1147</v>
      </c>
      <c r="N303" s="7"/>
    </row>
    <row r="304" spans="1:14" ht="20.100000000000001" customHeight="1">
      <c r="A304" s="2" t="s">
        <v>14</v>
      </c>
      <c r="B304" s="3" t="s">
        <v>1038</v>
      </c>
      <c r="C304" s="3" t="s">
        <v>1134</v>
      </c>
      <c r="D304" s="2" t="s">
        <v>1148</v>
      </c>
      <c r="E304" s="2">
        <v>1382</v>
      </c>
      <c r="F304" s="2" t="s">
        <v>725</v>
      </c>
      <c r="G304" s="3" t="s">
        <v>185</v>
      </c>
      <c r="H304" s="2" t="s">
        <v>185</v>
      </c>
      <c r="I304" s="11" t="s">
        <v>185</v>
      </c>
      <c r="J304" s="3" t="s">
        <v>185</v>
      </c>
      <c r="K304" s="2">
        <v>0</v>
      </c>
      <c r="L304" s="2">
        <v>0</v>
      </c>
      <c r="M304" s="5" t="s">
        <v>1149</v>
      </c>
      <c r="N304" s="3"/>
    </row>
    <row r="305" spans="1:14" ht="20.100000000000001" customHeight="1">
      <c r="A305" s="6" t="s">
        <v>14</v>
      </c>
      <c r="B305" s="7" t="s">
        <v>1038</v>
      </c>
      <c r="C305" s="7" t="s">
        <v>1134</v>
      </c>
      <c r="D305" s="6" t="s">
        <v>1150</v>
      </c>
      <c r="E305" s="6">
        <v>1430</v>
      </c>
      <c r="F305" s="6" t="s">
        <v>531</v>
      </c>
      <c r="G305" s="7" t="s">
        <v>1151</v>
      </c>
      <c r="H305" s="6">
        <v>1900</v>
      </c>
      <c r="I305" s="10" t="s">
        <v>386</v>
      </c>
      <c r="J305" s="7" t="s">
        <v>1152</v>
      </c>
      <c r="K305" s="6">
        <v>60</v>
      </c>
      <c r="L305" s="6">
        <v>55</v>
      </c>
      <c r="M305" s="8" t="s">
        <v>1153</v>
      </c>
      <c r="N305" s="7"/>
    </row>
    <row r="306" spans="1:14" ht="20.100000000000001" customHeight="1">
      <c r="A306" s="2" t="s">
        <v>14</v>
      </c>
      <c r="B306" s="3" t="s">
        <v>1038</v>
      </c>
      <c r="C306" s="3" t="s">
        <v>1134</v>
      </c>
      <c r="D306" s="2" t="s">
        <v>1154</v>
      </c>
      <c r="E306" s="2">
        <v>1451</v>
      </c>
      <c r="F306" s="2" t="s">
        <v>183</v>
      </c>
      <c r="G306" s="3" t="s">
        <v>1155</v>
      </c>
      <c r="H306" s="2">
        <v>1400</v>
      </c>
      <c r="I306" s="9" t="s">
        <v>163</v>
      </c>
      <c r="J306" s="3" t="s">
        <v>1156</v>
      </c>
      <c r="K306" s="2">
        <v>40</v>
      </c>
      <c r="L306" s="2">
        <v>35</v>
      </c>
      <c r="M306" s="5" t="s">
        <v>1157</v>
      </c>
      <c r="N306" s="3"/>
    </row>
    <row r="307" spans="1:14" ht="20.100000000000001" customHeight="1">
      <c r="A307" s="6" t="s">
        <v>14</v>
      </c>
      <c r="B307" s="7" t="s">
        <v>1038</v>
      </c>
      <c r="C307" s="7" t="s">
        <v>1134</v>
      </c>
      <c r="D307" s="6" t="s">
        <v>1158</v>
      </c>
      <c r="E307" s="6">
        <v>1493</v>
      </c>
      <c r="F307" s="6" t="s">
        <v>183</v>
      </c>
      <c r="G307" s="7" t="s">
        <v>1159</v>
      </c>
      <c r="H307" s="6">
        <v>2000</v>
      </c>
      <c r="I307" s="10" t="s">
        <v>386</v>
      </c>
      <c r="J307" s="7" t="s">
        <v>1160</v>
      </c>
      <c r="K307" s="6">
        <v>90</v>
      </c>
      <c r="L307" s="6">
        <v>80</v>
      </c>
      <c r="M307" s="8" t="s">
        <v>1161</v>
      </c>
      <c r="N307" s="7"/>
    </row>
    <row r="308" spans="1:14" ht="20.100000000000001" customHeight="1">
      <c r="A308" s="2" t="s">
        <v>14</v>
      </c>
      <c r="B308" s="3" t="s">
        <v>1038</v>
      </c>
      <c r="C308" s="3" t="s">
        <v>1162</v>
      </c>
      <c r="D308" s="2" t="s">
        <v>1163</v>
      </c>
      <c r="E308" s="2">
        <v>126</v>
      </c>
      <c r="F308" s="2" t="s">
        <v>157</v>
      </c>
      <c r="G308" s="3" t="s">
        <v>1164</v>
      </c>
      <c r="H308" s="2">
        <v>1700</v>
      </c>
      <c r="I308" s="10" t="s">
        <v>418</v>
      </c>
      <c r="J308" s="3" t="s">
        <v>1165</v>
      </c>
      <c r="K308" s="2">
        <v>60</v>
      </c>
      <c r="L308" s="2">
        <v>55</v>
      </c>
      <c r="M308" s="5" t="s">
        <v>1166</v>
      </c>
      <c r="N308" s="3"/>
    </row>
    <row r="309" spans="1:14" ht="20.100000000000001" customHeight="1">
      <c r="A309" s="6" t="s">
        <v>14</v>
      </c>
      <c r="B309" s="7" t="s">
        <v>1038</v>
      </c>
      <c r="C309" s="7" t="s">
        <v>1162</v>
      </c>
      <c r="D309" s="6" t="s">
        <v>1167</v>
      </c>
      <c r="E309" s="6">
        <v>432</v>
      </c>
      <c r="F309" s="6" t="s">
        <v>384</v>
      </c>
      <c r="G309" s="7" t="s">
        <v>915</v>
      </c>
      <c r="H309" s="6">
        <v>2000</v>
      </c>
      <c r="I309" s="10" t="s">
        <v>386</v>
      </c>
      <c r="J309" s="7" t="s">
        <v>1168</v>
      </c>
      <c r="K309" s="6">
        <v>90</v>
      </c>
      <c r="L309" s="6">
        <v>80</v>
      </c>
      <c r="M309" s="8" t="s">
        <v>1169</v>
      </c>
      <c r="N309" s="7"/>
    </row>
    <row r="310" spans="1:14" ht="20.100000000000001" customHeight="1">
      <c r="A310" s="2" t="s">
        <v>14</v>
      </c>
      <c r="B310" s="3" t="s">
        <v>1038</v>
      </c>
      <c r="C310" s="3" t="s">
        <v>1162</v>
      </c>
      <c r="D310" s="2" t="s">
        <v>1170</v>
      </c>
      <c r="E310" s="2">
        <v>471</v>
      </c>
      <c r="F310" s="2" t="s">
        <v>384</v>
      </c>
      <c r="G310" s="3" t="s">
        <v>1171</v>
      </c>
      <c r="H310" s="2">
        <v>1800</v>
      </c>
      <c r="I310" s="10" t="s">
        <v>418</v>
      </c>
      <c r="J310" s="3" t="s">
        <v>1172</v>
      </c>
      <c r="K310" s="2">
        <v>60</v>
      </c>
      <c r="L310" s="2">
        <v>55</v>
      </c>
      <c r="M310" s="5" t="s">
        <v>1173</v>
      </c>
      <c r="N310" s="3"/>
    </row>
    <row r="311" spans="1:14" ht="20.100000000000001" customHeight="1">
      <c r="A311" s="6" t="s">
        <v>14</v>
      </c>
      <c r="B311" s="7" t="s">
        <v>1038</v>
      </c>
      <c r="C311" s="7" t="s">
        <v>1162</v>
      </c>
      <c r="D311" s="6" t="s">
        <v>1174</v>
      </c>
      <c r="E311" s="6">
        <v>526</v>
      </c>
      <c r="F311" s="6" t="s">
        <v>384</v>
      </c>
      <c r="G311" s="7" t="s">
        <v>1175</v>
      </c>
      <c r="H311" s="6">
        <v>2200</v>
      </c>
      <c r="I311" s="12" t="s">
        <v>523</v>
      </c>
      <c r="J311" s="7" t="s">
        <v>1176</v>
      </c>
      <c r="K311" s="6">
        <v>90</v>
      </c>
      <c r="L311" s="6">
        <v>80</v>
      </c>
      <c r="M311" s="8" t="s">
        <v>1177</v>
      </c>
      <c r="N311" s="7"/>
    </row>
    <row r="312" spans="1:14" ht="20.100000000000001" customHeight="1">
      <c r="A312" s="2" t="s">
        <v>14</v>
      </c>
      <c r="B312" s="3" t="s">
        <v>1038</v>
      </c>
      <c r="C312" s="3" t="s">
        <v>1162</v>
      </c>
      <c r="D312" s="2" t="s">
        <v>1178</v>
      </c>
      <c r="E312" s="2">
        <v>808</v>
      </c>
      <c r="F312" s="2" t="s">
        <v>535</v>
      </c>
      <c r="G312" s="3" t="s">
        <v>1179</v>
      </c>
      <c r="H312" s="2">
        <v>2300</v>
      </c>
      <c r="I312" s="12" t="s">
        <v>523</v>
      </c>
      <c r="J312" s="3" t="s">
        <v>1180</v>
      </c>
      <c r="K312" s="2">
        <v>120</v>
      </c>
      <c r="L312" s="2">
        <v>110</v>
      </c>
      <c r="M312" s="5" t="s">
        <v>1181</v>
      </c>
      <c r="N312" s="3"/>
    </row>
    <row r="313" spans="1:14" ht="20.100000000000001" customHeight="1">
      <c r="A313" s="6" t="s">
        <v>14</v>
      </c>
      <c r="B313" s="7" t="s">
        <v>1038</v>
      </c>
      <c r="C313" s="7" t="s">
        <v>1162</v>
      </c>
      <c r="D313" s="6" t="s">
        <v>1182</v>
      </c>
      <c r="E313" s="6">
        <v>1326</v>
      </c>
      <c r="F313" s="6" t="s">
        <v>843</v>
      </c>
      <c r="G313" s="7" t="s">
        <v>1183</v>
      </c>
      <c r="H313" s="6">
        <v>1800</v>
      </c>
      <c r="I313" s="10" t="s">
        <v>418</v>
      </c>
      <c r="J313" s="7" t="s">
        <v>1184</v>
      </c>
      <c r="K313" s="6">
        <v>60</v>
      </c>
      <c r="L313" s="6">
        <v>55</v>
      </c>
      <c r="M313" s="8" t="s">
        <v>1185</v>
      </c>
      <c r="N313" s="7"/>
    </row>
    <row r="314" spans="1:14" ht="20.100000000000001" customHeight="1">
      <c r="A314" s="2" t="s">
        <v>14</v>
      </c>
      <c r="B314" s="3" t="s">
        <v>1038</v>
      </c>
      <c r="C314" s="3" t="s">
        <v>1162</v>
      </c>
      <c r="D314" s="2" t="s">
        <v>1186</v>
      </c>
      <c r="E314" s="2">
        <v>1721</v>
      </c>
      <c r="F314" s="2" t="s">
        <v>531</v>
      </c>
      <c r="G314" s="3" t="s">
        <v>1187</v>
      </c>
      <c r="H314" s="2">
        <v>2200</v>
      </c>
      <c r="I314" s="12" t="s">
        <v>523</v>
      </c>
      <c r="J314" s="3" t="s">
        <v>1188</v>
      </c>
      <c r="K314" s="2">
        <v>90</v>
      </c>
      <c r="L314" s="2">
        <v>80</v>
      </c>
      <c r="M314" s="5" t="s">
        <v>1189</v>
      </c>
      <c r="N314" s="3"/>
    </row>
    <row r="315" spans="1:14" ht="20.100000000000001" customHeight="1">
      <c r="A315" s="6" t="s">
        <v>14</v>
      </c>
      <c r="B315" s="7" t="s">
        <v>1038</v>
      </c>
      <c r="C315" s="7" t="s">
        <v>1190</v>
      </c>
      <c r="D315" s="6" t="s">
        <v>1191</v>
      </c>
      <c r="E315" s="6">
        <v>196</v>
      </c>
      <c r="F315" s="6" t="s">
        <v>157</v>
      </c>
      <c r="G315" s="7" t="s">
        <v>1192</v>
      </c>
      <c r="H315" s="6">
        <v>2000</v>
      </c>
      <c r="I315" s="10" t="s">
        <v>386</v>
      </c>
      <c r="J315" s="7" t="s">
        <v>1193</v>
      </c>
      <c r="K315" s="6">
        <v>90</v>
      </c>
      <c r="L315" s="6">
        <v>80</v>
      </c>
      <c r="M315" s="8" t="s">
        <v>1194</v>
      </c>
      <c r="N315" s="7"/>
    </row>
    <row r="316" spans="1:14" ht="20.100000000000001" customHeight="1">
      <c r="A316" s="2" t="s">
        <v>14</v>
      </c>
      <c r="B316" s="3" t="s">
        <v>1038</v>
      </c>
      <c r="C316" s="3" t="s">
        <v>1190</v>
      </c>
      <c r="D316" s="2" t="s">
        <v>1195</v>
      </c>
      <c r="E316" s="2">
        <v>535</v>
      </c>
      <c r="F316" s="2" t="s">
        <v>384</v>
      </c>
      <c r="G316" s="3" t="s">
        <v>1196</v>
      </c>
      <c r="H316" s="2">
        <v>1900</v>
      </c>
      <c r="I316" s="10" t="s">
        <v>386</v>
      </c>
      <c r="J316" s="3" t="s">
        <v>1197</v>
      </c>
      <c r="K316" s="2">
        <v>60</v>
      </c>
      <c r="L316" s="2">
        <v>55</v>
      </c>
      <c r="M316" s="5" t="s">
        <v>1198</v>
      </c>
      <c r="N316" s="3"/>
    </row>
    <row r="317" spans="1:14" ht="20.100000000000001" customHeight="1">
      <c r="A317" s="6" t="s">
        <v>14</v>
      </c>
      <c r="B317" s="7" t="s">
        <v>1038</v>
      </c>
      <c r="C317" s="7" t="s">
        <v>1190</v>
      </c>
      <c r="D317" s="6" t="s">
        <v>1199</v>
      </c>
      <c r="E317" s="6">
        <v>1137</v>
      </c>
      <c r="F317" s="6" t="s">
        <v>157</v>
      </c>
      <c r="G317" s="7" t="s">
        <v>1200</v>
      </c>
      <c r="H317" s="6">
        <v>1600</v>
      </c>
      <c r="I317" s="9" t="s">
        <v>172</v>
      </c>
      <c r="J317" s="7" t="s">
        <v>1201</v>
      </c>
      <c r="K317" s="6">
        <v>40</v>
      </c>
      <c r="L317" s="6">
        <v>35</v>
      </c>
      <c r="M317" s="8" t="s">
        <v>1202</v>
      </c>
      <c r="N317" s="7"/>
    </row>
    <row r="318" spans="1:14" ht="20.100000000000001" customHeight="1">
      <c r="A318" s="2" t="s">
        <v>14</v>
      </c>
      <c r="B318" s="3" t="s">
        <v>1038</v>
      </c>
      <c r="C318" s="3" t="s">
        <v>1190</v>
      </c>
      <c r="D318" s="2" t="s">
        <v>1203</v>
      </c>
      <c r="E318" s="2">
        <v>1267</v>
      </c>
      <c r="F318" s="2" t="s">
        <v>1204</v>
      </c>
      <c r="G318" s="3" t="s">
        <v>1205</v>
      </c>
      <c r="H318" s="2">
        <v>1800</v>
      </c>
      <c r="I318" s="10" t="s">
        <v>418</v>
      </c>
      <c r="J318" s="3" t="s">
        <v>1206</v>
      </c>
      <c r="K318" s="2">
        <v>60</v>
      </c>
      <c r="L318" s="2">
        <v>55</v>
      </c>
      <c r="M318" s="5" t="s">
        <v>1207</v>
      </c>
      <c r="N318" s="3"/>
    </row>
    <row r="319" spans="1:14" ht="20.100000000000001" customHeight="1">
      <c r="A319" s="6" t="s">
        <v>14</v>
      </c>
      <c r="B319" s="7" t="s">
        <v>1038</v>
      </c>
      <c r="C319" s="7" t="s">
        <v>1208</v>
      </c>
      <c r="D319" s="6" t="s">
        <v>1209</v>
      </c>
      <c r="E319" s="6">
        <v>271</v>
      </c>
      <c r="F319" s="6" t="s">
        <v>384</v>
      </c>
      <c r="G319" s="7" t="s">
        <v>1210</v>
      </c>
      <c r="H319" s="6">
        <v>1800</v>
      </c>
      <c r="I319" s="10" t="s">
        <v>418</v>
      </c>
      <c r="J319" s="7" t="s">
        <v>1211</v>
      </c>
      <c r="K319" s="6">
        <v>60</v>
      </c>
      <c r="L319" s="6">
        <v>55</v>
      </c>
      <c r="M319" s="8" t="s">
        <v>1212</v>
      </c>
      <c r="N319" s="7"/>
    </row>
    <row r="320" spans="1:14" ht="20.100000000000001" customHeight="1">
      <c r="A320" s="2" t="s">
        <v>14</v>
      </c>
      <c r="B320" s="3" t="s">
        <v>1038</v>
      </c>
      <c r="C320" s="3" t="s">
        <v>1208</v>
      </c>
      <c r="D320" s="2" t="s">
        <v>1213</v>
      </c>
      <c r="E320" s="2">
        <v>514</v>
      </c>
      <c r="F320" s="2" t="s">
        <v>183</v>
      </c>
      <c r="G320" s="3" t="s">
        <v>1214</v>
      </c>
      <c r="H320" s="2">
        <v>2000</v>
      </c>
      <c r="I320" s="10" t="s">
        <v>386</v>
      </c>
      <c r="J320" s="3" t="s">
        <v>1215</v>
      </c>
      <c r="K320" s="2">
        <v>90</v>
      </c>
      <c r="L320" s="2">
        <v>80</v>
      </c>
      <c r="M320" s="5" t="s">
        <v>1216</v>
      </c>
      <c r="N320" s="3"/>
    </row>
    <row r="321" spans="1:14" ht="20.100000000000001" customHeight="1">
      <c r="A321" s="6" t="s">
        <v>14</v>
      </c>
      <c r="B321" s="7" t="s">
        <v>1038</v>
      </c>
      <c r="C321" s="7" t="s">
        <v>1208</v>
      </c>
      <c r="D321" s="6" t="s">
        <v>1217</v>
      </c>
      <c r="E321" s="6">
        <v>580</v>
      </c>
      <c r="F321" s="6" t="s">
        <v>531</v>
      </c>
      <c r="G321" s="7" t="s">
        <v>1218</v>
      </c>
      <c r="H321" s="6">
        <v>2500</v>
      </c>
      <c r="I321" s="12" t="s">
        <v>659</v>
      </c>
      <c r="J321" s="7" t="s">
        <v>1219</v>
      </c>
      <c r="K321" s="6">
        <v>120</v>
      </c>
      <c r="L321" s="6">
        <v>110</v>
      </c>
      <c r="M321" s="8" t="s">
        <v>1220</v>
      </c>
      <c r="N321" s="7"/>
    </row>
    <row r="322" spans="1:14" ht="20.100000000000001" customHeight="1">
      <c r="A322" s="2" t="s">
        <v>14</v>
      </c>
      <c r="B322" s="3" t="s">
        <v>1038</v>
      </c>
      <c r="C322" s="3" t="s">
        <v>1208</v>
      </c>
      <c r="D322" s="2" t="s">
        <v>1221</v>
      </c>
      <c r="E322" s="2">
        <v>835</v>
      </c>
      <c r="F322" s="2" t="s">
        <v>384</v>
      </c>
      <c r="G322" s="3" t="s">
        <v>1222</v>
      </c>
      <c r="H322" s="2">
        <v>1900</v>
      </c>
      <c r="I322" s="10" t="s">
        <v>386</v>
      </c>
      <c r="J322" s="3" t="s">
        <v>1223</v>
      </c>
      <c r="K322" s="2">
        <v>60</v>
      </c>
      <c r="L322" s="2">
        <v>55</v>
      </c>
      <c r="M322" s="5" t="s">
        <v>1224</v>
      </c>
      <c r="N322" s="3"/>
    </row>
    <row r="323" spans="1:14" ht="20.100000000000001" customHeight="1">
      <c r="A323" s="6" t="s">
        <v>14</v>
      </c>
      <c r="B323" s="7" t="s">
        <v>1038</v>
      </c>
      <c r="C323" s="7" t="s">
        <v>1208</v>
      </c>
      <c r="D323" s="6" t="s">
        <v>1225</v>
      </c>
      <c r="E323" s="6">
        <v>963</v>
      </c>
      <c r="F323" s="6" t="s">
        <v>384</v>
      </c>
      <c r="G323" s="7" t="s">
        <v>1226</v>
      </c>
      <c r="H323" s="6">
        <v>2500</v>
      </c>
      <c r="I323" s="12" t="s">
        <v>659</v>
      </c>
      <c r="J323" s="7" t="s">
        <v>1176</v>
      </c>
      <c r="K323" s="6">
        <v>120</v>
      </c>
      <c r="L323" s="6">
        <v>110</v>
      </c>
      <c r="M323" s="8" t="s">
        <v>1227</v>
      </c>
      <c r="N323" s="7"/>
    </row>
    <row r="324" spans="1:14" ht="20.100000000000001" customHeight="1">
      <c r="A324" s="2" t="s">
        <v>14</v>
      </c>
      <c r="B324" s="3" t="s">
        <v>1228</v>
      </c>
      <c r="C324" s="3" t="s">
        <v>1229</v>
      </c>
      <c r="D324" s="2" t="s">
        <v>1230</v>
      </c>
      <c r="E324" s="2">
        <v>579</v>
      </c>
      <c r="F324" s="2" t="s">
        <v>18</v>
      </c>
      <c r="G324" s="3" t="s">
        <v>1231</v>
      </c>
      <c r="H324" s="2">
        <v>1000</v>
      </c>
      <c r="I324" s="4" t="s">
        <v>43</v>
      </c>
      <c r="J324" s="3" t="s">
        <v>1232</v>
      </c>
      <c r="K324" s="2">
        <v>15</v>
      </c>
      <c r="L324" s="2">
        <v>10</v>
      </c>
      <c r="M324" s="5" t="s">
        <v>1233</v>
      </c>
      <c r="N324" s="3"/>
    </row>
    <row r="325" spans="1:14" ht="20.100000000000001" customHeight="1">
      <c r="A325" s="6" t="s">
        <v>14</v>
      </c>
      <c r="B325" s="7" t="s">
        <v>1228</v>
      </c>
      <c r="C325" s="7" t="s">
        <v>1229</v>
      </c>
      <c r="D325" s="6" t="s">
        <v>1234</v>
      </c>
      <c r="E325" s="6">
        <v>768</v>
      </c>
      <c r="F325" s="6" t="s">
        <v>18</v>
      </c>
      <c r="G325" s="7" t="s">
        <v>1235</v>
      </c>
      <c r="H325" s="6">
        <v>900</v>
      </c>
      <c r="I325" s="4" t="s">
        <v>20</v>
      </c>
      <c r="J325" s="7" t="s">
        <v>645</v>
      </c>
      <c r="K325" s="6">
        <v>15</v>
      </c>
      <c r="L325" s="6">
        <v>10</v>
      </c>
      <c r="M325" s="8" t="s">
        <v>1236</v>
      </c>
      <c r="N325" s="7"/>
    </row>
    <row r="326" spans="1:14" ht="20.100000000000001" customHeight="1">
      <c r="A326" s="2" t="s">
        <v>14</v>
      </c>
      <c r="B326" s="3" t="s">
        <v>1228</v>
      </c>
      <c r="C326" s="3" t="s">
        <v>1229</v>
      </c>
      <c r="D326" s="2" t="s">
        <v>1237</v>
      </c>
      <c r="E326" s="2">
        <v>912</v>
      </c>
      <c r="F326" s="2" t="s">
        <v>18</v>
      </c>
      <c r="G326" s="3" t="s">
        <v>1238</v>
      </c>
      <c r="H326" s="2">
        <v>800</v>
      </c>
      <c r="I326" s="4" t="s">
        <v>20</v>
      </c>
      <c r="J326" s="3" t="s">
        <v>21</v>
      </c>
      <c r="K326" s="2">
        <v>15</v>
      </c>
      <c r="L326" s="2">
        <v>10</v>
      </c>
      <c r="M326" s="5" t="s">
        <v>1239</v>
      </c>
      <c r="N326" s="3"/>
    </row>
    <row r="327" spans="1:14" ht="20.100000000000001" customHeight="1">
      <c r="A327" s="6" t="s">
        <v>14</v>
      </c>
      <c r="B327" s="7" t="s">
        <v>1228</v>
      </c>
      <c r="C327" s="7" t="s">
        <v>1229</v>
      </c>
      <c r="D327" s="6" t="s">
        <v>1240</v>
      </c>
      <c r="E327" s="6">
        <v>1151</v>
      </c>
      <c r="F327" s="6" t="s">
        <v>18</v>
      </c>
      <c r="G327" s="7" t="s">
        <v>1241</v>
      </c>
      <c r="H327" s="6">
        <v>1000</v>
      </c>
      <c r="I327" s="4" t="s">
        <v>43</v>
      </c>
      <c r="J327" s="7" t="s">
        <v>1242</v>
      </c>
      <c r="K327" s="6">
        <v>15</v>
      </c>
      <c r="L327" s="6">
        <v>10</v>
      </c>
      <c r="M327" s="8" t="s">
        <v>1243</v>
      </c>
      <c r="N327" s="7"/>
    </row>
    <row r="328" spans="1:14" ht="20.100000000000001" customHeight="1">
      <c r="A328" s="2" t="s">
        <v>14</v>
      </c>
      <c r="B328" s="3" t="s">
        <v>1228</v>
      </c>
      <c r="C328" s="3" t="s">
        <v>1229</v>
      </c>
      <c r="D328" s="2" t="s">
        <v>1244</v>
      </c>
      <c r="E328" s="2">
        <v>1299</v>
      </c>
      <c r="F328" s="2" t="s">
        <v>18</v>
      </c>
      <c r="G328" s="3" t="s">
        <v>1245</v>
      </c>
      <c r="H328" s="2">
        <v>1500</v>
      </c>
      <c r="I328" s="9" t="s">
        <v>172</v>
      </c>
      <c r="J328" s="3" t="s">
        <v>297</v>
      </c>
      <c r="K328" s="2">
        <v>40</v>
      </c>
      <c r="L328" s="2">
        <v>35</v>
      </c>
      <c r="M328" s="5" t="s">
        <v>1246</v>
      </c>
      <c r="N328" s="3"/>
    </row>
    <row r="329" spans="1:14" ht="20.100000000000001" customHeight="1">
      <c r="A329" s="6" t="s">
        <v>14</v>
      </c>
      <c r="B329" s="7" t="s">
        <v>1228</v>
      </c>
      <c r="C329" s="7" t="s">
        <v>1229</v>
      </c>
      <c r="D329" s="6" t="s">
        <v>1247</v>
      </c>
      <c r="E329" s="6">
        <v>1325</v>
      </c>
      <c r="F329" s="6" t="s">
        <v>157</v>
      </c>
      <c r="G329" s="7" t="s">
        <v>1248</v>
      </c>
      <c r="H329" s="6">
        <v>800</v>
      </c>
      <c r="I329" s="4" t="s">
        <v>20</v>
      </c>
      <c r="J329" s="7" t="s">
        <v>39</v>
      </c>
      <c r="K329" s="6">
        <v>15</v>
      </c>
      <c r="L329" s="6">
        <v>10</v>
      </c>
      <c r="M329" s="8" t="s">
        <v>1249</v>
      </c>
      <c r="N329" s="7"/>
    </row>
    <row r="330" spans="1:14" ht="20.100000000000001" customHeight="1">
      <c r="A330" s="2" t="s">
        <v>14</v>
      </c>
      <c r="B330" s="3" t="s">
        <v>1228</v>
      </c>
      <c r="C330" s="3" t="s">
        <v>1229</v>
      </c>
      <c r="D330" s="2" t="s">
        <v>1250</v>
      </c>
      <c r="E330" s="2">
        <v>1362</v>
      </c>
      <c r="F330" s="2" t="s">
        <v>18</v>
      </c>
      <c r="G330" s="3" t="s">
        <v>1251</v>
      </c>
      <c r="H330" s="2">
        <v>1000</v>
      </c>
      <c r="I330" s="4" t="s">
        <v>43</v>
      </c>
      <c r="J330" s="3" t="s">
        <v>21</v>
      </c>
      <c r="K330" s="2">
        <v>15</v>
      </c>
      <c r="L330" s="2">
        <v>10</v>
      </c>
      <c r="M330" s="5" t="s">
        <v>1252</v>
      </c>
      <c r="N330" s="3"/>
    </row>
    <row r="331" spans="1:14" ht="20.100000000000001" customHeight="1">
      <c r="A331" s="6" t="s">
        <v>14</v>
      </c>
      <c r="B331" s="7" t="s">
        <v>1228</v>
      </c>
      <c r="C331" s="7" t="s">
        <v>1229</v>
      </c>
      <c r="D331" s="6" t="s">
        <v>1253</v>
      </c>
      <c r="E331" s="6">
        <v>1395</v>
      </c>
      <c r="F331" s="6" t="s">
        <v>183</v>
      </c>
      <c r="G331" s="7" t="s">
        <v>1254</v>
      </c>
      <c r="H331" s="6">
        <v>1600</v>
      </c>
      <c r="I331" s="9" t="s">
        <v>172</v>
      </c>
      <c r="J331" s="7" t="s">
        <v>794</v>
      </c>
      <c r="K331" s="6">
        <v>40</v>
      </c>
      <c r="L331" s="6">
        <v>35</v>
      </c>
      <c r="M331" s="8" t="s">
        <v>1255</v>
      </c>
      <c r="N331" s="7"/>
    </row>
    <row r="332" spans="1:14" ht="20.100000000000001" customHeight="1">
      <c r="A332" s="2" t="s">
        <v>14</v>
      </c>
      <c r="B332" s="3" t="s">
        <v>1228</v>
      </c>
      <c r="C332" s="3" t="s">
        <v>1229</v>
      </c>
      <c r="D332" s="2" t="s">
        <v>1256</v>
      </c>
      <c r="E332" s="2">
        <v>1421</v>
      </c>
      <c r="F332" s="2" t="s">
        <v>18</v>
      </c>
      <c r="G332" s="3" t="s">
        <v>1257</v>
      </c>
      <c r="H332" s="2">
        <v>800</v>
      </c>
      <c r="I332" s="4" t="s">
        <v>20</v>
      </c>
      <c r="J332" s="3" t="s">
        <v>1258</v>
      </c>
      <c r="K332" s="2">
        <v>15</v>
      </c>
      <c r="L332" s="2">
        <v>10</v>
      </c>
      <c r="M332" s="5" t="s">
        <v>1259</v>
      </c>
      <c r="N332" s="3"/>
    </row>
    <row r="333" spans="1:14" ht="20.100000000000001" customHeight="1">
      <c r="A333" s="6" t="s">
        <v>14</v>
      </c>
      <c r="B333" s="7" t="s">
        <v>1228</v>
      </c>
      <c r="C333" s="7" t="s">
        <v>1229</v>
      </c>
      <c r="D333" s="6" t="s">
        <v>1260</v>
      </c>
      <c r="E333" s="6">
        <v>1438</v>
      </c>
      <c r="F333" s="6" t="s">
        <v>18</v>
      </c>
      <c r="G333" s="7" t="s">
        <v>1261</v>
      </c>
      <c r="H333" s="6">
        <v>800</v>
      </c>
      <c r="I333" s="4" t="s">
        <v>20</v>
      </c>
      <c r="J333" s="7" t="s">
        <v>293</v>
      </c>
      <c r="K333" s="6">
        <v>15</v>
      </c>
      <c r="L333" s="6">
        <v>10</v>
      </c>
      <c r="M333" s="8" t="s">
        <v>1262</v>
      </c>
      <c r="N333" s="7"/>
    </row>
    <row r="334" spans="1:14" ht="20.100000000000001" customHeight="1">
      <c r="A334" s="2" t="s">
        <v>14</v>
      </c>
      <c r="B334" s="3" t="s">
        <v>1228</v>
      </c>
      <c r="C334" s="3" t="s">
        <v>1229</v>
      </c>
      <c r="D334" s="2" t="s">
        <v>1263</v>
      </c>
      <c r="E334" s="2">
        <v>1457</v>
      </c>
      <c r="F334" s="2" t="s">
        <v>18</v>
      </c>
      <c r="G334" s="3" t="s">
        <v>185</v>
      </c>
      <c r="H334" s="2" t="s">
        <v>185</v>
      </c>
      <c r="I334" s="11" t="s">
        <v>185</v>
      </c>
      <c r="J334" s="3" t="s">
        <v>185</v>
      </c>
      <c r="K334" s="2">
        <v>0</v>
      </c>
      <c r="L334" s="2">
        <v>0</v>
      </c>
      <c r="M334" s="5" t="s">
        <v>1264</v>
      </c>
      <c r="N334" s="3"/>
    </row>
    <row r="335" spans="1:14" ht="20.100000000000001" customHeight="1">
      <c r="A335" s="6" t="s">
        <v>14</v>
      </c>
      <c r="B335" s="7" t="s">
        <v>1228</v>
      </c>
      <c r="C335" s="7" t="s">
        <v>1229</v>
      </c>
      <c r="D335" s="6" t="s">
        <v>1265</v>
      </c>
      <c r="E335" s="6">
        <v>1491</v>
      </c>
      <c r="F335" s="6" t="s">
        <v>18</v>
      </c>
      <c r="G335" s="7" t="s">
        <v>1266</v>
      </c>
      <c r="H335" s="6">
        <v>800</v>
      </c>
      <c r="I335" s="4" t="s">
        <v>20</v>
      </c>
      <c r="J335" s="7" t="s">
        <v>114</v>
      </c>
      <c r="K335" s="6">
        <v>15</v>
      </c>
      <c r="L335" s="6">
        <v>10</v>
      </c>
      <c r="M335" s="8" t="s">
        <v>1267</v>
      </c>
      <c r="N335" s="7"/>
    </row>
    <row r="336" spans="1:14" ht="20.100000000000001" customHeight="1">
      <c r="A336" s="2" t="s">
        <v>14</v>
      </c>
      <c r="B336" s="3" t="s">
        <v>1228</v>
      </c>
      <c r="C336" s="3" t="s">
        <v>1229</v>
      </c>
      <c r="D336" s="2" t="s">
        <v>1268</v>
      </c>
      <c r="E336" s="2">
        <v>1501</v>
      </c>
      <c r="F336" s="2" t="s">
        <v>18</v>
      </c>
      <c r="G336" s="3" t="s">
        <v>1269</v>
      </c>
      <c r="H336" s="2">
        <v>800</v>
      </c>
      <c r="I336" s="4" t="s">
        <v>20</v>
      </c>
      <c r="J336" s="3" t="s">
        <v>21</v>
      </c>
      <c r="K336" s="2">
        <v>15</v>
      </c>
      <c r="L336" s="2">
        <v>10</v>
      </c>
      <c r="M336" s="5" t="s">
        <v>1270</v>
      </c>
      <c r="N336" s="3"/>
    </row>
    <row r="337" spans="1:14" ht="20.100000000000001" customHeight="1">
      <c r="A337" s="6" t="s">
        <v>14</v>
      </c>
      <c r="B337" s="7" t="s">
        <v>1228</v>
      </c>
      <c r="C337" s="7" t="s">
        <v>1229</v>
      </c>
      <c r="D337" s="6" t="s">
        <v>1271</v>
      </c>
      <c r="E337" s="6">
        <v>1525</v>
      </c>
      <c r="F337" s="6" t="s">
        <v>18</v>
      </c>
      <c r="G337" s="7" t="s">
        <v>1272</v>
      </c>
      <c r="H337" s="6">
        <v>800</v>
      </c>
      <c r="I337" s="4" t="s">
        <v>20</v>
      </c>
      <c r="J337" s="7" t="s">
        <v>1065</v>
      </c>
      <c r="K337" s="6">
        <v>15</v>
      </c>
      <c r="L337" s="6">
        <v>10</v>
      </c>
      <c r="M337" s="8" t="s">
        <v>1273</v>
      </c>
      <c r="N337" s="7"/>
    </row>
    <row r="338" spans="1:14" ht="20.100000000000001" customHeight="1">
      <c r="A338" s="2" t="s">
        <v>14</v>
      </c>
      <c r="B338" s="3" t="s">
        <v>1228</v>
      </c>
      <c r="C338" s="3" t="s">
        <v>1274</v>
      </c>
      <c r="D338" s="2" t="s">
        <v>1275</v>
      </c>
      <c r="E338" s="2">
        <v>276</v>
      </c>
      <c r="F338" s="2" t="s">
        <v>384</v>
      </c>
      <c r="G338" s="3" t="s">
        <v>1276</v>
      </c>
      <c r="H338" s="2">
        <v>1700</v>
      </c>
      <c r="I338" s="10" t="s">
        <v>418</v>
      </c>
      <c r="J338" s="3" t="s">
        <v>1277</v>
      </c>
      <c r="K338" s="2">
        <v>60</v>
      </c>
      <c r="L338" s="2">
        <v>55</v>
      </c>
      <c r="M338" s="5" t="s">
        <v>1278</v>
      </c>
      <c r="N338" s="3"/>
    </row>
    <row r="339" spans="1:14" ht="20.100000000000001" customHeight="1">
      <c r="A339" s="6" t="s">
        <v>14</v>
      </c>
      <c r="B339" s="7" t="s">
        <v>1228</v>
      </c>
      <c r="C339" s="7" t="s">
        <v>1274</v>
      </c>
      <c r="D339" s="6" t="s">
        <v>1279</v>
      </c>
      <c r="E339" s="6">
        <v>282</v>
      </c>
      <c r="F339" s="6" t="s">
        <v>531</v>
      </c>
      <c r="G339" s="7" t="s">
        <v>1280</v>
      </c>
      <c r="H339" s="6">
        <v>2200</v>
      </c>
      <c r="I339" s="12" t="s">
        <v>523</v>
      </c>
      <c r="J339" s="7" t="s">
        <v>1281</v>
      </c>
      <c r="K339" s="6">
        <v>90</v>
      </c>
      <c r="L339" s="6">
        <v>80</v>
      </c>
      <c r="M339" s="8" t="s">
        <v>1282</v>
      </c>
      <c r="N339" s="7"/>
    </row>
    <row r="340" spans="1:14" ht="20.100000000000001" customHeight="1">
      <c r="A340" s="2" t="s">
        <v>14</v>
      </c>
      <c r="B340" s="3" t="s">
        <v>1228</v>
      </c>
      <c r="C340" s="3" t="s">
        <v>1274</v>
      </c>
      <c r="D340" s="2" t="s">
        <v>1283</v>
      </c>
      <c r="E340" s="2">
        <v>429</v>
      </c>
      <c r="F340" s="2" t="s">
        <v>18</v>
      </c>
      <c r="G340" s="3" t="s">
        <v>1284</v>
      </c>
      <c r="H340" s="2">
        <v>1300</v>
      </c>
      <c r="I340" s="9" t="s">
        <v>163</v>
      </c>
      <c r="J340" s="3" t="s">
        <v>1285</v>
      </c>
      <c r="K340" s="2">
        <v>25</v>
      </c>
      <c r="L340" s="2">
        <v>20</v>
      </c>
      <c r="M340" s="5" t="s">
        <v>1286</v>
      </c>
      <c r="N340" s="3"/>
    </row>
    <row r="341" spans="1:14" ht="20.100000000000001" customHeight="1">
      <c r="A341" s="6" t="s">
        <v>14</v>
      </c>
      <c r="B341" s="7" t="s">
        <v>1228</v>
      </c>
      <c r="C341" s="7" t="s">
        <v>1287</v>
      </c>
      <c r="D341" s="6" t="s">
        <v>1288</v>
      </c>
      <c r="E341" s="6">
        <v>319</v>
      </c>
      <c r="F341" s="6" t="s">
        <v>157</v>
      </c>
      <c r="G341" s="7" t="s">
        <v>1289</v>
      </c>
      <c r="H341" s="6">
        <v>1900</v>
      </c>
      <c r="I341" s="10" t="s">
        <v>386</v>
      </c>
      <c r="J341" s="7" t="s">
        <v>628</v>
      </c>
      <c r="K341" s="6">
        <v>60</v>
      </c>
      <c r="L341" s="6">
        <v>55</v>
      </c>
      <c r="M341" s="8" t="s">
        <v>1290</v>
      </c>
      <c r="N341" s="7"/>
    </row>
    <row r="342" spans="1:14" ht="20.100000000000001" customHeight="1">
      <c r="A342" s="2" t="s">
        <v>14</v>
      </c>
      <c r="B342" s="3" t="s">
        <v>1228</v>
      </c>
      <c r="C342" s="3" t="s">
        <v>1287</v>
      </c>
      <c r="D342" s="2" t="s">
        <v>1291</v>
      </c>
      <c r="E342" s="2">
        <v>580</v>
      </c>
      <c r="F342" s="2" t="s">
        <v>384</v>
      </c>
      <c r="G342" s="3" t="s">
        <v>1292</v>
      </c>
      <c r="H342" s="2">
        <v>1800</v>
      </c>
      <c r="I342" s="10" t="s">
        <v>418</v>
      </c>
      <c r="J342" s="3" t="s">
        <v>603</v>
      </c>
      <c r="K342" s="2">
        <v>60</v>
      </c>
      <c r="L342" s="2">
        <v>55</v>
      </c>
      <c r="M342" s="5" t="s">
        <v>1293</v>
      </c>
      <c r="N342" s="3"/>
    </row>
    <row r="343" spans="1:14" ht="20.100000000000001" customHeight="1">
      <c r="A343" s="6" t="s">
        <v>14</v>
      </c>
      <c r="B343" s="7" t="s">
        <v>1228</v>
      </c>
      <c r="C343" s="7" t="s">
        <v>1287</v>
      </c>
      <c r="D343" s="6" t="s">
        <v>1294</v>
      </c>
      <c r="E343" s="6">
        <v>839</v>
      </c>
      <c r="F343" s="6" t="s">
        <v>183</v>
      </c>
      <c r="G343" s="7" t="s">
        <v>1295</v>
      </c>
      <c r="H343" s="6">
        <v>1500</v>
      </c>
      <c r="I343" s="9" t="s">
        <v>172</v>
      </c>
      <c r="J343" s="7" t="s">
        <v>1296</v>
      </c>
      <c r="K343" s="6">
        <v>40</v>
      </c>
      <c r="L343" s="6">
        <v>35</v>
      </c>
      <c r="M343" s="8" t="s">
        <v>1297</v>
      </c>
      <c r="N343" s="7"/>
    </row>
    <row r="344" spans="1:14" ht="20.100000000000001" customHeight="1">
      <c r="A344" s="2" t="s">
        <v>14</v>
      </c>
      <c r="B344" s="3" t="s">
        <v>1228</v>
      </c>
      <c r="C344" s="3" t="s">
        <v>1287</v>
      </c>
      <c r="D344" s="2" t="s">
        <v>1298</v>
      </c>
      <c r="E344" s="2">
        <v>1102</v>
      </c>
      <c r="F344" s="2" t="s">
        <v>635</v>
      </c>
      <c r="G344" s="3" t="s">
        <v>1299</v>
      </c>
      <c r="H344" s="2">
        <v>2000</v>
      </c>
      <c r="I344" s="10" t="s">
        <v>386</v>
      </c>
      <c r="J344" s="3" t="s">
        <v>1300</v>
      </c>
      <c r="K344" s="2">
        <v>90</v>
      </c>
      <c r="L344" s="2">
        <v>80</v>
      </c>
      <c r="M344" s="5" t="s">
        <v>1301</v>
      </c>
      <c r="N344" s="3"/>
    </row>
    <row r="345" spans="1:14" ht="20.100000000000001" customHeight="1">
      <c r="A345" s="6" t="s">
        <v>14</v>
      </c>
      <c r="B345" s="7" t="s">
        <v>1228</v>
      </c>
      <c r="C345" s="7" t="s">
        <v>1287</v>
      </c>
      <c r="D345" s="6" t="s">
        <v>1302</v>
      </c>
      <c r="E345" s="6">
        <v>1316</v>
      </c>
      <c r="F345" s="6" t="s">
        <v>531</v>
      </c>
      <c r="G345" s="7" t="s">
        <v>1303</v>
      </c>
      <c r="H345" s="6">
        <v>2300</v>
      </c>
      <c r="I345" s="12" t="s">
        <v>523</v>
      </c>
      <c r="J345" s="7" t="s">
        <v>660</v>
      </c>
      <c r="K345" s="6">
        <v>120</v>
      </c>
      <c r="L345" s="6">
        <v>110</v>
      </c>
      <c r="M345" s="8" t="s">
        <v>1304</v>
      </c>
      <c r="N345" s="7"/>
    </row>
    <row r="346" spans="1:14" ht="20.100000000000001" customHeight="1">
      <c r="A346" s="2" t="s">
        <v>14</v>
      </c>
      <c r="B346" s="3" t="s">
        <v>1228</v>
      </c>
      <c r="C346" s="3" t="s">
        <v>1287</v>
      </c>
      <c r="D346" s="2" t="s">
        <v>1305</v>
      </c>
      <c r="E346" s="2">
        <v>1523</v>
      </c>
      <c r="F346" s="2" t="s">
        <v>384</v>
      </c>
      <c r="G346" s="3" t="s">
        <v>1306</v>
      </c>
      <c r="H346" s="2">
        <v>2400</v>
      </c>
      <c r="I346" s="12" t="s">
        <v>659</v>
      </c>
      <c r="J346" s="3" t="s">
        <v>1307</v>
      </c>
      <c r="K346" s="2">
        <v>120</v>
      </c>
      <c r="L346" s="2">
        <v>110</v>
      </c>
      <c r="M346" s="5" t="s">
        <v>1308</v>
      </c>
      <c r="N346" s="3"/>
    </row>
    <row r="347" spans="1:14" ht="20.100000000000001" customHeight="1">
      <c r="A347" s="6" t="s">
        <v>14</v>
      </c>
      <c r="B347" s="7" t="s">
        <v>1228</v>
      </c>
      <c r="C347" s="7" t="s">
        <v>1309</v>
      </c>
      <c r="D347" s="6" t="s">
        <v>1310</v>
      </c>
      <c r="E347" s="6">
        <v>706</v>
      </c>
      <c r="F347" s="6" t="s">
        <v>384</v>
      </c>
      <c r="G347" s="7" t="s">
        <v>1311</v>
      </c>
      <c r="H347" s="6">
        <v>1800</v>
      </c>
      <c r="I347" s="10" t="s">
        <v>418</v>
      </c>
      <c r="J347" s="7" t="s">
        <v>1312</v>
      </c>
      <c r="K347" s="6">
        <v>60</v>
      </c>
      <c r="L347" s="6">
        <v>55</v>
      </c>
      <c r="M347" s="8" t="s">
        <v>1313</v>
      </c>
      <c r="N347" s="7"/>
    </row>
    <row r="348" spans="1:14" ht="20.100000000000001" customHeight="1">
      <c r="A348" s="2" t="s">
        <v>14</v>
      </c>
      <c r="B348" s="3" t="s">
        <v>1228</v>
      </c>
      <c r="C348" s="3" t="s">
        <v>1309</v>
      </c>
      <c r="D348" s="2" t="s">
        <v>1314</v>
      </c>
      <c r="E348" s="2">
        <v>888</v>
      </c>
      <c r="F348" s="2" t="s">
        <v>535</v>
      </c>
      <c r="G348" s="3" t="s">
        <v>1315</v>
      </c>
      <c r="H348" s="2">
        <v>2300</v>
      </c>
      <c r="I348" s="12" t="s">
        <v>523</v>
      </c>
      <c r="J348" s="3" t="s">
        <v>1316</v>
      </c>
      <c r="K348" s="2">
        <v>120</v>
      </c>
      <c r="L348" s="2">
        <v>110</v>
      </c>
      <c r="M348" s="5" t="s">
        <v>1317</v>
      </c>
      <c r="N348" s="3"/>
    </row>
    <row r="349" spans="1:14" ht="20.100000000000001" customHeight="1">
      <c r="A349" s="6" t="s">
        <v>14</v>
      </c>
      <c r="B349" s="7" t="s">
        <v>1228</v>
      </c>
      <c r="C349" s="7" t="s">
        <v>1309</v>
      </c>
      <c r="D349" s="6" t="s">
        <v>1318</v>
      </c>
      <c r="E349" s="6">
        <v>923</v>
      </c>
      <c r="F349" s="6" t="s">
        <v>183</v>
      </c>
      <c r="G349" s="7" t="s">
        <v>1319</v>
      </c>
      <c r="H349" s="6">
        <v>1800</v>
      </c>
      <c r="I349" s="10" t="s">
        <v>418</v>
      </c>
      <c r="J349" s="7" t="s">
        <v>1320</v>
      </c>
      <c r="K349" s="6">
        <v>60</v>
      </c>
      <c r="L349" s="6">
        <v>55</v>
      </c>
      <c r="M349" s="8" t="s">
        <v>1321</v>
      </c>
      <c r="N349" s="7"/>
    </row>
    <row r="350" spans="1:14" ht="20.100000000000001" customHeight="1">
      <c r="A350" s="2" t="s">
        <v>14</v>
      </c>
      <c r="B350" s="3" t="s">
        <v>1228</v>
      </c>
      <c r="C350" s="3" t="s">
        <v>1309</v>
      </c>
      <c r="D350" s="2" t="s">
        <v>1322</v>
      </c>
      <c r="E350" s="2">
        <v>948</v>
      </c>
      <c r="F350" s="2" t="s">
        <v>384</v>
      </c>
      <c r="G350" s="3" t="s">
        <v>185</v>
      </c>
      <c r="H350" s="2" t="s">
        <v>185</v>
      </c>
      <c r="I350" s="11" t="s">
        <v>185</v>
      </c>
      <c r="J350" s="3" t="s">
        <v>185</v>
      </c>
      <c r="K350" s="2">
        <v>0</v>
      </c>
      <c r="L350" s="2">
        <v>0</v>
      </c>
      <c r="M350" s="5" t="s">
        <v>1323</v>
      </c>
      <c r="N350" s="3"/>
    </row>
    <row r="351" spans="1:14" ht="20.100000000000001" customHeight="1">
      <c r="A351" s="6" t="s">
        <v>14</v>
      </c>
      <c r="B351" s="7" t="s">
        <v>1228</v>
      </c>
      <c r="C351" s="7" t="s">
        <v>1309</v>
      </c>
      <c r="D351" s="6" t="s">
        <v>1324</v>
      </c>
      <c r="E351" s="6">
        <v>1285</v>
      </c>
      <c r="F351" s="6" t="s">
        <v>384</v>
      </c>
      <c r="G351" s="7" t="s">
        <v>1325</v>
      </c>
      <c r="H351" s="6">
        <v>1900</v>
      </c>
      <c r="I351" s="10" t="s">
        <v>386</v>
      </c>
      <c r="J351" s="7" t="s">
        <v>1326</v>
      </c>
      <c r="K351" s="6">
        <v>60</v>
      </c>
      <c r="L351" s="6">
        <v>55</v>
      </c>
      <c r="M351" s="8" t="s">
        <v>1327</v>
      </c>
      <c r="N351" s="7"/>
    </row>
    <row r="352" spans="1:14" ht="20.100000000000001" customHeight="1">
      <c r="A352" s="2" t="s">
        <v>14</v>
      </c>
      <c r="B352" s="3" t="s">
        <v>1228</v>
      </c>
      <c r="C352" s="3" t="s">
        <v>1309</v>
      </c>
      <c r="D352" s="2" t="s">
        <v>1328</v>
      </c>
      <c r="E352" s="2">
        <v>1447</v>
      </c>
      <c r="F352" s="2" t="s">
        <v>531</v>
      </c>
      <c r="G352" s="3" t="s">
        <v>185</v>
      </c>
      <c r="H352" s="2" t="s">
        <v>185</v>
      </c>
      <c r="I352" s="11" t="s">
        <v>185</v>
      </c>
      <c r="J352" s="3" t="s">
        <v>185</v>
      </c>
      <c r="K352" s="2">
        <v>0</v>
      </c>
      <c r="L352" s="2">
        <v>0</v>
      </c>
      <c r="M352" s="5" t="s">
        <v>1329</v>
      </c>
      <c r="N352" s="3"/>
    </row>
    <row r="353" spans="1:14" ht="20.100000000000001" customHeight="1">
      <c r="A353" s="6" t="s">
        <v>14</v>
      </c>
      <c r="B353" s="7" t="s">
        <v>1228</v>
      </c>
      <c r="C353" s="7" t="s">
        <v>1309</v>
      </c>
      <c r="D353" s="6" t="s">
        <v>1330</v>
      </c>
      <c r="E353" s="6">
        <v>1658</v>
      </c>
      <c r="F353" s="6" t="s">
        <v>843</v>
      </c>
      <c r="G353" s="7" t="s">
        <v>1331</v>
      </c>
      <c r="H353" s="6">
        <v>2300</v>
      </c>
      <c r="I353" s="12" t="s">
        <v>523</v>
      </c>
      <c r="J353" s="7" t="s">
        <v>1332</v>
      </c>
      <c r="K353" s="6">
        <v>120</v>
      </c>
      <c r="L353" s="6">
        <v>110</v>
      </c>
      <c r="M353" s="8" t="s">
        <v>1333</v>
      </c>
      <c r="N353" s="7"/>
    </row>
    <row r="354" spans="1:14" ht="20.100000000000001" customHeight="1">
      <c r="A354" s="2" t="s">
        <v>14</v>
      </c>
      <c r="B354" s="3" t="s">
        <v>1334</v>
      </c>
      <c r="C354" s="3" t="s">
        <v>1335</v>
      </c>
      <c r="D354" s="2" t="s">
        <v>1336</v>
      </c>
      <c r="E354" s="2">
        <v>50</v>
      </c>
      <c r="F354" s="2" t="s">
        <v>18</v>
      </c>
      <c r="G354" s="3" t="s">
        <v>1337</v>
      </c>
      <c r="H354" s="2">
        <v>800</v>
      </c>
      <c r="I354" s="4" t="s">
        <v>20</v>
      </c>
      <c r="J354" s="3" t="s">
        <v>147</v>
      </c>
      <c r="K354" s="2">
        <v>15</v>
      </c>
      <c r="L354" s="2">
        <v>10</v>
      </c>
      <c r="M354" s="5" t="s">
        <v>1338</v>
      </c>
      <c r="N354" s="3"/>
    </row>
    <row r="355" spans="1:14" ht="20.100000000000001" customHeight="1">
      <c r="A355" s="6" t="s">
        <v>14</v>
      </c>
      <c r="B355" s="7" t="s">
        <v>1334</v>
      </c>
      <c r="C355" s="7" t="s">
        <v>1335</v>
      </c>
      <c r="D355" s="6" t="s">
        <v>1339</v>
      </c>
      <c r="E355" s="6">
        <v>617</v>
      </c>
      <c r="F355" s="6" t="s">
        <v>18</v>
      </c>
      <c r="G355" s="7" t="s">
        <v>1340</v>
      </c>
      <c r="H355" s="6">
        <v>800</v>
      </c>
      <c r="I355" s="4" t="s">
        <v>20</v>
      </c>
      <c r="J355" s="7" t="s">
        <v>121</v>
      </c>
      <c r="K355" s="6">
        <v>15</v>
      </c>
      <c r="L355" s="6">
        <v>10</v>
      </c>
      <c r="M355" s="8" t="s">
        <v>1341</v>
      </c>
      <c r="N355" s="7"/>
    </row>
    <row r="356" spans="1:14" ht="20.100000000000001" customHeight="1">
      <c r="A356" s="2" t="s">
        <v>14</v>
      </c>
      <c r="B356" s="3" t="s">
        <v>1334</v>
      </c>
      <c r="C356" s="3" t="s">
        <v>1335</v>
      </c>
      <c r="D356" s="2" t="s">
        <v>1342</v>
      </c>
      <c r="E356" s="2">
        <v>630</v>
      </c>
      <c r="F356" s="2" t="s">
        <v>18</v>
      </c>
      <c r="G356" s="3" t="s">
        <v>1343</v>
      </c>
      <c r="H356" s="2">
        <v>800</v>
      </c>
      <c r="I356" s="4" t="s">
        <v>20</v>
      </c>
      <c r="J356" s="3" t="s">
        <v>1344</v>
      </c>
      <c r="K356" s="2">
        <v>15</v>
      </c>
      <c r="L356" s="2">
        <v>10</v>
      </c>
      <c r="M356" s="5" t="s">
        <v>1345</v>
      </c>
      <c r="N356" s="3"/>
    </row>
    <row r="357" spans="1:14" ht="20.100000000000001" customHeight="1">
      <c r="A357" s="6" t="s">
        <v>14</v>
      </c>
      <c r="B357" s="7" t="s">
        <v>1334</v>
      </c>
      <c r="C357" s="7" t="s">
        <v>1335</v>
      </c>
      <c r="D357" s="6" t="s">
        <v>1346</v>
      </c>
      <c r="E357" s="6">
        <v>742</v>
      </c>
      <c r="F357" s="6" t="s">
        <v>18</v>
      </c>
      <c r="G357" s="7" t="s">
        <v>1347</v>
      </c>
      <c r="H357" s="6">
        <v>1000</v>
      </c>
      <c r="I357" s="4" t="s">
        <v>43</v>
      </c>
      <c r="J357" s="7" t="s">
        <v>1348</v>
      </c>
      <c r="K357" s="6">
        <v>15</v>
      </c>
      <c r="L357" s="6">
        <v>10</v>
      </c>
      <c r="M357" s="8" t="s">
        <v>1349</v>
      </c>
      <c r="N357" s="7"/>
    </row>
    <row r="358" spans="1:14" ht="20.100000000000001" customHeight="1">
      <c r="A358" s="2" t="s">
        <v>14</v>
      </c>
      <c r="B358" s="3" t="s">
        <v>1334</v>
      </c>
      <c r="C358" s="3" t="s">
        <v>1335</v>
      </c>
      <c r="D358" s="2" t="s">
        <v>1350</v>
      </c>
      <c r="E358" s="2">
        <v>732</v>
      </c>
      <c r="F358" s="2" t="s">
        <v>18</v>
      </c>
      <c r="G358" s="3" t="s">
        <v>1351</v>
      </c>
      <c r="H358" s="2">
        <v>800</v>
      </c>
      <c r="I358" s="4" t="s">
        <v>20</v>
      </c>
      <c r="J358" s="3" t="s">
        <v>1352</v>
      </c>
      <c r="K358" s="2">
        <v>15</v>
      </c>
      <c r="L358" s="2">
        <v>10</v>
      </c>
      <c r="M358" s="5" t="s">
        <v>1353</v>
      </c>
      <c r="N358" s="3"/>
    </row>
    <row r="359" spans="1:14" ht="20.100000000000001" customHeight="1">
      <c r="A359" s="6" t="s">
        <v>14</v>
      </c>
      <c r="B359" s="7" t="s">
        <v>1334</v>
      </c>
      <c r="C359" s="7" t="s">
        <v>1335</v>
      </c>
      <c r="D359" s="6" t="s">
        <v>1354</v>
      </c>
      <c r="E359" s="6">
        <v>977</v>
      </c>
      <c r="F359" s="6" t="s">
        <v>18</v>
      </c>
      <c r="G359" s="7" t="s">
        <v>1355</v>
      </c>
      <c r="H359" s="6">
        <v>800</v>
      </c>
      <c r="I359" s="4" t="s">
        <v>20</v>
      </c>
      <c r="J359" s="7" t="s">
        <v>21</v>
      </c>
      <c r="K359" s="6">
        <v>15</v>
      </c>
      <c r="L359" s="6">
        <v>10</v>
      </c>
      <c r="M359" s="8" t="s">
        <v>1356</v>
      </c>
      <c r="N359" s="7"/>
    </row>
    <row r="360" spans="1:14" ht="20.100000000000001" customHeight="1">
      <c r="A360" s="2" t="s">
        <v>14</v>
      </c>
      <c r="B360" s="3" t="s">
        <v>1334</v>
      </c>
      <c r="C360" s="3" t="s">
        <v>1335</v>
      </c>
      <c r="D360" s="2" t="s">
        <v>1357</v>
      </c>
      <c r="E360" s="2">
        <v>1154</v>
      </c>
      <c r="F360" s="2" t="s">
        <v>18</v>
      </c>
      <c r="G360" s="3" t="s">
        <v>1358</v>
      </c>
      <c r="H360" s="2">
        <v>800</v>
      </c>
      <c r="I360" s="4" t="s">
        <v>20</v>
      </c>
      <c r="J360" s="3" t="s">
        <v>121</v>
      </c>
      <c r="K360" s="2">
        <v>15</v>
      </c>
      <c r="L360" s="2">
        <v>10</v>
      </c>
      <c r="M360" s="5" t="s">
        <v>1359</v>
      </c>
      <c r="N360" s="3"/>
    </row>
    <row r="361" spans="1:14" ht="20.100000000000001" customHeight="1">
      <c r="A361" s="6" t="s">
        <v>14</v>
      </c>
      <c r="B361" s="7" t="s">
        <v>1334</v>
      </c>
      <c r="C361" s="7" t="s">
        <v>1335</v>
      </c>
      <c r="D361" s="6" t="s">
        <v>1360</v>
      </c>
      <c r="E361" s="6">
        <v>119</v>
      </c>
      <c r="F361" s="6" t="s">
        <v>18</v>
      </c>
      <c r="G361" s="7" t="s">
        <v>1361</v>
      </c>
      <c r="H361" s="6">
        <v>800</v>
      </c>
      <c r="I361" s="4" t="s">
        <v>20</v>
      </c>
      <c r="J361" s="7" t="s">
        <v>21</v>
      </c>
      <c r="K361" s="6">
        <v>15</v>
      </c>
      <c r="L361" s="6">
        <v>10</v>
      </c>
      <c r="M361" s="8" t="s">
        <v>1362</v>
      </c>
      <c r="N361" s="7"/>
    </row>
    <row r="362" spans="1:14" ht="20.100000000000001" customHeight="1">
      <c r="A362" s="2" t="s">
        <v>14</v>
      </c>
      <c r="B362" s="3" t="s">
        <v>1334</v>
      </c>
      <c r="C362" s="3" t="s">
        <v>1335</v>
      </c>
      <c r="D362" s="2" t="s">
        <v>1363</v>
      </c>
      <c r="E362" s="2">
        <v>1204</v>
      </c>
      <c r="F362" s="2" t="s">
        <v>18</v>
      </c>
      <c r="G362" s="3" t="s">
        <v>1364</v>
      </c>
      <c r="H362" s="2">
        <v>1000</v>
      </c>
      <c r="I362" s="4" t="s">
        <v>43</v>
      </c>
      <c r="J362" s="3" t="s">
        <v>121</v>
      </c>
      <c r="K362" s="2">
        <v>15</v>
      </c>
      <c r="L362" s="2">
        <v>10</v>
      </c>
      <c r="M362" s="5" t="s">
        <v>1365</v>
      </c>
      <c r="N362" s="3"/>
    </row>
    <row r="363" spans="1:14" ht="20.100000000000001" customHeight="1">
      <c r="A363" s="6" t="s">
        <v>14</v>
      </c>
      <c r="B363" s="7" t="s">
        <v>1334</v>
      </c>
      <c r="C363" s="7" t="s">
        <v>1335</v>
      </c>
      <c r="D363" s="6" t="s">
        <v>1366</v>
      </c>
      <c r="E363" s="6">
        <v>1220</v>
      </c>
      <c r="F363" s="6" t="s">
        <v>18</v>
      </c>
      <c r="G363" s="7" t="s">
        <v>1367</v>
      </c>
      <c r="H363" s="6">
        <v>800</v>
      </c>
      <c r="I363" s="4" t="s">
        <v>20</v>
      </c>
      <c r="J363" s="7" t="s">
        <v>1368</v>
      </c>
      <c r="K363" s="6">
        <v>15</v>
      </c>
      <c r="L363" s="6">
        <v>10</v>
      </c>
      <c r="M363" s="8" t="s">
        <v>1369</v>
      </c>
      <c r="N363" s="7"/>
    </row>
    <row r="364" spans="1:14" ht="20.100000000000001" customHeight="1">
      <c r="A364" s="2" t="s">
        <v>14</v>
      </c>
      <c r="B364" s="3" t="s">
        <v>1334</v>
      </c>
      <c r="C364" s="3" t="s">
        <v>1335</v>
      </c>
      <c r="D364" s="2" t="s">
        <v>1370</v>
      </c>
      <c r="E364" s="2">
        <v>1245</v>
      </c>
      <c r="F364" s="2" t="s">
        <v>18</v>
      </c>
      <c r="G364" s="3" t="s">
        <v>1371</v>
      </c>
      <c r="H364" s="2">
        <v>1000</v>
      </c>
      <c r="I364" s="4" t="s">
        <v>43</v>
      </c>
      <c r="J364" s="3" t="s">
        <v>1065</v>
      </c>
      <c r="K364" s="2">
        <v>15</v>
      </c>
      <c r="L364" s="2">
        <v>10</v>
      </c>
      <c r="M364" s="5" t="s">
        <v>1372</v>
      </c>
      <c r="N364" s="3"/>
    </row>
    <row r="365" spans="1:14" ht="20.100000000000001" customHeight="1">
      <c r="A365" s="6" t="s">
        <v>14</v>
      </c>
      <c r="B365" s="7" t="s">
        <v>1334</v>
      </c>
      <c r="C365" s="7" t="s">
        <v>1335</v>
      </c>
      <c r="D365" s="6" t="s">
        <v>1373</v>
      </c>
      <c r="E365" s="6">
        <v>1285</v>
      </c>
      <c r="F365" s="6" t="s">
        <v>18</v>
      </c>
      <c r="G365" s="7" t="s">
        <v>1374</v>
      </c>
      <c r="H365" s="6">
        <v>800</v>
      </c>
      <c r="I365" s="4" t="s">
        <v>20</v>
      </c>
      <c r="J365" s="7" t="s">
        <v>121</v>
      </c>
      <c r="K365" s="6">
        <v>15</v>
      </c>
      <c r="L365" s="6">
        <v>10</v>
      </c>
      <c r="M365" s="8" t="s">
        <v>1375</v>
      </c>
      <c r="N365" s="7"/>
    </row>
    <row r="366" spans="1:14" ht="20.100000000000001" customHeight="1">
      <c r="A366" s="2" t="s">
        <v>14</v>
      </c>
      <c r="B366" s="3" t="s">
        <v>1334</v>
      </c>
      <c r="C366" s="3" t="s">
        <v>1335</v>
      </c>
      <c r="D366" s="2" t="s">
        <v>1376</v>
      </c>
      <c r="E366" s="2">
        <v>1328</v>
      </c>
      <c r="F366" s="2" t="s">
        <v>18</v>
      </c>
      <c r="G366" s="3" t="s">
        <v>1377</v>
      </c>
      <c r="H366" s="2">
        <v>800</v>
      </c>
      <c r="I366" s="4" t="s">
        <v>20</v>
      </c>
      <c r="J366" s="3" t="s">
        <v>121</v>
      </c>
      <c r="K366" s="2">
        <v>15</v>
      </c>
      <c r="L366" s="2">
        <v>10</v>
      </c>
      <c r="M366" s="5" t="s">
        <v>1378</v>
      </c>
      <c r="N366" s="3"/>
    </row>
    <row r="367" spans="1:14" ht="20.100000000000001" customHeight="1">
      <c r="A367" s="6" t="s">
        <v>14</v>
      </c>
      <c r="B367" s="7" t="s">
        <v>1334</v>
      </c>
      <c r="C367" s="7" t="s">
        <v>1335</v>
      </c>
      <c r="D367" s="6" t="s">
        <v>1379</v>
      </c>
      <c r="E367" s="6">
        <v>1352</v>
      </c>
      <c r="F367" s="6" t="s">
        <v>183</v>
      </c>
      <c r="G367" s="7" t="s">
        <v>1380</v>
      </c>
      <c r="H367" s="6">
        <v>1200</v>
      </c>
      <c r="I367" s="4" t="s">
        <v>43</v>
      </c>
      <c r="J367" s="7" t="s">
        <v>1381</v>
      </c>
      <c r="K367" s="6">
        <v>25</v>
      </c>
      <c r="L367" s="6">
        <v>20</v>
      </c>
      <c r="M367" s="8" t="s">
        <v>1382</v>
      </c>
      <c r="N367" s="7"/>
    </row>
    <row r="368" spans="1:14" ht="20.100000000000001" customHeight="1">
      <c r="A368" s="2" t="s">
        <v>14</v>
      </c>
      <c r="B368" s="3" t="s">
        <v>1334</v>
      </c>
      <c r="C368" s="3" t="s">
        <v>1335</v>
      </c>
      <c r="D368" s="2" t="s">
        <v>1383</v>
      </c>
      <c r="E368" s="2">
        <v>1353</v>
      </c>
      <c r="F368" s="2" t="s">
        <v>18</v>
      </c>
      <c r="G368" s="3" t="s">
        <v>1384</v>
      </c>
      <c r="H368" s="2">
        <v>800</v>
      </c>
      <c r="I368" s="4" t="s">
        <v>20</v>
      </c>
      <c r="J368" s="3" t="s">
        <v>342</v>
      </c>
      <c r="K368" s="2">
        <v>15</v>
      </c>
      <c r="L368" s="2">
        <v>10</v>
      </c>
      <c r="M368" s="5" t="s">
        <v>1385</v>
      </c>
      <c r="N368" s="3"/>
    </row>
    <row r="369" spans="1:14" ht="20.100000000000001" customHeight="1">
      <c r="A369" s="6" t="s">
        <v>14</v>
      </c>
      <c r="B369" s="7" t="s">
        <v>1334</v>
      </c>
      <c r="C369" s="7" t="s">
        <v>1335</v>
      </c>
      <c r="D369" s="6" t="s">
        <v>1386</v>
      </c>
      <c r="E369" s="6">
        <v>1370</v>
      </c>
      <c r="F369" s="6" t="s">
        <v>18</v>
      </c>
      <c r="G369" s="7" t="s">
        <v>1387</v>
      </c>
      <c r="H369" s="6">
        <v>800</v>
      </c>
      <c r="I369" s="4" t="s">
        <v>20</v>
      </c>
      <c r="J369" s="7" t="s">
        <v>1388</v>
      </c>
      <c r="K369" s="6">
        <v>15</v>
      </c>
      <c r="L369" s="6">
        <v>10</v>
      </c>
      <c r="M369" s="8" t="s">
        <v>1389</v>
      </c>
      <c r="N369" s="7"/>
    </row>
    <row r="370" spans="1:14" ht="20.100000000000001" customHeight="1">
      <c r="A370" s="2" t="s">
        <v>14</v>
      </c>
      <c r="B370" s="3" t="s">
        <v>1334</v>
      </c>
      <c r="C370" s="3" t="s">
        <v>1335</v>
      </c>
      <c r="D370" s="2" t="s">
        <v>1390</v>
      </c>
      <c r="E370" s="2">
        <v>1374</v>
      </c>
      <c r="F370" s="2" t="s">
        <v>157</v>
      </c>
      <c r="G370" s="3" t="s">
        <v>1391</v>
      </c>
      <c r="H370" s="2">
        <v>900</v>
      </c>
      <c r="I370" s="4" t="s">
        <v>20</v>
      </c>
      <c r="J370" s="3" t="s">
        <v>121</v>
      </c>
      <c r="K370" s="2">
        <v>15</v>
      </c>
      <c r="L370" s="2">
        <v>10</v>
      </c>
      <c r="M370" s="5" t="s">
        <v>1392</v>
      </c>
      <c r="N370" s="3"/>
    </row>
    <row r="371" spans="1:14" ht="20.100000000000001" customHeight="1">
      <c r="A371" s="6" t="s">
        <v>14</v>
      </c>
      <c r="B371" s="7" t="s">
        <v>1334</v>
      </c>
      <c r="C371" s="7" t="s">
        <v>1335</v>
      </c>
      <c r="D371" s="6" t="s">
        <v>1393</v>
      </c>
      <c r="E371" s="6">
        <v>1422</v>
      </c>
      <c r="F371" s="6" t="s">
        <v>18</v>
      </c>
      <c r="G371" s="7" t="s">
        <v>562</v>
      </c>
      <c r="H371" s="6">
        <v>800</v>
      </c>
      <c r="I371" s="4" t="s">
        <v>20</v>
      </c>
      <c r="J371" s="7" t="s">
        <v>213</v>
      </c>
      <c r="K371" s="6">
        <v>15</v>
      </c>
      <c r="L371" s="6">
        <v>10</v>
      </c>
      <c r="M371" s="8" t="s">
        <v>1394</v>
      </c>
      <c r="N371" s="7"/>
    </row>
    <row r="372" spans="1:14" ht="20.100000000000001" customHeight="1">
      <c r="A372" s="2" t="s">
        <v>14</v>
      </c>
      <c r="B372" s="3" t="s">
        <v>1334</v>
      </c>
      <c r="C372" s="3" t="s">
        <v>1335</v>
      </c>
      <c r="D372" s="2" t="s">
        <v>1395</v>
      </c>
      <c r="E372" s="2">
        <v>1472</v>
      </c>
      <c r="F372" s="2" t="s">
        <v>18</v>
      </c>
      <c r="G372" s="3" t="s">
        <v>1396</v>
      </c>
      <c r="H372" s="2">
        <v>800</v>
      </c>
      <c r="I372" s="4" t="s">
        <v>20</v>
      </c>
      <c r="J372" s="3" t="s">
        <v>147</v>
      </c>
      <c r="K372" s="2">
        <v>15</v>
      </c>
      <c r="L372" s="2">
        <v>10</v>
      </c>
      <c r="M372" s="5" t="s">
        <v>1397</v>
      </c>
      <c r="N372" s="3"/>
    </row>
    <row r="373" spans="1:14" ht="20.100000000000001" customHeight="1">
      <c r="A373" s="6" t="s">
        <v>14</v>
      </c>
      <c r="B373" s="7" t="s">
        <v>1334</v>
      </c>
      <c r="C373" s="7" t="s">
        <v>1335</v>
      </c>
      <c r="D373" s="6" t="s">
        <v>1398</v>
      </c>
      <c r="E373" s="6">
        <v>1487</v>
      </c>
      <c r="F373" s="6" t="s">
        <v>18</v>
      </c>
      <c r="G373" s="7" t="s">
        <v>1399</v>
      </c>
      <c r="H373" s="6">
        <v>800</v>
      </c>
      <c r="I373" s="4" t="s">
        <v>20</v>
      </c>
      <c r="J373" s="7" t="s">
        <v>289</v>
      </c>
      <c r="K373" s="6">
        <v>15</v>
      </c>
      <c r="L373" s="6">
        <v>10</v>
      </c>
      <c r="M373" s="8" t="s">
        <v>1400</v>
      </c>
      <c r="N373" s="7"/>
    </row>
    <row r="374" spans="1:14" ht="20.100000000000001" customHeight="1">
      <c r="A374" s="2" t="s">
        <v>14</v>
      </c>
      <c r="B374" s="3" t="s">
        <v>1334</v>
      </c>
      <c r="C374" s="3" t="s">
        <v>1335</v>
      </c>
      <c r="D374" s="2" t="s">
        <v>1401</v>
      </c>
      <c r="E374" s="2">
        <v>1498</v>
      </c>
      <c r="F374" s="2" t="s">
        <v>18</v>
      </c>
      <c r="G374" s="3" t="s">
        <v>1402</v>
      </c>
      <c r="H374" s="2">
        <v>800</v>
      </c>
      <c r="I374" s="4" t="s">
        <v>20</v>
      </c>
      <c r="J374" s="3" t="s">
        <v>44</v>
      </c>
      <c r="K374" s="2">
        <v>15</v>
      </c>
      <c r="L374" s="2">
        <v>10</v>
      </c>
      <c r="M374" s="5" t="s">
        <v>1403</v>
      </c>
      <c r="N374" s="3"/>
    </row>
    <row r="375" spans="1:14" ht="20.100000000000001" customHeight="1">
      <c r="A375" s="6" t="s">
        <v>14</v>
      </c>
      <c r="B375" s="7" t="s">
        <v>1334</v>
      </c>
      <c r="C375" s="7" t="s">
        <v>1404</v>
      </c>
      <c r="D375" s="6" t="s">
        <v>1405</v>
      </c>
      <c r="E375" s="6">
        <v>7</v>
      </c>
      <c r="F375" s="6" t="s">
        <v>183</v>
      </c>
      <c r="G375" s="7" t="s">
        <v>1406</v>
      </c>
      <c r="H375" s="6">
        <v>1800</v>
      </c>
      <c r="I375" s="10" t="s">
        <v>418</v>
      </c>
      <c r="J375" s="7" t="s">
        <v>1065</v>
      </c>
      <c r="K375" s="6">
        <v>60</v>
      </c>
      <c r="L375" s="6">
        <v>55</v>
      </c>
      <c r="M375" s="8" t="s">
        <v>1407</v>
      </c>
      <c r="N375" s="7"/>
    </row>
    <row r="376" spans="1:14" ht="20.100000000000001" customHeight="1">
      <c r="A376" s="2" t="s">
        <v>14</v>
      </c>
      <c r="B376" s="3" t="s">
        <v>1334</v>
      </c>
      <c r="C376" s="3" t="s">
        <v>1404</v>
      </c>
      <c r="D376" s="2" t="s">
        <v>1408</v>
      </c>
      <c r="E376" s="2">
        <v>16</v>
      </c>
      <c r="F376" s="2" t="s">
        <v>183</v>
      </c>
      <c r="G376" s="3" t="s">
        <v>1409</v>
      </c>
      <c r="H376" s="2">
        <v>1800</v>
      </c>
      <c r="I376" s="10" t="s">
        <v>418</v>
      </c>
      <c r="J376" s="3" t="s">
        <v>1410</v>
      </c>
      <c r="K376" s="2">
        <v>60</v>
      </c>
      <c r="L376" s="2">
        <v>55</v>
      </c>
      <c r="M376" s="5" t="s">
        <v>1411</v>
      </c>
      <c r="N376" s="3"/>
    </row>
    <row r="377" spans="1:14" ht="20.100000000000001" customHeight="1">
      <c r="A377" s="6" t="s">
        <v>14</v>
      </c>
      <c r="B377" s="7" t="s">
        <v>1334</v>
      </c>
      <c r="C377" s="7" t="s">
        <v>1404</v>
      </c>
      <c r="D377" s="6" t="s">
        <v>1412</v>
      </c>
      <c r="E377" s="6">
        <v>340</v>
      </c>
      <c r="F377" s="6" t="s">
        <v>18</v>
      </c>
      <c r="G377" s="7" t="s">
        <v>1413</v>
      </c>
      <c r="H377" s="6">
        <v>1200</v>
      </c>
      <c r="I377" s="4" t="s">
        <v>43</v>
      </c>
      <c r="J377" s="7" t="s">
        <v>121</v>
      </c>
      <c r="K377" s="6">
        <v>25</v>
      </c>
      <c r="L377" s="6">
        <v>20</v>
      </c>
      <c r="M377" s="8" t="s">
        <v>1414</v>
      </c>
      <c r="N377" s="7"/>
    </row>
    <row r="378" spans="1:14" ht="20.100000000000001" customHeight="1">
      <c r="A378" s="2" t="s">
        <v>14</v>
      </c>
      <c r="B378" s="3" t="s">
        <v>1334</v>
      </c>
      <c r="C378" s="3" t="s">
        <v>1404</v>
      </c>
      <c r="D378" s="2" t="s">
        <v>1415</v>
      </c>
      <c r="E378" s="2">
        <v>475</v>
      </c>
      <c r="F378" s="2" t="s">
        <v>384</v>
      </c>
      <c r="G378" s="3" t="s">
        <v>1416</v>
      </c>
      <c r="H378" s="2">
        <v>2000</v>
      </c>
      <c r="I378" s="10" t="s">
        <v>386</v>
      </c>
      <c r="J378" s="3" t="s">
        <v>1417</v>
      </c>
      <c r="K378" s="2">
        <v>90</v>
      </c>
      <c r="L378" s="2">
        <v>80</v>
      </c>
      <c r="M378" s="5" t="s">
        <v>1418</v>
      </c>
      <c r="N378" s="3"/>
    </row>
    <row r="379" spans="1:14" ht="20.100000000000001" customHeight="1">
      <c r="A379" s="6" t="s">
        <v>14</v>
      </c>
      <c r="B379" s="7" t="s">
        <v>1334</v>
      </c>
      <c r="C379" s="7" t="s">
        <v>1404</v>
      </c>
      <c r="D379" s="6" t="s">
        <v>1419</v>
      </c>
      <c r="E379" s="6">
        <v>510</v>
      </c>
      <c r="F379" s="6" t="s">
        <v>384</v>
      </c>
      <c r="G379" s="7" t="s">
        <v>1420</v>
      </c>
      <c r="H379" s="6">
        <v>1900</v>
      </c>
      <c r="I379" s="10" t="s">
        <v>386</v>
      </c>
      <c r="J379" s="7" t="s">
        <v>1421</v>
      </c>
      <c r="K379" s="6">
        <v>60</v>
      </c>
      <c r="L379" s="6">
        <v>55</v>
      </c>
      <c r="M379" s="8" t="s">
        <v>1422</v>
      </c>
      <c r="N379" s="7"/>
    </row>
    <row r="380" spans="1:14" ht="20.100000000000001" customHeight="1">
      <c r="A380" s="2" t="s">
        <v>14</v>
      </c>
      <c r="B380" s="3" t="s">
        <v>1334</v>
      </c>
      <c r="C380" s="3" t="s">
        <v>1404</v>
      </c>
      <c r="D380" s="2" t="s">
        <v>1423</v>
      </c>
      <c r="E380" s="2">
        <v>803</v>
      </c>
      <c r="F380" s="2" t="s">
        <v>183</v>
      </c>
      <c r="G380" s="3" t="s">
        <v>1424</v>
      </c>
      <c r="H380" s="2">
        <v>1900</v>
      </c>
      <c r="I380" s="10" t="s">
        <v>386</v>
      </c>
      <c r="J380" s="3" t="s">
        <v>342</v>
      </c>
      <c r="K380" s="2">
        <v>60</v>
      </c>
      <c r="L380" s="2">
        <v>55</v>
      </c>
      <c r="M380" s="5" t="s">
        <v>1425</v>
      </c>
      <c r="N380" s="3"/>
    </row>
    <row r="381" spans="1:14" ht="20.100000000000001" customHeight="1">
      <c r="A381" s="6" t="s">
        <v>14</v>
      </c>
      <c r="B381" s="7" t="s">
        <v>1334</v>
      </c>
      <c r="C381" s="7" t="s">
        <v>1404</v>
      </c>
      <c r="D381" s="6" t="s">
        <v>1426</v>
      </c>
      <c r="E381" s="6">
        <v>891</v>
      </c>
      <c r="F381" s="6" t="s">
        <v>18</v>
      </c>
      <c r="G381" s="7" t="s">
        <v>1427</v>
      </c>
      <c r="H381" s="6">
        <v>1500</v>
      </c>
      <c r="I381" s="9" t="s">
        <v>172</v>
      </c>
      <c r="J381" s="7" t="s">
        <v>1428</v>
      </c>
      <c r="K381" s="6">
        <v>40</v>
      </c>
      <c r="L381" s="6">
        <v>35</v>
      </c>
      <c r="M381" s="8" t="s">
        <v>1429</v>
      </c>
      <c r="N381" s="7"/>
    </row>
    <row r="382" spans="1:14" ht="20.100000000000001" customHeight="1">
      <c r="A382" s="2" t="s">
        <v>14</v>
      </c>
      <c r="B382" s="3" t="s">
        <v>1334</v>
      </c>
      <c r="C382" s="3" t="s">
        <v>1404</v>
      </c>
      <c r="D382" s="2" t="s">
        <v>1430</v>
      </c>
      <c r="E382" s="2">
        <v>1025</v>
      </c>
      <c r="F382" s="2" t="s">
        <v>157</v>
      </c>
      <c r="G382" s="3" t="s">
        <v>1431</v>
      </c>
      <c r="H382" s="2">
        <v>1600</v>
      </c>
      <c r="I382" s="9" t="s">
        <v>172</v>
      </c>
      <c r="J382" s="3" t="s">
        <v>1432</v>
      </c>
      <c r="K382" s="2">
        <v>40</v>
      </c>
      <c r="L382" s="2">
        <v>35</v>
      </c>
      <c r="M382" s="5" t="s">
        <v>1433</v>
      </c>
      <c r="N382" s="3"/>
    </row>
    <row r="383" spans="1:14" ht="20.100000000000001" customHeight="1">
      <c r="A383" s="6" t="s">
        <v>14</v>
      </c>
      <c r="B383" s="7" t="s">
        <v>1334</v>
      </c>
      <c r="C383" s="7" t="s">
        <v>1404</v>
      </c>
      <c r="D383" s="6" t="s">
        <v>1434</v>
      </c>
      <c r="E383" s="6">
        <v>1244</v>
      </c>
      <c r="F383" s="6" t="s">
        <v>183</v>
      </c>
      <c r="G383" s="7" t="s">
        <v>1435</v>
      </c>
      <c r="H383" s="6">
        <v>2000</v>
      </c>
      <c r="I383" s="10" t="s">
        <v>386</v>
      </c>
      <c r="J383" s="7" t="s">
        <v>1436</v>
      </c>
      <c r="K383" s="6">
        <v>90</v>
      </c>
      <c r="L383" s="6">
        <v>80</v>
      </c>
      <c r="M383" s="8" t="s">
        <v>1437</v>
      </c>
      <c r="N383" s="7"/>
    </row>
    <row r="384" spans="1:14" ht="20.100000000000001" customHeight="1">
      <c r="A384" s="2" t="s">
        <v>14</v>
      </c>
      <c r="B384" s="3" t="s">
        <v>1334</v>
      </c>
      <c r="C384" s="3" t="s">
        <v>1404</v>
      </c>
      <c r="D384" s="2" t="s">
        <v>1438</v>
      </c>
      <c r="E384" s="2">
        <v>1285</v>
      </c>
      <c r="F384" s="2" t="s">
        <v>183</v>
      </c>
      <c r="G384" s="3" t="s">
        <v>1439</v>
      </c>
      <c r="H384" s="2">
        <v>1400</v>
      </c>
      <c r="I384" s="9" t="s">
        <v>163</v>
      </c>
      <c r="J384" s="3" t="s">
        <v>1436</v>
      </c>
      <c r="K384" s="2">
        <v>40</v>
      </c>
      <c r="L384" s="2">
        <v>35</v>
      </c>
      <c r="M384" s="5" t="s">
        <v>1440</v>
      </c>
      <c r="N384" s="3"/>
    </row>
    <row r="385" spans="1:14" ht="20.100000000000001" customHeight="1">
      <c r="A385" s="6" t="s">
        <v>14</v>
      </c>
      <c r="B385" s="7" t="s">
        <v>1334</v>
      </c>
      <c r="C385" s="7" t="s">
        <v>1404</v>
      </c>
      <c r="D385" s="6" t="s">
        <v>1441</v>
      </c>
      <c r="E385" s="6">
        <v>1458</v>
      </c>
      <c r="F385" s="6" t="s">
        <v>18</v>
      </c>
      <c r="G385" s="7" t="s">
        <v>1442</v>
      </c>
      <c r="H385" s="6">
        <v>1600</v>
      </c>
      <c r="I385" s="9" t="s">
        <v>172</v>
      </c>
      <c r="J385" s="7" t="s">
        <v>1065</v>
      </c>
      <c r="K385" s="6">
        <v>40</v>
      </c>
      <c r="L385" s="6">
        <v>35</v>
      </c>
      <c r="M385" s="8" t="s">
        <v>1443</v>
      </c>
      <c r="N385" s="7"/>
    </row>
    <row r="386" spans="1:14" ht="20.100000000000001" customHeight="1">
      <c r="A386" s="2" t="s">
        <v>14</v>
      </c>
      <c r="B386" s="3" t="s">
        <v>1334</v>
      </c>
      <c r="C386" s="3" t="s">
        <v>1404</v>
      </c>
      <c r="D386" s="2" t="s">
        <v>1444</v>
      </c>
      <c r="E386" s="2">
        <v>1548</v>
      </c>
      <c r="F386" s="2" t="s">
        <v>157</v>
      </c>
      <c r="G386" s="3" t="s">
        <v>1445</v>
      </c>
      <c r="H386" s="2">
        <v>1800</v>
      </c>
      <c r="I386" s="10" t="s">
        <v>418</v>
      </c>
      <c r="J386" s="3" t="s">
        <v>1446</v>
      </c>
      <c r="K386" s="2">
        <v>60</v>
      </c>
      <c r="L386" s="2">
        <v>55</v>
      </c>
      <c r="M386" s="5" t="s">
        <v>1447</v>
      </c>
      <c r="N386" s="3"/>
    </row>
    <row r="387" spans="1:14" ht="20.100000000000001" customHeight="1">
      <c r="A387" s="6" t="s">
        <v>14</v>
      </c>
      <c r="B387" s="7" t="s">
        <v>1334</v>
      </c>
      <c r="C387" s="7" t="s">
        <v>1448</v>
      </c>
      <c r="D387" s="6" t="s">
        <v>1449</v>
      </c>
      <c r="E387" s="6">
        <v>17</v>
      </c>
      <c r="F387" s="6" t="s">
        <v>18</v>
      </c>
      <c r="G387" s="7" t="s">
        <v>1450</v>
      </c>
      <c r="H387" s="6">
        <v>1000</v>
      </c>
      <c r="I387" s="4" t="s">
        <v>43</v>
      </c>
      <c r="J387" s="7" t="s">
        <v>1436</v>
      </c>
      <c r="K387" s="6">
        <v>15</v>
      </c>
      <c r="L387" s="6">
        <v>10</v>
      </c>
      <c r="M387" s="8" t="s">
        <v>1451</v>
      </c>
      <c r="N387" s="7"/>
    </row>
    <row r="388" spans="1:14" ht="20.100000000000001" customHeight="1">
      <c r="A388" s="2" t="s">
        <v>14</v>
      </c>
      <c r="B388" s="3" t="s">
        <v>1334</v>
      </c>
      <c r="C388" s="3" t="s">
        <v>1448</v>
      </c>
      <c r="D388" s="2" t="s">
        <v>1452</v>
      </c>
      <c r="E388" s="2">
        <v>230</v>
      </c>
      <c r="F388" s="2" t="s">
        <v>157</v>
      </c>
      <c r="G388" s="3" t="s">
        <v>1453</v>
      </c>
      <c r="H388" s="2">
        <v>1300</v>
      </c>
      <c r="I388" s="9" t="s">
        <v>163</v>
      </c>
      <c r="J388" s="3" t="s">
        <v>1454</v>
      </c>
      <c r="K388" s="2">
        <v>25</v>
      </c>
      <c r="L388" s="2">
        <v>20</v>
      </c>
      <c r="M388" s="5" t="s">
        <v>1455</v>
      </c>
      <c r="N388" s="3"/>
    </row>
    <row r="389" spans="1:14" ht="20.100000000000001" customHeight="1">
      <c r="A389" s="6" t="s">
        <v>14</v>
      </c>
      <c r="B389" s="7" t="s">
        <v>1334</v>
      </c>
      <c r="C389" s="7" t="s">
        <v>1448</v>
      </c>
      <c r="D389" s="6" t="s">
        <v>1456</v>
      </c>
      <c r="E389" s="6">
        <v>385</v>
      </c>
      <c r="F389" s="6" t="s">
        <v>183</v>
      </c>
      <c r="G389" s="7" t="s">
        <v>1457</v>
      </c>
      <c r="H389" s="6">
        <v>1700</v>
      </c>
      <c r="I389" s="10" t="s">
        <v>418</v>
      </c>
      <c r="J389" s="7" t="s">
        <v>1458</v>
      </c>
      <c r="K389" s="6">
        <v>60</v>
      </c>
      <c r="L389" s="6">
        <v>55</v>
      </c>
      <c r="M389" s="8" t="s">
        <v>1459</v>
      </c>
      <c r="N389" s="7"/>
    </row>
    <row r="390" spans="1:14" ht="20.100000000000001" customHeight="1">
      <c r="A390" s="2" t="s">
        <v>14</v>
      </c>
      <c r="B390" s="3" t="s">
        <v>1334</v>
      </c>
      <c r="C390" s="3" t="s">
        <v>1448</v>
      </c>
      <c r="D390" s="2" t="s">
        <v>1460</v>
      </c>
      <c r="E390" s="2">
        <v>577</v>
      </c>
      <c r="F390" s="2" t="s">
        <v>157</v>
      </c>
      <c r="G390" s="3" t="s">
        <v>1461</v>
      </c>
      <c r="H390" s="2">
        <v>1900</v>
      </c>
      <c r="I390" s="10" t="s">
        <v>386</v>
      </c>
      <c r="J390" s="3" t="s">
        <v>1462</v>
      </c>
      <c r="K390" s="2">
        <v>60</v>
      </c>
      <c r="L390" s="2">
        <v>55</v>
      </c>
      <c r="M390" s="5" t="s">
        <v>1463</v>
      </c>
      <c r="N390" s="3"/>
    </row>
    <row r="391" spans="1:14" ht="20.100000000000001" customHeight="1">
      <c r="A391" s="6" t="s">
        <v>14</v>
      </c>
      <c r="B391" s="7" t="s">
        <v>1334</v>
      </c>
      <c r="C391" s="7" t="s">
        <v>1448</v>
      </c>
      <c r="D391" s="6" t="s">
        <v>1464</v>
      </c>
      <c r="E391" s="6">
        <v>776</v>
      </c>
      <c r="F391" s="6" t="s">
        <v>157</v>
      </c>
      <c r="G391" s="7" t="s">
        <v>1465</v>
      </c>
      <c r="H391" s="6">
        <v>1200</v>
      </c>
      <c r="I391" s="4" t="s">
        <v>43</v>
      </c>
      <c r="J391" s="7" t="s">
        <v>1466</v>
      </c>
      <c r="K391" s="6">
        <v>25</v>
      </c>
      <c r="L391" s="6">
        <v>20</v>
      </c>
      <c r="M391" s="8" t="s">
        <v>1467</v>
      </c>
      <c r="N391" s="7"/>
    </row>
    <row r="392" spans="1:14" ht="20.100000000000001" customHeight="1">
      <c r="A392" s="2" t="s">
        <v>14</v>
      </c>
      <c r="B392" s="3" t="s">
        <v>1334</v>
      </c>
      <c r="C392" s="3" t="s">
        <v>1448</v>
      </c>
      <c r="D392" s="2" t="s">
        <v>1468</v>
      </c>
      <c r="E392" s="2">
        <v>959</v>
      </c>
      <c r="F392" s="2" t="s">
        <v>384</v>
      </c>
      <c r="G392" s="3" t="s">
        <v>1469</v>
      </c>
      <c r="H392" s="2">
        <v>1900</v>
      </c>
      <c r="I392" s="10" t="s">
        <v>386</v>
      </c>
      <c r="J392" s="3" t="s">
        <v>1470</v>
      </c>
      <c r="K392" s="2">
        <v>60</v>
      </c>
      <c r="L392" s="2">
        <v>55</v>
      </c>
      <c r="M392" s="5" t="s">
        <v>1471</v>
      </c>
      <c r="N392" s="3"/>
    </row>
    <row r="393" spans="1:14" ht="20.100000000000001" customHeight="1">
      <c r="A393" s="6" t="s">
        <v>14</v>
      </c>
      <c r="B393" s="7" t="s">
        <v>1334</v>
      </c>
      <c r="C393" s="7" t="s">
        <v>1448</v>
      </c>
      <c r="D393" s="6" t="s">
        <v>1472</v>
      </c>
      <c r="E393" s="6">
        <v>1033</v>
      </c>
      <c r="F393" s="6" t="s">
        <v>384</v>
      </c>
      <c r="G393" s="7" t="s">
        <v>1473</v>
      </c>
      <c r="H393" s="6">
        <v>2000</v>
      </c>
      <c r="I393" s="10" t="s">
        <v>386</v>
      </c>
      <c r="J393" s="7" t="s">
        <v>1474</v>
      </c>
      <c r="K393" s="6">
        <v>90</v>
      </c>
      <c r="L393" s="6">
        <v>80</v>
      </c>
      <c r="M393" s="8" t="s">
        <v>1475</v>
      </c>
      <c r="N393" s="7"/>
    </row>
    <row r="394" spans="1:14" ht="20.100000000000001" customHeight="1">
      <c r="A394" s="2" t="s">
        <v>14</v>
      </c>
      <c r="B394" s="3" t="s">
        <v>1334</v>
      </c>
      <c r="C394" s="3" t="s">
        <v>1448</v>
      </c>
      <c r="D394" s="2" t="s">
        <v>1476</v>
      </c>
      <c r="E394" s="2">
        <v>1174</v>
      </c>
      <c r="F394" s="2" t="s">
        <v>183</v>
      </c>
      <c r="G394" s="3" t="s">
        <v>1477</v>
      </c>
      <c r="H394" s="2">
        <v>1300</v>
      </c>
      <c r="I394" s="9" t="s">
        <v>163</v>
      </c>
      <c r="J394" s="3" t="s">
        <v>1466</v>
      </c>
      <c r="K394" s="2">
        <v>25</v>
      </c>
      <c r="L394" s="2">
        <v>20</v>
      </c>
      <c r="M394" s="5" t="s">
        <v>1478</v>
      </c>
      <c r="N394" s="3"/>
    </row>
    <row r="395" spans="1:14" ht="20.100000000000001" customHeight="1">
      <c r="A395" s="6" t="s">
        <v>14</v>
      </c>
      <c r="B395" s="7" t="s">
        <v>1334</v>
      </c>
      <c r="C395" s="7" t="s">
        <v>1448</v>
      </c>
      <c r="D395" s="6" t="s">
        <v>1479</v>
      </c>
      <c r="E395" s="6">
        <v>1228</v>
      </c>
      <c r="F395" s="6" t="s">
        <v>183</v>
      </c>
      <c r="G395" s="7" t="s">
        <v>1480</v>
      </c>
      <c r="H395" s="6">
        <v>1700</v>
      </c>
      <c r="I395" s="10" t="s">
        <v>418</v>
      </c>
      <c r="J395" s="7" t="s">
        <v>1065</v>
      </c>
      <c r="K395" s="6">
        <v>60</v>
      </c>
      <c r="L395" s="6">
        <v>55</v>
      </c>
      <c r="M395" s="8" t="s">
        <v>1481</v>
      </c>
      <c r="N395" s="7"/>
    </row>
    <row r="396" spans="1:14" ht="20.100000000000001" customHeight="1">
      <c r="A396" s="2" t="s">
        <v>14</v>
      </c>
      <c r="B396" s="3" t="s">
        <v>1334</v>
      </c>
      <c r="C396" s="3" t="s">
        <v>1448</v>
      </c>
      <c r="D396" s="2" t="s">
        <v>1482</v>
      </c>
      <c r="E396" s="2">
        <v>1295</v>
      </c>
      <c r="F396" s="2" t="s">
        <v>384</v>
      </c>
      <c r="G396" s="3" t="s">
        <v>1483</v>
      </c>
      <c r="H396" s="2">
        <v>1800</v>
      </c>
      <c r="I396" s="10" t="s">
        <v>418</v>
      </c>
      <c r="J396" s="3" t="s">
        <v>1065</v>
      </c>
      <c r="K396" s="2">
        <v>60</v>
      </c>
      <c r="L396" s="2">
        <v>55</v>
      </c>
      <c r="M396" s="5" t="s">
        <v>1484</v>
      </c>
      <c r="N396" s="3"/>
    </row>
    <row r="397" spans="1:14" ht="20.100000000000001" customHeight="1">
      <c r="A397" s="6" t="s">
        <v>14</v>
      </c>
      <c r="B397" s="7" t="s">
        <v>1334</v>
      </c>
      <c r="C397" s="7" t="s">
        <v>1448</v>
      </c>
      <c r="D397" s="6" t="s">
        <v>1485</v>
      </c>
      <c r="E397" s="6">
        <v>1475</v>
      </c>
      <c r="F397" s="6" t="s">
        <v>535</v>
      </c>
      <c r="G397" s="7" t="s">
        <v>1486</v>
      </c>
      <c r="H397" s="6">
        <v>1900</v>
      </c>
      <c r="I397" s="10" t="s">
        <v>386</v>
      </c>
      <c r="J397" s="7" t="s">
        <v>1487</v>
      </c>
      <c r="K397" s="6">
        <v>60</v>
      </c>
      <c r="L397" s="6">
        <v>55</v>
      </c>
      <c r="M397" s="8" t="s">
        <v>1488</v>
      </c>
      <c r="N397" s="7"/>
    </row>
    <row r="398" spans="1:14" ht="20.100000000000001" customHeight="1">
      <c r="A398" s="2" t="s">
        <v>14</v>
      </c>
      <c r="B398" s="3" t="s">
        <v>1334</v>
      </c>
      <c r="C398" s="3" t="s">
        <v>1489</v>
      </c>
      <c r="D398" s="2" t="s">
        <v>1490</v>
      </c>
      <c r="E398" s="2">
        <v>337</v>
      </c>
      <c r="F398" s="2" t="s">
        <v>183</v>
      </c>
      <c r="G398" s="3" t="s">
        <v>1491</v>
      </c>
      <c r="H398" s="2">
        <v>1600</v>
      </c>
      <c r="I398" s="9" t="s">
        <v>172</v>
      </c>
      <c r="J398" s="3" t="s">
        <v>1492</v>
      </c>
      <c r="K398" s="2">
        <v>40</v>
      </c>
      <c r="L398" s="2">
        <v>35</v>
      </c>
      <c r="M398" s="5" t="s">
        <v>1493</v>
      </c>
      <c r="N398" s="3"/>
    </row>
    <row r="399" spans="1:14" ht="20.100000000000001" customHeight="1">
      <c r="A399" s="6" t="s">
        <v>14</v>
      </c>
      <c r="B399" s="7" t="s">
        <v>1334</v>
      </c>
      <c r="C399" s="7" t="s">
        <v>1489</v>
      </c>
      <c r="D399" s="6" t="s">
        <v>1494</v>
      </c>
      <c r="E399" s="6">
        <v>451</v>
      </c>
      <c r="F399" s="6" t="s">
        <v>531</v>
      </c>
      <c r="G399" s="7" t="s">
        <v>1495</v>
      </c>
      <c r="H399" s="6">
        <v>2300</v>
      </c>
      <c r="I399" s="12" t="s">
        <v>523</v>
      </c>
      <c r="J399" s="7" t="s">
        <v>1496</v>
      </c>
      <c r="K399" s="6">
        <v>120</v>
      </c>
      <c r="L399" s="6">
        <v>110</v>
      </c>
      <c r="M399" s="8" t="s">
        <v>1497</v>
      </c>
      <c r="N399" s="7"/>
    </row>
    <row r="400" spans="1:14" ht="20.100000000000001" customHeight="1">
      <c r="A400" s="2" t="s">
        <v>14</v>
      </c>
      <c r="B400" s="3" t="s">
        <v>1334</v>
      </c>
      <c r="C400" s="3" t="s">
        <v>1489</v>
      </c>
      <c r="D400" s="2" t="s">
        <v>1498</v>
      </c>
      <c r="E400" s="2">
        <v>584</v>
      </c>
      <c r="F400" s="2" t="s">
        <v>157</v>
      </c>
      <c r="G400" s="3" t="s">
        <v>1499</v>
      </c>
      <c r="H400" s="2">
        <v>1500</v>
      </c>
      <c r="I400" s="9" t="s">
        <v>172</v>
      </c>
      <c r="J400" s="3" t="s">
        <v>1500</v>
      </c>
      <c r="K400" s="2">
        <v>40</v>
      </c>
      <c r="L400" s="2">
        <v>35</v>
      </c>
      <c r="M400" s="5" t="s">
        <v>1501</v>
      </c>
      <c r="N400" s="3"/>
    </row>
    <row r="401" spans="1:14" ht="20.100000000000001" customHeight="1">
      <c r="A401" s="6" t="s">
        <v>14</v>
      </c>
      <c r="B401" s="7" t="s">
        <v>1334</v>
      </c>
      <c r="C401" s="7" t="s">
        <v>1489</v>
      </c>
      <c r="D401" s="6" t="s">
        <v>1502</v>
      </c>
      <c r="E401" s="6">
        <v>622</v>
      </c>
      <c r="F401" s="6" t="s">
        <v>635</v>
      </c>
      <c r="G401" s="7" t="s">
        <v>1503</v>
      </c>
      <c r="H401" s="6">
        <v>2600</v>
      </c>
      <c r="I401" s="12" t="s">
        <v>659</v>
      </c>
      <c r="J401" s="7" t="s">
        <v>121</v>
      </c>
      <c r="K401" s="6">
        <v>180</v>
      </c>
      <c r="L401" s="6">
        <v>150</v>
      </c>
      <c r="M401" s="8" t="s">
        <v>1504</v>
      </c>
      <c r="N401" s="7"/>
    </row>
    <row r="402" spans="1:14" ht="20.100000000000001" customHeight="1">
      <c r="A402" s="2" t="s">
        <v>14</v>
      </c>
      <c r="B402" s="3" t="s">
        <v>1334</v>
      </c>
      <c r="C402" s="3" t="s">
        <v>1489</v>
      </c>
      <c r="D402" s="2" t="s">
        <v>1505</v>
      </c>
      <c r="E402" s="2">
        <v>895</v>
      </c>
      <c r="F402" s="2" t="s">
        <v>183</v>
      </c>
      <c r="G402" s="3" t="s">
        <v>1506</v>
      </c>
      <c r="H402" s="2">
        <v>2000</v>
      </c>
      <c r="I402" s="10" t="s">
        <v>386</v>
      </c>
      <c r="J402" s="3" t="s">
        <v>507</v>
      </c>
      <c r="K402" s="2">
        <v>90</v>
      </c>
      <c r="L402" s="2">
        <v>80</v>
      </c>
      <c r="M402" s="5" t="s">
        <v>1507</v>
      </c>
      <c r="N402" s="3"/>
    </row>
    <row r="403" spans="1:14" ht="20.100000000000001" customHeight="1">
      <c r="A403" s="6" t="s">
        <v>14</v>
      </c>
      <c r="B403" s="7" t="s">
        <v>1334</v>
      </c>
      <c r="C403" s="7" t="s">
        <v>1489</v>
      </c>
      <c r="D403" s="6" t="s">
        <v>1508</v>
      </c>
      <c r="E403" s="6">
        <v>1096</v>
      </c>
      <c r="F403" s="6" t="s">
        <v>384</v>
      </c>
      <c r="G403" s="7" t="s">
        <v>1509</v>
      </c>
      <c r="H403" s="6">
        <v>1800</v>
      </c>
      <c r="I403" s="10" t="s">
        <v>418</v>
      </c>
      <c r="J403" s="7" t="s">
        <v>641</v>
      </c>
      <c r="K403" s="6">
        <v>60</v>
      </c>
      <c r="L403" s="6">
        <v>55</v>
      </c>
      <c r="M403" s="8" t="s">
        <v>1510</v>
      </c>
      <c r="N403" s="7"/>
    </row>
    <row r="404" spans="1:14" ht="20.100000000000001" customHeight="1">
      <c r="A404" s="2" t="s">
        <v>14</v>
      </c>
      <c r="B404" s="3" t="s">
        <v>1334</v>
      </c>
      <c r="C404" s="3" t="s">
        <v>1489</v>
      </c>
      <c r="D404" s="2" t="s">
        <v>1511</v>
      </c>
      <c r="E404" s="2">
        <v>1359</v>
      </c>
      <c r="F404" s="2" t="s">
        <v>531</v>
      </c>
      <c r="G404" s="3" t="s">
        <v>1512</v>
      </c>
      <c r="H404" s="2">
        <v>2000</v>
      </c>
      <c r="I404" s="10" t="s">
        <v>386</v>
      </c>
      <c r="J404" s="3" t="s">
        <v>1513</v>
      </c>
      <c r="K404" s="2">
        <v>90</v>
      </c>
      <c r="L404" s="2">
        <v>80</v>
      </c>
      <c r="M404" s="5" t="s">
        <v>1514</v>
      </c>
      <c r="N404" s="3"/>
    </row>
    <row r="405" spans="1:14" ht="20.100000000000001" customHeight="1">
      <c r="A405" s="6" t="s">
        <v>14</v>
      </c>
      <c r="B405" s="7" t="s">
        <v>1334</v>
      </c>
      <c r="C405" s="7" t="s">
        <v>1489</v>
      </c>
      <c r="D405" s="6" t="s">
        <v>1515</v>
      </c>
      <c r="E405" s="6">
        <v>1452</v>
      </c>
      <c r="F405" s="6" t="s">
        <v>384</v>
      </c>
      <c r="G405" s="7" t="s">
        <v>1516</v>
      </c>
      <c r="H405" s="6">
        <v>1600</v>
      </c>
      <c r="I405" s="9" t="s">
        <v>172</v>
      </c>
      <c r="J405" s="7" t="s">
        <v>819</v>
      </c>
      <c r="K405" s="6">
        <v>40</v>
      </c>
      <c r="L405" s="6">
        <v>35</v>
      </c>
      <c r="M405" s="8" t="s">
        <v>1517</v>
      </c>
      <c r="N405" s="7"/>
    </row>
    <row r="406" spans="1:14" ht="20.100000000000001" customHeight="1">
      <c r="A406" s="2" t="s">
        <v>14</v>
      </c>
      <c r="B406" s="3" t="s">
        <v>1334</v>
      </c>
      <c r="C406" s="3" t="s">
        <v>1518</v>
      </c>
      <c r="D406" s="2" t="s">
        <v>1519</v>
      </c>
      <c r="E406" s="2">
        <v>294</v>
      </c>
      <c r="F406" s="2" t="s">
        <v>183</v>
      </c>
      <c r="G406" s="3" t="s">
        <v>1520</v>
      </c>
      <c r="H406" s="2">
        <v>1900</v>
      </c>
      <c r="I406" s="10" t="s">
        <v>386</v>
      </c>
      <c r="J406" s="3" t="s">
        <v>1521</v>
      </c>
      <c r="K406" s="2">
        <v>60</v>
      </c>
      <c r="L406" s="2">
        <v>55</v>
      </c>
      <c r="M406" s="5" t="s">
        <v>1522</v>
      </c>
      <c r="N406" s="3"/>
    </row>
    <row r="407" spans="1:14" ht="20.100000000000001" customHeight="1">
      <c r="A407" s="6" t="s">
        <v>14</v>
      </c>
      <c r="B407" s="7" t="s">
        <v>1334</v>
      </c>
      <c r="C407" s="7" t="s">
        <v>1518</v>
      </c>
      <c r="D407" s="6" t="s">
        <v>1523</v>
      </c>
      <c r="E407" s="6">
        <v>300</v>
      </c>
      <c r="F407" s="6" t="s">
        <v>183</v>
      </c>
      <c r="G407" s="7" t="s">
        <v>1524</v>
      </c>
      <c r="H407" s="6">
        <v>1800</v>
      </c>
      <c r="I407" s="10" t="s">
        <v>418</v>
      </c>
      <c r="J407" s="7" t="s">
        <v>1525</v>
      </c>
      <c r="K407" s="6">
        <v>60</v>
      </c>
      <c r="L407" s="6">
        <v>55</v>
      </c>
      <c r="M407" s="8" t="s">
        <v>1526</v>
      </c>
      <c r="N407" s="7"/>
    </row>
    <row r="408" spans="1:14" ht="20.100000000000001" customHeight="1">
      <c r="A408" s="2" t="s">
        <v>14</v>
      </c>
      <c r="B408" s="3" t="s">
        <v>1334</v>
      </c>
      <c r="C408" s="3" t="s">
        <v>1518</v>
      </c>
      <c r="D408" s="2" t="s">
        <v>1527</v>
      </c>
      <c r="E408" s="2">
        <v>553</v>
      </c>
      <c r="F408" s="2" t="s">
        <v>18</v>
      </c>
      <c r="G408" s="3" t="s">
        <v>1528</v>
      </c>
      <c r="H408" s="2">
        <v>1500</v>
      </c>
      <c r="I408" s="9" t="s">
        <v>172</v>
      </c>
      <c r="J408" s="3" t="s">
        <v>819</v>
      </c>
      <c r="K408" s="2">
        <v>40</v>
      </c>
      <c r="L408" s="2">
        <v>35</v>
      </c>
      <c r="M408" s="5" t="s">
        <v>1529</v>
      </c>
      <c r="N408" s="3"/>
    </row>
    <row r="409" spans="1:14" ht="20.100000000000001" customHeight="1">
      <c r="A409" s="6" t="s">
        <v>14</v>
      </c>
      <c r="B409" s="7" t="s">
        <v>1334</v>
      </c>
      <c r="C409" s="7" t="s">
        <v>1518</v>
      </c>
      <c r="D409" s="6" t="s">
        <v>1530</v>
      </c>
      <c r="E409" s="6">
        <v>869</v>
      </c>
      <c r="F409" s="6" t="s">
        <v>183</v>
      </c>
      <c r="G409" s="7" t="s">
        <v>1531</v>
      </c>
      <c r="H409" s="6">
        <v>1800</v>
      </c>
      <c r="I409" s="10" t="s">
        <v>418</v>
      </c>
      <c r="J409" s="7" t="s">
        <v>819</v>
      </c>
      <c r="K409" s="6">
        <v>60</v>
      </c>
      <c r="L409" s="6">
        <v>55</v>
      </c>
      <c r="M409" s="8" t="s">
        <v>1532</v>
      </c>
      <c r="N409" s="7"/>
    </row>
    <row r="410" spans="1:14" ht="20.100000000000001" customHeight="1">
      <c r="A410" s="2" t="s">
        <v>14</v>
      </c>
      <c r="B410" s="3" t="s">
        <v>1334</v>
      </c>
      <c r="C410" s="3" t="s">
        <v>1518</v>
      </c>
      <c r="D410" s="2" t="s">
        <v>1533</v>
      </c>
      <c r="E410" s="2">
        <v>888</v>
      </c>
      <c r="F410" s="2" t="s">
        <v>384</v>
      </c>
      <c r="G410" s="3" t="s">
        <v>1534</v>
      </c>
      <c r="H410" s="2">
        <v>1600</v>
      </c>
      <c r="I410" s="9" t="s">
        <v>172</v>
      </c>
      <c r="J410" s="3" t="s">
        <v>819</v>
      </c>
      <c r="K410" s="2">
        <v>40</v>
      </c>
      <c r="L410" s="2">
        <v>35</v>
      </c>
      <c r="M410" s="5" t="s">
        <v>1535</v>
      </c>
      <c r="N410" s="3"/>
    </row>
    <row r="411" spans="1:14" ht="20.100000000000001" customHeight="1">
      <c r="A411" s="6" t="s">
        <v>14</v>
      </c>
      <c r="B411" s="7" t="s">
        <v>1334</v>
      </c>
      <c r="C411" s="7" t="s">
        <v>1518</v>
      </c>
      <c r="D411" s="6" t="s">
        <v>1536</v>
      </c>
      <c r="E411" s="6">
        <v>1091</v>
      </c>
      <c r="F411" s="6" t="s">
        <v>384</v>
      </c>
      <c r="G411" s="7" t="s">
        <v>1537</v>
      </c>
      <c r="H411" s="6">
        <v>1700</v>
      </c>
      <c r="I411" s="10" t="s">
        <v>418</v>
      </c>
      <c r="J411" s="7" t="s">
        <v>819</v>
      </c>
      <c r="K411" s="6">
        <v>60</v>
      </c>
      <c r="L411" s="6">
        <v>55</v>
      </c>
      <c r="M411" s="8" t="s">
        <v>1538</v>
      </c>
      <c r="N411" s="7"/>
    </row>
    <row r="412" spans="1:14" ht="20.100000000000001" customHeight="1">
      <c r="A412" s="2" t="s">
        <v>14</v>
      </c>
      <c r="B412" s="3" t="s">
        <v>1334</v>
      </c>
      <c r="C412" s="3" t="s">
        <v>1518</v>
      </c>
      <c r="D412" s="2" t="s">
        <v>1539</v>
      </c>
      <c r="E412" s="2">
        <v>1312</v>
      </c>
      <c r="F412" s="2" t="s">
        <v>384</v>
      </c>
      <c r="G412" s="3" t="s">
        <v>1540</v>
      </c>
      <c r="H412" s="2">
        <v>1700</v>
      </c>
      <c r="I412" s="10" t="s">
        <v>418</v>
      </c>
      <c r="J412" s="3" t="s">
        <v>1541</v>
      </c>
      <c r="K412" s="2">
        <v>60</v>
      </c>
      <c r="L412" s="2">
        <v>55</v>
      </c>
      <c r="M412" s="5" t="s">
        <v>1542</v>
      </c>
      <c r="N412" s="3"/>
    </row>
    <row r="413" spans="1:14" ht="20.100000000000001" customHeight="1">
      <c r="A413" s="6" t="s">
        <v>14</v>
      </c>
      <c r="B413" s="7" t="s">
        <v>1334</v>
      </c>
      <c r="C413" s="7" t="s">
        <v>1518</v>
      </c>
      <c r="D413" s="6" t="s">
        <v>1543</v>
      </c>
      <c r="E413" s="6">
        <v>1420</v>
      </c>
      <c r="F413" s="6" t="s">
        <v>384</v>
      </c>
      <c r="G413" s="7" t="s">
        <v>1544</v>
      </c>
      <c r="H413" s="6">
        <v>1800</v>
      </c>
      <c r="I413" s="10" t="s">
        <v>418</v>
      </c>
      <c r="J413" s="7" t="s">
        <v>1545</v>
      </c>
      <c r="K413" s="6">
        <v>60</v>
      </c>
      <c r="L413" s="6">
        <v>55</v>
      </c>
      <c r="M413" s="8" t="s">
        <v>1546</v>
      </c>
      <c r="N413" s="7"/>
    </row>
    <row r="414" spans="1:14" ht="20.100000000000001" customHeight="1">
      <c r="A414" s="2" t="s">
        <v>14</v>
      </c>
      <c r="B414" s="3" t="s">
        <v>1334</v>
      </c>
      <c r="C414" s="3" t="s">
        <v>1518</v>
      </c>
      <c r="D414" s="2" t="s">
        <v>1547</v>
      </c>
      <c r="E414" s="2">
        <v>1545</v>
      </c>
      <c r="F414" s="2" t="s">
        <v>157</v>
      </c>
      <c r="G414" s="3" t="s">
        <v>1548</v>
      </c>
      <c r="H414" s="2">
        <v>1900</v>
      </c>
      <c r="I414" s="10" t="s">
        <v>386</v>
      </c>
      <c r="J414" s="3" t="s">
        <v>1541</v>
      </c>
      <c r="K414" s="2">
        <v>60</v>
      </c>
      <c r="L414" s="2">
        <v>55</v>
      </c>
      <c r="M414" s="5" t="s">
        <v>1549</v>
      </c>
      <c r="N414" s="3"/>
    </row>
    <row r="415" spans="1:14" ht="20.100000000000001" customHeight="1">
      <c r="A415" s="6" t="s">
        <v>14</v>
      </c>
      <c r="B415" s="7" t="s">
        <v>1334</v>
      </c>
      <c r="C415" s="7" t="s">
        <v>1518</v>
      </c>
      <c r="D415" s="6" t="s">
        <v>1550</v>
      </c>
      <c r="E415" s="6">
        <v>1717</v>
      </c>
      <c r="F415" s="6" t="s">
        <v>384</v>
      </c>
      <c r="G415" s="7" t="s">
        <v>1551</v>
      </c>
      <c r="H415" s="6">
        <v>1900</v>
      </c>
      <c r="I415" s="10" t="s">
        <v>386</v>
      </c>
      <c r="J415" s="7" t="s">
        <v>168</v>
      </c>
      <c r="K415" s="6">
        <v>60</v>
      </c>
      <c r="L415" s="6">
        <v>55</v>
      </c>
      <c r="M415" s="8" t="s">
        <v>1552</v>
      </c>
      <c r="N415" s="7"/>
    </row>
    <row r="416" spans="1:14" ht="20.100000000000001" customHeight="1">
      <c r="A416" s="2" t="s">
        <v>14</v>
      </c>
      <c r="B416" s="3" t="s">
        <v>1334</v>
      </c>
      <c r="C416" s="3" t="s">
        <v>1553</v>
      </c>
      <c r="D416" s="2" t="s">
        <v>1554</v>
      </c>
      <c r="E416" s="2">
        <v>547</v>
      </c>
      <c r="F416" s="2" t="s">
        <v>183</v>
      </c>
      <c r="G416" s="3" t="s">
        <v>1555</v>
      </c>
      <c r="H416" s="2">
        <v>2300</v>
      </c>
      <c r="I416" s="12" t="s">
        <v>523</v>
      </c>
      <c r="J416" s="3" t="s">
        <v>1556</v>
      </c>
      <c r="K416" s="2">
        <v>120</v>
      </c>
      <c r="L416" s="2">
        <v>110</v>
      </c>
      <c r="M416" s="5" t="s">
        <v>1557</v>
      </c>
      <c r="N416" s="3"/>
    </row>
    <row r="417" spans="1:14" ht="20.100000000000001" customHeight="1">
      <c r="A417" s="6" t="s">
        <v>14</v>
      </c>
      <c r="B417" s="7" t="s">
        <v>1334</v>
      </c>
      <c r="C417" s="7" t="s">
        <v>1553</v>
      </c>
      <c r="D417" s="6" t="s">
        <v>1558</v>
      </c>
      <c r="E417" s="6">
        <v>803</v>
      </c>
      <c r="F417" s="6" t="s">
        <v>635</v>
      </c>
      <c r="G417" s="7" t="s">
        <v>1559</v>
      </c>
      <c r="H417" s="6">
        <v>2000</v>
      </c>
      <c r="I417" s="10" t="s">
        <v>386</v>
      </c>
      <c r="J417" s="7" t="s">
        <v>1496</v>
      </c>
      <c r="K417" s="6">
        <v>90</v>
      </c>
      <c r="L417" s="6">
        <v>80</v>
      </c>
      <c r="M417" s="8" t="s">
        <v>1560</v>
      </c>
      <c r="N417" s="7"/>
    </row>
    <row r="418" spans="1:14" ht="20.100000000000001" customHeight="1">
      <c r="A418" s="2" t="s">
        <v>14</v>
      </c>
      <c r="B418" s="3" t="s">
        <v>1334</v>
      </c>
      <c r="C418" s="3" t="s">
        <v>1553</v>
      </c>
      <c r="D418" s="2" t="s">
        <v>1561</v>
      </c>
      <c r="E418" s="2">
        <v>900</v>
      </c>
      <c r="F418" s="2" t="s">
        <v>384</v>
      </c>
      <c r="G418" s="3" t="s">
        <v>1562</v>
      </c>
      <c r="H418" s="2">
        <v>2000</v>
      </c>
      <c r="I418" s="10" t="s">
        <v>386</v>
      </c>
      <c r="J418" s="3" t="s">
        <v>1556</v>
      </c>
      <c r="K418" s="2">
        <v>90</v>
      </c>
      <c r="L418" s="2">
        <v>80</v>
      </c>
      <c r="M418" s="5" t="s">
        <v>1563</v>
      </c>
      <c r="N418" s="3"/>
    </row>
    <row r="419" spans="1:14" ht="20.100000000000001" customHeight="1">
      <c r="A419" s="6" t="s">
        <v>14</v>
      </c>
      <c r="B419" s="7" t="s">
        <v>1334</v>
      </c>
      <c r="C419" s="7" t="s">
        <v>1553</v>
      </c>
      <c r="D419" s="6" t="s">
        <v>1564</v>
      </c>
      <c r="E419" s="6">
        <v>915</v>
      </c>
      <c r="F419" s="6" t="s">
        <v>535</v>
      </c>
      <c r="G419" s="7" t="s">
        <v>1565</v>
      </c>
      <c r="H419" s="6">
        <v>2300</v>
      </c>
      <c r="I419" s="12" t="s">
        <v>523</v>
      </c>
      <c r="J419" s="7" t="s">
        <v>1065</v>
      </c>
      <c r="K419" s="6">
        <v>120</v>
      </c>
      <c r="L419" s="6">
        <v>110</v>
      </c>
      <c r="M419" s="8" t="s">
        <v>1566</v>
      </c>
      <c r="N419" s="7"/>
    </row>
    <row r="420" spans="1:14" ht="20.100000000000001" customHeight="1">
      <c r="A420" s="2" t="s">
        <v>14</v>
      </c>
      <c r="B420" s="3" t="s">
        <v>1334</v>
      </c>
      <c r="C420" s="3" t="s">
        <v>1553</v>
      </c>
      <c r="D420" s="2" t="s">
        <v>1567</v>
      </c>
      <c r="E420" s="2">
        <v>986</v>
      </c>
      <c r="F420" s="2" t="s">
        <v>635</v>
      </c>
      <c r="G420" s="3" t="s">
        <v>1568</v>
      </c>
      <c r="H420" s="2">
        <v>3300</v>
      </c>
      <c r="I420" s="12" t="s">
        <v>659</v>
      </c>
      <c r="J420" s="3" t="s">
        <v>1569</v>
      </c>
      <c r="K420" s="2">
        <v>240</v>
      </c>
      <c r="L420" s="2">
        <v>220</v>
      </c>
      <c r="M420" s="5" t="s">
        <v>1570</v>
      </c>
      <c r="N420" s="3"/>
    </row>
    <row r="421" spans="1:14" ht="20.100000000000001" customHeight="1">
      <c r="A421" s="6" t="s">
        <v>14</v>
      </c>
      <c r="B421" s="7" t="s">
        <v>1334</v>
      </c>
      <c r="C421" s="7" t="s">
        <v>1553</v>
      </c>
      <c r="D421" s="6" t="s">
        <v>1571</v>
      </c>
      <c r="E421" s="6">
        <v>1559</v>
      </c>
      <c r="F421" s="6" t="s">
        <v>531</v>
      </c>
      <c r="G421" s="7" t="s">
        <v>1572</v>
      </c>
      <c r="H421" s="6">
        <v>2200</v>
      </c>
      <c r="I421" s="12" t="s">
        <v>523</v>
      </c>
      <c r="J421" s="7" t="s">
        <v>1573</v>
      </c>
      <c r="K421" s="6">
        <v>90</v>
      </c>
      <c r="L421" s="6">
        <v>80</v>
      </c>
      <c r="M421" s="8" t="s">
        <v>1574</v>
      </c>
      <c r="N421" s="7"/>
    </row>
    <row r="422" spans="1:14" ht="20.100000000000001" customHeight="1">
      <c r="A422" s="2" t="s">
        <v>14</v>
      </c>
      <c r="B422" s="3" t="s">
        <v>1334</v>
      </c>
      <c r="C422" s="3" t="s">
        <v>1553</v>
      </c>
      <c r="D422" s="2" t="s">
        <v>1575</v>
      </c>
      <c r="E422" s="2">
        <v>1750</v>
      </c>
      <c r="F422" s="2" t="s">
        <v>384</v>
      </c>
      <c r="G422" s="3" t="s">
        <v>1576</v>
      </c>
      <c r="H422" s="2">
        <v>1800</v>
      </c>
      <c r="I422" s="10" t="s">
        <v>418</v>
      </c>
      <c r="J422" s="3" t="s">
        <v>1513</v>
      </c>
      <c r="K422" s="2">
        <v>60</v>
      </c>
      <c r="L422" s="2">
        <v>55</v>
      </c>
      <c r="M422" s="5" t="s">
        <v>1577</v>
      </c>
      <c r="N422" s="3"/>
    </row>
    <row r="423" spans="1:14" ht="20.100000000000001" customHeight="1">
      <c r="A423" s="6" t="s">
        <v>14</v>
      </c>
      <c r="B423" s="7" t="s">
        <v>1578</v>
      </c>
      <c r="C423" s="7" t="s">
        <v>1579</v>
      </c>
      <c r="D423" s="6" t="s">
        <v>1580</v>
      </c>
      <c r="E423" s="6">
        <v>448</v>
      </c>
      <c r="F423" s="6" t="s">
        <v>18</v>
      </c>
      <c r="G423" s="7" t="s">
        <v>1581</v>
      </c>
      <c r="H423" s="6">
        <v>800</v>
      </c>
      <c r="I423" s="4" t="s">
        <v>20</v>
      </c>
      <c r="J423" s="7" t="s">
        <v>21</v>
      </c>
      <c r="K423" s="6">
        <v>15</v>
      </c>
      <c r="L423" s="6">
        <v>10</v>
      </c>
      <c r="M423" s="8" t="s">
        <v>1582</v>
      </c>
      <c r="N423" s="7"/>
    </row>
    <row r="424" spans="1:14" ht="20.100000000000001" customHeight="1">
      <c r="A424" s="2" t="s">
        <v>14</v>
      </c>
      <c r="B424" s="3" t="s">
        <v>1578</v>
      </c>
      <c r="C424" s="3" t="s">
        <v>1579</v>
      </c>
      <c r="D424" s="2" t="s">
        <v>1583</v>
      </c>
      <c r="E424" s="2">
        <v>448</v>
      </c>
      <c r="F424" s="2" t="s">
        <v>183</v>
      </c>
      <c r="G424" s="3" t="s">
        <v>1584</v>
      </c>
      <c r="H424" s="2">
        <v>1900</v>
      </c>
      <c r="I424" s="10" t="s">
        <v>386</v>
      </c>
      <c r="J424" s="3" t="s">
        <v>1585</v>
      </c>
      <c r="K424" s="2">
        <v>60</v>
      </c>
      <c r="L424" s="2">
        <v>55</v>
      </c>
      <c r="M424" s="5" t="s">
        <v>1586</v>
      </c>
      <c r="N424" s="3"/>
    </row>
    <row r="425" spans="1:14" ht="20.100000000000001" customHeight="1">
      <c r="A425" s="6" t="s">
        <v>14</v>
      </c>
      <c r="B425" s="7" t="s">
        <v>1578</v>
      </c>
      <c r="C425" s="7" t="s">
        <v>1579</v>
      </c>
      <c r="D425" s="6" t="s">
        <v>1587</v>
      </c>
      <c r="E425" s="6">
        <v>559</v>
      </c>
      <c r="F425" s="6" t="s">
        <v>157</v>
      </c>
      <c r="G425" s="7" t="s">
        <v>1588</v>
      </c>
      <c r="H425" s="6">
        <v>1700</v>
      </c>
      <c r="I425" s="10" t="s">
        <v>418</v>
      </c>
      <c r="J425" s="7" t="s">
        <v>1589</v>
      </c>
      <c r="K425" s="6">
        <v>60</v>
      </c>
      <c r="L425" s="6">
        <v>55</v>
      </c>
      <c r="M425" s="8" t="s">
        <v>1590</v>
      </c>
      <c r="N425" s="7"/>
    </row>
    <row r="426" spans="1:14" ht="20.100000000000001" customHeight="1">
      <c r="A426" s="2" t="s">
        <v>14</v>
      </c>
      <c r="B426" s="3" t="s">
        <v>1578</v>
      </c>
      <c r="C426" s="3" t="s">
        <v>1579</v>
      </c>
      <c r="D426" s="2" t="s">
        <v>1591</v>
      </c>
      <c r="E426" s="2">
        <v>750</v>
      </c>
      <c r="F426" s="2" t="s">
        <v>183</v>
      </c>
      <c r="G426" s="3" t="s">
        <v>1592</v>
      </c>
      <c r="H426" s="2">
        <v>1600</v>
      </c>
      <c r="I426" s="9" t="s">
        <v>172</v>
      </c>
      <c r="J426" s="3" t="s">
        <v>1593</v>
      </c>
      <c r="K426" s="2">
        <v>40</v>
      </c>
      <c r="L426" s="2">
        <v>35</v>
      </c>
      <c r="M426" s="5" t="s">
        <v>1594</v>
      </c>
      <c r="N426" s="3"/>
    </row>
    <row r="427" spans="1:14" ht="20.100000000000001" customHeight="1">
      <c r="A427" s="6" t="s">
        <v>14</v>
      </c>
      <c r="B427" s="7" t="s">
        <v>1578</v>
      </c>
      <c r="C427" s="7" t="s">
        <v>1579</v>
      </c>
      <c r="D427" s="6" t="s">
        <v>1595</v>
      </c>
      <c r="E427" s="6">
        <v>863</v>
      </c>
      <c r="F427" s="6" t="s">
        <v>183</v>
      </c>
      <c r="G427" s="7" t="s">
        <v>1596</v>
      </c>
      <c r="H427" s="6">
        <v>1800</v>
      </c>
      <c r="I427" s="10" t="s">
        <v>418</v>
      </c>
      <c r="J427" s="7" t="s">
        <v>1597</v>
      </c>
      <c r="K427" s="6">
        <v>60</v>
      </c>
      <c r="L427" s="6">
        <v>55</v>
      </c>
      <c r="M427" s="8" t="s">
        <v>1598</v>
      </c>
      <c r="N427" s="7"/>
    </row>
    <row r="428" spans="1:14" ht="20.100000000000001" customHeight="1">
      <c r="A428" s="2" t="s">
        <v>14</v>
      </c>
      <c r="B428" s="3" t="s">
        <v>1578</v>
      </c>
      <c r="C428" s="3" t="s">
        <v>1579</v>
      </c>
      <c r="D428" s="2" t="s">
        <v>1599</v>
      </c>
      <c r="E428" s="2">
        <v>1030</v>
      </c>
      <c r="F428" s="2" t="s">
        <v>183</v>
      </c>
      <c r="G428" s="3" t="s">
        <v>1600</v>
      </c>
      <c r="H428" s="2">
        <v>1300</v>
      </c>
      <c r="I428" s="9" t="s">
        <v>163</v>
      </c>
      <c r="J428" s="3" t="s">
        <v>21</v>
      </c>
      <c r="K428" s="2">
        <v>25</v>
      </c>
      <c r="L428" s="2">
        <v>20</v>
      </c>
      <c r="M428" s="5" t="s">
        <v>1601</v>
      </c>
      <c r="N428" s="3"/>
    </row>
    <row r="429" spans="1:14" ht="20.100000000000001" customHeight="1">
      <c r="A429" s="6" t="s">
        <v>14</v>
      </c>
      <c r="B429" s="7" t="s">
        <v>1578</v>
      </c>
      <c r="C429" s="7" t="s">
        <v>1579</v>
      </c>
      <c r="D429" s="6" t="s">
        <v>1602</v>
      </c>
      <c r="E429" s="6">
        <v>1174</v>
      </c>
      <c r="F429" s="6" t="s">
        <v>157</v>
      </c>
      <c r="G429" s="7" t="s">
        <v>1603</v>
      </c>
      <c r="H429" s="6">
        <v>1200</v>
      </c>
      <c r="I429" s="4" t="s">
        <v>43</v>
      </c>
      <c r="J429" s="7" t="s">
        <v>395</v>
      </c>
      <c r="K429" s="6">
        <v>25</v>
      </c>
      <c r="L429" s="6">
        <v>20</v>
      </c>
      <c r="M429" s="8" t="s">
        <v>1604</v>
      </c>
      <c r="N429" s="7"/>
    </row>
    <row r="430" spans="1:14" ht="20.100000000000001" customHeight="1">
      <c r="A430" s="2" t="s">
        <v>14</v>
      </c>
      <c r="B430" s="3" t="s">
        <v>1578</v>
      </c>
      <c r="C430" s="3" t="s">
        <v>1579</v>
      </c>
      <c r="D430" s="2" t="s">
        <v>1605</v>
      </c>
      <c r="E430" s="2">
        <v>1363</v>
      </c>
      <c r="F430" s="2" t="s">
        <v>183</v>
      </c>
      <c r="G430" s="3" t="s">
        <v>1606</v>
      </c>
      <c r="H430" s="2">
        <v>1600</v>
      </c>
      <c r="I430" s="9" t="s">
        <v>172</v>
      </c>
      <c r="J430" s="3" t="s">
        <v>1607</v>
      </c>
      <c r="K430" s="2">
        <v>40</v>
      </c>
      <c r="L430" s="2">
        <v>35</v>
      </c>
      <c r="M430" s="5" t="s">
        <v>1608</v>
      </c>
      <c r="N430" s="3"/>
    </row>
    <row r="431" spans="1:14" ht="20.100000000000001" customHeight="1">
      <c r="A431" s="6" t="s">
        <v>14</v>
      </c>
      <c r="B431" s="7" t="s">
        <v>1578</v>
      </c>
      <c r="C431" s="7" t="s">
        <v>1579</v>
      </c>
      <c r="D431" s="6" t="s">
        <v>1609</v>
      </c>
      <c r="E431" s="6">
        <v>1454</v>
      </c>
      <c r="F431" s="6" t="s">
        <v>531</v>
      </c>
      <c r="G431" s="7" t="s">
        <v>1610</v>
      </c>
      <c r="H431" s="6">
        <v>2000</v>
      </c>
      <c r="I431" s="10" t="s">
        <v>386</v>
      </c>
      <c r="J431" s="7" t="s">
        <v>1611</v>
      </c>
      <c r="K431" s="6">
        <v>90</v>
      </c>
      <c r="L431" s="6">
        <v>80</v>
      </c>
      <c r="M431" s="8" t="s">
        <v>1612</v>
      </c>
      <c r="N431" s="7"/>
    </row>
    <row r="432" spans="1:14" ht="20.100000000000001" customHeight="1">
      <c r="A432" s="2" t="s">
        <v>14</v>
      </c>
      <c r="B432" s="3" t="s">
        <v>1578</v>
      </c>
      <c r="C432" s="3" t="s">
        <v>1613</v>
      </c>
      <c r="D432" s="2" t="s">
        <v>1614</v>
      </c>
      <c r="E432" s="2">
        <v>525</v>
      </c>
      <c r="F432" s="2" t="s">
        <v>157</v>
      </c>
      <c r="G432" s="3" t="s">
        <v>1615</v>
      </c>
      <c r="H432" s="2">
        <v>1400</v>
      </c>
      <c r="I432" s="9" t="s">
        <v>163</v>
      </c>
      <c r="J432" s="3" t="s">
        <v>1616</v>
      </c>
      <c r="K432" s="2">
        <v>40</v>
      </c>
      <c r="L432" s="2">
        <v>35</v>
      </c>
      <c r="M432" s="5" t="s">
        <v>1617</v>
      </c>
      <c r="N432" s="3"/>
    </row>
    <row r="433" spans="1:14" ht="20.100000000000001" customHeight="1">
      <c r="A433" s="6" t="s">
        <v>14</v>
      </c>
      <c r="B433" s="7" t="s">
        <v>1578</v>
      </c>
      <c r="C433" s="7" t="s">
        <v>1613</v>
      </c>
      <c r="D433" s="6" t="s">
        <v>1618</v>
      </c>
      <c r="E433" s="6">
        <v>525</v>
      </c>
      <c r="F433" s="6" t="s">
        <v>183</v>
      </c>
      <c r="G433" s="7" t="s">
        <v>1619</v>
      </c>
      <c r="H433" s="6">
        <v>1600</v>
      </c>
      <c r="I433" s="9" t="s">
        <v>172</v>
      </c>
      <c r="J433" s="7" t="s">
        <v>943</v>
      </c>
      <c r="K433" s="6">
        <v>40</v>
      </c>
      <c r="L433" s="6">
        <v>35</v>
      </c>
      <c r="M433" s="8" t="s">
        <v>1620</v>
      </c>
      <c r="N433" s="7"/>
    </row>
    <row r="434" spans="1:14" ht="20.100000000000001" customHeight="1">
      <c r="A434" s="2" t="s">
        <v>14</v>
      </c>
      <c r="B434" s="3" t="s">
        <v>1578</v>
      </c>
      <c r="C434" s="3" t="s">
        <v>1613</v>
      </c>
      <c r="D434" s="2" t="s">
        <v>1621</v>
      </c>
      <c r="E434" s="2">
        <v>550</v>
      </c>
      <c r="F434" s="2" t="s">
        <v>157</v>
      </c>
      <c r="G434" s="3" t="s">
        <v>1622</v>
      </c>
      <c r="H434" s="2">
        <v>1400</v>
      </c>
      <c r="I434" s="9" t="s">
        <v>163</v>
      </c>
      <c r="J434" s="3" t="s">
        <v>1623</v>
      </c>
      <c r="K434" s="2">
        <v>40</v>
      </c>
      <c r="L434" s="2">
        <v>35</v>
      </c>
      <c r="M434" s="5" t="s">
        <v>1624</v>
      </c>
      <c r="N434" s="3"/>
    </row>
    <row r="435" spans="1:14" ht="20.100000000000001" customHeight="1">
      <c r="A435" s="6" t="s">
        <v>14</v>
      </c>
      <c r="B435" s="7" t="s">
        <v>1578</v>
      </c>
      <c r="C435" s="7" t="s">
        <v>1613</v>
      </c>
      <c r="D435" s="6" t="s">
        <v>1625</v>
      </c>
      <c r="E435" s="6">
        <v>580</v>
      </c>
      <c r="F435" s="6" t="s">
        <v>183</v>
      </c>
      <c r="G435" s="7" t="s">
        <v>1626</v>
      </c>
      <c r="H435" s="6">
        <v>1500</v>
      </c>
      <c r="I435" s="9" t="s">
        <v>172</v>
      </c>
      <c r="J435" s="7" t="s">
        <v>1627</v>
      </c>
      <c r="K435" s="6">
        <v>40</v>
      </c>
      <c r="L435" s="6">
        <v>35</v>
      </c>
      <c r="M435" s="8" t="s">
        <v>1628</v>
      </c>
      <c r="N435" s="7"/>
    </row>
    <row r="436" spans="1:14" ht="20.100000000000001" customHeight="1">
      <c r="A436" s="2" t="s">
        <v>14</v>
      </c>
      <c r="B436" s="3" t="s">
        <v>1578</v>
      </c>
      <c r="C436" s="3" t="s">
        <v>1613</v>
      </c>
      <c r="D436" s="2" t="s">
        <v>1629</v>
      </c>
      <c r="E436" s="2">
        <v>750</v>
      </c>
      <c r="F436" s="2" t="s">
        <v>384</v>
      </c>
      <c r="G436" s="3" t="s">
        <v>1630</v>
      </c>
      <c r="H436" s="2">
        <v>1900</v>
      </c>
      <c r="I436" s="10" t="s">
        <v>386</v>
      </c>
      <c r="J436" s="3" t="s">
        <v>1631</v>
      </c>
      <c r="K436" s="2">
        <v>60</v>
      </c>
      <c r="L436" s="2">
        <v>55</v>
      </c>
      <c r="M436" s="5" t="s">
        <v>1632</v>
      </c>
      <c r="N436" s="3"/>
    </row>
    <row r="437" spans="1:14" ht="20.100000000000001" customHeight="1">
      <c r="A437" s="6" t="s">
        <v>14</v>
      </c>
      <c r="B437" s="7" t="s">
        <v>1578</v>
      </c>
      <c r="C437" s="7" t="s">
        <v>1613</v>
      </c>
      <c r="D437" s="6" t="s">
        <v>1633</v>
      </c>
      <c r="E437" s="6">
        <v>864</v>
      </c>
      <c r="F437" s="6" t="s">
        <v>183</v>
      </c>
      <c r="G437" s="7" t="s">
        <v>1634</v>
      </c>
      <c r="H437" s="6">
        <v>1500</v>
      </c>
      <c r="I437" s="9" t="s">
        <v>172</v>
      </c>
      <c r="J437" s="7" t="s">
        <v>790</v>
      </c>
      <c r="K437" s="6">
        <v>40</v>
      </c>
      <c r="L437" s="6">
        <v>35</v>
      </c>
      <c r="M437" s="8" t="s">
        <v>1635</v>
      </c>
      <c r="N437" s="7"/>
    </row>
    <row r="438" spans="1:14" ht="20.100000000000001" customHeight="1">
      <c r="A438" s="2" t="s">
        <v>14</v>
      </c>
      <c r="B438" s="3" t="s">
        <v>1578</v>
      </c>
      <c r="C438" s="3" t="s">
        <v>1613</v>
      </c>
      <c r="D438" s="2" t="s">
        <v>1636</v>
      </c>
      <c r="E438" s="2">
        <v>903</v>
      </c>
      <c r="F438" s="2" t="s">
        <v>384</v>
      </c>
      <c r="G438" s="3" t="s">
        <v>1637</v>
      </c>
      <c r="H438" s="2">
        <v>2200</v>
      </c>
      <c r="I438" s="12" t="s">
        <v>523</v>
      </c>
      <c r="J438" s="3" t="s">
        <v>1638</v>
      </c>
      <c r="K438" s="2">
        <v>90</v>
      </c>
      <c r="L438" s="2">
        <v>80</v>
      </c>
      <c r="M438" s="5" t="s">
        <v>1639</v>
      </c>
      <c r="N438" s="3"/>
    </row>
    <row r="439" spans="1:14" ht="20.100000000000001" customHeight="1">
      <c r="A439" s="6" t="s">
        <v>14</v>
      </c>
      <c r="B439" s="7" t="s">
        <v>1578</v>
      </c>
      <c r="C439" s="7" t="s">
        <v>1613</v>
      </c>
      <c r="D439" s="6" t="s">
        <v>1640</v>
      </c>
      <c r="E439" s="6">
        <v>996</v>
      </c>
      <c r="F439" s="6" t="s">
        <v>183</v>
      </c>
      <c r="G439" s="7" t="s">
        <v>185</v>
      </c>
      <c r="H439" s="6" t="s">
        <v>185</v>
      </c>
      <c r="I439" s="11" t="s">
        <v>185</v>
      </c>
      <c r="J439" s="7" t="s">
        <v>185</v>
      </c>
      <c r="K439" s="6">
        <v>0</v>
      </c>
      <c r="L439" s="6">
        <v>0</v>
      </c>
      <c r="M439" s="8" t="s">
        <v>1641</v>
      </c>
      <c r="N439" s="7"/>
    </row>
    <row r="440" spans="1:14" ht="20.100000000000001" customHeight="1">
      <c r="A440" s="2" t="s">
        <v>14</v>
      </c>
      <c r="B440" s="3" t="s">
        <v>1578</v>
      </c>
      <c r="C440" s="3" t="s">
        <v>1613</v>
      </c>
      <c r="D440" s="2" t="s">
        <v>1642</v>
      </c>
      <c r="E440" s="2">
        <v>1059</v>
      </c>
      <c r="F440" s="2" t="s">
        <v>157</v>
      </c>
      <c r="G440" s="3" t="s">
        <v>1643</v>
      </c>
      <c r="H440" s="2">
        <v>1300</v>
      </c>
      <c r="I440" s="9" t="s">
        <v>163</v>
      </c>
      <c r="J440" s="3" t="s">
        <v>21</v>
      </c>
      <c r="K440" s="2">
        <v>25</v>
      </c>
      <c r="L440" s="2">
        <v>20</v>
      </c>
      <c r="M440" s="5" t="s">
        <v>1644</v>
      </c>
      <c r="N440" s="3"/>
    </row>
    <row r="441" spans="1:14" ht="20.100000000000001" customHeight="1">
      <c r="A441" s="6" t="s">
        <v>14</v>
      </c>
      <c r="B441" s="7" t="s">
        <v>1578</v>
      </c>
      <c r="C441" s="7" t="s">
        <v>1613</v>
      </c>
      <c r="D441" s="6" t="s">
        <v>1645</v>
      </c>
      <c r="E441" s="6">
        <v>1182</v>
      </c>
      <c r="F441" s="6" t="s">
        <v>183</v>
      </c>
      <c r="G441" s="7" t="s">
        <v>1646</v>
      </c>
      <c r="H441" s="6">
        <v>1700</v>
      </c>
      <c r="I441" s="10" t="s">
        <v>418</v>
      </c>
      <c r="J441" s="7" t="s">
        <v>1152</v>
      </c>
      <c r="K441" s="6">
        <v>60</v>
      </c>
      <c r="L441" s="6">
        <v>55</v>
      </c>
      <c r="M441" s="8" t="s">
        <v>1647</v>
      </c>
      <c r="N441" s="7"/>
    </row>
    <row r="442" spans="1:14" ht="20.100000000000001" customHeight="1">
      <c r="A442" s="2" t="s">
        <v>14</v>
      </c>
      <c r="B442" s="3" t="s">
        <v>1578</v>
      </c>
      <c r="C442" s="3" t="s">
        <v>1613</v>
      </c>
      <c r="D442" s="2" t="s">
        <v>1648</v>
      </c>
      <c r="E442" s="2">
        <v>1243</v>
      </c>
      <c r="F442" s="2" t="s">
        <v>1649</v>
      </c>
      <c r="G442" s="3" t="s">
        <v>1650</v>
      </c>
      <c r="H442" s="2">
        <v>1600</v>
      </c>
      <c r="I442" s="9" t="s">
        <v>172</v>
      </c>
      <c r="J442" s="3" t="s">
        <v>916</v>
      </c>
      <c r="K442" s="2">
        <v>40</v>
      </c>
      <c r="L442" s="2">
        <v>35</v>
      </c>
      <c r="M442" s="5" t="s">
        <v>1651</v>
      </c>
      <c r="N442" s="3"/>
    </row>
    <row r="443" spans="1:14" ht="20.100000000000001" customHeight="1">
      <c r="A443" s="6" t="s">
        <v>14</v>
      </c>
      <c r="B443" s="7" t="s">
        <v>1578</v>
      </c>
      <c r="C443" s="7" t="s">
        <v>1613</v>
      </c>
      <c r="D443" s="6" t="s">
        <v>1652</v>
      </c>
      <c r="E443" s="6">
        <v>1301</v>
      </c>
      <c r="F443" s="6" t="s">
        <v>18</v>
      </c>
      <c r="G443" s="7" t="s">
        <v>1653</v>
      </c>
      <c r="H443" s="6">
        <v>800</v>
      </c>
      <c r="I443" s="4" t="s">
        <v>20</v>
      </c>
      <c r="J443" s="7" t="s">
        <v>75</v>
      </c>
      <c r="K443" s="6">
        <v>15</v>
      </c>
      <c r="L443" s="6">
        <v>10</v>
      </c>
      <c r="M443" s="8" t="s">
        <v>1654</v>
      </c>
      <c r="N443" s="7"/>
    </row>
    <row r="444" spans="1:14" ht="20.100000000000001" customHeight="1">
      <c r="A444" s="2" t="s">
        <v>14</v>
      </c>
      <c r="B444" s="3" t="s">
        <v>1578</v>
      </c>
      <c r="C444" s="3" t="s">
        <v>1613</v>
      </c>
      <c r="D444" s="2" t="s">
        <v>1655</v>
      </c>
      <c r="E444" s="2">
        <v>1385</v>
      </c>
      <c r="F444" s="2" t="s">
        <v>384</v>
      </c>
      <c r="G444" s="3" t="s">
        <v>1656</v>
      </c>
      <c r="H444" s="2">
        <v>1500</v>
      </c>
      <c r="I444" s="9" t="s">
        <v>172</v>
      </c>
      <c r="J444" s="3" t="s">
        <v>1657</v>
      </c>
      <c r="K444" s="2">
        <v>40</v>
      </c>
      <c r="L444" s="2">
        <v>35</v>
      </c>
      <c r="M444" s="5" t="s">
        <v>1658</v>
      </c>
      <c r="N444" s="3"/>
    </row>
    <row r="445" spans="1:14" ht="20.100000000000001" customHeight="1">
      <c r="A445" s="6" t="s">
        <v>14</v>
      </c>
      <c r="B445" s="7" t="s">
        <v>1578</v>
      </c>
      <c r="C445" s="7" t="s">
        <v>1613</v>
      </c>
      <c r="D445" s="6" t="s">
        <v>1659</v>
      </c>
      <c r="E445" s="6">
        <v>1450</v>
      </c>
      <c r="F445" s="6" t="s">
        <v>157</v>
      </c>
      <c r="G445" s="7" t="s">
        <v>1660</v>
      </c>
      <c r="H445" s="6">
        <v>1000</v>
      </c>
      <c r="I445" s="4" t="s">
        <v>43</v>
      </c>
      <c r="J445" s="7" t="s">
        <v>1661</v>
      </c>
      <c r="K445" s="6">
        <v>15</v>
      </c>
      <c r="L445" s="6">
        <v>10</v>
      </c>
      <c r="M445" s="8" t="s">
        <v>1662</v>
      </c>
      <c r="N445" s="7"/>
    </row>
    <row r="446" spans="1:14" ht="20.100000000000001" customHeight="1">
      <c r="A446" s="2" t="s">
        <v>14</v>
      </c>
      <c r="B446" s="3" t="s">
        <v>1578</v>
      </c>
      <c r="C446" s="3" t="s">
        <v>1613</v>
      </c>
      <c r="D446" s="2" t="s">
        <v>1663</v>
      </c>
      <c r="E446" s="2">
        <v>1501</v>
      </c>
      <c r="F446" s="2" t="s">
        <v>183</v>
      </c>
      <c r="G446" s="3" t="s">
        <v>185</v>
      </c>
      <c r="H446" s="2" t="s">
        <v>185</v>
      </c>
      <c r="I446" s="11" t="s">
        <v>185</v>
      </c>
      <c r="J446" s="3" t="s">
        <v>185</v>
      </c>
      <c r="K446" s="2">
        <v>0</v>
      </c>
      <c r="L446" s="2">
        <v>0</v>
      </c>
      <c r="M446" s="5" t="s">
        <v>1664</v>
      </c>
      <c r="N446" s="3"/>
    </row>
    <row r="447" spans="1:14" ht="20.100000000000001" customHeight="1">
      <c r="A447" s="6" t="s">
        <v>14</v>
      </c>
      <c r="B447" s="7" t="s">
        <v>1578</v>
      </c>
      <c r="C447" s="7" t="s">
        <v>1665</v>
      </c>
      <c r="D447" s="6" t="s">
        <v>1666</v>
      </c>
      <c r="E447" s="6">
        <v>1189</v>
      </c>
      <c r="F447" s="6" t="s">
        <v>18</v>
      </c>
      <c r="G447" s="7" t="s">
        <v>1667</v>
      </c>
      <c r="H447" s="6">
        <v>800</v>
      </c>
      <c r="I447" s="4" t="s">
        <v>20</v>
      </c>
      <c r="J447" s="7" t="s">
        <v>916</v>
      </c>
      <c r="K447" s="6">
        <v>15</v>
      </c>
      <c r="L447" s="6">
        <v>10</v>
      </c>
      <c r="M447" s="8" t="s">
        <v>1668</v>
      </c>
      <c r="N447" s="7"/>
    </row>
    <row r="448" spans="1:14" ht="20.100000000000001" customHeight="1">
      <c r="A448" s="2" t="s">
        <v>14</v>
      </c>
      <c r="B448" s="3" t="s">
        <v>1578</v>
      </c>
      <c r="C448" s="3" t="s">
        <v>1665</v>
      </c>
      <c r="D448" s="2" t="s">
        <v>1669</v>
      </c>
      <c r="E448" s="2">
        <v>1225</v>
      </c>
      <c r="F448" s="2" t="s">
        <v>183</v>
      </c>
      <c r="G448" s="3" t="s">
        <v>1670</v>
      </c>
      <c r="H448" s="2">
        <v>1600</v>
      </c>
      <c r="I448" s="9" t="s">
        <v>172</v>
      </c>
      <c r="J448" s="3" t="s">
        <v>1671</v>
      </c>
      <c r="K448" s="2">
        <v>40</v>
      </c>
      <c r="L448" s="2">
        <v>35</v>
      </c>
      <c r="M448" s="5" t="s">
        <v>1672</v>
      </c>
      <c r="N448" s="3"/>
    </row>
    <row r="449" spans="1:14" ht="20.100000000000001" customHeight="1">
      <c r="A449" s="6" t="s">
        <v>14</v>
      </c>
      <c r="B449" s="7" t="s">
        <v>1578</v>
      </c>
      <c r="C449" s="7" t="s">
        <v>1665</v>
      </c>
      <c r="D449" s="6" t="s">
        <v>1673</v>
      </c>
      <c r="E449" s="6">
        <v>1266</v>
      </c>
      <c r="F449" s="6" t="s">
        <v>183</v>
      </c>
      <c r="G449" s="7" t="s">
        <v>1674</v>
      </c>
      <c r="H449" s="6">
        <v>1400</v>
      </c>
      <c r="I449" s="9" t="s">
        <v>163</v>
      </c>
      <c r="J449" s="7" t="s">
        <v>1470</v>
      </c>
      <c r="K449" s="6">
        <v>40</v>
      </c>
      <c r="L449" s="6">
        <v>35</v>
      </c>
      <c r="M449" s="8" t="s">
        <v>1675</v>
      </c>
      <c r="N449" s="7"/>
    </row>
    <row r="450" spans="1:14" ht="20.100000000000001" customHeight="1">
      <c r="A450" s="2" t="s">
        <v>14</v>
      </c>
      <c r="B450" s="3" t="s">
        <v>1578</v>
      </c>
      <c r="C450" s="3" t="s">
        <v>1665</v>
      </c>
      <c r="D450" s="2" t="s">
        <v>1676</v>
      </c>
      <c r="E450" s="2">
        <v>1366</v>
      </c>
      <c r="F450" s="2" t="s">
        <v>183</v>
      </c>
      <c r="G450" s="3" t="s">
        <v>1677</v>
      </c>
      <c r="H450" s="2">
        <v>1500</v>
      </c>
      <c r="I450" s="9" t="s">
        <v>172</v>
      </c>
      <c r="J450" s="3" t="s">
        <v>147</v>
      </c>
      <c r="K450" s="2">
        <v>40</v>
      </c>
      <c r="L450" s="2">
        <v>35</v>
      </c>
      <c r="M450" s="5" t="s">
        <v>1678</v>
      </c>
      <c r="N450" s="3"/>
    </row>
    <row r="451" spans="1:14" ht="20.100000000000001" customHeight="1">
      <c r="A451" s="6" t="s">
        <v>14</v>
      </c>
      <c r="B451" s="7" t="s">
        <v>1578</v>
      </c>
      <c r="C451" s="7" t="s">
        <v>1665</v>
      </c>
      <c r="D451" s="6" t="s">
        <v>1679</v>
      </c>
      <c r="E451" s="6">
        <v>1453</v>
      </c>
      <c r="F451" s="6" t="s">
        <v>183</v>
      </c>
      <c r="G451" s="7" t="s">
        <v>1680</v>
      </c>
      <c r="H451" s="6">
        <v>1700</v>
      </c>
      <c r="I451" s="10" t="s">
        <v>418</v>
      </c>
      <c r="J451" s="7" t="s">
        <v>39</v>
      </c>
      <c r="K451" s="6">
        <v>60</v>
      </c>
      <c r="L451" s="6">
        <v>55</v>
      </c>
      <c r="M451" s="8" t="s">
        <v>1681</v>
      </c>
      <c r="N451" s="7"/>
    </row>
    <row r="452" spans="1:14" ht="20.100000000000001" customHeight="1">
      <c r="A452" s="2" t="s">
        <v>14</v>
      </c>
      <c r="B452" s="3" t="s">
        <v>1578</v>
      </c>
      <c r="C452" s="3" t="s">
        <v>1665</v>
      </c>
      <c r="D452" s="2" t="s">
        <v>1682</v>
      </c>
      <c r="E452" s="2">
        <v>1492</v>
      </c>
      <c r="F452" s="2" t="s">
        <v>384</v>
      </c>
      <c r="G452" s="3" t="s">
        <v>1683</v>
      </c>
      <c r="H452" s="2">
        <v>1900</v>
      </c>
      <c r="I452" s="10" t="s">
        <v>386</v>
      </c>
      <c r="J452" s="3" t="s">
        <v>1684</v>
      </c>
      <c r="K452" s="2">
        <v>60</v>
      </c>
      <c r="L452" s="2">
        <v>55</v>
      </c>
      <c r="M452" s="5" t="s">
        <v>1685</v>
      </c>
      <c r="N452" s="3"/>
    </row>
    <row r="453" spans="1:14" ht="20.100000000000001" customHeight="1">
      <c r="A453" s="6" t="s">
        <v>14</v>
      </c>
      <c r="B453" s="7" t="s">
        <v>1578</v>
      </c>
      <c r="C453" s="7" t="s">
        <v>1686</v>
      </c>
      <c r="D453" s="6" t="s">
        <v>1687</v>
      </c>
      <c r="E453" s="6">
        <v>873</v>
      </c>
      <c r="F453" s="6" t="s">
        <v>384</v>
      </c>
      <c r="G453" s="7" t="s">
        <v>1688</v>
      </c>
      <c r="H453" s="6">
        <v>1800</v>
      </c>
      <c r="I453" s="10" t="s">
        <v>418</v>
      </c>
      <c r="J453" s="7" t="s">
        <v>1689</v>
      </c>
      <c r="K453" s="6">
        <v>60</v>
      </c>
      <c r="L453" s="6">
        <v>55</v>
      </c>
      <c r="M453" s="8" t="s">
        <v>1690</v>
      </c>
      <c r="N453" s="7"/>
    </row>
    <row r="454" spans="1:14" ht="20.100000000000001" customHeight="1">
      <c r="A454" s="2" t="s">
        <v>14</v>
      </c>
      <c r="B454" s="3" t="s">
        <v>1578</v>
      </c>
      <c r="C454" s="3" t="s">
        <v>1686</v>
      </c>
      <c r="D454" s="2" t="s">
        <v>1691</v>
      </c>
      <c r="E454" s="2">
        <v>1114</v>
      </c>
      <c r="F454" s="2" t="s">
        <v>531</v>
      </c>
      <c r="G454" s="3" t="s">
        <v>1692</v>
      </c>
      <c r="H454" s="2">
        <v>2200</v>
      </c>
      <c r="I454" s="12" t="s">
        <v>523</v>
      </c>
      <c r="J454" s="3" t="s">
        <v>1693</v>
      </c>
      <c r="K454" s="2">
        <v>90</v>
      </c>
      <c r="L454" s="2">
        <v>80</v>
      </c>
      <c r="M454" s="5" t="s">
        <v>1694</v>
      </c>
      <c r="N454" s="3"/>
    </row>
    <row r="455" spans="1:14" ht="20.100000000000001" customHeight="1">
      <c r="A455" s="6" t="s">
        <v>14</v>
      </c>
      <c r="B455" s="7" t="s">
        <v>1578</v>
      </c>
      <c r="C455" s="7" t="s">
        <v>1686</v>
      </c>
      <c r="D455" s="6" t="s">
        <v>1695</v>
      </c>
      <c r="E455" s="6">
        <v>1283</v>
      </c>
      <c r="F455" s="6" t="s">
        <v>384</v>
      </c>
      <c r="G455" s="7" t="s">
        <v>1696</v>
      </c>
      <c r="H455" s="6">
        <v>1800</v>
      </c>
      <c r="I455" s="10" t="s">
        <v>418</v>
      </c>
      <c r="J455" s="7" t="s">
        <v>1697</v>
      </c>
      <c r="K455" s="6">
        <v>60</v>
      </c>
      <c r="L455" s="6">
        <v>55</v>
      </c>
      <c r="M455" s="8" t="s">
        <v>1698</v>
      </c>
      <c r="N455" s="7"/>
    </row>
    <row r="456" spans="1:14" ht="20.100000000000001" customHeight="1">
      <c r="A456" s="2" t="s">
        <v>14</v>
      </c>
      <c r="B456" s="3" t="s">
        <v>1578</v>
      </c>
      <c r="C456" s="3" t="s">
        <v>1686</v>
      </c>
      <c r="D456" s="2" t="s">
        <v>1699</v>
      </c>
      <c r="E456" s="2">
        <v>1408</v>
      </c>
      <c r="F456" s="2" t="s">
        <v>531</v>
      </c>
      <c r="G456" s="3" t="s">
        <v>1700</v>
      </c>
      <c r="H456" s="2">
        <v>2400</v>
      </c>
      <c r="I456" s="12" t="s">
        <v>659</v>
      </c>
      <c r="J456" s="3" t="s">
        <v>1701</v>
      </c>
      <c r="K456" s="2">
        <v>120</v>
      </c>
      <c r="L456" s="2">
        <v>110</v>
      </c>
      <c r="M456" s="5" t="s">
        <v>1702</v>
      </c>
      <c r="N456" s="3"/>
    </row>
    <row r="457" spans="1:14" ht="20.100000000000001" customHeight="1">
      <c r="A457" s="6" t="s">
        <v>14</v>
      </c>
      <c r="B457" s="7" t="s">
        <v>1703</v>
      </c>
      <c r="C457" s="7" t="s">
        <v>1704</v>
      </c>
      <c r="D457" s="6" t="s">
        <v>1705</v>
      </c>
      <c r="E457" s="6">
        <v>56</v>
      </c>
      <c r="F457" s="6" t="s">
        <v>531</v>
      </c>
      <c r="G457" s="7" t="s">
        <v>1706</v>
      </c>
      <c r="H457" s="6">
        <v>2200</v>
      </c>
      <c r="I457" s="12" t="s">
        <v>523</v>
      </c>
      <c r="J457" s="7" t="s">
        <v>1707</v>
      </c>
      <c r="K457" s="6">
        <v>90</v>
      </c>
      <c r="L457" s="6">
        <v>80</v>
      </c>
      <c r="M457" s="8" t="s">
        <v>1708</v>
      </c>
      <c r="N457" s="7"/>
    </row>
    <row r="458" spans="1:14" ht="20.100000000000001" customHeight="1">
      <c r="A458" s="2" t="s">
        <v>14</v>
      </c>
      <c r="B458" s="3" t="s">
        <v>1703</v>
      </c>
      <c r="C458" s="3" t="s">
        <v>1704</v>
      </c>
      <c r="D458" s="2" t="s">
        <v>1709</v>
      </c>
      <c r="E458" s="2">
        <v>343</v>
      </c>
      <c r="F458" s="2" t="s">
        <v>157</v>
      </c>
      <c r="G458" s="3" t="s">
        <v>1710</v>
      </c>
      <c r="H458" s="2">
        <v>1600</v>
      </c>
      <c r="I458" s="9" t="s">
        <v>172</v>
      </c>
      <c r="J458" s="3" t="s">
        <v>1711</v>
      </c>
      <c r="K458" s="2">
        <v>40</v>
      </c>
      <c r="L458" s="2">
        <v>35</v>
      </c>
      <c r="M458" s="5" t="s">
        <v>1712</v>
      </c>
      <c r="N458" s="3"/>
    </row>
    <row r="459" spans="1:14" ht="20.100000000000001" customHeight="1">
      <c r="A459" s="6" t="s">
        <v>14</v>
      </c>
      <c r="B459" s="7" t="s">
        <v>1703</v>
      </c>
      <c r="C459" s="7" t="s">
        <v>1704</v>
      </c>
      <c r="D459" s="6" t="s">
        <v>1713</v>
      </c>
      <c r="E459" s="6">
        <v>847</v>
      </c>
      <c r="F459" s="6" t="s">
        <v>157</v>
      </c>
      <c r="G459" s="7" t="s">
        <v>1714</v>
      </c>
      <c r="H459" s="6">
        <v>1600</v>
      </c>
      <c r="I459" s="9" t="s">
        <v>172</v>
      </c>
      <c r="J459" s="7" t="s">
        <v>1715</v>
      </c>
      <c r="K459" s="6">
        <v>40</v>
      </c>
      <c r="L459" s="6">
        <v>35</v>
      </c>
      <c r="M459" s="8" t="s">
        <v>1716</v>
      </c>
      <c r="N459" s="7"/>
    </row>
    <row r="460" spans="1:14" ht="20.100000000000001" customHeight="1">
      <c r="A460" s="2" t="s">
        <v>14</v>
      </c>
      <c r="B460" s="3" t="s">
        <v>1703</v>
      </c>
      <c r="C460" s="3" t="s">
        <v>1704</v>
      </c>
      <c r="D460" s="2" t="s">
        <v>1717</v>
      </c>
      <c r="E460" s="2">
        <v>1003</v>
      </c>
      <c r="F460" s="2" t="s">
        <v>18</v>
      </c>
      <c r="G460" s="3" t="s">
        <v>1718</v>
      </c>
      <c r="H460" s="2">
        <v>800</v>
      </c>
      <c r="I460" s="4" t="s">
        <v>20</v>
      </c>
      <c r="J460" s="3" t="s">
        <v>21</v>
      </c>
      <c r="K460" s="2">
        <v>15</v>
      </c>
      <c r="L460" s="2">
        <v>10</v>
      </c>
      <c r="M460" s="5" t="s">
        <v>1719</v>
      </c>
      <c r="N460" s="3"/>
    </row>
    <row r="461" spans="1:14" ht="20.100000000000001" customHeight="1">
      <c r="A461" s="6" t="s">
        <v>14</v>
      </c>
      <c r="B461" s="7" t="s">
        <v>1703</v>
      </c>
      <c r="C461" s="7" t="s">
        <v>1704</v>
      </c>
      <c r="D461" s="6" t="s">
        <v>1720</v>
      </c>
      <c r="E461" s="6">
        <v>1073</v>
      </c>
      <c r="F461" s="6" t="s">
        <v>157</v>
      </c>
      <c r="G461" s="7" t="s">
        <v>1721</v>
      </c>
      <c r="H461" s="6">
        <v>1000</v>
      </c>
      <c r="I461" s="4" t="s">
        <v>43</v>
      </c>
      <c r="J461" s="7" t="s">
        <v>61</v>
      </c>
      <c r="K461" s="6">
        <v>15</v>
      </c>
      <c r="L461" s="6">
        <v>10</v>
      </c>
      <c r="M461" s="8" t="s">
        <v>1722</v>
      </c>
      <c r="N461" s="7"/>
    </row>
    <row r="462" spans="1:14" ht="20.100000000000001" customHeight="1">
      <c r="A462" s="2" t="s">
        <v>14</v>
      </c>
      <c r="B462" s="3" t="s">
        <v>1703</v>
      </c>
      <c r="C462" s="3" t="s">
        <v>1704</v>
      </c>
      <c r="D462" s="2" t="s">
        <v>1723</v>
      </c>
      <c r="E462" s="2">
        <v>1092</v>
      </c>
      <c r="F462" s="2" t="s">
        <v>950</v>
      </c>
      <c r="G462" s="3" t="s">
        <v>1724</v>
      </c>
      <c r="H462" s="2">
        <v>2200</v>
      </c>
      <c r="I462" s="12" t="s">
        <v>523</v>
      </c>
      <c r="J462" s="3" t="s">
        <v>790</v>
      </c>
      <c r="K462" s="2">
        <v>90</v>
      </c>
      <c r="L462" s="2">
        <v>80</v>
      </c>
      <c r="M462" s="5" t="s">
        <v>1725</v>
      </c>
      <c r="N462" s="3"/>
    </row>
    <row r="463" spans="1:14" ht="20.100000000000001" customHeight="1">
      <c r="A463" s="6" t="s">
        <v>14</v>
      </c>
      <c r="B463" s="7" t="s">
        <v>1703</v>
      </c>
      <c r="C463" s="7" t="s">
        <v>1704</v>
      </c>
      <c r="D463" s="6" t="s">
        <v>1726</v>
      </c>
      <c r="E463" s="6">
        <v>1092</v>
      </c>
      <c r="F463" s="6" t="s">
        <v>843</v>
      </c>
      <c r="G463" s="7" t="s">
        <v>1727</v>
      </c>
      <c r="H463" s="6">
        <v>2200</v>
      </c>
      <c r="I463" s="12" t="s">
        <v>523</v>
      </c>
      <c r="J463" s="7" t="s">
        <v>628</v>
      </c>
      <c r="K463" s="6">
        <v>90</v>
      </c>
      <c r="L463" s="6">
        <v>80</v>
      </c>
      <c r="M463" s="8" t="s">
        <v>1728</v>
      </c>
      <c r="N463" s="7"/>
    </row>
    <row r="464" spans="1:14" ht="20.100000000000001" customHeight="1">
      <c r="A464" s="2" t="s">
        <v>14</v>
      </c>
      <c r="B464" s="3" t="s">
        <v>1703</v>
      </c>
      <c r="C464" s="3" t="s">
        <v>1704</v>
      </c>
      <c r="D464" s="2" t="s">
        <v>1729</v>
      </c>
      <c r="E464" s="2">
        <v>1154</v>
      </c>
      <c r="F464" s="2" t="s">
        <v>531</v>
      </c>
      <c r="G464" s="3" t="s">
        <v>1730</v>
      </c>
      <c r="H464" s="2">
        <v>1800</v>
      </c>
      <c r="I464" s="10" t="s">
        <v>418</v>
      </c>
      <c r="J464" s="3" t="s">
        <v>457</v>
      </c>
      <c r="K464" s="2">
        <v>60</v>
      </c>
      <c r="L464" s="2">
        <v>55</v>
      </c>
      <c r="M464" s="5" t="s">
        <v>1731</v>
      </c>
      <c r="N464" s="3"/>
    </row>
    <row r="465" spans="1:14" ht="20.100000000000001" customHeight="1">
      <c r="A465" s="6" t="s">
        <v>14</v>
      </c>
      <c r="B465" s="7" t="s">
        <v>1703</v>
      </c>
      <c r="C465" s="7" t="s">
        <v>1704</v>
      </c>
      <c r="D465" s="6" t="s">
        <v>1732</v>
      </c>
      <c r="E465" s="6">
        <v>1263</v>
      </c>
      <c r="F465" s="6" t="s">
        <v>183</v>
      </c>
      <c r="G465" s="7" t="s">
        <v>1733</v>
      </c>
      <c r="H465" s="6">
        <v>1400</v>
      </c>
      <c r="I465" s="9" t="s">
        <v>163</v>
      </c>
      <c r="J465" s="7" t="s">
        <v>1734</v>
      </c>
      <c r="K465" s="6">
        <v>40</v>
      </c>
      <c r="L465" s="6">
        <v>35</v>
      </c>
      <c r="M465" s="8" t="s">
        <v>1735</v>
      </c>
      <c r="N465" s="7"/>
    </row>
    <row r="466" spans="1:14" ht="20.100000000000001" customHeight="1">
      <c r="A466" s="2" t="s">
        <v>14</v>
      </c>
      <c r="B466" s="3" t="s">
        <v>1703</v>
      </c>
      <c r="C466" s="3" t="s">
        <v>1704</v>
      </c>
      <c r="D466" s="2" t="s">
        <v>1736</v>
      </c>
      <c r="E466" s="2">
        <v>1375</v>
      </c>
      <c r="F466" s="2" t="s">
        <v>183</v>
      </c>
      <c r="G466" s="3" t="s">
        <v>1737</v>
      </c>
      <c r="H466" s="2">
        <v>1400</v>
      </c>
      <c r="I466" s="9" t="s">
        <v>163</v>
      </c>
      <c r="J466" s="3" t="s">
        <v>499</v>
      </c>
      <c r="K466" s="2">
        <v>40</v>
      </c>
      <c r="L466" s="2">
        <v>35</v>
      </c>
      <c r="M466" s="5" t="s">
        <v>1738</v>
      </c>
      <c r="N466" s="3"/>
    </row>
    <row r="467" spans="1:14" ht="20.100000000000001" customHeight="1">
      <c r="A467" s="6" t="s">
        <v>14</v>
      </c>
      <c r="B467" s="7" t="s">
        <v>1703</v>
      </c>
      <c r="C467" s="7" t="s">
        <v>1704</v>
      </c>
      <c r="D467" s="6" t="s">
        <v>1739</v>
      </c>
      <c r="E467" s="6">
        <v>1445</v>
      </c>
      <c r="F467" s="6" t="s">
        <v>18</v>
      </c>
      <c r="G467" s="7" t="s">
        <v>1740</v>
      </c>
      <c r="H467" s="6">
        <v>800</v>
      </c>
      <c r="I467" s="4" t="s">
        <v>20</v>
      </c>
      <c r="J467" s="7" t="s">
        <v>143</v>
      </c>
      <c r="K467" s="6">
        <v>15</v>
      </c>
      <c r="L467" s="6">
        <v>10</v>
      </c>
      <c r="M467" s="8" t="s">
        <v>1741</v>
      </c>
      <c r="N467" s="7"/>
    </row>
    <row r="468" spans="1:14" ht="20.100000000000001" customHeight="1">
      <c r="A468" s="2" t="s">
        <v>14</v>
      </c>
      <c r="B468" s="3" t="s">
        <v>1703</v>
      </c>
      <c r="C468" s="3" t="s">
        <v>1704</v>
      </c>
      <c r="D468" s="2" t="s">
        <v>1742</v>
      </c>
      <c r="E468" s="2">
        <v>1462</v>
      </c>
      <c r="F468" s="2" t="s">
        <v>157</v>
      </c>
      <c r="G468" s="3" t="s">
        <v>1743</v>
      </c>
      <c r="H468" s="2">
        <v>800</v>
      </c>
      <c r="I468" s="4" t="s">
        <v>20</v>
      </c>
      <c r="J468" s="3" t="s">
        <v>1744</v>
      </c>
      <c r="K468" s="2">
        <v>15</v>
      </c>
      <c r="L468" s="2">
        <v>10</v>
      </c>
      <c r="M468" s="5" t="s">
        <v>1745</v>
      </c>
      <c r="N468" s="3"/>
    </row>
    <row r="469" spans="1:14" ht="20.100000000000001" customHeight="1">
      <c r="A469" s="6" t="s">
        <v>14</v>
      </c>
      <c r="B469" s="7" t="s">
        <v>1703</v>
      </c>
      <c r="C469" s="7" t="s">
        <v>1746</v>
      </c>
      <c r="D469" s="6" t="s">
        <v>1747</v>
      </c>
      <c r="E469" s="6">
        <v>5</v>
      </c>
      <c r="F469" s="6" t="s">
        <v>183</v>
      </c>
      <c r="G469" s="7" t="s">
        <v>1748</v>
      </c>
      <c r="H469" s="6">
        <v>1900</v>
      </c>
      <c r="I469" s="10" t="s">
        <v>386</v>
      </c>
      <c r="J469" s="7" t="s">
        <v>1749</v>
      </c>
      <c r="K469" s="6">
        <v>60</v>
      </c>
      <c r="L469" s="6">
        <v>55</v>
      </c>
      <c r="M469" s="8" t="s">
        <v>1750</v>
      </c>
      <c r="N469" s="7"/>
    </row>
    <row r="470" spans="1:14" ht="20.100000000000001" customHeight="1">
      <c r="A470" s="2" t="s">
        <v>14</v>
      </c>
      <c r="B470" s="3" t="s">
        <v>1703</v>
      </c>
      <c r="C470" s="3" t="s">
        <v>1746</v>
      </c>
      <c r="D470" s="2" t="s">
        <v>1751</v>
      </c>
      <c r="E470" s="2">
        <v>26</v>
      </c>
      <c r="F470" s="2" t="s">
        <v>157</v>
      </c>
      <c r="G470" s="3" t="s">
        <v>1752</v>
      </c>
      <c r="H470" s="2">
        <v>1400</v>
      </c>
      <c r="I470" s="9" t="s">
        <v>163</v>
      </c>
      <c r="J470" s="3" t="s">
        <v>722</v>
      </c>
      <c r="K470" s="2">
        <v>40</v>
      </c>
      <c r="L470" s="2">
        <v>35</v>
      </c>
      <c r="M470" s="5" t="s">
        <v>1753</v>
      </c>
      <c r="N470" s="3"/>
    </row>
    <row r="471" spans="1:14" ht="20.100000000000001" customHeight="1">
      <c r="A471" s="6" t="s">
        <v>14</v>
      </c>
      <c r="B471" s="7" t="s">
        <v>1703</v>
      </c>
      <c r="C471" s="7" t="s">
        <v>1746</v>
      </c>
      <c r="D471" s="6" t="s">
        <v>1754</v>
      </c>
      <c r="E471" s="6">
        <v>380</v>
      </c>
      <c r="F471" s="6" t="s">
        <v>183</v>
      </c>
      <c r="G471" s="7" t="s">
        <v>1755</v>
      </c>
      <c r="H471" s="6">
        <v>2000</v>
      </c>
      <c r="I471" s="10" t="s">
        <v>386</v>
      </c>
      <c r="J471" s="7" t="s">
        <v>1756</v>
      </c>
      <c r="K471" s="6">
        <v>90</v>
      </c>
      <c r="L471" s="6">
        <v>80</v>
      </c>
      <c r="M471" s="8" t="s">
        <v>1757</v>
      </c>
      <c r="N471" s="7"/>
    </row>
    <row r="472" spans="1:14" ht="20.100000000000001" customHeight="1">
      <c r="A472" s="2" t="s">
        <v>14</v>
      </c>
      <c r="B472" s="3" t="s">
        <v>1703</v>
      </c>
      <c r="C472" s="3" t="s">
        <v>1746</v>
      </c>
      <c r="D472" s="2" t="s">
        <v>1758</v>
      </c>
      <c r="E472" s="2">
        <v>1095</v>
      </c>
      <c r="F472" s="2" t="s">
        <v>531</v>
      </c>
      <c r="G472" s="3" t="s">
        <v>1759</v>
      </c>
      <c r="H472" s="2">
        <v>1900</v>
      </c>
      <c r="I472" s="10" t="s">
        <v>386</v>
      </c>
      <c r="J472" s="3" t="s">
        <v>21</v>
      </c>
      <c r="K472" s="2">
        <v>60</v>
      </c>
      <c r="L472" s="2">
        <v>55</v>
      </c>
      <c r="M472" s="5" t="s">
        <v>1760</v>
      </c>
      <c r="N472" s="3"/>
    </row>
    <row r="473" spans="1:14" ht="20.100000000000001" customHeight="1">
      <c r="A473" s="6" t="s">
        <v>14</v>
      </c>
      <c r="B473" s="7" t="s">
        <v>1703</v>
      </c>
      <c r="C473" s="7" t="s">
        <v>1746</v>
      </c>
      <c r="D473" s="6" t="s">
        <v>1761</v>
      </c>
      <c r="E473" s="6">
        <v>1153</v>
      </c>
      <c r="F473" s="6" t="s">
        <v>183</v>
      </c>
      <c r="G473" s="7" t="s">
        <v>1762</v>
      </c>
      <c r="H473" s="6">
        <v>1700</v>
      </c>
      <c r="I473" s="10" t="s">
        <v>418</v>
      </c>
      <c r="J473" s="7" t="s">
        <v>1045</v>
      </c>
      <c r="K473" s="6">
        <v>60</v>
      </c>
      <c r="L473" s="6">
        <v>55</v>
      </c>
      <c r="M473" s="8" t="s">
        <v>1763</v>
      </c>
      <c r="N473" s="7"/>
    </row>
    <row r="474" spans="1:14" ht="20.100000000000001" customHeight="1">
      <c r="A474" s="2" t="s">
        <v>14</v>
      </c>
      <c r="B474" s="3" t="s">
        <v>1703</v>
      </c>
      <c r="C474" s="3" t="s">
        <v>1746</v>
      </c>
      <c r="D474" s="2" t="s">
        <v>1764</v>
      </c>
      <c r="E474" s="2">
        <v>1305</v>
      </c>
      <c r="F474" s="2" t="s">
        <v>157</v>
      </c>
      <c r="G474" s="3" t="s">
        <v>1765</v>
      </c>
      <c r="H474" s="2">
        <v>1200</v>
      </c>
      <c r="I474" s="4" t="s">
        <v>43</v>
      </c>
      <c r="J474" s="3" t="s">
        <v>1766</v>
      </c>
      <c r="K474" s="2">
        <v>25</v>
      </c>
      <c r="L474" s="2">
        <v>20</v>
      </c>
      <c r="M474" s="5" t="s">
        <v>1767</v>
      </c>
      <c r="N474" s="3"/>
    </row>
    <row r="475" spans="1:14" ht="20.100000000000001" customHeight="1">
      <c r="A475" s="6" t="s">
        <v>14</v>
      </c>
      <c r="B475" s="7" t="s">
        <v>1703</v>
      </c>
      <c r="C475" s="7" t="s">
        <v>1746</v>
      </c>
      <c r="D475" s="6" t="s">
        <v>1768</v>
      </c>
      <c r="E475" s="6">
        <v>1452</v>
      </c>
      <c r="F475" s="6" t="s">
        <v>183</v>
      </c>
      <c r="G475" s="7" t="s">
        <v>1769</v>
      </c>
      <c r="H475" s="6">
        <v>800</v>
      </c>
      <c r="I475" s="4" t="s">
        <v>20</v>
      </c>
      <c r="J475" s="7" t="s">
        <v>722</v>
      </c>
      <c r="K475" s="6">
        <v>15</v>
      </c>
      <c r="L475" s="6">
        <v>10</v>
      </c>
      <c r="M475" s="8" t="s">
        <v>1770</v>
      </c>
      <c r="N475" s="7"/>
    </row>
    <row r="476" spans="1:14" ht="20.100000000000001" customHeight="1">
      <c r="A476" s="2" t="s">
        <v>14</v>
      </c>
      <c r="B476" s="3" t="s">
        <v>1703</v>
      </c>
      <c r="C476" s="3" t="s">
        <v>1746</v>
      </c>
      <c r="D476" s="2" t="s">
        <v>1771</v>
      </c>
      <c r="E476" s="2">
        <v>1578</v>
      </c>
      <c r="F476" s="2" t="s">
        <v>969</v>
      </c>
      <c r="G476" s="3" t="s">
        <v>1772</v>
      </c>
      <c r="H476" s="2">
        <v>1700</v>
      </c>
      <c r="I476" s="10" t="s">
        <v>418</v>
      </c>
      <c r="J476" s="3" t="s">
        <v>75</v>
      </c>
      <c r="K476" s="2">
        <v>60</v>
      </c>
      <c r="L476" s="2">
        <v>55</v>
      </c>
      <c r="M476" s="5" t="s">
        <v>1773</v>
      </c>
      <c r="N476" s="3"/>
    </row>
    <row r="477" spans="1:14" ht="20.100000000000001" customHeight="1">
      <c r="A477" s="6" t="s">
        <v>14</v>
      </c>
      <c r="B477" s="7" t="s">
        <v>1703</v>
      </c>
      <c r="C477" s="7" t="s">
        <v>1774</v>
      </c>
      <c r="D477" s="6" t="s">
        <v>1775</v>
      </c>
      <c r="E477" s="6">
        <v>547</v>
      </c>
      <c r="F477" s="6" t="s">
        <v>157</v>
      </c>
      <c r="G477" s="7" t="s">
        <v>1776</v>
      </c>
      <c r="H477" s="6">
        <v>1900</v>
      </c>
      <c r="I477" s="10" t="s">
        <v>386</v>
      </c>
      <c r="J477" s="7" t="s">
        <v>1777</v>
      </c>
      <c r="K477" s="6">
        <v>60</v>
      </c>
      <c r="L477" s="6">
        <v>55</v>
      </c>
      <c r="M477" s="8" t="s">
        <v>1778</v>
      </c>
      <c r="N477" s="7"/>
    </row>
    <row r="478" spans="1:14" ht="20.100000000000001" customHeight="1">
      <c r="A478" s="2" t="s">
        <v>14</v>
      </c>
      <c r="B478" s="3" t="s">
        <v>1703</v>
      </c>
      <c r="C478" s="3" t="s">
        <v>1774</v>
      </c>
      <c r="D478" s="2" t="s">
        <v>1779</v>
      </c>
      <c r="E478" s="2">
        <v>817</v>
      </c>
      <c r="F478" s="2" t="s">
        <v>384</v>
      </c>
      <c r="G478" s="3" t="s">
        <v>1780</v>
      </c>
      <c r="H478" s="2">
        <v>1900</v>
      </c>
      <c r="I478" s="10" t="s">
        <v>386</v>
      </c>
      <c r="J478" s="3" t="s">
        <v>1781</v>
      </c>
      <c r="K478" s="2">
        <v>60</v>
      </c>
      <c r="L478" s="2">
        <v>55</v>
      </c>
      <c r="M478" s="5" t="s">
        <v>1782</v>
      </c>
      <c r="N478" s="3"/>
    </row>
    <row r="479" spans="1:14" ht="20.100000000000001" customHeight="1">
      <c r="A479" s="6" t="s">
        <v>14</v>
      </c>
      <c r="B479" s="7" t="s">
        <v>1703</v>
      </c>
      <c r="C479" s="7" t="s">
        <v>1774</v>
      </c>
      <c r="D479" s="6" t="s">
        <v>1783</v>
      </c>
      <c r="E479" s="6">
        <v>920</v>
      </c>
      <c r="F479" s="6" t="s">
        <v>635</v>
      </c>
      <c r="G479" s="7" t="s">
        <v>1784</v>
      </c>
      <c r="H479" s="6">
        <v>2000</v>
      </c>
      <c r="I479" s="10" t="s">
        <v>386</v>
      </c>
      <c r="J479" s="7" t="s">
        <v>1785</v>
      </c>
      <c r="K479" s="6">
        <v>90</v>
      </c>
      <c r="L479" s="6">
        <v>80</v>
      </c>
      <c r="M479" s="8" t="s">
        <v>1786</v>
      </c>
      <c r="N479" s="7"/>
    </row>
    <row r="480" spans="1:14" ht="20.100000000000001" customHeight="1">
      <c r="A480" s="2" t="s">
        <v>14</v>
      </c>
      <c r="B480" s="3" t="s">
        <v>1703</v>
      </c>
      <c r="C480" s="3" t="s">
        <v>1774</v>
      </c>
      <c r="D480" s="2" t="s">
        <v>1787</v>
      </c>
      <c r="E480" s="2">
        <v>1156</v>
      </c>
      <c r="F480" s="2" t="s">
        <v>531</v>
      </c>
      <c r="G480" s="3" t="s">
        <v>1788</v>
      </c>
      <c r="H480" s="2">
        <v>2200</v>
      </c>
      <c r="I480" s="12" t="s">
        <v>523</v>
      </c>
      <c r="J480" s="3" t="s">
        <v>1789</v>
      </c>
      <c r="K480" s="2">
        <v>90</v>
      </c>
      <c r="L480" s="2">
        <v>80</v>
      </c>
      <c r="M480" s="5" t="s">
        <v>1790</v>
      </c>
      <c r="N480" s="3"/>
    </row>
    <row r="481" spans="1:14" ht="20.100000000000001" customHeight="1">
      <c r="A481" s="6" t="s">
        <v>14</v>
      </c>
      <c r="B481" s="7" t="s">
        <v>1703</v>
      </c>
      <c r="C481" s="7" t="s">
        <v>1774</v>
      </c>
      <c r="D481" s="6" t="s">
        <v>1791</v>
      </c>
      <c r="E481" s="6">
        <v>1237</v>
      </c>
      <c r="F481" s="6" t="s">
        <v>384</v>
      </c>
      <c r="G481" s="7" t="s">
        <v>1792</v>
      </c>
      <c r="H481" s="6">
        <v>2000</v>
      </c>
      <c r="I481" s="10" t="s">
        <v>386</v>
      </c>
      <c r="J481" s="7" t="s">
        <v>387</v>
      </c>
      <c r="K481" s="6">
        <v>90</v>
      </c>
      <c r="L481" s="6">
        <v>80</v>
      </c>
      <c r="M481" s="8" t="s">
        <v>1793</v>
      </c>
      <c r="N481" s="7"/>
    </row>
    <row r="482" spans="1:14" ht="20.100000000000001" customHeight="1">
      <c r="A482" s="2" t="s">
        <v>14</v>
      </c>
      <c r="B482" s="3" t="s">
        <v>1703</v>
      </c>
      <c r="C482" s="3" t="s">
        <v>1774</v>
      </c>
      <c r="D482" s="2" t="s">
        <v>1794</v>
      </c>
      <c r="E482" s="2">
        <v>1313</v>
      </c>
      <c r="F482" s="2" t="s">
        <v>725</v>
      </c>
      <c r="G482" s="3" t="s">
        <v>1795</v>
      </c>
      <c r="H482" s="2">
        <v>1900</v>
      </c>
      <c r="I482" s="10" t="s">
        <v>386</v>
      </c>
      <c r="J482" s="3" t="s">
        <v>1796</v>
      </c>
      <c r="K482" s="2">
        <v>60</v>
      </c>
      <c r="L482" s="2">
        <v>55</v>
      </c>
      <c r="M482" s="5" t="s">
        <v>1797</v>
      </c>
      <c r="N482" s="3"/>
    </row>
    <row r="483" spans="1:14" ht="20.100000000000001" customHeight="1">
      <c r="A483" s="6" t="s">
        <v>14</v>
      </c>
      <c r="B483" s="7" t="s">
        <v>1703</v>
      </c>
      <c r="C483" s="7" t="s">
        <v>1774</v>
      </c>
      <c r="D483" s="6" t="s">
        <v>1798</v>
      </c>
      <c r="E483" s="6">
        <v>1503</v>
      </c>
      <c r="F483" s="6" t="s">
        <v>183</v>
      </c>
      <c r="G483" s="7" t="s">
        <v>1799</v>
      </c>
      <c r="H483" s="6">
        <v>2200</v>
      </c>
      <c r="I483" s="12" t="s">
        <v>523</v>
      </c>
      <c r="J483" s="7" t="s">
        <v>1800</v>
      </c>
      <c r="K483" s="6">
        <v>90</v>
      </c>
      <c r="L483" s="6">
        <v>80</v>
      </c>
      <c r="M483" s="8" t="s">
        <v>1801</v>
      </c>
      <c r="N483" s="7"/>
    </row>
    <row r="484" spans="1:14" ht="20.100000000000001" customHeight="1">
      <c r="A484" s="2" t="s">
        <v>14</v>
      </c>
      <c r="B484" s="3" t="s">
        <v>1703</v>
      </c>
      <c r="C484" s="3" t="s">
        <v>1774</v>
      </c>
      <c r="D484" s="2" t="s">
        <v>1802</v>
      </c>
      <c r="E484" s="2">
        <v>1795</v>
      </c>
      <c r="F484" s="2" t="s">
        <v>531</v>
      </c>
      <c r="G484" s="3" t="s">
        <v>1803</v>
      </c>
      <c r="H484" s="2">
        <v>2200</v>
      </c>
      <c r="I484" s="12" t="s">
        <v>523</v>
      </c>
      <c r="J484" s="3" t="s">
        <v>1804</v>
      </c>
      <c r="K484" s="2">
        <v>90</v>
      </c>
      <c r="L484" s="2">
        <v>80</v>
      </c>
      <c r="M484" s="5" t="s">
        <v>1805</v>
      </c>
      <c r="N484" s="3"/>
    </row>
    <row r="485" spans="1:14" ht="20.100000000000001" customHeight="1">
      <c r="A485" s="6" t="s">
        <v>14</v>
      </c>
      <c r="B485" s="7" t="s">
        <v>1703</v>
      </c>
      <c r="C485" s="7" t="s">
        <v>1806</v>
      </c>
      <c r="D485" s="6" t="s">
        <v>1807</v>
      </c>
      <c r="E485" s="6">
        <v>1239</v>
      </c>
      <c r="F485" s="6" t="s">
        <v>384</v>
      </c>
      <c r="G485" s="7" t="s">
        <v>1808</v>
      </c>
      <c r="H485" s="6">
        <v>2400</v>
      </c>
      <c r="I485" s="12" t="s">
        <v>659</v>
      </c>
      <c r="J485" s="7" t="s">
        <v>1809</v>
      </c>
      <c r="K485" s="6">
        <v>120</v>
      </c>
      <c r="L485" s="6">
        <v>110</v>
      </c>
      <c r="M485" s="8" t="s">
        <v>1810</v>
      </c>
      <c r="N485" s="7"/>
    </row>
    <row r="486" spans="1:14" ht="20.100000000000001" customHeight="1">
      <c r="A486" s="2" t="s">
        <v>14</v>
      </c>
      <c r="B486" s="3" t="s">
        <v>1703</v>
      </c>
      <c r="C486" s="3" t="s">
        <v>1806</v>
      </c>
      <c r="D486" s="2" t="s">
        <v>1811</v>
      </c>
      <c r="E486" s="2">
        <v>1381</v>
      </c>
      <c r="F486" s="2" t="s">
        <v>157</v>
      </c>
      <c r="G486" s="3" t="s">
        <v>1812</v>
      </c>
      <c r="H486" s="2">
        <v>1800</v>
      </c>
      <c r="I486" s="10" t="s">
        <v>418</v>
      </c>
      <c r="J486" s="3" t="s">
        <v>641</v>
      </c>
      <c r="K486" s="2">
        <v>60</v>
      </c>
      <c r="L486" s="2">
        <v>55</v>
      </c>
      <c r="M486" s="5" t="s">
        <v>1813</v>
      </c>
      <c r="N486" s="3"/>
    </row>
    <row r="487" spans="1:14" ht="20.100000000000001" customHeight="1">
      <c r="A487" s="6" t="s">
        <v>14</v>
      </c>
      <c r="B487" s="7" t="s">
        <v>1814</v>
      </c>
      <c r="C487" s="7" t="s">
        <v>1815</v>
      </c>
      <c r="D487" s="6" t="s">
        <v>1816</v>
      </c>
      <c r="E487" s="6">
        <v>1238</v>
      </c>
      <c r="F487" s="6" t="s">
        <v>157</v>
      </c>
      <c r="G487" s="7" t="s">
        <v>1817</v>
      </c>
      <c r="H487" s="6">
        <v>1300</v>
      </c>
      <c r="I487" s="9" t="s">
        <v>163</v>
      </c>
      <c r="J487" s="7" t="s">
        <v>143</v>
      </c>
      <c r="K487" s="6">
        <v>25</v>
      </c>
      <c r="L487" s="6">
        <v>20</v>
      </c>
      <c r="M487" s="8" t="s">
        <v>1818</v>
      </c>
      <c r="N487" s="7"/>
    </row>
    <row r="488" spans="1:14" ht="20.100000000000001" customHeight="1">
      <c r="A488" s="2" t="s">
        <v>14</v>
      </c>
      <c r="B488" s="3" t="s">
        <v>1814</v>
      </c>
      <c r="C488" s="3" t="s">
        <v>1815</v>
      </c>
      <c r="D488" s="2" t="s">
        <v>1819</v>
      </c>
      <c r="E488" s="2">
        <v>939</v>
      </c>
      <c r="F488" s="2" t="s">
        <v>183</v>
      </c>
      <c r="G488" s="3" t="s">
        <v>1820</v>
      </c>
      <c r="H488" s="2">
        <v>1600</v>
      </c>
      <c r="I488" s="9" t="s">
        <v>172</v>
      </c>
      <c r="J488" s="3" t="s">
        <v>1821</v>
      </c>
      <c r="K488" s="2">
        <v>40</v>
      </c>
      <c r="L488" s="2">
        <v>35</v>
      </c>
      <c r="M488" s="5" t="s">
        <v>1822</v>
      </c>
      <c r="N488" s="3"/>
    </row>
    <row r="489" spans="1:14" ht="20.100000000000001" customHeight="1">
      <c r="A489" s="6" t="s">
        <v>14</v>
      </c>
      <c r="B489" s="7" t="s">
        <v>1814</v>
      </c>
      <c r="C489" s="7" t="s">
        <v>1815</v>
      </c>
      <c r="D489" s="6" t="s">
        <v>1823</v>
      </c>
      <c r="E489" s="6">
        <v>920</v>
      </c>
      <c r="F489" s="6" t="s">
        <v>18</v>
      </c>
      <c r="G489" s="7" t="s">
        <v>1824</v>
      </c>
      <c r="H489" s="6">
        <v>1000</v>
      </c>
      <c r="I489" s="4" t="s">
        <v>43</v>
      </c>
      <c r="J489" s="7" t="s">
        <v>21</v>
      </c>
      <c r="K489" s="6">
        <v>15</v>
      </c>
      <c r="L489" s="6">
        <v>10</v>
      </c>
      <c r="M489" s="8" t="s">
        <v>1825</v>
      </c>
      <c r="N489" s="7"/>
    </row>
    <row r="490" spans="1:14" ht="20.100000000000001" customHeight="1">
      <c r="A490" s="2" t="s">
        <v>14</v>
      </c>
      <c r="B490" s="3" t="s">
        <v>1814</v>
      </c>
      <c r="C490" s="3" t="s">
        <v>1815</v>
      </c>
      <c r="D490" s="2" t="s">
        <v>1826</v>
      </c>
      <c r="E490" s="2">
        <v>978</v>
      </c>
      <c r="F490" s="2" t="s">
        <v>384</v>
      </c>
      <c r="G490" s="3" t="s">
        <v>1827</v>
      </c>
      <c r="H490" s="2">
        <v>1500</v>
      </c>
      <c r="I490" s="9" t="s">
        <v>172</v>
      </c>
      <c r="J490" s="3" t="s">
        <v>584</v>
      </c>
      <c r="K490" s="2">
        <v>40</v>
      </c>
      <c r="L490" s="2">
        <v>35</v>
      </c>
      <c r="M490" s="5" t="s">
        <v>1828</v>
      </c>
      <c r="N490" s="3"/>
    </row>
    <row r="491" spans="1:14" ht="20.100000000000001" customHeight="1">
      <c r="A491" s="6" t="s">
        <v>14</v>
      </c>
      <c r="B491" s="7" t="s">
        <v>1814</v>
      </c>
      <c r="C491" s="7" t="s">
        <v>1815</v>
      </c>
      <c r="D491" s="6" t="s">
        <v>1829</v>
      </c>
      <c r="E491" s="6">
        <v>1015</v>
      </c>
      <c r="F491" s="6" t="s">
        <v>183</v>
      </c>
      <c r="G491" s="7" t="s">
        <v>1830</v>
      </c>
      <c r="H491" s="6">
        <v>1100</v>
      </c>
      <c r="I491" s="4" t="s">
        <v>43</v>
      </c>
      <c r="J491" s="7" t="s">
        <v>395</v>
      </c>
      <c r="K491" s="6">
        <v>25</v>
      </c>
      <c r="L491" s="6">
        <v>20</v>
      </c>
      <c r="M491" s="8" t="s">
        <v>1831</v>
      </c>
      <c r="N491" s="7"/>
    </row>
    <row r="492" spans="1:14" ht="20.100000000000001" customHeight="1">
      <c r="A492" s="2" t="s">
        <v>14</v>
      </c>
      <c r="B492" s="3" t="s">
        <v>1814</v>
      </c>
      <c r="C492" s="3" t="s">
        <v>1815</v>
      </c>
      <c r="D492" s="2" t="s">
        <v>1832</v>
      </c>
      <c r="E492" s="2">
        <v>1104</v>
      </c>
      <c r="F492" s="2" t="s">
        <v>157</v>
      </c>
      <c r="G492" s="3" t="s">
        <v>1833</v>
      </c>
      <c r="H492" s="2">
        <v>1200</v>
      </c>
      <c r="I492" s="4" t="s">
        <v>43</v>
      </c>
      <c r="J492" s="3" t="s">
        <v>1834</v>
      </c>
      <c r="K492" s="2">
        <v>25</v>
      </c>
      <c r="L492" s="2">
        <v>20</v>
      </c>
      <c r="M492" s="5" t="s">
        <v>1835</v>
      </c>
      <c r="N492" s="3"/>
    </row>
    <row r="493" spans="1:14" ht="20.100000000000001" customHeight="1">
      <c r="A493" s="6" t="s">
        <v>14</v>
      </c>
      <c r="B493" s="7" t="s">
        <v>1814</v>
      </c>
      <c r="C493" s="7" t="s">
        <v>1815</v>
      </c>
      <c r="D493" s="6" t="s">
        <v>1836</v>
      </c>
      <c r="E493" s="6">
        <v>1195</v>
      </c>
      <c r="F493" s="6" t="s">
        <v>157</v>
      </c>
      <c r="G493" s="7" t="s">
        <v>1837</v>
      </c>
      <c r="H493" s="6">
        <v>1000</v>
      </c>
      <c r="I493" s="4" t="s">
        <v>43</v>
      </c>
      <c r="J493" s="7" t="s">
        <v>1838</v>
      </c>
      <c r="K493" s="6">
        <v>15</v>
      </c>
      <c r="L493" s="6">
        <v>10</v>
      </c>
      <c r="M493" s="8" t="s">
        <v>1839</v>
      </c>
      <c r="N493" s="7"/>
    </row>
    <row r="494" spans="1:14" ht="20.100000000000001" customHeight="1">
      <c r="A494" s="2" t="s">
        <v>14</v>
      </c>
      <c r="B494" s="3" t="s">
        <v>1814</v>
      </c>
      <c r="C494" s="3" t="s">
        <v>1815</v>
      </c>
      <c r="D494" s="2" t="s">
        <v>1840</v>
      </c>
      <c r="E494" s="2">
        <v>1287</v>
      </c>
      <c r="F494" s="2" t="s">
        <v>18</v>
      </c>
      <c r="G494" s="3" t="s">
        <v>1841</v>
      </c>
      <c r="H494" s="2">
        <v>800</v>
      </c>
      <c r="I494" s="4" t="s">
        <v>20</v>
      </c>
      <c r="J494" s="3" t="s">
        <v>39</v>
      </c>
      <c r="K494" s="2">
        <v>15</v>
      </c>
      <c r="L494" s="2">
        <v>10</v>
      </c>
      <c r="M494" s="5" t="s">
        <v>1842</v>
      </c>
      <c r="N494" s="3"/>
    </row>
    <row r="495" spans="1:14" ht="20.100000000000001" customHeight="1">
      <c r="A495" s="6" t="s">
        <v>14</v>
      </c>
      <c r="B495" s="7" t="s">
        <v>1814</v>
      </c>
      <c r="C495" s="7" t="s">
        <v>1815</v>
      </c>
      <c r="D495" s="6" t="s">
        <v>1843</v>
      </c>
      <c r="E495" s="6">
        <v>1367</v>
      </c>
      <c r="F495" s="6" t="s">
        <v>157</v>
      </c>
      <c r="G495" s="7" t="s">
        <v>1844</v>
      </c>
      <c r="H495" s="6">
        <v>800</v>
      </c>
      <c r="I495" s="4" t="s">
        <v>20</v>
      </c>
      <c r="J495" s="7" t="s">
        <v>147</v>
      </c>
      <c r="K495" s="6">
        <v>15</v>
      </c>
      <c r="L495" s="6">
        <v>10</v>
      </c>
      <c r="M495" s="8" t="s">
        <v>1845</v>
      </c>
      <c r="N495" s="7"/>
    </row>
    <row r="496" spans="1:14" ht="20.100000000000001" customHeight="1">
      <c r="A496" s="2" t="s">
        <v>14</v>
      </c>
      <c r="B496" s="3" t="s">
        <v>1814</v>
      </c>
      <c r="C496" s="3" t="s">
        <v>1815</v>
      </c>
      <c r="D496" s="2" t="s">
        <v>1846</v>
      </c>
      <c r="E496" s="2">
        <v>1511</v>
      </c>
      <c r="F496" s="2" t="s">
        <v>18</v>
      </c>
      <c r="G496" s="3" t="s">
        <v>1847</v>
      </c>
      <c r="H496" s="2">
        <v>800</v>
      </c>
      <c r="I496" s="4" t="s">
        <v>20</v>
      </c>
      <c r="J496" s="3" t="s">
        <v>722</v>
      </c>
      <c r="K496" s="2">
        <v>15</v>
      </c>
      <c r="L496" s="2">
        <v>10</v>
      </c>
      <c r="M496" s="5" t="s">
        <v>1848</v>
      </c>
      <c r="N496" s="3"/>
    </row>
    <row r="497" spans="1:14" ht="20.100000000000001" customHeight="1">
      <c r="A497" s="6" t="s">
        <v>14</v>
      </c>
      <c r="B497" s="7" t="s">
        <v>1814</v>
      </c>
      <c r="C497" s="7" t="s">
        <v>1849</v>
      </c>
      <c r="D497" s="6" t="s">
        <v>1850</v>
      </c>
      <c r="E497" s="6">
        <v>1294</v>
      </c>
      <c r="F497" s="6" t="s">
        <v>384</v>
      </c>
      <c r="G497" s="7" t="s">
        <v>1851</v>
      </c>
      <c r="H497" s="6">
        <v>1600</v>
      </c>
      <c r="I497" s="9" t="s">
        <v>172</v>
      </c>
      <c r="J497" s="7" t="s">
        <v>1852</v>
      </c>
      <c r="K497" s="6">
        <v>40</v>
      </c>
      <c r="L497" s="6">
        <v>35</v>
      </c>
      <c r="M497" s="8" t="s">
        <v>1853</v>
      </c>
      <c r="N497" s="7"/>
    </row>
    <row r="498" spans="1:14" ht="20.100000000000001" customHeight="1">
      <c r="A498" s="2" t="s">
        <v>14</v>
      </c>
      <c r="B498" s="3" t="s">
        <v>1814</v>
      </c>
      <c r="C498" s="3" t="s">
        <v>1849</v>
      </c>
      <c r="D498" s="2" t="s">
        <v>1854</v>
      </c>
      <c r="E498" s="2">
        <v>1353</v>
      </c>
      <c r="F498" s="2" t="s">
        <v>531</v>
      </c>
      <c r="G498" s="3" t="s">
        <v>1855</v>
      </c>
      <c r="H498" s="2">
        <v>1900</v>
      </c>
      <c r="I498" s="10" t="s">
        <v>386</v>
      </c>
      <c r="J498" s="3" t="s">
        <v>1856</v>
      </c>
      <c r="K498" s="2">
        <v>60</v>
      </c>
      <c r="L498" s="2">
        <v>55</v>
      </c>
      <c r="M498" s="5" t="s">
        <v>1857</v>
      </c>
      <c r="N498" s="3"/>
    </row>
    <row r="499" spans="1:14" ht="20.100000000000001" customHeight="1">
      <c r="A499" s="6" t="s">
        <v>14</v>
      </c>
      <c r="B499" s="7" t="s">
        <v>1814</v>
      </c>
      <c r="C499" s="7" t="s">
        <v>1849</v>
      </c>
      <c r="D499" s="6" t="s">
        <v>1858</v>
      </c>
      <c r="E499" s="6">
        <v>1393</v>
      </c>
      <c r="F499" s="6" t="s">
        <v>183</v>
      </c>
      <c r="G499" s="7" t="s">
        <v>1859</v>
      </c>
      <c r="H499" s="6">
        <v>1700</v>
      </c>
      <c r="I499" s="10" t="s">
        <v>418</v>
      </c>
      <c r="J499" s="7" t="s">
        <v>1860</v>
      </c>
      <c r="K499" s="6">
        <v>60</v>
      </c>
      <c r="L499" s="6">
        <v>55</v>
      </c>
      <c r="M499" s="8" t="s">
        <v>1861</v>
      </c>
      <c r="N499" s="7"/>
    </row>
    <row r="500" spans="1:14" ht="20.100000000000001" customHeight="1">
      <c r="A500" s="2" t="s">
        <v>14</v>
      </c>
      <c r="B500" s="3" t="s">
        <v>1814</v>
      </c>
      <c r="C500" s="3" t="s">
        <v>1849</v>
      </c>
      <c r="D500" s="2" t="s">
        <v>1862</v>
      </c>
      <c r="E500" s="2">
        <v>1438</v>
      </c>
      <c r="F500" s="2" t="s">
        <v>157</v>
      </c>
      <c r="G500" s="3" t="s">
        <v>1863</v>
      </c>
      <c r="H500" s="2">
        <v>1000</v>
      </c>
      <c r="I500" s="4" t="s">
        <v>43</v>
      </c>
      <c r="J500" s="3" t="s">
        <v>1864</v>
      </c>
      <c r="K500" s="2">
        <v>15</v>
      </c>
      <c r="L500" s="2">
        <v>10</v>
      </c>
      <c r="M500" s="5" t="s">
        <v>1865</v>
      </c>
      <c r="N500" s="3"/>
    </row>
    <row r="501" spans="1:14" ht="20.100000000000001" customHeight="1">
      <c r="A501" s="6" t="s">
        <v>14</v>
      </c>
      <c r="B501" s="7" t="s">
        <v>1814</v>
      </c>
      <c r="C501" s="7" t="s">
        <v>1849</v>
      </c>
      <c r="D501" s="6" t="s">
        <v>1866</v>
      </c>
      <c r="E501" s="6">
        <v>1469</v>
      </c>
      <c r="F501" s="6" t="s">
        <v>183</v>
      </c>
      <c r="G501" s="7" t="s">
        <v>1867</v>
      </c>
      <c r="H501" s="6">
        <v>1600</v>
      </c>
      <c r="I501" s="9" t="s">
        <v>172</v>
      </c>
      <c r="J501" s="7" t="s">
        <v>1868</v>
      </c>
      <c r="K501" s="6">
        <v>40</v>
      </c>
      <c r="L501" s="6">
        <v>35</v>
      </c>
      <c r="M501" s="8" t="s">
        <v>1869</v>
      </c>
      <c r="N501" s="7"/>
    </row>
    <row r="502" spans="1:14" ht="20.100000000000001" customHeight="1">
      <c r="A502" s="2" t="s">
        <v>14</v>
      </c>
      <c r="B502" s="3" t="s">
        <v>1814</v>
      </c>
      <c r="C502" s="3" t="s">
        <v>1849</v>
      </c>
      <c r="D502" s="2" t="s">
        <v>1870</v>
      </c>
      <c r="E502" s="2">
        <v>1512</v>
      </c>
      <c r="F502" s="2" t="s">
        <v>183</v>
      </c>
      <c r="G502" s="3" t="s">
        <v>1871</v>
      </c>
      <c r="H502" s="2">
        <v>1200</v>
      </c>
      <c r="I502" s="4" t="s">
        <v>43</v>
      </c>
      <c r="J502" s="3" t="s">
        <v>1872</v>
      </c>
      <c r="K502" s="2">
        <v>25</v>
      </c>
      <c r="L502" s="2">
        <v>20</v>
      </c>
      <c r="M502" s="5" t="s">
        <v>1873</v>
      </c>
      <c r="N502" s="3"/>
    </row>
    <row r="503" spans="1:14" ht="20.100000000000001" customHeight="1">
      <c r="A503" s="6" t="s">
        <v>14</v>
      </c>
      <c r="B503" s="7" t="s">
        <v>1814</v>
      </c>
      <c r="C503" s="7" t="s">
        <v>1849</v>
      </c>
      <c r="D503" s="6" t="s">
        <v>1874</v>
      </c>
      <c r="E503" s="6">
        <v>1547</v>
      </c>
      <c r="F503" s="6" t="s">
        <v>384</v>
      </c>
      <c r="G503" s="7" t="s">
        <v>1875</v>
      </c>
      <c r="H503" s="6">
        <v>1300</v>
      </c>
      <c r="I503" s="9" t="s">
        <v>163</v>
      </c>
      <c r="J503" s="7" t="s">
        <v>1876</v>
      </c>
      <c r="K503" s="6">
        <v>25</v>
      </c>
      <c r="L503" s="6">
        <v>20</v>
      </c>
      <c r="M503" s="8" t="s">
        <v>1877</v>
      </c>
      <c r="N503" s="7"/>
    </row>
    <row r="504" spans="1:14" ht="20.100000000000001" customHeight="1">
      <c r="A504" s="2" t="s">
        <v>14</v>
      </c>
      <c r="B504" s="3" t="s">
        <v>1814</v>
      </c>
      <c r="C504" s="3" t="s">
        <v>1849</v>
      </c>
      <c r="D504" s="2" t="s">
        <v>1878</v>
      </c>
      <c r="E504" s="2">
        <v>1574</v>
      </c>
      <c r="F504" s="2" t="s">
        <v>384</v>
      </c>
      <c r="G504" s="3" t="s">
        <v>1879</v>
      </c>
      <c r="H504" s="2">
        <v>2000</v>
      </c>
      <c r="I504" s="10" t="s">
        <v>386</v>
      </c>
      <c r="J504" s="3" t="s">
        <v>1880</v>
      </c>
      <c r="K504" s="2">
        <v>90</v>
      </c>
      <c r="L504" s="2">
        <v>80</v>
      </c>
      <c r="M504" s="5" t="s">
        <v>1881</v>
      </c>
      <c r="N504" s="3"/>
    </row>
    <row r="505" spans="1:14" ht="20.100000000000001" customHeight="1">
      <c r="A505" s="6" t="s">
        <v>14</v>
      </c>
      <c r="B505" s="7" t="s">
        <v>1814</v>
      </c>
      <c r="C505" s="7" t="s">
        <v>1882</v>
      </c>
      <c r="D505" s="6" t="s">
        <v>1883</v>
      </c>
      <c r="E505" s="6">
        <v>372</v>
      </c>
      <c r="F505" s="6" t="s">
        <v>183</v>
      </c>
      <c r="G505" s="7" t="s">
        <v>1884</v>
      </c>
      <c r="H505" s="6">
        <v>2100</v>
      </c>
      <c r="I505" s="12" t="s">
        <v>523</v>
      </c>
      <c r="J505" s="7" t="s">
        <v>1885</v>
      </c>
      <c r="K505" s="6">
        <v>90</v>
      </c>
      <c r="L505" s="6">
        <v>80</v>
      </c>
      <c r="M505" s="8" t="s">
        <v>1886</v>
      </c>
      <c r="N505" s="7"/>
    </row>
    <row r="506" spans="1:14" ht="20.100000000000001" customHeight="1">
      <c r="A506" s="2" t="s">
        <v>14</v>
      </c>
      <c r="B506" s="3" t="s">
        <v>1814</v>
      </c>
      <c r="C506" s="3" t="s">
        <v>1882</v>
      </c>
      <c r="D506" s="2" t="s">
        <v>1887</v>
      </c>
      <c r="E506" s="2">
        <v>445</v>
      </c>
      <c r="F506" s="2" t="s">
        <v>18</v>
      </c>
      <c r="G506" s="3" t="s">
        <v>1888</v>
      </c>
      <c r="H506" s="2">
        <v>1200</v>
      </c>
      <c r="I506" s="4" t="s">
        <v>43</v>
      </c>
      <c r="J506" s="3" t="s">
        <v>1889</v>
      </c>
      <c r="K506" s="2">
        <v>25</v>
      </c>
      <c r="L506" s="2">
        <v>20</v>
      </c>
      <c r="M506" s="5" t="s">
        <v>1890</v>
      </c>
      <c r="N506" s="3"/>
    </row>
    <row r="507" spans="1:14" ht="20.100000000000001" customHeight="1">
      <c r="A507" s="6" t="s">
        <v>14</v>
      </c>
      <c r="B507" s="7" t="s">
        <v>1814</v>
      </c>
      <c r="C507" s="7" t="s">
        <v>1882</v>
      </c>
      <c r="D507" s="6" t="s">
        <v>1891</v>
      </c>
      <c r="E507" s="6">
        <v>939</v>
      </c>
      <c r="F507" s="6" t="s">
        <v>635</v>
      </c>
      <c r="G507" s="7" t="s">
        <v>1892</v>
      </c>
      <c r="H507" s="6">
        <v>2400</v>
      </c>
      <c r="I507" s="12" t="s">
        <v>659</v>
      </c>
      <c r="J507" s="7" t="s">
        <v>159</v>
      </c>
      <c r="K507" s="6">
        <v>120</v>
      </c>
      <c r="L507" s="6">
        <v>110</v>
      </c>
      <c r="M507" s="8" t="s">
        <v>1893</v>
      </c>
      <c r="N507" s="7"/>
    </row>
    <row r="508" spans="1:14" ht="20.100000000000001" customHeight="1">
      <c r="A508" s="2" t="s">
        <v>14</v>
      </c>
      <c r="B508" s="3" t="s">
        <v>1814</v>
      </c>
      <c r="C508" s="3" t="s">
        <v>1882</v>
      </c>
      <c r="D508" s="2" t="s">
        <v>1894</v>
      </c>
      <c r="E508" s="2">
        <v>1077</v>
      </c>
      <c r="F508" s="2" t="s">
        <v>1895</v>
      </c>
      <c r="G508" s="3" t="s">
        <v>1896</v>
      </c>
      <c r="H508" s="2">
        <v>1900</v>
      </c>
      <c r="I508" s="10" t="s">
        <v>386</v>
      </c>
      <c r="J508" s="3" t="s">
        <v>641</v>
      </c>
      <c r="K508" s="2">
        <v>60</v>
      </c>
      <c r="L508" s="2">
        <v>55</v>
      </c>
      <c r="M508" s="5" t="s">
        <v>1897</v>
      </c>
      <c r="N508" s="3"/>
    </row>
    <row r="509" spans="1:14" ht="20.100000000000001" customHeight="1">
      <c r="A509" s="6" t="s">
        <v>14</v>
      </c>
      <c r="B509" s="7" t="s">
        <v>1814</v>
      </c>
      <c r="C509" s="7" t="s">
        <v>1882</v>
      </c>
      <c r="D509" s="6" t="s">
        <v>1898</v>
      </c>
      <c r="E509" s="6">
        <v>1077</v>
      </c>
      <c r="F509" s="6" t="s">
        <v>1899</v>
      </c>
      <c r="G509" s="7" t="s">
        <v>1900</v>
      </c>
      <c r="H509" s="6">
        <v>2100</v>
      </c>
      <c r="I509" s="12" t="s">
        <v>523</v>
      </c>
      <c r="J509" s="7" t="s">
        <v>159</v>
      </c>
      <c r="K509" s="6">
        <v>90</v>
      </c>
      <c r="L509" s="6">
        <v>80</v>
      </c>
      <c r="M509" s="8" t="s">
        <v>1901</v>
      </c>
      <c r="N509" s="7"/>
    </row>
    <row r="510" spans="1:14" ht="20.100000000000001" customHeight="1">
      <c r="A510" s="2" t="s">
        <v>14</v>
      </c>
      <c r="B510" s="3" t="s">
        <v>1814</v>
      </c>
      <c r="C510" s="3" t="s">
        <v>1882</v>
      </c>
      <c r="D510" s="2" t="s">
        <v>1902</v>
      </c>
      <c r="E510" s="2">
        <v>1485</v>
      </c>
      <c r="F510" s="2" t="s">
        <v>183</v>
      </c>
      <c r="G510" s="3" t="s">
        <v>1903</v>
      </c>
      <c r="H510" s="2">
        <v>1700</v>
      </c>
      <c r="I510" s="10" t="s">
        <v>418</v>
      </c>
      <c r="J510" s="3" t="s">
        <v>1904</v>
      </c>
      <c r="K510" s="2">
        <v>60</v>
      </c>
      <c r="L510" s="2">
        <v>55</v>
      </c>
      <c r="M510" s="5" t="s">
        <v>1905</v>
      </c>
      <c r="N510" s="3"/>
    </row>
    <row r="511" spans="1:14" ht="20.100000000000001" customHeight="1">
      <c r="A511" s="6" t="s">
        <v>14</v>
      </c>
      <c r="B511" s="7" t="s">
        <v>1814</v>
      </c>
      <c r="C511" s="7" t="s">
        <v>1906</v>
      </c>
      <c r="D511" s="6" t="s">
        <v>1907</v>
      </c>
      <c r="E511" s="6">
        <v>796</v>
      </c>
      <c r="F511" s="6" t="s">
        <v>384</v>
      </c>
      <c r="G511" s="7" t="s">
        <v>1908</v>
      </c>
      <c r="H511" s="6">
        <v>2100</v>
      </c>
      <c r="I511" s="12" t="s">
        <v>523</v>
      </c>
      <c r="J511" s="7" t="s">
        <v>1909</v>
      </c>
      <c r="K511" s="6">
        <v>90</v>
      </c>
      <c r="L511" s="6">
        <v>80</v>
      </c>
      <c r="M511" s="8" t="s">
        <v>1910</v>
      </c>
      <c r="N511" s="7"/>
    </row>
    <row r="512" spans="1:14" ht="20.100000000000001" customHeight="1">
      <c r="A512" s="2" t="s">
        <v>14</v>
      </c>
      <c r="B512" s="3" t="s">
        <v>1814</v>
      </c>
      <c r="C512" s="3" t="s">
        <v>1906</v>
      </c>
      <c r="D512" s="2" t="s">
        <v>1911</v>
      </c>
      <c r="E512" s="2">
        <v>877</v>
      </c>
      <c r="F512" s="2" t="s">
        <v>384</v>
      </c>
      <c r="G512" s="3" t="s">
        <v>1912</v>
      </c>
      <c r="H512" s="2">
        <v>2100</v>
      </c>
      <c r="I512" s="12" t="s">
        <v>523</v>
      </c>
      <c r="J512" s="3" t="s">
        <v>1913</v>
      </c>
      <c r="K512" s="2">
        <v>90</v>
      </c>
      <c r="L512" s="2">
        <v>80</v>
      </c>
      <c r="M512" s="5" t="s">
        <v>1914</v>
      </c>
      <c r="N512" s="3"/>
    </row>
    <row r="513" spans="1:14" ht="20.100000000000001" customHeight="1">
      <c r="A513" s="6" t="s">
        <v>14</v>
      </c>
      <c r="B513" s="7" t="s">
        <v>1814</v>
      </c>
      <c r="C513" s="7" t="s">
        <v>1906</v>
      </c>
      <c r="D513" s="6" t="s">
        <v>1915</v>
      </c>
      <c r="E513" s="6">
        <v>986</v>
      </c>
      <c r="F513" s="6" t="s">
        <v>18</v>
      </c>
      <c r="G513" s="7" t="s">
        <v>1916</v>
      </c>
      <c r="H513" s="6">
        <v>1600</v>
      </c>
      <c r="I513" s="9" t="s">
        <v>172</v>
      </c>
      <c r="J513" s="7" t="s">
        <v>1917</v>
      </c>
      <c r="K513" s="6">
        <v>40</v>
      </c>
      <c r="L513" s="6">
        <v>35</v>
      </c>
      <c r="M513" s="8" t="s">
        <v>1918</v>
      </c>
      <c r="N513" s="7"/>
    </row>
    <row r="514" spans="1:14" ht="20.100000000000001" customHeight="1">
      <c r="A514" s="2" t="s">
        <v>14</v>
      </c>
      <c r="B514" s="3" t="s">
        <v>1814</v>
      </c>
      <c r="C514" s="3" t="s">
        <v>1906</v>
      </c>
      <c r="D514" s="2" t="s">
        <v>1919</v>
      </c>
      <c r="E514" s="2">
        <v>1272</v>
      </c>
      <c r="F514" s="2" t="s">
        <v>531</v>
      </c>
      <c r="G514" s="3" t="s">
        <v>1920</v>
      </c>
      <c r="H514" s="2">
        <v>1900</v>
      </c>
      <c r="I514" s="10" t="s">
        <v>386</v>
      </c>
      <c r="J514" s="3" t="s">
        <v>1921</v>
      </c>
      <c r="K514" s="2">
        <v>60</v>
      </c>
      <c r="L514" s="2">
        <v>55</v>
      </c>
      <c r="M514" s="5" t="s">
        <v>1922</v>
      </c>
      <c r="N514" s="3"/>
    </row>
    <row r="515" spans="1:14" ht="20.100000000000001" customHeight="1">
      <c r="A515" s="6" t="s">
        <v>14</v>
      </c>
      <c r="B515" s="7" t="s">
        <v>1814</v>
      </c>
      <c r="C515" s="7" t="s">
        <v>1906</v>
      </c>
      <c r="D515" s="6" t="s">
        <v>1923</v>
      </c>
      <c r="E515" s="6">
        <v>1294</v>
      </c>
      <c r="F515" s="6" t="s">
        <v>635</v>
      </c>
      <c r="G515" s="7" t="s">
        <v>1924</v>
      </c>
      <c r="H515" s="6">
        <v>2000</v>
      </c>
      <c r="I515" s="10" t="s">
        <v>386</v>
      </c>
      <c r="J515" s="7" t="s">
        <v>1925</v>
      </c>
      <c r="K515" s="6">
        <v>90</v>
      </c>
      <c r="L515" s="6">
        <v>80</v>
      </c>
      <c r="M515" s="8" t="s">
        <v>1926</v>
      </c>
      <c r="N515" s="7"/>
    </row>
    <row r="516" spans="1:14" ht="20.100000000000001" customHeight="1">
      <c r="A516" s="2" t="s">
        <v>14</v>
      </c>
      <c r="B516" s="3" t="s">
        <v>1814</v>
      </c>
      <c r="C516" s="3" t="s">
        <v>1906</v>
      </c>
      <c r="D516" s="2" t="s">
        <v>1927</v>
      </c>
      <c r="E516" s="2">
        <v>1344</v>
      </c>
      <c r="F516" s="2" t="s">
        <v>157</v>
      </c>
      <c r="G516" s="3" t="s">
        <v>1928</v>
      </c>
      <c r="H516" s="2">
        <v>2000</v>
      </c>
      <c r="I516" s="10" t="s">
        <v>386</v>
      </c>
      <c r="J516" s="3" t="s">
        <v>1929</v>
      </c>
      <c r="K516" s="2">
        <v>90</v>
      </c>
      <c r="L516" s="2">
        <v>80</v>
      </c>
      <c r="M516" s="5" t="s">
        <v>1930</v>
      </c>
      <c r="N516" s="3"/>
    </row>
    <row r="517" spans="1:14" ht="20.100000000000001" customHeight="1">
      <c r="A517" s="6" t="s">
        <v>14</v>
      </c>
      <c r="B517" s="7" t="s">
        <v>1814</v>
      </c>
      <c r="C517" s="7" t="s">
        <v>1906</v>
      </c>
      <c r="D517" s="6" t="s">
        <v>1931</v>
      </c>
      <c r="E517" s="6">
        <v>1486</v>
      </c>
      <c r="F517" s="6" t="s">
        <v>531</v>
      </c>
      <c r="G517" s="7" t="s">
        <v>1932</v>
      </c>
      <c r="H517" s="6">
        <v>2200</v>
      </c>
      <c r="I517" s="12" t="s">
        <v>523</v>
      </c>
      <c r="J517" s="7" t="s">
        <v>1933</v>
      </c>
      <c r="K517" s="6">
        <v>90</v>
      </c>
      <c r="L517" s="6">
        <v>80</v>
      </c>
      <c r="M517" s="8" t="s">
        <v>1934</v>
      </c>
      <c r="N517" s="7"/>
    </row>
    <row r="518" spans="1:14" ht="20.100000000000001" customHeight="1">
      <c r="A518" s="2" t="s">
        <v>14</v>
      </c>
      <c r="B518" s="3" t="s">
        <v>1935</v>
      </c>
      <c r="C518" s="3" t="s">
        <v>1936</v>
      </c>
      <c r="D518" s="2" t="s">
        <v>1937</v>
      </c>
      <c r="E518" s="2">
        <v>722</v>
      </c>
      <c r="F518" s="2" t="s">
        <v>183</v>
      </c>
      <c r="G518" s="3" t="s">
        <v>1938</v>
      </c>
      <c r="H518" s="2">
        <v>1600</v>
      </c>
      <c r="I518" s="9" t="s">
        <v>172</v>
      </c>
      <c r="J518" s="3" t="s">
        <v>1939</v>
      </c>
      <c r="K518" s="2">
        <v>40</v>
      </c>
      <c r="L518" s="2">
        <v>35</v>
      </c>
      <c r="M518" s="5" t="s">
        <v>1940</v>
      </c>
      <c r="N518" s="3"/>
    </row>
    <row r="519" spans="1:14" ht="20.100000000000001" customHeight="1">
      <c r="A519" s="6" t="s">
        <v>14</v>
      </c>
      <c r="B519" s="7" t="s">
        <v>1935</v>
      </c>
      <c r="C519" s="7" t="s">
        <v>1936</v>
      </c>
      <c r="D519" s="6" t="s">
        <v>1941</v>
      </c>
      <c r="E519" s="6">
        <v>863</v>
      </c>
      <c r="F519" s="6" t="s">
        <v>384</v>
      </c>
      <c r="G519" s="7" t="s">
        <v>1942</v>
      </c>
      <c r="H519" s="6">
        <v>1800</v>
      </c>
      <c r="I519" s="10" t="s">
        <v>418</v>
      </c>
      <c r="J519" s="7" t="s">
        <v>628</v>
      </c>
      <c r="K519" s="6">
        <v>60</v>
      </c>
      <c r="L519" s="6">
        <v>55</v>
      </c>
      <c r="M519" s="8" t="s">
        <v>1943</v>
      </c>
      <c r="N519" s="7"/>
    </row>
    <row r="520" spans="1:14" ht="20.100000000000001" customHeight="1">
      <c r="A520" s="2" t="s">
        <v>14</v>
      </c>
      <c r="B520" s="3" t="s">
        <v>1935</v>
      </c>
      <c r="C520" s="3" t="s">
        <v>1936</v>
      </c>
      <c r="D520" s="2" t="s">
        <v>1944</v>
      </c>
      <c r="E520" s="2">
        <v>1008</v>
      </c>
      <c r="F520" s="2" t="s">
        <v>157</v>
      </c>
      <c r="G520" s="3" t="s">
        <v>1945</v>
      </c>
      <c r="H520" s="2">
        <v>1000</v>
      </c>
      <c r="I520" s="4" t="s">
        <v>43</v>
      </c>
      <c r="J520" s="3" t="s">
        <v>143</v>
      </c>
      <c r="K520" s="2">
        <v>15</v>
      </c>
      <c r="L520" s="2">
        <v>10</v>
      </c>
      <c r="M520" s="5" t="s">
        <v>1946</v>
      </c>
      <c r="N520" s="3"/>
    </row>
    <row r="521" spans="1:14" ht="20.100000000000001" customHeight="1">
      <c r="A521" s="6" t="s">
        <v>14</v>
      </c>
      <c r="B521" s="7" t="s">
        <v>1935</v>
      </c>
      <c r="C521" s="7" t="s">
        <v>1936</v>
      </c>
      <c r="D521" s="6" t="s">
        <v>1947</v>
      </c>
      <c r="E521" s="6">
        <v>1196</v>
      </c>
      <c r="F521" s="6" t="s">
        <v>18</v>
      </c>
      <c r="G521" s="7" t="s">
        <v>1948</v>
      </c>
      <c r="H521" s="6">
        <v>800</v>
      </c>
      <c r="I521" s="4" t="s">
        <v>20</v>
      </c>
      <c r="J521" s="7" t="s">
        <v>1949</v>
      </c>
      <c r="K521" s="6">
        <v>15</v>
      </c>
      <c r="L521" s="6">
        <v>10</v>
      </c>
      <c r="M521" s="8" t="s">
        <v>1950</v>
      </c>
      <c r="N521" s="7"/>
    </row>
    <row r="522" spans="1:14" ht="20.100000000000001" customHeight="1">
      <c r="A522" s="2" t="s">
        <v>14</v>
      </c>
      <c r="B522" s="3" t="s">
        <v>1935</v>
      </c>
      <c r="C522" s="3" t="s">
        <v>1936</v>
      </c>
      <c r="D522" s="2" t="s">
        <v>1951</v>
      </c>
      <c r="E522" s="2">
        <v>1234</v>
      </c>
      <c r="F522" s="2" t="s">
        <v>1952</v>
      </c>
      <c r="G522" s="3" t="s">
        <v>1953</v>
      </c>
      <c r="H522" s="2">
        <v>1000</v>
      </c>
      <c r="I522" s="4" t="s">
        <v>43</v>
      </c>
      <c r="J522" s="3" t="s">
        <v>21</v>
      </c>
      <c r="K522" s="2">
        <v>15</v>
      </c>
      <c r="L522" s="2">
        <v>10</v>
      </c>
      <c r="M522" s="5" t="s">
        <v>1954</v>
      </c>
      <c r="N522" s="3"/>
    </row>
    <row r="523" spans="1:14" ht="20.100000000000001" customHeight="1">
      <c r="A523" s="6" t="s">
        <v>14</v>
      </c>
      <c r="B523" s="7" t="s">
        <v>1935</v>
      </c>
      <c r="C523" s="7" t="s">
        <v>1936</v>
      </c>
      <c r="D523" s="6" t="s">
        <v>1955</v>
      </c>
      <c r="E523" s="6">
        <v>1234</v>
      </c>
      <c r="F523" s="6" t="s">
        <v>1649</v>
      </c>
      <c r="G523" s="7" t="s">
        <v>1956</v>
      </c>
      <c r="H523" s="6">
        <v>1300</v>
      </c>
      <c r="I523" s="9" t="s">
        <v>163</v>
      </c>
      <c r="J523" s="7" t="s">
        <v>628</v>
      </c>
      <c r="K523" s="6">
        <v>25</v>
      </c>
      <c r="L523" s="6">
        <v>20</v>
      </c>
      <c r="M523" s="8" t="s">
        <v>1957</v>
      </c>
      <c r="N523" s="7"/>
    </row>
    <row r="524" spans="1:14" ht="20.100000000000001" customHeight="1">
      <c r="A524" s="2" t="s">
        <v>14</v>
      </c>
      <c r="B524" s="3" t="s">
        <v>1935</v>
      </c>
      <c r="C524" s="3" t="s">
        <v>1936</v>
      </c>
      <c r="D524" s="2" t="s">
        <v>1958</v>
      </c>
      <c r="E524" s="2">
        <v>1293</v>
      </c>
      <c r="F524" s="2" t="s">
        <v>18</v>
      </c>
      <c r="G524" s="3" t="s">
        <v>1959</v>
      </c>
      <c r="H524" s="2">
        <v>1100</v>
      </c>
      <c r="I524" s="4" t="s">
        <v>43</v>
      </c>
      <c r="J524" s="3" t="s">
        <v>1960</v>
      </c>
      <c r="K524" s="2">
        <v>25</v>
      </c>
      <c r="L524" s="2">
        <v>20</v>
      </c>
      <c r="M524" s="5" t="s">
        <v>1961</v>
      </c>
      <c r="N524" s="3"/>
    </row>
    <row r="525" spans="1:14" ht="20.100000000000001" customHeight="1">
      <c r="A525" s="6" t="s">
        <v>14</v>
      </c>
      <c r="B525" s="7" t="s">
        <v>1935</v>
      </c>
      <c r="C525" s="7" t="s">
        <v>1936</v>
      </c>
      <c r="D525" s="6" t="s">
        <v>1962</v>
      </c>
      <c r="E525" s="6">
        <v>1360</v>
      </c>
      <c r="F525" s="6" t="s">
        <v>183</v>
      </c>
      <c r="G525" s="7" t="s">
        <v>1963</v>
      </c>
      <c r="H525" s="6">
        <v>1100</v>
      </c>
      <c r="I525" s="4" t="s">
        <v>43</v>
      </c>
      <c r="J525" s="7" t="s">
        <v>1964</v>
      </c>
      <c r="K525" s="6">
        <v>25</v>
      </c>
      <c r="L525" s="6">
        <v>20</v>
      </c>
      <c r="M525" s="8" t="s">
        <v>1965</v>
      </c>
      <c r="N525" s="7"/>
    </row>
    <row r="526" spans="1:14" ht="20.100000000000001" customHeight="1">
      <c r="A526" s="2" t="s">
        <v>14</v>
      </c>
      <c r="B526" s="3" t="s">
        <v>1935</v>
      </c>
      <c r="C526" s="3" t="s">
        <v>1936</v>
      </c>
      <c r="D526" s="2" t="s">
        <v>1966</v>
      </c>
      <c r="E526" s="2">
        <v>1409</v>
      </c>
      <c r="F526" s="2" t="s">
        <v>157</v>
      </c>
      <c r="G526" s="3" t="s">
        <v>1967</v>
      </c>
      <c r="H526" s="2">
        <v>1100</v>
      </c>
      <c r="I526" s="4" t="s">
        <v>43</v>
      </c>
      <c r="J526" s="3" t="s">
        <v>297</v>
      </c>
      <c r="K526" s="2">
        <v>25</v>
      </c>
      <c r="L526" s="2">
        <v>20</v>
      </c>
      <c r="M526" s="5" t="s">
        <v>1968</v>
      </c>
      <c r="N526" s="3"/>
    </row>
    <row r="527" spans="1:14" ht="20.100000000000001" customHeight="1">
      <c r="A527" s="6" t="s">
        <v>14</v>
      </c>
      <c r="B527" s="7" t="s">
        <v>1935</v>
      </c>
      <c r="C527" s="7" t="s">
        <v>1936</v>
      </c>
      <c r="D527" s="6" t="s">
        <v>1969</v>
      </c>
      <c r="E527" s="6">
        <v>1512</v>
      </c>
      <c r="F527" s="6" t="s">
        <v>157</v>
      </c>
      <c r="G527" s="7" t="s">
        <v>1970</v>
      </c>
      <c r="H527" s="6">
        <v>800</v>
      </c>
      <c r="I527" s="4" t="s">
        <v>20</v>
      </c>
      <c r="J527" s="7" t="s">
        <v>21</v>
      </c>
      <c r="K527" s="6">
        <v>15</v>
      </c>
      <c r="L527" s="6">
        <v>10</v>
      </c>
      <c r="M527" s="8" t="s">
        <v>1971</v>
      </c>
      <c r="N527" s="7"/>
    </row>
    <row r="528" spans="1:14" ht="20.100000000000001" customHeight="1">
      <c r="A528" s="2" t="s">
        <v>14</v>
      </c>
      <c r="B528" s="3" t="s">
        <v>1935</v>
      </c>
      <c r="C528" s="3" t="s">
        <v>1972</v>
      </c>
      <c r="D528" s="2" t="s">
        <v>1973</v>
      </c>
      <c r="E528" s="2">
        <v>659</v>
      </c>
      <c r="F528" s="2" t="s">
        <v>384</v>
      </c>
      <c r="G528" s="3" t="s">
        <v>1974</v>
      </c>
      <c r="H528" s="2">
        <v>1500</v>
      </c>
      <c r="I528" s="9" t="s">
        <v>172</v>
      </c>
      <c r="J528" s="3" t="s">
        <v>1975</v>
      </c>
      <c r="K528" s="2">
        <v>40</v>
      </c>
      <c r="L528" s="2">
        <v>35</v>
      </c>
      <c r="M528" s="5" t="s">
        <v>1976</v>
      </c>
      <c r="N528" s="3"/>
    </row>
    <row r="529" spans="1:14" ht="20.100000000000001" customHeight="1">
      <c r="A529" s="6" t="s">
        <v>14</v>
      </c>
      <c r="B529" s="7" t="s">
        <v>1935</v>
      </c>
      <c r="C529" s="7" t="s">
        <v>1972</v>
      </c>
      <c r="D529" s="6" t="s">
        <v>1977</v>
      </c>
      <c r="E529" s="6">
        <v>975</v>
      </c>
      <c r="F529" s="6" t="s">
        <v>183</v>
      </c>
      <c r="G529" s="7" t="s">
        <v>1978</v>
      </c>
      <c r="H529" s="6">
        <v>1400</v>
      </c>
      <c r="I529" s="9" t="s">
        <v>163</v>
      </c>
      <c r="J529" s="7" t="s">
        <v>849</v>
      </c>
      <c r="K529" s="6">
        <v>40</v>
      </c>
      <c r="L529" s="6">
        <v>35</v>
      </c>
      <c r="M529" s="8" t="s">
        <v>1979</v>
      </c>
      <c r="N529" s="7"/>
    </row>
    <row r="530" spans="1:14" ht="20.100000000000001" customHeight="1">
      <c r="A530" s="2" t="s">
        <v>14</v>
      </c>
      <c r="B530" s="3" t="s">
        <v>1935</v>
      </c>
      <c r="C530" s="3" t="s">
        <v>1972</v>
      </c>
      <c r="D530" s="2" t="s">
        <v>1980</v>
      </c>
      <c r="E530" s="2">
        <v>1237</v>
      </c>
      <c r="F530" s="2" t="s">
        <v>720</v>
      </c>
      <c r="G530" s="3" t="s">
        <v>1981</v>
      </c>
      <c r="H530" s="2">
        <v>1700</v>
      </c>
      <c r="I530" s="10" t="s">
        <v>418</v>
      </c>
      <c r="J530" s="3" t="s">
        <v>1982</v>
      </c>
      <c r="K530" s="2">
        <v>60</v>
      </c>
      <c r="L530" s="2">
        <v>55</v>
      </c>
      <c r="M530" s="5" t="s">
        <v>1983</v>
      </c>
      <c r="N530" s="3"/>
    </row>
    <row r="531" spans="1:14" ht="20.100000000000001" customHeight="1">
      <c r="A531" s="6" t="s">
        <v>14</v>
      </c>
      <c r="B531" s="7" t="s">
        <v>1935</v>
      </c>
      <c r="C531" s="7" t="s">
        <v>1972</v>
      </c>
      <c r="D531" s="6" t="s">
        <v>1984</v>
      </c>
      <c r="E531" s="6">
        <v>1237</v>
      </c>
      <c r="F531" s="6" t="s">
        <v>725</v>
      </c>
      <c r="G531" s="7" t="s">
        <v>1985</v>
      </c>
      <c r="H531" s="6">
        <v>1900</v>
      </c>
      <c r="I531" s="10" t="s">
        <v>386</v>
      </c>
      <c r="J531" s="7" t="s">
        <v>1986</v>
      </c>
      <c r="K531" s="6">
        <v>60</v>
      </c>
      <c r="L531" s="6">
        <v>55</v>
      </c>
      <c r="M531" s="8" t="s">
        <v>1987</v>
      </c>
      <c r="N531" s="7"/>
    </row>
    <row r="532" spans="1:14" ht="20.100000000000001" customHeight="1">
      <c r="A532" s="2" t="s">
        <v>14</v>
      </c>
      <c r="B532" s="3" t="s">
        <v>1935</v>
      </c>
      <c r="C532" s="3" t="s">
        <v>1972</v>
      </c>
      <c r="D532" s="2" t="s">
        <v>1988</v>
      </c>
      <c r="E532" s="2">
        <v>1352</v>
      </c>
      <c r="F532" s="2" t="s">
        <v>384</v>
      </c>
      <c r="G532" s="3" t="s">
        <v>1989</v>
      </c>
      <c r="H532" s="2">
        <v>1300</v>
      </c>
      <c r="I532" s="9" t="s">
        <v>163</v>
      </c>
      <c r="J532" s="3" t="s">
        <v>21</v>
      </c>
      <c r="K532" s="2">
        <v>25</v>
      </c>
      <c r="L532" s="2">
        <v>20</v>
      </c>
      <c r="M532" s="5" t="s">
        <v>1990</v>
      </c>
      <c r="N532" s="3"/>
    </row>
    <row r="533" spans="1:14" ht="20.100000000000001" customHeight="1">
      <c r="A533" s="6" t="s">
        <v>14</v>
      </c>
      <c r="B533" s="7" t="s">
        <v>1935</v>
      </c>
      <c r="C533" s="7" t="s">
        <v>1972</v>
      </c>
      <c r="D533" s="6" t="s">
        <v>1991</v>
      </c>
      <c r="E533" s="6">
        <v>1382</v>
      </c>
      <c r="F533" s="6" t="s">
        <v>157</v>
      </c>
      <c r="G533" s="7" t="s">
        <v>1992</v>
      </c>
      <c r="H533" s="6">
        <v>1100</v>
      </c>
      <c r="I533" s="4" t="s">
        <v>43</v>
      </c>
      <c r="J533" s="7" t="s">
        <v>1993</v>
      </c>
      <c r="K533" s="6">
        <v>25</v>
      </c>
      <c r="L533" s="6">
        <v>20</v>
      </c>
      <c r="M533" s="8" t="s">
        <v>1994</v>
      </c>
      <c r="N533" s="7"/>
    </row>
    <row r="534" spans="1:14" ht="20.100000000000001" customHeight="1">
      <c r="A534" s="2" t="s">
        <v>14</v>
      </c>
      <c r="B534" s="3" t="s">
        <v>1935</v>
      </c>
      <c r="C534" s="3" t="s">
        <v>1972</v>
      </c>
      <c r="D534" s="2" t="s">
        <v>1995</v>
      </c>
      <c r="E534" s="2">
        <v>1468</v>
      </c>
      <c r="F534" s="2" t="s">
        <v>1996</v>
      </c>
      <c r="G534" s="3" t="s">
        <v>1997</v>
      </c>
      <c r="H534" s="2">
        <v>1600</v>
      </c>
      <c r="I534" s="9" t="s">
        <v>172</v>
      </c>
      <c r="J534" s="3" t="s">
        <v>54</v>
      </c>
      <c r="K534" s="2">
        <v>40</v>
      </c>
      <c r="L534" s="2">
        <v>35</v>
      </c>
      <c r="M534" s="5" t="s">
        <v>1998</v>
      </c>
      <c r="N534" s="3"/>
    </row>
    <row r="535" spans="1:14" ht="20.100000000000001" customHeight="1">
      <c r="A535" s="6" t="s">
        <v>14</v>
      </c>
      <c r="B535" s="7" t="s">
        <v>1935</v>
      </c>
      <c r="C535" s="7" t="s">
        <v>1972</v>
      </c>
      <c r="D535" s="6" t="s">
        <v>1999</v>
      </c>
      <c r="E535" s="6">
        <v>1487</v>
      </c>
      <c r="F535" s="6" t="s">
        <v>157</v>
      </c>
      <c r="G535" s="7" t="s">
        <v>2000</v>
      </c>
      <c r="H535" s="6">
        <v>1200</v>
      </c>
      <c r="I535" s="4" t="s">
        <v>43</v>
      </c>
      <c r="J535" s="7" t="s">
        <v>1065</v>
      </c>
      <c r="K535" s="6">
        <v>25</v>
      </c>
      <c r="L535" s="6">
        <v>20</v>
      </c>
      <c r="M535" s="8" t="s">
        <v>2001</v>
      </c>
      <c r="N535" s="7"/>
    </row>
    <row r="536" spans="1:14" ht="20.100000000000001" customHeight="1">
      <c r="A536" s="2" t="s">
        <v>14</v>
      </c>
      <c r="B536" s="3" t="s">
        <v>1935</v>
      </c>
      <c r="C536" s="3" t="s">
        <v>1972</v>
      </c>
      <c r="D536" s="2" t="s">
        <v>2002</v>
      </c>
      <c r="E536" s="2">
        <v>1525</v>
      </c>
      <c r="F536" s="2" t="s">
        <v>157</v>
      </c>
      <c r="G536" s="3" t="s">
        <v>2003</v>
      </c>
      <c r="H536" s="2">
        <v>900</v>
      </c>
      <c r="I536" s="4" t="s">
        <v>20</v>
      </c>
      <c r="J536" s="3" t="s">
        <v>920</v>
      </c>
      <c r="K536" s="2">
        <v>15</v>
      </c>
      <c r="L536" s="2">
        <v>10</v>
      </c>
      <c r="M536" s="5" t="s">
        <v>2004</v>
      </c>
      <c r="N536" s="3"/>
    </row>
    <row r="537" spans="1:14" ht="20.100000000000001" customHeight="1">
      <c r="A537" s="6" t="s">
        <v>14</v>
      </c>
      <c r="B537" s="7" t="s">
        <v>1935</v>
      </c>
      <c r="C537" s="7" t="s">
        <v>2005</v>
      </c>
      <c r="D537" s="6" t="s">
        <v>2006</v>
      </c>
      <c r="E537" s="6">
        <v>1299</v>
      </c>
      <c r="F537" s="6" t="s">
        <v>183</v>
      </c>
      <c r="G537" s="7" t="s">
        <v>2007</v>
      </c>
      <c r="H537" s="6">
        <v>2100</v>
      </c>
      <c r="I537" s="12" t="s">
        <v>523</v>
      </c>
      <c r="J537" s="7" t="s">
        <v>2008</v>
      </c>
      <c r="K537" s="6">
        <v>90</v>
      </c>
      <c r="L537" s="6">
        <v>80</v>
      </c>
      <c r="M537" s="8" t="s">
        <v>2009</v>
      </c>
      <c r="N537" s="7"/>
    </row>
    <row r="538" spans="1:14" ht="20.100000000000001" customHeight="1">
      <c r="A538" s="2" t="s">
        <v>14</v>
      </c>
      <c r="B538" s="3" t="s">
        <v>1935</v>
      </c>
      <c r="C538" s="3" t="s">
        <v>2010</v>
      </c>
      <c r="D538" s="2" t="s">
        <v>2011</v>
      </c>
      <c r="E538" s="2">
        <v>61</v>
      </c>
      <c r="F538" s="2" t="s">
        <v>531</v>
      </c>
      <c r="G538" s="3" t="s">
        <v>2012</v>
      </c>
      <c r="H538" s="2">
        <v>1900</v>
      </c>
      <c r="I538" s="10" t="s">
        <v>386</v>
      </c>
      <c r="J538" s="3" t="s">
        <v>2013</v>
      </c>
      <c r="K538" s="2">
        <v>60</v>
      </c>
      <c r="L538" s="2">
        <v>55</v>
      </c>
      <c r="M538" s="5" t="s">
        <v>2014</v>
      </c>
      <c r="N538" s="3"/>
    </row>
    <row r="539" spans="1:14" ht="20.100000000000001" customHeight="1">
      <c r="A539" s="6" t="s">
        <v>14</v>
      </c>
      <c r="B539" s="7" t="s">
        <v>1935</v>
      </c>
      <c r="C539" s="7" t="s">
        <v>2010</v>
      </c>
      <c r="D539" s="6" t="s">
        <v>2015</v>
      </c>
      <c r="E539" s="6">
        <v>220</v>
      </c>
      <c r="F539" s="6" t="s">
        <v>157</v>
      </c>
      <c r="G539" s="7" t="s">
        <v>2016</v>
      </c>
      <c r="H539" s="6">
        <v>1800</v>
      </c>
      <c r="I539" s="10" t="s">
        <v>418</v>
      </c>
      <c r="J539" s="7" t="s">
        <v>2017</v>
      </c>
      <c r="K539" s="6">
        <v>60</v>
      </c>
      <c r="L539" s="6">
        <v>55</v>
      </c>
      <c r="M539" s="8" t="s">
        <v>2018</v>
      </c>
      <c r="N539" s="7"/>
    </row>
    <row r="540" spans="1:14" ht="20.100000000000001" customHeight="1">
      <c r="A540" s="2" t="s">
        <v>14</v>
      </c>
      <c r="B540" s="3" t="s">
        <v>1935</v>
      </c>
      <c r="C540" s="3" t="s">
        <v>2010</v>
      </c>
      <c r="D540" s="2" t="s">
        <v>2019</v>
      </c>
      <c r="E540" s="2">
        <v>652</v>
      </c>
      <c r="F540" s="2" t="s">
        <v>384</v>
      </c>
      <c r="G540" s="3" t="s">
        <v>2020</v>
      </c>
      <c r="H540" s="2">
        <v>1800</v>
      </c>
      <c r="I540" s="10" t="s">
        <v>418</v>
      </c>
      <c r="J540" s="3" t="s">
        <v>2021</v>
      </c>
      <c r="K540" s="2">
        <v>60</v>
      </c>
      <c r="L540" s="2">
        <v>55</v>
      </c>
      <c r="M540" s="5" t="s">
        <v>2022</v>
      </c>
      <c r="N540" s="3"/>
    </row>
    <row r="541" spans="1:14" ht="20.100000000000001" customHeight="1">
      <c r="A541" s="6" t="s">
        <v>14</v>
      </c>
      <c r="B541" s="7" t="s">
        <v>1935</v>
      </c>
      <c r="C541" s="7" t="s">
        <v>2010</v>
      </c>
      <c r="D541" s="6" t="s">
        <v>2023</v>
      </c>
      <c r="E541" s="6">
        <v>847</v>
      </c>
      <c r="F541" s="6" t="s">
        <v>531</v>
      </c>
      <c r="G541" s="7" t="s">
        <v>2024</v>
      </c>
      <c r="H541" s="6">
        <v>1800</v>
      </c>
      <c r="I541" s="10" t="s">
        <v>418</v>
      </c>
      <c r="J541" s="7" t="s">
        <v>2025</v>
      </c>
      <c r="K541" s="6">
        <v>60</v>
      </c>
      <c r="L541" s="6">
        <v>55</v>
      </c>
      <c r="M541" s="8" t="s">
        <v>2026</v>
      </c>
      <c r="N541" s="7"/>
    </row>
    <row r="542" spans="1:14" ht="20.100000000000001" customHeight="1">
      <c r="A542" s="2" t="s">
        <v>14</v>
      </c>
      <c r="B542" s="3" t="s">
        <v>1935</v>
      </c>
      <c r="C542" s="3" t="s">
        <v>2010</v>
      </c>
      <c r="D542" s="2" t="s">
        <v>2027</v>
      </c>
      <c r="E542" s="2">
        <v>1354</v>
      </c>
      <c r="F542" s="2" t="s">
        <v>384</v>
      </c>
      <c r="G542" s="3" t="s">
        <v>2028</v>
      </c>
      <c r="H542" s="2">
        <v>1900</v>
      </c>
      <c r="I542" s="10" t="s">
        <v>386</v>
      </c>
      <c r="J542" s="3" t="s">
        <v>1715</v>
      </c>
      <c r="K542" s="2">
        <v>60</v>
      </c>
      <c r="L542" s="2">
        <v>55</v>
      </c>
      <c r="M542" s="5" t="s">
        <v>2029</v>
      </c>
      <c r="N542" s="3"/>
    </row>
    <row r="543" spans="1:14" ht="20.100000000000001" customHeight="1">
      <c r="A543" s="6" t="s">
        <v>14</v>
      </c>
      <c r="B543" s="7" t="s">
        <v>1935</v>
      </c>
      <c r="C543" s="7" t="s">
        <v>2010</v>
      </c>
      <c r="D543" s="6" t="s">
        <v>2030</v>
      </c>
      <c r="E543" s="6">
        <v>1430</v>
      </c>
      <c r="F543" s="6" t="s">
        <v>635</v>
      </c>
      <c r="G543" s="7" t="s">
        <v>2031</v>
      </c>
      <c r="H543" s="6">
        <v>2600</v>
      </c>
      <c r="I543" s="12" t="s">
        <v>659</v>
      </c>
      <c r="J543" s="7" t="s">
        <v>101</v>
      </c>
      <c r="K543" s="6">
        <v>180</v>
      </c>
      <c r="L543" s="6">
        <v>150</v>
      </c>
      <c r="M543" s="8" t="s">
        <v>2032</v>
      </c>
      <c r="N543" s="7"/>
    </row>
    <row r="544" spans="1:14" ht="20.100000000000001" customHeight="1">
      <c r="A544" s="2" t="s">
        <v>14</v>
      </c>
      <c r="B544" s="3" t="s">
        <v>1935</v>
      </c>
      <c r="C544" s="3" t="s">
        <v>2010</v>
      </c>
      <c r="D544" s="2" t="s">
        <v>2033</v>
      </c>
      <c r="E544" s="2">
        <v>1579</v>
      </c>
      <c r="F544" s="2" t="s">
        <v>652</v>
      </c>
      <c r="G544" s="3" t="s">
        <v>2034</v>
      </c>
      <c r="H544" s="2">
        <v>1000</v>
      </c>
      <c r="I544" s="4" t="s">
        <v>43</v>
      </c>
      <c r="J544" s="3" t="s">
        <v>342</v>
      </c>
      <c r="K544" s="2">
        <v>15</v>
      </c>
      <c r="L544" s="2">
        <v>10</v>
      </c>
      <c r="M544" s="5" t="s">
        <v>2035</v>
      </c>
      <c r="N544" s="3"/>
    </row>
    <row r="545" spans="1:14" ht="20.100000000000001" customHeight="1">
      <c r="A545" s="6" t="s">
        <v>14</v>
      </c>
      <c r="B545" s="7" t="s">
        <v>1935</v>
      </c>
      <c r="C545" s="7" t="s">
        <v>2010</v>
      </c>
      <c r="D545" s="6" t="s">
        <v>2036</v>
      </c>
      <c r="E545" s="6">
        <v>1579</v>
      </c>
      <c r="F545" s="6" t="s">
        <v>657</v>
      </c>
      <c r="G545" s="7" t="s">
        <v>2037</v>
      </c>
      <c r="H545" s="6">
        <v>1700</v>
      </c>
      <c r="I545" s="10" t="s">
        <v>418</v>
      </c>
      <c r="J545" s="7" t="s">
        <v>1000</v>
      </c>
      <c r="K545" s="6">
        <v>60</v>
      </c>
      <c r="L545" s="6">
        <v>55</v>
      </c>
      <c r="M545" s="8" t="s">
        <v>2038</v>
      </c>
      <c r="N545" s="7"/>
    </row>
    <row r="546" spans="1:14" ht="20.100000000000001" customHeight="1">
      <c r="A546" s="2" t="s">
        <v>14</v>
      </c>
      <c r="B546" s="3" t="s">
        <v>2039</v>
      </c>
      <c r="C546" s="3" t="s">
        <v>2040</v>
      </c>
      <c r="D546" s="2" t="s">
        <v>2041</v>
      </c>
      <c r="E546" s="2">
        <v>219</v>
      </c>
      <c r="F546" s="2" t="s">
        <v>384</v>
      </c>
      <c r="G546" s="3" t="s">
        <v>2042</v>
      </c>
      <c r="H546" s="2">
        <v>1700</v>
      </c>
      <c r="I546" s="10" t="s">
        <v>418</v>
      </c>
      <c r="J546" s="3" t="s">
        <v>2043</v>
      </c>
      <c r="K546" s="2">
        <v>60</v>
      </c>
      <c r="L546" s="2">
        <v>55</v>
      </c>
      <c r="M546" s="5" t="s">
        <v>2044</v>
      </c>
      <c r="N546" s="3"/>
    </row>
    <row r="547" spans="1:14" ht="20.100000000000001" customHeight="1">
      <c r="A547" s="6" t="s">
        <v>14</v>
      </c>
      <c r="B547" s="7" t="s">
        <v>2039</v>
      </c>
      <c r="C547" s="7" t="s">
        <v>2040</v>
      </c>
      <c r="D547" s="6" t="s">
        <v>2045</v>
      </c>
      <c r="E547" s="6">
        <v>337</v>
      </c>
      <c r="F547" s="6" t="s">
        <v>18</v>
      </c>
      <c r="G547" s="7" t="s">
        <v>2046</v>
      </c>
      <c r="H547" s="6">
        <v>900</v>
      </c>
      <c r="I547" s="4" t="s">
        <v>20</v>
      </c>
      <c r="J547" s="7" t="s">
        <v>722</v>
      </c>
      <c r="K547" s="6">
        <v>15</v>
      </c>
      <c r="L547" s="6">
        <v>10</v>
      </c>
      <c r="M547" s="8" t="s">
        <v>2047</v>
      </c>
      <c r="N547" s="7"/>
    </row>
    <row r="548" spans="1:14" ht="20.100000000000001" customHeight="1">
      <c r="A548" s="2" t="s">
        <v>14</v>
      </c>
      <c r="B548" s="3" t="s">
        <v>2039</v>
      </c>
      <c r="C548" s="3" t="s">
        <v>2040</v>
      </c>
      <c r="D548" s="2" t="s">
        <v>2048</v>
      </c>
      <c r="E548" s="2">
        <v>337</v>
      </c>
      <c r="F548" s="2" t="s">
        <v>384</v>
      </c>
      <c r="G548" s="3" t="s">
        <v>2049</v>
      </c>
      <c r="H548" s="2">
        <v>2000</v>
      </c>
      <c r="I548" s="10" t="s">
        <v>386</v>
      </c>
      <c r="J548" s="3" t="s">
        <v>2050</v>
      </c>
      <c r="K548" s="2">
        <v>90</v>
      </c>
      <c r="L548" s="2">
        <v>80</v>
      </c>
      <c r="M548" s="5" t="s">
        <v>2051</v>
      </c>
      <c r="N548" s="3"/>
    </row>
    <row r="549" spans="1:14" ht="20.100000000000001" customHeight="1">
      <c r="A549" s="6" t="s">
        <v>14</v>
      </c>
      <c r="B549" s="7" t="s">
        <v>2039</v>
      </c>
      <c r="C549" s="7" t="s">
        <v>2040</v>
      </c>
      <c r="D549" s="6" t="s">
        <v>2052</v>
      </c>
      <c r="E549" s="6">
        <v>545</v>
      </c>
      <c r="F549" s="6" t="s">
        <v>183</v>
      </c>
      <c r="G549" s="7" t="s">
        <v>2053</v>
      </c>
      <c r="H549" s="6">
        <v>1500</v>
      </c>
      <c r="I549" s="9" t="s">
        <v>172</v>
      </c>
      <c r="J549" s="7" t="s">
        <v>101</v>
      </c>
      <c r="K549" s="6">
        <v>40</v>
      </c>
      <c r="L549" s="6">
        <v>35</v>
      </c>
      <c r="M549" s="8" t="s">
        <v>2054</v>
      </c>
      <c r="N549" s="7"/>
    </row>
    <row r="550" spans="1:14" ht="20.100000000000001" customHeight="1">
      <c r="A550" s="2" t="s">
        <v>14</v>
      </c>
      <c r="B550" s="3" t="s">
        <v>2039</v>
      </c>
      <c r="C550" s="3" t="s">
        <v>2040</v>
      </c>
      <c r="D550" s="2" t="s">
        <v>2055</v>
      </c>
      <c r="E550" s="2">
        <v>763</v>
      </c>
      <c r="F550" s="2" t="s">
        <v>18</v>
      </c>
      <c r="G550" s="3" t="s">
        <v>2056</v>
      </c>
      <c r="H550" s="2">
        <v>1600</v>
      </c>
      <c r="I550" s="9" t="s">
        <v>172</v>
      </c>
      <c r="J550" s="3" t="s">
        <v>2057</v>
      </c>
      <c r="K550" s="2">
        <v>40</v>
      </c>
      <c r="L550" s="2">
        <v>35</v>
      </c>
      <c r="M550" s="5" t="s">
        <v>2058</v>
      </c>
      <c r="N550" s="3"/>
    </row>
    <row r="551" spans="1:14" ht="20.100000000000001" customHeight="1">
      <c r="A551" s="6" t="s">
        <v>14</v>
      </c>
      <c r="B551" s="7" t="s">
        <v>2039</v>
      </c>
      <c r="C551" s="7" t="s">
        <v>2040</v>
      </c>
      <c r="D551" s="6" t="s">
        <v>2059</v>
      </c>
      <c r="E551" s="6">
        <v>893</v>
      </c>
      <c r="F551" s="6" t="s">
        <v>183</v>
      </c>
      <c r="G551" s="7" t="s">
        <v>2060</v>
      </c>
      <c r="H551" s="6">
        <v>1300</v>
      </c>
      <c r="I551" s="9" t="s">
        <v>163</v>
      </c>
      <c r="J551" s="7" t="s">
        <v>2061</v>
      </c>
      <c r="K551" s="6">
        <v>25</v>
      </c>
      <c r="L551" s="6">
        <v>20</v>
      </c>
      <c r="M551" s="8" t="s">
        <v>2062</v>
      </c>
      <c r="N551" s="7"/>
    </row>
    <row r="552" spans="1:14" ht="20.100000000000001" customHeight="1">
      <c r="A552" s="2" t="s">
        <v>14</v>
      </c>
      <c r="B552" s="3" t="s">
        <v>2039</v>
      </c>
      <c r="C552" s="3" t="s">
        <v>2040</v>
      </c>
      <c r="D552" s="2" t="s">
        <v>2063</v>
      </c>
      <c r="E552" s="2">
        <v>920</v>
      </c>
      <c r="F552" s="2" t="s">
        <v>531</v>
      </c>
      <c r="G552" s="3" t="s">
        <v>2064</v>
      </c>
      <c r="H552" s="2">
        <v>2100</v>
      </c>
      <c r="I552" s="12" t="s">
        <v>523</v>
      </c>
      <c r="J552" s="3" t="s">
        <v>2065</v>
      </c>
      <c r="K552" s="2">
        <v>90</v>
      </c>
      <c r="L552" s="2">
        <v>80</v>
      </c>
      <c r="M552" s="5" t="s">
        <v>2066</v>
      </c>
      <c r="N552" s="3"/>
    </row>
    <row r="553" spans="1:14" ht="20.100000000000001" customHeight="1">
      <c r="A553" s="6" t="s">
        <v>14</v>
      </c>
      <c r="B553" s="7" t="s">
        <v>2039</v>
      </c>
      <c r="C553" s="7" t="s">
        <v>2040</v>
      </c>
      <c r="D553" s="6" t="s">
        <v>2067</v>
      </c>
      <c r="E553" s="6">
        <v>987</v>
      </c>
      <c r="F553" s="6" t="s">
        <v>384</v>
      </c>
      <c r="G553" s="7" t="s">
        <v>185</v>
      </c>
      <c r="H553" s="6" t="s">
        <v>185</v>
      </c>
      <c r="I553" s="11" t="s">
        <v>185</v>
      </c>
      <c r="J553" s="7" t="s">
        <v>185</v>
      </c>
      <c r="K553" s="6">
        <v>0</v>
      </c>
      <c r="L553" s="6">
        <v>0</v>
      </c>
      <c r="M553" s="8" t="s">
        <v>2068</v>
      </c>
      <c r="N553" s="7"/>
    </row>
    <row r="554" spans="1:14" ht="20.100000000000001" customHeight="1">
      <c r="A554" s="2" t="s">
        <v>14</v>
      </c>
      <c r="B554" s="3" t="s">
        <v>2039</v>
      </c>
      <c r="C554" s="3" t="s">
        <v>2040</v>
      </c>
      <c r="D554" s="2" t="s">
        <v>2069</v>
      </c>
      <c r="E554" s="2">
        <v>1029</v>
      </c>
      <c r="F554" s="2" t="s">
        <v>531</v>
      </c>
      <c r="G554" s="3" t="s">
        <v>2070</v>
      </c>
      <c r="H554" s="2">
        <v>2100</v>
      </c>
      <c r="I554" s="12" t="s">
        <v>523</v>
      </c>
      <c r="J554" s="3" t="s">
        <v>2071</v>
      </c>
      <c r="K554" s="2">
        <v>90</v>
      </c>
      <c r="L554" s="2">
        <v>80</v>
      </c>
      <c r="M554" s="5" t="s">
        <v>2072</v>
      </c>
      <c r="N554" s="3"/>
    </row>
    <row r="555" spans="1:14" ht="20.100000000000001" customHeight="1">
      <c r="A555" s="6" t="s">
        <v>14</v>
      </c>
      <c r="B555" s="7" t="s">
        <v>2039</v>
      </c>
      <c r="C555" s="7" t="s">
        <v>2040</v>
      </c>
      <c r="D555" s="6" t="s">
        <v>2073</v>
      </c>
      <c r="E555" s="6">
        <v>1118</v>
      </c>
      <c r="F555" s="6" t="s">
        <v>1895</v>
      </c>
      <c r="G555" s="7" t="s">
        <v>2074</v>
      </c>
      <c r="H555" s="6">
        <v>1800</v>
      </c>
      <c r="I555" s="10" t="s">
        <v>418</v>
      </c>
      <c r="J555" s="7" t="s">
        <v>1285</v>
      </c>
      <c r="K555" s="6">
        <v>60</v>
      </c>
      <c r="L555" s="6">
        <v>55</v>
      </c>
      <c r="M555" s="8" t="s">
        <v>2075</v>
      </c>
      <c r="N555" s="7"/>
    </row>
    <row r="556" spans="1:14" ht="20.100000000000001" customHeight="1">
      <c r="A556" s="2" t="s">
        <v>14</v>
      </c>
      <c r="B556" s="3" t="s">
        <v>2039</v>
      </c>
      <c r="C556" s="3" t="s">
        <v>2040</v>
      </c>
      <c r="D556" s="2" t="s">
        <v>2076</v>
      </c>
      <c r="E556" s="2">
        <v>1139</v>
      </c>
      <c r="F556" s="2" t="s">
        <v>183</v>
      </c>
      <c r="G556" s="3" t="s">
        <v>2077</v>
      </c>
      <c r="H556" s="2">
        <v>1500</v>
      </c>
      <c r="I556" s="9" t="s">
        <v>172</v>
      </c>
      <c r="J556" s="3" t="s">
        <v>2078</v>
      </c>
      <c r="K556" s="2">
        <v>40</v>
      </c>
      <c r="L556" s="2">
        <v>35</v>
      </c>
      <c r="M556" s="5" t="s">
        <v>2079</v>
      </c>
      <c r="N556" s="3"/>
    </row>
    <row r="557" spans="1:14" ht="20.100000000000001" customHeight="1">
      <c r="A557" s="6" t="s">
        <v>14</v>
      </c>
      <c r="B557" s="7" t="s">
        <v>2039</v>
      </c>
      <c r="C557" s="7" t="s">
        <v>2040</v>
      </c>
      <c r="D557" s="6" t="s">
        <v>2080</v>
      </c>
      <c r="E557" s="6">
        <v>1187</v>
      </c>
      <c r="F557" s="6" t="s">
        <v>531</v>
      </c>
      <c r="G557" s="7" t="s">
        <v>2081</v>
      </c>
      <c r="H557" s="6">
        <v>2100</v>
      </c>
      <c r="I557" s="12" t="s">
        <v>523</v>
      </c>
      <c r="J557" s="7" t="s">
        <v>2082</v>
      </c>
      <c r="K557" s="6">
        <v>90</v>
      </c>
      <c r="L557" s="6">
        <v>80</v>
      </c>
      <c r="M557" s="8" t="s">
        <v>2083</v>
      </c>
      <c r="N557" s="7"/>
    </row>
    <row r="558" spans="1:14" ht="20.100000000000001" customHeight="1">
      <c r="A558" s="2" t="s">
        <v>14</v>
      </c>
      <c r="B558" s="3" t="s">
        <v>2039</v>
      </c>
      <c r="C558" s="3" t="s">
        <v>2084</v>
      </c>
      <c r="D558" s="2" t="s">
        <v>2085</v>
      </c>
      <c r="E558" s="2">
        <v>682</v>
      </c>
      <c r="F558" s="2" t="s">
        <v>183</v>
      </c>
      <c r="G558" s="3" t="s">
        <v>2086</v>
      </c>
      <c r="H558" s="2">
        <v>1600</v>
      </c>
      <c r="I558" s="9" t="s">
        <v>172</v>
      </c>
      <c r="J558" s="3" t="s">
        <v>2043</v>
      </c>
      <c r="K558" s="2">
        <v>40</v>
      </c>
      <c r="L558" s="2">
        <v>35</v>
      </c>
      <c r="M558" s="5" t="s">
        <v>2087</v>
      </c>
      <c r="N558" s="3"/>
    </row>
    <row r="559" spans="1:14" ht="20.100000000000001" customHeight="1">
      <c r="A559" s="6" t="s">
        <v>14</v>
      </c>
      <c r="B559" s="7" t="s">
        <v>2039</v>
      </c>
      <c r="C559" s="7" t="s">
        <v>2084</v>
      </c>
      <c r="D559" s="6" t="s">
        <v>2088</v>
      </c>
      <c r="E559" s="6">
        <v>734</v>
      </c>
      <c r="F559" s="6" t="s">
        <v>531</v>
      </c>
      <c r="G559" s="7" t="s">
        <v>2089</v>
      </c>
      <c r="H559" s="6">
        <v>2100</v>
      </c>
      <c r="I559" s="12" t="s">
        <v>523</v>
      </c>
      <c r="J559" s="7" t="s">
        <v>2082</v>
      </c>
      <c r="K559" s="6">
        <v>90</v>
      </c>
      <c r="L559" s="6">
        <v>80</v>
      </c>
      <c r="M559" s="8" t="s">
        <v>2090</v>
      </c>
      <c r="N559" s="7"/>
    </row>
    <row r="560" spans="1:14" ht="20.100000000000001" customHeight="1">
      <c r="A560" s="2" t="s">
        <v>14</v>
      </c>
      <c r="B560" s="3" t="s">
        <v>2039</v>
      </c>
      <c r="C560" s="3" t="s">
        <v>2084</v>
      </c>
      <c r="D560" s="2" t="s">
        <v>2091</v>
      </c>
      <c r="E560" s="2">
        <v>980</v>
      </c>
      <c r="F560" s="2" t="s">
        <v>531</v>
      </c>
      <c r="G560" s="3" t="s">
        <v>2092</v>
      </c>
      <c r="H560" s="2">
        <v>2200</v>
      </c>
      <c r="I560" s="12" t="s">
        <v>523</v>
      </c>
      <c r="J560" s="3" t="s">
        <v>2093</v>
      </c>
      <c r="K560" s="2">
        <v>90</v>
      </c>
      <c r="L560" s="2">
        <v>80</v>
      </c>
      <c r="M560" s="5" t="s">
        <v>2094</v>
      </c>
      <c r="N560" s="3"/>
    </row>
    <row r="561" spans="1:14" ht="20.100000000000001" customHeight="1">
      <c r="A561" s="6" t="s">
        <v>14</v>
      </c>
      <c r="B561" s="7" t="s">
        <v>2039</v>
      </c>
      <c r="C561" s="7" t="s">
        <v>2084</v>
      </c>
      <c r="D561" s="6" t="s">
        <v>2095</v>
      </c>
      <c r="E561" s="6">
        <v>1286</v>
      </c>
      <c r="F561" s="6" t="s">
        <v>157</v>
      </c>
      <c r="G561" s="7" t="s">
        <v>2096</v>
      </c>
      <c r="H561" s="6">
        <v>1800</v>
      </c>
      <c r="I561" s="10" t="s">
        <v>418</v>
      </c>
      <c r="J561" s="7" t="s">
        <v>2097</v>
      </c>
      <c r="K561" s="6">
        <v>60</v>
      </c>
      <c r="L561" s="6">
        <v>55</v>
      </c>
      <c r="M561" s="8" t="s">
        <v>2098</v>
      </c>
      <c r="N561" s="7"/>
    </row>
    <row r="562" spans="1:14" ht="20.100000000000001" customHeight="1">
      <c r="A562" s="2" t="s">
        <v>14</v>
      </c>
      <c r="B562" s="3" t="s">
        <v>2039</v>
      </c>
      <c r="C562" s="3" t="s">
        <v>2084</v>
      </c>
      <c r="D562" s="2" t="s">
        <v>2099</v>
      </c>
      <c r="E562" s="2">
        <v>1328</v>
      </c>
      <c r="F562" s="2" t="s">
        <v>531</v>
      </c>
      <c r="G562" s="3" t="s">
        <v>2100</v>
      </c>
      <c r="H562" s="2">
        <v>1900</v>
      </c>
      <c r="I562" s="10" t="s">
        <v>386</v>
      </c>
      <c r="J562" s="3" t="s">
        <v>1627</v>
      </c>
      <c r="K562" s="2">
        <v>60</v>
      </c>
      <c r="L562" s="2">
        <v>55</v>
      </c>
      <c r="M562" s="5" t="s">
        <v>2101</v>
      </c>
      <c r="N562" s="3"/>
    </row>
    <row r="563" spans="1:14" ht="20.100000000000001" customHeight="1">
      <c r="A563" s="6" t="s">
        <v>14</v>
      </c>
      <c r="B563" s="7" t="s">
        <v>2039</v>
      </c>
      <c r="C563" s="7" t="s">
        <v>2084</v>
      </c>
      <c r="D563" s="6" t="s">
        <v>2102</v>
      </c>
      <c r="E563" s="6">
        <v>1363</v>
      </c>
      <c r="F563" s="6" t="s">
        <v>531</v>
      </c>
      <c r="G563" s="7" t="s">
        <v>2103</v>
      </c>
      <c r="H563" s="6">
        <v>2000</v>
      </c>
      <c r="I563" s="10" t="s">
        <v>386</v>
      </c>
      <c r="J563" s="7" t="s">
        <v>1925</v>
      </c>
      <c r="K563" s="6">
        <v>90</v>
      </c>
      <c r="L563" s="6">
        <v>80</v>
      </c>
      <c r="M563" s="8" t="s">
        <v>2104</v>
      </c>
      <c r="N563" s="7"/>
    </row>
    <row r="564" spans="1:14" ht="20.100000000000001" customHeight="1">
      <c r="A564" s="2" t="s">
        <v>14</v>
      </c>
      <c r="B564" s="3" t="s">
        <v>2039</v>
      </c>
      <c r="C564" s="3" t="s">
        <v>2084</v>
      </c>
      <c r="D564" s="2" t="s">
        <v>2105</v>
      </c>
      <c r="E564" s="2">
        <v>1385</v>
      </c>
      <c r="F564" s="2" t="s">
        <v>635</v>
      </c>
      <c r="G564" s="3" t="s">
        <v>2106</v>
      </c>
      <c r="H564" s="2">
        <v>2300</v>
      </c>
      <c r="I564" s="12" t="s">
        <v>523</v>
      </c>
      <c r="J564" s="3" t="s">
        <v>2107</v>
      </c>
      <c r="K564" s="2">
        <v>120</v>
      </c>
      <c r="L564" s="2">
        <v>110</v>
      </c>
      <c r="M564" s="5" t="s">
        <v>2108</v>
      </c>
      <c r="N564" s="3"/>
    </row>
    <row r="565" spans="1:14" ht="20.100000000000001" customHeight="1">
      <c r="A565" s="6" t="s">
        <v>14</v>
      </c>
      <c r="B565" s="7" t="s">
        <v>2039</v>
      </c>
      <c r="C565" s="7" t="s">
        <v>2109</v>
      </c>
      <c r="D565" s="6" t="s">
        <v>2110</v>
      </c>
      <c r="E565" s="6">
        <v>274</v>
      </c>
      <c r="F565" s="6" t="s">
        <v>157</v>
      </c>
      <c r="G565" s="7" t="s">
        <v>2111</v>
      </c>
      <c r="H565" s="6">
        <v>1800</v>
      </c>
      <c r="I565" s="10" t="s">
        <v>418</v>
      </c>
      <c r="J565" s="7" t="s">
        <v>1925</v>
      </c>
      <c r="K565" s="6">
        <v>60</v>
      </c>
      <c r="L565" s="6">
        <v>55</v>
      </c>
      <c r="M565" s="8" t="s">
        <v>2112</v>
      </c>
      <c r="N565" s="7"/>
    </row>
    <row r="566" spans="1:14" ht="20.100000000000001" customHeight="1">
      <c r="A566" s="2" t="s">
        <v>14</v>
      </c>
      <c r="B566" s="3" t="s">
        <v>2039</v>
      </c>
      <c r="C566" s="3" t="s">
        <v>2109</v>
      </c>
      <c r="D566" s="2" t="s">
        <v>2113</v>
      </c>
      <c r="E566" s="2">
        <v>543</v>
      </c>
      <c r="F566" s="2" t="s">
        <v>384</v>
      </c>
      <c r="G566" s="3" t="s">
        <v>2114</v>
      </c>
      <c r="H566" s="2">
        <v>2300</v>
      </c>
      <c r="I566" s="12" t="s">
        <v>523</v>
      </c>
      <c r="J566" s="3" t="s">
        <v>2115</v>
      </c>
      <c r="K566" s="2">
        <v>120</v>
      </c>
      <c r="L566" s="2">
        <v>110</v>
      </c>
      <c r="M566" s="5" t="s">
        <v>2116</v>
      </c>
      <c r="N566" s="3"/>
    </row>
    <row r="567" spans="1:14" ht="20.100000000000001" customHeight="1">
      <c r="A567" s="6" t="s">
        <v>14</v>
      </c>
      <c r="B567" s="7" t="s">
        <v>2039</v>
      </c>
      <c r="C567" s="7" t="s">
        <v>2109</v>
      </c>
      <c r="D567" s="6" t="s">
        <v>2117</v>
      </c>
      <c r="E567" s="6">
        <v>960</v>
      </c>
      <c r="F567" s="6" t="s">
        <v>531</v>
      </c>
      <c r="G567" s="7" t="s">
        <v>2118</v>
      </c>
      <c r="H567" s="6">
        <v>2300</v>
      </c>
      <c r="I567" s="12" t="s">
        <v>523</v>
      </c>
      <c r="J567" s="7" t="s">
        <v>2119</v>
      </c>
      <c r="K567" s="6">
        <v>120</v>
      </c>
      <c r="L567" s="6">
        <v>110</v>
      </c>
      <c r="M567" s="8" t="s">
        <v>2120</v>
      </c>
      <c r="N567" s="7"/>
    </row>
    <row r="568" spans="1:14" ht="20.100000000000001" customHeight="1">
      <c r="A568" s="2" t="s">
        <v>14</v>
      </c>
      <c r="B568" s="3" t="s">
        <v>2039</v>
      </c>
      <c r="C568" s="3" t="s">
        <v>2109</v>
      </c>
      <c r="D568" s="2" t="s">
        <v>2121</v>
      </c>
      <c r="E568" s="2">
        <v>1099</v>
      </c>
      <c r="F568" s="2" t="s">
        <v>635</v>
      </c>
      <c r="G568" s="3" t="s">
        <v>2122</v>
      </c>
      <c r="H568" s="2">
        <v>2400</v>
      </c>
      <c r="I568" s="12" t="s">
        <v>659</v>
      </c>
      <c r="J568" s="3" t="s">
        <v>2123</v>
      </c>
      <c r="K568" s="2">
        <v>120</v>
      </c>
      <c r="L568" s="2">
        <v>110</v>
      </c>
      <c r="M568" s="5" t="s">
        <v>2124</v>
      </c>
      <c r="N568" s="3"/>
    </row>
    <row r="569" spans="1:14" ht="20.100000000000001" customHeight="1">
      <c r="A569" s="6" t="s">
        <v>14</v>
      </c>
      <c r="B569" s="7" t="s">
        <v>2039</v>
      </c>
      <c r="C569" s="7" t="s">
        <v>2109</v>
      </c>
      <c r="D569" s="6" t="s">
        <v>2125</v>
      </c>
      <c r="E569" s="6">
        <v>1118</v>
      </c>
      <c r="F569" s="6" t="s">
        <v>1899</v>
      </c>
      <c r="G569" s="7" t="s">
        <v>2126</v>
      </c>
      <c r="H569" s="6">
        <v>2700</v>
      </c>
      <c r="I569" s="12" t="s">
        <v>659</v>
      </c>
      <c r="J569" s="7" t="s">
        <v>2127</v>
      </c>
      <c r="K569" s="6">
        <v>180</v>
      </c>
      <c r="L569" s="6">
        <v>150</v>
      </c>
      <c r="M569" s="8" t="s">
        <v>2128</v>
      </c>
      <c r="N569" s="7"/>
    </row>
    <row r="570" spans="1:14" ht="20.100000000000001" customHeight="1">
      <c r="A570" s="2" t="s">
        <v>14</v>
      </c>
      <c r="B570" s="3" t="s">
        <v>2039</v>
      </c>
      <c r="C570" s="3" t="s">
        <v>2109</v>
      </c>
      <c r="D570" s="2" t="s">
        <v>2129</v>
      </c>
      <c r="E570" s="2">
        <v>1131</v>
      </c>
      <c r="F570" s="2" t="s">
        <v>635</v>
      </c>
      <c r="G570" s="3" t="s">
        <v>2130</v>
      </c>
      <c r="H570" s="2">
        <v>1700</v>
      </c>
      <c r="I570" s="10" t="s">
        <v>418</v>
      </c>
      <c r="J570" s="3" t="s">
        <v>2131</v>
      </c>
      <c r="K570" s="2">
        <v>60</v>
      </c>
      <c r="L570" s="2">
        <v>55</v>
      </c>
      <c r="M570" s="5" t="s">
        <v>2132</v>
      </c>
      <c r="N570" s="3"/>
    </row>
    <row r="571" spans="1:14" ht="20.100000000000001" customHeight="1">
      <c r="A571" s="6" t="s">
        <v>14</v>
      </c>
      <c r="B571" s="7" t="s">
        <v>2039</v>
      </c>
      <c r="C571" s="7" t="s">
        <v>2109</v>
      </c>
      <c r="D571" s="6" t="s">
        <v>2133</v>
      </c>
      <c r="E571" s="6">
        <v>1280</v>
      </c>
      <c r="F571" s="6" t="s">
        <v>183</v>
      </c>
      <c r="G571" s="7" t="s">
        <v>2134</v>
      </c>
      <c r="H571" s="6">
        <v>2000</v>
      </c>
      <c r="I571" s="10" t="s">
        <v>386</v>
      </c>
      <c r="J571" s="7" t="s">
        <v>2135</v>
      </c>
      <c r="K571" s="6">
        <v>90</v>
      </c>
      <c r="L571" s="6">
        <v>80</v>
      </c>
      <c r="M571" s="8" t="s">
        <v>2136</v>
      </c>
      <c r="N571" s="7"/>
    </row>
    <row r="572" spans="1:14" ht="20.100000000000001" customHeight="1">
      <c r="A572" s="2" t="s">
        <v>14</v>
      </c>
      <c r="B572" s="3" t="s">
        <v>2039</v>
      </c>
      <c r="C572" s="3" t="s">
        <v>2109</v>
      </c>
      <c r="D572" s="2" t="s">
        <v>2137</v>
      </c>
      <c r="E572" s="2">
        <v>1324</v>
      </c>
      <c r="F572" s="2" t="s">
        <v>635</v>
      </c>
      <c r="G572" s="3" t="s">
        <v>2138</v>
      </c>
      <c r="H572" s="2">
        <v>1800</v>
      </c>
      <c r="I572" s="10" t="s">
        <v>418</v>
      </c>
      <c r="J572" s="3" t="s">
        <v>2043</v>
      </c>
      <c r="K572" s="2">
        <v>60</v>
      </c>
      <c r="L572" s="2">
        <v>55</v>
      </c>
      <c r="M572" s="5" t="s">
        <v>2139</v>
      </c>
      <c r="N572" s="3"/>
    </row>
    <row r="573" spans="1:14" ht="20.100000000000001" customHeight="1">
      <c r="A573" s="6" t="s">
        <v>14</v>
      </c>
      <c r="B573" s="7" t="s">
        <v>2039</v>
      </c>
      <c r="C573" s="7" t="s">
        <v>2109</v>
      </c>
      <c r="D573" s="6" t="s">
        <v>2140</v>
      </c>
      <c r="E573" s="6">
        <v>1528</v>
      </c>
      <c r="F573" s="6" t="s">
        <v>18</v>
      </c>
      <c r="G573" s="7" t="s">
        <v>2141</v>
      </c>
      <c r="H573" s="6">
        <v>1600</v>
      </c>
      <c r="I573" s="9" t="s">
        <v>172</v>
      </c>
      <c r="J573" s="7" t="s">
        <v>2142</v>
      </c>
      <c r="K573" s="6">
        <v>40</v>
      </c>
      <c r="L573" s="6">
        <v>35</v>
      </c>
      <c r="M573" s="8" t="s">
        <v>2143</v>
      </c>
      <c r="N573" s="7"/>
    </row>
    <row r="574" spans="1:14" ht="20.100000000000001" customHeight="1">
      <c r="A574" s="2" t="s">
        <v>14</v>
      </c>
      <c r="B574" s="3" t="s">
        <v>2039</v>
      </c>
      <c r="C574" s="3" t="s">
        <v>2109</v>
      </c>
      <c r="D574" s="2" t="s">
        <v>2144</v>
      </c>
      <c r="E574" s="2">
        <v>1593</v>
      </c>
      <c r="F574" s="2" t="s">
        <v>531</v>
      </c>
      <c r="G574" s="3" t="s">
        <v>2145</v>
      </c>
      <c r="H574" s="2">
        <v>1600</v>
      </c>
      <c r="I574" s="9" t="s">
        <v>172</v>
      </c>
      <c r="J574" s="3" t="s">
        <v>2146</v>
      </c>
      <c r="K574" s="2">
        <v>40</v>
      </c>
      <c r="L574" s="2">
        <v>35</v>
      </c>
      <c r="M574" s="5" t="s">
        <v>2147</v>
      </c>
      <c r="N574" s="3"/>
    </row>
    <row r="575" spans="1:14" ht="20.100000000000001" customHeight="1">
      <c r="A575" s="6" t="s">
        <v>14</v>
      </c>
      <c r="B575" s="7" t="s">
        <v>2039</v>
      </c>
      <c r="C575" s="7" t="s">
        <v>2148</v>
      </c>
      <c r="D575" s="6" t="s">
        <v>2149</v>
      </c>
      <c r="E575" s="6">
        <v>208</v>
      </c>
      <c r="F575" s="6" t="s">
        <v>531</v>
      </c>
      <c r="G575" s="7" t="s">
        <v>2150</v>
      </c>
      <c r="H575" s="6">
        <v>2100</v>
      </c>
      <c r="I575" s="12" t="s">
        <v>523</v>
      </c>
      <c r="J575" s="7" t="s">
        <v>2151</v>
      </c>
      <c r="K575" s="6">
        <v>90</v>
      </c>
      <c r="L575" s="6">
        <v>80</v>
      </c>
      <c r="M575" s="8" t="s">
        <v>2152</v>
      </c>
      <c r="N575" s="7"/>
    </row>
    <row r="576" spans="1:14" ht="20.100000000000001" customHeight="1">
      <c r="A576" s="2" t="s">
        <v>14</v>
      </c>
      <c r="B576" s="3" t="s">
        <v>2039</v>
      </c>
      <c r="C576" s="3" t="s">
        <v>2148</v>
      </c>
      <c r="D576" s="2" t="s">
        <v>2153</v>
      </c>
      <c r="E576" s="2">
        <v>519</v>
      </c>
      <c r="F576" s="2" t="s">
        <v>531</v>
      </c>
      <c r="G576" s="3" t="s">
        <v>2154</v>
      </c>
      <c r="H576" s="2">
        <v>2100</v>
      </c>
      <c r="I576" s="12" t="s">
        <v>523</v>
      </c>
      <c r="J576" s="3" t="s">
        <v>2155</v>
      </c>
      <c r="K576" s="2">
        <v>90</v>
      </c>
      <c r="L576" s="2">
        <v>80</v>
      </c>
      <c r="M576" s="5" t="s">
        <v>2156</v>
      </c>
      <c r="N576" s="3"/>
    </row>
    <row r="577" spans="1:14" ht="20.100000000000001" customHeight="1">
      <c r="A577" s="6" t="s">
        <v>14</v>
      </c>
      <c r="B577" s="7" t="s">
        <v>2039</v>
      </c>
      <c r="C577" s="7" t="s">
        <v>2148</v>
      </c>
      <c r="D577" s="6" t="s">
        <v>2157</v>
      </c>
      <c r="E577" s="6">
        <v>587</v>
      </c>
      <c r="F577" s="6" t="s">
        <v>183</v>
      </c>
      <c r="G577" s="7" t="s">
        <v>2158</v>
      </c>
      <c r="H577" s="6">
        <v>2200</v>
      </c>
      <c r="I577" s="12" t="s">
        <v>523</v>
      </c>
      <c r="J577" s="7" t="s">
        <v>2013</v>
      </c>
      <c r="K577" s="6">
        <v>90</v>
      </c>
      <c r="L577" s="6">
        <v>80</v>
      </c>
      <c r="M577" s="8" t="s">
        <v>2159</v>
      </c>
      <c r="N577" s="7"/>
    </row>
    <row r="578" spans="1:14" ht="20.100000000000001" customHeight="1">
      <c r="A578" s="2" t="s">
        <v>14</v>
      </c>
      <c r="B578" s="3" t="s">
        <v>2039</v>
      </c>
      <c r="C578" s="3" t="s">
        <v>2148</v>
      </c>
      <c r="D578" s="2" t="s">
        <v>2160</v>
      </c>
      <c r="E578" s="2">
        <v>609</v>
      </c>
      <c r="F578" s="2" t="s">
        <v>531</v>
      </c>
      <c r="G578" s="3" t="s">
        <v>2161</v>
      </c>
      <c r="H578" s="2">
        <v>2100</v>
      </c>
      <c r="I578" s="12" t="s">
        <v>523</v>
      </c>
      <c r="J578" s="3" t="s">
        <v>2162</v>
      </c>
      <c r="K578" s="2">
        <v>90</v>
      </c>
      <c r="L578" s="2">
        <v>80</v>
      </c>
      <c r="M578" s="5" t="s">
        <v>2163</v>
      </c>
      <c r="N578" s="3"/>
    </row>
    <row r="579" spans="1:14" ht="20.100000000000001" customHeight="1">
      <c r="A579" s="6" t="s">
        <v>14</v>
      </c>
      <c r="B579" s="7" t="s">
        <v>2039</v>
      </c>
      <c r="C579" s="7" t="s">
        <v>2148</v>
      </c>
      <c r="D579" s="6" t="s">
        <v>2164</v>
      </c>
      <c r="E579" s="6">
        <v>832</v>
      </c>
      <c r="F579" s="6" t="s">
        <v>384</v>
      </c>
      <c r="G579" s="7" t="s">
        <v>2165</v>
      </c>
      <c r="H579" s="6">
        <v>1900</v>
      </c>
      <c r="I579" s="10" t="s">
        <v>386</v>
      </c>
      <c r="J579" s="7" t="s">
        <v>1627</v>
      </c>
      <c r="K579" s="6">
        <v>60</v>
      </c>
      <c r="L579" s="6">
        <v>55</v>
      </c>
      <c r="M579" s="8" t="s">
        <v>2166</v>
      </c>
      <c r="N579" s="7"/>
    </row>
    <row r="580" spans="1:14" ht="20.100000000000001" customHeight="1">
      <c r="A580" s="2" t="s">
        <v>14</v>
      </c>
      <c r="B580" s="3" t="s">
        <v>2039</v>
      </c>
      <c r="C580" s="3" t="s">
        <v>2148</v>
      </c>
      <c r="D580" s="2" t="s">
        <v>2167</v>
      </c>
      <c r="E580" s="2">
        <v>916</v>
      </c>
      <c r="F580" s="2" t="s">
        <v>531</v>
      </c>
      <c r="G580" s="3" t="s">
        <v>2168</v>
      </c>
      <c r="H580" s="2">
        <v>2400</v>
      </c>
      <c r="I580" s="12" t="s">
        <v>659</v>
      </c>
      <c r="J580" s="3" t="s">
        <v>2013</v>
      </c>
      <c r="K580" s="2">
        <v>120</v>
      </c>
      <c r="L580" s="2">
        <v>110</v>
      </c>
      <c r="M580" s="5" t="s">
        <v>2169</v>
      </c>
      <c r="N580" s="3"/>
    </row>
    <row r="581" spans="1:14" ht="20.100000000000001" customHeight="1">
      <c r="A581" s="6" t="s">
        <v>14</v>
      </c>
      <c r="B581" s="7" t="s">
        <v>2039</v>
      </c>
      <c r="C581" s="7" t="s">
        <v>2148</v>
      </c>
      <c r="D581" s="6" t="s">
        <v>2170</v>
      </c>
      <c r="E581" s="6">
        <v>1304</v>
      </c>
      <c r="F581" s="6" t="s">
        <v>531</v>
      </c>
      <c r="G581" s="7" t="s">
        <v>2171</v>
      </c>
      <c r="H581" s="6">
        <v>2000</v>
      </c>
      <c r="I581" s="10" t="s">
        <v>386</v>
      </c>
      <c r="J581" s="7" t="s">
        <v>2172</v>
      </c>
      <c r="K581" s="6">
        <v>90</v>
      </c>
      <c r="L581" s="6">
        <v>80</v>
      </c>
      <c r="M581" s="8" t="s">
        <v>2173</v>
      </c>
      <c r="N581" s="7"/>
    </row>
    <row r="582" spans="1:14" ht="20.100000000000001" customHeight="1">
      <c r="A582" s="2" t="s">
        <v>14</v>
      </c>
      <c r="B582" s="3" t="s">
        <v>2039</v>
      </c>
      <c r="C582" s="3" t="s">
        <v>2148</v>
      </c>
      <c r="D582" s="2" t="s">
        <v>2174</v>
      </c>
      <c r="E582" s="2">
        <v>1702</v>
      </c>
      <c r="F582" s="2" t="s">
        <v>2175</v>
      </c>
      <c r="G582" s="3" t="s">
        <v>2176</v>
      </c>
      <c r="H582" s="2">
        <v>1900</v>
      </c>
      <c r="I582" s="10" t="s">
        <v>386</v>
      </c>
      <c r="J582" s="3" t="s">
        <v>1285</v>
      </c>
      <c r="K582" s="2">
        <v>60</v>
      </c>
      <c r="L582" s="2">
        <v>55</v>
      </c>
      <c r="M582" s="5" t="s">
        <v>2177</v>
      </c>
      <c r="N582" s="3"/>
    </row>
    <row r="583" spans="1:14" ht="20.100000000000001" customHeight="1">
      <c r="A583" s="6" t="s">
        <v>14</v>
      </c>
      <c r="B583" s="7" t="s">
        <v>2039</v>
      </c>
      <c r="C583" s="7" t="s">
        <v>2148</v>
      </c>
      <c r="D583" s="6" t="s">
        <v>2178</v>
      </c>
      <c r="E583" s="6">
        <v>1702</v>
      </c>
      <c r="F583" s="6" t="s">
        <v>2179</v>
      </c>
      <c r="G583" s="7" t="s">
        <v>2180</v>
      </c>
      <c r="H583" s="6">
        <v>2000</v>
      </c>
      <c r="I583" s="10" t="s">
        <v>386</v>
      </c>
      <c r="J583" s="7" t="s">
        <v>2181</v>
      </c>
      <c r="K583" s="6">
        <v>90</v>
      </c>
      <c r="L583" s="6">
        <v>80</v>
      </c>
      <c r="M583" s="8" t="s">
        <v>2182</v>
      </c>
      <c r="N583" s="7"/>
    </row>
    <row r="584" spans="1:14" ht="20.100000000000001" customHeight="1">
      <c r="A584" s="2" t="s">
        <v>14</v>
      </c>
      <c r="B584" s="3" t="s">
        <v>2039</v>
      </c>
      <c r="C584" s="3" t="s">
        <v>2183</v>
      </c>
      <c r="D584" s="2" t="s">
        <v>2184</v>
      </c>
      <c r="E584" s="2">
        <v>1092</v>
      </c>
      <c r="F584" s="2" t="s">
        <v>635</v>
      </c>
      <c r="G584" s="3" t="s">
        <v>2185</v>
      </c>
      <c r="H584" s="2">
        <v>1900</v>
      </c>
      <c r="I584" s="10" t="s">
        <v>386</v>
      </c>
      <c r="J584" s="3" t="s">
        <v>2082</v>
      </c>
      <c r="K584" s="2">
        <v>60</v>
      </c>
      <c r="L584" s="2">
        <v>55</v>
      </c>
      <c r="M584" s="5" t="s">
        <v>2186</v>
      </c>
      <c r="N584" s="3"/>
    </row>
    <row r="585" spans="1:14" ht="20.100000000000001" customHeight="1">
      <c r="A585" s="6" t="s">
        <v>14</v>
      </c>
      <c r="B585" s="7" t="s">
        <v>2039</v>
      </c>
      <c r="C585" s="7" t="s">
        <v>2183</v>
      </c>
      <c r="D585" s="6" t="s">
        <v>2187</v>
      </c>
      <c r="E585" s="6">
        <v>1388</v>
      </c>
      <c r="F585" s="6" t="s">
        <v>183</v>
      </c>
      <c r="G585" s="7" t="s">
        <v>2188</v>
      </c>
      <c r="H585" s="6">
        <v>1800</v>
      </c>
      <c r="I585" s="10" t="s">
        <v>418</v>
      </c>
      <c r="J585" s="7" t="s">
        <v>2189</v>
      </c>
      <c r="K585" s="6">
        <v>60</v>
      </c>
      <c r="L585" s="6">
        <v>55</v>
      </c>
      <c r="M585" s="8" t="s">
        <v>2190</v>
      </c>
      <c r="N585" s="7"/>
    </row>
    <row r="586" spans="1:14" ht="20.100000000000001" customHeight="1">
      <c r="A586" s="2" t="s">
        <v>14</v>
      </c>
      <c r="B586" s="3" t="s">
        <v>2039</v>
      </c>
      <c r="C586" s="3" t="s">
        <v>2183</v>
      </c>
      <c r="D586" s="2" t="s">
        <v>2191</v>
      </c>
      <c r="E586" s="2">
        <v>1485</v>
      </c>
      <c r="F586" s="2" t="s">
        <v>531</v>
      </c>
      <c r="G586" s="3" t="s">
        <v>2192</v>
      </c>
      <c r="H586" s="2">
        <v>2500</v>
      </c>
      <c r="I586" s="12" t="s">
        <v>659</v>
      </c>
      <c r="J586" s="3" t="s">
        <v>1925</v>
      </c>
      <c r="K586" s="2">
        <v>120</v>
      </c>
      <c r="L586" s="2">
        <v>110</v>
      </c>
      <c r="M586" s="5" t="s">
        <v>2193</v>
      </c>
      <c r="N586" s="3"/>
    </row>
    <row r="587" spans="1:14" ht="20.100000000000001" customHeight="1">
      <c r="A587" s="6" t="s">
        <v>14</v>
      </c>
      <c r="B587" s="7" t="s">
        <v>2039</v>
      </c>
      <c r="C587" s="7" t="s">
        <v>2194</v>
      </c>
      <c r="D587" s="6" t="s">
        <v>2195</v>
      </c>
      <c r="E587" s="6">
        <v>570</v>
      </c>
      <c r="F587" s="6" t="s">
        <v>384</v>
      </c>
      <c r="G587" s="7" t="s">
        <v>2196</v>
      </c>
      <c r="H587" s="6">
        <v>2200</v>
      </c>
      <c r="I587" s="12" t="s">
        <v>523</v>
      </c>
      <c r="J587" s="7" t="s">
        <v>2197</v>
      </c>
      <c r="K587" s="6">
        <v>90</v>
      </c>
      <c r="L587" s="6">
        <v>80</v>
      </c>
      <c r="M587" s="8" t="s">
        <v>2198</v>
      </c>
      <c r="N587" s="7"/>
    </row>
    <row r="588" spans="1:14" ht="20.100000000000001" customHeight="1">
      <c r="A588" s="2" t="s">
        <v>14</v>
      </c>
      <c r="B588" s="3" t="s">
        <v>2039</v>
      </c>
      <c r="C588" s="3" t="s">
        <v>2194</v>
      </c>
      <c r="D588" s="2" t="s">
        <v>2199</v>
      </c>
      <c r="E588" s="2">
        <v>620</v>
      </c>
      <c r="F588" s="2" t="s">
        <v>531</v>
      </c>
      <c r="G588" s="3" t="s">
        <v>2200</v>
      </c>
      <c r="H588" s="2">
        <v>2100</v>
      </c>
      <c r="I588" s="12" t="s">
        <v>523</v>
      </c>
      <c r="J588" s="3" t="s">
        <v>1281</v>
      </c>
      <c r="K588" s="2">
        <v>90</v>
      </c>
      <c r="L588" s="2">
        <v>80</v>
      </c>
      <c r="M588" s="5" t="s">
        <v>2201</v>
      </c>
      <c r="N588" s="3"/>
    </row>
    <row r="589" spans="1:14" ht="20.100000000000001" customHeight="1">
      <c r="A589" s="6" t="s">
        <v>14</v>
      </c>
      <c r="B589" s="7" t="s">
        <v>2039</v>
      </c>
      <c r="C589" s="7" t="s">
        <v>2194</v>
      </c>
      <c r="D589" s="6" t="s">
        <v>2202</v>
      </c>
      <c r="E589" s="6">
        <v>877</v>
      </c>
      <c r="F589" s="6" t="s">
        <v>531</v>
      </c>
      <c r="G589" s="7" t="s">
        <v>2203</v>
      </c>
      <c r="H589" s="6">
        <v>2000</v>
      </c>
      <c r="I589" s="10" t="s">
        <v>386</v>
      </c>
      <c r="J589" s="7" t="s">
        <v>1281</v>
      </c>
      <c r="K589" s="6">
        <v>90</v>
      </c>
      <c r="L589" s="6">
        <v>80</v>
      </c>
      <c r="M589" s="8" t="s">
        <v>2204</v>
      </c>
      <c r="N589" s="7"/>
    </row>
    <row r="590" spans="1:14" ht="20.100000000000001" customHeight="1">
      <c r="A590" s="2" t="s">
        <v>14</v>
      </c>
      <c r="B590" s="3" t="s">
        <v>2039</v>
      </c>
      <c r="C590" s="3" t="s">
        <v>2194</v>
      </c>
      <c r="D590" s="2" t="s">
        <v>2205</v>
      </c>
      <c r="E590" s="2">
        <v>1000</v>
      </c>
      <c r="F590" s="2" t="s">
        <v>531</v>
      </c>
      <c r="G590" s="3" t="s">
        <v>2206</v>
      </c>
      <c r="H590" s="2">
        <v>2100</v>
      </c>
      <c r="I590" s="12" t="s">
        <v>523</v>
      </c>
      <c r="J590" s="3" t="s">
        <v>1627</v>
      </c>
      <c r="K590" s="2">
        <v>90</v>
      </c>
      <c r="L590" s="2">
        <v>80</v>
      </c>
      <c r="M590" s="5" t="s">
        <v>2207</v>
      </c>
      <c r="N590" s="3"/>
    </row>
    <row r="591" spans="1:14" ht="20.100000000000001" customHeight="1">
      <c r="A591" s="6" t="s">
        <v>14</v>
      </c>
      <c r="B591" s="7" t="s">
        <v>2039</v>
      </c>
      <c r="C591" s="7" t="s">
        <v>2194</v>
      </c>
      <c r="D591" s="6" t="s">
        <v>2208</v>
      </c>
      <c r="E591" s="6">
        <v>1110</v>
      </c>
      <c r="F591" s="6" t="s">
        <v>635</v>
      </c>
      <c r="G591" s="7" t="s">
        <v>2209</v>
      </c>
      <c r="H591" s="6">
        <v>2600</v>
      </c>
      <c r="I591" s="12" t="s">
        <v>659</v>
      </c>
      <c r="J591" s="7" t="s">
        <v>2013</v>
      </c>
      <c r="K591" s="6">
        <v>180</v>
      </c>
      <c r="L591" s="6">
        <v>150</v>
      </c>
      <c r="M591" s="8" t="s">
        <v>2210</v>
      </c>
      <c r="N591" s="7"/>
    </row>
    <row r="592" spans="1:14" ht="20.100000000000001" customHeight="1">
      <c r="A592" s="2" t="s">
        <v>14</v>
      </c>
      <c r="B592" s="3" t="s">
        <v>2211</v>
      </c>
      <c r="C592" s="3" t="s">
        <v>2212</v>
      </c>
      <c r="D592" s="2" t="s">
        <v>2213</v>
      </c>
      <c r="E592" s="2">
        <v>217</v>
      </c>
      <c r="F592" s="2" t="s">
        <v>18</v>
      </c>
      <c r="G592" s="3" t="s">
        <v>2214</v>
      </c>
      <c r="H592" s="2">
        <v>1200</v>
      </c>
      <c r="I592" s="4" t="s">
        <v>43</v>
      </c>
      <c r="J592" s="3" t="s">
        <v>2215</v>
      </c>
      <c r="K592" s="2">
        <v>25</v>
      </c>
      <c r="L592" s="2">
        <v>20</v>
      </c>
      <c r="M592" s="5" t="s">
        <v>2216</v>
      </c>
      <c r="N592" s="3"/>
    </row>
    <row r="593" spans="1:14" ht="20.100000000000001" customHeight="1">
      <c r="A593" s="6" t="s">
        <v>14</v>
      </c>
      <c r="B593" s="7" t="s">
        <v>2211</v>
      </c>
      <c r="C593" s="7" t="s">
        <v>2212</v>
      </c>
      <c r="D593" s="6" t="s">
        <v>2217</v>
      </c>
      <c r="E593" s="6">
        <v>445</v>
      </c>
      <c r="F593" s="6" t="s">
        <v>157</v>
      </c>
      <c r="G593" s="7" t="s">
        <v>2218</v>
      </c>
      <c r="H593" s="6">
        <v>1400</v>
      </c>
      <c r="I593" s="9" t="s">
        <v>163</v>
      </c>
      <c r="J593" s="7" t="s">
        <v>2219</v>
      </c>
      <c r="K593" s="6">
        <v>40</v>
      </c>
      <c r="L593" s="6">
        <v>35</v>
      </c>
      <c r="M593" s="8" t="s">
        <v>2220</v>
      </c>
      <c r="N593" s="7"/>
    </row>
    <row r="594" spans="1:14" ht="20.100000000000001" customHeight="1">
      <c r="A594" s="2" t="s">
        <v>14</v>
      </c>
      <c r="B594" s="3" t="s">
        <v>2211</v>
      </c>
      <c r="C594" s="3" t="s">
        <v>2212</v>
      </c>
      <c r="D594" s="2" t="s">
        <v>2221</v>
      </c>
      <c r="E594" s="2">
        <v>510</v>
      </c>
      <c r="F594" s="2" t="s">
        <v>157</v>
      </c>
      <c r="G594" s="3" t="s">
        <v>2222</v>
      </c>
      <c r="H594" s="2">
        <v>1500</v>
      </c>
      <c r="I594" s="9" t="s">
        <v>172</v>
      </c>
      <c r="J594" s="3" t="s">
        <v>2223</v>
      </c>
      <c r="K594" s="2">
        <v>40</v>
      </c>
      <c r="L594" s="2">
        <v>35</v>
      </c>
      <c r="M594" s="5" t="s">
        <v>2224</v>
      </c>
      <c r="N594" s="3"/>
    </row>
    <row r="595" spans="1:14" ht="20.100000000000001" customHeight="1">
      <c r="A595" s="6" t="s">
        <v>14</v>
      </c>
      <c r="B595" s="7" t="s">
        <v>2211</v>
      </c>
      <c r="C595" s="7" t="s">
        <v>2212</v>
      </c>
      <c r="D595" s="6" t="s">
        <v>2225</v>
      </c>
      <c r="E595" s="6">
        <v>659</v>
      </c>
      <c r="F595" s="6" t="s">
        <v>531</v>
      </c>
      <c r="G595" s="7" t="s">
        <v>2226</v>
      </c>
      <c r="H595" s="6">
        <v>1600</v>
      </c>
      <c r="I595" s="9" t="s">
        <v>172</v>
      </c>
      <c r="J595" s="7" t="s">
        <v>2227</v>
      </c>
      <c r="K595" s="6">
        <v>40</v>
      </c>
      <c r="L595" s="6">
        <v>35</v>
      </c>
      <c r="M595" s="8" t="s">
        <v>2228</v>
      </c>
      <c r="N595" s="7"/>
    </row>
    <row r="596" spans="1:14" ht="20.100000000000001" customHeight="1">
      <c r="A596" s="2" t="s">
        <v>14</v>
      </c>
      <c r="B596" s="3" t="s">
        <v>2211</v>
      </c>
      <c r="C596" s="3" t="s">
        <v>2212</v>
      </c>
      <c r="D596" s="2" t="s">
        <v>2229</v>
      </c>
      <c r="E596" s="2">
        <v>755</v>
      </c>
      <c r="F596" s="2" t="s">
        <v>183</v>
      </c>
      <c r="G596" s="3" t="s">
        <v>2230</v>
      </c>
      <c r="H596" s="2">
        <v>1300</v>
      </c>
      <c r="I596" s="9" t="s">
        <v>163</v>
      </c>
      <c r="J596" s="3" t="s">
        <v>2231</v>
      </c>
      <c r="K596" s="2">
        <v>25</v>
      </c>
      <c r="L596" s="2">
        <v>20</v>
      </c>
      <c r="M596" s="5" t="s">
        <v>2232</v>
      </c>
      <c r="N596" s="3"/>
    </row>
    <row r="597" spans="1:14" ht="20.100000000000001" customHeight="1">
      <c r="A597" s="6" t="s">
        <v>14</v>
      </c>
      <c r="B597" s="7" t="s">
        <v>2211</v>
      </c>
      <c r="C597" s="7" t="s">
        <v>2212</v>
      </c>
      <c r="D597" s="6" t="s">
        <v>2233</v>
      </c>
      <c r="E597" s="6">
        <v>999</v>
      </c>
      <c r="F597" s="6" t="s">
        <v>531</v>
      </c>
      <c r="G597" s="7" t="s">
        <v>2234</v>
      </c>
      <c r="H597" s="6">
        <v>2000</v>
      </c>
      <c r="I597" s="10" t="s">
        <v>386</v>
      </c>
      <c r="J597" s="7" t="s">
        <v>2061</v>
      </c>
      <c r="K597" s="6">
        <v>90</v>
      </c>
      <c r="L597" s="6">
        <v>80</v>
      </c>
      <c r="M597" s="8" t="s">
        <v>2235</v>
      </c>
      <c r="N597" s="7"/>
    </row>
    <row r="598" spans="1:14" ht="20.100000000000001" customHeight="1">
      <c r="A598" s="2" t="s">
        <v>14</v>
      </c>
      <c r="B598" s="3" t="s">
        <v>2211</v>
      </c>
      <c r="C598" s="3" t="s">
        <v>2212</v>
      </c>
      <c r="D598" s="2" t="s">
        <v>2236</v>
      </c>
      <c r="E598" s="2">
        <v>103</v>
      </c>
      <c r="F598" s="2" t="s">
        <v>157</v>
      </c>
      <c r="G598" s="3" t="s">
        <v>2237</v>
      </c>
      <c r="H598" s="2">
        <v>1500</v>
      </c>
      <c r="I598" s="9" t="s">
        <v>172</v>
      </c>
      <c r="J598" s="3" t="s">
        <v>2238</v>
      </c>
      <c r="K598" s="2">
        <v>40</v>
      </c>
      <c r="L598" s="2">
        <v>35</v>
      </c>
      <c r="M598" s="5" t="s">
        <v>2239</v>
      </c>
      <c r="N598" s="3"/>
    </row>
    <row r="599" spans="1:14" ht="20.100000000000001" customHeight="1">
      <c r="A599" s="6" t="s">
        <v>14</v>
      </c>
      <c r="B599" s="7" t="s">
        <v>2211</v>
      </c>
      <c r="C599" s="7" t="s">
        <v>2212</v>
      </c>
      <c r="D599" s="6" t="s">
        <v>2240</v>
      </c>
      <c r="E599" s="6">
        <v>1243</v>
      </c>
      <c r="F599" s="6" t="s">
        <v>384</v>
      </c>
      <c r="G599" s="7" t="s">
        <v>185</v>
      </c>
      <c r="H599" s="6" t="s">
        <v>185</v>
      </c>
      <c r="I599" s="11" t="s">
        <v>185</v>
      </c>
      <c r="J599" s="7" t="s">
        <v>185</v>
      </c>
      <c r="K599" s="6">
        <v>0</v>
      </c>
      <c r="L599" s="6">
        <v>0</v>
      </c>
      <c r="M599" s="8" t="s">
        <v>2241</v>
      </c>
      <c r="N599" s="7"/>
    </row>
    <row r="600" spans="1:14" ht="20.100000000000001" customHeight="1">
      <c r="A600" s="2" t="s">
        <v>14</v>
      </c>
      <c r="B600" s="3" t="s">
        <v>2211</v>
      </c>
      <c r="C600" s="3" t="s">
        <v>2242</v>
      </c>
      <c r="D600" s="2" t="s">
        <v>2243</v>
      </c>
      <c r="E600" s="2">
        <v>1027</v>
      </c>
      <c r="F600" s="2" t="s">
        <v>384</v>
      </c>
      <c r="G600" s="3" t="s">
        <v>2244</v>
      </c>
      <c r="H600" s="2">
        <v>1700</v>
      </c>
      <c r="I600" s="10" t="s">
        <v>418</v>
      </c>
      <c r="J600" s="3" t="s">
        <v>1193</v>
      </c>
      <c r="K600" s="2">
        <v>60</v>
      </c>
      <c r="L600" s="2">
        <v>55</v>
      </c>
      <c r="M600" s="5" t="s">
        <v>2245</v>
      </c>
      <c r="N600" s="3"/>
    </row>
    <row r="601" spans="1:14" ht="20.100000000000001" customHeight="1">
      <c r="A601" s="6" t="s">
        <v>14</v>
      </c>
      <c r="B601" s="7" t="s">
        <v>2211</v>
      </c>
      <c r="C601" s="7" t="s">
        <v>2242</v>
      </c>
      <c r="D601" s="6" t="s">
        <v>2246</v>
      </c>
      <c r="E601" s="6">
        <v>1481</v>
      </c>
      <c r="F601" s="6" t="s">
        <v>384</v>
      </c>
      <c r="G601" s="7" t="s">
        <v>2247</v>
      </c>
      <c r="H601" s="6">
        <v>2000</v>
      </c>
      <c r="I601" s="10" t="s">
        <v>386</v>
      </c>
      <c r="J601" s="7" t="s">
        <v>2248</v>
      </c>
      <c r="K601" s="6">
        <v>90</v>
      </c>
      <c r="L601" s="6">
        <v>80</v>
      </c>
      <c r="M601" s="8" t="s">
        <v>2249</v>
      </c>
      <c r="N601" s="7"/>
    </row>
    <row r="602" spans="1:14" ht="20.100000000000001" customHeight="1">
      <c r="A602" s="2" t="s">
        <v>14</v>
      </c>
      <c r="B602" s="3" t="s">
        <v>2211</v>
      </c>
      <c r="C602" s="3" t="s">
        <v>2250</v>
      </c>
      <c r="D602" s="2" t="s">
        <v>2251</v>
      </c>
      <c r="E602" s="2">
        <v>510</v>
      </c>
      <c r="F602" s="2" t="s">
        <v>183</v>
      </c>
      <c r="G602" s="3" t="s">
        <v>2252</v>
      </c>
      <c r="H602" s="2">
        <v>1600</v>
      </c>
      <c r="I602" s="9" t="s">
        <v>172</v>
      </c>
      <c r="J602" s="3" t="s">
        <v>2253</v>
      </c>
      <c r="K602" s="2">
        <v>40</v>
      </c>
      <c r="L602" s="2">
        <v>35</v>
      </c>
      <c r="M602" s="5" t="s">
        <v>2254</v>
      </c>
      <c r="N602" s="3"/>
    </row>
    <row r="603" spans="1:14" ht="20.100000000000001" customHeight="1">
      <c r="A603" s="6" t="s">
        <v>14</v>
      </c>
      <c r="B603" s="7" t="s">
        <v>2211</v>
      </c>
      <c r="C603" s="7" t="s">
        <v>2250</v>
      </c>
      <c r="D603" s="6" t="s">
        <v>2255</v>
      </c>
      <c r="E603" s="6">
        <v>769</v>
      </c>
      <c r="F603" s="6" t="s">
        <v>183</v>
      </c>
      <c r="G603" s="7" t="s">
        <v>2256</v>
      </c>
      <c r="H603" s="6">
        <v>1700</v>
      </c>
      <c r="I603" s="10" t="s">
        <v>418</v>
      </c>
      <c r="J603" s="7" t="s">
        <v>2257</v>
      </c>
      <c r="K603" s="6">
        <v>60</v>
      </c>
      <c r="L603" s="6">
        <v>55</v>
      </c>
      <c r="M603" s="8" t="s">
        <v>2258</v>
      </c>
      <c r="N603" s="7"/>
    </row>
    <row r="604" spans="1:14" ht="20.100000000000001" customHeight="1">
      <c r="A604" s="2" t="s">
        <v>14</v>
      </c>
      <c r="B604" s="3" t="s">
        <v>2211</v>
      </c>
      <c r="C604" s="3" t="s">
        <v>2250</v>
      </c>
      <c r="D604" s="2" t="s">
        <v>2259</v>
      </c>
      <c r="E604" s="2">
        <v>915</v>
      </c>
      <c r="F604" s="2" t="s">
        <v>384</v>
      </c>
      <c r="G604" s="3" t="s">
        <v>2260</v>
      </c>
      <c r="H604" s="2">
        <v>2200</v>
      </c>
      <c r="I604" s="12" t="s">
        <v>523</v>
      </c>
      <c r="J604" s="3" t="s">
        <v>1193</v>
      </c>
      <c r="K604" s="2">
        <v>90</v>
      </c>
      <c r="L604" s="2">
        <v>80</v>
      </c>
      <c r="M604" s="5" t="s">
        <v>2261</v>
      </c>
      <c r="N604" s="3"/>
    </row>
    <row r="605" spans="1:14" ht="20.100000000000001" customHeight="1">
      <c r="A605" s="6" t="s">
        <v>14</v>
      </c>
      <c r="B605" s="7" t="s">
        <v>2211</v>
      </c>
      <c r="C605" s="7" t="s">
        <v>2250</v>
      </c>
      <c r="D605" s="6" t="s">
        <v>2262</v>
      </c>
      <c r="E605" s="6">
        <v>1037</v>
      </c>
      <c r="F605" s="6" t="s">
        <v>384</v>
      </c>
      <c r="G605" s="7" t="s">
        <v>2263</v>
      </c>
      <c r="H605" s="6">
        <v>1700</v>
      </c>
      <c r="I605" s="10" t="s">
        <v>418</v>
      </c>
      <c r="J605" s="7" t="s">
        <v>2264</v>
      </c>
      <c r="K605" s="6">
        <v>60</v>
      </c>
      <c r="L605" s="6">
        <v>55</v>
      </c>
      <c r="M605" s="8" t="s">
        <v>2265</v>
      </c>
      <c r="N605" s="7"/>
    </row>
    <row r="606" spans="1:14" ht="20.100000000000001" customHeight="1">
      <c r="A606" s="2" t="s">
        <v>14</v>
      </c>
      <c r="B606" s="3" t="s">
        <v>2211</v>
      </c>
      <c r="C606" s="3" t="s">
        <v>2250</v>
      </c>
      <c r="D606" s="2" t="s">
        <v>2266</v>
      </c>
      <c r="E606" s="2">
        <v>1063</v>
      </c>
      <c r="F606" s="2" t="s">
        <v>157</v>
      </c>
      <c r="G606" s="3" t="s">
        <v>2267</v>
      </c>
      <c r="H606" s="2">
        <v>1800</v>
      </c>
      <c r="I606" s="10" t="s">
        <v>418</v>
      </c>
      <c r="J606" s="3" t="s">
        <v>2268</v>
      </c>
      <c r="K606" s="2">
        <v>60</v>
      </c>
      <c r="L606" s="2">
        <v>55</v>
      </c>
      <c r="M606" s="5" t="s">
        <v>2269</v>
      </c>
      <c r="N606" s="3"/>
    </row>
    <row r="607" spans="1:14" ht="20.100000000000001" customHeight="1">
      <c r="A607" s="6" t="s">
        <v>14</v>
      </c>
      <c r="B607" s="7" t="s">
        <v>2211</v>
      </c>
      <c r="C607" s="7" t="s">
        <v>2250</v>
      </c>
      <c r="D607" s="6" t="s">
        <v>2270</v>
      </c>
      <c r="E607" s="6">
        <v>1100</v>
      </c>
      <c r="F607" s="6" t="s">
        <v>531</v>
      </c>
      <c r="G607" s="7" t="s">
        <v>2271</v>
      </c>
      <c r="H607" s="6">
        <v>2200</v>
      </c>
      <c r="I607" s="12" t="s">
        <v>523</v>
      </c>
      <c r="J607" s="7" t="s">
        <v>2272</v>
      </c>
      <c r="K607" s="6">
        <v>90</v>
      </c>
      <c r="L607" s="6">
        <v>80</v>
      </c>
      <c r="M607" s="8" t="s">
        <v>2273</v>
      </c>
      <c r="N607" s="7"/>
    </row>
    <row r="608" spans="1:14" ht="20.100000000000001" customHeight="1">
      <c r="A608" s="2" t="s">
        <v>14</v>
      </c>
      <c r="B608" s="3" t="s">
        <v>2211</v>
      </c>
      <c r="C608" s="3" t="s">
        <v>2250</v>
      </c>
      <c r="D608" s="2" t="s">
        <v>2274</v>
      </c>
      <c r="E608" s="2">
        <v>1385</v>
      </c>
      <c r="F608" s="2" t="s">
        <v>531</v>
      </c>
      <c r="G608" s="3" t="s">
        <v>2275</v>
      </c>
      <c r="H608" s="2">
        <v>2000</v>
      </c>
      <c r="I608" s="10" t="s">
        <v>386</v>
      </c>
      <c r="J608" s="3" t="s">
        <v>2276</v>
      </c>
      <c r="K608" s="2">
        <v>90</v>
      </c>
      <c r="L608" s="2">
        <v>80</v>
      </c>
      <c r="M608" s="5" t="s">
        <v>2277</v>
      </c>
      <c r="N608" s="3"/>
    </row>
    <row r="609" spans="1:14" ht="20.100000000000001" customHeight="1">
      <c r="A609" s="6" t="s">
        <v>14</v>
      </c>
      <c r="B609" s="7" t="s">
        <v>2211</v>
      </c>
      <c r="C609" s="7" t="s">
        <v>2278</v>
      </c>
      <c r="D609" s="6" t="s">
        <v>2279</v>
      </c>
      <c r="E609" s="6">
        <v>1364</v>
      </c>
      <c r="F609" s="6" t="s">
        <v>384</v>
      </c>
      <c r="G609" s="7" t="s">
        <v>2280</v>
      </c>
      <c r="H609" s="6">
        <v>2100</v>
      </c>
      <c r="I609" s="12" t="s">
        <v>523</v>
      </c>
      <c r="J609" s="7" t="s">
        <v>2281</v>
      </c>
      <c r="K609" s="6">
        <v>90</v>
      </c>
      <c r="L609" s="6">
        <v>80</v>
      </c>
      <c r="M609" s="8" t="s">
        <v>2282</v>
      </c>
      <c r="N609" s="7"/>
    </row>
    <row r="610" spans="1:14" ht="20.100000000000001" customHeight="1">
      <c r="A610" s="2" t="s">
        <v>14</v>
      </c>
      <c r="B610" s="3" t="s">
        <v>2211</v>
      </c>
      <c r="C610" s="3" t="s">
        <v>2278</v>
      </c>
      <c r="D610" s="2" t="s">
        <v>2283</v>
      </c>
      <c r="E610" s="2">
        <v>1679</v>
      </c>
      <c r="F610" s="2" t="s">
        <v>384</v>
      </c>
      <c r="G610" s="3" t="s">
        <v>2284</v>
      </c>
      <c r="H610" s="2">
        <v>1900</v>
      </c>
      <c r="I610" s="10" t="s">
        <v>386</v>
      </c>
      <c r="J610" s="3" t="s">
        <v>2285</v>
      </c>
      <c r="K610" s="2">
        <v>60</v>
      </c>
      <c r="L610" s="2">
        <v>55</v>
      </c>
      <c r="M610" s="5" t="s">
        <v>2286</v>
      </c>
      <c r="N610" s="3"/>
    </row>
    <row r="611" spans="1:14" ht="20.100000000000001" customHeight="1">
      <c r="A611" s="6" t="s">
        <v>14</v>
      </c>
      <c r="B611" s="7" t="s">
        <v>2211</v>
      </c>
      <c r="C611" s="7" t="s">
        <v>2287</v>
      </c>
      <c r="D611" s="6" t="s">
        <v>2288</v>
      </c>
      <c r="E611" s="6">
        <v>687</v>
      </c>
      <c r="F611" s="6" t="s">
        <v>18</v>
      </c>
      <c r="G611" s="7" t="s">
        <v>2289</v>
      </c>
      <c r="H611" s="6">
        <v>1500</v>
      </c>
      <c r="I611" s="9" t="s">
        <v>172</v>
      </c>
      <c r="J611" s="7" t="s">
        <v>1193</v>
      </c>
      <c r="K611" s="6">
        <v>40</v>
      </c>
      <c r="L611" s="6">
        <v>35</v>
      </c>
      <c r="M611" s="8" t="s">
        <v>2290</v>
      </c>
      <c r="N611" s="7"/>
    </row>
    <row r="612" spans="1:14" ht="20.100000000000001" customHeight="1">
      <c r="A612" s="2" t="s">
        <v>14</v>
      </c>
      <c r="B612" s="3" t="s">
        <v>2211</v>
      </c>
      <c r="C612" s="3" t="s">
        <v>2287</v>
      </c>
      <c r="D612" s="2" t="s">
        <v>2291</v>
      </c>
      <c r="E612" s="2">
        <v>741</v>
      </c>
      <c r="F612" s="2" t="s">
        <v>183</v>
      </c>
      <c r="G612" s="3" t="s">
        <v>2292</v>
      </c>
      <c r="H612" s="2">
        <v>2600</v>
      </c>
      <c r="I612" s="12" t="s">
        <v>659</v>
      </c>
      <c r="J612" s="3" t="s">
        <v>2276</v>
      </c>
      <c r="K612" s="2">
        <v>180</v>
      </c>
      <c r="L612" s="2">
        <v>150</v>
      </c>
      <c r="M612" s="5" t="s">
        <v>2293</v>
      </c>
      <c r="N612" s="3"/>
    </row>
    <row r="613" spans="1:14" ht="20.100000000000001" customHeight="1">
      <c r="A613" s="6" t="s">
        <v>14</v>
      </c>
      <c r="B613" s="7" t="s">
        <v>2211</v>
      </c>
      <c r="C613" s="7" t="s">
        <v>2287</v>
      </c>
      <c r="D613" s="6" t="s">
        <v>2294</v>
      </c>
      <c r="E613" s="6">
        <v>1144</v>
      </c>
      <c r="F613" s="6" t="s">
        <v>635</v>
      </c>
      <c r="G613" s="7" t="s">
        <v>2295</v>
      </c>
      <c r="H613" s="6">
        <v>1700</v>
      </c>
      <c r="I613" s="10" t="s">
        <v>418</v>
      </c>
      <c r="J613" s="7" t="s">
        <v>1193</v>
      </c>
      <c r="K613" s="6">
        <v>60</v>
      </c>
      <c r="L613" s="6">
        <v>55</v>
      </c>
      <c r="M613" s="8" t="s">
        <v>2296</v>
      </c>
      <c r="N613" s="7"/>
    </row>
    <row r="614" spans="1:14" ht="20.100000000000001" customHeight="1">
      <c r="A614" s="2" t="s">
        <v>14</v>
      </c>
      <c r="B614" s="3" t="s">
        <v>2211</v>
      </c>
      <c r="C614" s="3" t="s">
        <v>2287</v>
      </c>
      <c r="D614" s="2" t="s">
        <v>2297</v>
      </c>
      <c r="E614" s="2">
        <v>1354</v>
      </c>
      <c r="F614" s="2" t="s">
        <v>531</v>
      </c>
      <c r="G614" s="3" t="s">
        <v>2298</v>
      </c>
      <c r="H614" s="2">
        <v>2100</v>
      </c>
      <c r="I614" s="12" t="s">
        <v>523</v>
      </c>
      <c r="J614" s="3" t="s">
        <v>2299</v>
      </c>
      <c r="K614" s="2">
        <v>90</v>
      </c>
      <c r="L614" s="2">
        <v>80</v>
      </c>
      <c r="M614" s="5" t="s">
        <v>2300</v>
      </c>
      <c r="N614" s="3"/>
    </row>
    <row r="615" spans="1:14" ht="20.100000000000001" customHeight="1">
      <c r="A615" s="6" t="s">
        <v>14</v>
      </c>
      <c r="B615" s="7" t="s">
        <v>2211</v>
      </c>
      <c r="C615" s="7" t="s">
        <v>2287</v>
      </c>
      <c r="D615" s="6" t="s">
        <v>2301</v>
      </c>
      <c r="E615" s="6">
        <v>1702</v>
      </c>
      <c r="F615" s="6" t="s">
        <v>531</v>
      </c>
      <c r="G615" s="7" t="s">
        <v>2302</v>
      </c>
      <c r="H615" s="6">
        <v>1600</v>
      </c>
      <c r="I615" s="9" t="s">
        <v>172</v>
      </c>
      <c r="J615" s="7" t="s">
        <v>2238</v>
      </c>
      <c r="K615" s="6">
        <v>40</v>
      </c>
      <c r="L615" s="6">
        <v>35</v>
      </c>
      <c r="M615" s="8" t="s">
        <v>2303</v>
      </c>
      <c r="N615" s="7"/>
    </row>
    <row r="616" spans="1:14" ht="20.100000000000001" customHeight="1">
      <c r="A616" s="2" t="s">
        <v>14</v>
      </c>
      <c r="B616" s="3" t="s">
        <v>2304</v>
      </c>
      <c r="C616" s="3" t="s">
        <v>2305</v>
      </c>
      <c r="D616" s="2" t="s">
        <v>2306</v>
      </c>
      <c r="E616" s="2">
        <v>20</v>
      </c>
      <c r="F616" s="2" t="s">
        <v>183</v>
      </c>
      <c r="G616" s="3" t="s">
        <v>2307</v>
      </c>
      <c r="H616" s="2">
        <v>1900</v>
      </c>
      <c r="I616" s="10" t="s">
        <v>386</v>
      </c>
      <c r="J616" s="3" t="s">
        <v>2268</v>
      </c>
      <c r="K616" s="2">
        <v>60</v>
      </c>
      <c r="L616" s="2">
        <v>55</v>
      </c>
      <c r="M616" s="5" t="s">
        <v>2308</v>
      </c>
      <c r="N616" s="3"/>
    </row>
    <row r="617" spans="1:14" ht="20.100000000000001" customHeight="1">
      <c r="A617" s="6" t="s">
        <v>14</v>
      </c>
      <c r="B617" s="7" t="s">
        <v>2304</v>
      </c>
      <c r="C617" s="7" t="s">
        <v>2305</v>
      </c>
      <c r="D617" s="6" t="s">
        <v>2309</v>
      </c>
      <c r="E617" s="6">
        <v>229</v>
      </c>
      <c r="F617" s="6" t="s">
        <v>157</v>
      </c>
      <c r="G617" s="7" t="s">
        <v>2310</v>
      </c>
      <c r="H617" s="6">
        <v>1700</v>
      </c>
      <c r="I617" s="10" t="s">
        <v>418</v>
      </c>
      <c r="J617" s="7" t="s">
        <v>2311</v>
      </c>
      <c r="K617" s="6">
        <v>60</v>
      </c>
      <c r="L617" s="6">
        <v>55</v>
      </c>
      <c r="M617" s="8" t="s">
        <v>2312</v>
      </c>
      <c r="N617" s="7"/>
    </row>
    <row r="618" spans="1:14" ht="20.100000000000001" customHeight="1">
      <c r="A618" s="2" t="s">
        <v>14</v>
      </c>
      <c r="B618" s="3" t="s">
        <v>2304</v>
      </c>
      <c r="C618" s="3" t="s">
        <v>2305</v>
      </c>
      <c r="D618" s="2" t="s">
        <v>2313</v>
      </c>
      <c r="E618" s="2">
        <v>449</v>
      </c>
      <c r="F618" s="2" t="s">
        <v>157</v>
      </c>
      <c r="G618" s="3" t="s">
        <v>2314</v>
      </c>
      <c r="H618" s="2">
        <v>2000</v>
      </c>
      <c r="I618" s="10" t="s">
        <v>386</v>
      </c>
      <c r="J618" s="3" t="s">
        <v>1697</v>
      </c>
      <c r="K618" s="2">
        <v>90</v>
      </c>
      <c r="L618" s="2">
        <v>80</v>
      </c>
      <c r="M618" s="5" t="s">
        <v>2315</v>
      </c>
      <c r="N618" s="3"/>
    </row>
    <row r="619" spans="1:14" ht="20.100000000000001" customHeight="1">
      <c r="A619" s="6" t="s">
        <v>14</v>
      </c>
      <c r="B619" s="7" t="s">
        <v>2304</v>
      </c>
      <c r="C619" s="7" t="s">
        <v>2305</v>
      </c>
      <c r="D619" s="6" t="s">
        <v>2316</v>
      </c>
      <c r="E619" s="6">
        <v>545</v>
      </c>
      <c r="F619" s="6" t="s">
        <v>531</v>
      </c>
      <c r="G619" s="7" t="s">
        <v>2317</v>
      </c>
      <c r="H619" s="6">
        <v>2000</v>
      </c>
      <c r="I619" s="10" t="s">
        <v>386</v>
      </c>
      <c r="J619" s="7" t="s">
        <v>1697</v>
      </c>
      <c r="K619" s="6">
        <v>90</v>
      </c>
      <c r="L619" s="6">
        <v>80</v>
      </c>
      <c r="M619" s="8" t="s">
        <v>2318</v>
      </c>
      <c r="N619" s="7"/>
    </row>
    <row r="620" spans="1:14" ht="20.100000000000001" customHeight="1">
      <c r="A620" s="2" t="s">
        <v>14</v>
      </c>
      <c r="B620" s="3" t="s">
        <v>2304</v>
      </c>
      <c r="C620" s="3" t="s">
        <v>2305</v>
      </c>
      <c r="D620" s="2" t="s">
        <v>2319</v>
      </c>
      <c r="E620" s="2">
        <v>938</v>
      </c>
      <c r="F620" s="2" t="s">
        <v>384</v>
      </c>
      <c r="G620" s="3" t="s">
        <v>2320</v>
      </c>
      <c r="H620" s="2">
        <v>2000</v>
      </c>
      <c r="I620" s="10" t="s">
        <v>386</v>
      </c>
      <c r="J620" s="3" t="s">
        <v>2321</v>
      </c>
      <c r="K620" s="2">
        <v>90</v>
      </c>
      <c r="L620" s="2">
        <v>80</v>
      </c>
      <c r="M620" s="5" t="s">
        <v>2322</v>
      </c>
      <c r="N620" s="3"/>
    </row>
    <row r="621" spans="1:14" ht="20.100000000000001" customHeight="1">
      <c r="A621" s="6" t="s">
        <v>14</v>
      </c>
      <c r="B621" s="7" t="s">
        <v>2304</v>
      </c>
      <c r="C621" s="7" t="s">
        <v>2305</v>
      </c>
      <c r="D621" s="6" t="s">
        <v>2323</v>
      </c>
      <c r="E621" s="6">
        <v>1076</v>
      </c>
      <c r="F621" s="6" t="s">
        <v>384</v>
      </c>
      <c r="G621" s="7" t="s">
        <v>2324</v>
      </c>
      <c r="H621" s="6">
        <v>1800</v>
      </c>
      <c r="I621" s="10" t="s">
        <v>418</v>
      </c>
      <c r="J621" s="7" t="s">
        <v>1697</v>
      </c>
      <c r="K621" s="6">
        <v>60</v>
      </c>
      <c r="L621" s="6">
        <v>55</v>
      </c>
      <c r="M621" s="8" t="s">
        <v>2325</v>
      </c>
      <c r="N621" s="7"/>
    </row>
    <row r="622" spans="1:14" ht="20.100000000000001" customHeight="1">
      <c r="A622" s="2" t="s">
        <v>14</v>
      </c>
      <c r="B622" s="3" t="s">
        <v>2304</v>
      </c>
      <c r="C622" s="3" t="s">
        <v>2305</v>
      </c>
      <c r="D622" s="2" t="s">
        <v>2326</v>
      </c>
      <c r="E622" s="2">
        <v>1422</v>
      </c>
      <c r="F622" s="2" t="s">
        <v>384</v>
      </c>
      <c r="G622" s="3" t="s">
        <v>2327</v>
      </c>
      <c r="H622" s="2">
        <v>2300</v>
      </c>
      <c r="I622" s="12" t="s">
        <v>523</v>
      </c>
      <c r="J622" s="3" t="s">
        <v>2328</v>
      </c>
      <c r="K622" s="2">
        <v>120</v>
      </c>
      <c r="L622" s="2">
        <v>110</v>
      </c>
      <c r="M622" s="5" t="s">
        <v>2329</v>
      </c>
      <c r="N622" s="3"/>
    </row>
    <row r="623" spans="1:14" ht="20.100000000000001" customHeight="1">
      <c r="A623" s="6" t="s">
        <v>14</v>
      </c>
      <c r="B623" s="7" t="s">
        <v>2304</v>
      </c>
      <c r="C623" s="7" t="s">
        <v>2330</v>
      </c>
      <c r="D623" s="6" t="s">
        <v>2331</v>
      </c>
      <c r="E623" s="6">
        <v>1433</v>
      </c>
      <c r="F623" s="6" t="s">
        <v>535</v>
      </c>
      <c r="G623" s="7" t="s">
        <v>2332</v>
      </c>
      <c r="H623" s="6">
        <v>2100</v>
      </c>
      <c r="I623" s="12" t="s">
        <v>523</v>
      </c>
      <c r="J623" s="7" t="s">
        <v>2333</v>
      </c>
      <c r="K623" s="6">
        <v>90</v>
      </c>
      <c r="L623" s="6">
        <v>80</v>
      </c>
      <c r="M623" s="8" t="s">
        <v>2334</v>
      </c>
      <c r="N623" s="7"/>
    </row>
    <row r="624" spans="1:14" ht="20.100000000000001" customHeight="1">
      <c r="A624" s="2" t="s">
        <v>14</v>
      </c>
      <c r="B624" s="3" t="s">
        <v>2304</v>
      </c>
      <c r="C624" s="3" t="s">
        <v>2330</v>
      </c>
      <c r="D624" s="2" t="s">
        <v>2335</v>
      </c>
      <c r="E624" s="2">
        <v>1705</v>
      </c>
      <c r="F624" s="2" t="s">
        <v>531</v>
      </c>
      <c r="G624" s="3" t="s">
        <v>2336</v>
      </c>
      <c r="H624" s="2">
        <v>2300</v>
      </c>
      <c r="I624" s="12" t="s">
        <v>523</v>
      </c>
      <c r="J624" s="3" t="s">
        <v>2337</v>
      </c>
      <c r="K624" s="2">
        <v>120</v>
      </c>
      <c r="L624" s="2">
        <v>110</v>
      </c>
      <c r="M624" s="5" t="s">
        <v>2338</v>
      </c>
      <c r="N624" s="3"/>
    </row>
    <row r="625" spans="1:14" ht="20.100000000000001" customHeight="1">
      <c r="A625" s="6" t="s">
        <v>14</v>
      </c>
      <c r="B625" s="7" t="s">
        <v>2304</v>
      </c>
      <c r="C625" s="7" t="s">
        <v>2339</v>
      </c>
      <c r="D625" s="6" t="s">
        <v>2340</v>
      </c>
      <c r="E625" s="6">
        <v>59</v>
      </c>
      <c r="F625" s="6" t="s">
        <v>531</v>
      </c>
      <c r="G625" s="7" t="s">
        <v>2341</v>
      </c>
      <c r="H625" s="6">
        <v>2000</v>
      </c>
      <c r="I625" s="10" t="s">
        <v>386</v>
      </c>
      <c r="J625" s="7" t="s">
        <v>2268</v>
      </c>
      <c r="K625" s="6">
        <v>90</v>
      </c>
      <c r="L625" s="6">
        <v>80</v>
      </c>
      <c r="M625" s="8" t="s">
        <v>2342</v>
      </c>
      <c r="N625" s="7"/>
    </row>
    <row r="626" spans="1:14" ht="20.100000000000001" customHeight="1">
      <c r="A626" s="2" t="s">
        <v>14</v>
      </c>
      <c r="B626" s="3" t="s">
        <v>2304</v>
      </c>
      <c r="C626" s="3" t="s">
        <v>2339</v>
      </c>
      <c r="D626" s="2" t="s">
        <v>2343</v>
      </c>
      <c r="E626" s="2">
        <v>567</v>
      </c>
      <c r="F626" s="2" t="s">
        <v>531</v>
      </c>
      <c r="G626" s="3" t="s">
        <v>2344</v>
      </c>
      <c r="H626" s="2">
        <v>2200</v>
      </c>
      <c r="I626" s="12" t="s">
        <v>523</v>
      </c>
      <c r="J626" s="3" t="s">
        <v>2345</v>
      </c>
      <c r="K626" s="2">
        <v>90</v>
      </c>
      <c r="L626" s="2">
        <v>80</v>
      </c>
      <c r="M626" s="5" t="s">
        <v>2346</v>
      </c>
      <c r="N626" s="3"/>
    </row>
    <row r="627" spans="1:14" ht="20.100000000000001" customHeight="1">
      <c r="A627" s="6" t="s">
        <v>14</v>
      </c>
      <c r="B627" s="7" t="s">
        <v>2304</v>
      </c>
      <c r="C627" s="7" t="s">
        <v>2339</v>
      </c>
      <c r="D627" s="6" t="s">
        <v>2347</v>
      </c>
      <c r="E627" s="6">
        <v>1074</v>
      </c>
      <c r="F627" s="6" t="s">
        <v>384</v>
      </c>
      <c r="G627" s="7" t="s">
        <v>185</v>
      </c>
      <c r="H627" s="6" t="s">
        <v>185</v>
      </c>
      <c r="I627" s="11" t="s">
        <v>185</v>
      </c>
      <c r="J627" s="7" t="s">
        <v>185</v>
      </c>
      <c r="K627" s="6">
        <v>0</v>
      </c>
      <c r="L627" s="6">
        <v>0</v>
      </c>
      <c r="M627" s="8" t="s">
        <v>2348</v>
      </c>
      <c r="N627" s="7"/>
    </row>
    <row r="628" spans="1:14" ht="20.100000000000001" customHeight="1">
      <c r="A628" s="2" t="s">
        <v>14</v>
      </c>
      <c r="B628" s="3" t="s">
        <v>2304</v>
      </c>
      <c r="C628" s="3" t="s">
        <v>2339</v>
      </c>
      <c r="D628" s="2" t="s">
        <v>2349</v>
      </c>
      <c r="E628" s="2">
        <v>1209</v>
      </c>
      <c r="F628" s="2" t="s">
        <v>635</v>
      </c>
      <c r="G628" s="3" t="s">
        <v>2350</v>
      </c>
      <c r="H628" s="2">
        <v>2600</v>
      </c>
      <c r="I628" s="12" t="s">
        <v>659</v>
      </c>
      <c r="J628" s="3" t="s">
        <v>2351</v>
      </c>
      <c r="K628" s="2">
        <v>180</v>
      </c>
      <c r="L628" s="2">
        <v>150</v>
      </c>
      <c r="M628" s="5" t="s">
        <v>2352</v>
      </c>
      <c r="N628" s="3"/>
    </row>
    <row r="629" spans="1:14" ht="20.100000000000001" customHeight="1">
      <c r="A629" s="6" t="s">
        <v>14</v>
      </c>
      <c r="B629" s="7" t="s">
        <v>2304</v>
      </c>
      <c r="C629" s="7" t="s">
        <v>2339</v>
      </c>
      <c r="D629" s="6" t="s">
        <v>2353</v>
      </c>
      <c r="E629" s="6">
        <v>1394</v>
      </c>
      <c r="F629" s="6" t="s">
        <v>18</v>
      </c>
      <c r="G629" s="7" t="s">
        <v>2354</v>
      </c>
      <c r="H629" s="6">
        <v>1800</v>
      </c>
      <c r="I629" s="10" t="s">
        <v>418</v>
      </c>
      <c r="J629" s="7" t="s">
        <v>2355</v>
      </c>
      <c r="K629" s="6">
        <v>60</v>
      </c>
      <c r="L629" s="6">
        <v>55</v>
      </c>
      <c r="M629" s="8" t="s">
        <v>2356</v>
      </c>
      <c r="N629" s="7"/>
    </row>
    <row r="630" spans="1:14" ht="20.100000000000001" customHeight="1">
      <c r="A630" s="2" t="s">
        <v>14</v>
      </c>
      <c r="B630" s="3" t="s">
        <v>2304</v>
      </c>
      <c r="C630" s="3" t="s">
        <v>2357</v>
      </c>
      <c r="D630" s="2" t="s">
        <v>2358</v>
      </c>
      <c r="E630" s="2">
        <v>295</v>
      </c>
      <c r="F630" s="2" t="s">
        <v>157</v>
      </c>
      <c r="G630" s="3" t="s">
        <v>2359</v>
      </c>
      <c r="H630" s="2">
        <v>1700</v>
      </c>
      <c r="I630" s="10" t="s">
        <v>418</v>
      </c>
      <c r="J630" s="3" t="s">
        <v>2360</v>
      </c>
      <c r="K630" s="2">
        <v>60</v>
      </c>
      <c r="L630" s="2">
        <v>55</v>
      </c>
      <c r="M630" s="5" t="s">
        <v>2361</v>
      </c>
      <c r="N630" s="3"/>
    </row>
    <row r="631" spans="1:14" ht="20.100000000000001" customHeight="1">
      <c r="A631" s="6" t="s">
        <v>14</v>
      </c>
      <c r="B631" s="7" t="s">
        <v>2304</v>
      </c>
      <c r="C631" s="7" t="s">
        <v>2357</v>
      </c>
      <c r="D631" s="6" t="s">
        <v>2362</v>
      </c>
      <c r="E631" s="6">
        <v>400</v>
      </c>
      <c r="F631" s="6" t="s">
        <v>384</v>
      </c>
      <c r="G631" s="7" t="s">
        <v>2363</v>
      </c>
      <c r="H631" s="6">
        <v>2000</v>
      </c>
      <c r="I631" s="10" t="s">
        <v>386</v>
      </c>
      <c r="J631" s="7" t="s">
        <v>2364</v>
      </c>
      <c r="K631" s="6">
        <v>90</v>
      </c>
      <c r="L631" s="6">
        <v>80</v>
      </c>
      <c r="M631" s="8" t="s">
        <v>2365</v>
      </c>
      <c r="N631" s="7"/>
    </row>
    <row r="632" spans="1:14" ht="20.100000000000001" customHeight="1">
      <c r="A632" s="2" t="s">
        <v>14</v>
      </c>
      <c r="B632" s="3" t="s">
        <v>2304</v>
      </c>
      <c r="C632" s="3" t="s">
        <v>2357</v>
      </c>
      <c r="D632" s="2" t="s">
        <v>2366</v>
      </c>
      <c r="E632" s="2">
        <v>1205</v>
      </c>
      <c r="F632" s="2" t="s">
        <v>157</v>
      </c>
      <c r="G632" s="3" t="s">
        <v>2367</v>
      </c>
      <c r="H632" s="2">
        <v>1900</v>
      </c>
      <c r="I632" s="10" t="s">
        <v>386</v>
      </c>
      <c r="J632" s="3" t="s">
        <v>2368</v>
      </c>
      <c r="K632" s="2">
        <v>60</v>
      </c>
      <c r="L632" s="2">
        <v>55</v>
      </c>
      <c r="M632" s="5" t="s">
        <v>2369</v>
      </c>
      <c r="N632" s="3"/>
    </row>
    <row r="633" spans="1:14" ht="20.100000000000001" customHeight="1">
      <c r="A633" s="6" t="s">
        <v>14</v>
      </c>
      <c r="B633" s="7" t="s">
        <v>2370</v>
      </c>
      <c r="C633" s="7" t="s">
        <v>2371</v>
      </c>
      <c r="D633" s="6" t="s">
        <v>2372</v>
      </c>
      <c r="E633" s="6">
        <v>939</v>
      </c>
      <c r="F633" s="6" t="s">
        <v>384</v>
      </c>
      <c r="G633" s="7" t="s">
        <v>2373</v>
      </c>
      <c r="H633" s="6">
        <v>1600</v>
      </c>
      <c r="I633" s="9" t="s">
        <v>172</v>
      </c>
      <c r="J633" s="7" t="s">
        <v>2374</v>
      </c>
      <c r="K633" s="6">
        <v>40</v>
      </c>
      <c r="L633" s="6">
        <v>35</v>
      </c>
      <c r="M633" s="8" t="s">
        <v>2375</v>
      </c>
      <c r="N633" s="7"/>
    </row>
    <row r="634" spans="1:14" ht="20.100000000000001" customHeight="1">
      <c r="A634" s="2" t="s">
        <v>14</v>
      </c>
      <c r="B634" s="3" t="s">
        <v>2370</v>
      </c>
      <c r="C634" s="3" t="s">
        <v>2371</v>
      </c>
      <c r="D634" s="2" t="s">
        <v>2376</v>
      </c>
      <c r="E634" s="2">
        <v>1167</v>
      </c>
      <c r="F634" s="2" t="s">
        <v>183</v>
      </c>
      <c r="G634" s="3" t="s">
        <v>2377</v>
      </c>
      <c r="H634" s="2">
        <v>1400</v>
      </c>
      <c r="I634" s="9" t="s">
        <v>163</v>
      </c>
      <c r="J634" s="3" t="s">
        <v>2238</v>
      </c>
      <c r="K634" s="2">
        <v>40</v>
      </c>
      <c r="L634" s="2">
        <v>35</v>
      </c>
      <c r="M634" s="5" t="s">
        <v>2378</v>
      </c>
      <c r="N634" s="3"/>
    </row>
    <row r="635" spans="1:14" ht="20.100000000000001" customHeight="1">
      <c r="A635" s="6" t="s">
        <v>14</v>
      </c>
      <c r="B635" s="7" t="s">
        <v>2370</v>
      </c>
      <c r="C635" s="7" t="s">
        <v>2371</v>
      </c>
      <c r="D635" s="6" t="s">
        <v>2379</v>
      </c>
      <c r="E635" s="6">
        <v>1249</v>
      </c>
      <c r="F635" s="6" t="s">
        <v>1952</v>
      </c>
      <c r="G635" s="7" t="s">
        <v>2380</v>
      </c>
      <c r="H635" s="6">
        <v>1000</v>
      </c>
      <c r="I635" s="4" t="s">
        <v>43</v>
      </c>
      <c r="J635" s="7" t="s">
        <v>2381</v>
      </c>
      <c r="K635" s="6">
        <v>15</v>
      </c>
      <c r="L635" s="6">
        <v>10</v>
      </c>
      <c r="M635" s="8" t="s">
        <v>2382</v>
      </c>
      <c r="N635" s="7"/>
    </row>
    <row r="636" spans="1:14" ht="20.100000000000001" customHeight="1">
      <c r="A636" s="2" t="s">
        <v>14</v>
      </c>
      <c r="B636" s="3" t="s">
        <v>2370</v>
      </c>
      <c r="C636" s="3" t="s">
        <v>2371</v>
      </c>
      <c r="D636" s="2" t="s">
        <v>2383</v>
      </c>
      <c r="E636" s="2">
        <v>1249</v>
      </c>
      <c r="F636" s="2" t="s">
        <v>1649</v>
      </c>
      <c r="G636" s="3" t="s">
        <v>2384</v>
      </c>
      <c r="H636" s="2">
        <v>1300</v>
      </c>
      <c r="I636" s="9" t="s">
        <v>163</v>
      </c>
      <c r="J636" s="3" t="s">
        <v>2385</v>
      </c>
      <c r="K636" s="2">
        <v>25</v>
      </c>
      <c r="L636" s="2">
        <v>20</v>
      </c>
      <c r="M636" s="5" t="s">
        <v>2386</v>
      </c>
      <c r="N636" s="3"/>
    </row>
    <row r="637" spans="1:14" ht="20.100000000000001" customHeight="1">
      <c r="A637" s="6" t="s">
        <v>14</v>
      </c>
      <c r="B637" s="7" t="s">
        <v>2370</v>
      </c>
      <c r="C637" s="7" t="s">
        <v>2371</v>
      </c>
      <c r="D637" s="6" t="s">
        <v>2387</v>
      </c>
      <c r="E637" s="6">
        <v>1263</v>
      </c>
      <c r="F637" s="6" t="s">
        <v>384</v>
      </c>
      <c r="G637" s="7" t="s">
        <v>2388</v>
      </c>
      <c r="H637" s="6">
        <v>1500</v>
      </c>
      <c r="I637" s="9" t="s">
        <v>172</v>
      </c>
      <c r="J637" s="7" t="s">
        <v>2238</v>
      </c>
      <c r="K637" s="6">
        <v>40</v>
      </c>
      <c r="L637" s="6">
        <v>35</v>
      </c>
      <c r="M637" s="8" t="s">
        <v>2389</v>
      </c>
      <c r="N637" s="7"/>
    </row>
    <row r="638" spans="1:14" ht="20.100000000000001" customHeight="1">
      <c r="A638" s="2" t="s">
        <v>14</v>
      </c>
      <c r="B638" s="3" t="s">
        <v>2370</v>
      </c>
      <c r="C638" s="3" t="s">
        <v>2371</v>
      </c>
      <c r="D638" s="2" t="s">
        <v>2390</v>
      </c>
      <c r="E638" s="2">
        <v>1383</v>
      </c>
      <c r="F638" s="2" t="s">
        <v>18</v>
      </c>
      <c r="G638" s="3" t="s">
        <v>2391</v>
      </c>
      <c r="H638" s="2">
        <v>1700</v>
      </c>
      <c r="I638" s="10" t="s">
        <v>418</v>
      </c>
      <c r="J638" s="3" t="s">
        <v>2392</v>
      </c>
      <c r="K638" s="2">
        <v>60</v>
      </c>
      <c r="L638" s="2">
        <v>55</v>
      </c>
      <c r="M638" s="5" t="s">
        <v>2393</v>
      </c>
      <c r="N638" s="3"/>
    </row>
    <row r="639" spans="1:14" ht="20.100000000000001" customHeight="1">
      <c r="A639" s="6" t="s">
        <v>14</v>
      </c>
      <c r="B639" s="7" t="s">
        <v>2370</v>
      </c>
      <c r="C639" s="7" t="s">
        <v>2371</v>
      </c>
      <c r="D639" s="6" t="s">
        <v>2394</v>
      </c>
      <c r="E639" s="6">
        <v>1609</v>
      </c>
      <c r="F639" s="6" t="s">
        <v>384</v>
      </c>
      <c r="G639" s="7" t="s">
        <v>2395</v>
      </c>
      <c r="H639" s="6">
        <v>1600</v>
      </c>
      <c r="I639" s="9" t="s">
        <v>172</v>
      </c>
      <c r="J639" s="7" t="s">
        <v>2396</v>
      </c>
      <c r="K639" s="6">
        <v>40</v>
      </c>
      <c r="L639" s="6">
        <v>35</v>
      </c>
      <c r="M639" s="8" t="s">
        <v>2397</v>
      </c>
      <c r="N639" s="7"/>
    </row>
    <row r="640" spans="1:14" ht="20.100000000000001" customHeight="1">
      <c r="A640" s="2" t="s">
        <v>14</v>
      </c>
      <c r="B640" s="3" t="s">
        <v>2370</v>
      </c>
      <c r="C640" s="3" t="s">
        <v>2398</v>
      </c>
      <c r="D640" s="2" t="s">
        <v>2399</v>
      </c>
      <c r="E640" s="2">
        <v>25</v>
      </c>
      <c r="F640" s="2" t="s">
        <v>384</v>
      </c>
      <c r="G640" s="3" t="s">
        <v>2400</v>
      </c>
      <c r="H640" s="2">
        <v>1900</v>
      </c>
      <c r="I640" s="10" t="s">
        <v>386</v>
      </c>
      <c r="J640" s="3" t="s">
        <v>2401</v>
      </c>
      <c r="K640" s="2">
        <v>60</v>
      </c>
      <c r="L640" s="2">
        <v>55</v>
      </c>
      <c r="M640" s="5" t="s">
        <v>2402</v>
      </c>
      <c r="N640" s="3"/>
    </row>
    <row r="641" spans="1:14" ht="20.100000000000001" customHeight="1">
      <c r="A641" s="6" t="s">
        <v>14</v>
      </c>
      <c r="B641" s="7" t="s">
        <v>2370</v>
      </c>
      <c r="C641" s="7" t="s">
        <v>2398</v>
      </c>
      <c r="D641" s="6" t="s">
        <v>2403</v>
      </c>
      <c r="E641" s="6">
        <v>277</v>
      </c>
      <c r="F641" s="6" t="s">
        <v>18</v>
      </c>
      <c r="G641" s="7" t="s">
        <v>2404</v>
      </c>
      <c r="H641" s="6">
        <v>1400</v>
      </c>
      <c r="I641" s="9" t="s">
        <v>163</v>
      </c>
      <c r="J641" s="7" t="s">
        <v>2405</v>
      </c>
      <c r="K641" s="6">
        <v>40</v>
      </c>
      <c r="L641" s="6">
        <v>35</v>
      </c>
      <c r="M641" s="8" t="s">
        <v>2406</v>
      </c>
      <c r="N641" s="7"/>
    </row>
    <row r="642" spans="1:14" ht="20.100000000000001" customHeight="1">
      <c r="A642" s="2" t="s">
        <v>14</v>
      </c>
      <c r="B642" s="3" t="s">
        <v>2370</v>
      </c>
      <c r="C642" s="3" t="s">
        <v>2398</v>
      </c>
      <c r="D642" s="2" t="s">
        <v>2407</v>
      </c>
      <c r="E642" s="2">
        <v>500</v>
      </c>
      <c r="F642" s="2" t="s">
        <v>157</v>
      </c>
      <c r="G642" s="3" t="s">
        <v>2408</v>
      </c>
      <c r="H642" s="2">
        <v>1600</v>
      </c>
      <c r="I642" s="9" t="s">
        <v>172</v>
      </c>
      <c r="J642" s="3" t="s">
        <v>2409</v>
      </c>
      <c r="K642" s="2">
        <v>40</v>
      </c>
      <c r="L642" s="2">
        <v>35</v>
      </c>
      <c r="M642" s="5" t="s">
        <v>2410</v>
      </c>
      <c r="N642" s="3"/>
    </row>
    <row r="643" spans="1:14" ht="20.100000000000001" customHeight="1">
      <c r="A643" s="6" t="s">
        <v>14</v>
      </c>
      <c r="B643" s="7" t="s">
        <v>2370</v>
      </c>
      <c r="C643" s="7" t="s">
        <v>2398</v>
      </c>
      <c r="D643" s="6" t="s">
        <v>2411</v>
      </c>
      <c r="E643" s="6">
        <v>653</v>
      </c>
      <c r="F643" s="6" t="s">
        <v>384</v>
      </c>
      <c r="G643" s="7" t="s">
        <v>2412</v>
      </c>
      <c r="H643" s="6">
        <v>2200</v>
      </c>
      <c r="I643" s="12" t="s">
        <v>523</v>
      </c>
      <c r="J643" s="7" t="s">
        <v>2413</v>
      </c>
      <c r="K643" s="6">
        <v>90</v>
      </c>
      <c r="L643" s="6">
        <v>80</v>
      </c>
      <c r="M643" s="8" t="s">
        <v>2414</v>
      </c>
      <c r="N643" s="7"/>
    </row>
    <row r="644" spans="1:14" ht="20.100000000000001" customHeight="1">
      <c r="A644" s="2" t="s">
        <v>14</v>
      </c>
      <c r="B644" s="3" t="s">
        <v>2370</v>
      </c>
      <c r="C644" s="3" t="s">
        <v>2398</v>
      </c>
      <c r="D644" s="2" t="s">
        <v>2415</v>
      </c>
      <c r="E644" s="2">
        <v>891</v>
      </c>
      <c r="F644" s="2" t="s">
        <v>183</v>
      </c>
      <c r="G644" s="3" t="s">
        <v>2416</v>
      </c>
      <c r="H644" s="2">
        <v>2300</v>
      </c>
      <c r="I644" s="12" t="s">
        <v>523</v>
      </c>
      <c r="J644" s="3" t="s">
        <v>2417</v>
      </c>
      <c r="K644" s="2">
        <v>120</v>
      </c>
      <c r="L644" s="2">
        <v>110</v>
      </c>
      <c r="M644" s="5" t="s">
        <v>2418</v>
      </c>
      <c r="N644" s="3"/>
    </row>
    <row r="645" spans="1:14" ht="20.100000000000001" customHeight="1">
      <c r="A645" s="6" t="s">
        <v>14</v>
      </c>
      <c r="B645" s="7" t="s">
        <v>2370</v>
      </c>
      <c r="C645" s="7" t="s">
        <v>2398</v>
      </c>
      <c r="D645" s="6" t="s">
        <v>2419</v>
      </c>
      <c r="E645" s="6">
        <v>1131</v>
      </c>
      <c r="F645" s="6" t="s">
        <v>384</v>
      </c>
      <c r="G645" s="7" t="s">
        <v>2420</v>
      </c>
      <c r="H645" s="6">
        <v>2000</v>
      </c>
      <c r="I645" s="10" t="s">
        <v>386</v>
      </c>
      <c r="J645" s="7" t="s">
        <v>2421</v>
      </c>
      <c r="K645" s="6">
        <v>90</v>
      </c>
      <c r="L645" s="6">
        <v>80</v>
      </c>
      <c r="M645" s="8" t="s">
        <v>2422</v>
      </c>
      <c r="N645" s="7"/>
    </row>
    <row r="646" spans="1:14" ht="20.100000000000001" customHeight="1">
      <c r="A646" s="2" t="s">
        <v>14</v>
      </c>
      <c r="B646" s="3" t="s">
        <v>2370</v>
      </c>
      <c r="C646" s="3" t="s">
        <v>2398</v>
      </c>
      <c r="D646" s="2" t="s">
        <v>2423</v>
      </c>
      <c r="E646" s="2">
        <v>1253</v>
      </c>
      <c r="F646" s="2" t="s">
        <v>384</v>
      </c>
      <c r="G646" s="3" t="s">
        <v>2424</v>
      </c>
      <c r="H646" s="2">
        <v>1700</v>
      </c>
      <c r="I646" s="10" t="s">
        <v>418</v>
      </c>
      <c r="J646" s="3" t="s">
        <v>2425</v>
      </c>
      <c r="K646" s="2">
        <v>60</v>
      </c>
      <c r="L646" s="2">
        <v>55</v>
      </c>
      <c r="M646" s="5" t="s">
        <v>2426</v>
      </c>
      <c r="N646" s="3"/>
    </row>
    <row r="647" spans="1:14" ht="20.100000000000001" customHeight="1">
      <c r="A647" s="6" t="s">
        <v>14</v>
      </c>
      <c r="B647" s="7" t="s">
        <v>2370</v>
      </c>
      <c r="C647" s="7" t="s">
        <v>2398</v>
      </c>
      <c r="D647" s="6" t="s">
        <v>2427</v>
      </c>
      <c r="E647" s="6">
        <v>1466</v>
      </c>
      <c r="F647" s="6" t="s">
        <v>635</v>
      </c>
      <c r="G647" s="7" t="s">
        <v>2428</v>
      </c>
      <c r="H647" s="6">
        <v>2100</v>
      </c>
      <c r="I647" s="12" t="s">
        <v>523</v>
      </c>
      <c r="J647" s="7" t="s">
        <v>2429</v>
      </c>
      <c r="K647" s="6">
        <v>90</v>
      </c>
      <c r="L647" s="6">
        <v>80</v>
      </c>
      <c r="M647" s="8" t="s">
        <v>2430</v>
      </c>
      <c r="N647" s="7"/>
    </row>
    <row r="648" spans="1:14" ht="20.100000000000001" customHeight="1">
      <c r="A648" s="2" t="s">
        <v>14</v>
      </c>
      <c r="B648" s="3" t="s">
        <v>2370</v>
      </c>
      <c r="C648" s="3" t="s">
        <v>2431</v>
      </c>
      <c r="D648" s="2" t="s">
        <v>2432</v>
      </c>
      <c r="E648" s="2">
        <v>1095</v>
      </c>
      <c r="F648" s="2" t="s">
        <v>635</v>
      </c>
      <c r="G648" s="3" t="s">
        <v>2433</v>
      </c>
      <c r="H648" s="2">
        <v>1900</v>
      </c>
      <c r="I648" s="10" t="s">
        <v>386</v>
      </c>
      <c r="J648" s="3" t="s">
        <v>2434</v>
      </c>
      <c r="K648" s="2">
        <v>60</v>
      </c>
      <c r="L648" s="2">
        <v>55</v>
      </c>
      <c r="M648" s="5" t="s">
        <v>2435</v>
      </c>
      <c r="N648" s="3"/>
    </row>
    <row r="649" spans="1:14" ht="20.100000000000001" customHeight="1">
      <c r="A649" s="6" t="s">
        <v>14</v>
      </c>
      <c r="B649" s="7" t="s">
        <v>2370</v>
      </c>
      <c r="C649" s="7" t="s">
        <v>2431</v>
      </c>
      <c r="D649" s="6" t="s">
        <v>2436</v>
      </c>
      <c r="E649" s="6">
        <v>1245</v>
      </c>
      <c r="F649" s="6" t="s">
        <v>384</v>
      </c>
      <c r="G649" s="7" t="s">
        <v>2437</v>
      </c>
      <c r="H649" s="6">
        <v>1900</v>
      </c>
      <c r="I649" s="10" t="s">
        <v>386</v>
      </c>
      <c r="J649" s="7" t="s">
        <v>2438</v>
      </c>
      <c r="K649" s="6">
        <v>60</v>
      </c>
      <c r="L649" s="6">
        <v>55</v>
      </c>
      <c r="M649" s="8" t="s">
        <v>2439</v>
      </c>
      <c r="N649" s="7"/>
    </row>
    <row r="650" spans="1:14" ht="20.100000000000001" customHeight="1">
      <c r="A650" s="2" t="s">
        <v>14</v>
      </c>
      <c r="B650" s="3" t="s">
        <v>2370</v>
      </c>
      <c r="C650" s="3" t="s">
        <v>2431</v>
      </c>
      <c r="D650" s="2" t="s">
        <v>2440</v>
      </c>
      <c r="E650" s="2">
        <v>1468</v>
      </c>
      <c r="F650" s="2" t="s">
        <v>2441</v>
      </c>
      <c r="G650" s="3" t="s">
        <v>2442</v>
      </c>
      <c r="H650" s="2">
        <v>1800</v>
      </c>
      <c r="I650" s="10" t="s">
        <v>418</v>
      </c>
      <c r="J650" s="3" t="s">
        <v>2434</v>
      </c>
      <c r="K650" s="2">
        <v>60</v>
      </c>
      <c r="L650" s="2">
        <v>55</v>
      </c>
      <c r="M650" s="5" t="s">
        <v>2443</v>
      </c>
      <c r="N650" s="3"/>
    </row>
    <row r="651" spans="1:14" ht="20.100000000000001" customHeight="1">
      <c r="A651" s="6" t="s">
        <v>14</v>
      </c>
      <c r="B651" s="7" t="s">
        <v>2370</v>
      </c>
      <c r="C651" s="7" t="s">
        <v>2431</v>
      </c>
      <c r="D651" s="6" t="s">
        <v>2444</v>
      </c>
      <c r="E651" s="6">
        <v>160</v>
      </c>
      <c r="F651" s="6" t="s">
        <v>384</v>
      </c>
      <c r="G651" s="7" t="s">
        <v>2445</v>
      </c>
      <c r="H651" s="6">
        <v>2300</v>
      </c>
      <c r="I651" s="12" t="s">
        <v>523</v>
      </c>
      <c r="J651" s="7" t="s">
        <v>2446</v>
      </c>
      <c r="K651" s="6">
        <v>120</v>
      </c>
      <c r="L651" s="6">
        <v>110</v>
      </c>
      <c r="M651" s="8" t="s">
        <v>2447</v>
      </c>
      <c r="N651" s="7"/>
    </row>
    <row r="652" spans="1:14" ht="20.100000000000001" customHeight="1">
      <c r="A652" s="2" t="s">
        <v>14</v>
      </c>
      <c r="B652" s="3" t="s">
        <v>2370</v>
      </c>
      <c r="C652" s="3" t="s">
        <v>2448</v>
      </c>
      <c r="D652" s="2" t="s">
        <v>2449</v>
      </c>
      <c r="E652" s="2">
        <v>1416</v>
      </c>
      <c r="F652" s="2" t="s">
        <v>384</v>
      </c>
      <c r="G652" s="3" t="s">
        <v>2450</v>
      </c>
      <c r="H652" s="2">
        <v>2600</v>
      </c>
      <c r="I652" s="12" t="s">
        <v>659</v>
      </c>
      <c r="J652" s="3" t="s">
        <v>2451</v>
      </c>
      <c r="K652" s="2">
        <v>180</v>
      </c>
      <c r="L652" s="2">
        <v>150</v>
      </c>
      <c r="M652" s="5" t="s">
        <v>2452</v>
      </c>
      <c r="N652" s="3"/>
    </row>
    <row r="653" spans="1:14" ht="20.100000000000001" customHeight="1">
      <c r="A653" s="6" t="s">
        <v>14</v>
      </c>
      <c r="B653" s="7" t="s">
        <v>2370</v>
      </c>
      <c r="C653" s="7" t="s">
        <v>2448</v>
      </c>
      <c r="D653" s="6" t="s">
        <v>2453</v>
      </c>
      <c r="E653" s="6">
        <v>1559</v>
      </c>
      <c r="F653" s="6" t="s">
        <v>950</v>
      </c>
      <c r="G653" s="7" t="s">
        <v>2454</v>
      </c>
      <c r="H653" s="6">
        <v>1400</v>
      </c>
      <c r="I653" s="9" t="s">
        <v>163</v>
      </c>
      <c r="J653" s="7" t="s">
        <v>2455</v>
      </c>
      <c r="K653" s="6">
        <v>40</v>
      </c>
      <c r="L653" s="6">
        <v>35</v>
      </c>
      <c r="M653" s="8" t="s">
        <v>2456</v>
      </c>
      <c r="N653" s="7"/>
    </row>
    <row r="654" spans="1:14" ht="20.100000000000001" customHeight="1">
      <c r="A654" s="2" t="s">
        <v>14</v>
      </c>
      <c r="B654" s="3" t="s">
        <v>2370</v>
      </c>
      <c r="C654" s="3" t="s">
        <v>2448</v>
      </c>
      <c r="D654" s="2" t="s">
        <v>2457</v>
      </c>
      <c r="E654" s="2">
        <v>1559</v>
      </c>
      <c r="F654" s="2" t="s">
        <v>843</v>
      </c>
      <c r="G654" s="3" t="s">
        <v>2458</v>
      </c>
      <c r="H654" s="2">
        <v>2500</v>
      </c>
      <c r="I654" s="12" t="s">
        <v>659</v>
      </c>
      <c r="J654" s="3" t="s">
        <v>2459</v>
      </c>
      <c r="K654" s="2">
        <v>120</v>
      </c>
      <c r="L654" s="2">
        <v>110</v>
      </c>
      <c r="M654" s="5" t="s">
        <v>2460</v>
      </c>
      <c r="N654" s="3"/>
    </row>
    <row r="655" spans="1:14" ht="20.100000000000001" customHeight="1">
      <c r="A655" s="6" t="s">
        <v>14</v>
      </c>
      <c r="B655" s="7" t="s">
        <v>2461</v>
      </c>
      <c r="C655" s="7" t="s">
        <v>2462</v>
      </c>
      <c r="D655" s="6" t="s">
        <v>2463</v>
      </c>
      <c r="E655" s="6">
        <v>189</v>
      </c>
      <c r="F655" s="6" t="s">
        <v>18</v>
      </c>
      <c r="G655" s="7" t="s">
        <v>2464</v>
      </c>
      <c r="H655" s="6">
        <v>1300</v>
      </c>
      <c r="I655" s="9" t="s">
        <v>163</v>
      </c>
      <c r="J655" s="7" t="s">
        <v>563</v>
      </c>
      <c r="K655" s="6">
        <v>25</v>
      </c>
      <c r="L655" s="6">
        <v>20</v>
      </c>
      <c r="M655" s="8" t="s">
        <v>2465</v>
      </c>
      <c r="N655" s="7"/>
    </row>
    <row r="656" spans="1:14" ht="20.100000000000001" customHeight="1">
      <c r="A656" s="2" t="s">
        <v>14</v>
      </c>
      <c r="B656" s="3" t="s">
        <v>2461</v>
      </c>
      <c r="C656" s="3" t="s">
        <v>2462</v>
      </c>
      <c r="D656" s="2" t="s">
        <v>2466</v>
      </c>
      <c r="E656" s="2">
        <v>455</v>
      </c>
      <c r="F656" s="2" t="s">
        <v>18</v>
      </c>
      <c r="G656" s="3" t="s">
        <v>2467</v>
      </c>
      <c r="H656" s="2">
        <v>1500</v>
      </c>
      <c r="I656" s="9" t="s">
        <v>172</v>
      </c>
      <c r="J656" s="3" t="s">
        <v>641</v>
      </c>
      <c r="K656" s="2">
        <v>40</v>
      </c>
      <c r="L656" s="2">
        <v>35</v>
      </c>
      <c r="M656" s="5" t="s">
        <v>2468</v>
      </c>
      <c r="N656" s="3"/>
    </row>
    <row r="657" spans="1:14" ht="20.100000000000001" customHeight="1">
      <c r="A657" s="6" t="s">
        <v>14</v>
      </c>
      <c r="B657" s="7" t="s">
        <v>2461</v>
      </c>
      <c r="C657" s="7" t="s">
        <v>2462</v>
      </c>
      <c r="D657" s="6" t="s">
        <v>2469</v>
      </c>
      <c r="E657" s="6">
        <v>474</v>
      </c>
      <c r="F657" s="6" t="s">
        <v>384</v>
      </c>
      <c r="G657" s="7" t="s">
        <v>2470</v>
      </c>
      <c r="H657" s="6">
        <v>1700</v>
      </c>
      <c r="I657" s="10" t="s">
        <v>418</v>
      </c>
      <c r="J657" s="7" t="s">
        <v>641</v>
      </c>
      <c r="K657" s="6">
        <v>60</v>
      </c>
      <c r="L657" s="6">
        <v>55</v>
      </c>
      <c r="M657" s="8" t="s">
        <v>2471</v>
      </c>
      <c r="N657" s="7"/>
    </row>
    <row r="658" spans="1:14" ht="20.100000000000001" customHeight="1">
      <c r="A658" s="2" t="s">
        <v>14</v>
      </c>
      <c r="B658" s="3" t="s">
        <v>2461</v>
      </c>
      <c r="C658" s="3" t="s">
        <v>2462</v>
      </c>
      <c r="D658" s="2" t="s">
        <v>2472</v>
      </c>
      <c r="E658" s="2">
        <v>698</v>
      </c>
      <c r="F658" s="2" t="s">
        <v>18</v>
      </c>
      <c r="G658" s="3" t="s">
        <v>2473</v>
      </c>
      <c r="H658" s="2">
        <v>1400</v>
      </c>
      <c r="I658" s="9" t="s">
        <v>163</v>
      </c>
      <c r="J658" s="3" t="s">
        <v>641</v>
      </c>
      <c r="K658" s="2">
        <v>40</v>
      </c>
      <c r="L658" s="2">
        <v>35</v>
      </c>
      <c r="M658" s="5" t="s">
        <v>2474</v>
      </c>
      <c r="N658" s="3"/>
    </row>
    <row r="659" spans="1:14" ht="20.100000000000001" customHeight="1">
      <c r="A659" s="6" t="s">
        <v>14</v>
      </c>
      <c r="B659" s="7" t="s">
        <v>2461</v>
      </c>
      <c r="C659" s="7" t="s">
        <v>2462</v>
      </c>
      <c r="D659" s="6" t="s">
        <v>2475</v>
      </c>
      <c r="E659" s="6">
        <v>706</v>
      </c>
      <c r="F659" s="6" t="s">
        <v>183</v>
      </c>
      <c r="G659" s="7" t="s">
        <v>2476</v>
      </c>
      <c r="H659" s="6">
        <v>1600</v>
      </c>
      <c r="I659" s="9" t="s">
        <v>172</v>
      </c>
      <c r="J659" s="7" t="s">
        <v>1180</v>
      </c>
      <c r="K659" s="6">
        <v>40</v>
      </c>
      <c r="L659" s="6">
        <v>35</v>
      </c>
      <c r="M659" s="8" t="s">
        <v>2477</v>
      </c>
      <c r="N659" s="7"/>
    </row>
    <row r="660" spans="1:14" ht="20.100000000000001" customHeight="1">
      <c r="A660" s="2" t="s">
        <v>14</v>
      </c>
      <c r="B660" s="3" t="s">
        <v>2461</v>
      </c>
      <c r="C660" s="3" t="s">
        <v>2462</v>
      </c>
      <c r="D660" s="2" t="s">
        <v>2478</v>
      </c>
      <c r="E660" s="2">
        <v>1249</v>
      </c>
      <c r="F660" s="2" t="s">
        <v>531</v>
      </c>
      <c r="G660" s="3" t="s">
        <v>2479</v>
      </c>
      <c r="H660" s="2">
        <v>1700</v>
      </c>
      <c r="I660" s="10" t="s">
        <v>418</v>
      </c>
      <c r="J660" s="3" t="s">
        <v>2480</v>
      </c>
      <c r="K660" s="2">
        <v>60</v>
      </c>
      <c r="L660" s="2">
        <v>55</v>
      </c>
      <c r="M660" s="5" t="s">
        <v>2481</v>
      </c>
      <c r="N660" s="3"/>
    </row>
    <row r="661" spans="1:14" ht="20.100000000000001" customHeight="1">
      <c r="A661" s="6" t="s">
        <v>14</v>
      </c>
      <c r="B661" s="7" t="s">
        <v>2461</v>
      </c>
      <c r="C661" s="7" t="s">
        <v>2462</v>
      </c>
      <c r="D661" s="6" t="s">
        <v>2482</v>
      </c>
      <c r="E661" s="6">
        <v>1282</v>
      </c>
      <c r="F661" s="6" t="s">
        <v>1649</v>
      </c>
      <c r="G661" s="7" t="s">
        <v>2483</v>
      </c>
      <c r="H661" s="6">
        <v>1600</v>
      </c>
      <c r="I661" s="9" t="s">
        <v>172</v>
      </c>
      <c r="J661" s="7" t="s">
        <v>320</v>
      </c>
      <c r="K661" s="6">
        <v>40</v>
      </c>
      <c r="L661" s="6">
        <v>35</v>
      </c>
      <c r="M661" s="8" t="s">
        <v>2484</v>
      </c>
      <c r="N661" s="7"/>
    </row>
    <row r="662" spans="1:14" ht="20.100000000000001" customHeight="1">
      <c r="A662" s="2" t="s">
        <v>14</v>
      </c>
      <c r="B662" s="3" t="s">
        <v>2461</v>
      </c>
      <c r="C662" s="3" t="s">
        <v>2462</v>
      </c>
      <c r="D662" s="2" t="s">
        <v>2485</v>
      </c>
      <c r="E662" s="2">
        <v>1355</v>
      </c>
      <c r="F662" s="2" t="s">
        <v>18</v>
      </c>
      <c r="G662" s="3" t="s">
        <v>2486</v>
      </c>
      <c r="H662" s="2">
        <v>1200</v>
      </c>
      <c r="I662" s="4" t="s">
        <v>43</v>
      </c>
      <c r="J662" s="3" t="s">
        <v>584</v>
      </c>
      <c r="K662" s="2">
        <v>25</v>
      </c>
      <c r="L662" s="2">
        <v>20</v>
      </c>
      <c r="M662" s="5" t="s">
        <v>2487</v>
      </c>
      <c r="N662" s="3"/>
    </row>
    <row r="663" spans="1:14" ht="20.100000000000001" customHeight="1">
      <c r="A663" s="6" t="s">
        <v>14</v>
      </c>
      <c r="B663" s="7" t="s">
        <v>2461</v>
      </c>
      <c r="C663" s="7" t="s">
        <v>2462</v>
      </c>
      <c r="D663" s="6" t="s">
        <v>2488</v>
      </c>
      <c r="E663" s="6">
        <v>1359</v>
      </c>
      <c r="F663" s="6" t="s">
        <v>183</v>
      </c>
      <c r="G663" s="7" t="s">
        <v>2489</v>
      </c>
      <c r="H663" s="6">
        <v>1700</v>
      </c>
      <c r="I663" s="10" t="s">
        <v>418</v>
      </c>
      <c r="J663" s="7" t="s">
        <v>1381</v>
      </c>
      <c r="K663" s="6">
        <v>60</v>
      </c>
      <c r="L663" s="6">
        <v>55</v>
      </c>
      <c r="M663" s="8" t="s">
        <v>2490</v>
      </c>
      <c r="N663" s="7"/>
    </row>
    <row r="664" spans="1:14" ht="20.100000000000001" customHeight="1">
      <c r="A664" s="2" t="s">
        <v>14</v>
      </c>
      <c r="B664" s="3" t="s">
        <v>2461</v>
      </c>
      <c r="C664" s="3" t="s">
        <v>2462</v>
      </c>
      <c r="D664" s="2" t="s">
        <v>2491</v>
      </c>
      <c r="E664" s="2">
        <v>1455</v>
      </c>
      <c r="F664" s="2" t="s">
        <v>384</v>
      </c>
      <c r="G664" s="3" t="s">
        <v>2492</v>
      </c>
      <c r="H664" s="2">
        <v>1600</v>
      </c>
      <c r="I664" s="9" t="s">
        <v>172</v>
      </c>
      <c r="J664" s="3" t="s">
        <v>320</v>
      </c>
      <c r="K664" s="2">
        <v>40</v>
      </c>
      <c r="L664" s="2">
        <v>35</v>
      </c>
      <c r="M664" s="5" t="s">
        <v>2493</v>
      </c>
      <c r="N664" s="3"/>
    </row>
    <row r="665" spans="1:14" ht="20.100000000000001" customHeight="1">
      <c r="A665" s="6" t="s">
        <v>14</v>
      </c>
      <c r="B665" s="7" t="s">
        <v>2461</v>
      </c>
      <c r="C665" s="7" t="s">
        <v>2462</v>
      </c>
      <c r="D665" s="6" t="s">
        <v>2494</v>
      </c>
      <c r="E665" s="6">
        <v>1467</v>
      </c>
      <c r="F665" s="6" t="s">
        <v>183</v>
      </c>
      <c r="G665" s="7" t="s">
        <v>2495</v>
      </c>
      <c r="H665" s="6">
        <v>1900</v>
      </c>
      <c r="I665" s="10" t="s">
        <v>386</v>
      </c>
      <c r="J665" s="7" t="s">
        <v>920</v>
      </c>
      <c r="K665" s="6">
        <v>60</v>
      </c>
      <c r="L665" s="6">
        <v>55</v>
      </c>
      <c r="M665" s="8" t="s">
        <v>2496</v>
      </c>
      <c r="N665" s="7"/>
    </row>
    <row r="666" spans="1:14" ht="20.100000000000001" customHeight="1">
      <c r="A666" s="2" t="s">
        <v>14</v>
      </c>
      <c r="B666" s="3" t="s">
        <v>2461</v>
      </c>
      <c r="C666" s="3" t="s">
        <v>2462</v>
      </c>
      <c r="D666" s="2" t="s">
        <v>2497</v>
      </c>
      <c r="E666" s="2">
        <v>1472</v>
      </c>
      <c r="F666" s="2" t="s">
        <v>183</v>
      </c>
      <c r="G666" s="3" t="s">
        <v>2498</v>
      </c>
      <c r="H666" s="2">
        <v>1100</v>
      </c>
      <c r="I666" s="4" t="s">
        <v>43</v>
      </c>
      <c r="J666" s="3" t="s">
        <v>2499</v>
      </c>
      <c r="K666" s="2">
        <v>25</v>
      </c>
      <c r="L666" s="2">
        <v>20</v>
      </c>
      <c r="M666" s="5" t="s">
        <v>2500</v>
      </c>
      <c r="N666" s="3"/>
    </row>
    <row r="667" spans="1:14" ht="20.100000000000001" customHeight="1">
      <c r="A667" s="6" t="s">
        <v>14</v>
      </c>
      <c r="B667" s="7" t="s">
        <v>2461</v>
      </c>
      <c r="C667" s="7" t="s">
        <v>2462</v>
      </c>
      <c r="D667" s="6" t="s">
        <v>2501</v>
      </c>
      <c r="E667" s="6">
        <v>1525</v>
      </c>
      <c r="F667" s="6" t="s">
        <v>384</v>
      </c>
      <c r="G667" s="7" t="s">
        <v>2502</v>
      </c>
      <c r="H667" s="6">
        <v>1800</v>
      </c>
      <c r="I667" s="10" t="s">
        <v>418</v>
      </c>
      <c r="J667" s="7" t="s">
        <v>2503</v>
      </c>
      <c r="K667" s="6">
        <v>60</v>
      </c>
      <c r="L667" s="6">
        <v>55</v>
      </c>
      <c r="M667" s="8" t="s">
        <v>2504</v>
      </c>
      <c r="N667" s="7"/>
    </row>
    <row r="668" spans="1:14" ht="20.100000000000001" customHeight="1">
      <c r="A668" s="2" t="s">
        <v>14</v>
      </c>
      <c r="B668" s="3" t="s">
        <v>2461</v>
      </c>
      <c r="C668" s="3" t="s">
        <v>2505</v>
      </c>
      <c r="D668" s="2" t="s">
        <v>2506</v>
      </c>
      <c r="E668" s="2">
        <v>366</v>
      </c>
      <c r="F668" s="2" t="s">
        <v>183</v>
      </c>
      <c r="G668" s="3" t="s">
        <v>2507</v>
      </c>
      <c r="H668" s="2">
        <v>1900</v>
      </c>
      <c r="I668" s="10" t="s">
        <v>386</v>
      </c>
      <c r="J668" s="3" t="s">
        <v>641</v>
      </c>
      <c r="K668" s="2">
        <v>60</v>
      </c>
      <c r="L668" s="2">
        <v>55</v>
      </c>
      <c r="M668" s="5" t="s">
        <v>2508</v>
      </c>
      <c r="N668" s="3"/>
    </row>
    <row r="669" spans="1:14" ht="20.100000000000001" customHeight="1">
      <c r="A669" s="6" t="s">
        <v>14</v>
      </c>
      <c r="B669" s="7" t="s">
        <v>2461</v>
      </c>
      <c r="C669" s="7" t="s">
        <v>2505</v>
      </c>
      <c r="D669" s="6" t="s">
        <v>2509</v>
      </c>
      <c r="E669" s="6">
        <v>543</v>
      </c>
      <c r="F669" s="6" t="s">
        <v>18</v>
      </c>
      <c r="G669" s="7" t="s">
        <v>2510</v>
      </c>
      <c r="H669" s="6">
        <v>1800</v>
      </c>
      <c r="I669" s="10" t="s">
        <v>418</v>
      </c>
      <c r="J669" s="7" t="s">
        <v>641</v>
      </c>
      <c r="K669" s="6">
        <v>60</v>
      </c>
      <c r="L669" s="6">
        <v>55</v>
      </c>
      <c r="M669" s="8" t="s">
        <v>2511</v>
      </c>
      <c r="N669" s="7"/>
    </row>
    <row r="670" spans="1:14" ht="20.100000000000001" customHeight="1">
      <c r="A670" s="2" t="s">
        <v>14</v>
      </c>
      <c r="B670" s="3" t="s">
        <v>2461</v>
      </c>
      <c r="C670" s="3" t="s">
        <v>2505</v>
      </c>
      <c r="D670" s="2" t="s">
        <v>2512</v>
      </c>
      <c r="E670" s="2">
        <v>837</v>
      </c>
      <c r="F670" s="2" t="s">
        <v>384</v>
      </c>
      <c r="G670" s="3" t="s">
        <v>2513</v>
      </c>
      <c r="H670" s="2">
        <v>2100</v>
      </c>
      <c r="I670" s="12" t="s">
        <v>523</v>
      </c>
      <c r="J670" s="3" t="s">
        <v>1082</v>
      </c>
      <c r="K670" s="2">
        <v>90</v>
      </c>
      <c r="L670" s="2">
        <v>80</v>
      </c>
      <c r="M670" s="5" t="s">
        <v>2514</v>
      </c>
      <c r="N670" s="3"/>
    </row>
    <row r="671" spans="1:14" ht="20.100000000000001" customHeight="1">
      <c r="A671" s="6" t="s">
        <v>14</v>
      </c>
      <c r="B671" s="7" t="s">
        <v>2461</v>
      </c>
      <c r="C671" s="7" t="s">
        <v>2505</v>
      </c>
      <c r="D671" s="6" t="s">
        <v>2515</v>
      </c>
      <c r="E671" s="6">
        <v>1155</v>
      </c>
      <c r="F671" s="6" t="s">
        <v>384</v>
      </c>
      <c r="G671" s="7" t="s">
        <v>2516</v>
      </c>
      <c r="H671" s="6">
        <v>1900</v>
      </c>
      <c r="I671" s="10" t="s">
        <v>386</v>
      </c>
      <c r="J671" s="7" t="s">
        <v>2517</v>
      </c>
      <c r="K671" s="6">
        <v>60</v>
      </c>
      <c r="L671" s="6">
        <v>55</v>
      </c>
      <c r="M671" s="8" t="s">
        <v>2518</v>
      </c>
      <c r="N671" s="7"/>
    </row>
    <row r="672" spans="1:14" ht="20.100000000000001" customHeight="1">
      <c r="A672" s="2" t="s">
        <v>14</v>
      </c>
      <c r="B672" s="3" t="s">
        <v>2461</v>
      </c>
      <c r="C672" s="3" t="s">
        <v>2505</v>
      </c>
      <c r="D672" s="2" t="s">
        <v>2519</v>
      </c>
      <c r="E672" s="2">
        <v>1433</v>
      </c>
      <c r="F672" s="2" t="s">
        <v>635</v>
      </c>
      <c r="G672" s="3" t="s">
        <v>2520</v>
      </c>
      <c r="H672" s="2">
        <v>2100</v>
      </c>
      <c r="I672" s="12" t="s">
        <v>523</v>
      </c>
      <c r="J672" s="3" t="s">
        <v>641</v>
      </c>
      <c r="K672" s="2">
        <v>90</v>
      </c>
      <c r="L672" s="2">
        <v>80</v>
      </c>
      <c r="M672" s="5" t="s">
        <v>2521</v>
      </c>
      <c r="N672" s="3"/>
    </row>
    <row r="673" spans="1:14" ht="20.100000000000001" customHeight="1">
      <c r="A673" s="6" t="s">
        <v>14</v>
      </c>
      <c r="B673" s="7" t="s">
        <v>2461</v>
      </c>
      <c r="C673" s="7" t="s">
        <v>2505</v>
      </c>
      <c r="D673" s="6" t="s">
        <v>2522</v>
      </c>
      <c r="E673" s="6">
        <v>1458</v>
      </c>
      <c r="F673" s="6" t="s">
        <v>157</v>
      </c>
      <c r="G673" s="7" t="s">
        <v>2523</v>
      </c>
      <c r="H673" s="6">
        <v>2000</v>
      </c>
      <c r="I673" s="10" t="s">
        <v>386</v>
      </c>
      <c r="J673" s="7" t="s">
        <v>641</v>
      </c>
      <c r="K673" s="6">
        <v>90</v>
      </c>
      <c r="L673" s="6">
        <v>80</v>
      </c>
      <c r="M673" s="8" t="s">
        <v>2524</v>
      </c>
      <c r="N673" s="7"/>
    </row>
    <row r="674" spans="1:14" ht="20.100000000000001" customHeight="1">
      <c r="A674" s="2" t="s">
        <v>14</v>
      </c>
      <c r="B674" s="3" t="s">
        <v>2461</v>
      </c>
      <c r="C674" s="3" t="s">
        <v>2505</v>
      </c>
      <c r="D674" s="2" t="s">
        <v>2525</v>
      </c>
      <c r="E674" s="2">
        <v>148</v>
      </c>
      <c r="F674" s="2" t="s">
        <v>531</v>
      </c>
      <c r="G674" s="3" t="s">
        <v>2526</v>
      </c>
      <c r="H674" s="2">
        <v>1900</v>
      </c>
      <c r="I674" s="10" t="s">
        <v>386</v>
      </c>
      <c r="J674" s="3" t="s">
        <v>641</v>
      </c>
      <c r="K674" s="2">
        <v>60</v>
      </c>
      <c r="L674" s="2">
        <v>55</v>
      </c>
      <c r="M674" s="5" t="s">
        <v>2527</v>
      </c>
      <c r="N674" s="3"/>
    </row>
    <row r="675" spans="1:14" ht="20.100000000000001" customHeight="1">
      <c r="A675" s="6" t="s">
        <v>14</v>
      </c>
      <c r="B675" s="7" t="s">
        <v>2461</v>
      </c>
      <c r="C675" s="7" t="s">
        <v>2505</v>
      </c>
      <c r="D675" s="6" t="s">
        <v>2528</v>
      </c>
      <c r="E675" s="6">
        <v>1633</v>
      </c>
      <c r="F675" s="6" t="s">
        <v>384</v>
      </c>
      <c r="G675" s="7" t="s">
        <v>303</v>
      </c>
      <c r="H675" s="6">
        <v>1600</v>
      </c>
      <c r="I675" s="9" t="s">
        <v>172</v>
      </c>
      <c r="J675" s="7" t="s">
        <v>101</v>
      </c>
      <c r="K675" s="6">
        <v>40</v>
      </c>
      <c r="L675" s="6">
        <v>35</v>
      </c>
      <c r="M675" s="8" t="s">
        <v>2529</v>
      </c>
      <c r="N675" s="7"/>
    </row>
    <row r="676" spans="1:14" ht="20.100000000000001" customHeight="1">
      <c r="A676" s="2" t="s">
        <v>14</v>
      </c>
      <c r="B676" s="3" t="s">
        <v>2461</v>
      </c>
      <c r="C676" s="3" t="s">
        <v>2530</v>
      </c>
      <c r="D676" s="2" t="s">
        <v>2531</v>
      </c>
      <c r="E676" s="2">
        <v>2</v>
      </c>
      <c r="F676" s="2" t="s">
        <v>157</v>
      </c>
      <c r="G676" s="3" t="s">
        <v>2532</v>
      </c>
      <c r="H676" s="2">
        <v>2000</v>
      </c>
      <c r="I676" s="10" t="s">
        <v>386</v>
      </c>
      <c r="J676" s="3" t="s">
        <v>1082</v>
      </c>
      <c r="K676" s="2">
        <v>90</v>
      </c>
      <c r="L676" s="2">
        <v>80</v>
      </c>
      <c r="M676" s="5" t="s">
        <v>2533</v>
      </c>
      <c r="N676" s="3"/>
    </row>
    <row r="677" spans="1:14" ht="20.100000000000001" customHeight="1">
      <c r="A677" s="6" t="s">
        <v>14</v>
      </c>
      <c r="B677" s="7" t="s">
        <v>2461</v>
      </c>
      <c r="C677" s="7" t="s">
        <v>2530</v>
      </c>
      <c r="D677" s="6" t="s">
        <v>2534</v>
      </c>
      <c r="E677" s="6">
        <v>429</v>
      </c>
      <c r="F677" s="6" t="s">
        <v>157</v>
      </c>
      <c r="G677" s="7" t="s">
        <v>2535</v>
      </c>
      <c r="H677" s="6">
        <v>1600</v>
      </c>
      <c r="I677" s="9" t="s">
        <v>172</v>
      </c>
      <c r="J677" s="7" t="s">
        <v>641</v>
      </c>
      <c r="K677" s="6">
        <v>40</v>
      </c>
      <c r="L677" s="6">
        <v>35</v>
      </c>
      <c r="M677" s="8" t="s">
        <v>2536</v>
      </c>
      <c r="N677" s="7"/>
    </row>
    <row r="678" spans="1:14" ht="20.100000000000001" customHeight="1">
      <c r="A678" s="2" t="s">
        <v>14</v>
      </c>
      <c r="B678" s="3" t="s">
        <v>2461</v>
      </c>
      <c r="C678" s="3" t="s">
        <v>2530</v>
      </c>
      <c r="D678" s="2" t="s">
        <v>2537</v>
      </c>
      <c r="E678" s="2">
        <v>677</v>
      </c>
      <c r="F678" s="2" t="s">
        <v>384</v>
      </c>
      <c r="G678" s="3" t="s">
        <v>2538</v>
      </c>
      <c r="H678" s="2">
        <v>2300</v>
      </c>
      <c r="I678" s="12" t="s">
        <v>523</v>
      </c>
      <c r="J678" s="3" t="s">
        <v>2539</v>
      </c>
      <c r="K678" s="2">
        <v>120</v>
      </c>
      <c r="L678" s="2">
        <v>110</v>
      </c>
      <c r="M678" s="5" t="s">
        <v>2540</v>
      </c>
      <c r="N678" s="3"/>
    </row>
    <row r="679" spans="1:14" ht="20.100000000000001" customHeight="1">
      <c r="A679" s="6" t="s">
        <v>14</v>
      </c>
      <c r="B679" s="7" t="s">
        <v>2461</v>
      </c>
      <c r="C679" s="7" t="s">
        <v>2530</v>
      </c>
      <c r="D679" s="6" t="s">
        <v>2541</v>
      </c>
      <c r="E679" s="6">
        <v>864</v>
      </c>
      <c r="F679" s="6" t="s">
        <v>531</v>
      </c>
      <c r="G679" s="7" t="s">
        <v>2542</v>
      </c>
      <c r="H679" s="6">
        <v>2000</v>
      </c>
      <c r="I679" s="10" t="s">
        <v>386</v>
      </c>
      <c r="J679" s="7" t="s">
        <v>2543</v>
      </c>
      <c r="K679" s="6">
        <v>90</v>
      </c>
      <c r="L679" s="6">
        <v>80</v>
      </c>
      <c r="M679" s="8" t="s">
        <v>2544</v>
      </c>
      <c r="N679" s="7"/>
    </row>
    <row r="680" spans="1:14" ht="20.100000000000001" customHeight="1">
      <c r="A680" s="2" t="s">
        <v>14</v>
      </c>
      <c r="B680" s="3" t="s">
        <v>2461</v>
      </c>
      <c r="C680" s="3" t="s">
        <v>2530</v>
      </c>
      <c r="D680" s="2" t="s">
        <v>2545</v>
      </c>
      <c r="E680" s="2">
        <v>954</v>
      </c>
      <c r="F680" s="2" t="s">
        <v>635</v>
      </c>
      <c r="G680" s="3" t="s">
        <v>2546</v>
      </c>
      <c r="H680" s="2">
        <v>2100</v>
      </c>
      <c r="I680" s="12" t="s">
        <v>523</v>
      </c>
      <c r="J680" s="3" t="s">
        <v>2547</v>
      </c>
      <c r="K680" s="2">
        <v>90</v>
      </c>
      <c r="L680" s="2">
        <v>80</v>
      </c>
      <c r="M680" s="5" t="s">
        <v>2548</v>
      </c>
      <c r="N680" s="3"/>
    </row>
    <row r="681" spans="1:14" ht="20.100000000000001" customHeight="1">
      <c r="A681" s="6" t="s">
        <v>14</v>
      </c>
      <c r="B681" s="7" t="s">
        <v>2461</v>
      </c>
      <c r="C681" s="7" t="s">
        <v>2530</v>
      </c>
      <c r="D681" s="6" t="s">
        <v>2549</v>
      </c>
      <c r="E681" s="6">
        <v>1246</v>
      </c>
      <c r="F681" s="6" t="s">
        <v>183</v>
      </c>
      <c r="G681" s="7" t="s">
        <v>185</v>
      </c>
      <c r="H681" s="6" t="s">
        <v>185</v>
      </c>
      <c r="I681" s="11" t="s">
        <v>185</v>
      </c>
      <c r="J681" s="7" t="s">
        <v>185</v>
      </c>
      <c r="K681" s="6">
        <v>0</v>
      </c>
      <c r="L681" s="6">
        <v>0</v>
      </c>
      <c r="M681" s="8" t="s">
        <v>2550</v>
      </c>
      <c r="N681" s="7"/>
    </row>
    <row r="682" spans="1:14" ht="20.100000000000001" customHeight="1">
      <c r="A682" s="2" t="s">
        <v>14</v>
      </c>
      <c r="B682" s="3" t="s">
        <v>2461</v>
      </c>
      <c r="C682" s="3" t="s">
        <v>2530</v>
      </c>
      <c r="D682" s="2" t="s">
        <v>2551</v>
      </c>
      <c r="E682" s="2">
        <v>1353</v>
      </c>
      <c r="F682" s="2" t="s">
        <v>635</v>
      </c>
      <c r="G682" s="3" t="s">
        <v>2552</v>
      </c>
      <c r="H682" s="2">
        <v>2200</v>
      </c>
      <c r="I682" s="12" t="s">
        <v>523</v>
      </c>
      <c r="J682" s="3" t="s">
        <v>563</v>
      </c>
      <c r="K682" s="2">
        <v>90</v>
      </c>
      <c r="L682" s="2">
        <v>80</v>
      </c>
      <c r="M682" s="5" t="s">
        <v>2553</v>
      </c>
      <c r="N682" s="3"/>
    </row>
    <row r="683" spans="1:14" ht="20.100000000000001" customHeight="1">
      <c r="A683" s="6" t="s">
        <v>14</v>
      </c>
      <c r="B683" s="7" t="s">
        <v>2461</v>
      </c>
      <c r="C683" s="7" t="s">
        <v>2530</v>
      </c>
      <c r="D683" s="6" t="s">
        <v>2554</v>
      </c>
      <c r="E683" s="6">
        <v>1391</v>
      </c>
      <c r="F683" s="6" t="s">
        <v>384</v>
      </c>
      <c r="G683" s="7" t="s">
        <v>2555</v>
      </c>
      <c r="H683" s="6">
        <v>2000</v>
      </c>
      <c r="I683" s="10" t="s">
        <v>386</v>
      </c>
      <c r="J683" s="7" t="s">
        <v>2556</v>
      </c>
      <c r="K683" s="6">
        <v>90</v>
      </c>
      <c r="L683" s="6">
        <v>80</v>
      </c>
      <c r="M683" s="8" t="s">
        <v>2557</v>
      </c>
      <c r="N683" s="7"/>
    </row>
    <row r="684" spans="1:14" ht="20.100000000000001" customHeight="1">
      <c r="A684" s="2" t="s">
        <v>14</v>
      </c>
      <c r="B684" s="3" t="s">
        <v>2461</v>
      </c>
      <c r="C684" s="3" t="s">
        <v>2530</v>
      </c>
      <c r="D684" s="2" t="s">
        <v>2558</v>
      </c>
      <c r="E684" s="2">
        <v>1525</v>
      </c>
      <c r="F684" s="2" t="s">
        <v>531</v>
      </c>
      <c r="G684" s="3" t="s">
        <v>2559</v>
      </c>
      <c r="H684" s="2">
        <v>2100</v>
      </c>
      <c r="I684" s="12" t="s">
        <v>523</v>
      </c>
      <c r="J684" s="3" t="s">
        <v>2560</v>
      </c>
      <c r="K684" s="2">
        <v>90</v>
      </c>
      <c r="L684" s="2">
        <v>80</v>
      </c>
      <c r="M684" s="5" t="s">
        <v>2561</v>
      </c>
      <c r="N684" s="3"/>
    </row>
    <row r="685" spans="1:14" ht="20.100000000000001" customHeight="1">
      <c r="A685" s="6" t="s">
        <v>14</v>
      </c>
      <c r="B685" s="7" t="s">
        <v>2461</v>
      </c>
      <c r="C685" s="7" t="s">
        <v>2562</v>
      </c>
      <c r="D685" s="6" t="s">
        <v>2563</v>
      </c>
      <c r="E685" s="6">
        <v>607</v>
      </c>
      <c r="F685" s="6" t="s">
        <v>157</v>
      </c>
      <c r="G685" s="7" t="s">
        <v>2564</v>
      </c>
      <c r="H685" s="6">
        <v>1900</v>
      </c>
      <c r="I685" s="10" t="s">
        <v>386</v>
      </c>
      <c r="J685" s="7" t="s">
        <v>641</v>
      </c>
      <c r="K685" s="6">
        <v>60</v>
      </c>
      <c r="L685" s="6">
        <v>55</v>
      </c>
      <c r="M685" s="8" t="s">
        <v>2565</v>
      </c>
      <c r="N685" s="7"/>
    </row>
    <row r="686" spans="1:14" ht="20.100000000000001" customHeight="1">
      <c r="A686" s="2" t="s">
        <v>14</v>
      </c>
      <c r="B686" s="3" t="s">
        <v>2461</v>
      </c>
      <c r="C686" s="3" t="s">
        <v>2562</v>
      </c>
      <c r="D686" s="2" t="s">
        <v>2566</v>
      </c>
      <c r="E686" s="2">
        <v>1132</v>
      </c>
      <c r="F686" s="2" t="s">
        <v>183</v>
      </c>
      <c r="G686" s="3" t="s">
        <v>2567</v>
      </c>
      <c r="H686" s="2">
        <v>1700</v>
      </c>
      <c r="I686" s="10" t="s">
        <v>418</v>
      </c>
      <c r="J686" s="3" t="s">
        <v>209</v>
      </c>
      <c r="K686" s="2">
        <v>60</v>
      </c>
      <c r="L686" s="2">
        <v>55</v>
      </c>
      <c r="M686" s="5" t="s">
        <v>2568</v>
      </c>
      <c r="N686" s="3"/>
    </row>
    <row r="687" spans="1:14" ht="20.100000000000001" customHeight="1">
      <c r="A687" s="6" t="s">
        <v>14</v>
      </c>
      <c r="B687" s="7" t="s">
        <v>2461</v>
      </c>
      <c r="C687" s="7" t="s">
        <v>2562</v>
      </c>
      <c r="D687" s="6" t="s">
        <v>2569</v>
      </c>
      <c r="E687" s="6">
        <v>1312</v>
      </c>
      <c r="F687" s="6" t="s">
        <v>531</v>
      </c>
      <c r="G687" s="7" t="s">
        <v>2570</v>
      </c>
      <c r="H687" s="6">
        <v>2100</v>
      </c>
      <c r="I687" s="12" t="s">
        <v>523</v>
      </c>
      <c r="J687" s="7" t="s">
        <v>101</v>
      </c>
      <c r="K687" s="6">
        <v>90</v>
      </c>
      <c r="L687" s="6">
        <v>80</v>
      </c>
      <c r="M687" s="8" t="s">
        <v>2571</v>
      </c>
      <c r="N687" s="7"/>
    </row>
    <row r="688" spans="1:14" ht="20.100000000000001" customHeight="1">
      <c r="A688" s="2" t="s">
        <v>14</v>
      </c>
      <c r="B688" s="3" t="s">
        <v>2461</v>
      </c>
      <c r="C688" s="3" t="s">
        <v>2562</v>
      </c>
      <c r="D688" s="2" t="s">
        <v>2572</v>
      </c>
      <c r="E688" s="2">
        <v>1509</v>
      </c>
      <c r="F688" s="2" t="s">
        <v>183</v>
      </c>
      <c r="G688" s="3" t="s">
        <v>2573</v>
      </c>
      <c r="H688" s="2">
        <v>1800</v>
      </c>
      <c r="I688" s="10" t="s">
        <v>418</v>
      </c>
      <c r="J688" s="3" t="s">
        <v>101</v>
      </c>
      <c r="K688" s="2">
        <v>60</v>
      </c>
      <c r="L688" s="2">
        <v>55</v>
      </c>
      <c r="M688" s="5" t="s">
        <v>2574</v>
      </c>
      <c r="N688" s="3"/>
    </row>
    <row r="689" spans="1:14" ht="20.100000000000001" customHeight="1">
      <c r="A689" s="6" t="s">
        <v>14</v>
      </c>
      <c r="B689" s="7" t="s">
        <v>2461</v>
      </c>
      <c r="C689" s="7" t="s">
        <v>2562</v>
      </c>
      <c r="D689" s="6" t="s">
        <v>2575</v>
      </c>
      <c r="E689" s="6">
        <v>1527</v>
      </c>
      <c r="F689" s="6" t="s">
        <v>531</v>
      </c>
      <c r="G689" s="7" t="s">
        <v>2576</v>
      </c>
      <c r="H689" s="6">
        <v>2500</v>
      </c>
      <c r="I689" s="12" t="s">
        <v>659</v>
      </c>
      <c r="J689" s="7" t="s">
        <v>2577</v>
      </c>
      <c r="K689" s="6">
        <v>120</v>
      </c>
      <c r="L689" s="6">
        <v>110</v>
      </c>
      <c r="M689" s="8" t="s">
        <v>2578</v>
      </c>
      <c r="N689" s="7"/>
    </row>
    <row r="690" spans="1:14" ht="20.100000000000001" customHeight="1">
      <c r="A690" s="2" t="s">
        <v>14</v>
      </c>
      <c r="B690" s="3" t="s">
        <v>2461</v>
      </c>
      <c r="C690" s="3" t="s">
        <v>2562</v>
      </c>
      <c r="D690" s="2" t="s">
        <v>2579</v>
      </c>
      <c r="E690" s="2">
        <v>1771</v>
      </c>
      <c r="F690" s="2" t="s">
        <v>384</v>
      </c>
      <c r="G690" s="3" t="s">
        <v>2580</v>
      </c>
      <c r="H690" s="2">
        <v>2100</v>
      </c>
      <c r="I690" s="12" t="s">
        <v>523</v>
      </c>
      <c r="J690" s="3" t="s">
        <v>2581</v>
      </c>
      <c r="K690" s="2">
        <v>90</v>
      </c>
      <c r="L690" s="2">
        <v>80</v>
      </c>
      <c r="M690" s="5" t="s">
        <v>2582</v>
      </c>
      <c r="N690" s="3"/>
    </row>
    <row r="691" spans="1:14" ht="20.100000000000001" customHeight="1">
      <c r="A691" s="6" t="s">
        <v>14</v>
      </c>
      <c r="B691" s="7" t="s">
        <v>2461</v>
      </c>
      <c r="C691" s="7" t="s">
        <v>2583</v>
      </c>
      <c r="D691" s="6" t="s">
        <v>2584</v>
      </c>
      <c r="E691" s="6">
        <v>55</v>
      </c>
      <c r="F691" s="6" t="s">
        <v>384</v>
      </c>
      <c r="G691" s="7" t="s">
        <v>2585</v>
      </c>
      <c r="H691" s="6">
        <v>2500</v>
      </c>
      <c r="I691" s="12" t="s">
        <v>659</v>
      </c>
      <c r="J691" s="7" t="s">
        <v>2586</v>
      </c>
      <c r="K691" s="6">
        <v>120</v>
      </c>
      <c r="L691" s="6">
        <v>110</v>
      </c>
      <c r="M691" s="8" t="s">
        <v>2587</v>
      </c>
      <c r="N691" s="7"/>
    </row>
    <row r="692" spans="1:14" ht="20.100000000000001" customHeight="1">
      <c r="A692" s="2" t="s">
        <v>14</v>
      </c>
      <c r="B692" s="3" t="s">
        <v>2461</v>
      </c>
      <c r="C692" s="3" t="s">
        <v>2583</v>
      </c>
      <c r="D692" s="2" t="s">
        <v>2588</v>
      </c>
      <c r="E692" s="2">
        <v>1036</v>
      </c>
      <c r="F692" s="2" t="s">
        <v>183</v>
      </c>
      <c r="G692" s="3" t="s">
        <v>2589</v>
      </c>
      <c r="H692" s="2">
        <v>1900</v>
      </c>
      <c r="I692" s="10" t="s">
        <v>386</v>
      </c>
      <c r="J692" s="3" t="s">
        <v>2590</v>
      </c>
      <c r="K692" s="2">
        <v>60</v>
      </c>
      <c r="L692" s="2">
        <v>55</v>
      </c>
      <c r="M692" s="5" t="s">
        <v>2591</v>
      </c>
      <c r="N692" s="3"/>
    </row>
    <row r="693" spans="1:14" ht="20.100000000000001" customHeight="1">
      <c r="A693" s="6" t="s">
        <v>14</v>
      </c>
      <c r="B693" s="7" t="s">
        <v>2461</v>
      </c>
      <c r="C693" s="7" t="s">
        <v>2583</v>
      </c>
      <c r="D693" s="6" t="s">
        <v>2592</v>
      </c>
      <c r="E693" s="6">
        <v>431</v>
      </c>
      <c r="F693" s="6" t="s">
        <v>384</v>
      </c>
      <c r="G693" s="7" t="s">
        <v>2593</v>
      </c>
      <c r="H693" s="6">
        <v>2100</v>
      </c>
      <c r="I693" s="12" t="s">
        <v>523</v>
      </c>
      <c r="J693" s="7" t="s">
        <v>2594</v>
      </c>
      <c r="K693" s="6">
        <v>90</v>
      </c>
      <c r="L693" s="6">
        <v>80</v>
      </c>
      <c r="M693" s="8" t="s">
        <v>2595</v>
      </c>
      <c r="N693" s="7"/>
    </row>
    <row r="694" spans="1:14" ht="20.100000000000001" customHeight="1">
      <c r="A694" s="2" t="s">
        <v>14</v>
      </c>
      <c r="B694" s="3" t="s">
        <v>2461</v>
      </c>
      <c r="C694" s="3" t="s">
        <v>2583</v>
      </c>
      <c r="D694" s="2" t="s">
        <v>2596</v>
      </c>
      <c r="E694" s="2">
        <v>628</v>
      </c>
      <c r="F694" s="2" t="s">
        <v>384</v>
      </c>
      <c r="G694" s="3" t="s">
        <v>2597</v>
      </c>
      <c r="H694" s="2">
        <v>2200</v>
      </c>
      <c r="I694" s="12" t="s">
        <v>523</v>
      </c>
      <c r="J694" s="3" t="s">
        <v>641</v>
      </c>
      <c r="K694" s="2">
        <v>90</v>
      </c>
      <c r="L694" s="2">
        <v>80</v>
      </c>
      <c r="M694" s="5" t="s">
        <v>2598</v>
      </c>
      <c r="N694" s="3"/>
    </row>
    <row r="695" spans="1:14" ht="20.100000000000001" customHeight="1">
      <c r="A695" s="6" t="s">
        <v>14</v>
      </c>
      <c r="B695" s="7" t="s">
        <v>2461</v>
      </c>
      <c r="C695" s="7" t="s">
        <v>2583</v>
      </c>
      <c r="D695" s="6" t="s">
        <v>2599</v>
      </c>
      <c r="E695" s="6">
        <v>855</v>
      </c>
      <c r="F695" s="6" t="s">
        <v>531</v>
      </c>
      <c r="G695" s="7" t="s">
        <v>2600</v>
      </c>
      <c r="H695" s="6">
        <v>2200</v>
      </c>
      <c r="I695" s="12" t="s">
        <v>523</v>
      </c>
      <c r="J695" s="7" t="s">
        <v>603</v>
      </c>
      <c r="K695" s="6">
        <v>90</v>
      </c>
      <c r="L695" s="6">
        <v>80</v>
      </c>
      <c r="M695" s="8" t="s">
        <v>2601</v>
      </c>
      <c r="N695" s="7"/>
    </row>
    <row r="696" spans="1:14" ht="20.100000000000001" customHeight="1">
      <c r="A696" s="2" t="s">
        <v>14</v>
      </c>
      <c r="B696" s="3" t="s">
        <v>2461</v>
      </c>
      <c r="C696" s="3" t="s">
        <v>2583</v>
      </c>
      <c r="D696" s="2" t="s">
        <v>2602</v>
      </c>
      <c r="E696" s="2">
        <v>914</v>
      </c>
      <c r="F696" s="2" t="s">
        <v>183</v>
      </c>
      <c r="G696" s="3" t="s">
        <v>2603</v>
      </c>
      <c r="H696" s="2">
        <v>1800</v>
      </c>
      <c r="I696" s="10" t="s">
        <v>418</v>
      </c>
      <c r="J696" s="3" t="s">
        <v>2604</v>
      </c>
      <c r="K696" s="2">
        <v>60</v>
      </c>
      <c r="L696" s="2">
        <v>55</v>
      </c>
      <c r="M696" s="5" t="s">
        <v>2605</v>
      </c>
      <c r="N696" s="3"/>
    </row>
    <row r="697" spans="1:14" ht="20.100000000000001" customHeight="1">
      <c r="A697" s="6" t="s">
        <v>14</v>
      </c>
      <c r="B697" s="7" t="s">
        <v>2461</v>
      </c>
      <c r="C697" s="7" t="s">
        <v>2583</v>
      </c>
      <c r="D697" s="6" t="s">
        <v>2606</v>
      </c>
      <c r="E697" s="6">
        <v>1225</v>
      </c>
      <c r="F697" s="6" t="s">
        <v>384</v>
      </c>
      <c r="G697" s="7" t="s">
        <v>2607</v>
      </c>
      <c r="H697" s="6">
        <v>1800</v>
      </c>
      <c r="I697" s="10" t="s">
        <v>418</v>
      </c>
      <c r="J697" s="7" t="s">
        <v>2608</v>
      </c>
      <c r="K697" s="6">
        <v>60</v>
      </c>
      <c r="L697" s="6">
        <v>55</v>
      </c>
      <c r="M697" s="8" t="s">
        <v>2609</v>
      </c>
      <c r="N697" s="7"/>
    </row>
    <row r="698" spans="1:14" ht="20.100000000000001" customHeight="1">
      <c r="A698" s="2" t="s">
        <v>14</v>
      </c>
      <c r="B698" s="3" t="s">
        <v>2461</v>
      </c>
      <c r="C698" s="3" t="s">
        <v>2610</v>
      </c>
      <c r="D698" s="2" t="s">
        <v>2611</v>
      </c>
      <c r="E698" s="2">
        <v>8</v>
      </c>
      <c r="F698" s="2" t="s">
        <v>183</v>
      </c>
      <c r="G698" s="3" t="s">
        <v>2612</v>
      </c>
      <c r="H698" s="2">
        <v>2000</v>
      </c>
      <c r="I698" s="10" t="s">
        <v>386</v>
      </c>
      <c r="J698" s="3" t="s">
        <v>603</v>
      </c>
      <c r="K698" s="2">
        <v>90</v>
      </c>
      <c r="L698" s="2">
        <v>80</v>
      </c>
      <c r="M698" s="5" t="s">
        <v>2613</v>
      </c>
      <c r="N698" s="3"/>
    </row>
    <row r="699" spans="1:14" ht="20.100000000000001" customHeight="1">
      <c r="A699" s="6" t="s">
        <v>14</v>
      </c>
      <c r="B699" s="7" t="s">
        <v>2461</v>
      </c>
      <c r="C699" s="7" t="s">
        <v>2610</v>
      </c>
      <c r="D699" s="6" t="s">
        <v>2614</v>
      </c>
      <c r="E699" s="6">
        <v>11</v>
      </c>
      <c r="F699" s="6" t="s">
        <v>384</v>
      </c>
      <c r="G699" s="7" t="s">
        <v>2615</v>
      </c>
      <c r="H699" s="6">
        <v>2200</v>
      </c>
      <c r="I699" s="12" t="s">
        <v>523</v>
      </c>
      <c r="J699" s="7" t="s">
        <v>2616</v>
      </c>
      <c r="K699" s="6">
        <v>90</v>
      </c>
      <c r="L699" s="6">
        <v>80</v>
      </c>
      <c r="M699" s="8" t="s">
        <v>2617</v>
      </c>
      <c r="N699" s="7"/>
    </row>
    <row r="700" spans="1:14" ht="20.100000000000001" customHeight="1">
      <c r="A700" s="2" t="s">
        <v>14</v>
      </c>
      <c r="B700" s="3" t="s">
        <v>2461</v>
      </c>
      <c r="C700" s="3" t="s">
        <v>2610</v>
      </c>
      <c r="D700" s="2" t="s">
        <v>2618</v>
      </c>
      <c r="E700" s="2">
        <v>16</v>
      </c>
      <c r="F700" s="2" t="s">
        <v>531</v>
      </c>
      <c r="G700" s="3" t="s">
        <v>2619</v>
      </c>
      <c r="H700" s="2">
        <v>1900</v>
      </c>
      <c r="I700" s="10" t="s">
        <v>386</v>
      </c>
      <c r="J700" s="3" t="s">
        <v>2620</v>
      </c>
      <c r="K700" s="2">
        <v>60</v>
      </c>
      <c r="L700" s="2">
        <v>55</v>
      </c>
      <c r="M700" s="5" t="s">
        <v>2621</v>
      </c>
      <c r="N700" s="3"/>
    </row>
    <row r="701" spans="1:14" ht="20.100000000000001" customHeight="1">
      <c r="A701" s="6" t="s">
        <v>14</v>
      </c>
      <c r="B701" s="7" t="s">
        <v>2461</v>
      </c>
      <c r="C701" s="7" t="s">
        <v>2610</v>
      </c>
      <c r="D701" s="6" t="s">
        <v>2622</v>
      </c>
      <c r="E701" s="6">
        <v>41</v>
      </c>
      <c r="F701" s="6" t="s">
        <v>384</v>
      </c>
      <c r="G701" s="7" t="s">
        <v>2623</v>
      </c>
      <c r="H701" s="6">
        <v>1900</v>
      </c>
      <c r="I701" s="10" t="s">
        <v>386</v>
      </c>
      <c r="J701" s="7" t="s">
        <v>641</v>
      </c>
      <c r="K701" s="6">
        <v>60</v>
      </c>
      <c r="L701" s="6">
        <v>55</v>
      </c>
      <c r="M701" s="8" t="s">
        <v>2624</v>
      </c>
      <c r="N701" s="7"/>
    </row>
    <row r="702" spans="1:14" ht="20.100000000000001" customHeight="1">
      <c r="A702" s="2" t="s">
        <v>14</v>
      </c>
      <c r="B702" s="3" t="s">
        <v>2461</v>
      </c>
      <c r="C702" s="3" t="s">
        <v>2610</v>
      </c>
      <c r="D702" s="2" t="s">
        <v>2625</v>
      </c>
      <c r="E702" s="2">
        <v>321</v>
      </c>
      <c r="F702" s="2" t="s">
        <v>531</v>
      </c>
      <c r="G702" s="3" t="s">
        <v>2626</v>
      </c>
      <c r="H702" s="2">
        <v>2600</v>
      </c>
      <c r="I702" s="12" t="s">
        <v>659</v>
      </c>
      <c r="J702" s="3" t="s">
        <v>2627</v>
      </c>
      <c r="K702" s="2">
        <v>180</v>
      </c>
      <c r="L702" s="2">
        <v>150</v>
      </c>
      <c r="M702" s="5" t="s">
        <v>2628</v>
      </c>
      <c r="N702" s="3"/>
    </row>
    <row r="703" spans="1:14" ht="20.100000000000001" customHeight="1">
      <c r="A703" s="6" t="s">
        <v>14</v>
      </c>
      <c r="B703" s="7" t="s">
        <v>2461</v>
      </c>
      <c r="C703" s="7" t="s">
        <v>2629</v>
      </c>
      <c r="D703" s="6" t="s">
        <v>2630</v>
      </c>
      <c r="E703" s="6">
        <v>721</v>
      </c>
      <c r="F703" s="6" t="s">
        <v>183</v>
      </c>
      <c r="G703" s="7" t="s">
        <v>1295</v>
      </c>
      <c r="H703" s="6">
        <v>1800</v>
      </c>
      <c r="I703" s="10" t="s">
        <v>418</v>
      </c>
      <c r="J703" s="7" t="s">
        <v>2499</v>
      </c>
      <c r="K703" s="6">
        <v>60</v>
      </c>
      <c r="L703" s="6">
        <v>55</v>
      </c>
      <c r="M703" s="8" t="s">
        <v>2631</v>
      </c>
      <c r="N703" s="7"/>
    </row>
    <row r="704" spans="1:14" ht="20.100000000000001" customHeight="1">
      <c r="A704" s="2" t="s">
        <v>14</v>
      </c>
      <c r="B704" s="3" t="s">
        <v>2461</v>
      </c>
      <c r="C704" s="3" t="s">
        <v>2629</v>
      </c>
      <c r="D704" s="2" t="s">
        <v>2632</v>
      </c>
      <c r="E704" s="2">
        <v>919</v>
      </c>
      <c r="F704" s="2" t="s">
        <v>384</v>
      </c>
      <c r="G704" s="3" t="s">
        <v>2633</v>
      </c>
      <c r="H704" s="2">
        <v>1700</v>
      </c>
      <c r="I704" s="10" t="s">
        <v>418</v>
      </c>
      <c r="J704" s="3" t="s">
        <v>2299</v>
      </c>
      <c r="K704" s="2">
        <v>60</v>
      </c>
      <c r="L704" s="2">
        <v>55</v>
      </c>
      <c r="M704" s="5" t="s">
        <v>2634</v>
      </c>
      <c r="N704" s="3"/>
    </row>
    <row r="705" spans="1:14" ht="20.100000000000001" customHeight="1">
      <c r="A705" s="6" t="s">
        <v>14</v>
      </c>
      <c r="B705" s="7" t="s">
        <v>2461</v>
      </c>
      <c r="C705" s="7" t="s">
        <v>2629</v>
      </c>
      <c r="D705" s="6" t="s">
        <v>2635</v>
      </c>
      <c r="E705" s="6">
        <v>981</v>
      </c>
      <c r="F705" s="6" t="s">
        <v>183</v>
      </c>
      <c r="G705" s="7" t="s">
        <v>2636</v>
      </c>
      <c r="H705" s="6">
        <v>1400</v>
      </c>
      <c r="I705" s="9" t="s">
        <v>163</v>
      </c>
      <c r="J705" s="7" t="s">
        <v>2637</v>
      </c>
      <c r="K705" s="6">
        <v>40</v>
      </c>
      <c r="L705" s="6">
        <v>35</v>
      </c>
      <c r="M705" s="8" t="s">
        <v>2638</v>
      </c>
      <c r="N705" s="7"/>
    </row>
    <row r="706" spans="1:14" ht="20.100000000000001" customHeight="1">
      <c r="A706" s="2" t="s">
        <v>14</v>
      </c>
      <c r="B706" s="3" t="s">
        <v>2461</v>
      </c>
      <c r="C706" s="3" t="s">
        <v>2639</v>
      </c>
      <c r="D706" s="2" t="s">
        <v>2640</v>
      </c>
      <c r="E706" s="2">
        <v>148</v>
      </c>
      <c r="F706" s="2" t="s">
        <v>384</v>
      </c>
      <c r="G706" s="3" t="s">
        <v>2641</v>
      </c>
      <c r="H706" s="2">
        <v>1800</v>
      </c>
      <c r="I706" s="10" t="s">
        <v>418</v>
      </c>
      <c r="J706" s="3" t="s">
        <v>2642</v>
      </c>
      <c r="K706" s="2">
        <v>60</v>
      </c>
      <c r="L706" s="2">
        <v>55</v>
      </c>
      <c r="M706" s="5" t="s">
        <v>2643</v>
      </c>
      <c r="N706" s="3"/>
    </row>
    <row r="707" spans="1:14" ht="20.100000000000001" customHeight="1">
      <c r="A707" s="6" t="s">
        <v>14</v>
      </c>
      <c r="B707" s="7" t="s">
        <v>2461</v>
      </c>
      <c r="C707" s="7" t="s">
        <v>2639</v>
      </c>
      <c r="D707" s="6" t="s">
        <v>2644</v>
      </c>
      <c r="E707" s="6">
        <v>235</v>
      </c>
      <c r="F707" s="6" t="s">
        <v>157</v>
      </c>
      <c r="G707" s="7" t="s">
        <v>2645</v>
      </c>
      <c r="H707" s="6">
        <v>2000</v>
      </c>
      <c r="I707" s="10" t="s">
        <v>386</v>
      </c>
      <c r="J707" s="7" t="s">
        <v>2646</v>
      </c>
      <c r="K707" s="6">
        <v>90</v>
      </c>
      <c r="L707" s="6">
        <v>80</v>
      </c>
      <c r="M707" s="8" t="s">
        <v>2647</v>
      </c>
      <c r="N707" s="7"/>
    </row>
    <row r="708" spans="1:14" ht="20.100000000000001" customHeight="1">
      <c r="A708" s="2" t="s">
        <v>14</v>
      </c>
      <c r="B708" s="3" t="s">
        <v>2461</v>
      </c>
      <c r="C708" s="3" t="s">
        <v>2639</v>
      </c>
      <c r="D708" s="2" t="s">
        <v>2648</v>
      </c>
      <c r="E708" s="2">
        <v>540</v>
      </c>
      <c r="F708" s="2" t="s">
        <v>384</v>
      </c>
      <c r="G708" s="3" t="s">
        <v>2649</v>
      </c>
      <c r="H708" s="2">
        <v>1900</v>
      </c>
      <c r="I708" s="10" t="s">
        <v>386</v>
      </c>
      <c r="J708" s="3" t="s">
        <v>2650</v>
      </c>
      <c r="K708" s="2">
        <v>60</v>
      </c>
      <c r="L708" s="2">
        <v>55</v>
      </c>
      <c r="M708" s="5" t="s">
        <v>2651</v>
      </c>
      <c r="N708" s="3"/>
    </row>
    <row r="709" spans="1:14" ht="20.100000000000001" customHeight="1">
      <c r="A709" s="6" t="s">
        <v>14</v>
      </c>
      <c r="B709" s="7" t="s">
        <v>2461</v>
      </c>
      <c r="C709" s="7" t="s">
        <v>2639</v>
      </c>
      <c r="D709" s="6" t="s">
        <v>2652</v>
      </c>
      <c r="E709" s="6">
        <v>908</v>
      </c>
      <c r="F709" s="6" t="s">
        <v>384</v>
      </c>
      <c r="G709" s="7" t="s">
        <v>2653</v>
      </c>
      <c r="H709" s="6">
        <v>2200</v>
      </c>
      <c r="I709" s="12" t="s">
        <v>523</v>
      </c>
      <c r="J709" s="7" t="s">
        <v>2646</v>
      </c>
      <c r="K709" s="6">
        <v>90</v>
      </c>
      <c r="L709" s="6">
        <v>80</v>
      </c>
      <c r="M709" s="8" t="s">
        <v>2654</v>
      </c>
      <c r="N709" s="7"/>
    </row>
    <row r="710" spans="1:14" ht="20.100000000000001" customHeight="1">
      <c r="A710" s="2" t="s">
        <v>14</v>
      </c>
      <c r="B710" s="3" t="s">
        <v>2461</v>
      </c>
      <c r="C710" s="3" t="s">
        <v>2639</v>
      </c>
      <c r="D710" s="2" t="s">
        <v>2655</v>
      </c>
      <c r="E710" s="2">
        <v>1265</v>
      </c>
      <c r="F710" s="2" t="s">
        <v>531</v>
      </c>
      <c r="G710" s="3" t="s">
        <v>2656</v>
      </c>
      <c r="H710" s="2">
        <v>2100</v>
      </c>
      <c r="I710" s="12" t="s">
        <v>523</v>
      </c>
      <c r="J710" s="3" t="s">
        <v>2657</v>
      </c>
      <c r="K710" s="2">
        <v>90</v>
      </c>
      <c r="L710" s="2">
        <v>80</v>
      </c>
      <c r="M710" s="5" t="s">
        <v>2658</v>
      </c>
      <c r="N710" s="3"/>
    </row>
    <row r="711" spans="1:14" ht="20.100000000000001" customHeight="1">
      <c r="A711" s="6" t="s">
        <v>14</v>
      </c>
      <c r="B711" s="7" t="s">
        <v>2461</v>
      </c>
      <c r="C711" s="7" t="s">
        <v>2639</v>
      </c>
      <c r="D711" s="6" t="s">
        <v>2659</v>
      </c>
      <c r="E711" s="6">
        <v>1279</v>
      </c>
      <c r="F711" s="6" t="s">
        <v>384</v>
      </c>
      <c r="G711" s="7" t="s">
        <v>2660</v>
      </c>
      <c r="H711" s="6">
        <v>1700</v>
      </c>
      <c r="I711" s="10" t="s">
        <v>418</v>
      </c>
      <c r="J711" s="7" t="s">
        <v>2661</v>
      </c>
      <c r="K711" s="6">
        <v>60</v>
      </c>
      <c r="L711" s="6">
        <v>55</v>
      </c>
      <c r="M711" s="8" t="s">
        <v>2662</v>
      </c>
      <c r="N711" s="7"/>
    </row>
    <row r="712" spans="1:14" ht="20.100000000000001" customHeight="1">
      <c r="A712" s="2" t="s">
        <v>14</v>
      </c>
      <c r="B712" s="3" t="s">
        <v>2461</v>
      </c>
      <c r="C712" s="3" t="s">
        <v>2663</v>
      </c>
      <c r="D712" s="2" t="s">
        <v>2664</v>
      </c>
      <c r="E712" s="2">
        <v>607</v>
      </c>
      <c r="F712" s="2" t="s">
        <v>18</v>
      </c>
      <c r="G712" s="3" t="s">
        <v>2665</v>
      </c>
      <c r="H712" s="2">
        <v>1600</v>
      </c>
      <c r="I712" s="9" t="s">
        <v>172</v>
      </c>
      <c r="J712" s="3" t="s">
        <v>2025</v>
      </c>
      <c r="K712" s="2">
        <v>40</v>
      </c>
      <c r="L712" s="2">
        <v>35</v>
      </c>
      <c r="M712" s="5" t="s">
        <v>2666</v>
      </c>
      <c r="N712" s="3"/>
    </row>
    <row r="713" spans="1:14" ht="20.100000000000001" customHeight="1">
      <c r="A713" s="6" t="s">
        <v>14</v>
      </c>
      <c r="B713" s="7" t="s">
        <v>2461</v>
      </c>
      <c r="C713" s="7" t="s">
        <v>2663</v>
      </c>
      <c r="D713" s="6" t="s">
        <v>2667</v>
      </c>
      <c r="E713" s="6">
        <v>1510</v>
      </c>
      <c r="F713" s="6" t="s">
        <v>384</v>
      </c>
      <c r="G713" s="7" t="s">
        <v>2668</v>
      </c>
      <c r="H713" s="6">
        <v>2100</v>
      </c>
      <c r="I713" s="12" t="s">
        <v>523</v>
      </c>
      <c r="J713" s="7" t="s">
        <v>2669</v>
      </c>
      <c r="K713" s="6">
        <v>90</v>
      </c>
      <c r="L713" s="6">
        <v>80</v>
      </c>
      <c r="M713" s="8" t="s">
        <v>2670</v>
      </c>
      <c r="N713" s="7"/>
    </row>
    <row r="714" spans="1:14" ht="20.100000000000001" customHeight="1">
      <c r="A714" s="2" t="s">
        <v>14</v>
      </c>
      <c r="B714" s="3" t="s">
        <v>2461</v>
      </c>
      <c r="C714" s="3" t="s">
        <v>2671</v>
      </c>
      <c r="D714" s="2" t="s">
        <v>2672</v>
      </c>
      <c r="E714" s="2">
        <v>319</v>
      </c>
      <c r="F714" s="2" t="s">
        <v>183</v>
      </c>
      <c r="G714" s="3" t="s">
        <v>2673</v>
      </c>
      <c r="H714" s="2">
        <v>2100</v>
      </c>
      <c r="I714" s="12" t="s">
        <v>523</v>
      </c>
      <c r="J714" s="3" t="s">
        <v>2674</v>
      </c>
      <c r="K714" s="2">
        <v>90</v>
      </c>
      <c r="L714" s="2">
        <v>80</v>
      </c>
      <c r="M714" s="5" t="s">
        <v>2675</v>
      </c>
      <c r="N714" s="3"/>
    </row>
    <row r="715" spans="1:14" ht="20.100000000000001" customHeight="1">
      <c r="A715" s="6" t="s">
        <v>14</v>
      </c>
      <c r="B715" s="7" t="s">
        <v>2461</v>
      </c>
      <c r="C715" s="7" t="s">
        <v>2671</v>
      </c>
      <c r="D715" s="6" t="s">
        <v>2676</v>
      </c>
      <c r="E715" s="6">
        <v>631</v>
      </c>
      <c r="F715" s="6" t="s">
        <v>531</v>
      </c>
      <c r="G715" s="7" t="s">
        <v>2677</v>
      </c>
      <c r="H715" s="6">
        <v>2600</v>
      </c>
      <c r="I715" s="12" t="s">
        <v>659</v>
      </c>
      <c r="J715" s="7" t="s">
        <v>2678</v>
      </c>
      <c r="K715" s="6">
        <v>180</v>
      </c>
      <c r="L715" s="6">
        <v>150</v>
      </c>
      <c r="M715" s="8" t="s">
        <v>2679</v>
      </c>
      <c r="N715" s="7"/>
    </row>
    <row r="716" spans="1:14" ht="20.100000000000001" customHeight="1">
      <c r="A716" s="2" t="s">
        <v>14</v>
      </c>
      <c r="B716" s="3" t="s">
        <v>2461</v>
      </c>
      <c r="C716" s="3" t="s">
        <v>2671</v>
      </c>
      <c r="D716" s="2" t="s">
        <v>2680</v>
      </c>
      <c r="E716" s="2">
        <v>868</v>
      </c>
      <c r="F716" s="2" t="s">
        <v>635</v>
      </c>
      <c r="G716" s="3" t="s">
        <v>2681</v>
      </c>
      <c r="H716" s="2">
        <v>2500</v>
      </c>
      <c r="I716" s="12" t="s">
        <v>659</v>
      </c>
      <c r="J716" s="3" t="s">
        <v>2682</v>
      </c>
      <c r="K716" s="2">
        <v>120</v>
      </c>
      <c r="L716" s="2">
        <v>110</v>
      </c>
      <c r="M716" s="5" t="s">
        <v>2683</v>
      </c>
      <c r="N716" s="3"/>
    </row>
    <row r="717" spans="1:14" ht="20.100000000000001" customHeight="1">
      <c r="A717" s="6" t="s">
        <v>14</v>
      </c>
      <c r="B717" s="7" t="s">
        <v>2461</v>
      </c>
      <c r="C717" s="7" t="s">
        <v>2671</v>
      </c>
      <c r="D717" s="6" t="s">
        <v>2684</v>
      </c>
      <c r="E717" s="6">
        <v>1012</v>
      </c>
      <c r="F717" s="6" t="s">
        <v>531</v>
      </c>
      <c r="G717" s="7" t="s">
        <v>2685</v>
      </c>
      <c r="H717" s="6">
        <v>3100</v>
      </c>
      <c r="I717" s="12" t="s">
        <v>659</v>
      </c>
      <c r="J717" s="7" t="s">
        <v>2381</v>
      </c>
      <c r="K717" s="6">
        <v>240</v>
      </c>
      <c r="L717" s="6">
        <v>220</v>
      </c>
      <c r="M717" s="8" t="s">
        <v>2686</v>
      </c>
      <c r="N717" s="7"/>
    </row>
    <row r="718" spans="1:14" ht="20.100000000000001" customHeight="1">
      <c r="A718" s="2" t="s">
        <v>14</v>
      </c>
      <c r="B718" s="3" t="s">
        <v>2461</v>
      </c>
      <c r="C718" s="3" t="s">
        <v>2671</v>
      </c>
      <c r="D718" s="2" t="s">
        <v>2687</v>
      </c>
      <c r="E718" s="2">
        <v>1073</v>
      </c>
      <c r="F718" s="2" t="s">
        <v>531</v>
      </c>
      <c r="G718" s="3" t="s">
        <v>2688</v>
      </c>
      <c r="H718" s="2">
        <v>2300</v>
      </c>
      <c r="I718" s="12" t="s">
        <v>523</v>
      </c>
      <c r="J718" s="3" t="s">
        <v>507</v>
      </c>
      <c r="K718" s="2">
        <v>120</v>
      </c>
      <c r="L718" s="2">
        <v>110</v>
      </c>
      <c r="M718" s="5" t="s">
        <v>2689</v>
      </c>
      <c r="N718" s="3"/>
    </row>
    <row r="719" spans="1:14" ht="20.100000000000001" customHeight="1">
      <c r="A719" s="6" t="s">
        <v>14</v>
      </c>
      <c r="B719" s="7" t="s">
        <v>2690</v>
      </c>
      <c r="C719" s="7" t="s">
        <v>2691</v>
      </c>
      <c r="D719" s="6" t="s">
        <v>2692</v>
      </c>
      <c r="E719" s="6">
        <v>986</v>
      </c>
      <c r="F719" s="6" t="s">
        <v>157</v>
      </c>
      <c r="G719" s="7" t="s">
        <v>2693</v>
      </c>
      <c r="H719" s="6">
        <v>1800</v>
      </c>
      <c r="I719" s="10" t="s">
        <v>418</v>
      </c>
      <c r="J719" s="7" t="s">
        <v>1541</v>
      </c>
      <c r="K719" s="6">
        <v>60</v>
      </c>
      <c r="L719" s="6">
        <v>55</v>
      </c>
      <c r="M719" s="8" t="s">
        <v>2694</v>
      </c>
      <c r="N719" s="7"/>
    </row>
    <row r="720" spans="1:14" ht="20.100000000000001" customHeight="1">
      <c r="A720" s="2" t="s">
        <v>14</v>
      </c>
      <c r="B720" s="3" t="s">
        <v>2690</v>
      </c>
      <c r="C720" s="3" t="s">
        <v>2695</v>
      </c>
      <c r="D720" s="2" t="s">
        <v>2696</v>
      </c>
      <c r="E720" s="2">
        <v>1455</v>
      </c>
      <c r="F720" s="2" t="s">
        <v>531</v>
      </c>
      <c r="G720" s="3" t="s">
        <v>2697</v>
      </c>
      <c r="H720" s="2">
        <v>2400</v>
      </c>
      <c r="I720" s="12" t="s">
        <v>659</v>
      </c>
      <c r="J720" s="3" t="s">
        <v>2698</v>
      </c>
      <c r="K720" s="2">
        <v>120</v>
      </c>
      <c r="L720" s="2">
        <v>110</v>
      </c>
      <c r="M720" s="5" t="s">
        <v>2699</v>
      </c>
      <c r="N720" s="3"/>
    </row>
    <row r="721" spans="1:14" ht="20.100000000000001" customHeight="1">
      <c r="A721" s="6" t="s">
        <v>14</v>
      </c>
      <c r="B721" s="7" t="s">
        <v>2690</v>
      </c>
      <c r="C721" s="7" t="s">
        <v>2700</v>
      </c>
      <c r="D721" s="6" t="s">
        <v>2701</v>
      </c>
      <c r="E721" s="6">
        <v>1093</v>
      </c>
      <c r="F721" s="6" t="s">
        <v>531</v>
      </c>
      <c r="G721" s="7" t="s">
        <v>2702</v>
      </c>
      <c r="H721" s="6">
        <v>2400</v>
      </c>
      <c r="I721" s="12" t="s">
        <v>659</v>
      </c>
      <c r="J721" s="7" t="s">
        <v>677</v>
      </c>
      <c r="K721" s="6">
        <v>120</v>
      </c>
      <c r="L721" s="6">
        <v>110</v>
      </c>
      <c r="M721" s="8" t="s">
        <v>2703</v>
      </c>
      <c r="N721" s="7"/>
    </row>
    <row r="722" spans="1:14" ht="20.100000000000001" customHeight="1">
      <c r="A722" s="2" t="s">
        <v>14</v>
      </c>
      <c r="B722" s="3" t="s">
        <v>2690</v>
      </c>
      <c r="C722" s="3" t="s">
        <v>2700</v>
      </c>
      <c r="D722" s="2" t="s">
        <v>2704</v>
      </c>
      <c r="E722" s="2">
        <v>1260</v>
      </c>
      <c r="F722" s="2" t="s">
        <v>635</v>
      </c>
      <c r="G722" s="3" t="s">
        <v>2705</v>
      </c>
      <c r="H722" s="2">
        <v>2700</v>
      </c>
      <c r="I722" s="12" t="s">
        <v>659</v>
      </c>
      <c r="J722" s="3" t="s">
        <v>2013</v>
      </c>
      <c r="K722" s="2">
        <v>180</v>
      </c>
      <c r="L722" s="2">
        <v>150</v>
      </c>
      <c r="M722" s="5" t="s">
        <v>2706</v>
      </c>
      <c r="N722" s="3"/>
    </row>
    <row r="723" spans="1:14" ht="20.100000000000001" customHeight="1">
      <c r="A723" s="6" t="s">
        <v>14</v>
      </c>
      <c r="B723" s="7" t="s">
        <v>2690</v>
      </c>
      <c r="C723" s="7" t="s">
        <v>2700</v>
      </c>
      <c r="D723" s="6" t="s">
        <v>2707</v>
      </c>
      <c r="E723" s="6">
        <v>1404</v>
      </c>
      <c r="F723" s="6" t="s">
        <v>183</v>
      </c>
      <c r="G723" s="7" t="s">
        <v>2708</v>
      </c>
      <c r="H723" s="6">
        <v>2300</v>
      </c>
      <c r="I723" s="12" t="s">
        <v>523</v>
      </c>
      <c r="J723" s="7" t="s">
        <v>2709</v>
      </c>
      <c r="K723" s="6">
        <v>120</v>
      </c>
      <c r="L723" s="6">
        <v>110</v>
      </c>
      <c r="M723" s="8" t="s">
        <v>2710</v>
      </c>
      <c r="N723" s="7"/>
    </row>
    <row r="724" spans="1:14" ht="20.100000000000001" customHeight="1">
      <c r="A724" s="2" t="s">
        <v>14</v>
      </c>
      <c r="B724" s="3" t="s">
        <v>2690</v>
      </c>
      <c r="C724" s="3" t="s">
        <v>2700</v>
      </c>
      <c r="D724" s="2" t="s">
        <v>2711</v>
      </c>
      <c r="E724" s="2">
        <v>1553</v>
      </c>
      <c r="F724" s="2" t="s">
        <v>635</v>
      </c>
      <c r="G724" s="3" t="s">
        <v>2712</v>
      </c>
      <c r="H724" s="2">
        <v>2300</v>
      </c>
      <c r="I724" s="12" t="s">
        <v>523</v>
      </c>
      <c r="J724" s="3" t="s">
        <v>1638</v>
      </c>
      <c r="K724" s="2">
        <v>120</v>
      </c>
      <c r="L724" s="2">
        <v>110</v>
      </c>
      <c r="M724" s="5" t="s">
        <v>2713</v>
      </c>
      <c r="N724" s="3"/>
    </row>
    <row r="725" spans="1:14" ht="20.100000000000001" customHeight="1">
      <c r="A725" s="6" t="s">
        <v>14</v>
      </c>
      <c r="B725" s="7" t="s">
        <v>2690</v>
      </c>
      <c r="C725" s="7" t="s">
        <v>2700</v>
      </c>
      <c r="D725" s="6" t="s">
        <v>2714</v>
      </c>
      <c r="E725" s="6">
        <v>1603</v>
      </c>
      <c r="F725" s="6" t="s">
        <v>183</v>
      </c>
      <c r="G725" s="7" t="s">
        <v>2715</v>
      </c>
      <c r="H725" s="6">
        <v>2300</v>
      </c>
      <c r="I725" s="12" t="s">
        <v>523</v>
      </c>
      <c r="J725" s="7" t="s">
        <v>2716</v>
      </c>
      <c r="K725" s="6">
        <v>120</v>
      </c>
      <c r="L725" s="6">
        <v>110</v>
      </c>
      <c r="M725" s="8" t="s">
        <v>2717</v>
      </c>
      <c r="N725" s="7"/>
    </row>
    <row r="726" spans="1:14" ht="20.100000000000001" customHeight="1">
      <c r="A726" s="2" t="s">
        <v>14</v>
      </c>
      <c r="B726" s="3" t="s">
        <v>2718</v>
      </c>
      <c r="C726" s="3" t="s">
        <v>2719</v>
      </c>
      <c r="D726" s="2" t="s">
        <v>2720</v>
      </c>
      <c r="E726" s="2">
        <v>339</v>
      </c>
      <c r="F726" s="2" t="s">
        <v>384</v>
      </c>
      <c r="G726" s="3" t="s">
        <v>2721</v>
      </c>
      <c r="H726" s="2">
        <v>1700</v>
      </c>
      <c r="I726" s="10" t="s">
        <v>418</v>
      </c>
      <c r="J726" s="3" t="s">
        <v>2013</v>
      </c>
      <c r="K726" s="2">
        <v>60</v>
      </c>
      <c r="L726" s="2">
        <v>55</v>
      </c>
      <c r="M726" s="5" t="s">
        <v>2722</v>
      </c>
      <c r="N726" s="3"/>
    </row>
    <row r="727" spans="1:14" ht="20.100000000000001" customHeight="1">
      <c r="A727" s="6" t="s">
        <v>14</v>
      </c>
      <c r="B727" s="7" t="s">
        <v>2718</v>
      </c>
      <c r="C727" s="7" t="s">
        <v>2719</v>
      </c>
      <c r="D727" s="6" t="s">
        <v>2723</v>
      </c>
      <c r="E727" s="6">
        <v>52</v>
      </c>
      <c r="F727" s="6" t="s">
        <v>183</v>
      </c>
      <c r="G727" s="7" t="s">
        <v>2724</v>
      </c>
      <c r="H727" s="6">
        <v>2200</v>
      </c>
      <c r="I727" s="12" t="s">
        <v>523</v>
      </c>
      <c r="J727" s="7" t="s">
        <v>677</v>
      </c>
      <c r="K727" s="6">
        <v>90</v>
      </c>
      <c r="L727" s="6">
        <v>80</v>
      </c>
      <c r="M727" s="8" t="s">
        <v>2725</v>
      </c>
      <c r="N727" s="7"/>
    </row>
    <row r="728" spans="1:14" ht="20.100000000000001" customHeight="1">
      <c r="A728" s="2" t="s">
        <v>14</v>
      </c>
      <c r="B728" s="3" t="s">
        <v>2718</v>
      </c>
      <c r="C728" s="3" t="s">
        <v>2719</v>
      </c>
      <c r="D728" s="2" t="s">
        <v>2726</v>
      </c>
      <c r="E728" s="2">
        <v>474</v>
      </c>
      <c r="F728" s="2" t="s">
        <v>531</v>
      </c>
      <c r="G728" s="3" t="s">
        <v>2727</v>
      </c>
      <c r="H728" s="2">
        <v>2000</v>
      </c>
      <c r="I728" s="10" t="s">
        <v>386</v>
      </c>
      <c r="J728" s="3" t="s">
        <v>2728</v>
      </c>
      <c r="K728" s="2">
        <v>90</v>
      </c>
      <c r="L728" s="2">
        <v>80</v>
      </c>
      <c r="M728" s="5" t="s">
        <v>2729</v>
      </c>
      <c r="N728" s="3"/>
    </row>
    <row r="729" spans="1:14" ht="20.100000000000001" customHeight="1">
      <c r="A729" s="6" t="s">
        <v>14</v>
      </c>
      <c r="B729" s="7" t="s">
        <v>2718</v>
      </c>
      <c r="C729" s="7" t="s">
        <v>2719</v>
      </c>
      <c r="D729" s="6" t="s">
        <v>2730</v>
      </c>
      <c r="E729" s="6">
        <v>558</v>
      </c>
      <c r="F729" s="6" t="s">
        <v>531</v>
      </c>
      <c r="G729" s="7" t="s">
        <v>2615</v>
      </c>
      <c r="H729" s="6">
        <v>2300</v>
      </c>
      <c r="I729" s="12" t="s">
        <v>523</v>
      </c>
      <c r="J729" s="7" t="s">
        <v>2731</v>
      </c>
      <c r="K729" s="6">
        <v>120</v>
      </c>
      <c r="L729" s="6">
        <v>110</v>
      </c>
      <c r="M729" s="8" t="s">
        <v>2732</v>
      </c>
      <c r="N729" s="7"/>
    </row>
    <row r="730" spans="1:14" ht="20.100000000000001" customHeight="1">
      <c r="A730" s="2" t="s">
        <v>14</v>
      </c>
      <c r="B730" s="3" t="s">
        <v>2718</v>
      </c>
      <c r="C730" s="3" t="s">
        <v>2719</v>
      </c>
      <c r="D730" s="2" t="s">
        <v>2733</v>
      </c>
      <c r="E730" s="2">
        <v>863</v>
      </c>
      <c r="F730" s="2" t="s">
        <v>531</v>
      </c>
      <c r="G730" s="3" t="s">
        <v>2734</v>
      </c>
      <c r="H730" s="2">
        <v>2000</v>
      </c>
      <c r="I730" s="10" t="s">
        <v>386</v>
      </c>
      <c r="J730" s="3" t="s">
        <v>2021</v>
      </c>
      <c r="K730" s="2">
        <v>90</v>
      </c>
      <c r="L730" s="2">
        <v>80</v>
      </c>
      <c r="M730" s="5" t="s">
        <v>2735</v>
      </c>
      <c r="N730" s="3"/>
    </row>
    <row r="731" spans="1:14" ht="20.100000000000001" customHeight="1">
      <c r="A731" s="6" t="s">
        <v>14</v>
      </c>
      <c r="B731" s="7" t="s">
        <v>2718</v>
      </c>
      <c r="C731" s="7" t="s">
        <v>2719</v>
      </c>
      <c r="D731" s="6" t="s">
        <v>2736</v>
      </c>
      <c r="E731" s="6">
        <v>1114</v>
      </c>
      <c r="F731" s="6" t="s">
        <v>635</v>
      </c>
      <c r="G731" s="7" t="s">
        <v>2737</v>
      </c>
      <c r="H731" s="6">
        <v>2400</v>
      </c>
      <c r="I731" s="12" t="s">
        <v>659</v>
      </c>
      <c r="J731" s="7" t="s">
        <v>2738</v>
      </c>
      <c r="K731" s="6">
        <v>120</v>
      </c>
      <c r="L731" s="6">
        <v>110</v>
      </c>
      <c r="M731" s="8" t="s">
        <v>2739</v>
      </c>
      <c r="N731" s="7"/>
    </row>
    <row r="732" spans="1:14" ht="20.100000000000001" customHeight="1">
      <c r="A732" s="2" t="s">
        <v>14</v>
      </c>
      <c r="B732" s="3" t="s">
        <v>2718</v>
      </c>
      <c r="C732" s="3" t="s">
        <v>2719</v>
      </c>
      <c r="D732" s="2" t="s">
        <v>2740</v>
      </c>
      <c r="E732" s="2">
        <v>1136</v>
      </c>
      <c r="F732" s="2" t="s">
        <v>531</v>
      </c>
      <c r="G732" s="3" t="s">
        <v>2741</v>
      </c>
      <c r="H732" s="2">
        <v>2200</v>
      </c>
      <c r="I732" s="12" t="s">
        <v>523</v>
      </c>
      <c r="J732" s="3" t="s">
        <v>1715</v>
      </c>
      <c r="K732" s="2">
        <v>90</v>
      </c>
      <c r="L732" s="2">
        <v>80</v>
      </c>
      <c r="M732" s="5" t="s">
        <v>2742</v>
      </c>
      <c r="N732" s="3"/>
    </row>
    <row r="733" spans="1:14" ht="20.100000000000001" customHeight="1">
      <c r="A733" s="6" t="s">
        <v>14</v>
      </c>
      <c r="B733" s="7" t="s">
        <v>2718</v>
      </c>
      <c r="C733" s="7" t="s">
        <v>2719</v>
      </c>
      <c r="D733" s="6" t="s">
        <v>2743</v>
      </c>
      <c r="E733" s="6">
        <v>1252</v>
      </c>
      <c r="F733" s="6" t="s">
        <v>535</v>
      </c>
      <c r="G733" s="7" t="s">
        <v>2744</v>
      </c>
      <c r="H733" s="6">
        <v>2100</v>
      </c>
      <c r="I733" s="12" t="s">
        <v>523</v>
      </c>
      <c r="J733" s="7" t="s">
        <v>677</v>
      </c>
      <c r="K733" s="6">
        <v>90</v>
      </c>
      <c r="L733" s="6">
        <v>80</v>
      </c>
      <c r="M733" s="8" t="s">
        <v>2745</v>
      </c>
      <c r="N733" s="7"/>
    </row>
    <row r="734" spans="1:14" ht="20.100000000000001" customHeight="1">
      <c r="A734" s="2" t="s">
        <v>14</v>
      </c>
      <c r="B734" s="3" t="s">
        <v>2718</v>
      </c>
      <c r="C734" s="3" t="s">
        <v>2719</v>
      </c>
      <c r="D734" s="2" t="s">
        <v>2746</v>
      </c>
      <c r="E734" s="2">
        <v>1278</v>
      </c>
      <c r="F734" s="2" t="s">
        <v>531</v>
      </c>
      <c r="G734" s="3" t="s">
        <v>2747</v>
      </c>
      <c r="H734" s="2">
        <v>2200</v>
      </c>
      <c r="I734" s="12" t="s">
        <v>523</v>
      </c>
      <c r="J734" s="3" t="s">
        <v>2748</v>
      </c>
      <c r="K734" s="2">
        <v>90</v>
      </c>
      <c r="L734" s="2">
        <v>80</v>
      </c>
      <c r="M734" s="5" t="s">
        <v>2749</v>
      </c>
      <c r="N734" s="3"/>
    </row>
    <row r="735" spans="1:14" ht="20.100000000000001" customHeight="1">
      <c r="A735" s="6" t="s">
        <v>14</v>
      </c>
      <c r="B735" s="7" t="s">
        <v>2718</v>
      </c>
      <c r="C735" s="7" t="s">
        <v>2750</v>
      </c>
      <c r="D735" s="6" t="s">
        <v>2751</v>
      </c>
      <c r="E735" s="6">
        <v>145</v>
      </c>
      <c r="F735" s="6" t="s">
        <v>531</v>
      </c>
      <c r="G735" s="7" t="s">
        <v>2752</v>
      </c>
      <c r="H735" s="6">
        <v>2400</v>
      </c>
      <c r="I735" s="12" t="s">
        <v>659</v>
      </c>
      <c r="J735" s="7" t="s">
        <v>677</v>
      </c>
      <c r="K735" s="6">
        <v>120</v>
      </c>
      <c r="L735" s="6">
        <v>110</v>
      </c>
      <c r="M735" s="8" t="s">
        <v>2753</v>
      </c>
      <c r="N735" s="7"/>
    </row>
    <row r="736" spans="1:14" ht="20.100000000000001" customHeight="1">
      <c r="A736" s="2" t="s">
        <v>14</v>
      </c>
      <c r="B736" s="3" t="s">
        <v>2718</v>
      </c>
      <c r="C736" s="3" t="s">
        <v>2750</v>
      </c>
      <c r="D736" s="2" t="s">
        <v>2754</v>
      </c>
      <c r="E736" s="2">
        <v>1555</v>
      </c>
      <c r="F736" s="2" t="s">
        <v>531</v>
      </c>
      <c r="G736" s="3" t="s">
        <v>2755</v>
      </c>
      <c r="H736" s="2">
        <v>2100</v>
      </c>
      <c r="I736" s="12" t="s">
        <v>523</v>
      </c>
      <c r="J736" s="3" t="s">
        <v>2756</v>
      </c>
      <c r="K736" s="2">
        <v>90</v>
      </c>
      <c r="L736" s="2">
        <v>80</v>
      </c>
      <c r="M736" s="5" t="s">
        <v>2757</v>
      </c>
      <c r="N736" s="3"/>
    </row>
    <row r="737" spans="1:14" ht="20.100000000000001" customHeight="1">
      <c r="A737" s="6" t="s">
        <v>14</v>
      </c>
      <c r="B737" s="7" t="s">
        <v>2718</v>
      </c>
      <c r="C737" s="7" t="s">
        <v>2758</v>
      </c>
      <c r="D737" s="6" t="s">
        <v>2759</v>
      </c>
      <c r="E737" s="6">
        <v>438</v>
      </c>
      <c r="F737" s="6" t="s">
        <v>384</v>
      </c>
      <c r="G737" s="7" t="s">
        <v>2760</v>
      </c>
      <c r="H737" s="6">
        <v>2300</v>
      </c>
      <c r="I737" s="12" t="s">
        <v>523</v>
      </c>
      <c r="J737" s="7" t="s">
        <v>1638</v>
      </c>
      <c r="K737" s="6">
        <v>120</v>
      </c>
      <c r="L737" s="6">
        <v>110</v>
      </c>
      <c r="M737" s="8" t="s">
        <v>2761</v>
      </c>
      <c r="N737" s="7"/>
    </row>
    <row r="738" spans="1:14" ht="20.100000000000001" customHeight="1">
      <c r="A738" s="2" t="s">
        <v>14</v>
      </c>
      <c r="B738" s="3" t="s">
        <v>2718</v>
      </c>
      <c r="C738" s="3" t="s">
        <v>2758</v>
      </c>
      <c r="D738" s="2" t="s">
        <v>2762</v>
      </c>
      <c r="E738" s="2">
        <v>446</v>
      </c>
      <c r="F738" s="2" t="s">
        <v>183</v>
      </c>
      <c r="G738" s="3" t="s">
        <v>2763</v>
      </c>
      <c r="H738" s="2">
        <v>2400</v>
      </c>
      <c r="I738" s="12" t="s">
        <v>659</v>
      </c>
      <c r="J738" s="3" t="s">
        <v>2764</v>
      </c>
      <c r="K738" s="2">
        <v>120</v>
      </c>
      <c r="L738" s="2">
        <v>110</v>
      </c>
      <c r="M738" s="5" t="s">
        <v>2765</v>
      </c>
      <c r="N738" s="3"/>
    </row>
    <row r="739" spans="1:14" ht="20.100000000000001" customHeight="1">
      <c r="A739" s="6" t="s">
        <v>14</v>
      </c>
      <c r="B739" s="7" t="s">
        <v>2718</v>
      </c>
      <c r="C739" s="7" t="s">
        <v>2758</v>
      </c>
      <c r="D739" s="6" t="s">
        <v>2766</v>
      </c>
      <c r="E739" s="6">
        <v>915</v>
      </c>
      <c r="F739" s="6" t="s">
        <v>531</v>
      </c>
      <c r="G739" s="7" t="s">
        <v>2767</v>
      </c>
      <c r="H739" s="6">
        <v>2300</v>
      </c>
      <c r="I739" s="12" t="s">
        <v>523</v>
      </c>
      <c r="J739" s="7" t="s">
        <v>457</v>
      </c>
      <c r="K739" s="6">
        <v>120</v>
      </c>
      <c r="L739" s="6">
        <v>110</v>
      </c>
      <c r="M739" s="8" t="s">
        <v>2768</v>
      </c>
      <c r="N739" s="7"/>
    </row>
    <row r="740" spans="1:14" ht="20.100000000000001" customHeight="1">
      <c r="A740" s="2" t="s">
        <v>14</v>
      </c>
      <c r="B740" s="3" t="s">
        <v>2718</v>
      </c>
      <c r="C740" s="3" t="s">
        <v>2769</v>
      </c>
      <c r="D740" s="2" t="s">
        <v>2770</v>
      </c>
      <c r="E740" s="2">
        <v>459</v>
      </c>
      <c r="F740" s="2" t="s">
        <v>384</v>
      </c>
      <c r="G740" s="3" t="s">
        <v>2771</v>
      </c>
      <c r="H740" s="2">
        <v>1800</v>
      </c>
      <c r="I740" s="10" t="s">
        <v>418</v>
      </c>
      <c r="J740" s="3" t="s">
        <v>2772</v>
      </c>
      <c r="K740" s="2">
        <v>60</v>
      </c>
      <c r="L740" s="2">
        <v>55</v>
      </c>
      <c r="M740" s="5" t="s">
        <v>2773</v>
      </c>
      <c r="N740" s="3"/>
    </row>
    <row r="741" spans="1:14" ht="20.100000000000001" customHeight="1">
      <c r="A741" s="6" t="s">
        <v>14</v>
      </c>
      <c r="B741" s="7" t="s">
        <v>2718</v>
      </c>
      <c r="C741" s="7" t="s">
        <v>2769</v>
      </c>
      <c r="D741" s="6" t="s">
        <v>2774</v>
      </c>
      <c r="E741" s="6">
        <v>600</v>
      </c>
      <c r="F741" s="6" t="s">
        <v>531</v>
      </c>
      <c r="G741" s="7" t="s">
        <v>2775</v>
      </c>
      <c r="H741" s="6">
        <v>2300</v>
      </c>
      <c r="I741" s="12" t="s">
        <v>523</v>
      </c>
      <c r="J741" s="7" t="s">
        <v>2776</v>
      </c>
      <c r="K741" s="6">
        <v>120</v>
      </c>
      <c r="L741" s="6">
        <v>110</v>
      </c>
      <c r="M741" s="8" t="s">
        <v>2777</v>
      </c>
      <c r="N741" s="7"/>
    </row>
    <row r="742" spans="1:14" ht="20.100000000000001" customHeight="1">
      <c r="A742" s="2" t="s">
        <v>14</v>
      </c>
      <c r="B742" s="3" t="s">
        <v>2718</v>
      </c>
      <c r="C742" s="3" t="s">
        <v>2769</v>
      </c>
      <c r="D742" s="2" t="s">
        <v>2778</v>
      </c>
      <c r="E742" s="2">
        <v>803</v>
      </c>
      <c r="F742" s="2" t="s">
        <v>535</v>
      </c>
      <c r="G742" s="3" t="s">
        <v>2779</v>
      </c>
      <c r="H742" s="2">
        <v>2300</v>
      </c>
      <c r="I742" s="12" t="s">
        <v>523</v>
      </c>
      <c r="J742" s="3" t="s">
        <v>677</v>
      </c>
      <c r="K742" s="2">
        <v>120</v>
      </c>
      <c r="L742" s="2">
        <v>110</v>
      </c>
      <c r="M742" s="5" t="s">
        <v>2780</v>
      </c>
      <c r="N742" s="3"/>
    </row>
    <row r="743" spans="1:14" ht="20.100000000000001" customHeight="1">
      <c r="A743" s="6" t="s">
        <v>14</v>
      </c>
      <c r="B743" s="7" t="s">
        <v>2718</v>
      </c>
      <c r="C743" s="7" t="s">
        <v>2769</v>
      </c>
      <c r="D743" s="6" t="s">
        <v>2781</v>
      </c>
      <c r="E743" s="6">
        <v>1093</v>
      </c>
      <c r="F743" s="6" t="s">
        <v>535</v>
      </c>
      <c r="G743" s="7" t="s">
        <v>2782</v>
      </c>
      <c r="H743" s="6">
        <v>2300</v>
      </c>
      <c r="I743" s="12" t="s">
        <v>523</v>
      </c>
      <c r="J743" s="7" t="s">
        <v>2783</v>
      </c>
      <c r="K743" s="6">
        <v>120</v>
      </c>
      <c r="L743" s="6">
        <v>110</v>
      </c>
      <c r="M743" s="8" t="s">
        <v>2784</v>
      </c>
      <c r="N743" s="7"/>
    </row>
    <row r="744" spans="1:14" ht="20.100000000000001" customHeight="1">
      <c r="A744" s="2" t="s">
        <v>14</v>
      </c>
      <c r="B744" s="3" t="s">
        <v>2718</v>
      </c>
      <c r="C744" s="3" t="s">
        <v>2785</v>
      </c>
      <c r="D744" s="2" t="s">
        <v>2786</v>
      </c>
      <c r="E744" s="2">
        <v>484</v>
      </c>
      <c r="F744" s="2" t="s">
        <v>531</v>
      </c>
      <c r="G744" s="3" t="s">
        <v>2787</v>
      </c>
      <c r="H744" s="2">
        <v>2500</v>
      </c>
      <c r="I744" s="12" t="s">
        <v>659</v>
      </c>
      <c r="J744" s="3" t="s">
        <v>2788</v>
      </c>
      <c r="K744" s="2">
        <v>120</v>
      </c>
      <c r="L744" s="2">
        <v>110</v>
      </c>
      <c r="M744" s="5" t="s">
        <v>2789</v>
      </c>
      <c r="N744" s="3"/>
    </row>
    <row r="745" spans="1:14" ht="20.100000000000001" customHeight="1">
      <c r="A745" s="6" t="s">
        <v>14</v>
      </c>
      <c r="B745" s="7" t="s">
        <v>2718</v>
      </c>
      <c r="C745" s="7" t="s">
        <v>2785</v>
      </c>
      <c r="D745" s="6" t="s">
        <v>2790</v>
      </c>
      <c r="E745" s="6">
        <v>786</v>
      </c>
      <c r="F745" s="6" t="s">
        <v>183</v>
      </c>
      <c r="G745" s="7" t="s">
        <v>2791</v>
      </c>
      <c r="H745" s="6">
        <v>2400</v>
      </c>
      <c r="I745" s="12" t="s">
        <v>659</v>
      </c>
      <c r="J745" s="7" t="s">
        <v>2792</v>
      </c>
      <c r="K745" s="6">
        <v>120</v>
      </c>
      <c r="L745" s="6">
        <v>110</v>
      </c>
      <c r="M745" s="8" t="s">
        <v>2793</v>
      </c>
      <c r="N745" s="7"/>
    </row>
    <row r="746" spans="1:14" ht="20.100000000000001" customHeight="1">
      <c r="A746" s="2" t="s">
        <v>14</v>
      </c>
      <c r="B746" s="3" t="s">
        <v>2718</v>
      </c>
      <c r="C746" s="3" t="s">
        <v>2785</v>
      </c>
      <c r="D746" s="2" t="s">
        <v>2794</v>
      </c>
      <c r="E746" s="2">
        <v>893</v>
      </c>
      <c r="F746" s="2" t="s">
        <v>635</v>
      </c>
      <c r="G746" s="3" t="s">
        <v>2795</v>
      </c>
      <c r="H746" s="2">
        <v>2300</v>
      </c>
      <c r="I746" s="12" t="s">
        <v>523</v>
      </c>
      <c r="J746" s="3" t="s">
        <v>2013</v>
      </c>
      <c r="K746" s="2">
        <v>120</v>
      </c>
      <c r="L746" s="2">
        <v>110</v>
      </c>
      <c r="M746" s="5" t="s">
        <v>2796</v>
      </c>
      <c r="N746" s="3"/>
    </row>
    <row r="747" spans="1:14" ht="20.100000000000001" customHeight="1">
      <c r="A747" s="6" t="s">
        <v>14</v>
      </c>
      <c r="B747" s="7" t="s">
        <v>2718</v>
      </c>
      <c r="C747" s="7" t="s">
        <v>2785</v>
      </c>
      <c r="D747" s="6" t="s">
        <v>2797</v>
      </c>
      <c r="E747" s="6">
        <v>1262</v>
      </c>
      <c r="F747" s="6" t="s">
        <v>843</v>
      </c>
      <c r="G747" s="7" t="s">
        <v>185</v>
      </c>
      <c r="H747" s="6" t="s">
        <v>185</v>
      </c>
      <c r="I747" s="11" t="s">
        <v>185</v>
      </c>
      <c r="J747" s="7" t="s">
        <v>185</v>
      </c>
      <c r="K747" s="6">
        <v>0</v>
      </c>
      <c r="L747" s="6">
        <v>0</v>
      </c>
      <c r="M747" s="8" t="s">
        <v>2798</v>
      </c>
      <c r="N747" s="7"/>
    </row>
    <row r="748" spans="1:14" ht="20.100000000000001" customHeight="1">
      <c r="A748" s="2" t="s">
        <v>14</v>
      </c>
      <c r="B748" s="3" t="s">
        <v>2718</v>
      </c>
      <c r="C748" s="3" t="s">
        <v>2785</v>
      </c>
      <c r="D748" s="2" t="s">
        <v>2799</v>
      </c>
      <c r="E748" s="2">
        <v>1479</v>
      </c>
      <c r="F748" s="2" t="s">
        <v>384</v>
      </c>
      <c r="G748" s="3" t="s">
        <v>2800</v>
      </c>
      <c r="H748" s="2">
        <v>2900</v>
      </c>
      <c r="I748" s="12" t="s">
        <v>659</v>
      </c>
      <c r="J748" s="3" t="s">
        <v>2801</v>
      </c>
      <c r="K748" s="2">
        <v>180</v>
      </c>
      <c r="L748" s="2">
        <v>150</v>
      </c>
      <c r="M748" s="5" t="s">
        <v>2802</v>
      </c>
      <c r="N748" s="3"/>
    </row>
    <row r="749" spans="1:14" ht="20.100000000000001" customHeight="1">
      <c r="A749" s="6" t="s">
        <v>14</v>
      </c>
      <c r="B749" s="7" t="s">
        <v>2718</v>
      </c>
      <c r="C749" s="7" t="s">
        <v>2803</v>
      </c>
      <c r="D749" s="6" t="s">
        <v>2804</v>
      </c>
      <c r="E749" s="6">
        <v>1557</v>
      </c>
      <c r="F749" s="6" t="s">
        <v>384</v>
      </c>
      <c r="G749" s="7" t="s">
        <v>2805</v>
      </c>
      <c r="H749" s="6">
        <v>2200</v>
      </c>
      <c r="I749" s="12" t="s">
        <v>523</v>
      </c>
      <c r="J749" s="7" t="s">
        <v>1796</v>
      </c>
      <c r="K749" s="6">
        <v>90</v>
      </c>
      <c r="L749" s="6">
        <v>80</v>
      </c>
      <c r="M749" s="8" t="s">
        <v>2806</v>
      </c>
      <c r="N749" s="7"/>
    </row>
    <row r="750" spans="1:14" ht="20.100000000000001" customHeight="1">
      <c r="A750" s="2" t="s">
        <v>14</v>
      </c>
      <c r="B750" s="3" t="s">
        <v>2718</v>
      </c>
      <c r="C750" s="3" t="s">
        <v>2803</v>
      </c>
      <c r="D750" s="2" t="s">
        <v>2807</v>
      </c>
      <c r="E750" s="2">
        <v>1779</v>
      </c>
      <c r="F750" s="2" t="s">
        <v>384</v>
      </c>
      <c r="G750" s="3" t="s">
        <v>2808</v>
      </c>
      <c r="H750" s="2">
        <v>1700</v>
      </c>
      <c r="I750" s="10" t="s">
        <v>418</v>
      </c>
      <c r="J750" s="3" t="s">
        <v>2809</v>
      </c>
      <c r="K750" s="2">
        <v>60</v>
      </c>
      <c r="L750" s="2">
        <v>55</v>
      </c>
      <c r="M750" s="5" t="s">
        <v>2810</v>
      </c>
      <c r="N750" s="3"/>
    </row>
    <row r="751" spans="1:14" ht="20.100000000000001" customHeight="1">
      <c r="A751" s="6" t="s">
        <v>14</v>
      </c>
      <c r="B751" s="7" t="s">
        <v>2811</v>
      </c>
      <c r="C751" s="7" t="s">
        <v>2812</v>
      </c>
      <c r="D751" s="6" t="s">
        <v>2813</v>
      </c>
      <c r="E751" s="6">
        <v>597</v>
      </c>
      <c r="F751" s="6" t="s">
        <v>183</v>
      </c>
      <c r="G751" s="7" t="s">
        <v>2814</v>
      </c>
      <c r="H751" s="6">
        <v>1900</v>
      </c>
      <c r="I751" s="10" t="s">
        <v>386</v>
      </c>
      <c r="J751" s="7" t="s">
        <v>159</v>
      </c>
      <c r="K751" s="6">
        <v>60</v>
      </c>
      <c r="L751" s="6">
        <v>55</v>
      </c>
      <c r="M751" s="8" t="s">
        <v>2815</v>
      </c>
      <c r="N751" s="7"/>
    </row>
    <row r="752" spans="1:14" ht="20.100000000000001" customHeight="1">
      <c r="A752" s="2" t="s">
        <v>14</v>
      </c>
      <c r="B752" s="3" t="s">
        <v>2811</v>
      </c>
      <c r="C752" s="3" t="s">
        <v>2816</v>
      </c>
      <c r="D752" s="2" t="s">
        <v>2817</v>
      </c>
      <c r="E752" s="2">
        <v>1076</v>
      </c>
      <c r="F752" s="2" t="s">
        <v>531</v>
      </c>
      <c r="G752" s="3" t="s">
        <v>2818</v>
      </c>
      <c r="H752" s="2">
        <v>1900</v>
      </c>
      <c r="I752" s="10" t="s">
        <v>386</v>
      </c>
      <c r="J752" s="3" t="s">
        <v>2013</v>
      </c>
      <c r="K752" s="2">
        <v>60</v>
      </c>
      <c r="L752" s="2">
        <v>55</v>
      </c>
      <c r="M752" s="5" t="s">
        <v>2819</v>
      </c>
      <c r="N752" s="3"/>
    </row>
    <row r="753" spans="1:14" ht="20.100000000000001" customHeight="1">
      <c r="A753" s="6" t="s">
        <v>14</v>
      </c>
      <c r="B753" s="7" t="s">
        <v>2811</v>
      </c>
      <c r="C753" s="7" t="s">
        <v>2820</v>
      </c>
      <c r="D753" s="6" t="s">
        <v>2821</v>
      </c>
      <c r="E753" s="6">
        <v>961</v>
      </c>
      <c r="F753" s="6" t="s">
        <v>531</v>
      </c>
      <c r="G753" s="7" t="s">
        <v>2822</v>
      </c>
      <c r="H753" s="6">
        <v>1900</v>
      </c>
      <c r="I753" s="10" t="s">
        <v>386</v>
      </c>
      <c r="J753" s="7" t="s">
        <v>677</v>
      </c>
      <c r="K753" s="6">
        <v>60</v>
      </c>
      <c r="L753" s="6">
        <v>55</v>
      </c>
      <c r="M753" s="8" t="s">
        <v>2823</v>
      </c>
      <c r="N753" s="7"/>
    </row>
    <row r="754" spans="1:14" ht="20.100000000000001" customHeight="1">
      <c r="A754" s="2" t="s">
        <v>14</v>
      </c>
      <c r="B754" s="3" t="s">
        <v>2811</v>
      </c>
      <c r="C754" s="3" t="s">
        <v>2824</v>
      </c>
      <c r="D754" s="2" t="s">
        <v>2825</v>
      </c>
      <c r="E754" s="2">
        <v>301</v>
      </c>
      <c r="F754" s="2" t="s">
        <v>384</v>
      </c>
      <c r="G754" s="3" t="s">
        <v>2826</v>
      </c>
      <c r="H754" s="2">
        <v>2200</v>
      </c>
      <c r="I754" s="12" t="s">
        <v>523</v>
      </c>
      <c r="J754" s="3" t="s">
        <v>677</v>
      </c>
      <c r="K754" s="2">
        <v>90</v>
      </c>
      <c r="L754" s="2">
        <v>80</v>
      </c>
      <c r="M754" s="5" t="s">
        <v>2827</v>
      </c>
      <c r="N754" s="3"/>
    </row>
    <row r="755" spans="1:14" ht="20.100000000000001" customHeight="1">
      <c r="A755" s="6" t="s">
        <v>14</v>
      </c>
      <c r="B755" s="7" t="s">
        <v>2811</v>
      </c>
      <c r="C755" s="7" t="s">
        <v>2824</v>
      </c>
      <c r="D755" s="6" t="s">
        <v>2828</v>
      </c>
      <c r="E755" s="6">
        <v>369</v>
      </c>
      <c r="F755" s="6" t="s">
        <v>531</v>
      </c>
      <c r="G755" s="7" t="s">
        <v>2829</v>
      </c>
      <c r="H755" s="6">
        <v>2200</v>
      </c>
      <c r="I755" s="12" t="s">
        <v>523</v>
      </c>
      <c r="J755" s="7" t="s">
        <v>1715</v>
      </c>
      <c r="K755" s="6">
        <v>90</v>
      </c>
      <c r="L755" s="6">
        <v>80</v>
      </c>
      <c r="M755" s="8" t="s">
        <v>2830</v>
      </c>
      <c r="N755" s="7"/>
    </row>
    <row r="756" spans="1:14" ht="20.100000000000001" customHeight="1">
      <c r="A756" s="2" t="s">
        <v>14</v>
      </c>
      <c r="B756" s="3" t="s">
        <v>2811</v>
      </c>
      <c r="C756" s="3" t="s">
        <v>2831</v>
      </c>
      <c r="D756" s="2" t="s">
        <v>2832</v>
      </c>
      <c r="E756" s="2">
        <v>1450</v>
      </c>
      <c r="F756" s="2" t="s">
        <v>720</v>
      </c>
      <c r="G756" s="3" t="s">
        <v>2833</v>
      </c>
      <c r="H756" s="2">
        <v>2100</v>
      </c>
      <c r="I756" s="12" t="s">
        <v>523</v>
      </c>
      <c r="J756" s="3" t="s">
        <v>327</v>
      </c>
      <c r="K756" s="2">
        <v>90</v>
      </c>
      <c r="L756" s="2">
        <v>80</v>
      </c>
      <c r="M756" s="5" t="s">
        <v>2834</v>
      </c>
      <c r="N756" s="3"/>
    </row>
    <row r="757" spans="1:14" ht="20.100000000000001" customHeight="1">
      <c r="A757" s="6" t="s">
        <v>14</v>
      </c>
      <c r="B757" s="7" t="s">
        <v>2811</v>
      </c>
      <c r="C757" s="7" t="s">
        <v>2831</v>
      </c>
      <c r="D757" s="6" t="s">
        <v>2835</v>
      </c>
      <c r="E757" s="6">
        <v>1450</v>
      </c>
      <c r="F757" s="6" t="s">
        <v>725</v>
      </c>
      <c r="G757" s="7" t="s">
        <v>2836</v>
      </c>
      <c r="H757" s="6">
        <v>2300</v>
      </c>
      <c r="I757" s="12" t="s">
        <v>523</v>
      </c>
      <c r="J757" s="7" t="s">
        <v>327</v>
      </c>
      <c r="K757" s="6">
        <v>120</v>
      </c>
      <c r="L757" s="6">
        <v>110</v>
      </c>
      <c r="M757" s="8" t="s">
        <v>2837</v>
      </c>
      <c r="N757" s="7"/>
    </row>
    <row r="758" spans="1:14" ht="20.100000000000001" customHeight="1">
      <c r="A758" s="2" t="s">
        <v>14</v>
      </c>
      <c r="B758" s="3" t="s">
        <v>2811</v>
      </c>
      <c r="C758" s="3" t="s">
        <v>2838</v>
      </c>
      <c r="D758" s="2" t="s">
        <v>2839</v>
      </c>
      <c r="E758" s="2">
        <v>1091</v>
      </c>
      <c r="F758" s="2" t="s">
        <v>183</v>
      </c>
      <c r="G758" s="3" t="s">
        <v>2840</v>
      </c>
      <c r="H758" s="2">
        <v>1400</v>
      </c>
      <c r="I758" s="9" t="s">
        <v>163</v>
      </c>
      <c r="J758" s="3" t="s">
        <v>1065</v>
      </c>
      <c r="K758" s="2">
        <v>40</v>
      </c>
      <c r="L758" s="2">
        <v>35</v>
      </c>
      <c r="M758" s="5" t="s">
        <v>2841</v>
      </c>
      <c r="N758" s="3"/>
    </row>
    <row r="759" spans="1:14" ht="20.100000000000001" customHeight="1">
      <c r="A759" s="6" t="s">
        <v>14</v>
      </c>
      <c r="B759" s="7" t="s">
        <v>2811</v>
      </c>
      <c r="C759" s="7" t="s">
        <v>2838</v>
      </c>
      <c r="D759" s="6" t="s">
        <v>2842</v>
      </c>
      <c r="E759" s="6">
        <v>1220</v>
      </c>
      <c r="F759" s="6" t="s">
        <v>384</v>
      </c>
      <c r="G759" s="7" t="s">
        <v>2843</v>
      </c>
      <c r="H759" s="6">
        <v>1900</v>
      </c>
      <c r="I759" s="10" t="s">
        <v>386</v>
      </c>
      <c r="J759" s="7" t="s">
        <v>2844</v>
      </c>
      <c r="K759" s="6">
        <v>60</v>
      </c>
      <c r="L759" s="6">
        <v>55</v>
      </c>
      <c r="M759" s="8" t="s">
        <v>2845</v>
      </c>
      <c r="N759" s="7"/>
    </row>
    <row r="760" spans="1:14" ht="20.100000000000001" customHeight="1">
      <c r="A760" s="2" t="s">
        <v>14</v>
      </c>
      <c r="B760" s="3" t="s">
        <v>2811</v>
      </c>
      <c r="C760" s="3" t="s">
        <v>2846</v>
      </c>
      <c r="D760" s="2" t="s">
        <v>2847</v>
      </c>
      <c r="E760" s="2">
        <v>1208</v>
      </c>
      <c r="F760" s="2" t="s">
        <v>384</v>
      </c>
      <c r="G760" s="3" t="s">
        <v>2848</v>
      </c>
      <c r="H760" s="2">
        <v>1900</v>
      </c>
      <c r="I760" s="10" t="s">
        <v>386</v>
      </c>
      <c r="J760" s="3" t="s">
        <v>2849</v>
      </c>
      <c r="K760" s="2">
        <v>60</v>
      </c>
      <c r="L760" s="2">
        <v>55</v>
      </c>
      <c r="M760" s="5" t="s">
        <v>2850</v>
      </c>
      <c r="N760" s="3"/>
    </row>
    <row r="761" spans="1:14" ht="20.100000000000001" customHeight="1">
      <c r="A761" s="6" t="s">
        <v>14</v>
      </c>
      <c r="B761" s="7" t="s">
        <v>2811</v>
      </c>
      <c r="C761" s="7" t="s">
        <v>2846</v>
      </c>
      <c r="D761" s="6" t="s">
        <v>2851</v>
      </c>
      <c r="E761" s="6">
        <v>1265</v>
      </c>
      <c r="F761" s="6" t="s">
        <v>183</v>
      </c>
      <c r="G761" s="7" t="s">
        <v>185</v>
      </c>
      <c r="H761" s="6" t="s">
        <v>185</v>
      </c>
      <c r="I761" s="11" t="s">
        <v>185</v>
      </c>
      <c r="J761" s="7" t="s">
        <v>185</v>
      </c>
      <c r="K761" s="6">
        <v>0</v>
      </c>
      <c r="L761" s="6">
        <v>0</v>
      </c>
      <c r="M761" s="8" t="s">
        <v>2852</v>
      </c>
      <c r="N761" s="7"/>
    </row>
    <row r="762" spans="1:14" ht="20.100000000000001" customHeight="1">
      <c r="A762" s="2" t="s">
        <v>14</v>
      </c>
      <c r="B762" s="3" t="s">
        <v>2811</v>
      </c>
      <c r="C762" s="3" t="s">
        <v>2846</v>
      </c>
      <c r="D762" s="2" t="s">
        <v>2853</v>
      </c>
      <c r="E762" s="2">
        <v>1340</v>
      </c>
      <c r="F762" s="2" t="s">
        <v>18</v>
      </c>
      <c r="G762" s="3" t="s">
        <v>2854</v>
      </c>
      <c r="H762" s="2">
        <v>1500</v>
      </c>
      <c r="I762" s="9" t="s">
        <v>172</v>
      </c>
      <c r="J762" s="3" t="s">
        <v>2855</v>
      </c>
      <c r="K762" s="2">
        <v>40</v>
      </c>
      <c r="L762" s="2">
        <v>35</v>
      </c>
      <c r="M762" s="5" t="s">
        <v>2856</v>
      </c>
      <c r="N762" s="3"/>
    </row>
    <row r="763" spans="1:14" ht="20.100000000000001" customHeight="1">
      <c r="A763" s="6" t="s">
        <v>14</v>
      </c>
      <c r="B763" s="7" t="s">
        <v>2811</v>
      </c>
      <c r="C763" s="7" t="s">
        <v>2846</v>
      </c>
      <c r="D763" s="6" t="s">
        <v>2857</v>
      </c>
      <c r="E763" s="6">
        <v>1530</v>
      </c>
      <c r="F763" s="6" t="s">
        <v>384</v>
      </c>
      <c r="G763" s="7" t="s">
        <v>2858</v>
      </c>
      <c r="H763" s="6">
        <v>1600</v>
      </c>
      <c r="I763" s="9" t="s">
        <v>172</v>
      </c>
      <c r="J763" s="7" t="s">
        <v>2859</v>
      </c>
      <c r="K763" s="6">
        <v>40</v>
      </c>
      <c r="L763" s="6">
        <v>35</v>
      </c>
      <c r="M763" s="8" t="s">
        <v>2860</v>
      </c>
      <c r="N763" s="7"/>
    </row>
    <row r="764" spans="1:14" ht="20.100000000000001" customHeight="1">
      <c r="A764" s="2" t="s">
        <v>14</v>
      </c>
      <c r="B764" s="3" t="s">
        <v>2811</v>
      </c>
      <c r="C764" s="3" t="s">
        <v>2846</v>
      </c>
      <c r="D764" s="2" t="s">
        <v>2861</v>
      </c>
      <c r="E764" s="2">
        <v>1612</v>
      </c>
      <c r="F764" s="2" t="s">
        <v>157</v>
      </c>
      <c r="G764" s="3" t="s">
        <v>2862</v>
      </c>
      <c r="H764" s="2">
        <v>900</v>
      </c>
      <c r="I764" s="4" t="s">
        <v>20</v>
      </c>
      <c r="J764" s="3" t="s">
        <v>920</v>
      </c>
      <c r="K764" s="2">
        <v>15</v>
      </c>
      <c r="L764" s="2">
        <v>10</v>
      </c>
      <c r="M764" s="5" t="s">
        <v>2863</v>
      </c>
      <c r="N764" s="3"/>
    </row>
    <row r="765" spans="1:14" ht="20.100000000000001" customHeight="1">
      <c r="A765" s="6" t="s">
        <v>14</v>
      </c>
      <c r="B765" s="7" t="s">
        <v>2811</v>
      </c>
      <c r="C765" s="7" t="s">
        <v>2864</v>
      </c>
      <c r="D765" s="6" t="s">
        <v>2865</v>
      </c>
      <c r="E765" s="6">
        <v>1270</v>
      </c>
      <c r="F765" s="6" t="s">
        <v>384</v>
      </c>
      <c r="G765" s="7" t="s">
        <v>2866</v>
      </c>
      <c r="H765" s="6">
        <v>1900</v>
      </c>
      <c r="I765" s="10" t="s">
        <v>386</v>
      </c>
      <c r="J765" s="7" t="s">
        <v>2867</v>
      </c>
      <c r="K765" s="6">
        <v>60</v>
      </c>
      <c r="L765" s="6">
        <v>55</v>
      </c>
      <c r="M765" s="8" t="s">
        <v>2868</v>
      </c>
      <c r="N765" s="7"/>
    </row>
    <row r="766" spans="1:14" ht="20.100000000000001" customHeight="1">
      <c r="A766" s="2" t="s">
        <v>14</v>
      </c>
      <c r="B766" s="3" t="s">
        <v>2811</v>
      </c>
      <c r="C766" s="3" t="s">
        <v>2864</v>
      </c>
      <c r="D766" s="2" t="s">
        <v>2869</v>
      </c>
      <c r="E766" s="2">
        <v>1451</v>
      </c>
      <c r="F766" s="2" t="s">
        <v>652</v>
      </c>
      <c r="G766" s="3" t="s">
        <v>2870</v>
      </c>
      <c r="H766" s="2">
        <v>2000</v>
      </c>
      <c r="I766" s="10" t="s">
        <v>386</v>
      </c>
      <c r="J766" s="3" t="s">
        <v>2871</v>
      </c>
      <c r="K766" s="2">
        <v>90</v>
      </c>
      <c r="L766" s="2">
        <v>80</v>
      </c>
      <c r="M766" s="5" t="s">
        <v>2872</v>
      </c>
      <c r="N766" s="3"/>
    </row>
    <row r="767" spans="1:14" ht="20.100000000000001" customHeight="1">
      <c r="A767" s="6" t="s">
        <v>14</v>
      </c>
      <c r="B767" s="7" t="s">
        <v>2811</v>
      </c>
      <c r="C767" s="7" t="s">
        <v>2864</v>
      </c>
      <c r="D767" s="6" t="s">
        <v>2873</v>
      </c>
      <c r="E767" s="6">
        <v>1451</v>
      </c>
      <c r="F767" s="6" t="s">
        <v>657</v>
      </c>
      <c r="G767" s="7" t="s">
        <v>2874</v>
      </c>
      <c r="H767" s="6">
        <v>2300</v>
      </c>
      <c r="I767" s="12" t="s">
        <v>523</v>
      </c>
      <c r="J767" s="7" t="s">
        <v>2871</v>
      </c>
      <c r="K767" s="6">
        <v>120</v>
      </c>
      <c r="L767" s="6">
        <v>110</v>
      </c>
      <c r="M767" s="8" t="s">
        <v>2875</v>
      </c>
      <c r="N767" s="7"/>
    </row>
    <row r="768" spans="1:14" ht="20.100000000000001" customHeight="1">
      <c r="A768" s="2" t="s">
        <v>14</v>
      </c>
      <c r="B768" s="3" t="s">
        <v>2811</v>
      </c>
      <c r="C768" s="3" t="s">
        <v>2864</v>
      </c>
      <c r="D768" s="2" t="s">
        <v>2876</v>
      </c>
      <c r="E768" s="2">
        <v>1592</v>
      </c>
      <c r="F768" s="2" t="s">
        <v>384</v>
      </c>
      <c r="G768" s="3" t="s">
        <v>2877</v>
      </c>
      <c r="H768" s="2">
        <v>2300</v>
      </c>
      <c r="I768" s="12" t="s">
        <v>523</v>
      </c>
      <c r="J768" s="3" t="s">
        <v>2878</v>
      </c>
      <c r="K768" s="2">
        <v>120</v>
      </c>
      <c r="L768" s="2">
        <v>110</v>
      </c>
      <c r="M768" s="5" t="s">
        <v>2879</v>
      </c>
      <c r="N768" s="3"/>
    </row>
    <row r="769" spans="1:14" ht="20.100000000000001" customHeight="1">
      <c r="A769" s="6" t="s">
        <v>14</v>
      </c>
      <c r="B769" s="7" t="s">
        <v>2880</v>
      </c>
      <c r="C769" s="7" t="s">
        <v>2881</v>
      </c>
      <c r="D769" s="6" t="s">
        <v>2882</v>
      </c>
      <c r="E769" s="6">
        <v>166</v>
      </c>
      <c r="F769" s="6" t="s">
        <v>157</v>
      </c>
      <c r="G769" s="7" t="s">
        <v>2883</v>
      </c>
      <c r="H769" s="6">
        <v>2100</v>
      </c>
      <c r="I769" s="12" t="s">
        <v>523</v>
      </c>
      <c r="J769" s="7" t="s">
        <v>2884</v>
      </c>
      <c r="K769" s="6">
        <v>90</v>
      </c>
      <c r="L769" s="6">
        <v>80</v>
      </c>
      <c r="M769" s="8" t="s">
        <v>2885</v>
      </c>
      <c r="N769" s="7"/>
    </row>
    <row r="770" spans="1:14" ht="20.100000000000001" customHeight="1">
      <c r="A770" s="2" t="s">
        <v>14</v>
      </c>
      <c r="B770" s="3" t="s">
        <v>2880</v>
      </c>
      <c r="C770" s="3" t="s">
        <v>2881</v>
      </c>
      <c r="D770" s="2" t="s">
        <v>2886</v>
      </c>
      <c r="E770" s="2">
        <v>598</v>
      </c>
      <c r="F770" s="2" t="s">
        <v>183</v>
      </c>
      <c r="G770" s="3" t="s">
        <v>2887</v>
      </c>
      <c r="H770" s="2">
        <v>2300</v>
      </c>
      <c r="I770" s="12" t="s">
        <v>523</v>
      </c>
      <c r="J770" s="3" t="s">
        <v>2884</v>
      </c>
      <c r="K770" s="2">
        <v>120</v>
      </c>
      <c r="L770" s="2">
        <v>110</v>
      </c>
      <c r="M770" s="5" t="s">
        <v>2888</v>
      </c>
      <c r="N770" s="3"/>
    </row>
    <row r="771" spans="1:14" ht="20.100000000000001" customHeight="1">
      <c r="A771" s="6" t="s">
        <v>14</v>
      </c>
      <c r="B771" s="7" t="s">
        <v>2880</v>
      </c>
      <c r="C771" s="7" t="s">
        <v>2881</v>
      </c>
      <c r="D771" s="6" t="s">
        <v>2889</v>
      </c>
      <c r="E771" s="6">
        <v>613</v>
      </c>
      <c r="F771" s="6" t="s">
        <v>18</v>
      </c>
      <c r="G771" s="7" t="s">
        <v>2890</v>
      </c>
      <c r="H771" s="6">
        <v>1900</v>
      </c>
      <c r="I771" s="10" t="s">
        <v>386</v>
      </c>
      <c r="J771" s="7" t="s">
        <v>2891</v>
      </c>
      <c r="K771" s="6">
        <v>60</v>
      </c>
      <c r="L771" s="6">
        <v>55</v>
      </c>
      <c r="M771" s="8" t="s">
        <v>2892</v>
      </c>
      <c r="N771" s="7"/>
    </row>
    <row r="772" spans="1:14" ht="20.100000000000001" customHeight="1">
      <c r="A772" s="2" t="s">
        <v>14</v>
      </c>
      <c r="B772" s="3" t="s">
        <v>2880</v>
      </c>
      <c r="C772" s="3" t="s">
        <v>2881</v>
      </c>
      <c r="D772" s="2" t="s">
        <v>2893</v>
      </c>
      <c r="E772" s="2">
        <v>961</v>
      </c>
      <c r="F772" s="2" t="s">
        <v>384</v>
      </c>
      <c r="G772" s="3" t="s">
        <v>2894</v>
      </c>
      <c r="H772" s="2">
        <v>2000</v>
      </c>
      <c r="I772" s="10" t="s">
        <v>386</v>
      </c>
      <c r="J772" s="3" t="s">
        <v>2895</v>
      </c>
      <c r="K772" s="2">
        <v>90</v>
      </c>
      <c r="L772" s="2">
        <v>80</v>
      </c>
      <c r="M772" s="5" t="s">
        <v>2896</v>
      </c>
      <c r="N772" s="3"/>
    </row>
    <row r="773" spans="1:14" ht="20.100000000000001" customHeight="1">
      <c r="A773" s="6" t="s">
        <v>14</v>
      </c>
      <c r="B773" s="7" t="s">
        <v>2880</v>
      </c>
      <c r="C773" s="7" t="s">
        <v>2881</v>
      </c>
      <c r="D773" s="6" t="s">
        <v>2897</v>
      </c>
      <c r="E773" s="6">
        <v>1299</v>
      </c>
      <c r="F773" s="6" t="s">
        <v>157</v>
      </c>
      <c r="G773" s="7" t="s">
        <v>2898</v>
      </c>
      <c r="H773" s="6">
        <v>1800</v>
      </c>
      <c r="I773" s="10" t="s">
        <v>418</v>
      </c>
      <c r="J773" s="7" t="s">
        <v>2895</v>
      </c>
      <c r="K773" s="6">
        <v>60</v>
      </c>
      <c r="L773" s="6">
        <v>55</v>
      </c>
      <c r="M773" s="8" t="s">
        <v>2899</v>
      </c>
      <c r="N773" s="7"/>
    </row>
    <row r="774" spans="1:14" ht="20.100000000000001" customHeight="1">
      <c r="A774" s="2" t="s">
        <v>14</v>
      </c>
      <c r="B774" s="3" t="s">
        <v>2880</v>
      </c>
      <c r="C774" s="3" t="s">
        <v>2881</v>
      </c>
      <c r="D774" s="2" t="s">
        <v>2900</v>
      </c>
      <c r="E774" s="2">
        <v>1359</v>
      </c>
      <c r="F774" s="2" t="s">
        <v>635</v>
      </c>
      <c r="G774" s="3" t="s">
        <v>2901</v>
      </c>
      <c r="H774" s="2">
        <v>2900</v>
      </c>
      <c r="I774" s="12" t="s">
        <v>659</v>
      </c>
      <c r="J774" s="3" t="s">
        <v>2902</v>
      </c>
      <c r="K774" s="2">
        <v>180</v>
      </c>
      <c r="L774" s="2">
        <v>150</v>
      </c>
      <c r="M774" s="5" t="s">
        <v>2903</v>
      </c>
      <c r="N774" s="3"/>
    </row>
    <row r="775" spans="1:14" ht="20.100000000000001" customHeight="1">
      <c r="A775" s="6" t="s">
        <v>14</v>
      </c>
      <c r="B775" s="7" t="s">
        <v>2880</v>
      </c>
      <c r="C775" s="7" t="s">
        <v>2904</v>
      </c>
      <c r="D775" s="6" t="s">
        <v>2905</v>
      </c>
      <c r="E775" s="6">
        <v>166</v>
      </c>
      <c r="F775" s="6" t="s">
        <v>18</v>
      </c>
      <c r="G775" s="7" t="s">
        <v>2906</v>
      </c>
      <c r="H775" s="6">
        <v>1100</v>
      </c>
      <c r="I775" s="4" t="s">
        <v>43</v>
      </c>
      <c r="J775" s="7" t="s">
        <v>2907</v>
      </c>
      <c r="K775" s="6">
        <v>25</v>
      </c>
      <c r="L775" s="6">
        <v>20</v>
      </c>
      <c r="M775" s="8" t="s">
        <v>2908</v>
      </c>
      <c r="N775" s="7"/>
    </row>
    <row r="776" spans="1:14" ht="20.100000000000001" customHeight="1">
      <c r="A776" s="2" t="s">
        <v>14</v>
      </c>
      <c r="B776" s="3" t="s">
        <v>2880</v>
      </c>
      <c r="C776" s="3" t="s">
        <v>2904</v>
      </c>
      <c r="D776" s="2" t="s">
        <v>2909</v>
      </c>
      <c r="E776" s="2">
        <v>617</v>
      </c>
      <c r="F776" s="2" t="s">
        <v>384</v>
      </c>
      <c r="G776" s="3" t="s">
        <v>2910</v>
      </c>
      <c r="H776" s="2">
        <v>1700</v>
      </c>
      <c r="I776" s="10" t="s">
        <v>418</v>
      </c>
      <c r="J776" s="3" t="s">
        <v>293</v>
      </c>
      <c r="K776" s="2">
        <v>60</v>
      </c>
      <c r="L776" s="2">
        <v>55</v>
      </c>
      <c r="M776" s="5" t="s">
        <v>2911</v>
      </c>
      <c r="N776" s="3"/>
    </row>
    <row r="777" spans="1:14" ht="20.100000000000001" customHeight="1">
      <c r="A777" s="6" t="s">
        <v>14</v>
      </c>
      <c r="B777" s="7" t="s">
        <v>2880</v>
      </c>
      <c r="C777" s="7" t="s">
        <v>2904</v>
      </c>
      <c r="D777" s="6" t="s">
        <v>2912</v>
      </c>
      <c r="E777" s="6">
        <v>1195</v>
      </c>
      <c r="F777" s="6" t="s">
        <v>183</v>
      </c>
      <c r="G777" s="7" t="s">
        <v>2913</v>
      </c>
      <c r="H777" s="6">
        <v>1400</v>
      </c>
      <c r="I777" s="9" t="s">
        <v>163</v>
      </c>
      <c r="J777" s="7" t="s">
        <v>641</v>
      </c>
      <c r="K777" s="6">
        <v>40</v>
      </c>
      <c r="L777" s="6">
        <v>35</v>
      </c>
      <c r="M777" s="8" t="s">
        <v>2914</v>
      </c>
      <c r="N777" s="7"/>
    </row>
    <row r="778" spans="1:14" ht="20.100000000000001" customHeight="1">
      <c r="A778" s="2" t="s">
        <v>14</v>
      </c>
      <c r="B778" s="3" t="s">
        <v>2880</v>
      </c>
      <c r="C778" s="3" t="s">
        <v>2915</v>
      </c>
      <c r="D778" s="2" t="s">
        <v>2916</v>
      </c>
      <c r="E778" s="2">
        <v>843</v>
      </c>
      <c r="F778" s="2" t="s">
        <v>157</v>
      </c>
      <c r="G778" s="3" t="s">
        <v>2917</v>
      </c>
      <c r="H778" s="2">
        <v>2000</v>
      </c>
      <c r="I778" s="10" t="s">
        <v>386</v>
      </c>
      <c r="J778" s="3" t="s">
        <v>2918</v>
      </c>
      <c r="K778" s="2">
        <v>90</v>
      </c>
      <c r="L778" s="2">
        <v>80</v>
      </c>
      <c r="M778" s="5" t="s">
        <v>2919</v>
      </c>
      <c r="N778" s="3"/>
    </row>
    <row r="779" spans="1:14" ht="20.100000000000001" customHeight="1">
      <c r="A779" s="6" t="s">
        <v>14</v>
      </c>
      <c r="B779" s="7" t="s">
        <v>2880</v>
      </c>
      <c r="C779" s="7" t="s">
        <v>2915</v>
      </c>
      <c r="D779" s="6" t="s">
        <v>2920</v>
      </c>
      <c r="E779" s="6">
        <v>1016</v>
      </c>
      <c r="F779" s="6" t="s">
        <v>384</v>
      </c>
      <c r="G779" s="7" t="s">
        <v>2921</v>
      </c>
      <c r="H779" s="6">
        <v>1800</v>
      </c>
      <c r="I779" s="10" t="s">
        <v>418</v>
      </c>
      <c r="J779" s="7" t="s">
        <v>2922</v>
      </c>
      <c r="K779" s="6">
        <v>60</v>
      </c>
      <c r="L779" s="6">
        <v>55</v>
      </c>
      <c r="M779" s="8" t="s">
        <v>2923</v>
      </c>
      <c r="N779" s="7"/>
    </row>
    <row r="780" spans="1:14" ht="20.100000000000001" customHeight="1">
      <c r="A780" s="2" t="s">
        <v>14</v>
      </c>
      <c r="B780" s="3" t="s">
        <v>2880</v>
      </c>
      <c r="C780" s="3" t="s">
        <v>2915</v>
      </c>
      <c r="D780" s="2" t="s">
        <v>2924</v>
      </c>
      <c r="E780" s="2">
        <v>1698</v>
      </c>
      <c r="F780" s="2" t="s">
        <v>384</v>
      </c>
      <c r="G780" s="3" t="s">
        <v>2925</v>
      </c>
      <c r="H780" s="2">
        <v>1600</v>
      </c>
      <c r="I780" s="9" t="s">
        <v>172</v>
      </c>
      <c r="J780" s="3" t="s">
        <v>2926</v>
      </c>
      <c r="K780" s="2">
        <v>40</v>
      </c>
      <c r="L780" s="2">
        <v>35</v>
      </c>
      <c r="M780" s="5" t="s">
        <v>2927</v>
      </c>
      <c r="N780" s="3"/>
    </row>
    <row r="781" spans="1:14" ht="20.100000000000001" customHeight="1">
      <c r="A781" s="6" t="s">
        <v>14</v>
      </c>
      <c r="B781" s="7" t="s">
        <v>2880</v>
      </c>
      <c r="C781" s="7" t="s">
        <v>2928</v>
      </c>
      <c r="D781" s="6" t="s">
        <v>2929</v>
      </c>
      <c r="E781" s="6">
        <v>1185</v>
      </c>
      <c r="F781" s="6" t="s">
        <v>183</v>
      </c>
      <c r="G781" s="7" t="s">
        <v>185</v>
      </c>
      <c r="H781" s="6" t="s">
        <v>185</v>
      </c>
      <c r="I781" s="11" t="s">
        <v>185</v>
      </c>
      <c r="J781" s="7" t="s">
        <v>185</v>
      </c>
      <c r="K781" s="6">
        <v>0</v>
      </c>
      <c r="L781" s="6">
        <v>0</v>
      </c>
      <c r="M781" s="8" t="s">
        <v>2930</v>
      </c>
      <c r="N781" s="7"/>
    </row>
    <row r="782" spans="1:14" ht="20.100000000000001" customHeight="1">
      <c r="A782" s="2" t="s">
        <v>14</v>
      </c>
      <c r="B782" s="3" t="s">
        <v>2880</v>
      </c>
      <c r="C782" s="3" t="s">
        <v>2928</v>
      </c>
      <c r="D782" s="2" t="s">
        <v>2931</v>
      </c>
      <c r="E782" s="2">
        <v>1485</v>
      </c>
      <c r="F782" s="2" t="s">
        <v>18</v>
      </c>
      <c r="G782" s="3" t="s">
        <v>2932</v>
      </c>
      <c r="H782" s="2">
        <v>1000</v>
      </c>
      <c r="I782" s="4" t="s">
        <v>43</v>
      </c>
      <c r="J782" s="3" t="s">
        <v>1078</v>
      </c>
      <c r="K782" s="2">
        <v>15</v>
      </c>
      <c r="L782" s="2">
        <v>10</v>
      </c>
      <c r="M782" s="5" t="s">
        <v>2933</v>
      </c>
      <c r="N782" s="3"/>
    </row>
    <row r="783" spans="1:14" ht="20.100000000000001" customHeight="1">
      <c r="A783" s="6" t="s">
        <v>14</v>
      </c>
      <c r="B783" s="7" t="s">
        <v>2880</v>
      </c>
      <c r="C783" s="7" t="s">
        <v>2928</v>
      </c>
      <c r="D783" s="6" t="s">
        <v>2934</v>
      </c>
      <c r="E783" s="6">
        <v>1520</v>
      </c>
      <c r="F783" s="6" t="s">
        <v>157</v>
      </c>
      <c r="G783" s="7" t="s">
        <v>2935</v>
      </c>
      <c r="H783" s="6">
        <v>800</v>
      </c>
      <c r="I783" s="4" t="s">
        <v>20</v>
      </c>
      <c r="J783" s="7" t="s">
        <v>1436</v>
      </c>
      <c r="K783" s="6">
        <v>15</v>
      </c>
      <c r="L783" s="6">
        <v>10</v>
      </c>
      <c r="M783" s="8" t="s">
        <v>2936</v>
      </c>
      <c r="N783" s="7"/>
    </row>
    <row r="784" spans="1:14" ht="20.100000000000001" customHeight="1">
      <c r="A784" s="2" t="s">
        <v>14</v>
      </c>
      <c r="B784" s="3" t="s">
        <v>2880</v>
      </c>
      <c r="C784" s="3" t="s">
        <v>2928</v>
      </c>
      <c r="D784" s="2" t="s">
        <v>2937</v>
      </c>
      <c r="E784" s="2">
        <v>1562</v>
      </c>
      <c r="F784" s="2" t="s">
        <v>157</v>
      </c>
      <c r="G784" s="3" t="s">
        <v>2938</v>
      </c>
      <c r="H784" s="2">
        <v>1000</v>
      </c>
      <c r="I784" s="4" t="s">
        <v>43</v>
      </c>
      <c r="J784" s="3" t="s">
        <v>2939</v>
      </c>
      <c r="K784" s="2">
        <v>15</v>
      </c>
      <c r="L784" s="2">
        <v>10</v>
      </c>
      <c r="M784" s="5" t="s">
        <v>2940</v>
      </c>
      <c r="N784" s="3"/>
    </row>
    <row r="785" spans="1:14" ht="20.100000000000001" customHeight="1">
      <c r="A785" s="6" t="s">
        <v>14</v>
      </c>
      <c r="B785" s="7" t="s">
        <v>2880</v>
      </c>
      <c r="C785" s="7" t="s">
        <v>2941</v>
      </c>
      <c r="D785" s="6" t="s">
        <v>2942</v>
      </c>
      <c r="E785" s="6">
        <v>487</v>
      </c>
      <c r="F785" s="6" t="s">
        <v>157</v>
      </c>
      <c r="G785" s="7" t="s">
        <v>2943</v>
      </c>
      <c r="H785" s="6">
        <v>2000</v>
      </c>
      <c r="I785" s="10" t="s">
        <v>386</v>
      </c>
      <c r="J785" s="7" t="s">
        <v>2944</v>
      </c>
      <c r="K785" s="6">
        <v>90</v>
      </c>
      <c r="L785" s="6">
        <v>80</v>
      </c>
      <c r="M785" s="8" t="s">
        <v>2945</v>
      </c>
      <c r="N785" s="7"/>
    </row>
    <row r="786" spans="1:14" ht="20.100000000000001" customHeight="1">
      <c r="A786" s="2" t="s">
        <v>14</v>
      </c>
      <c r="B786" s="3" t="s">
        <v>2880</v>
      </c>
      <c r="C786" s="3" t="s">
        <v>2941</v>
      </c>
      <c r="D786" s="2" t="s">
        <v>2946</v>
      </c>
      <c r="E786" s="2">
        <v>730</v>
      </c>
      <c r="F786" s="2" t="s">
        <v>2947</v>
      </c>
      <c r="G786" s="3" t="s">
        <v>2948</v>
      </c>
      <c r="H786" s="2">
        <v>2000</v>
      </c>
      <c r="I786" s="10" t="s">
        <v>386</v>
      </c>
      <c r="J786" s="3" t="s">
        <v>2949</v>
      </c>
      <c r="K786" s="2">
        <v>90</v>
      </c>
      <c r="L786" s="2">
        <v>80</v>
      </c>
      <c r="M786" s="5" t="s">
        <v>2950</v>
      </c>
      <c r="N786" s="3"/>
    </row>
    <row r="787" spans="1:14" ht="20.100000000000001" customHeight="1">
      <c r="A787" s="6" t="s">
        <v>14</v>
      </c>
      <c r="B787" s="7" t="s">
        <v>2880</v>
      </c>
      <c r="C787" s="7" t="s">
        <v>2941</v>
      </c>
      <c r="D787" s="6" t="s">
        <v>2951</v>
      </c>
      <c r="E787" s="6">
        <v>1039</v>
      </c>
      <c r="F787" s="6" t="s">
        <v>384</v>
      </c>
      <c r="G787" s="7" t="s">
        <v>2952</v>
      </c>
      <c r="H787" s="6">
        <v>2800</v>
      </c>
      <c r="I787" s="12" t="s">
        <v>659</v>
      </c>
      <c r="J787" s="7" t="s">
        <v>2953</v>
      </c>
      <c r="K787" s="6">
        <v>180</v>
      </c>
      <c r="L787" s="6">
        <v>150</v>
      </c>
      <c r="M787" s="8" t="s">
        <v>2954</v>
      </c>
      <c r="N787" s="7"/>
    </row>
    <row r="788" spans="1:14" ht="20.100000000000001" customHeight="1">
      <c r="A788" s="2" t="s">
        <v>14</v>
      </c>
      <c r="B788" s="3" t="s">
        <v>2880</v>
      </c>
      <c r="C788" s="3" t="s">
        <v>2941</v>
      </c>
      <c r="D788" s="2" t="s">
        <v>2955</v>
      </c>
      <c r="E788" s="2">
        <v>1187</v>
      </c>
      <c r="F788" s="2" t="s">
        <v>535</v>
      </c>
      <c r="G788" s="3" t="s">
        <v>2956</v>
      </c>
      <c r="H788" s="2">
        <v>2500</v>
      </c>
      <c r="I788" s="12" t="s">
        <v>659</v>
      </c>
      <c r="J788" s="3" t="s">
        <v>2957</v>
      </c>
      <c r="K788" s="2">
        <v>120</v>
      </c>
      <c r="L788" s="2">
        <v>110</v>
      </c>
      <c r="M788" s="5" t="s">
        <v>2958</v>
      </c>
      <c r="N788" s="3"/>
    </row>
    <row r="789" spans="1:14" ht="20.100000000000001" customHeight="1">
      <c r="A789" s="6" t="s">
        <v>14</v>
      </c>
      <c r="B789" s="7" t="s">
        <v>2880</v>
      </c>
      <c r="C789" s="7" t="s">
        <v>2941</v>
      </c>
      <c r="D789" s="6" t="s">
        <v>2959</v>
      </c>
      <c r="E789" s="6">
        <v>1388</v>
      </c>
      <c r="F789" s="6" t="s">
        <v>384</v>
      </c>
      <c r="G789" s="7" t="s">
        <v>2960</v>
      </c>
      <c r="H789" s="6">
        <v>2000</v>
      </c>
      <c r="I789" s="10" t="s">
        <v>386</v>
      </c>
      <c r="J789" s="7" t="s">
        <v>2961</v>
      </c>
      <c r="K789" s="6">
        <v>90</v>
      </c>
      <c r="L789" s="6">
        <v>80</v>
      </c>
      <c r="M789" s="8" t="s">
        <v>2962</v>
      </c>
      <c r="N789" s="7"/>
    </row>
    <row r="790" spans="1:14" ht="20.100000000000001" customHeight="1">
      <c r="A790" s="2" t="s">
        <v>14</v>
      </c>
      <c r="B790" s="3" t="s">
        <v>2880</v>
      </c>
      <c r="C790" s="3" t="s">
        <v>2941</v>
      </c>
      <c r="D790" s="2" t="s">
        <v>2963</v>
      </c>
      <c r="E790" s="2">
        <v>1601</v>
      </c>
      <c r="F790" s="2" t="s">
        <v>183</v>
      </c>
      <c r="G790" s="3" t="s">
        <v>2964</v>
      </c>
      <c r="H790" s="2">
        <v>2300</v>
      </c>
      <c r="I790" s="12" t="s">
        <v>523</v>
      </c>
      <c r="J790" s="3" t="s">
        <v>2965</v>
      </c>
      <c r="K790" s="2">
        <v>120</v>
      </c>
      <c r="L790" s="2">
        <v>110</v>
      </c>
      <c r="M790" s="5" t="s">
        <v>2966</v>
      </c>
      <c r="N790" s="3"/>
    </row>
    <row r="791" spans="1:14" ht="20.100000000000001" customHeight="1">
      <c r="A791" s="6" t="s">
        <v>14</v>
      </c>
      <c r="B791" s="7" t="s">
        <v>2880</v>
      </c>
      <c r="C791" s="7" t="s">
        <v>2941</v>
      </c>
      <c r="D791" s="6" t="s">
        <v>2967</v>
      </c>
      <c r="E791" s="6">
        <v>1731</v>
      </c>
      <c r="F791" s="6" t="s">
        <v>531</v>
      </c>
      <c r="G791" s="7" t="s">
        <v>2968</v>
      </c>
      <c r="H791" s="6">
        <v>2000</v>
      </c>
      <c r="I791" s="10" t="s">
        <v>386</v>
      </c>
      <c r="J791" s="7" t="s">
        <v>2716</v>
      </c>
      <c r="K791" s="6">
        <v>90</v>
      </c>
      <c r="L791" s="6">
        <v>80</v>
      </c>
      <c r="M791" s="8" t="s">
        <v>2969</v>
      </c>
      <c r="N791" s="7"/>
    </row>
    <row r="792" spans="1:14" ht="20.100000000000001" customHeight="1">
      <c r="A792" s="2" t="s">
        <v>14</v>
      </c>
      <c r="B792" s="3" t="s">
        <v>2880</v>
      </c>
      <c r="C792" s="3" t="s">
        <v>2941</v>
      </c>
      <c r="D792" s="2" t="s">
        <v>2970</v>
      </c>
      <c r="E792" s="2">
        <v>1842</v>
      </c>
      <c r="F792" s="2" t="s">
        <v>531</v>
      </c>
      <c r="G792" s="3" t="s">
        <v>2971</v>
      </c>
      <c r="H792" s="2">
        <v>2300</v>
      </c>
      <c r="I792" s="12" t="s">
        <v>523</v>
      </c>
      <c r="J792" s="3" t="s">
        <v>2972</v>
      </c>
      <c r="K792" s="2">
        <v>120</v>
      </c>
      <c r="L792" s="2">
        <v>110</v>
      </c>
      <c r="M792" s="5" t="s">
        <v>2973</v>
      </c>
      <c r="N792" s="3"/>
    </row>
    <row r="793" spans="1:14" ht="20.100000000000001" customHeight="1">
      <c r="A793" s="6" t="s">
        <v>14</v>
      </c>
      <c r="B793" s="7" t="s">
        <v>2880</v>
      </c>
      <c r="C793" s="7" t="s">
        <v>2941</v>
      </c>
      <c r="D793" s="6" t="s">
        <v>2974</v>
      </c>
      <c r="E793" s="6">
        <v>1900</v>
      </c>
      <c r="F793" s="6" t="s">
        <v>531</v>
      </c>
      <c r="G793" s="7" t="s">
        <v>2975</v>
      </c>
      <c r="H793" s="6">
        <v>2100</v>
      </c>
      <c r="I793" s="12" t="s">
        <v>523</v>
      </c>
      <c r="J793" s="7" t="s">
        <v>2976</v>
      </c>
      <c r="K793" s="6">
        <v>90</v>
      </c>
      <c r="L793" s="6">
        <v>80</v>
      </c>
      <c r="M793" s="8" t="s">
        <v>2977</v>
      </c>
      <c r="N793" s="7"/>
    </row>
  </sheetData>
  <autoFilter ref="A1:N793" xr:uid="{00000000-0009-0000-0000-000000000000}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  <hyperlink ref="M102" r:id="rId101" xr:uid="{00000000-0004-0000-0000-000064000000}"/>
    <hyperlink ref="M103" r:id="rId102" xr:uid="{00000000-0004-0000-0000-000065000000}"/>
    <hyperlink ref="M104" r:id="rId103" xr:uid="{00000000-0004-0000-0000-000066000000}"/>
    <hyperlink ref="M105" r:id="rId104" xr:uid="{00000000-0004-0000-0000-000067000000}"/>
    <hyperlink ref="M106" r:id="rId105" xr:uid="{00000000-0004-0000-0000-000068000000}"/>
    <hyperlink ref="M107" r:id="rId106" xr:uid="{00000000-0004-0000-0000-000069000000}"/>
    <hyperlink ref="M108" r:id="rId107" xr:uid="{00000000-0004-0000-0000-00006A000000}"/>
    <hyperlink ref="M109" r:id="rId108" xr:uid="{00000000-0004-0000-0000-00006B000000}"/>
    <hyperlink ref="M110" r:id="rId109" xr:uid="{00000000-0004-0000-0000-00006C000000}"/>
    <hyperlink ref="M111" r:id="rId110" xr:uid="{00000000-0004-0000-0000-00006D000000}"/>
    <hyperlink ref="M112" r:id="rId111" xr:uid="{00000000-0004-0000-0000-00006E000000}"/>
    <hyperlink ref="M113" r:id="rId112" xr:uid="{00000000-0004-0000-0000-00006F000000}"/>
    <hyperlink ref="M114" r:id="rId113" xr:uid="{00000000-0004-0000-0000-000070000000}"/>
    <hyperlink ref="M115" r:id="rId114" xr:uid="{00000000-0004-0000-0000-000071000000}"/>
    <hyperlink ref="M116" r:id="rId115" xr:uid="{00000000-0004-0000-0000-000072000000}"/>
    <hyperlink ref="M117" r:id="rId116" xr:uid="{00000000-0004-0000-0000-000073000000}"/>
    <hyperlink ref="M118" r:id="rId117" xr:uid="{00000000-0004-0000-0000-000074000000}"/>
    <hyperlink ref="M119" r:id="rId118" xr:uid="{00000000-0004-0000-0000-000075000000}"/>
    <hyperlink ref="M120" r:id="rId119" xr:uid="{00000000-0004-0000-0000-000076000000}"/>
    <hyperlink ref="M121" r:id="rId120" xr:uid="{00000000-0004-0000-0000-000077000000}"/>
    <hyperlink ref="M122" r:id="rId121" xr:uid="{00000000-0004-0000-0000-000078000000}"/>
    <hyperlink ref="M123" r:id="rId122" xr:uid="{00000000-0004-0000-0000-000079000000}"/>
    <hyperlink ref="M124" r:id="rId123" xr:uid="{00000000-0004-0000-0000-00007A000000}"/>
    <hyperlink ref="M125" r:id="rId124" xr:uid="{00000000-0004-0000-0000-00007B000000}"/>
    <hyperlink ref="M126" r:id="rId125" xr:uid="{00000000-0004-0000-0000-00007C000000}"/>
    <hyperlink ref="M127" r:id="rId126" xr:uid="{00000000-0004-0000-0000-00007D000000}"/>
    <hyperlink ref="M128" r:id="rId127" xr:uid="{00000000-0004-0000-0000-00007E000000}"/>
    <hyperlink ref="M129" r:id="rId128" xr:uid="{00000000-0004-0000-0000-00007F000000}"/>
    <hyperlink ref="M130" r:id="rId129" xr:uid="{00000000-0004-0000-0000-000080000000}"/>
    <hyperlink ref="M131" r:id="rId130" xr:uid="{00000000-0004-0000-0000-000081000000}"/>
    <hyperlink ref="M132" r:id="rId131" xr:uid="{00000000-0004-0000-0000-000082000000}"/>
    <hyperlink ref="M133" r:id="rId132" xr:uid="{00000000-0004-0000-0000-000083000000}"/>
    <hyperlink ref="M134" r:id="rId133" xr:uid="{00000000-0004-0000-0000-000084000000}"/>
    <hyperlink ref="M135" r:id="rId134" xr:uid="{00000000-0004-0000-0000-000085000000}"/>
    <hyperlink ref="M136" r:id="rId135" xr:uid="{00000000-0004-0000-0000-000086000000}"/>
    <hyperlink ref="M137" r:id="rId136" xr:uid="{00000000-0004-0000-0000-000087000000}"/>
    <hyperlink ref="M138" r:id="rId137" xr:uid="{00000000-0004-0000-0000-000088000000}"/>
    <hyperlink ref="M139" r:id="rId138" xr:uid="{00000000-0004-0000-0000-000089000000}"/>
    <hyperlink ref="M140" r:id="rId139" xr:uid="{00000000-0004-0000-0000-00008A000000}"/>
    <hyperlink ref="M141" r:id="rId140" xr:uid="{00000000-0004-0000-0000-00008B000000}"/>
    <hyperlink ref="M142" r:id="rId141" xr:uid="{00000000-0004-0000-0000-00008C000000}"/>
    <hyperlink ref="M143" r:id="rId142" xr:uid="{00000000-0004-0000-0000-00008D000000}"/>
    <hyperlink ref="M144" r:id="rId143" xr:uid="{00000000-0004-0000-0000-00008E000000}"/>
    <hyperlink ref="M145" r:id="rId144" xr:uid="{00000000-0004-0000-0000-00008F000000}"/>
    <hyperlink ref="M146" r:id="rId145" xr:uid="{00000000-0004-0000-0000-000090000000}"/>
    <hyperlink ref="M147" r:id="rId146" xr:uid="{00000000-0004-0000-0000-000091000000}"/>
    <hyperlink ref="M148" r:id="rId147" xr:uid="{00000000-0004-0000-0000-000092000000}"/>
    <hyperlink ref="M149" r:id="rId148" xr:uid="{00000000-0004-0000-0000-000093000000}"/>
    <hyperlink ref="M150" r:id="rId149" xr:uid="{00000000-0004-0000-0000-000094000000}"/>
    <hyperlink ref="M151" r:id="rId150" xr:uid="{00000000-0004-0000-0000-000095000000}"/>
    <hyperlink ref="M152" r:id="rId151" xr:uid="{00000000-0004-0000-0000-000096000000}"/>
    <hyperlink ref="M153" r:id="rId152" xr:uid="{00000000-0004-0000-0000-000097000000}"/>
    <hyperlink ref="M154" r:id="rId153" xr:uid="{00000000-0004-0000-0000-000098000000}"/>
    <hyperlink ref="M155" r:id="rId154" xr:uid="{00000000-0004-0000-0000-000099000000}"/>
    <hyperlink ref="M156" r:id="rId155" xr:uid="{00000000-0004-0000-0000-00009A000000}"/>
    <hyperlink ref="M157" r:id="rId156" xr:uid="{00000000-0004-0000-0000-00009B000000}"/>
    <hyperlink ref="M158" r:id="rId157" xr:uid="{00000000-0004-0000-0000-00009C000000}"/>
    <hyperlink ref="M159" r:id="rId158" xr:uid="{00000000-0004-0000-0000-00009D000000}"/>
    <hyperlink ref="M160" r:id="rId159" xr:uid="{00000000-0004-0000-0000-00009E000000}"/>
    <hyperlink ref="M161" r:id="rId160" xr:uid="{00000000-0004-0000-0000-00009F000000}"/>
    <hyperlink ref="M162" r:id="rId161" xr:uid="{00000000-0004-0000-0000-0000A0000000}"/>
    <hyperlink ref="M163" r:id="rId162" xr:uid="{00000000-0004-0000-0000-0000A1000000}"/>
    <hyperlink ref="M164" r:id="rId163" xr:uid="{00000000-0004-0000-0000-0000A2000000}"/>
    <hyperlink ref="M165" r:id="rId164" xr:uid="{00000000-0004-0000-0000-0000A3000000}"/>
    <hyperlink ref="M166" r:id="rId165" xr:uid="{00000000-0004-0000-0000-0000A4000000}"/>
    <hyperlink ref="M167" r:id="rId166" xr:uid="{00000000-0004-0000-0000-0000A5000000}"/>
    <hyperlink ref="M168" r:id="rId167" xr:uid="{00000000-0004-0000-0000-0000A6000000}"/>
    <hyperlink ref="M169" r:id="rId168" xr:uid="{00000000-0004-0000-0000-0000A7000000}"/>
    <hyperlink ref="M170" r:id="rId169" xr:uid="{00000000-0004-0000-0000-0000A8000000}"/>
    <hyperlink ref="M171" r:id="rId170" xr:uid="{00000000-0004-0000-0000-0000A9000000}"/>
    <hyperlink ref="M172" r:id="rId171" xr:uid="{00000000-0004-0000-0000-0000AA000000}"/>
    <hyperlink ref="M173" r:id="rId172" xr:uid="{00000000-0004-0000-0000-0000AB000000}"/>
    <hyperlink ref="M174" r:id="rId173" xr:uid="{00000000-0004-0000-0000-0000AC000000}"/>
    <hyperlink ref="M175" r:id="rId174" xr:uid="{00000000-0004-0000-0000-0000AD000000}"/>
    <hyperlink ref="M176" r:id="rId175" xr:uid="{00000000-0004-0000-0000-0000AE000000}"/>
    <hyperlink ref="M177" r:id="rId176" xr:uid="{00000000-0004-0000-0000-0000AF000000}"/>
    <hyperlink ref="M178" r:id="rId177" xr:uid="{00000000-0004-0000-0000-0000B0000000}"/>
    <hyperlink ref="M179" r:id="rId178" xr:uid="{00000000-0004-0000-0000-0000B1000000}"/>
    <hyperlink ref="M180" r:id="rId179" xr:uid="{00000000-0004-0000-0000-0000B2000000}"/>
    <hyperlink ref="M181" r:id="rId180" xr:uid="{00000000-0004-0000-0000-0000B3000000}"/>
    <hyperlink ref="M182" r:id="rId181" xr:uid="{00000000-0004-0000-0000-0000B4000000}"/>
    <hyperlink ref="M183" r:id="rId182" xr:uid="{00000000-0004-0000-0000-0000B5000000}"/>
    <hyperlink ref="M184" r:id="rId183" xr:uid="{00000000-0004-0000-0000-0000B6000000}"/>
    <hyperlink ref="M185" r:id="rId184" xr:uid="{00000000-0004-0000-0000-0000B7000000}"/>
    <hyperlink ref="M186" r:id="rId185" xr:uid="{00000000-0004-0000-0000-0000B8000000}"/>
    <hyperlink ref="M187" r:id="rId186" xr:uid="{00000000-0004-0000-0000-0000B9000000}"/>
    <hyperlink ref="M188" r:id="rId187" xr:uid="{00000000-0004-0000-0000-0000BA000000}"/>
    <hyperlink ref="M189" r:id="rId188" xr:uid="{00000000-0004-0000-0000-0000BB000000}"/>
    <hyperlink ref="M190" r:id="rId189" xr:uid="{00000000-0004-0000-0000-0000BC000000}"/>
    <hyperlink ref="M191" r:id="rId190" xr:uid="{00000000-0004-0000-0000-0000BD000000}"/>
    <hyperlink ref="M192" r:id="rId191" xr:uid="{00000000-0004-0000-0000-0000BE000000}"/>
    <hyperlink ref="M193" r:id="rId192" xr:uid="{00000000-0004-0000-0000-0000BF000000}"/>
    <hyperlink ref="M194" r:id="rId193" xr:uid="{00000000-0004-0000-0000-0000C0000000}"/>
    <hyperlink ref="M195" r:id="rId194" xr:uid="{00000000-0004-0000-0000-0000C1000000}"/>
    <hyperlink ref="M196" r:id="rId195" xr:uid="{00000000-0004-0000-0000-0000C2000000}"/>
    <hyperlink ref="M197" r:id="rId196" xr:uid="{00000000-0004-0000-0000-0000C3000000}"/>
    <hyperlink ref="M198" r:id="rId197" xr:uid="{00000000-0004-0000-0000-0000C4000000}"/>
    <hyperlink ref="M199" r:id="rId198" xr:uid="{00000000-0004-0000-0000-0000C5000000}"/>
    <hyperlink ref="M200" r:id="rId199" xr:uid="{00000000-0004-0000-0000-0000C6000000}"/>
    <hyperlink ref="M201" r:id="rId200" xr:uid="{00000000-0004-0000-0000-0000C7000000}"/>
    <hyperlink ref="M202" r:id="rId201" xr:uid="{00000000-0004-0000-0000-0000C8000000}"/>
    <hyperlink ref="M203" r:id="rId202" xr:uid="{00000000-0004-0000-0000-0000C9000000}"/>
    <hyperlink ref="M204" r:id="rId203" xr:uid="{00000000-0004-0000-0000-0000CA000000}"/>
    <hyperlink ref="M205" r:id="rId204" xr:uid="{00000000-0004-0000-0000-0000CB000000}"/>
    <hyperlink ref="M206" r:id="rId205" xr:uid="{00000000-0004-0000-0000-0000CC000000}"/>
    <hyperlink ref="M207" r:id="rId206" xr:uid="{00000000-0004-0000-0000-0000CD000000}"/>
    <hyperlink ref="M208" r:id="rId207" xr:uid="{00000000-0004-0000-0000-0000CE000000}"/>
    <hyperlink ref="M209" r:id="rId208" xr:uid="{00000000-0004-0000-0000-0000CF000000}"/>
    <hyperlink ref="M210" r:id="rId209" xr:uid="{00000000-0004-0000-0000-0000D0000000}"/>
    <hyperlink ref="M211" r:id="rId210" xr:uid="{00000000-0004-0000-0000-0000D1000000}"/>
    <hyperlink ref="M212" r:id="rId211" xr:uid="{00000000-0004-0000-0000-0000D2000000}"/>
    <hyperlink ref="M213" r:id="rId212" xr:uid="{00000000-0004-0000-0000-0000D3000000}"/>
    <hyperlink ref="M214" r:id="rId213" xr:uid="{00000000-0004-0000-0000-0000D4000000}"/>
    <hyperlink ref="M215" r:id="rId214" xr:uid="{00000000-0004-0000-0000-0000D5000000}"/>
    <hyperlink ref="M216" r:id="rId215" xr:uid="{00000000-0004-0000-0000-0000D6000000}"/>
    <hyperlink ref="M217" r:id="rId216" xr:uid="{00000000-0004-0000-0000-0000D7000000}"/>
    <hyperlink ref="M218" r:id="rId217" xr:uid="{00000000-0004-0000-0000-0000D8000000}"/>
    <hyperlink ref="M219" r:id="rId218" xr:uid="{00000000-0004-0000-0000-0000D9000000}"/>
    <hyperlink ref="M220" r:id="rId219" xr:uid="{00000000-0004-0000-0000-0000DA000000}"/>
    <hyperlink ref="M221" r:id="rId220" xr:uid="{00000000-0004-0000-0000-0000DB000000}"/>
    <hyperlink ref="M222" r:id="rId221" xr:uid="{00000000-0004-0000-0000-0000DC000000}"/>
    <hyperlink ref="M223" r:id="rId222" xr:uid="{00000000-0004-0000-0000-0000DD000000}"/>
    <hyperlink ref="M224" r:id="rId223" xr:uid="{00000000-0004-0000-0000-0000DE000000}"/>
    <hyperlink ref="M225" r:id="rId224" xr:uid="{00000000-0004-0000-0000-0000DF000000}"/>
    <hyperlink ref="M226" r:id="rId225" xr:uid="{00000000-0004-0000-0000-0000E0000000}"/>
    <hyperlink ref="M227" r:id="rId226" xr:uid="{00000000-0004-0000-0000-0000E1000000}"/>
    <hyperlink ref="M228" r:id="rId227" xr:uid="{00000000-0004-0000-0000-0000E2000000}"/>
    <hyperlink ref="M229" r:id="rId228" xr:uid="{00000000-0004-0000-0000-0000E3000000}"/>
    <hyperlink ref="M230" r:id="rId229" xr:uid="{00000000-0004-0000-0000-0000E4000000}"/>
    <hyperlink ref="M231" r:id="rId230" xr:uid="{00000000-0004-0000-0000-0000E5000000}"/>
    <hyperlink ref="M232" r:id="rId231" xr:uid="{00000000-0004-0000-0000-0000E6000000}"/>
    <hyperlink ref="M233" r:id="rId232" xr:uid="{00000000-0004-0000-0000-0000E7000000}"/>
    <hyperlink ref="M234" r:id="rId233" xr:uid="{00000000-0004-0000-0000-0000E8000000}"/>
    <hyperlink ref="M235" r:id="rId234" xr:uid="{00000000-0004-0000-0000-0000E9000000}"/>
    <hyperlink ref="M236" r:id="rId235" xr:uid="{00000000-0004-0000-0000-0000EA000000}"/>
    <hyperlink ref="M237" r:id="rId236" xr:uid="{00000000-0004-0000-0000-0000EB000000}"/>
    <hyperlink ref="M238" r:id="rId237" xr:uid="{00000000-0004-0000-0000-0000EC000000}"/>
    <hyperlink ref="M239" r:id="rId238" xr:uid="{00000000-0004-0000-0000-0000ED000000}"/>
    <hyperlink ref="M240" r:id="rId239" xr:uid="{00000000-0004-0000-0000-0000EE000000}"/>
    <hyperlink ref="M241" r:id="rId240" xr:uid="{00000000-0004-0000-0000-0000EF000000}"/>
    <hyperlink ref="M242" r:id="rId241" xr:uid="{00000000-0004-0000-0000-0000F0000000}"/>
    <hyperlink ref="M243" r:id="rId242" xr:uid="{00000000-0004-0000-0000-0000F1000000}"/>
    <hyperlink ref="M244" r:id="rId243" xr:uid="{00000000-0004-0000-0000-0000F2000000}"/>
    <hyperlink ref="M245" r:id="rId244" xr:uid="{00000000-0004-0000-0000-0000F3000000}"/>
    <hyperlink ref="M246" r:id="rId245" xr:uid="{00000000-0004-0000-0000-0000F4000000}"/>
    <hyperlink ref="M247" r:id="rId246" xr:uid="{00000000-0004-0000-0000-0000F5000000}"/>
    <hyperlink ref="M248" r:id="rId247" xr:uid="{00000000-0004-0000-0000-0000F6000000}"/>
    <hyperlink ref="M249" r:id="rId248" xr:uid="{00000000-0004-0000-0000-0000F7000000}"/>
    <hyperlink ref="M250" r:id="rId249" xr:uid="{00000000-0004-0000-0000-0000F8000000}"/>
    <hyperlink ref="M251" r:id="rId250" xr:uid="{00000000-0004-0000-0000-0000F9000000}"/>
    <hyperlink ref="M252" r:id="rId251" xr:uid="{00000000-0004-0000-0000-0000FA000000}"/>
    <hyperlink ref="M253" r:id="rId252" xr:uid="{00000000-0004-0000-0000-0000FB000000}"/>
    <hyperlink ref="M254" r:id="rId253" xr:uid="{00000000-0004-0000-0000-0000FC000000}"/>
    <hyperlink ref="M255" r:id="rId254" xr:uid="{00000000-0004-0000-0000-0000FD000000}"/>
    <hyperlink ref="M256" r:id="rId255" xr:uid="{00000000-0004-0000-0000-0000FE000000}"/>
    <hyperlink ref="M257" r:id="rId256" xr:uid="{00000000-0004-0000-0000-0000FF000000}"/>
    <hyperlink ref="M258" r:id="rId257" xr:uid="{00000000-0004-0000-0000-000000010000}"/>
    <hyperlink ref="M259" r:id="rId258" xr:uid="{00000000-0004-0000-0000-000001010000}"/>
    <hyperlink ref="M260" r:id="rId259" xr:uid="{00000000-0004-0000-0000-000002010000}"/>
    <hyperlink ref="M261" r:id="rId260" xr:uid="{00000000-0004-0000-0000-000003010000}"/>
    <hyperlink ref="M262" r:id="rId261" xr:uid="{00000000-0004-0000-0000-000004010000}"/>
    <hyperlink ref="M263" r:id="rId262" xr:uid="{00000000-0004-0000-0000-000005010000}"/>
    <hyperlink ref="M264" r:id="rId263" xr:uid="{00000000-0004-0000-0000-000006010000}"/>
    <hyperlink ref="M265" r:id="rId264" xr:uid="{00000000-0004-0000-0000-000007010000}"/>
    <hyperlink ref="M266" r:id="rId265" xr:uid="{00000000-0004-0000-0000-000008010000}"/>
    <hyperlink ref="M267" r:id="rId266" xr:uid="{00000000-0004-0000-0000-000009010000}"/>
    <hyperlink ref="M268" r:id="rId267" xr:uid="{00000000-0004-0000-0000-00000A010000}"/>
    <hyperlink ref="M269" r:id="rId268" xr:uid="{00000000-0004-0000-0000-00000B010000}"/>
    <hyperlink ref="M270" r:id="rId269" xr:uid="{00000000-0004-0000-0000-00000C010000}"/>
    <hyperlink ref="M271" r:id="rId270" xr:uid="{00000000-0004-0000-0000-00000D010000}"/>
    <hyperlink ref="M272" r:id="rId271" xr:uid="{00000000-0004-0000-0000-00000E010000}"/>
    <hyperlink ref="M273" r:id="rId272" xr:uid="{00000000-0004-0000-0000-00000F010000}"/>
    <hyperlink ref="M274" r:id="rId273" xr:uid="{00000000-0004-0000-0000-000010010000}"/>
    <hyperlink ref="M275" r:id="rId274" xr:uid="{00000000-0004-0000-0000-000011010000}"/>
    <hyperlink ref="M276" r:id="rId275" xr:uid="{00000000-0004-0000-0000-000012010000}"/>
    <hyperlink ref="M277" r:id="rId276" xr:uid="{00000000-0004-0000-0000-000013010000}"/>
    <hyperlink ref="M278" r:id="rId277" xr:uid="{00000000-0004-0000-0000-000014010000}"/>
    <hyperlink ref="M279" r:id="rId278" xr:uid="{00000000-0004-0000-0000-000015010000}"/>
    <hyperlink ref="M280" r:id="rId279" xr:uid="{00000000-0004-0000-0000-000016010000}"/>
    <hyperlink ref="M281" r:id="rId280" xr:uid="{00000000-0004-0000-0000-000017010000}"/>
    <hyperlink ref="M282" r:id="rId281" xr:uid="{00000000-0004-0000-0000-000018010000}"/>
    <hyperlink ref="M283" r:id="rId282" xr:uid="{00000000-0004-0000-0000-000019010000}"/>
    <hyperlink ref="M284" r:id="rId283" xr:uid="{00000000-0004-0000-0000-00001A010000}"/>
    <hyperlink ref="M285" r:id="rId284" xr:uid="{00000000-0004-0000-0000-00001B010000}"/>
    <hyperlink ref="M286" r:id="rId285" xr:uid="{00000000-0004-0000-0000-00001C010000}"/>
    <hyperlink ref="M287" r:id="rId286" xr:uid="{00000000-0004-0000-0000-00001D010000}"/>
    <hyperlink ref="M288" r:id="rId287" xr:uid="{00000000-0004-0000-0000-00001E010000}"/>
    <hyperlink ref="M289" r:id="rId288" xr:uid="{00000000-0004-0000-0000-00001F010000}"/>
    <hyperlink ref="M290" r:id="rId289" xr:uid="{00000000-0004-0000-0000-000020010000}"/>
    <hyperlink ref="M291" r:id="rId290" xr:uid="{00000000-0004-0000-0000-000021010000}"/>
    <hyperlink ref="M292" r:id="rId291" xr:uid="{00000000-0004-0000-0000-000022010000}"/>
    <hyperlink ref="M293" r:id="rId292" xr:uid="{00000000-0004-0000-0000-000023010000}"/>
    <hyperlink ref="M294" r:id="rId293" xr:uid="{00000000-0004-0000-0000-000024010000}"/>
    <hyperlink ref="M295" r:id="rId294" xr:uid="{00000000-0004-0000-0000-000025010000}"/>
    <hyperlink ref="M296" r:id="rId295" xr:uid="{00000000-0004-0000-0000-000026010000}"/>
    <hyperlink ref="M297" r:id="rId296" xr:uid="{00000000-0004-0000-0000-000027010000}"/>
    <hyperlink ref="M298" r:id="rId297" xr:uid="{00000000-0004-0000-0000-000028010000}"/>
    <hyperlink ref="M299" r:id="rId298" xr:uid="{00000000-0004-0000-0000-000029010000}"/>
    <hyperlink ref="M300" r:id="rId299" xr:uid="{00000000-0004-0000-0000-00002A010000}"/>
    <hyperlink ref="M301" r:id="rId300" xr:uid="{00000000-0004-0000-0000-00002B010000}"/>
    <hyperlink ref="M302" r:id="rId301" xr:uid="{00000000-0004-0000-0000-00002C010000}"/>
    <hyperlink ref="M303" r:id="rId302" xr:uid="{00000000-0004-0000-0000-00002D010000}"/>
    <hyperlink ref="M304" r:id="rId303" xr:uid="{00000000-0004-0000-0000-00002E010000}"/>
    <hyperlink ref="M305" r:id="rId304" xr:uid="{00000000-0004-0000-0000-00002F010000}"/>
    <hyperlink ref="M306" r:id="rId305" xr:uid="{00000000-0004-0000-0000-000030010000}"/>
    <hyperlink ref="M307" r:id="rId306" xr:uid="{00000000-0004-0000-0000-000031010000}"/>
    <hyperlink ref="M308" r:id="rId307" xr:uid="{00000000-0004-0000-0000-000032010000}"/>
    <hyperlink ref="M309" r:id="rId308" xr:uid="{00000000-0004-0000-0000-000033010000}"/>
    <hyperlink ref="M310" r:id="rId309" xr:uid="{00000000-0004-0000-0000-000034010000}"/>
    <hyperlink ref="M311" r:id="rId310" xr:uid="{00000000-0004-0000-0000-000035010000}"/>
    <hyperlink ref="M312" r:id="rId311" xr:uid="{00000000-0004-0000-0000-000036010000}"/>
    <hyperlink ref="M313" r:id="rId312" xr:uid="{00000000-0004-0000-0000-000037010000}"/>
    <hyperlink ref="M314" r:id="rId313" xr:uid="{00000000-0004-0000-0000-000038010000}"/>
    <hyperlink ref="M315" r:id="rId314" xr:uid="{00000000-0004-0000-0000-000039010000}"/>
    <hyperlink ref="M316" r:id="rId315" xr:uid="{00000000-0004-0000-0000-00003A010000}"/>
    <hyperlink ref="M317" r:id="rId316" xr:uid="{00000000-0004-0000-0000-00003B010000}"/>
    <hyperlink ref="M318" r:id="rId317" xr:uid="{00000000-0004-0000-0000-00003C010000}"/>
    <hyperlink ref="M319" r:id="rId318" xr:uid="{00000000-0004-0000-0000-00003D010000}"/>
    <hyperlink ref="M320" r:id="rId319" xr:uid="{00000000-0004-0000-0000-00003E010000}"/>
    <hyperlink ref="M321" r:id="rId320" xr:uid="{00000000-0004-0000-0000-00003F010000}"/>
    <hyperlink ref="M322" r:id="rId321" xr:uid="{00000000-0004-0000-0000-000040010000}"/>
    <hyperlink ref="M323" r:id="rId322" xr:uid="{00000000-0004-0000-0000-000041010000}"/>
    <hyperlink ref="M324" r:id="rId323" xr:uid="{00000000-0004-0000-0000-000042010000}"/>
    <hyperlink ref="M325" r:id="rId324" xr:uid="{00000000-0004-0000-0000-000043010000}"/>
    <hyperlink ref="M326" r:id="rId325" xr:uid="{00000000-0004-0000-0000-000044010000}"/>
    <hyperlink ref="M327" r:id="rId326" xr:uid="{00000000-0004-0000-0000-000045010000}"/>
    <hyperlink ref="M328" r:id="rId327" xr:uid="{00000000-0004-0000-0000-000046010000}"/>
    <hyperlink ref="M329" r:id="rId328" xr:uid="{00000000-0004-0000-0000-000047010000}"/>
    <hyperlink ref="M330" r:id="rId329" xr:uid="{00000000-0004-0000-0000-000048010000}"/>
    <hyperlink ref="M331" r:id="rId330" xr:uid="{00000000-0004-0000-0000-000049010000}"/>
    <hyperlink ref="M332" r:id="rId331" xr:uid="{00000000-0004-0000-0000-00004A010000}"/>
    <hyperlink ref="M333" r:id="rId332" xr:uid="{00000000-0004-0000-0000-00004B010000}"/>
    <hyperlink ref="M334" r:id="rId333" xr:uid="{00000000-0004-0000-0000-00004C010000}"/>
    <hyperlink ref="M335" r:id="rId334" xr:uid="{00000000-0004-0000-0000-00004D010000}"/>
    <hyperlink ref="M336" r:id="rId335" xr:uid="{00000000-0004-0000-0000-00004E010000}"/>
    <hyperlink ref="M337" r:id="rId336" xr:uid="{00000000-0004-0000-0000-00004F010000}"/>
    <hyperlink ref="M338" r:id="rId337" xr:uid="{00000000-0004-0000-0000-000050010000}"/>
    <hyperlink ref="M339" r:id="rId338" xr:uid="{00000000-0004-0000-0000-000051010000}"/>
    <hyperlink ref="M340" r:id="rId339" xr:uid="{00000000-0004-0000-0000-000052010000}"/>
    <hyperlink ref="M341" r:id="rId340" xr:uid="{00000000-0004-0000-0000-000053010000}"/>
    <hyperlink ref="M342" r:id="rId341" xr:uid="{00000000-0004-0000-0000-000054010000}"/>
    <hyperlink ref="M343" r:id="rId342" xr:uid="{00000000-0004-0000-0000-000055010000}"/>
    <hyperlink ref="M344" r:id="rId343" xr:uid="{00000000-0004-0000-0000-000056010000}"/>
    <hyperlink ref="M345" r:id="rId344" xr:uid="{00000000-0004-0000-0000-000057010000}"/>
    <hyperlink ref="M346" r:id="rId345" xr:uid="{00000000-0004-0000-0000-000058010000}"/>
    <hyperlink ref="M347" r:id="rId346" xr:uid="{00000000-0004-0000-0000-000059010000}"/>
    <hyperlink ref="M348" r:id="rId347" xr:uid="{00000000-0004-0000-0000-00005A010000}"/>
    <hyperlink ref="M349" r:id="rId348" xr:uid="{00000000-0004-0000-0000-00005B010000}"/>
    <hyperlink ref="M350" r:id="rId349" xr:uid="{00000000-0004-0000-0000-00005C010000}"/>
    <hyperlink ref="M351" r:id="rId350" xr:uid="{00000000-0004-0000-0000-00005D010000}"/>
    <hyperlink ref="M352" r:id="rId351" xr:uid="{00000000-0004-0000-0000-00005E010000}"/>
    <hyperlink ref="M353" r:id="rId352" xr:uid="{00000000-0004-0000-0000-00005F010000}"/>
    <hyperlink ref="M354" r:id="rId353" xr:uid="{00000000-0004-0000-0000-000060010000}"/>
    <hyperlink ref="M355" r:id="rId354" xr:uid="{00000000-0004-0000-0000-000061010000}"/>
    <hyperlink ref="M356" r:id="rId355" xr:uid="{00000000-0004-0000-0000-000062010000}"/>
    <hyperlink ref="M357" r:id="rId356" xr:uid="{00000000-0004-0000-0000-000063010000}"/>
    <hyperlink ref="M358" r:id="rId357" xr:uid="{00000000-0004-0000-0000-000064010000}"/>
    <hyperlink ref="M359" r:id="rId358" xr:uid="{00000000-0004-0000-0000-000065010000}"/>
    <hyperlink ref="M360" r:id="rId359" xr:uid="{00000000-0004-0000-0000-000066010000}"/>
    <hyperlink ref="M361" r:id="rId360" xr:uid="{00000000-0004-0000-0000-000067010000}"/>
    <hyperlink ref="M362" r:id="rId361" xr:uid="{00000000-0004-0000-0000-000068010000}"/>
    <hyperlink ref="M363" r:id="rId362" xr:uid="{00000000-0004-0000-0000-000069010000}"/>
    <hyperlink ref="M364" r:id="rId363" xr:uid="{00000000-0004-0000-0000-00006A010000}"/>
    <hyperlink ref="M365" r:id="rId364" xr:uid="{00000000-0004-0000-0000-00006B010000}"/>
    <hyperlink ref="M366" r:id="rId365" xr:uid="{00000000-0004-0000-0000-00006C010000}"/>
    <hyperlink ref="M367" r:id="rId366" xr:uid="{00000000-0004-0000-0000-00006D010000}"/>
    <hyperlink ref="M368" r:id="rId367" xr:uid="{00000000-0004-0000-0000-00006E010000}"/>
    <hyperlink ref="M369" r:id="rId368" xr:uid="{00000000-0004-0000-0000-00006F010000}"/>
    <hyperlink ref="M370" r:id="rId369" xr:uid="{00000000-0004-0000-0000-000070010000}"/>
    <hyperlink ref="M371" r:id="rId370" xr:uid="{00000000-0004-0000-0000-000071010000}"/>
    <hyperlink ref="M372" r:id="rId371" xr:uid="{00000000-0004-0000-0000-000072010000}"/>
    <hyperlink ref="M373" r:id="rId372" xr:uid="{00000000-0004-0000-0000-000073010000}"/>
    <hyperlink ref="M374" r:id="rId373" xr:uid="{00000000-0004-0000-0000-000074010000}"/>
    <hyperlink ref="M375" r:id="rId374" xr:uid="{00000000-0004-0000-0000-000075010000}"/>
    <hyperlink ref="M376" r:id="rId375" xr:uid="{00000000-0004-0000-0000-000076010000}"/>
    <hyperlink ref="M377" r:id="rId376" xr:uid="{00000000-0004-0000-0000-000077010000}"/>
    <hyperlink ref="M378" r:id="rId377" xr:uid="{00000000-0004-0000-0000-000078010000}"/>
    <hyperlink ref="M379" r:id="rId378" xr:uid="{00000000-0004-0000-0000-000079010000}"/>
    <hyperlink ref="M380" r:id="rId379" xr:uid="{00000000-0004-0000-0000-00007A010000}"/>
    <hyperlink ref="M381" r:id="rId380" xr:uid="{00000000-0004-0000-0000-00007B010000}"/>
    <hyperlink ref="M382" r:id="rId381" xr:uid="{00000000-0004-0000-0000-00007C010000}"/>
    <hyperlink ref="M383" r:id="rId382" xr:uid="{00000000-0004-0000-0000-00007D010000}"/>
    <hyperlink ref="M384" r:id="rId383" xr:uid="{00000000-0004-0000-0000-00007E010000}"/>
    <hyperlink ref="M385" r:id="rId384" xr:uid="{00000000-0004-0000-0000-00007F010000}"/>
    <hyperlink ref="M386" r:id="rId385" xr:uid="{00000000-0004-0000-0000-000080010000}"/>
    <hyperlink ref="M387" r:id="rId386" xr:uid="{00000000-0004-0000-0000-000081010000}"/>
    <hyperlink ref="M388" r:id="rId387" xr:uid="{00000000-0004-0000-0000-000082010000}"/>
    <hyperlink ref="M389" r:id="rId388" xr:uid="{00000000-0004-0000-0000-000083010000}"/>
    <hyperlink ref="M390" r:id="rId389" xr:uid="{00000000-0004-0000-0000-000084010000}"/>
    <hyperlink ref="M391" r:id="rId390" xr:uid="{00000000-0004-0000-0000-000085010000}"/>
    <hyperlink ref="M392" r:id="rId391" xr:uid="{00000000-0004-0000-0000-000086010000}"/>
    <hyperlink ref="M393" r:id="rId392" xr:uid="{00000000-0004-0000-0000-000087010000}"/>
    <hyperlink ref="M394" r:id="rId393" xr:uid="{00000000-0004-0000-0000-000088010000}"/>
    <hyperlink ref="M395" r:id="rId394" xr:uid="{00000000-0004-0000-0000-000089010000}"/>
    <hyperlink ref="M396" r:id="rId395" xr:uid="{00000000-0004-0000-0000-00008A010000}"/>
    <hyperlink ref="M397" r:id="rId396" xr:uid="{00000000-0004-0000-0000-00008B010000}"/>
    <hyperlink ref="M398" r:id="rId397" xr:uid="{00000000-0004-0000-0000-00008C010000}"/>
    <hyperlink ref="M399" r:id="rId398" xr:uid="{00000000-0004-0000-0000-00008D010000}"/>
    <hyperlink ref="M400" r:id="rId399" xr:uid="{00000000-0004-0000-0000-00008E010000}"/>
    <hyperlink ref="M401" r:id="rId400" xr:uid="{00000000-0004-0000-0000-00008F010000}"/>
    <hyperlink ref="M402" r:id="rId401" xr:uid="{00000000-0004-0000-0000-000090010000}"/>
    <hyperlink ref="M403" r:id="rId402" xr:uid="{00000000-0004-0000-0000-000091010000}"/>
    <hyperlink ref="M404" r:id="rId403" xr:uid="{00000000-0004-0000-0000-000092010000}"/>
    <hyperlink ref="M405" r:id="rId404" xr:uid="{00000000-0004-0000-0000-000093010000}"/>
    <hyperlink ref="M406" r:id="rId405" xr:uid="{00000000-0004-0000-0000-000094010000}"/>
    <hyperlink ref="M407" r:id="rId406" xr:uid="{00000000-0004-0000-0000-000095010000}"/>
    <hyperlink ref="M408" r:id="rId407" xr:uid="{00000000-0004-0000-0000-000096010000}"/>
    <hyperlink ref="M409" r:id="rId408" xr:uid="{00000000-0004-0000-0000-000097010000}"/>
    <hyperlink ref="M410" r:id="rId409" xr:uid="{00000000-0004-0000-0000-000098010000}"/>
    <hyperlink ref="M411" r:id="rId410" xr:uid="{00000000-0004-0000-0000-000099010000}"/>
    <hyperlink ref="M412" r:id="rId411" xr:uid="{00000000-0004-0000-0000-00009A010000}"/>
    <hyperlink ref="M413" r:id="rId412" xr:uid="{00000000-0004-0000-0000-00009B010000}"/>
    <hyperlink ref="M414" r:id="rId413" xr:uid="{00000000-0004-0000-0000-00009C010000}"/>
    <hyperlink ref="M415" r:id="rId414" xr:uid="{00000000-0004-0000-0000-00009D010000}"/>
    <hyperlink ref="M416" r:id="rId415" xr:uid="{00000000-0004-0000-0000-00009E010000}"/>
    <hyperlink ref="M417" r:id="rId416" xr:uid="{00000000-0004-0000-0000-00009F010000}"/>
    <hyperlink ref="M418" r:id="rId417" xr:uid="{00000000-0004-0000-0000-0000A0010000}"/>
    <hyperlink ref="M419" r:id="rId418" xr:uid="{00000000-0004-0000-0000-0000A1010000}"/>
    <hyperlink ref="M420" r:id="rId419" xr:uid="{00000000-0004-0000-0000-0000A2010000}"/>
    <hyperlink ref="M421" r:id="rId420" xr:uid="{00000000-0004-0000-0000-0000A3010000}"/>
    <hyperlink ref="M422" r:id="rId421" xr:uid="{00000000-0004-0000-0000-0000A4010000}"/>
    <hyperlink ref="M423" r:id="rId422" xr:uid="{00000000-0004-0000-0000-0000A5010000}"/>
    <hyperlink ref="M424" r:id="rId423" xr:uid="{00000000-0004-0000-0000-0000A6010000}"/>
    <hyperlink ref="M425" r:id="rId424" xr:uid="{00000000-0004-0000-0000-0000A7010000}"/>
    <hyperlink ref="M426" r:id="rId425" xr:uid="{00000000-0004-0000-0000-0000A8010000}"/>
    <hyperlink ref="M427" r:id="rId426" xr:uid="{00000000-0004-0000-0000-0000A9010000}"/>
    <hyperlink ref="M428" r:id="rId427" xr:uid="{00000000-0004-0000-0000-0000AA010000}"/>
    <hyperlink ref="M429" r:id="rId428" xr:uid="{00000000-0004-0000-0000-0000AB010000}"/>
    <hyperlink ref="M430" r:id="rId429" xr:uid="{00000000-0004-0000-0000-0000AC010000}"/>
    <hyperlink ref="M431" r:id="rId430" xr:uid="{00000000-0004-0000-0000-0000AD010000}"/>
    <hyperlink ref="M432" r:id="rId431" xr:uid="{00000000-0004-0000-0000-0000AE010000}"/>
    <hyperlink ref="M433" r:id="rId432" xr:uid="{00000000-0004-0000-0000-0000AF010000}"/>
    <hyperlink ref="M434" r:id="rId433" xr:uid="{00000000-0004-0000-0000-0000B0010000}"/>
    <hyperlink ref="M435" r:id="rId434" xr:uid="{00000000-0004-0000-0000-0000B1010000}"/>
    <hyperlink ref="M436" r:id="rId435" xr:uid="{00000000-0004-0000-0000-0000B2010000}"/>
    <hyperlink ref="M437" r:id="rId436" xr:uid="{00000000-0004-0000-0000-0000B3010000}"/>
    <hyperlink ref="M438" r:id="rId437" xr:uid="{00000000-0004-0000-0000-0000B4010000}"/>
    <hyperlink ref="M439" r:id="rId438" xr:uid="{00000000-0004-0000-0000-0000B5010000}"/>
    <hyperlink ref="M440" r:id="rId439" xr:uid="{00000000-0004-0000-0000-0000B6010000}"/>
    <hyperlink ref="M441" r:id="rId440" xr:uid="{00000000-0004-0000-0000-0000B7010000}"/>
    <hyperlink ref="M442" r:id="rId441" xr:uid="{00000000-0004-0000-0000-0000B8010000}"/>
    <hyperlink ref="M443" r:id="rId442" xr:uid="{00000000-0004-0000-0000-0000B9010000}"/>
    <hyperlink ref="M444" r:id="rId443" xr:uid="{00000000-0004-0000-0000-0000BA010000}"/>
    <hyperlink ref="M445" r:id="rId444" xr:uid="{00000000-0004-0000-0000-0000BB010000}"/>
    <hyperlink ref="M446" r:id="rId445" xr:uid="{00000000-0004-0000-0000-0000BC010000}"/>
    <hyperlink ref="M447" r:id="rId446" xr:uid="{00000000-0004-0000-0000-0000BD010000}"/>
    <hyperlink ref="M448" r:id="rId447" xr:uid="{00000000-0004-0000-0000-0000BE010000}"/>
    <hyperlink ref="M449" r:id="rId448" xr:uid="{00000000-0004-0000-0000-0000BF010000}"/>
    <hyperlink ref="M450" r:id="rId449" xr:uid="{00000000-0004-0000-0000-0000C0010000}"/>
    <hyperlink ref="M451" r:id="rId450" xr:uid="{00000000-0004-0000-0000-0000C1010000}"/>
    <hyperlink ref="M452" r:id="rId451" xr:uid="{00000000-0004-0000-0000-0000C2010000}"/>
    <hyperlink ref="M453" r:id="rId452" xr:uid="{00000000-0004-0000-0000-0000C3010000}"/>
    <hyperlink ref="M454" r:id="rId453" xr:uid="{00000000-0004-0000-0000-0000C4010000}"/>
    <hyperlink ref="M455" r:id="rId454" xr:uid="{00000000-0004-0000-0000-0000C5010000}"/>
    <hyperlink ref="M456" r:id="rId455" xr:uid="{00000000-0004-0000-0000-0000C6010000}"/>
    <hyperlink ref="M457" r:id="rId456" xr:uid="{00000000-0004-0000-0000-0000C7010000}"/>
    <hyperlink ref="M458" r:id="rId457" xr:uid="{00000000-0004-0000-0000-0000C8010000}"/>
    <hyperlink ref="M459" r:id="rId458" xr:uid="{00000000-0004-0000-0000-0000C9010000}"/>
    <hyperlink ref="M460" r:id="rId459" xr:uid="{00000000-0004-0000-0000-0000CA010000}"/>
    <hyperlink ref="M461" r:id="rId460" xr:uid="{00000000-0004-0000-0000-0000CB010000}"/>
    <hyperlink ref="M462" r:id="rId461" xr:uid="{00000000-0004-0000-0000-0000CC010000}"/>
    <hyperlink ref="M463" r:id="rId462" xr:uid="{00000000-0004-0000-0000-0000CD010000}"/>
    <hyperlink ref="M464" r:id="rId463" xr:uid="{00000000-0004-0000-0000-0000CE010000}"/>
    <hyperlink ref="M465" r:id="rId464" xr:uid="{00000000-0004-0000-0000-0000CF010000}"/>
    <hyperlink ref="M466" r:id="rId465" xr:uid="{00000000-0004-0000-0000-0000D0010000}"/>
    <hyperlink ref="M467" r:id="rId466" xr:uid="{00000000-0004-0000-0000-0000D1010000}"/>
    <hyperlink ref="M468" r:id="rId467" xr:uid="{00000000-0004-0000-0000-0000D2010000}"/>
    <hyperlink ref="M469" r:id="rId468" xr:uid="{00000000-0004-0000-0000-0000D3010000}"/>
    <hyperlink ref="M470" r:id="rId469" xr:uid="{00000000-0004-0000-0000-0000D4010000}"/>
    <hyperlink ref="M471" r:id="rId470" xr:uid="{00000000-0004-0000-0000-0000D5010000}"/>
    <hyperlink ref="M472" r:id="rId471" xr:uid="{00000000-0004-0000-0000-0000D6010000}"/>
    <hyperlink ref="M473" r:id="rId472" xr:uid="{00000000-0004-0000-0000-0000D7010000}"/>
    <hyperlink ref="M474" r:id="rId473" xr:uid="{00000000-0004-0000-0000-0000D8010000}"/>
    <hyperlink ref="M475" r:id="rId474" xr:uid="{00000000-0004-0000-0000-0000D9010000}"/>
    <hyperlink ref="M476" r:id="rId475" xr:uid="{00000000-0004-0000-0000-0000DA010000}"/>
    <hyperlink ref="M477" r:id="rId476" xr:uid="{00000000-0004-0000-0000-0000DB010000}"/>
    <hyperlink ref="M478" r:id="rId477" xr:uid="{00000000-0004-0000-0000-0000DC010000}"/>
    <hyperlink ref="M479" r:id="rId478" xr:uid="{00000000-0004-0000-0000-0000DD010000}"/>
    <hyperlink ref="M480" r:id="rId479" xr:uid="{00000000-0004-0000-0000-0000DE010000}"/>
    <hyperlink ref="M481" r:id="rId480" xr:uid="{00000000-0004-0000-0000-0000DF010000}"/>
    <hyperlink ref="M482" r:id="rId481" xr:uid="{00000000-0004-0000-0000-0000E0010000}"/>
    <hyperlink ref="M483" r:id="rId482" xr:uid="{00000000-0004-0000-0000-0000E1010000}"/>
    <hyperlink ref="M484" r:id="rId483" xr:uid="{00000000-0004-0000-0000-0000E2010000}"/>
    <hyperlink ref="M485" r:id="rId484" xr:uid="{00000000-0004-0000-0000-0000E3010000}"/>
    <hyperlink ref="M486" r:id="rId485" xr:uid="{00000000-0004-0000-0000-0000E4010000}"/>
    <hyperlink ref="M487" r:id="rId486" xr:uid="{00000000-0004-0000-0000-0000E5010000}"/>
    <hyperlink ref="M488" r:id="rId487" xr:uid="{00000000-0004-0000-0000-0000E6010000}"/>
    <hyperlink ref="M489" r:id="rId488" xr:uid="{00000000-0004-0000-0000-0000E7010000}"/>
    <hyperlink ref="M490" r:id="rId489" xr:uid="{00000000-0004-0000-0000-0000E8010000}"/>
    <hyperlink ref="M491" r:id="rId490" xr:uid="{00000000-0004-0000-0000-0000E9010000}"/>
    <hyperlink ref="M492" r:id="rId491" xr:uid="{00000000-0004-0000-0000-0000EA010000}"/>
    <hyperlink ref="M493" r:id="rId492" xr:uid="{00000000-0004-0000-0000-0000EB010000}"/>
    <hyperlink ref="M494" r:id="rId493" xr:uid="{00000000-0004-0000-0000-0000EC010000}"/>
    <hyperlink ref="M495" r:id="rId494" xr:uid="{00000000-0004-0000-0000-0000ED010000}"/>
    <hyperlink ref="M496" r:id="rId495" xr:uid="{00000000-0004-0000-0000-0000EE010000}"/>
    <hyperlink ref="M497" r:id="rId496" xr:uid="{00000000-0004-0000-0000-0000EF010000}"/>
    <hyperlink ref="M498" r:id="rId497" xr:uid="{00000000-0004-0000-0000-0000F0010000}"/>
    <hyperlink ref="M499" r:id="rId498" xr:uid="{00000000-0004-0000-0000-0000F1010000}"/>
    <hyperlink ref="M500" r:id="rId499" xr:uid="{00000000-0004-0000-0000-0000F2010000}"/>
    <hyperlink ref="M501" r:id="rId500" xr:uid="{00000000-0004-0000-0000-0000F3010000}"/>
    <hyperlink ref="M502" r:id="rId501" xr:uid="{00000000-0004-0000-0000-0000F4010000}"/>
    <hyperlink ref="M503" r:id="rId502" xr:uid="{00000000-0004-0000-0000-0000F5010000}"/>
    <hyperlink ref="M504" r:id="rId503" xr:uid="{00000000-0004-0000-0000-0000F6010000}"/>
    <hyperlink ref="M505" r:id="rId504" xr:uid="{00000000-0004-0000-0000-0000F7010000}"/>
    <hyperlink ref="M506" r:id="rId505" xr:uid="{00000000-0004-0000-0000-0000F8010000}"/>
    <hyperlink ref="M507" r:id="rId506" xr:uid="{00000000-0004-0000-0000-0000F9010000}"/>
    <hyperlink ref="M508" r:id="rId507" xr:uid="{00000000-0004-0000-0000-0000FA010000}"/>
    <hyperlink ref="M509" r:id="rId508" xr:uid="{00000000-0004-0000-0000-0000FB010000}"/>
    <hyperlink ref="M510" r:id="rId509" xr:uid="{00000000-0004-0000-0000-0000FC010000}"/>
    <hyperlink ref="M511" r:id="rId510" xr:uid="{00000000-0004-0000-0000-0000FD010000}"/>
    <hyperlink ref="M512" r:id="rId511" xr:uid="{00000000-0004-0000-0000-0000FE010000}"/>
    <hyperlink ref="M513" r:id="rId512" xr:uid="{00000000-0004-0000-0000-0000FF010000}"/>
    <hyperlink ref="M514" r:id="rId513" xr:uid="{00000000-0004-0000-0000-000000020000}"/>
    <hyperlink ref="M515" r:id="rId514" xr:uid="{00000000-0004-0000-0000-000001020000}"/>
    <hyperlink ref="M516" r:id="rId515" xr:uid="{00000000-0004-0000-0000-000002020000}"/>
    <hyperlink ref="M517" r:id="rId516" xr:uid="{00000000-0004-0000-0000-000003020000}"/>
    <hyperlink ref="M518" r:id="rId517" xr:uid="{00000000-0004-0000-0000-000004020000}"/>
    <hyperlink ref="M519" r:id="rId518" xr:uid="{00000000-0004-0000-0000-000005020000}"/>
    <hyperlink ref="M520" r:id="rId519" xr:uid="{00000000-0004-0000-0000-000006020000}"/>
    <hyperlink ref="M521" r:id="rId520" xr:uid="{00000000-0004-0000-0000-000007020000}"/>
    <hyperlink ref="M522" r:id="rId521" xr:uid="{00000000-0004-0000-0000-000008020000}"/>
    <hyperlink ref="M523" r:id="rId522" xr:uid="{00000000-0004-0000-0000-000009020000}"/>
    <hyperlink ref="M524" r:id="rId523" xr:uid="{00000000-0004-0000-0000-00000A020000}"/>
    <hyperlink ref="M525" r:id="rId524" xr:uid="{00000000-0004-0000-0000-00000B020000}"/>
    <hyperlink ref="M526" r:id="rId525" xr:uid="{00000000-0004-0000-0000-00000C020000}"/>
    <hyperlink ref="M527" r:id="rId526" xr:uid="{00000000-0004-0000-0000-00000D020000}"/>
    <hyperlink ref="M528" r:id="rId527" xr:uid="{00000000-0004-0000-0000-00000E020000}"/>
    <hyperlink ref="M529" r:id="rId528" xr:uid="{00000000-0004-0000-0000-00000F020000}"/>
    <hyperlink ref="M530" r:id="rId529" xr:uid="{00000000-0004-0000-0000-000010020000}"/>
    <hyperlink ref="M531" r:id="rId530" xr:uid="{00000000-0004-0000-0000-000011020000}"/>
    <hyperlink ref="M532" r:id="rId531" xr:uid="{00000000-0004-0000-0000-000012020000}"/>
    <hyperlink ref="M533" r:id="rId532" xr:uid="{00000000-0004-0000-0000-000013020000}"/>
    <hyperlink ref="M534" r:id="rId533" xr:uid="{00000000-0004-0000-0000-000014020000}"/>
    <hyperlink ref="M535" r:id="rId534" xr:uid="{00000000-0004-0000-0000-000015020000}"/>
    <hyperlink ref="M536" r:id="rId535" xr:uid="{00000000-0004-0000-0000-000016020000}"/>
    <hyperlink ref="M537" r:id="rId536" xr:uid="{00000000-0004-0000-0000-000017020000}"/>
    <hyperlink ref="M538" r:id="rId537" xr:uid="{00000000-0004-0000-0000-000018020000}"/>
    <hyperlink ref="M539" r:id="rId538" xr:uid="{00000000-0004-0000-0000-000019020000}"/>
    <hyperlink ref="M540" r:id="rId539" xr:uid="{00000000-0004-0000-0000-00001A020000}"/>
    <hyperlink ref="M541" r:id="rId540" xr:uid="{00000000-0004-0000-0000-00001B020000}"/>
    <hyperlink ref="M542" r:id="rId541" xr:uid="{00000000-0004-0000-0000-00001C020000}"/>
    <hyperlink ref="M543" r:id="rId542" xr:uid="{00000000-0004-0000-0000-00001D020000}"/>
    <hyperlink ref="M544" r:id="rId543" xr:uid="{00000000-0004-0000-0000-00001E020000}"/>
    <hyperlink ref="M545" r:id="rId544" xr:uid="{00000000-0004-0000-0000-00001F020000}"/>
    <hyperlink ref="M546" r:id="rId545" xr:uid="{00000000-0004-0000-0000-000020020000}"/>
    <hyperlink ref="M547" r:id="rId546" xr:uid="{00000000-0004-0000-0000-000021020000}"/>
    <hyperlink ref="M548" r:id="rId547" xr:uid="{00000000-0004-0000-0000-000022020000}"/>
    <hyperlink ref="M549" r:id="rId548" xr:uid="{00000000-0004-0000-0000-000023020000}"/>
    <hyperlink ref="M550" r:id="rId549" xr:uid="{00000000-0004-0000-0000-000024020000}"/>
    <hyperlink ref="M551" r:id="rId550" xr:uid="{00000000-0004-0000-0000-000025020000}"/>
    <hyperlink ref="M552" r:id="rId551" xr:uid="{00000000-0004-0000-0000-000026020000}"/>
    <hyperlink ref="M553" r:id="rId552" xr:uid="{00000000-0004-0000-0000-000027020000}"/>
    <hyperlink ref="M554" r:id="rId553" xr:uid="{00000000-0004-0000-0000-000028020000}"/>
    <hyperlink ref="M555" r:id="rId554" xr:uid="{00000000-0004-0000-0000-000029020000}"/>
    <hyperlink ref="M556" r:id="rId555" xr:uid="{00000000-0004-0000-0000-00002A020000}"/>
    <hyperlink ref="M557" r:id="rId556" xr:uid="{00000000-0004-0000-0000-00002B020000}"/>
    <hyperlink ref="M558" r:id="rId557" xr:uid="{00000000-0004-0000-0000-00002C020000}"/>
    <hyperlink ref="M559" r:id="rId558" xr:uid="{00000000-0004-0000-0000-00002D020000}"/>
    <hyperlink ref="M560" r:id="rId559" xr:uid="{00000000-0004-0000-0000-00002E020000}"/>
    <hyperlink ref="M561" r:id="rId560" xr:uid="{00000000-0004-0000-0000-00002F020000}"/>
    <hyperlink ref="M562" r:id="rId561" xr:uid="{00000000-0004-0000-0000-000030020000}"/>
    <hyperlink ref="M563" r:id="rId562" xr:uid="{00000000-0004-0000-0000-000031020000}"/>
    <hyperlink ref="M564" r:id="rId563" xr:uid="{00000000-0004-0000-0000-000032020000}"/>
    <hyperlink ref="M565" r:id="rId564" xr:uid="{00000000-0004-0000-0000-000033020000}"/>
    <hyperlink ref="M566" r:id="rId565" xr:uid="{00000000-0004-0000-0000-000034020000}"/>
    <hyperlink ref="M567" r:id="rId566" xr:uid="{00000000-0004-0000-0000-000035020000}"/>
    <hyperlink ref="M568" r:id="rId567" xr:uid="{00000000-0004-0000-0000-000036020000}"/>
    <hyperlink ref="M569" r:id="rId568" xr:uid="{00000000-0004-0000-0000-000037020000}"/>
    <hyperlink ref="M570" r:id="rId569" xr:uid="{00000000-0004-0000-0000-000038020000}"/>
    <hyperlink ref="M571" r:id="rId570" xr:uid="{00000000-0004-0000-0000-000039020000}"/>
    <hyperlink ref="M572" r:id="rId571" xr:uid="{00000000-0004-0000-0000-00003A020000}"/>
    <hyperlink ref="M573" r:id="rId572" xr:uid="{00000000-0004-0000-0000-00003B020000}"/>
    <hyperlink ref="M574" r:id="rId573" xr:uid="{00000000-0004-0000-0000-00003C020000}"/>
    <hyperlink ref="M575" r:id="rId574" xr:uid="{00000000-0004-0000-0000-00003D020000}"/>
    <hyperlink ref="M576" r:id="rId575" xr:uid="{00000000-0004-0000-0000-00003E020000}"/>
    <hyperlink ref="M577" r:id="rId576" xr:uid="{00000000-0004-0000-0000-00003F020000}"/>
    <hyperlink ref="M578" r:id="rId577" xr:uid="{00000000-0004-0000-0000-000040020000}"/>
    <hyperlink ref="M579" r:id="rId578" xr:uid="{00000000-0004-0000-0000-000041020000}"/>
    <hyperlink ref="M580" r:id="rId579" xr:uid="{00000000-0004-0000-0000-000042020000}"/>
    <hyperlink ref="M581" r:id="rId580" xr:uid="{00000000-0004-0000-0000-000043020000}"/>
    <hyperlink ref="M582" r:id="rId581" xr:uid="{00000000-0004-0000-0000-000044020000}"/>
    <hyperlink ref="M583" r:id="rId582" xr:uid="{00000000-0004-0000-0000-000045020000}"/>
    <hyperlink ref="M584" r:id="rId583" xr:uid="{00000000-0004-0000-0000-000046020000}"/>
    <hyperlink ref="M585" r:id="rId584" xr:uid="{00000000-0004-0000-0000-000047020000}"/>
    <hyperlink ref="M586" r:id="rId585" xr:uid="{00000000-0004-0000-0000-000048020000}"/>
    <hyperlink ref="M587" r:id="rId586" xr:uid="{00000000-0004-0000-0000-000049020000}"/>
    <hyperlink ref="M588" r:id="rId587" xr:uid="{00000000-0004-0000-0000-00004A020000}"/>
    <hyperlink ref="M589" r:id="rId588" xr:uid="{00000000-0004-0000-0000-00004B020000}"/>
    <hyperlink ref="M590" r:id="rId589" xr:uid="{00000000-0004-0000-0000-00004C020000}"/>
    <hyperlink ref="M591" r:id="rId590" xr:uid="{00000000-0004-0000-0000-00004D020000}"/>
    <hyperlink ref="M592" r:id="rId591" xr:uid="{00000000-0004-0000-0000-00004E020000}"/>
    <hyperlink ref="M593" r:id="rId592" xr:uid="{00000000-0004-0000-0000-00004F020000}"/>
    <hyperlink ref="M594" r:id="rId593" xr:uid="{00000000-0004-0000-0000-000050020000}"/>
    <hyperlink ref="M595" r:id="rId594" xr:uid="{00000000-0004-0000-0000-000051020000}"/>
    <hyperlink ref="M596" r:id="rId595" xr:uid="{00000000-0004-0000-0000-000052020000}"/>
    <hyperlink ref="M597" r:id="rId596" xr:uid="{00000000-0004-0000-0000-000053020000}"/>
    <hyperlink ref="M598" r:id="rId597" xr:uid="{00000000-0004-0000-0000-000054020000}"/>
    <hyperlink ref="M599" r:id="rId598" xr:uid="{00000000-0004-0000-0000-000055020000}"/>
    <hyperlink ref="M600" r:id="rId599" xr:uid="{00000000-0004-0000-0000-000056020000}"/>
    <hyperlink ref="M601" r:id="rId600" xr:uid="{00000000-0004-0000-0000-000057020000}"/>
    <hyperlink ref="M602" r:id="rId601" xr:uid="{00000000-0004-0000-0000-000058020000}"/>
    <hyperlink ref="M603" r:id="rId602" xr:uid="{00000000-0004-0000-0000-000059020000}"/>
    <hyperlink ref="M604" r:id="rId603" xr:uid="{00000000-0004-0000-0000-00005A020000}"/>
    <hyperlink ref="M605" r:id="rId604" xr:uid="{00000000-0004-0000-0000-00005B020000}"/>
    <hyperlink ref="M606" r:id="rId605" xr:uid="{00000000-0004-0000-0000-00005C020000}"/>
    <hyperlink ref="M607" r:id="rId606" xr:uid="{00000000-0004-0000-0000-00005D020000}"/>
    <hyperlink ref="M608" r:id="rId607" xr:uid="{00000000-0004-0000-0000-00005E020000}"/>
    <hyperlink ref="M609" r:id="rId608" xr:uid="{00000000-0004-0000-0000-00005F020000}"/>
    <hyperlink ref="M610" r:id="rId609" xr:uid="{00000000-0004-0000-0000-000060020000}"/>
    <hyperlink ref="M611" r:id="rId610" xr:uid="{00000000-0004-0000-0000-000061020000}"/>
    <hyperlink ref="M612" r:id="rId611" xr:uid="{00000000-0004-0000-0000-000062020000}"/>
    <hyperlink ref="M613" r:id="rId612" xr:uid="{00000000-0004-0000-0000-000063020000}"/>
    <hyperlink ref="M614" r:id="rId613" xr:uid="{00000000-0004-0000-0000-000064020000}"/>
    <hyperlink ref="M615" r:id="rId614" xr:uid="{00000000-0004-0000-0000-000065020000}"/>
    <hyperlink ref="M616" r:id="rId615" xr:uid="{00000000-0004-0000-0000-000066020000}"/>
    <hyperlink ref="M617" r:id="rId616" xr:uid="{00000000-0004-0000-0000-000067020000}"/>
    <hyperlink ref="M618" r:id="rId617" xr:uid="{00000000-0004-0000-0000-000068020000}"/>
    <hyperlink ref="M619" r:id="rId618" xr:uid="{00000000-0004-0000-0000-000069020000}"/>
    <hyperlink ref="M620" r:id="rId619" xr:uid="{00000000-0004-0000-0000-00006A020000}"/>
    <hyperlink ref="M621" r:id="rId620" xr:uid="{00000000-0004-0000-0000-00006B020000}"/>
    <hyperlink ref="M622" r:id="rId621" xr:uid="{00000000-0004-0000-0000-00006C020000}"/>
    <hyperlink ref="M623" r:id="rId622" xr:uid="{00000000-0004-0000-0000-00006D020000}"/>
    <hyperlink ref="M624" r:id="rId623" xr:uid="{00000000-0004-0000-0000-00006E020000}"/>
    <hyperlink ref="M625" r:id="rId624" xr:uid="{00000000-0004-0000-0000-00006F020000}"/>
    <hyperlink ref="M626" r:id="rId625" xr:uid="{00000000-0004-0000-0000-000070020000}"/>
    <hyperlink ref="M627" r:id="rId626" xr:uid="{00000000-0004-0000-0000-000071020000}"/>
    <hyperlink ref="M628" r:id="rId627" xr:uid="{00000000-0004-0000-0000-000072020000}"/>
    <hyperlink ref="M629" r:id="rId628" xr:uid="{00000000-0004-0000-0000-000073020000}"/>
    <hyperlink ref="M630" r:id="rId629" xr:uid="{00000000-0004-0000-0000-000074020000}"/>
    <hyperlink ref="M631" r:id="rId630" xr:uid="{00000000-0004-0000-0000-000075020000}"/>
    <hyperlink ref="M632" r:id="rId631" xr:uid="{00000000-0004-0000-0000-000076020000}"/>
    <hyperlink ref="M633" r:id="rId632" xr:uid="{00000000-0004-0000-0000-000077020000}"/>
    <hyperlink ref="M634" r:id="rId633" xr:uid="{00000000-0004-0000-0000-000078020000}"/>
    <hyperlink ref="M635" r:id="rId634" xr:uid="{00000000-0004-0000-0000-000079020000}"/>
    <hyperlink ref="M636" r:id="rId635" xr:uid="{00000000-0004-0000-0000-00007A020000}"/>
    <hyperlink ref="M637" r:id="rId636" xr:uid="{00000000-0004-0000-0000-00007B020000}"/>
    <hyperlink ref="M638" r:id="rId637" xr:uid="{00000000-0004-0000-0000-00007C020000}"/>
    <hyperlink ref="M639" r:id="rId638" xr:uid="{00000000-0004-0000-0000-00007D020000}"/>
    <hyperlink ref="M640" r:id="rId639" xr:uid="{00000000-0004-0000-0000-00007E020000}"/>
    <hyperlink ref="M641" r:id="rId640" xr:uid="{00000000-0004-0000-0000-00007F020000}"/>
    <hyperlink ref="M642" r:id="rId641" xr:uid="{00000000-0004-0000-0000-000080020000}"/>
    <hyperlink ref="M643" r:id="rId642" xr:uid="{00000000-0004-0000-0000-000081020000}"/>
    <hyperlink ref="M644" r:id="rId643" xr:uid="{00000000-0004-0000-0000-000082020000}"/>
    <hyperlink ref="M645" r:id="rId644" xr:uid="{00000000-0004-0000-0000-000083020000}"/>
    <hyperlink ref="M646" r:id="rId645" xr:uid="{00000000-0004-0000-0000-000084020000}"/>
    <hyperlink ref="M647" r:id="rId646" xr:uid="{00000000-0004-0000-0000-000085020000}"/>
    <hyperlink ref="M648" r:id="rId647" xr:uid="{00000000-0004-0000-0000-000086020000}"/>
    <hyperlink ref="M649" r:id="rId648" xr:uid="{00000000-0004-0000-0000-000087020000}"/>
    <hyperlink ref="M650" r:id="rId649" xr:uid="{00000000-0004-0000-0000-000088020000}"/>
    <hyperlink ref="M651" r:id="rId650" xr:uid="{00000000-0004-0000-0000-000089020000}"/>
    <hyperlink ref="M652" r:id="rId651" xr:uid="{00000000-0004-0000-0000-00008A020000}"/>
    <hyperlink ref="M653" r:id="rId652" xr:uid="{00000000-0004-0000-0000-00008B020000}"/>
    <hyperlink ref="M654" r:id="rId653" xr:uid="{00000000-0004-0000-0000-00008C020000}"/>
    <hyperlink ref="M655" r:id="rId654" xr:uid="{00000000-0004-0000-0000-00008D020000}"/>
    <hyperlink ref="M656" r:id="rId655" xr:uid="{00000000-0004-0000-0000-00008E020000}"/>
    <hyperlink ref="M657" r:id="rId656" xr:uid="{00000000-0004-0000-0000-00008F020000}"/>
    <hyperlink ref="M658" r:id="rId657" xr:uid="{00000000-0004-0000-0000-000090020000}"/>
    <hyperlink ref="M659" r:id="rId658" xr:uid="{00000000-0004-0000-0000-000091020000}"/>
    <hyperlink ref="M660" r:id="rId659" xr:uid="{00000000-0004-0000-0000-000092020000}"/>
    <hyperlink ref="M661" r:id="rId660" xr:uid="{00000000-0004-0000-0000-000093020000}"/>
    <hyperlink ref="M662" r:id="rId661" xr:uid="{00000000-0004-0000-0000-000094020000}"/>
    <hyperlink ref="M663" r:id="rId662" xr:uid="{00000000-0004-0000-0000-000095020000}"/>
    <hyperlink ref="M664" r:id="rId663" xr:uid="{00000000-0004-0000-0000-000096020000}"/>
    <hyperlink ref="M665" r:id="rId664" xr:uid="{00000000-0004-0000-0000-000097020000}"/>
    <hyperlink ref="M666" r:id="rId665" xr:uid="{00000000-0004-0000-0000-000098020000}"/>
    <hyperlink ref="M667" r:id="rId666" xr:uid="{00000000-0004-0000-0000-000099020000}"/>
    <hyperlink ref="M668" r:id="rId667" xr:uid="{00000000-0004-0000-0000-00009A020000}"/>
    <hyperlink ref="M669" r:id="rId668" xr:uid="{00000000-0004-0000-0000-00009B020000}"/>
    <hyperlink ref="M670" r:id="rId669" xr:uid="{00000000-0004-0000-0000-00009C020000}"/>
    <hyperlink ref="M671" r:id="rId670" xr:uid="{00000000-0004-0000-0000-00009D020000}"/>
    <hyperlink ref="M672" r:id="rId671" xr:uid="{00000000-0004-0000-0000-00009E020000}"/>
    <hyperlink ref="M673" r:id="rId672" xr:uid="{00000000-0004-0000-0000-00009F020000}"/>
    <hyperlink ref="M674" r:id="rId673" xr:uid="{00000000-0004-0000-0000-0000A0020000}"/>
    <hyperlink ref="M675" r:id="rId674" xr:uid="{00000000-0004-0000-0000-0000A1020000}"/>
    <hyperlink ref="M676" r:id="rId675" xr:uid="{00000000-0004-0000-0000-0000A2020000}"/>
    <hyperlink ref="M677" r:id="rId676" xr:uid="{00000000-0004-0000-0000-0000A3020000}"/>
    <hyperlink ref="M678" r:id="rId677" xr:uid="{00000000-0004-0000-0000-0000A4020000}"/>
    <hyperlink ref="M679" r:id="rId678" xr:uid="{00000000-0004-0000-0000-0000A5020000}"/>
    <hyperlink ref="M680" r:id="rId679" xr:uid="{00000000-0004-0000-0000-0000A6020000}"/>
    <hyperlink ref="M681" r:id="rId680" xr:uid="{00000000-0004-0000-0000-0000A7020000}"/>
    <hyperlink ref="M682" r:id="rId681" xr:uid="{00000000-0004-0000-0000-0000A8020000}"/>
    <hyperlink ref="M683" r:id="rId682" xr:uid="{00000000-0004-0000-0000-0000A9020000}"/>
    <hyperlink ref="M684" r:id="rId683" xr:uid="{00000000-0004-0000-0000-0000AA020000}"/>
    <hyperlink ref="M685" r:id="rId684" xr:uid="{00000000-0004-0000-0000-0000AB020000}"/>
    <hyperlink ref="M686" r:id="rId685" xr:uid="{00000000-0004-0000-0000-0000AC020000}"/>
    <hyperlink ref="M687" r:id="rId686" xr:uid="{00000000-0004-0000-0000-0000AD020000}"/>
    <hyperlink ref="M688" r:id="rId687" xr:uid="{00000000-0004-0000-0000-0000AE020000}"/>
    <hyperlink ref="M689" r:id="rId688" xr:uid="{00000000-0004-0000-0000-0000AF020000}"/>
    <hyperlink ref="M690" r:id="rId689" xr:uid="{00000000-0004-0000-0000-0000B0020000}"/>
    <hyperlink ref="M691" r:id="rId690" xr:uid="{00000000-0004-0000-0000-0000B1020000}"/>
    <hyperlink ref="M692" r:id="rId691" xr:uid="{00000000-0004-0000-0000-0000B2020000}"/>
    <hyperlink ref="M693" r:id="rId692" xr:uid="{00000000-0004-0000-0000-0000B3020000}"/>
    <hyperlink ref="M694" r:id="rId693" xr:uid="{00000000-0004-0000-0000-0000B4020000}"/>
    <hyperlink ref="M695" r:id="rId694" xr:uid="{00000000-0004-0000-0000-0000B5020000}"/>
    <hyperlink ref="M696" r:id="rId695" xr:uid="{00000000-0004-0000-0000-0000B6020000}"/>
    <hyperlink ref="M697" r:id="rId696" xr:uid="{00000000-0004-0000-0000-0000B7020000}"/>
    <hyperlink ref="M698" r:id="rId697" xr:uid="{00000000-0004-0000-0000-0000B8020000}"/>
    <hyperlink ref="M699" r:id="rId698" xr:uid="{00000000-0004-0000-0000-0000B9020000}"/>
    <hyperlink ref="M700" r:id="rId699" xr:uid="{00000000-0004-0000-0000-0000BA020000}"/>
    <hyperlink ref="M701" r:id="rId700" xr:uid="{00000000-0004-0000-0000-0000BB020000}"/>
    <hyperlink ref="M702" r:id="rId701" xr:uid="{00000000-0004-0000-0000-0000BC020000}"/>
    <hyperlink ref="M703" r:id="rId702" xr:uid="{00000000-0004-0000-0000-0000BD020000}"/>
    <hyperlink ref="M704" r:id="rId703" xr:uid="{00000000-0004-0000-0000-0000BE020000}"/>
    <hyperlink ref="M705" r:id="rId704" xr:uid="{00000000-0004-0000-0000-0000BF020000}"/>
    <hyperlink ref="M706" r:id="rId705" xr:uid="{00000000-0004-0000-0000-0000C0020000}"/>
    <hyperlink ref="M707" r:id="rId706" xr:uid="{00000000-0004-0000-0000-0000C1020000}"/>
    <hyperlink ref="M708" r:id="rId707" xr:uid="{00000000-0004-0000-0000-0000C2020000}"/>
    <hyperlink ref="M709" r:id="rId708" xr:uid="{00000000-0004-0000-0000-0000C3020000}"/>
    <hyperlink ref="M710" r:id="rId709" xr:uid="{00000000-0004-0000-0000-0000C4020000}"/>
    <hyperlink ref="M711" r:id="rId710" xr:uid="{00000000-0004-0000-0000-0000C5020000}"/>
    <hyperlink ref="M712" r:id="rId711" xr:uid="{00000000-0004-0000-0000-0000C6020000}"/>
    <hyperlink ref="M713" r:id="rId712" xr:uid="{00000000-0004-0000-0000-0000C7020000}"/>
    <hyperlink ref="M714" r:id="rId713" xr:uid="{00000000-0004-0000-0000-0000C8020000}"/>
    <hyperlink ref="M715" r:id="rId714" xr:uid="{00000000-0004-0000-0000-0000C9020000}"/>
    <hyperlink ref="M716" r:id="rId715" xr:uid="{00000000-0004-0000-0000-0000CA020000}"/>
    <hyperlink ref="M717" r:id="rId716" xr:uid="{00000000-0004-0000-0000-0000CB020000}"/>
    <hyperlink ref="M718" r:id="rId717" xr:uid="{00000000-0004-0000-0000-0000CC020000}"/>
    <hyperlink ref="M719" r:id="rId718" xr:uid="{00000000-0004-0000-0000-0000CD020000}"/>
    <hyperlink ref="M720" r:id="rId719" xr:uid="{00000000-0004-0000-0000-0000CE020000}"/>
    <hyperlink ref="M721" r:id="rId720" xr:uid="{00000000-0004-0000-0000-0000CF020000}"/>
    <hyperlink ref="M722" r:id="rId721" xr:uid="{00000000-0004-0000-0000-0000D0020000}"/>
    <hyperlink ref="M723" r:id="rId722" xr:uid="{00000000-0004-0000-0000-0000D1020000}"/>
    <hyperlink ref="M724" r:id="rId723" xr:uid="{00000000-0004-0000-0000-0000D2020000}"/>
    <hyperlink ref="M725" r:id="rId724" xr:uid="{00000000-0004-0000-0000-0000D3020000}"/>
    <hyperlink ref="M726" r:id="rId725" xr:uid="{00000000-0004-0000-0000-0000D4020000}"/>
    <hyperlink ref="M727" r:id="rId726" xr:uid="{00000000-0004-0000-0000-0000D5020000}"/>
    <hyperlink ref="M728" r:id="rId727" xr:uid="{00000000-0004-0000-0000-0000D6020000}"/>
    <hyperlink ref="M729" r:id="rId728" xr:uid="{00000000-0004-0000-0000-0000D7020000}"/>
    <hyperlink ref="M730" r:id="rId729" xr:uid="{00000000-0004-0000-0000-0000D8020000}"/>
    <hyperlink ref="M731" r:id="rId730" xr:uid="{00000000-0004-0000-0000-0000D9020000}"/>
    <hyperlink ref="M732" r:id="rId731" xr:uid="{00000000-0004-0000-0000-0000DA020000}"/>
    <hyperlink ref="M733" r:id="rId732" xr:uid="{00000000-0004-0000-0000-0000DB020000}"/>
    <hyperlink ref="M734" r:id="rId733" xr:uid="{00000000-0004-0000-0000-0000DC020000}"/>
    <hyperlink ref="M735" r:id="rId734" xr:uid="{00000000-0004-0000-0000-0000DD020000}"/>
    <hyperlink ref="M736" r:id="rId735" xr:uid="{00000000-0004-0000-0000-0000DE020000}"/>
    <hyperlink ref="M737" r:id="rId736" xr:uid="{00000000-0004-0000-0000-0000DF020000}"/>
    <hyperlink ref="M738" r:id="rId737" xr:uid="{00000000-0004-0000-0000-0000E0020000}"/>
    <hyperlink ref="M739" r:id="rId738" xr:uid="{00000000-0004-0000-0000-0000E1020000}"/>
    <hyperlink ref="M740" r:id="rId739" xr:uid="{00000000-0004-0000-0000-0000E2020000}"/>
    <hyperlink ref="M741" r:id="rId740" xr:uid="{00000000-0004-0000-0000-0000E3020000}"/>
    <hyperlink ref="M742" r:id="rId741" xr:uid="{00000000-0004-0000-0000-0000E4020000}"/>
    <hyperlink ref="M743" r:id="rId742" xr:uid="{00000000-0004-0000-0000-0000E5020000}"/>
    <hyperlink ref="M744" r:id="rId743" xr:uid="{00000000-0004-0000-0000-0000E6020000}"/>
    <hyperlink ref="M745" r:id="rId744" xr:uid="{00000000-0004-0000-0000-0000E7020000}"/>
    <hyperlink ref="M746" r:id="rId745" xr:uid="{00000000-0004-0000-0000-0000E8020000}"/>
    <hyperlink ref="M747" r:id="rId746" xr:uid="{00000000-0004-0000-0000-0000E9020000}"/>
    <hyperlink ref="M748" r:id="rId747" xr:uid="{00000000-0004-0000-0000-0000EA020000}"/>
    <hyperlink ref="M749" r:id="rId748" xr:uid="{00000000-0004-0000-0000-0000EB020000}"/>
    <hyperlink ref="M750" r:id="rId749" xr:uid="{00000000-0004-0000-0000-0000EC020000}"/>
    <hyperlink ref="M751" r:id="rId750" xr:uid="{00000000-0004-0000-0000-0000ED020000}"/>
    <hyperlink ref="M752" r:id="rId751" xr:uid="{00000000-0004-0000-0000-0000EE020000}"/>
    <hyperlink ref="M753" r:id="rId752" xr:uid="{00000000-0004-0000-0000-0000EF020000}"/>
    <hyperlink ref="M754" r:id="rId753" xr:uid="{00000000-0004-0000-0000-0000F0020000}"/>
    <hyperlink ref="M755" r:id="rId754" xr:uid="{00000000-0004-0000-0000-0000F1020000}"/>
    <hyperlink ref="M756" r:id="rId755" xr:uid="{00000000-0004-0000-0000-0000F2020000}"/>
    <hyperlink ref="M757" r:id="rId756" xr:uid="{00000000-0004-0000-0000-0000F3020000}"/>
    <hyperlink ref="M758" r:id="rId757" xr:uid="{00000000-0004-0000-0000-0000F4020000}"/>
    <hyperlink ref="M759" r:id="rId758" xr:uid="{00000000-0004-0000-0000-0000F5020000}"/>
    <hyperlink ref="M760" r:id="rId759" xr:uid="{00000000-0004-0000-0000-0000F6020000}"/>
    <hyperlink ref="M761" r:id="rId760" xr:uid="{00000000-0004-0000-0000-0000F7020000}"/>
    <hyperlink ref="M762" r:id="rId761" xr:uid="{00000000-0004-0000-0000-0000F8020000}"/>
    <hyperlink ref="M763" r:id="rId762" xr:uid="{00000000-0004-0000-0000-0000F9020000}"/>
    <hyperlink ref="M764" r:id="rId763" xr:uid="{00000000-0004-0000-0000-0000FA020000}"/>
    <hyperlink ref="M765" r:id="rId764" xr:uid="{00000000-0004-0000-0000-0000FB020000}"/>
    <hyperlink ref="M766" r:id="rId765" xr:uid="{00000000-0004-0000-0000-0000FC020000}"/>
    <hyperlink ref="M767" r:id="rId766" xr:uid="{00000000-0004-0000-0000-0000FD020000}"/>
    <hyperlink ref="M768" r:id="rId767" xr:uid="{00000000-0004-0000-0000-0000FE020000}"/>
    <hyperlink ref="M769" r:id="rId768" xr:uid="{00000000-0004-0000-0000-0000FF020000}"/>
    <hyperlink ref="M770" r:id="rId769" xr:uid="{00000000-0004-0000-0000-000000030000}"/>
    <hyperlink ref="M771" r:id="rId770" xr:uid="{00000000-0004-0000-0000-000001030000}"/>
    <hyperlink ref="M772" r:id="rId771" xr:uid="{00000000-0004-0000-0000-000002030000}"/>
    <hyperlink ref="M773" r:id="rId772" xr:uid="{00000000-0004-0000-0000-000003030000}"/>
    <hyperlink ref="M774" r:id="rId773" xr:uid="{00000000-0004-0000-0000-000004030000}"/>
    <hyperlink ref="M775" r:id="rId774" xr:uid="{00000000-0004-0000-0000-000005030000}"/>
    <hyperlink ref="M776" r:id="rId775" xr:uid="{00000000-0004-0000-0000-000006030000}"/>
    <hyperlink ref="M777" r:id="rId776" xr:uid="{00000000-0004-0000-0000-000007030000}"/>
    <hyperlink ref="M778" r:id="rId777" xr:uid="{00000000-0004-0000-0000-000008030000}"/>
    <hyperlink ref="M779" r:id="rId778" xr:uid="{00000000-0004-0000-0000-000009030000}"/>
    <hyperlink ref="M780" r:id="rId779" xr:uid="{00000000-0004-0000-0000-00000A030000}"/>
    <hyperlink ref="M781" r:id="rId780" xr:uid="{00000000-0004-0000-0000-00000B030000}"/>
    <hyperlink ref="M782" r:id="rId781" xr:uid="{00000000-0004-0000-0000-00000C030000}"/>
    <hyperlink ref="M783" r:id="rId782" xr:uid="{00000000-0004-0000-0000-00000D030000}"/>
    <hyperlink ref="M784" r:id="rId783" xr:uid="{00000000-0004-0000-0000-00000E030000}"/>
    <hyperlink ref="M785" r:id="rId784" xr:uid="{00000000-0004-0000-0000-00000F030000}"/>
    <hyperlink ref="M786" r:id="rId785" xr:uid="{00000000-0004-0000-0000-000010030000}"/>
    <hyperlink ref="M787" r:id="rId786" xr:uid="{00000000-0004-0000-0000-000011030000}"/>
    <hyperlink ref="M788" r:id="rId787" xr:uid="{00000000-0004-0000-0000-000012030000}"/>
    <hyperlink ref="M789" r:id="rId788" xr:uid="{00000000-0004-0000-0000-000013030000}"/>
    <hyperlink ref="M790" r:id="rId789" xr:uid="{00000000-0004-0000-0000-000014030000}"/>
    <hyperlink ref="M791" r:id="rId790" xr:uid="{00000000-0004-0000-0000-000015030000}"/>
    <hyperlink ref="M792" r:id="rId791" xr:uid="{00000000-0004-0000-0000-000016030000}"/>
    <hyperlink ref="M793" r:id="rId792" xr:uid="{00000000-0004-0000-0000-00001703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9" customWidth="1"/>
    <col min="2" max="2" width="18" customWidth="1"/>
    <col min="3" max="3" width="33" customWidth="1"/>
    <col min="4" max="4" width="63" customWidth="1"/>
    <col min="5" max="5" width="60" customWidth="1"/>
    <col min="6" max="6" width="26" customWidth="1"/>
    <col min="7" max="7" width="47" customWidth="1"/>
    <col min="8" max="8" width="51" customWidth="1"/>
  </cols>
  <sheetData>
    <row r="1" spans="1:8" ht="24.95" customHeight="1">
      <c r="A1" s="1" t="s">
        <v>2978</v>
      </c>
      <c r="B1" s="1" t="s">
        <v>2979</v>
      </c>
      <c r="C1" s="1" t="s">
        <v>2980</v>
      </c>
      <c r="D1" s="1" t="s">
        <v>2981</v>
      </c>
      <c r="E1" s="1" t="s">
        <v>2982</v>
      </c>
      <c r="F1" s="1" t="s">
        <v>2983</v>
      </c>
      <c r="G1" s="1" t="s">
        <v>2984</v>
      </c>
      <c r="H1" s="1" t="s">
        <v>2985</v>
      </c>
    </row>
    <row r="2" spans="1:8" ht="20.100000000000001" customHeight="1">
      <c r="A2" s="3" t="s">
        <v>15</v>
      </c>
      <c r="B2" s="2">
        <v>6</v>
      </c>
      <c r="C2" s="2">
        <f>COUNTIF(Problems!$B:$B, A2)</f>
        <v>146</v>
      </c>
      <c r="D2" s="2">
        <f>COUNTIFS(Problems!$B:$B, A2, Problems!$G:$G, "&lt;&gt;UNKNOWN")</f>
        <v>145</v>
      </c>
      <c r="E2" s="2">
        <f>COUNTIFS(Problems!$B:$B, A2, Problems!$A:$A, "Solved")</f>
        <v>0</v>
      </c>
      <c r="F2" s="13">
        <f>IF(C2&gt;0, E2/C2, 0)</f>
        <v>0</v>
      </c>
      <c r="G2" s="2">
        <f>SUMIF(Problems!$B:$B, A2, Problems!$L:$L)</f>
        <v>2945</v>
      </c>
      <c r="H2" s="14">
        <f>AVERAGEIF(Problems!$B:$B, A2, Problems!$H:$H)</f>
        <v>1086.2068965517242</v>
      </c>
    </row>
    <row r="3" spans="1:8" ht="20.100000000000001" customHeight="1">
      <c r="A3" s="7" t="s">
        <v>555</v>
      </c>
      <c r="B3" s="6">
        <v>4</v>
      </c>
      <c r="C3" s="6">
        <f>COUNTIF(Problems!$B:$B, A3)</f>
        <v>36</v>
      </c>
      <c r="D3" s="6">
        <f>COUNTIFS(Problems!$B:$B, A3, Problems!$G:$G, "&lt;&gt;UNKNOWN")</f>
        <v>35</v>
      </c>
      <c r="E3" s="6">
        <f>COUNTIFS(Problems!$B:$B, A3, Problems!$A:$A, "Solved")</f>
        <v>0</v>
      </c>
      <c r="F3" s="15">
        <f>IF(C3&gt;0, E3/C3, 0)</f>
        <v>0</v>
      </c>
      <c r="G3" s="6">
        <f>SUMIF(Problems!$B:$B, A3, Problems!$L:$L)</f>
        <v>1820</v>
      </c>
      <c r="H3" s="16">
        <f>AVERAGEIF(Problems!$B:$B, A3, Problems!$H:$H)</f>
        <v>1720</v>
      </c>
    </row>
    <row r="4" spans="1:8" ht="20.100000000000001" customHeight="1">
      <c r="A4" s="3" t="s">
        <v>700</v>
      </c>
      <c r="B4" s="2">
        <v>4</v>
      </c>
      <c r="C4" s="2">
        <f>COUNTIF(Problems!$B:$B, A4)</f>
        <v>33</v>
      </c>
      <c r="D4" s="2">
        <f>COUNTIFS(Problems!$B:$B, A4, Problems!$G:$G, "&lt;&gt;UNKNOWN")</f>
        <v>32</v>
      </c>
      <c r="E4" s="2">
        <f>COUNTIFS(Problems!$B:$B, A4, Problems!$A:$A, "Solved")</f>
        <v>0</v>
      </c>
      <c r="F4" s="13">
        <f>IF(C4&gt;0, E4/C4, 0)</f>
        <v>0</v>
      </c>
      <c r="G4" s="2">
        <f>SUMIF(Problems!$B:$B, A4, Problems!$L:$L)</f>
        <v>1355</v>
      </c>
      <c r="H4" s="14">
        <f>AVERAGEIF(Problems!$B:$B, A4, Problems!$H:$H)</f>
        <v>1562.5</v>
      </c>
    </row>
    <row r="5" spans="1:8" ht="20.100000000000001" customHeight="1">
      <c r="A5" s="7" t="s">
        <v>825</v>
      </c>
      <c r="B5" s="6">
        <v>4</v>
      </c>
      <c r="C5" s="6">
        <f>COUNTIF(Problems!$B:$B, A5)</f>
        <v>16</v>
      </c>
      <c r="D5" s="6">
        <f>COUNTIFS(Problems!$B:$B, A5, Problems!$G:$G, "&lt;&gt;UNKNOWN")</f>
        <v>16</v>
      </c>
      <c r="E5" s="6">
        <f>COUNTIFS(Problems!$B:$B, A5, Problems!$A:$A, "Solved")</f>
        <v>0</v>
      </c>
      <c r="F5" s="15">
        <f>IF(C5&gt;0, E5/C5, 0)</f>
        <v>0</v>
      </c>
      <c r="G5" s="6">
        <f>SUMIF(Problems!$B:$B, A5, Problems!$L:$L)</f>
        <v>820</v>
      </c>
      <c r="H5" s="16">
        <f>AVERAGEIF(Problems!$B:$B, A5, Problems!$H:$H)</f>
        <v>1731.25</v>
      </c>
    </row>
    <row r="6" spans="1:8" ht="20.100000000000001" customHeight="1">
      <c r="A6" s="3" t="s">
        <v>889</v>
      </c>
      <c r="B6" s="2">
        <v>5</v>
      </c>
      <c r="C6" s="2">
        <f>COUNTIF(Problems!$B:$B, A6)</f>
        <v>39</v>
      </c>
      <c r="D6" s="2">
        <f>COUNTIFS(Problems!$B:$B, A6, Problems!$G:$G, "&lt;&gt;UNKNOWN")</f>
        <v>39</v>
      </c>
      <c r="E6" s="2">
        <f>COUNTIFS(Problems!$B:$B, A6, Problems!$A:$A, "Solved")</f>
        <v>0</v>
      </c>
      <c r="F6" s="13">
        <f>IF(C6&gt;0, E6/C6, 0)</f>
        <v>0</v>
      </c>
      <c r="G6" s="2">
        <f>SUMIF(Problems!$B:$B, A6, Problems!$L:$L)</f>
        <v>1660</v>
      </c>
      <c r="H6" s="14">
        <f>AVERAGEIF(Problems!$B:$B, A6, Problems!$H:$H)</f>
        <v>1569.2307692307693</v>
      </c>
    </row>
    <row r="7" spans="1:8" ht="20.100000000000001" customHeight="1">
      <c r="A7" s="7" t="s">
        <v>1038</v>
      </c>
      <c r="B7" s="6">
        <v>6</v>
      </c>
      <c r="C7" s="6">
        <f>COUNTIF(Problems!$B:$B, A7)</f>
        <v>52</v>
      </c>
      <c r="D7" s="6">
        <f>COUNTIFS(Problems!$B:$B, A7, Problems!$G:$G, "&lt;&gt;UNKNOWN")</f>
        <v>50</v>
      </c>
      <c r="E7" s="6">
        <f>COUNTIFS(Problems!$B:$B, A7, Problems!$A:$A, "Solved")</f>
        <v>0</v>
      </c>
      <c r="F7" s="15">
        <f>IF(C7&gt;0, E7/C7, 0)</f>
        <v>0</v>
      </c>
      <c r="G7" s="6">
        <f>SUMIF(Problems!$B:$B, A7, Problems!$L:$L)</f>
        <v>1790</v>
      </c>
      <c r="H7" s="16">
        <f>AVERAGEIF(Problems!$B:$B, A7, Problems!$H:$H)</f>
        <v>1352</v>
      </c>
    </row>
    <row r="8" spans="1:8" ht="20.100000000000001" customHeight="1">
      <c r="A8" s="3" t="s">
        <v>1228</v>
      </c>
      <c r="B8" s="2">
        <v>4</v>
      </c>
      <c r="C8" s="2">
        <f>COUNTIF(Problems!$B:$B, A8)</f>
        <v>30</v>
      </c>
      <c r="D8" s="2">
        <f>COUNTIFS(Problems!$B:$B, A8, Problems!$G:$G, "&lt;&gt;UNKNOWN")</f>
        <v>27</v>
      </c>
      <c r="E8" s="2">
        <f>COUNTIFS(Problems!$B:$B, A8, Problems!$A:$A, "Solved")</f>
        <v>0</v>
      </c>
      <c r="F8" s="13">
        <f>IF(C8&gt;0, E8/C8, 0)</f>
        <v>0</v>
      </c>
      <c r="G8" s="2">
        <f>SUMIF(Problems!$B:$B, A8, Problems!$L:$L)</f>
        <v>1165</v>
      </c>
      <c r="H8" s="14">
        <f>AVERAGEIF(Problems!$B:$B, A8, Problems!$H:$H)</f>
        <v>1474.0740740740741</v>
      </c>
    </row>
    <row r="9" spans="1:8" ht="20.100000000000001" customHeight="1">
      <c r="A9" s="7" t="s">
        <v>1334</v>
      </c>
      <c r="B9" s="6">
        <v>6</v>
      </c>
      <c r="C9" s="6">
        <f>COUNTIF(Problems!$B:$B, A9)</f>
        <v>69</v>
      </c>
      <c r="D9" s="6">
        <f>COUNTIFS(Problems!$B:$B, A9, Problems!$G:$G, "&lt;&gt;UNKNOWN")</f>
        <v>69</v>
      </c>
      <c r="E9" s="6">
        <f>COUNTIFS(Problems!$B:$B, A9, Problems!$A:$A, "Solved")</f>
        <v>0</v>
      </c>
      <c r="F9" s="15">
        <f>IF(C9&gt;0, E9/C9, 0)</f>
        <v>0</v>
      </c>
      <c r="G9" s="6">
        <f>SUMIF(Problems!$B:$B, A9, Problems!$L:$L)</f>
        <v>3120</v>
      </c>
      <c r="H9" s="16">
        <f>AVERAGEIF(Problems!$B:$B, A9, Problems!$H:$H)</f>
        <v>1521.7391304347825</v>
      </c>
    </row>
    <row r="10" spans="1:8" ht="20.100000000000001" customHeight="1">
      <c r="A10" s="3" t="s">
        <v>1578</v>
      </c>
      <c r="B10" s="2">
        <v>4</v>
      </c>
      <c r="C10" s="2">
        <f>COUNTIF(Problems!$B:$B, A10)</f>
        <v>34</v>
      </c>
      <c r="D10" s="2">
        <f>COUNTIFS(Problems!$B:$B, A10, Problems!$G:$G, "&lt;&gt;UNKNOWN")</f>
        <v>32</v>
      </c>
      <c r="E10" s="2">
        <f>COUNTIFS(Problems!$B:$B, A10, Problems!$A:$A, "Solved")</f>
        <v>0</v>
      </c>
      <c r="F10" s="13">
        <f>IF(C10&gt;0, E10/C10, 0)</f>
        <v>0</v>
      </c>
      <c r="G10" s="2">
        <f>SUMIF(Problems!$B:$B, A10, Problems!$L:$L)</f>
        <v>1365</v>
      </c>
      <c r="H10" s="14">
        <f>AVERAGEIF(Problems!$B:$B, A10, Problems!$H:$H)</f>
        <v>1575</v>
      </c>
    </row>
    <row r="11" spans="1:8" ht="20.100000000000001" customHeight="1">
      <c r="A11" s="7" t="s">
        <v>1703</v>
      </c>
      <c r="B11" s="6">
        <v>4</v>
      </c>
      <c r="C11" s="6">
        <f>COUNTIF(Problems!$B:$B, A11)</f>
        <v>30</v>
      </c>
      <c r="D11" s="6">
        <f>COUNTIFS(Problems!$B:$B, A11, Problems!$G:$G, "&lt;&gt;UNKNOWN")</f>
        <v>30</v>
      </c>
      <c r="E11" s="6">
        <f>COUNTIFS(Problems!$B:$B, A11, Problems!$A:$A, "Solved")</f>
        <v>0</v>
      </c>
      <c r="F11" s="15">
        <f>IF(C11&gt;0, E11/C11, 0)</f>
        <v>0</v>
      </c>
      <c r="G11" s="6">
        <f>SUMIF(Problems!$B:$B, A11, Problems!$L:$L)</f>
        <v>1570</v>
      </c>
      <c r="H11" s="16">
        <f>AVERAGEIF(Problems!$B:$B, A11, Problems!$H:$H)</f>
        <v>1696.6666666666667</v>
      </c>
    </row>
    <row r="12" spans="1:8" ht="20.100000000000001" customHeight="1">
      <c r="A12" s="3" t="s">
        <v>1814</v>
      </c>
      <c r="B12" s="2">
        <v>4</v>
      </c>
      <c r="C12" s="2">
        <f>COUNTIF(Problems!$B:$B, A12)</f>
        <v>31</v>
      </c>
      <c r="D12" s="2">
        <f>COUNTIFS(Problems!$B:$B, A12, Problems!$G:$G, "&lt;&gt;UNKNOWN")</f>
        <v>31</v>
      </c>
      <c r="E12" s="2">
        <f>COUNTIFS(Problems!$B:$B, A12, Problems!$A:$A, "Solved")</f>
        <v>0</v>
      </c>
      <c r="F12" s="13">
        <f>IF(C12&gt;0, E12/C12, 0)</f>
        <v>0</v>
      </c>
      <c r="G12" s="2">
        <f>SUMIF(Problems!$B:$B, A12, Problems!$L:$L)</f>
        <v>1380</v>
      </c>
      <c r="H12" s="14">
        <f>AVERAGEIF(Problems!$B:$B, A12, Problems!$H:$H)</f>
        <v>1570.9677419354839</v>
      </c>
    </row>
    <row r="13" spans="1:8" ht="20.100000000000001" customHeight="1">
      <c r="A13" s="7" t="s">
        <v>1935</v>
      </c>
      <c r="B13" s="6">
        <v>4</v>
      </c>
      <c r="C13" s="6">
        <f>COUNTIF(Problems!$B:$B, A13)</f>
        <v>28</v>
      </c>
      <c r="D13" s="6">
        <f>COUNTIFS(Problems!$B:$B, A13, Problems!$G:$G, "&lt;&gt;UNKNOWN")</f>
        <v>28</v>
      </c>
      <c r="E13" s="6">
        <f>COUNTIFS(Problems!$B:$B, A13, Problems!$A:$A, "Solved")</f>
        <v>0</v>
      </c>
      <c r="F13" s="15">
        <f>IF(C13&gt;0, E13/C13, 0)</f>
        <v>0</v>
      </c>
      <c r="G13" s="6">
        <f>SUMIF(Problems!$B:$B, A13, Problems!$L:$L)</f>
        <v>1065</v>
      </c>
      <c r="H13" s="16">
        <f>AVERAGEIF(Problems!$B:$B, A13, Problems!$H:$H)</f>
        <v>1457.1428571428571</v>
      </c>
    </row>
    <row r="14" spans="1:8" ht="20.100000000000001" customHeight="1">
      <c r="A14" s="3" t="s">
        <v>2039</v>
      </c>
      <c r="B14" s="2">
        <v>6</v>
      </c>
      <c r="C14" s="2">
        <f>COUNTIF(Problems!$B:$B, A14)</f>
        <v>46</v>
      </c>
      <c r="D14" s="2">
        <f>COUNTIFS(Problems!$B:$B, A14, Problems!$G:$G, "&lt;&gt;UNKNOWN")</f>
        <v>45</v>
      </c>
      <c r="E14" s="2">
        <f>COUNTIFS(Problems!$B:$B, A14, Problems!$A:$A, "Solved")</f>
        <v>0</v>
      </c>
      <c r="F14" s="13">
        <f>IF(C14&gt;0, E14/C14, 0)</f>
        <v>0</v>
      </c>
      <c r="G14" s="2">
        <f>SUMIF(Problems!$B:$B, A14, Problems!$L:$L)</f>
        <v>3245</v>
      </c>
      <c r="H14" s="14">
        <f>AVERAGEIF(Problems!$B:$B, A14, Problems!$H:$H)</f>
        <v>1968.8888888888889</v>
      </c>
    </row>
    <row r="15" spans="1:8" ht="20.100000000000001" customHeight="1">
      <c r="A15" s="7" t="s">
        <v>2211</v>
      </c>
      <c r="B15" s="6">
        <v>5</v>
      </c>
      <c r="C15" s="6">
        <f>COUNTIF(Problems!$B:$B, A15)</f>
        <v>24</v>
      </c>
      <c r="D15" s="6">
        <f>COUNTIFS(Problems!$B:$B, A15, Problems!$G:$G, "&lt;&gt;UNKNOWN")</f>
        <v>23</v>
      </c>
      <c r="E15" s="6">
        <f>COUNTIFS(Problems!$B:$B, A15, Problems!$A:$A, "Solved")</f>
        <v>0</v>
      </c>
      <c r="F15" s="15">
        <f>IF(C15&gt;0, E15/C15, 0)</f>
        <v>0</v>
      </c>
      <c r="G15" s="6">
        <f>SUMIF(Problems!$B:$B, A15, Problems!$L:$L)</f>
        <v>1325</v>
      </c>
      <c r="H15" s="16">
        <f>AVERAGEIF(Problems!$B:$B, A15, Problems!$H:$H)</f>
        <v>1778.2608695652175</v>
      </c>
    </row>
    <row r="16" spans="1:8" ht="20.100000000000001" customHeight="1">
      <c r="A16" s="3" t="s">
        <v>2304</v>
      </c>
      <c r="B16" s="2">
        <v>4</v>
      </c>
      <c r="C16" s="2">
        <f>COUNTIF(Problems!$B:$B, A16)</f>
        <v>17</v>
      </c>
      <c r="D16" s="2">
        <f>COUNTIFS(Problems!$B:$B, A16, Problems!$G:$G, "&lt;&gt;UNKNOWN")</f>
        <v>16</v>
      </c>
      <c r="E16" s="2">
        <f>COUNTIFS(Problems!$B:$B, A16, Problems!$A:$A, "Solved")</f>
        <v>0</v>
      </c>
      <c r="F16" s="13">
        <f>IF(C16&gt;0, E16/C16, 0)</f>
        <v>0</v>
      </c>
      <c r="G16" s="2">
        <f>SUMIF(Problems!$B:$B, A16, Problems!$L:$L)</f>
        <v>1260</v>
      </c>
      <c r="H16" s="14">
        <f>AVERAGEIF(Problems!$B:$B, A16, Problems!$H:$H)</f>
        <v>2018.75</v>
      </c>
    </row>
    <row r="17" spans="1:8" ht="20.100000000000001" customHeight="1">
      <c r="A17" s="7" t="s">
        <v>2370</v>
      </c>
      <c r="B17" s="6">
        <v>4</v>
      </c>
      <c r="C17" s="6">
        <f>COUNTIF(Problems!$B:$B, A17)</f>
        <v>22</v>
      </c>
      <c r="D17" s="6">
        <f>COUNTIFS(Problems!$B:$B, A17, Problems!$G:$G, "&lt;&gt;UNKNOWN")</f>
        <v>22</v>
      </c>
      <c r="E17" s="6">
        <f>COUNTIFS(Problems!$B:$B, A17, Problems!$A:$A, "Solved")</f>
        <v>0</v>
      </c>
      <c r="F17" s="15">
        <f>IF(C17&gt;0, E17/C17, 0)</f>
        <v>0</v>
      </c>
      <c r="G17" s="6">
        <f>SUMIF(Problems!$B:$B, A17, Problems!$L:$L)</f>
        <v>1325</v>
      </c>
      <c r="H17" s="16">
        <f>AVERAGEIF(Problems!$B:$B, A17, Problems!$H:$H)</f>
        <v>1804.5454545454545</v>
      </c>
    </row>
    <row r="18" spans="1:8" ht="20.100000000000001" customHeight="1">
      <c r="A18" s="3" t="s">
        <v>2461</v>
      </c>
      <c r="B18" s="2">
        <v>10</v>
      </c>
      <c r="C18" s="2">
        <f>COUNTIF(Problems!$B:$B, A18)</f>
        <v>64</v>
      </c>
      <c r="D18" s="2">
        <f>COUNTIFS(Problems!$B:$B, A18, Problems!$G:$G, "&lt;&gt;UNKNOWN")</f>
        <v>63</v>
      </c>
      <c r="E18" s="2">
        <f>COUNTIFS(Problems!$B:$B, A18, Problems!$A:$A, "Solved")</f>
        <v>0</v>
      </c>
      <c r="F18" s="13">
        <f>IF(C18&gt;0, E18/C18, 0)</f>
        <v>0</v>
      </c>
      <c r="G18" s="2">
        <f>SUMIF(Problems!$B:$B, A18, Problems!$L:$L)</f>
        <v>4335</v>
      </c>
      <c r="H18" s="14">
        <f>AVERAGEIF(Problems!$B:$B, A18, Problems!$H:$H)</f>
        <v>1933.3333333333333</v>
      </c>
    </row>
    <row r="19" spans="1:8" ht="20.100000000000001" customHeight="1">
      <c r="A19" s="7" t="s">
        <v>2690</v>
      </c>
      <c r="B19" s="6">
        <v>3</v>
      </c>
      <c r="C19" s="6">
        <f>COUNTIF(Problems!$B:$B, A19)</f>
        <v>7</v>
      </c>
      <c r="D19" s="6">
        <f>COUNTIFS(Problems!$B:$B, A19, Problems!$G:$G, "&lt;&gt;UNKNOWN")</f>
        <v>7</v>
      </c>
      <c r="E19" s="6">
        <f>COUNTIFS(Problems!$B:$B, A19, Problems!$A:$A, "Solved")</f>
        <v>0</v>
      </c>
      <c r="F19" s="15">
        <f>IF(C19&gt;0, E19/C19, 0)</f>
        <v>0</v>
      </c>
      <c r="G19" s="6">
        <f>SUMIF(Problems!$B:$B, A19, Problems!$L:$L)</f>
        <v>755</v>
      </c>
      <c r="H19" s="16">
        <f>AVERAGEIF(Problems!$B:$B, A19, Problems!$H:$H)</f>
        <v>2314.2857142857142</v>
      </c>
    </row>
    <row r="20" spans="1:8" ht="20.100000000000001" customHeight="1">
      <c r="A20" s="3" t="s">
        <v>2718</v>
      </c>
      <c r="B20" s="2">
        <v>6</v>
      </c>
      <c r="C20" s="2">
        <f>COUNTIF(Problems!$B:$B, A20)</f>
        <v>25</v>
      </c>
      <c r="D20" s="2">
        <f>COUNTIFS(Problems!$B:$B, A20, Problems!$G:$G, "&lt;&gt;UNKNOWN")</f>
        <v>24</v>
      </c>
      <c r="E20" s="2">
        <f>COUNTIFS(Problems!$B:$B, A20, Problems!$A:$A, "Solved")</f>
        <v>0</v>
      </c>
      <c r="F20" s="13">
        <f>IF(C20&gt;0, E20/C20, 0)</f>
        <v>0</v>
      </c>
      <c r="G20" s="2">
        <f>SUMIF(Problems!$B:$B, A20, Problems!$L:$L)</f>
        <v>2275</v>
      </c>
      <c r="H20" s="14">
        <f>AVERAGEIF(Problems!$B:$B, A20, Problems!$H:$H)</f>
        <v>2220.8333333333335</v>
      </c>
    </row>
    <row r="21" spans="1:8" ht="20.100000000000001" customHeight="1">
      <c r="A21" s="7" t="s">
        <v>2811</v>
      </c>
      <c r="B21" s="6">
        <v>8</v>
      </c>
      <c r="C21" s="6">
        <f>COUNTIF(Problems!$B:$B, A21)</f>
        <v>18</v>
      </c>
      <c r="D21" s="6">
        <f>COUNTIFS(Problems!$B:$B, A21, Problems!$G:$G, "&lt;&gt;UNKNOWN")</f>
        <v>17</v>
      </c>
      <c r="E21" s="6">
        <f>COUNTIFS(Problems!$B:$B, A21, Problems!$A:$A, "Solved")</f>
        <v>0</v>
      </c>
      <c r="F21" s="15">
        <f>IF(C21&gt;0, E21/C21, 0)</f>
        <v>0</v>
      </c>
      <c r="G21" s="6">
        <f>SUMIF(Problems!$B:$B, A21, Problems!$L:$L)</f>
        <v>1095</v>
      </c>
      <c r="H21" s="16">
        <f>AVERAGEIF(Problems!$B:$B, A21, Problems!$H:$H)</f>
        <v>1894.1176470588234</v>
      </c>
    </row>
    <row r="22" spans="1:8" ht="20.100000000000001" customHeight="1">
      <c r="A22" s="3" t="s">
        <v>2880</v>
      </c>
      <c r="B22" s="2">
        <v>5</v>
      </c>
      <c r="C22" s="2">
        <f>COUNTIF(Problems!$B:$B, A22)</f>
        <v>25</v>
      </c>
      <c r="D22" s="2">
        <f>COUNTIFS(Problems!$B:$B, A22, Problems!$G:$G, "&lt;&gt;UNKNOWN")</f>
        <v>24</v>
      </c>
      <c r="E22" s="2">
        <f>COUNTIFS(Problems!$B:$B, A22, Problems!$A:$A, "Solved")</f>
        <v>0</v>
      </c>
      <c r="F22" s="13">
        <f>IF(C22&gt;0, E22/C22, 0)</f>
        <v>0</v>
      </c>
      <c r="G22" s="2">
        <f>SUMIF(Problems!$B:$B, A22, Problems!$L:$L)</f>
        <v>1720</v>
      </c>
      <c r="H22" s="14">
        <f>AVERAGEIF(Problems!$B:$B, A22, Problems!$H:$H)</f>
        <v>1891.6666666666667</v>
      </c>
    </row>
  </sheetData>
  <autoFilter ref="A1:H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9" customWidth="1"/>
    <col min="2" max="2" width="53" customWidth="1"/>
    <col min="3" max="3" width="34" customWidth="1"/>
    <col min="4" max="4" width="64" customWidth="1"/>
    <col min="5" max="5" width="61" customWidth="1"/>
    <col min="6" max="6" width="29" customWidth="1"/>
    <col min="7" max="7" width="52" customWidth="1"/>
  </cols>
  <sheetData>
    <row r="1" spans="1:7" ht="24.95" customHeight="1">
      <c r="A1" s="1" t="s">
        <v>2978</v>
      </c>
      <c r="B1" s="1" t="s">
        <v>2986</v>
      </c>
      <c r="C1" s="1" t="s">
        <v>2980</v>
      </c>
      <c r="D1" s="1" t="s">
        <v>2987</v>
      </c>
      <c r="E1" s="1" t="s">
        <v>2982</v>
      </c>
      <c r="F1" s="1" t="s">
        <v>2983</v>
      </c>
      <c r="G1" s="1" t="s">
        <v>2985</v>
      </c>
    </row>
    <row r="2" spans="1:7" ht="20.100000000000001" customHeight="1">
      <c r="A2" s="3" t="s">
        <v>15</v>
      </c>
      <c r="B2" s="3" t="s">
        <v>16</v>
      </c>
      <c r="C2" s="2">
        <f>COUNTIF(Problems!$C:$C, B2)</f>
        <v>39</v>
      </c>
      <c r="D2" s="2">
        <f>COUNTIFS(Problems!$C:$C, B2, Problems!$G:$G, "&lt;&gt;UNKNOWN")</f>
        <v>39</v>
      </c>
      <c r="E2" s="2">
        <f>COUNTIFS(Problems!$C:$C, B2, Problems!$A:$A, "Solved")</f>
        <v>0</v>
      </c>
      <c r="F2" s="13">
        <f>IF(C2&gt;0, E2/C2, 0)</f>
        <v>0</v>
      </c>
      <c r="G2" s="14">
        <f>AVERAGEIF(Problems!$C:$C, B2, Problems!$H:$H)</f>
        <v>810.25641025641028</v>
      </c>
    </row>
    <row r="3" spans="1:7" ht="20.100000000000001" customHeight="1">
      <c r="A3" s="7" t="s">
        <v>15</v>
      </c>
      <c r="B3" s="7" t="s">
        <v>152</v>
      </c>
      <c r="C3" s="6">
        <f>COUNTIF(Problems!$C:$C, B3)</f>
        <v>26</v>
      </c>
      <c r="D3" s="6">
        <f>COUNTIFS(Problems!$C:$C, B3, Problems!$G:$G, "&lt;&gt;UNKNOWN")</f>
        <v>26</v>
      </c>
      <c r="E3" s="6">
        <f>COUNTIFS(Problems!$C:$C, B3, Problems!$A:$A, "Solved")</f>
        <v>0</v>
      </c>
      <c r="F3" s="15">
        <f>IF(C3&gt;0, E3/C3, 0)</f>
        <v>0</v>
      </c>
      <c r="G3" s="16">
        <f>AVERAGEIF(Problems!$C:$C, B3, Problems!$H:$H)</f>
        <v>915.38461538461536</v>
      </c>
    </row>
    <row r="4" spans="1:7" ht="20.100000000000001" customHeight="1">
      <c r="A4" s="3" t="s">
        <v>15</v>
      </c>
      <c r="B4" s="3" t="s">
        <v>247</v>
      </c>
      <c r="C4" s="2">
        <f>COUNTIF(Problems!$C:$C, B4)</f>
        <v>31</v>
      </c>
      <c r="D4" s="2">
        <f>COUNTIFS(Problems!$C:$C, B4, Problems!$G:$G, "&lt;&gt;UNKNOWN")</f>
        <v>31</v>
      </c>
      <c r="E4" s="2">
        <f>COUNTIFS(Problems!$C:$C, B4, Problems!$A:$A, "Solved")</f>
        <v>0</v>
      </c>
      <c r="F4" s="13">
        <f>IF(C4&gt;0, E4/C4, 0)</f>
        <v>0</v>
      </c>
      <c r="G4" s="14">
        <f>AVERAGEIF(Problems!$C:$C, B4, Problems!$H:$H)</f>
        <v>996.77419354838707</v>
      </c>
    </row>
    <row r="5" spans="1:7" ht="20.100000000000001" customHeight="1">
      <c r="A5" s="7" t="s">
        <v>15</v>
      </c>
      <c r="B5" s="7" t="s">
        <v>358</v>
      </c>
      <c r="C5" s="6">
        <f>COUNTIF(Problems!$C:$C, B5)</f>
        <v>24</v>
      </c>
      <c r="D5" s="6">
        <f>COUNTIFS(Problems!$C:$C, B5, Problems!$G:$G, "&lt;&gt;UNKNOWN")</f>
        <v>24</v>
      </c>
      <c r="E5" s="6">
        <f>COUNTIFS(Problems!$C:$C, B5, Problems!$A:$A, "Solved")</f>
        <v>0</v>
      </c>
      <c r="F5" s="15">
        <f>IF(C5&gt;0, E5/C5, 0)</f>
        <v>0</v>
      </c>
      <c r="G5" s="16">
        <f>AVERAGEIF(Problems!$C:$C, B5, Problems!$H:$H)</f>
        <v>1266.6666666666667</v>
      </c>
    </row>
    <row r="6" spans="1:7" ht="20.100000000000001" customHeight="1">
      <c r="A6" s="3" t="s">
        <v>15</v>
      </c>
      <c r="B6" s="3" t="s">
        <v>451</v>
      </c>
      <c r="C6" s="2">
        <f>COUNTIF(Problems!$C:$C, B6)</f>
        <v>15</v>
      </c>
      <c r="D6" s="2">
        <f>COUNTIFS(Problems!$C:$C, B6, Problems!$G:$G, "&lt;&gt;UNKNOWN")</f>
        <v>14</v>
      </c>
      <c r="E6" s="2">
        <f>COUNTIFS(Problems!$C:$C, B6, Problems!$A:$A, "Solved")</f>
        <v>0</v>
      </c>
      <c r="F6" s="13">
        <f>IF(C6&gt;0, E6/C6, 0)</f>
        <v>0</v>
      </c>
      <c r="G6" s="14">
        <f>AVERAGEIF(Problems!$C:$C, B6, Problems!$H:$H)</f>
        <v>1500</v>
      </c>
    </row>
    <row r="7" spans="1:7" ht="20.100000000000001" customHeight="1">
      <c r="A7" s="7" t="s">
        <v>15</v>
      </c>
      <c r="B7" s="7" t="s">
        <v>509</v>
      </c>
      <c r="C7" s="6">
        <f>COUNTIF(Problems!$C:$C, B7)</f>
        <v>11</v>
      </c>
      <c r="D7" s="6">
        <f>COUNTIFS(Problems!$C:$C, B7, Problems!$G:$G, "&lt;&gt;UNKNOWN")</f>
        <v>11</v>
      </c>
      <c r="E7" s="6">
        <f>COUNTIFS(Problems!$C:$C, B7, Problems!$A:$A, "Solved")</f>
        <v>0</v>
      </c>
      <c r="F7" s="15">
        <f>IF(C7&gt;0, E7/C7, 0)</f>
        <v>0</v>
      </c>
      <c r="G7" s="16">
        <f>AVERAGEIF(Problems!$C:$C, B7, Problems!$H:$H)</f>
        <v>1800</v>
      </c>
    </row>
    <row r="8" spans="1:7" ht="20.100000000000001" customHeight="1">
      <c r="A8" s="3" t="s">
        <v>555</v>
      </c>
      <c r="B8" s="3" t="s">
        <v>556</v>
      </c>
      <c r="C8" s="2">
        <f>COUNTIF(Problems!$C:$C, B8)</f>
        <v>10</v>
      </c>
      <c r="D8" s="2">
        <f>COUNTIFS(Problems!$C:$C, B8, Problems!$G:$G, "&lt;&gt;UNKNOWN")</f>
        <v>9</v>
      </c>
      <c r="E8" s="2">
        <f>COUNTIFS(Problems!$C:$C, B8, Problems!$A:$A, "Solved")</f>
        <v>0</v>
      </c>
      <c r="F8" s="13">
        <f>IF(C8&gt;0, E8/C8, 0)</f>
        <v>0</v>
      </c>
      <c r="G8" s="14">
        <f>AVERAGEIF(Problems!$C:$C, B8, Problems!$H:$H)</f>
        <v>1366.6666666666667</v>
      </c>
    </row>
    <row r="9" spans="1:7" ht="20.100000000000001" customHeight="1">
      <c r="A9" s="7" t="s">
        <v>555</v>
      </c>
      <c r="B9" s="7" t="s">
        <v>593</v>
      </c>
      <c r="C9" s="6">
        <f>COUNTIF(Problems!$C:$C, B9)</f>
        <v>8</v>
      </c>
      <c r="D9" s="6">
        <f>COUNTIFS(Problems!$C:$C, B9, Problems!$G:$G, "&lt;&gt;UNKNOWN")</f>
        <v>8</v>
      </c>
      <c r="E9" s="6">
        <f>COUNTIFS(Problems!$C:$C, B9, Problems!$A:$A, "Solved")</f>
        <v>0</v>
      </c>
      <c r="F9" s="15">
        <f>IF(C9&gt;0, E9/C9, 0)</f>
        <v>0</v>
      </c>
      <c r="G9" s="16">
        <f>AVERAGEIF(Problems!$C:$C, B9, Problems!$H:$H)</f>
        <v>1662.5</v>
      </c>
    </row>
    <row r="10" spans="1:7" ht="20.100000000000001" customHeight="1">
      <c r="A10" s="3" t="s">
        <v>555</v>
      </c>
      <c r="B10" s="3" t="s">
        <v>625</v>
      </c>
      <c r="C10" s="2">
        <f>COUNTIF(Problems!$C:$C, B10)</f>
        <v>11</v>
      </c>
      <c r="D10" s="2">
        <f>COUNTIFS(Problems!$C:$C, B10, Problems!$G:$G, "&lt;&gt;UNKNOWN")</f>
        <v>11</v>
      </c>
      <c r="E10" s="2">
        <f>COUNTIFS(Problems!$C:$C, B10, Problems!$A:$A, "Solved")</f>
        <v>0</v>
      </c>
      <c r="F10" s="13">
        <f>IF(C10&gt;0, E10/C10, 0)</f>
        <v>0</v>
      </c>
      <c r="G10" s="14">
        <f>AVERAGEIF(Problems!$C:$C, B10, Problems!$H:$H)</f>
        <v>1854.5454545454545</v>
      </c>
    </row>
    <row r="11" spans="1:7" ht="20.100000000000001" customHeight="1">
      <c r="A11" s="7" t="s">
        <v>555</v>
      </c>
      <c r="B11" s="7" t="s">
        <v>674</v>
      </c>
      <c r="C11" s="6">
        <f>COUNTIF(Problems!$C:$C, B11)</f>
        <v>7</v>
      </c>
      <c r="D11" s="6">
        <f>COUNTIFS(Problems!$C:$C, B11, Problems!$G:$G, "&lt;&gt;UNKNOWN")</f>
        <v>7</v>
      </c>
      <c r="E11" s="6">
        <f>COUNTIFS(Problems!$C:$C, B11, Problems!$A:$A, "Solved")</f>
        <v>0</v>
      </c>
      <c r="F11" s="15">
        <f>IF(C11&gt;0, E11/C11, 0)</f>
        <v>0</v>
      </c>
      <c r="G11" s="16">
        <f>AVERAGEIF(Problems!$C:$C, B11, Problems!$H:$H)</f>
        <v>2028.5714285714287</v>
      </c>
    </row>
    <row r="12" spans="1:7" ht="20.100000000000001" customHeight="1">
      <c r="A12" s="3" t="s">
        <v>700</v>
      </c>
      <c r="B12" s="3" t="s">
        <v>701</v>
      </c>
      <c r="C12" s="2">
        <f>COUNTIF(Problems!$C:$C, B12)</f>
        <v>12</v>
      </c>
      <c r="D12" s="2">
        <f>COUNTIFS(Problems!$C:$C, B12, Problems!$G:$G, "&lt;&gt;UNKNOWN")</f>
        <v>12</v>
      </c>
      <c r="E12" s="2">
        <f>COUNTIFS(Problems!$C:$C, B12, Problems!$A:$A, "Solved")</f>
        <v>0</v>
      </c>
      <c r="F12" s="13">
        <f>IF(C12&gt;0, E12/C12, 0)</f>
        <v>0</v>
      </c>
      <c r="G12" s="14">
        <f>AVERAGEIF(Problems!$C:$C, B12, Problems!$H:$H)</f>
        <v>1491.6666666666667</v>
      </c>
    </row>
    <row r="13" spans="1:7" ht="20.100000000000001" customHeight="1">
      <c r="A13" s="7" t="s">
        <v>700</v>
      </c>
      <c r="B13" s="7" t="s">
        <v>746</v>
      </c>
      <c r="C13" s="6">
        <f>COUNTIF(Problems!$C:$C, B13)</f>
        <v>7</v>
      </c>
      <c r="D13" s="6">
        <f>COUNTIFS(Problems!$C:$C, B13, Problems!$G:$G, "&lt;&gt;UNKNOWN")</f>
        <v>7</v>
      </c>
      <c r="E13" s="6">
        <f>COUNTIFS(Problems!$C:$C, B13, Problems!$A:$A, "Solved")</f>
        <v>0</v>
      </c>
      <c r="F13" s="15">
        <f>IF(C13&gt;0, E13/C13, 0)</f>
        <v>0</v>
      </c>
      <c r="G13" s="16">
        <f>AVERAGEIF(Problems!$C:$C, B13, Problems!$H:$H)</f>
        <v>1442.8571428571429</v>
      </c>
    </row>
    <row r="14" spans="1:7" ht="20.100000000000001" customHeight="1">
      <c r="A14" s="3" t="s">
        <v>700</v>
      </c>
      <c r="B14" s="3" t="s">
        <v>773</v>
      </c>
      <c r="C14" s="2">
        <f>COUNTIF(Problems!$C:$C, B14)</f>
        <v>8</v>
      </c>
      <c r="D14" s="2">
        <f>COUNTIFS(Problems!$C:$C, B14, Problems!$G:$G, "&lt;&gt;UNKNOWN")</f>
        <v>7</v>
      </c>
      <c r="E14" s="2">
        <f>COUNTIFS(Problems!$C:$C, B14, Problems!$A:$A, "Solved")</f>
        <v>0</v>
      </c>
      <c r="F14" s="13">
        <f>IF(C14&gt;0, E14/C14, 0)</f>
        <v>0</v>
      </c>
      <c r="G14" s="14">
        <f>AVERAGEIF(Problems!$C:$C, B14, Problems!$H:$H)</f>
        <v>1400</v>
      </c>
    </row>
    <row r="15" spans="1:7" ht="20.100000000000001" customHeight="1">
      <c r="A15" s="7" t="s">
        <v>700</v>
      </c>
      <c r="B15" s="7" t="s">
        <v>801</v>
      </c>
      <c r="C15" s="6">
        <f>COUNTIF(Problems!$C:$C, B15)</f>
        <v>6</v>
      </c>
      <c r="D15" s="6">
        <f>COUNTIFS(Problems!$C:$C, B15, Problems!$G:$G, "&lt;&gt;UNKNOWN")</f>
        <v>6</v>
      </c>
      <c r="E15" s="6">
        <f>COUNTIFS(Problems!$C:$C, B15, Problems!$A:$A, "Solved")</f>
        <v>0</v>
      </c>
      <c r="F15" s="15">
        <f>IF(C15&gt;0, E15/C15, 0)</f>
        <v>0</v>
      </c>
      <c r="G15" s="16">
        <f>AVERAGEIF(Problems!$C:$C, B15, Problems!$H:$H)</f>
        <v>2033.3333333333333</v>
      </c>
    </row>
    <row r="16" spans="1:7" ht="20.100000000000001" customHeight="1">
      <c r="A16" s="3" t="s">
        <v>825</v>
      </c>
      <c r="B16" s="3" t="s">
        <v>826</v>
      </c>
      <c r="C16" s="2">
        <f>COUNTIF(Problems!$C:$C, B16)</f>
        <v>4</v>
      </c>
      <c r="D16" s="2">
        <f>COUNTIFS(Problems!$C:$C, B16, Problems!$G:$G, "&lt;&gt;UNKNOWN")</f>
        <v>4</v>
      </c>
      <c r="E16" s="2">
        <f>COUNTIFS(Problems!$C:$C, B16, Problems!$A:$A, "Solved")</f>
        <v>0</v>
      </c>
      <c r="F16" s="13">
        <f>IF(C16&gt;0, E16/C16, 0)</f>
        <v>0</v>
      </c>
      <c r="G16" s="14">
        <f>AVERAGEIF(Problems!$C:$C, B16, Problems!$H:$H)</f>
        <v>1600</v>
      </c>
    </row>
    <row r="17" spans="1:7" ht="20.100000000000001" customHeight="1">
      <c r="A17" s="7" t="s">
        <v>825</v>
      </c>
      <c r="B17" s="7" t="s">
        <v>841</v>
      </c>
      <c r="C17" s="6">
        <f>COUNTIF(Problems!$C:$C, B17)</f>
        <v>2</v>
      </c>
      <c r="D17" s="6">
        <f>COUNTIFS(Problems!$C:$C, B17, Problems!$G:$G, "&lt;&gt;UNKNOWN")</f>
        <v>2</v>
      </c>
      <c r="E17" s="6">
        <f>COUNTIFS(Problems!$C:$C, B17, Problems!$A:$A, "Solved")</f>
        <v>0</v>
      </c>
      <c r="F17" s="15">
        <f>IF(C17&gt;0, E17/C17, 0)</f>
        <v>0</v>
      </c>
      <c r="G17" s="16">
        <f>AVERAGEIF(Problems!$C:$C, B17, Problems!$H:$H)</f>
        <v>1700</v>
      </c>
    </row>
    <row r="18" spans="1:7" ht="20.100000000000001" customHeight="1">
      <c r="A18" s="3" t="s">
        <v>825</v>
      </c>
      <c r="B18" s="3" t="s">
        <v>851</v>
      </c>
      <c r="C18" s="2">
        <f>COUNTIF(Problems!$C:$C, B18)</f>
        <v>4</v>
      </c>
      <c r="D18" s="2">
        <f>COUNTIFS(Problems!$C:$C, B18, Problems!$G:$G, "&lt;&gt;UNKNOWN")</f>
        <v>4</v>
      </c>
      <c r="E18" s="2">
        <f>COUNTIFS(Problems!$C:$C, B18, Problems!$A:$A, "Solved")</f>
        <v>0</v>
      </c>
      <c r="F18" s="13">
        <f>IF(C18&gt;0, E18/C18, 0)</f>
        <v>0</v>
      </c>
      <c r="G18" s="14">
        <f>AVERAGEIF(Problems!$C:$C, B18, Problems!$H:$H)</f>
        <v>1775</v>
      </c>
    </row>
    <row r="19" spans="1:7" ht="20.100000000000001" customHeight="1">
      <c r="A19" s="7" t="s">
        <v>825</v>
      </c>
      <c r="B19" s="7" t="s">
        <v>865</v>
      </c>
      <c r="C19" s="6">
        <f>COUNTIF(Problems!$C:$C, B19)</f>
        <v>6</v>
      </c>
      <c r="D19" s="6">
        <f>COUNTIFS(Problems!$C:$C, B19, Problems!$G:$G, "&lt;&gt;UNKNOWN")</f>
        <v>6</v>
      </c>
      <c r="E19" s="6">
        <f>COUNTIFS(Problems!$C:$C, B19, Problems!$A:$A, "Solved")</f>
        <v>0</v>
      </c>
      <c r="F19" s="15">
        <f>IF(C19&gt;0, E19/C19, 0)</f>
        <v>0</v>
      </c>
      <c r="G19" s="16">
        <f>AVERAGEIF(Problems!$C:$C, B19, Problems!$H:$H)</f>
        <v>1800</v>
      </c>
    </row>
    <row r="20" spans="1:7" ht="20.100000000000001" customHeight="1">
      <c r="A20" s="3" t="s">
        <v>889</v>
      </c>
      <c r="B20" s="3" t="s">
        <v>890</v>
      </c>
      <c r="C20" s="2">
        <f>COUNTIF(Problems!$C:$C, B20)</f>
        <v>6</v>
      </c>
      <c r="D20" s="2">
        <f>COUNTIFS(Problems!$C:$C, B20, Problems!$G:$G, "&lt;&gt;UNKNOWN")</f>
        <v>6</v>
      </c>
      <c r="E20" s="2">
        <f>COUNTIFS(Problems!$C:$C, B20, Problems!$A:$A, "Solved")</f>
        <v>0</v>
      </c>
      <c r="F20" s="13">
        <f>IF(C20&gt;0, E20/C20, 0)</f>
        <v>0</v>
      </c>
      <c r="G20" s="14">
        <f>AVERAGEIF(Problems!$C:$C, B20, Problems!$H:$H)</f>
        <v>983.33333333333337</v>
      </c>
    </row>
    <row r="21" spans="1:7" ht="20.100000000000001" customHeight="1">
      <c r="A21" s="7" t="s">
        <v>889</v>
      </c>
      <c r="B21" s="7" t="s">
        <v>910</v>
      </c>
      <c r="C21" s="6">
        <f>COUNTIF(Problems!$C:$C, B21)</f>
        <v>6</v>
      </c>
      <c r="D21" s="6">
        <f>COUNTIFS(Problems!$C:$C, B21, Problems!$G:$G, "&lt;&gt;UNKNOWN")</f>
        <v>6</v>
      </c>
      <c r="E21" s="6">
        <f>COUNTIFS(Problems!$C:$C, B21, Problems!$A:$A, "Solved")</f>
        <v>0</v>
      </c>
      <c r="F21" s="15">
        <f>IF(C21&gt;0, E21/C21, 0)</f>
        <v>0</v>
      </c>
      <c r="G21" s="16">
        <f>AVERAGEIF(Problems!$C:$C, B21, Problems!$H:$H)</f>
        <v>1350</v>
      </c>
    </row>
    <row r="22" spans="1:7" ht="20.100000000000001" customHeight="1">
      <c r="A22" s="3" t="s">
        <v>889</v>
      </c>
      <c r="B22" s="3" t="s">
        <v>932</v>
      </c>
      <c r="C22" s="2">
        <f>COUNTIF(Problems!$C:$C, B22)</f>
        <v>11</v>
      </c>
      <c r="D22" s="2">
        <f>COUNTIFS(Problems!$C:$C, B22, Problems!$G:$G, "&lt;&gt;UNKNOWN")</f>
        <v>11</v>
      </c>
      <c r="E22" s="2">
        <f>COUNTIFS(Problems!$C:$C, B22, Problems!$A:$A, "Solved")</f>
        <v>0</v>
      </c>
      <c r="F22" s="13">
        <f>IF(C22&gt;0, E22/C22, 0)</f>
        <v>0</v>
      </c>
      <c r="G22" s="14">
        <f>AVERAGEIF(Problems!$C:$C, B22, Problems!$H:$H)</f>
        <v>1800</v>
      </c>
    </row>
    <row r="23" spans="1:7" ht="20.100000000000001" customHeight="1">
      <c r="A23" s="7" t="s">
        <v>889</v>
      </c>
      <c r="B23" s="7" t="s">
        <v>976</v>
      </c>
      <c r="C23" s="6">
        <f>COUNTIF(Problems!$C:$C, B23)</f>
        <v>8</v>
      </c>
      <c r="D23" s="6">
        <f>COUNTIFS(Problems!$C:$C, B23, Problems!$G:$G, "&lt;&gt;UNKNOWN")</f>
        <v>8</v>
      </c>
      <c r="E23" s="6">
        <f>COUNTIFS(Problems!$C:$C, B23, Problems!$A:$A, "Solved")</f>
        <v>0</v>
      </c>
      <c r="F23" s="15">
        <f>IF(C23&gt;0, E23/C23, 0)</f>
        <v>0</v>
      </c>
      <c r="G23" s="16">
        <f>AVERAGEIF(Problems!$C:$C, B23, Problems!$H:$H)</f>
        <v>1675</v>
      </c>
    </row>
    <row r="24" spans="1:7" ht="20.100000000000001" customHeight="1">
      <c r="A24" s="3" t="s">
        <v>889</v>
      </c>
      <c r="B24" s="3" t="s">
        <v>1006</v>
      </c>
      <c r="C24" s="2">
        <f>COUNTIF(Problems!$C:$C, B24)</f>
        <v>8</v>
      </c>
      <c r="D24" s="2">
        <f>COUNTIFS(Problems!$C:$C, B24, Problems!$G:$G, "&lt;&gt;UNKNOWN")</f>
        <v>8</v>
      </c>
      <c r="E24" s="2">
        <f>COUNTIFS(Problems!$C:$C, B24, Problems!$A:$A, "Solved")</f>
        <v>0</v>
      </c>
      <c r="F24" s="13">
        <f>IF(C24&gt;0, E24/C24, 0)</f>
        <v>0</v>
      </c>
      <c r="G24" s="14">
        <f>AVERAGEIF(Problems!$C:$C, B24, Problems!$H:$H)</f>
        <v>1750</v>
      </c>
    </row>
    <row r="25" spans="1:7" ht="20.100000000000001" customHeight="1">
      <c r="A25" s="7" t="s">
        <v>1038</v>
      </c>
      <c r="B25" s="7" t="s">
        <v>1039</v>
      </c>
      <c r="C25" s="6">
        <f>COUNTIF(Problems!$C:$C, B25)</f>
        <v>16</v>
      </c>
      <c r="D25" s="6">
        <f>COUNTIFS(Problems!$C:$C, B25, Problems!$G:$G, "&lt;&gt;UNKNOWN")</f>
        <v>16</v>
      </c>
      <c r="E25" s="6">
        <f>COUNTIFS(Problems!$C:$C, B25, Problems!$A:$A, "Solved")</f>
        <v>0</v>
      </c>
      <c r="F25" s="15">
        <f>IF(C25&gt;0, E25/C25, 0)</f>
        <v>0</v>
      </c>
      <c r="G25" s="16">
        <f>AVERAGEIF(Problems!$C:$C, B25, Problems!$H:$H)</f>
        <v>893.75</v>
      </c>
    </row>
    <row r="26" spans="1:7" ht="20.100000000000001" customHeight="1">
      <c r="A26" s="3" t="s">
        <v>1038</v>
      </c>
      <c r="B26" s="3" t="s">
        <v>1094</v>
      </c>
      <c r="C26" s="2">
        <f>COUNTIF(Problems!$C:$C, B26)</f>
        <v>12</v>
      </c>
      <c r="D26" s="2">
        <f>COUNTIFS(Problems!$C:$C, B26, Problems!$G:$G, "&lt;&gt;UNKNOWN")</f>
        <v>12</v>
      </c>
      <c r="E26" s="2">
        <f>COUNTIFS(Problems!$C:$C, B26, Problems!$A:$A, "Solved")</f>
        <v>0</v>
      </c>
      <c r="F26" s="13">
        <f>IF(C26&gt;0, E26/C26, 0)</f>
        <v>0</v>
      </c>
      <c r="G26" s="14">
        <f>AVERAGEIF(Problems!$C:$C, B26, Problems!$H:$H)</f>
        <v>908.33333333333337</v>
      </c>
    </row>
    <row r="27" spans="1:7" ht="20.100000000000001" customHeight="1">
      <c r="A27" s="7" t="s">
        <v>1038</v>
      </c>
      <c r="B27" s="7" t="s">
        <v>1134</v>
      </c>
      <c r="C27" s="6">
        <f>COUNTIF(Problems!$C:$C, B27)</f>
        <v>8</v>
      </c>
      <c r="D27" s="6">
        <f>COUNTIFS(Problems!$C:$C, B27, Problems!$G:$G, "&lt;&gt;UNKNOWN")</f>
        <v>6</v>
      </c>
      <c r="E27" s="6">
        <f>COUNTIFS(Problems!$C:$C, B27, Problems!$A:$A, "Solved")</f>
        <v>0</v>
      </c>
      <c r="F27" s="15">
        <f>IF(C27&gt;0, E27/C27, 0)</f>
        <v>0</v>
      </c>
      <c r="G27" s="16">
        <f>AVERAGEIF(Problems!$C:$C, B27, Problems!$H:$H)</f>
        <v>1733.3333333333333</v>
      </c>
    </row>
    <row r="28" spans="1:7" ht="20.100000000000001" customHeight="1">
      <c r="A28" s="3" t="s">
        <v>1038</v>
      </c>
      <c r="B28" s="3" t="s">
        <v>1162</v>
      </c>
      <c r="C28" s="2">
        <f>COUNTIF(Problems!$C:$C, B28)</f>
        <v>7</v>
      </c>
      <c r="D28" s="2">
        <f>COUNTIFS(Problems!$C:$C, B28, Problems!$G:$G, "&lt;&gt;UNKNOWN")</f>
        <v>7</v>
      </c>
      <c r="E28" s="2">
        <f>COUNTIFS(Problems!$C:$C, B28, Problems!$A:$A, "Solved")</f>
        <v>0</v>
      </c>
      <c r="F28" s="13">
        <f>IF(C28&gt;0, E28/C28, 0)</f>
        <v>0</v>
      </c>
      <c r="G28" s="14">
        <f>AVERAGEIF(Problems!$C:$C, B28, Problems!$H:$H)</f>
        <v>2000</v>
      </c>
    </row>
    <row r="29" spans="1:7" ht="20.100000000000001" customHeight="1">
      <c r="A29" s="7" t="s">
        <v>1038</v>
      </c>
      <c r="B29" s="7" t="s">
        <v>1190</v>
      </c>
      <c r="C29" s="6">
        <f>COUNTIF(Problems!$C:$C, B29)</f>
        <v>4</v>
      </c>
      <c r="D29" s="6">
        <f>COUNTIFS(Problems!$C:$C, B29, Problems!$G:$G, "&lt;&gt;UNKNOWN")</f>
        <v>4</v>
      </c>
      <c r="E29" s="6">
        <f>COUNTIFS(Problems!$C:$C, B29, Problems!$A:$A, "Solved")</f>
        <v>0</v>
      </c>
      <c r="F29" s="15">
        <f>IF(C29&gt;0, E29/C29, 0)</f>
        <v>0</v>
      </c>
      <c r="G29" s="16">
        <f>AVERAGEIF(Problems!$C:$C, B29, Problems!$H:$H)</f>
        <v>1825</v>
      </c>
    </row>
    <row r="30" spans="1:7" ht="20.100000000000001" customHeight="1">
      <c r="A30" s="3" t="s">
        <v>1038</v>
      </c>
      <c r="B30" s="3" t="s">
        <v>1208</v>
      </c>
      <c r="C30" s="2">
        <f>COUNTIF(Problems!$C:$C, B30)</f>
        <v>5</v>
      </c>
      <c r="D30" s="2">
        <f>COUNTIFS(Problems!$C:$C, B30, Problems!$G:$G, "&lt;&gt;UNKNOWN")</f>
        <v>5</v>
      </c>
      <c r="E30" s="2">
        <f>COUNTIFS(Problems!$C:$C, B30, Problems!$A:$A, "Solved")</f>
        <v>0</v>
      </c>
      <c r="F30" s="13">
        <f>IF(C30&gt;0, E30/C30, 0)</f>
        <v>0</v>
      </c>
      <c r="G30" s="14">
        <f>AVERAGEIF(Problems!$C:$C, B30, Problems!$H:$H)</f>
        <v>2140</v>
      </c>
    </row>
    <row r="31" spans="1:7" ht="20.100000000000001" customHeight="1">
      <c r="A31" s="7" t="s">
        <v>1228</v>
      </c>
      <c r="B31" s="7" t="s">
        <v>1229</v>
      </c>
      <c r="C31" s="6">
        <f>COUNTIF(Problems!$C:$C, B31)</f>
        <v>14</v>
      </c>
      <c r="D31" s="6">
        <f>COUNTIFS(Problems!$C:$C, B31, Problems!$G:$G, "&lt;&gt;UNKNOWN")</f>
        <v>13</v>
      </c>
      <c r="E31" s="6">
        <f>COUNTIFS(Problems!$C:$C, B31, Problems!$A:$A, "Solved")</f>
        <v>0</v>
      </c>
      <c r="F31" s="15">
        <f>IF(C31&gt;0, E31/C31, 0)</f>
        <v>0</v>
      </c>
      <c r="G31" s="16">
        <f>AVERAGEIF(Problems!$C:$C, B31, Problems!$H:$H)</f>
        <v>969.23076923076928</v>
      </c>
    </row>
    <row r="32" spans="1:7" ht="20.100000000000001" customHeight="1">
      <c r="A32" s="3" t="s">
        <v>1228</v>
      </c>
      <c r="B32" s="3" t="s">
        <v>1274</v>
      </c>
      <c r="C32" s="2">
        <f>COUNTIF(Problems!$C:$C, B32)</f>
        <v>3</v>
      </c>
      <c r="D32" s="2">
        <f>COUNTIFS(Problems!$C:$C, B32, Problems!$G:$G, "&lt;&gt;UNKNOWN")</f>
        <v>3</v>
      </c>
      <c r="E32" s="2">
        <f>COUNTIFS(Problems!$C:$C, B32, Problems!$A:$A, "Solved")</f>
        <v>0</v>
      </c>
      <c r="F32" s="13">
        <f>IF(C32&gt;0, E32/C32, 0)</f>
        <v>0</v>
      </c>
      <c r="G32" s="14">
        <f>AVERAGEIF(Problems!$C:$C, B32, Problems!$H:$H)</f>
        <v>1733.3333333333333</v>
      </c>
    </row>
    <row r="33" spans="1:7" ht="20.100000000000001" customHeight="1">
      <c r="A33" s="7" t="s">
        <v>1228</v>
      </c>
      <c r="B33" s="7" t="s">
        <v>1287</v>
      </c>
      <c r="C33" s="6">
        <f>COUNTIF(Problems!$C:$C, B33)</f>
        <v>6</v>
      </c>
      <c r="D33" s="6">
        <f>COUNTIFS(Problems!$C:$C, B33, Problems!$G:$G, "&lt;&gt;UNKNOWN")</f>
        <v>6</v>
      </c>
      <c r="E33" s="6">
        <f>COUNTIFS(Problems!$C:$C, B33, Problems!$A:$A, "Solved")</f>
        <v>0</v>
      </c>
      <c r="F33" s="15">
        <f>IF(C33&gt;0, E33/C33, 0)</f>
        <v>0</v>
      </c>
      <c r="G33" s="16">
        <f>AVERAGEIF(Problems!$C:$C, B33, Problems!$H:$H)</f>
        <v>1983.3333333333333</v>
      </c>
    </row>
    <row r="34" spans="1:7" ht="20.100000000000001" customHeight="1">
      <c r="A34" s="3" t="s">
        <v>1228</v>
      </c>
      <c r="B34" s="3" t="s">
        <v>1309</v>
      </c>
      <c r="C34" s="2">
        <f>COUNTIF(Problems!$C:$C, B34)</f>
        <v>7</v>
      </c>
      <c r="D34" s="2">
        <f>COUNTIFS(Problems!$C:$C, B34, Problems!$G:$G, "&lt;&gt;UNKNOWN")</f>
        <v>5</v>
      </c>
      <c r="E34" s="2">
        <f>COUNTIFS(Problems!$C:$C, B34, Problems!$A:$A, "Solved")</f>
        <v>0</v>
      </c>
      <c r="F34" s="13">
        <f>IF(C34&gt;0, E34/C34, 0)</f>
        <v>0</v>
      </c>
      <c r="G34" s="14">
        <f>AVERAGEIF(Problems!$C:$C, B34, Problems!$H:$H)</f>
        <v>2020</v>
      </c>
    </row>
    <row r="35" spans="1:7" ht="20.100000000000001" customHeight="1">
      <c r="A35" s="7" t="s">
        <v>1334</v>
      </c>
      <c r="B35" s="7" t="s">
        <v>1335</v>
      </c>
      <c r="C35" s="6">
        <f>COUNTIF(Problems!$C:$C, B35)</f>
        <v>21</v>
      </c>
      <c r="D35" s="6">
        <f>COUNTIFS(Problems!$C:$C, B35, Problems!$G:$G, "&lt;&gt;UNKNOWN")</f>
        <v>21</v>
      </c>
      <c r="E35" s="6">
        <f>COUNTIFS(Problems!$C:$C, B35, Problems!$A:$A, "Solved")</f>
        <v>0</v>
      </c>
      <c r="F35" s="15">
        <f>IF(C35&gt;0, E35/C35, 0)</f>
        <v>0</v>
      </c>
      <c r="G35" s="16">
        <f>AVERAGEIF(Problems!$C:$C, B35, Problems!$H:$H)</f>
        <v>852.38095238095241</v>
      </c>
    </row>
    <row r="36" spans="1:7" ht="20.100000000000001" customHeight="1">
      <c r="A36" s="3" t="s">
        <v>1334</v>
      </c>
      <c r="B36" s="3" t="s">
        <v>1404</v>
      </c>
      <c r="C36" s="2">
        <f>COUNTIF(Problems!$C:$C, B36)</f>
        <v>12</v>
      </c>
      <c r="D36" s="2">
        <f>COUNTIFS(Problems!$C:$C, B36, Problems!$G:$G, "&lt;&gt;UNKNOWN")</f>
        <v>12</v>
      </c>
      <c r="E36" s="2">
        <f>COUNTIFS(Problems!$C:$C, B36, Problems!$A:$A, "Solved")</f>
        <v>0</v>
      </c>
      <c r="F36" s="13">
        <f>IF(C36&gt;0, E36/C36, 0)</f>
        <v>0</v>
      </c>
      <c r="G36" s="14">
        <f>AVERAGEIF(Problems!$C:$C, B36, Problems!$H:$H)</f>
        <v>1708.3333333333333</v>
      </c>
    </row>
    <row r="37" spans="1:7" ht="20.100000000000001" customHeight="1">
      <c r="A37" s="7" t="s">
        <v>1334</v>
      </c>
      <c r="B37" s="7" t="s">
        <v>1448</v>
      </c>
      <c r="C37" s="6">
        <f>COUNTIF(Problems!$C:$C, B37)</f>
        <v>11</v>
      </c>
      <c r="D37" s="6">
        <f>COUNTIFS(Problems!$C:$C, B37, Problems!$G:$G, "&lt;&gt;UNKNOWN")</f>
        <v>11</v>
      </c>
      <c r="E37" s="6">
        <f>COUNTIFS(Problems!$C:$C, B37, Problems!$A:$A, "Solved")</f>
        <v>0</v>
      </c>
      <c r="F37" s="15">
        <f>IF(C37&gt;0, E37/C37, 0)</f>
        <v>0</v>
      </c>
      <c r="G37" s="16">
        <f>AVERAGEIF(Problems!$C:$C, B37, Problems!$H:$H)</f>
        <v>1609.090909090909</v>
      </c>
    </row>
    <row r="38" spans="1:7" ht="20.100000000000001" customHeight="1">
      <c r="A38" s="3" t="s">
        <v>1334</v>
      </c>
      <c r="B38" s="3" t="s">
        <v>1489</v>
      </c>
      <c r="C38" s="2">
        <f>COUNTIF(Problems!$C:$C, B38)</f>
        <v>8</v>
      </c>
      <c r="D38" s="2">
        <f>COUNTIFS(Problems!$C:$C, B38, Problems!$G:$G, "&lt;&gt;UNKNOWN")</f>
        <v>8</v>
      </c>
      <c r="E38" s="2">
        <f>COUNTIFS(Problems!$C:$C, B38, Problems!$A:$A, "Solved")</f>
        <v>0</v>
      </c>
      <c r="F38" s="13">
        <f>IF(C38&gt;0, E38/C38, 0)</f>
        <v>0</v>
      </c>
      <c r="G38" s="14">
        <f>AVERAGEIF(Problems!$C:$C, B38, Problems!$H:$H)</f>
        <v>1925</v>
      </c>
    </row>
    <row r="39" spans="1:7" ht="20.100000000000001" customHeight="1">
      <c r="A39" s="7" t="s">
        <v>1334</v>
      </c>
      <c r="B39" s="7" t="s">
        <v>1518</v>
      </c>
      <c r="C39" s="6">
        <f>COUNTIF(Problems!$C:$C, B39)</f>
        <v>10</v>
      </c>
      <c r="D39" s="6">
        <f>COUNTIFS(Problems!$C:$C, B39, Problems!$G:$G, "&lt;&gt;UNKNOWN")</f>
        <v>10</v>
      </c>
      <c r="E39" s="6">
        <f>COUNTIFS(Problems!$C:$C, B39, Problems!$A:$A, "Solved")</f>
        <v>0</v>
      </c>
      <c r="F39" s="15">
        <f>IF(C39&gt;0, E39/C39, 0)</f>
        <v>0</v>
      </c>
      <c r="G39" s="16">
        <f>AVERAGEIF(Problems!$C:$C, B39, Problems!$H:$H)</f>
        <v>1760</v>
      </c>
    </row>
    <row r="40" spans="1:7" ht="20.100000000000001" customHeight="1">
      <c r="A40" s="3" t="s">
        <v>1334</v>
      </c>
      <c r="B40" s="3" t="s">
        <v>1553</v>
      </c>
      <c r="C40" s="2">
        <f>COUNTIF(Problems!$C:$C, B40)</f>
        <v>7</v>
      </c>
      <c r="D40" s="2">
        <f>COUNTIFS(Problems!$C:$C, B40, Problems!$G:$G, "&lt;&gt;UNKNOWN")</f>
        <v>7</v>
      </c>
      <c r="E40" s="2">
        <f>COUNTIFS(Problems!$C:$C, B40, Problems!$A:$A, "Solved")</f>
        <v>0</v>
      </c>
      <c r="F40" s="13">
        <f>IF(C40&gt;0, E40/C40, 0)</f>
        <v>0</v>
      </c>
      <c r="G40" s="14">
        <f>AVERAGEIF(Problems!$C:$C, B40, Problems!$H:$H)</f>
        <v>2271.4285714285716</v>
      </c>
    </row>
    <row r="41" spans="1:7" ht="20.100000000000001" customHeight="1">
      <c r="A41" s="7" t="s">
        <v>1578</v>
      </c>
      <c r="B41" s="7" t="s">
        <v>1579</v>
      </c>
      <c r="C41" s="6">
        <f>COUNTIF(Problems!$C:$C, B41)</f>
        <v>9</v>
      </c>
      <c r="D41" s="6">
        <f>COUNTIFS(Problems!$C:$C, B41, Problems!$G:$G, "&lt;&gt;UNKNOWN")</f>
        <v>9</v>
      </c>
      <c r="E41" s="6">
        <f>COUNTIFS(Problems!$C:$C, B41, Problems!$A:$A, "Solved")</f>
        <v>0</v>
      </c>
      <c r="F41" s="15">
        <f>IF(C41&gt;0, E41/C41, 0)</f>
        <v>0</v>
      </c>
      <c r="G41" s="16">
        <f>AVERAGEIF(Problems!$C:$C, B41, Problems!$H:$H)</f>
        <v>1544.4444444444443</v>
      </c>
    </row>
    <row r="42" spans="1:7" ht="20.100000000000001" customHeight="1">
      <c r="A42" s="3" t="s">
        <v>1578</v>
      </c>
      <c r="B42" s="3" t="s">
        <v>1613</v>
      </c>
      <c r="C42" s="2">
        <f>COUNTIF(Problems!$C:$C, B42)</f>
        <v>15</v>
      </c>
      <c r="D42" s="2">
        <f>COUNTIFS(Problems!$C:$C, B42, Problems!$G:$G, "&lt;&gt;UNKNOWN")</f>
        <v>13</v>
      </c>
      <c r="E42" s="2">
        <f>COUNTIFS(Problems!$C:$C, B42, Problems!$A:$A, "Solved")</f>
        <v>0</v>
      </c>
      <c r="F42" s="13">
        <f>IF(C42&gt;0, E42/C42, 0)</f>
        <v>0</v>
      </c>
      <c r="G42" s="14">
        <f>AVERAGEIF(Problems!$C:$C, B42, Problems!$H:$H)</f>
        <v>1492.3076923076924</v>
      </c>
    </row>
    <row r="43" spans="1:7" ht="20.100000000000001" customHeight="1">
      <c r="A43" s="7" t="s">
        <v>1578</v>
      </c>
      <c r="B43" s="7" t="s">
        <v>1665</v>
      </c>
      <c r="C43" s="6">
        <f>COUNTIF(Problems!$C:$C, B43)</f>
        <v>6</v>
      </c>
      <c r="D43" s="6">
        <f>COUNTIFS(Problems!$C:$C, B43, Problems!$G:$G, "&lt;&gt;UNKNOWN")</f>
        <v>6</v>
      </c>
      <c r="E43" s="6">
        <f>COUNTIFS(Problems!$C:$C, B43, Problems!$A:$A, "Solved")</f>
        <v>0</v>
      </c>
      <c r="F43" s="15">
        <f>IF(C43&gt;0, E43/C43, 0)</f>
        <v>0</v>
      </c>
      <c r="G43" s="16">
        <f>AVERAGEIF(Problems!$C:$C, B43, Problems!$H:$H)</f>
        <v>1483.3333333333333</v>
      </c>
    </row>
    <row r="44" spans="1:7" ht="20.100000000000001" customHeight="1">
      <c r="A44" s="3" t="s">
        <v>1578</v>
      </c>
      <c r="B44" s="3" t="s">
        <v>1686</v>
      </c>
      <c r="C44" s="2">
        <f>COUNTIF(Problems!$C:$C, B44)</f>
        <v>4</v>
      </c>
      <c r="D44" s="2">
        <f>COUNTIFS(Problems!$C:$C, B44, Problems!$G:$G, "&lt;&gt;UNKNOWN")</f>
        <v>4</v>
      </c>
      <c r="E44" s="2">
        <f>COUNTIFS(Problems!$C:$C, B44, Problems!$A:$A, "Solved")</f>
        <v>0</v>
      </c>
      <c r="F44" s="13">
        <f>IF(C44&gt;0, E44/C44, 0)</f>
        <v>0</v>
      </c>
      <c r="G44" s="14">
        <f>AVERAGEIF(Problems!$C:$C, B44, Problems!$H:$H)</f>
        <v>2050</v>
      </c>
    </row>
    <row r="45" spans="1:7" ht="20.100000000000001" customHeight="1">
      <c r="A45" s="7" t="s">
        <v>1703</v>
      </c>
      <c r="B45" s="7" t="s">
        <v>1704</v>
      </c>
      <c r="C45" s="6">
        <f>COUNTIF(Problems!$C:$C, B45)</f>
        <v>12</v>
      </c>
      <c r="D45" s="6">
        <f>COUNTIFS(Problems!$C:$C, B45, Problems!$G:$G, "&lt;&gt;UNKNOWN")</f>
        <v>12</v>
      </c>
      <c r="E45" s="6">
        <f>COUNTIFS(Problems!$C:$C, B45, Problems!$A:$A, "Solved")</f>
        <v>0</v>
      </c>
      <c r="F45" s="15">
        <f>IF(C45&gt;0, E45/C45, 0)</f>
        <v>0</v>
      </c>
      <c r="G45" s="16">
        <f>AVERAGEIF(Problems!$C:$C, B45, Problems!$H:$H)</f>
        <v>1483.3333333333333</v>
      </c>
    </row>
    <row r="46" spans="1:7" ht="20.100000000000001" customHeight="1">
      <c r="A46" s="3" t="s">
        <v>1703</v>
      </c>
      <c r="B46" s="3" t="s">
        <v>1746</v>
      </c>
      <c r="C46" s="2">
        <f>COUNTIF(Problems!$C:$C, B46)</f>
        <v>8</v>
      </c>
      <c r="D46" s="2">
        <f>COUNTIFS(Problems!$C:$C, B46, Problems!$G:$G, "&lt;&gt;UNKNOWN")</f>
        <v>8</v>
      </c>
      <c r="E46" s="2">
        <f>COUNTIFS(Problems!$C:$C, B46, Problems!$A:$A, "Solved")</f>
        <v>0</v>
      </c>
      <c r="F46" s="13">
        <f>IF(C46&gt;0, E46/C46, 0)</f>
        <v>0</v>
      </c>
      <c r="G46" s="14">
        <f>AVERAGEIF(Problems!$C:$C, B46, Problems!$H:$H)</f>
        <v>1575</v>
      </c>
    </row>
    <row r="47" spans="1:7" ht="20.100000000000001" customHeight="1">
      <c r="A47" s="7" t="s">
        <v>1703</v>
      </c>
      <c r="B47" s="7" t="s">
        <v>1774</v>
      </c>
      <c r="C47" s="6">
        <f>COUNTIF(Problems!$C:$C, B47)</f>
        <v>8</v>
      </c>
      <c r="D47" s="6">
        <f>COUNTIFS(Problems!$C:$C, B47, Problems!$G:$G, "&lt;&gt;UNKNOWN")</f>
        <v>8</v>
      </c>
      <c r="E47" s="6">
        <f>COUNTIFS(Problems!$C:$C, B47, Problems!$A:$A, "Solved")</f>
        <v>0</v>
      </c>
      <c r="F47" s="15">
        <f>IF(C47&gt;0, E47/C47, 0)</f>
        <v>0</v>
      </c>
      <c r="G47" s="16">
        <f>AVERAGEIF(Problems!$C:$C, B47, Problems!$H:$H)</f>
        <v>2037.5</v>
      </c>
    </row>
    <row r="48" spans="1:7" ht="20.100000000000001" customHeight="1">
      <c r="A48" s="3" t="s">
        <v>1703</v>
      </c>
      <c r="B48" s="3" t="s">
        <v>1806</v>
      </c>
      <c r="C48" s="2">
        <f>COUNTIF(Problems!$C:$C, B48)</f>
        <v>2</v>
      </c>
      <c r="D48" s="2">
        <f>COUNTIFS(Problems!$C:$C, B48, Problems!$G:$G, "&lt;&gt;UNKNOWN")</f>
        <v>2</v>
      </c>
      <c r="E48" s="2">
        <f>COUNTIFS(Problems!$C:$C, B48, Problems!$A:$A, "Solved")</f>
        <v>0</v>
      </c>
      <c r="F48" s="13">
        <f>IF(C48&gt;0, E48/C48, 0)</f>
        <v>0</v>
      </c>
      <c r="G48" s="14">
        <f>AVERAGEIF(Problems!$C:$C, B48, Problems!$H:$H)</f>
        <v>2100</v>
      </c>
    </row>
    <row r="49" spans="1:7" ht="20.100000000000001" customHeight="1">
      <c r="A49" s="7" t="s">
        <v>1814</v>
      </c>
      <c r="B49" s="7" t="s">
        <v>1815</v>
      </c>
      <c r="C49" s="6">
        <f>COUNTIF(Problems!$C:$C, B49)</f>
        <v>10</v>
      </c>
      <c r="D49" s="6">
        <f>COUNTIFS(Problems!$C:$C, B49, Problems!$G:$G, "&lt;&gt;UNKNOWN")</f>
        <v>10</v>
      </c>
      <c r="E49" s="6">
        <f>COUNTIFS(Problems!$C:$C, B49, Problems!$A:$A, "Solved")</f>
        <v>0</v>
      </c>
      <c r="F49" s="15">
        <f>IF(C49&gt;0, E49/C49, 0)</f>
        <v>0</v>
      </c>
      <c r="G49" s="16">
        <f>AVERAGEIF(Problems!$C:$C, B49, Problems!$H:$H)</f>
        <v>1110</v>
      </c>
    </row>
    <row r="50" spans="1:7" ht="20.100000000000001" customHeight="1">
      <c r="A50" s="3" t="s">
        <v>1814</v>
      </c>
      <c r="B50" s="3" t="s">
        <v>1849</v>
      </c>
      <c r="C50" s="2">
        <f>COUNTIF(Problems!$C:$C, B50)</f>
        <v>8</v>
      </c>
      <c r="D50" s="2">
        <f>COUNTIFS(Problems!$C:$C, B50, Problems!$G:$G, "&lt;&gt;UNKNOWN")</f>
        <v>8</v>
      </c>
      <c r="E50" s="2">
        <f>COUNTIFS(Problems!$C:$C, B50, Problems!$A:$A, "Solved")</f>
        <v>0</v>
      </c>
      <c r="F50" s="13">
        <f>IF(C50&gt;0, E50/C50, 0)</f>
        <v>0</v>
      </c>
      <c r="G50" s="14">
        <f>AVERAGEIF(Problems!$C:$C, B50, Problems!$H:$H)</f>
        <v>1537.5</v>
      </c>
    </row>
    <row r="51" spans="1:7" ht="20.100000000000001" customHeight="1">
      <c r="A51" s="7" t="s">
        <v>1814</v>
      </c>
      <c r="B51" s="7" t="s">
        <v>1882</v>
      </c>
      <c r="C51" s="6">
        <f>COUNTIF(Problems!$C:$C, B51)</f>
        <v>6</v>
      </c>
      <c r="D51" s="6">
        <f>COUNTIFS(Problems!$C:$C, B51, Problems!$G:$G, "&lt;&gt;UNKNOWN")</f>
        <v>6</v>
      </c>
      <c r="E51" s="6">
        <f>COUNTIFS(Problems!$C:$C, B51, Problems!$A:$A, "Solved")</f>
        <v>0</v>
      </c>
      <c r="F51" s="15">
        <f>IF(C51&gt;0, E51/C51, 0)</f>
        <v>0</v>
      </c>
      <c r="G51" s="16">
        <f>AVERAGEIF(Problems!$C:$C, B51, Problems!$H:$H)</f>
        <v>1900</v>
      </c>
    </row>
    <row r="52" spans="1:7" ht="20.100000000000001" customHeight="1">
      <c r="A52" s="3" t="s">
        <v>1814</v>
      </c>
      <c r="B52" s="3" t="s">
        <v>1906</v>
      </c>
      <c r="C52" s="2">
        <f>COUNTIF(Problems!$C:$C, B52)</f>
        <v>7</v>
      </c>
      <c r="D52" s="2">
        <f>COUNTIFS(Problems!$C:$C, B52, Problems!$G:$G, "&lt;&gt;UNKNOWN")</f>
        <v>7</v>
      </c>
      <c r="E52" s="2">
        <f>COUNTIFS(Problems!$C:$C, B52, Problems!$A:$A, "Solved")</f>
        <v>0</v>
      </c>
      <c r="F52" s="13">
        <f>IF(C52&gt;0, E52/C52, 0)</f>
        <v>0</v>
      </c>
      <c r="G52" s="14">
        <f>AVERAGEIF(Problems!$C:$C, B52, Problems!$H:$H)</f>
        <v>1985.7142857142858</v>
      </c>
    </row>
    <row r="53" spans="1:7" ht="20.100000000000001" customHeight="1">
      <c r="A53" s="7" t="s">
        <v>1935</v>
      </c>
      <c r="B53" s="7" t="s">
        <v>1936</v>
      </c>
      <c r="C53" s="6">
        <f>COUNTIF(Problems!$C:$C, B53)</f>
        <v>10</v>
      </c>
      <c r="D53" s="6">
        <f>COUNTIFS(Problems!$C:$C, B53, Problems!$G:$G, "&lt;&gt;UNKNOWN")</f>
        <v>10</v>
      </c>
      <c r="E53" s="6">
        <f>COUNTIFS(Problems!$C:$C, B53, Problems!$A:$A, "Solved")</f>
        <v>0</v>
      </c>
      <c r="F53" s="15">
        <f>IF(C53&gt;0, E53/C53, 0)</f>
        <v>0</v>
      </c>
      <c r="G53" s="16">
        <f>AVERAGEIF(Problems!$C:$C, B53, Problems!$H:$H)</f>
        <v>1160</v>
      </c>
    </row>
    <row r="54" spans="1:7" ht="20.100000000000001" customHeight="1">
      <c r="A54" s="3" t="s">
        <v>1935</v>
      </c>
      <c r="B54" s="3" t="s">
        <v>1972</v>
      </c>
      <c r="C54" s="2">
        <f>COUNTIF(Problems!$C:$C, B54)</f>
        <v>9</v>
      </c>
      <c r="D54" s="2">
        <f>COUNTIFS(Problems!$C:$C, B54, Problems!$G:$G, "&lt;&gt;UNKNOWN")</f>
        <v>9</v>
      </c>
      <c r="E54" s="2">
        <f>COUNTIFS(Problems!$C:$C, B54, Problems!$A:$A, "Solved")</f>
        <v>0</v>
      </c>
      <c r="F54" s="13">
        <f>IF(C54&gt;0, E54/C54, 0)</f>
        <v>0</v>
      </c>
      <c r="G54" s="14">
        <f>AVERAGEIF(Problems!$C:$C, B54, Problems!$H:$H)</f>
        <v>1400</v>
      </c>
    </row>
    <row r="55" spans="1:7" ht="20.100000000000001" customHeight="1">
      <c r="A55" s="7" t="s">
        <v>1935</v>
      </c>
      <c r="B55" s="7" t="s">
        <v>2005</v>
      </c>
      <c r="C55" s="6">
        <f>COUNTIF(Problems!$C:$C, B55)</f>
        <v>1</v>
      </c>
      <c r="D55" s="6">
        <f>COUNTIFS(Problems!$C:$C, B55, Problems!$G:$G, "&lt;&gt;UNKNOWN")</f>
        <v>1</v>
      </c>
      <c r="E55" s="6">
        <f>COUNTIFS(Problems!$C:$C, B55, Problems!$A:$A, "Solved")</f>
        <v>0</v>
      </c>
      <c r="F55" s="15">
        <f>IF(C55&gt;0, E55/C55, 0)</f>
        <v>0</v>
      </c>
      <c r="G55" s="16">
        <f>AVERAGEIF(Problems!$C:$C, B55, Problems!$H:$H)</f>
        <v>2100</v>
      </c>
    </row>
    <row r="56" spans="1:7" ht="20.100000000000001" customHeight="1">
      <c r="A56" s="3" t="s">
        <v>1935</v>
      </c>
      <c r="B56" s="3" t="s">
        <v>2010</v>
      </c>
      <c r="C56" s="2">
        <f>COUNTIF(Problems!$C:$C, B56)</f>
        <v>8</v>
      </c>
      <c r="D56" s="2">
        <f>COUNTIFS(Problems!$C:$C, B56, Problems!$G:$G, "&lt;&gt;UNKNOWN")</f>
        <v>8</v>
      </c>
      <c r="E56" s="2">
        <f>COUNTIFS(Problems!$C:$C, B56, Problems!$A:$A, "Solved")</f>
        <v>0</v>
      </c>
      <c r="F56" s="13">
        <f>IF(C56&gt;0, E56/C56, 0)</f>
        <v>0</v>
      </c>
      <c r="G56" s="14">
        <f>AVERAGEIF(Problems!$C:$C, B56, Problems!$H:$H)</f>
        <v>1812.5</v>
      </c>
    </row>
    <row r="57" spans="1:7" ht="20.100000000000001" customHeight="1">
      <c r="A57" s="7" t="s">
        <v>2039</v>
      </c>
      <c r="B57" s="7" t="s">
        <v>2040</v>
      </c>
      <c r="C57" s="6">
        <f>COUNTIF(Problems!$C:$C, B57)</f>
        <v>12</v>
      </c>
      <c r="D57" s="6">
        <f>COUNTIFS(Problems!$C:$C, B57, Problems!$G:$G, "&lt;&gt;UNKNOWN")</f>
        <v>11</v>
      </c>
      <c r="E57" s="6">
        <f>COUNTIFS(Problems!$C:$C, B57, Problems!$A:$A, "Solved")</f>
        <v>0</v>
      </c>
      <c r="F57" s="15">
        <f>IF(C57&gt;0, E57/C57, 0)</f>
        <v>0</v>
      </c>
      <c r="G57" s="16">
        <f>AVERAGEIF(Problems!$C:$C, B57, Problems!$H:$H)</f>
        <v>1690.909090909091</v>
      </c>
    </row>
    <row r="58" spans="1:7" ht="20.100000000000001" customHeight="1">
      <c r="A58" s="3" t="s">
        <v>2039</v>
      </c>
      <c r="B58" s="3" t="s">
        <v>2084</v>
      </c>
      <c r="C58" s="2">
        <f>COUNTIF(Problems!$C:$C, B58)</f>
        <v>7</v>
      </c>
      <c r="D58" s="2">
        <f>COUNTIFS(Problems!$C:$C, B58, Problems!$G:$G, "&lt;&gt;UNKNOWN")</f>
        <v>7</v>
      </c>
      <c r="E58" s="2">
        <f>COUNTIFS(Problems!$C:$C, B58, Problems!$A:$A, "Solved")</f>
        <v>0</v>
      </c>
      <c r="F58" s="13">
        <f>IF(C58&gt;0, E58/C58, 0)</f>
        <v>0</v>
      </c>
      <c r="G58" s="14">
        <f>AVERAGEIF(Problems!$C:$C, B58, Problems!$H:$H)</f>
        <v>1985.7142857142858</v>
      </c>
    </row>
    <row r="59" spans="1:7" ht="20.100000000000001" customHeight="1">
      <c r="A59" s="7" t="s">
        <v>2039</v>
      </c>
      <c r="B59" s="7" t="s">
        <v>2109</v>
      </c>
      <c r="C59" s="6">
        <f>COUNTIF(Problems!$C:$C, B59)</f>
        <v>10</v>
      </c>
      <c r="D59" s="6">
        <f>COUNTIFS(Problems!$C:$C, B59, Problems!$G:$G, "&lt;&gt;UNKNOWN")</f>
        <v>10</v>
      </c>
      <c r="E59" s="6">
        <f>COUNTIFS(Problems!$C:$C, B59, Problems!$A:$A, "Solved")</f>
        <v>0</v>
      </c>
      <c r="F59" s="15">
        <f>IF(C59&gt;0, E59/C59, 0)</f>
        <v>0</v>
      </c>
      <c r="G59" s="16">
        <f>AVERAGEIF(Problems!$C:$C, B59, Problems!$H:$H)</f>
        <v>2020</v>
      </c>
    </row>
    <row r="60" spans="1:7" ht="20.100000000000001" customHeight="1">
      <c r="A60" s="3" t="s">
        <v>2039</v>
      </c>
      <c r="B60" s="3" t="s">
        <v>2148</v>
      </c>
      <c r="C60" s="2">
        <f>COUNTIF(Problems!$C:$C, B60)</f>
        <v>9</v>
      </c>
      <c r="D60" s="2">
        <f>COUNTIFS(Problems!$C:$C, B60, Problems!$G:$G, "&lt;&gt;UNKNOWN")</f>
        <v>9</v>
      </c>
      <c r="E60" s="2">
        <f>COUNTIFS(Problems!$C:$C, B60, Problems!$A:$A, "Solved")</f>
        <v>0</v>
      </c>
      <c r="F60" s="13">
        <f>IF(C60&gt;0, E60/C60, 0)</f>
        <v>0</v>
      </c>
      <c r="G60" s="14">
        <f>AVERAGEIF(Problems!$C:$C, B60, Problems!$H:$H)</f>
        <v>2077.7777777777778</v>
      </c>
    </row>
    <row r="61" spans="1:7" ht="20.100000000000001" customHeight="1">
      <c r="A61" s="7" t="s">
        <v>2039</v>
      </c>
      <c r="B61" s="7" t="s">
        <v>2183</v>
      </c>
      <c r="C61" s="6">
        <f>COUNTIF(Problems!$C:$C, B61)</f>
        <v>3</v>
      </c>
      <c r="D61" s="6">
        <f>COUNTIFS(Problems!$C:$C, B61, Problems!$G:$G, "&lt;&gt;UNKNOWN")</f>
        <v>3</v>
      </c>
      <c r="E61" s="6">
        <f>COUNTIFS(Problems!$C:$C, B61, Problems!$A:$A, "Solved")</f>
        <v>0</v>
      </c>
      <c r="F61" s="15">
        <f>IF(C61&gt;0, E61/C61, 0)</f>
        <v>0</v>
      </c>
      <c r="G61" s="16">
        <f>AVERAGEIF(Problems!$C:$C, B61, Problems!$H:$H)</f>
        <v>2066.6666666666665</v>
      </c>
    </row>
    <row r="62" spans="1:7" ht="20.100000000000001" customHeight="1">
      <c r="A62" s="3" t="s">
        <v>2039</v>
      </c>
      <c r="B62" s="3" t="s">
        <v>2194</v>
      </c>
      <c r="C62" s="2">
        <f>COUNTIF(Problems!$C:$C, B62)</f>
        <v>5</v>
      </c>
      <c r="D62" s="2">
        <f>COUNTIFS(Problems!$C:$C, B62, Problems!$G:$G, "&lt;&gt;UNKNOWN")</f>
        <v>5</v>
      </c>
      <c r="E62" s="2">
        <f>COUNTIFS(Problems!$C:$C, B62, Problems!$A:$A, "Solved")</f>
        <v>0</v>
      </c>
      <c r="F62" s="13">
        <f>IF(C62&gt;0, E62/C62, 0)</f>
        <v>0</v>
      </c>
      <c r="G62" s="14">
        <f>AVERAGEIF(Problems!$C:$C, B62, Problems!$H:$H)</f>
        <v>2200</v>
      </c>
    </row>
    <row r="63" spans="1:7" ht="20.100000000000001" customHeight="1">
      <c r="A63" s="7" t="s">
        <v>2211</v>
      </c>
      <c r="B63" s="7" t="s">
        <v>2212</v>
      </c>
      <c r="C63" s="6">
        <f>COUNTIF(Problems!$C:$C, B63)</f>
        <v>8</v>
      </c>
      <c r="D63" s="6">
        <f>COUNTIFS(Problems!$C:$C, B63, Problems!$G:$G, "&lt;&gt;UNKNOWN")</f>
        <v>7</v>
      </c>
      <c r="E63" s="6">
        <f>COUNTIFS(Problems!$C:$C, B63, Problems!$A:$A, "Solved")</f>
        <v>0</v>
      </c>
      <c r="F63" s="15">
        <f>IF(C63&gt;0, E63/C63, 0)</f>
        <v>0</v>
      </c>
      <c r="G63" s="16">
        <f>AVERAGEIF(Problems!$C:$C, B63, Problems!$H:$H)</f>
        <v>1500</v>
      </c>
    </row>
    <row r="64" spans="1:7" ht="20.100000000000001" customHeight="1">
      <c r="A64" s="3" t="s">
        <v>2211</v>
      </c>
      <c r="B64" s="3" t="s">
        <v>2242</v>
      </c>
      <c r="C64" s="2">
        <f>COUNTIF(Problems!$C:$C, B64)</f>
        <v>2</v>
      </c>
      <c r="D64" s="2">
        <f>COUNTIFS(Problems!$C:$C, B64, Problems!$G:$G, "&lt;&gt;UNKNOWN")</f>
        <v>2</v>
      </c>
      <c r="E64" s="2">
        <f>COUNTIFS(Problems!$C:$C, B64, Problems!$A:$A, "Solved")</f>
        <v>0</v>
      </c>
      <c r="F64" s="13">
        <f>IF(C64&gt;0, E64/C64, 0)</f>
        <v>0</v>
      </c>
      <c r="G64" s="14">
        <f>AVERAGEIF(Problems!$C:$C, B64, Problems!$H:$H)</f>
        <v>1850</v>
      </c>
    </row>
    <row r="65" spans="1:7" ht="20.100000000000001" customHeight="1">
      <c r="A65" s="7" t="s">
        <v>2211</v>
      </c>
      <c r="B65" s="7" t="s">
        <v>2250</v>
      </c>
      <c r="C65" s="6">
        <f>COUNTIF(Problems!$C:$C, B65)</f>
        <v>7</v>
      </c>
      <c r="D65" s="6">
        <f>COUNTIFS(Problems!$C:$C, B65, Problems!$G:$G, "&lt;&gt;UNKNOWN")</f>
        <v>7</v>
      </c>
      <c r="E65" s="6">
        <f>COUNTIFS(Problems!$C:$C, B65, Problems!$A:$A, "Solved")</f>
        <v>0</v>
      </c>
      <c r="F65" s="15">
        <f>IF(C65&gt;0, E65/C65, 0)</f>
        <v>0</v>
      </c>
      <c r="G65" s="16">
        <f>AVERAGEIF(Problems!$C:$C, B65, Problems!$H:$H)</f>
        <v>1885.7142857142858</v>
      </c>
    </row>
    <row r="66" spans="1:7" ht="20.100000000000001" customHeight="1">
      <c r="A66" s="3" t="s">
        <v>2211</v>
      </c>
      <c r="B66" s="3" t="s">
        <v>2278</v>
      </c>
      <c r="C66" s="2">
        <f>COUNTIF(Problems!$C:$C, B66)</f>
        <v>2</v>
      </c>
      <c r="D66" s="2">
        <f>COUNTIFS(Problems!$C:$C, B66, Problems!$G:$G, "&lt;&gt;UNKNOWN")</f>
        <v>2</v>
      </c>
      <c r="E66" s="2">
        <f>COUNTIFS(Problems!$C:$C, B66, Problems!$A:$A, "Solved")</f>
        <v>0</v>
      </c>
      <c r="F66" s="13">
        <f>IF(C66&gt;0, E66/C66, 0)</f>
        <v>0</v>
      </c>
      <c r="G66" s="14">
        <f>AVERAGEIF(Problems!$C:$C, B66, Problems!$H:$H)</f>
        <v>2000</v>
      </c>
    </row>
    <row r="67" spans="1:7" ht="20.100000000000001" customHeight="1">
      <c r="A67" s="7" t="s">
        <v>2211</v>
      </c>
      <c r="B67" s="7" t="s">
        <v>2287</v>
      </c>
      <c r="C67" s="6">
        <f>COUNTIF(Problems!$C:$C, B67)</f>
        <v>5</v>
      </c>
      <c r="D67" s="6">
        <f>COUNTIFS(Problems!$C:$C, B67, Problems!$G:$G, "&lt;&gt;UNKNOWN")</f>
        <v>5</v>
      </c>
      <c r="E67" s="6">
        <f>COUNTIFS(Problems!$C:$C, B67, Problems!$A:$A, "Solved")</f>
        <v>0</v>
      </c>
      <c r="F67" s="15">
        <f>IF(C67&gt;0, E67/C67, 0)</f>
        <v>0</v>
      </c>
      <c r="G67" s="16">
        <f>AVERAGEIF(Problems!$C:$C, B67, Problems!$H:$H)</f>
        <v>1900</v>
      </c>
    </row>
    <row r="68" spans="1:7" ht="20.100000000000001" customHeight="1">
      <c r="A68" s="3" t="s">
        <v>2304</v>
      </c>
      <c r="B68" s="3" t="s">
        <v>2305</v>
      </c>
      <c r="C68" s="2">
        <f>COUNTIF(Problems!$C:$C, B68)</f>
        <v>7</v>
      </c>
      <c r="D68" s="2">
        <f>COUNTIFS(Problems!$C:$C, B68, Problems!$G:$G, "&lt;&gt;UNKNOWN")</f>
        <v>7</v>
      </c>
      <c r="E68" s="2">
        <f>COUNTIFS(Problems!$C:$C, B68, Problems!$A:$A, "Solved")</f>
        <v>0</v>
      </c>
      <c r="F68" s="13">
        <f>IF(C68&gt;0, E68/C68, 0)</f>
        <v>0</v>
      </c>
      <c r="G68" s="14">
        <f>AVERAGEIF(Problems!$C:$C, B68, Problems!$H:$H)</f>
        <v>1957.1428571428571</v>
      </c>
    </row>
    <row r="69" spans="1:7" ht="20.100000000000001" customHeight="1">
      <c r="A69" s="7" t="s">
        <v>2304</v>
      </c>
      <c r="B69" s="7" t="s">
        <v>2330</v>
      </c>
      <c r="C69" s="6">
        <f>COUNTIF(Problems!$C:$C, B69)</f>
        <v>2</v>
      </c>
      <c r="D69" s="6">
        <f>COUNTIFS(Problems!$C:$C, B69, Problems!$G:$G, "&lt;&gt;UNKNOWN")</f>
        <v>2</v>
      </c>
      <c r="E69" s="6">
        <f>COUNTIFS(Problems!$C:$C, B69, Problems!$A:$A, "Solved")</f>
        <v>0</v>
      </c>
      <c r="F69" s="15">
        <f>IF(C69&gt;0, E69/C69, 0)</f>
        <v>0</v>
      </c>
      <c r="G69" s="16">
        <f>AVERAGEIF(Problems!$C:$C, B69, Problems!$H:$H)</f>
        <v>2200</v>
      </c>
    </row>
    <row r="70" spans="1:7" ht="20.100000000000001" customHeight="1">
      <c r="A70" s="3" t="s">
        <v>2304</v>
      </c>
      <c r="B70" s="3" t="s">
        <v>2339</v>
      </c>
      <c r="C70" s="2">
        <f>COUNTIF(Problems!$C:$C, B70)</f>
        <v>5</v>
      </c>
      <c r="D70" s="2">
        <f>COUNTIFS(Problems!$C:$C, B70, Problems!$G:$G, "&lt;&gt;UNKNOWN")</f>
        <v>4</v>
      </c>
      <c r="E70" s="2">
        <f>COUNTIFS(Problems!$C:$C, B70, Problems!$A:$A, "Solved")</f>
        <v>0</v>
      </c>
      <c r="F70" s="13">
        <f>IF(C70&gt;0, E70/C70, 0)</f>
        <v>0</v>
      </c>
      <c r="G70" s="14">
        <f>AVERAGEIF(Problems!$C:$C, B70, Problems!$H:$H)</f>
        <v>2150</v>
      </c>
    </row>
    <row r="71" spans="1:7" ht="20.100000000000001" customHeight="1">
      <c r="A71" s="7" t="s">
        <v>2304</v>
      </c>
      <c r="B71" s="7" t="s">
        <v>2357</v>
      </c>
      <c r="C71" s="6">
        <f>COUNTIF(Problems!$C:$C, B71)</f>
        <v>3</v>
      </c>
      <c r="D71" s="6">
        <f>COUNTIFS(Problems!$C:$C, B71, Problems!$G:$G, "&lt;&gt;UNKNOWN")</f>
        <v>3</v>
      </c>
      <c r="E71" s="6">
        <f>COUNTIFS(Problems!$C:$C, B71, Problems!$A:$A, "Solved")</f>
        <v>0</v>
      </c>
      <c r="F71" s="15">
        <f>IF(C71&gt;0, E71/C71, 0)</f>
        <v>0</v>
      </c>
      <c r="G71" s="16">
        <f>AVERAGEIF(Problems!$C:$C, B71, Problems!$H:$H)</f>
        <v>1866.6666666666667</v>
      </c>
    </row>
    <row r="72" spans="1:7" ht="20.100000000000001" customHeight="1">
      <c r="A72" s="3" t="s">
        <v>2370</v>
      </c>
      <c r="B72" s="3" t="s">
        <v>2371</v>
      </c>
      <c r="C72" s="2">
        <f>COUNTIF(Problems!$C:$C, B72)</f>
        <v>7</v>
      </c>
      <c r="D72" s="2">
        <f>COUNTIFS(Problems!$C:$C, B72, Problems!$G:$G, "&lt;&gt;UNKNOWN")</f>
        <v>7</v>
      </c>
      <c r="E72" s="2">
        <f>COUNTIFS(Problems!$C:$C, B72, Problems!$A:$A, "Solved")</f>
        <v>0</v>
      </c>
      <c r="F72" s="13">
        <f>IF(C72&gt;0, E72/C72, 0)</f>
        <v>0</v>
      </c>
      <c r="G72" s="14">
        <f>AVERAGEIF(Problems!$C:$C, B72, Problems!$H:$H)</f>
        <v>1442.8571428571429</v>
      </c>
    </row>
    <row r="73" spans="1:7" ht="20.100000000000001" customHeight="1">
      <c r="A73" s="7" t="s">
        <v>2370</v>
      </c>
      <c r="B73" s="7" t="s">
        <v>2398</v>
      </c>
      <c r="C73" s="6">
        <f>COUNTIF(Problems!$C:$C, B73)</f>
        <v>8</v>
      </c>
      <c r="D73" s="6">
        <f>COUNTIFS(Problems!$C:$C, B73, Problems!$G:$G, "&lt;&gt;UNKNOWN")</f>
        <v>8</v>
      </c>
      <c r="E73" s="6">
        <f>COUNTIFS(Problems!$C:$C, B73, Problems!$A:$A, "Solved")</f>
        <v>0</v>
      </c>
      <c r="F73" s="15">
        <f>IF(C73&gt;0, E73/C73, 0)</f>
        <v>0</v>
      </c>
      <c r="G73" s="16">
        <f>AVERAGEIF(Problems!$C:$C, B73, Problems!$H:$H)</f>
        <v>1900</v>
      </c>
    </row>
    <row r="74" spans="1:7" ht="20.100000000000001" customHeight="1">
      <c r="A74" s="3" t="s">
        <v>2370</v>
      </c>
      <c r="B74" s="3" t="s">
        <v>2431</v>
      </c>
      <c r="C74" s="2">
        <f>COUNTIF(Problems!$C:$C, B74)</f>
        <v>4</v>
      </c>
      <c r="D74" s="2">
        <f>COUNTIFS(Problems!$C:$C, B74, Problems!$G:$G, "&lt;&gt;UNKNOWN")</f>
        <v>4</v>
      </c>
      <c r="E74" s="2">
        <f>COUNTIFS(Problems!$C:$C, B74, Problems!$A:$A, "Solved")</f>
        <v>0</v>
      </c>
      <c r="F74" s="13">
        <f>IF(C74&gt;0, E74/C74, 0)</f>
        <v>0</v>
      </c>
      <c r="G74" s="14">
        <f>AVERAGEIF(Problems!$C:$C, B74, Problems!$H:$H)</f>
        <v>1975</v>
      </c>
    </row>
    <row r="75" spans="1:7" ht="20.100000000000001" customHeight="1">
      <c r="A75" s="7" t="s">
        <v>2370</v>
      </c>
      <c r="B75" s="7" t="s">
        <v>2448</v>
      </c>
      <c r="C75" s="6">
        <f>COUNTIF(Problems!$C:$C, B75)</f>
        <v>3</v>
      </c>
      <c r="D75" s="6">
        <f>COUNTIFS(Problems!$C:$C, B75, Problems!$G:$G, "&lt;&gt;UNKNOWN")</f>
        <v>3</v>
      </c>
      <c r="E75" s="6">
        <f>COUNTIFS(Problems!$C:$C, B75, Problems!$A:$A, "Solved")</f>
        <v>0</v>
      </c>
      <c r="F75" s="15">
        <f>IF(C75&gt;0, E75/C75, 0)</f>
        <v>0</v>
      </c>
      <c r="G75" s="16">
        <f>AVERAGEIF(Problems!$C:$C, B75, Problems!$H:$H)</f>
        <v>2166.6666666666665</v>
      </c>
    </row>
    <row r="76" spans="1:7" ht="20.100000000000001" customHeight="1">
      <c r="A76" s="3" t="s">
        <v>2461</v>
      </c>
      <c r="B76" s="3" t="s">
        <v>2462</v>
      </c>
      <c r="C76" s="2">
        <f>COUNTIF(Problems!$C:$C, B76)</f>
        <v>13</v>
      </c>
      <c r="D76" s="2">
        <f>COUNTIFS(Problems!$C:$C, B76, Problems!$G:$G, "&lt;&gt;UNKNOWN")</f>
        <v>13</v>
      </c>
      <c r="E76" s="2">
        <f>COUNTIFS(Problems!$C:$C, B76, Problems!$A:$A, "Solved")</f>
        <v>0</v>
      </c>
      <c r="F76" s="13">
        <f>IF(C76&gt;0, E76/C76, 0)</f>
        <v>0</v>
      </c>
      <c r="G76" s="14">
        <f>AVERAGEIF(Problems!$C:$C, B76, Problems!$H:$H)</f>
        <v>1546.1538461538462</v>
      </c>
    </row>
    <row r="77" spans="1:7" ht="20.100000000000001" customHeight="1">
      <c r="A77" s="7" t="s">
        <v>2461</v>
      </c>
      <c r="B77" s="7" t="s">
        <v>2505</v>
      </c>
      <c r="C77" s="6">
        <f>COUNTIF(Problems!$C:$C, B77)</f>
        <v>8</v>
      </c>
      <c r="D77" s="6">
        <f>COUNTIFS(Problems!$C:$C, B77, Problems!$G:$G, "&lt;&gt;UNKNOWN")</f>
        <v>8</v>
      </c>
      <c r="E77" s="6">
        <f>COUNTIFS(Problems!$C:$C, B77, Problems!$A:$A, "Solved")</f>
        <v>0</v>
      </c>
      <c r="F77" s="15">
        <f>IF(C77&gt;0, E77/C77, 0)</f>
        <v>0</v>
      </c>
      <c r="G77" s="16">
        <f>AVERAGEIF(Problems!$C:$C, B77, Problems!$H:$H)</f>
        <v>1912.5</v>
      </c>
    </row>
    <row r="78" spans="1:7" ht="20.100000000000001" customHeight="1">
      <c r="A78" s="3" t="s">
        <v>2461</v>
      </c>
      <c r="B78" s="3" t="s">
        <v>2530</v>
      </c>
      <c r="C78" s="2">
        <f>COUNTIF(Problems!$C:$C, B78)</f>
        <v>9</v>
      </c>
      <c r="D78" s="2">
        <f>COUNTIFS(Problems!$C:$C, B78, Problems!$G:$G, "&lt;&gt;UNKNOWN")</f>
        <v>8</v>
      </c>
      <c r="E78" s="2">
        <f>COUNTIFS(Problems!$C:$C, B78, Problems!$A:$A, "Solved")</f>
        <v>0</v>
      </c>
      <c r="F78" s="13">
        <f>IF(C78&gt;0, E78/C78, 0)</f>
        <v>0</v>
      </c>
      <c r="G78" s="14">
        <f>AVERAGEIF(Problems!$C:$C, B78, Problems!$H:$H)</f>
        <v>2037.5</v>
      </c>
    </row>
    <row r="79" spans="1:7" ht="20.100000000000001" customHeight="1">
      <c r="A79" s="7" t="s">
        <v>2461</v>
      </c>
      <c r="B79" s="7" t="s">
        <v>2562</v>
      </c>
      <c r="C79" s="6">
        <f>COUNTIF(Problems!$C:$C, B79)</f>
        <v>6</v>
      </c>
      <c r="D79" s="6">
        <f>COUNTIFS(Problems!$C:$C, B79, Problems!$G:$G, "&lt;&gt;UNKNOWN")</f>
        <v>6</v>
      </c>
      <c r="E79" s="6">
        <f>COUNTIFS(Problems!$C:$C, B79, Problems!$A:$A, "Solved")</f>
        <v>0</v>
      </c>
      <c r="F79" s="15">
        <f>IF(C79&gt;0, E79/C79, 0)</f>
        <v>0</v>
      </c>
      <c r="G79" s="16">
        <f>AVERAGEIF(Problems!$C:$C, B79, Problems!$H:$H)</f>
        <v>2016.6666666666667</v>
      </c>
    </row>
    <row r="80" spans="1:7" ht="20.100000000000001" customHeight="1">
      <c r="A80" s="3" t="s">
        <v>2461</v>
      </c>
      <c r="B80" s="3" t="s">
        <v>2583</v>
      </c>
      <c r="C80" s="2">
        <f>COUNTIF(Problems!$C:$C, B80)</f>
        <v>7</v>
      </c>
      <c r="D80" s="2">
        <f>COUNTIFS(Problems!$C:$C, B80, Problems!$G:$G, "&lt;&gt;UNKNOWN")</f>
        <v>7</v>
      </c>
      <c r="E80" s="2">
        <f>COUNTIFS(Problems!$C:$C, B80, Problems!$A:$A, "Solved")</f>
        <v>0</v>
      </c>
      <c r="F80" s="13">
        <f>IF(C80&gt;0, E80/C80, 0)</f>
        <v>0</v>
      </c>
      <c r="G80" s="14">
        <f>AVERAGEIF(Problems!$C:$C, B80, Problems!$H:$H)</f>
        <v>2071.4285714285716</v>
      </c>
    </row>
    <row r="81" spans="1:7" ht="20.100000000000001" customHeight="1">
      <c r="A81" s="7" t="s">
        <v>2461</v>
      </c>
      <c r="B81" s="7" t="s">
        <v>2610</v>
      </c>
      <c r="C81" s="6">
        <f>COUNTIF(Problems!$C:$C, B81)</f>
        <v>5</v>
      </c>
      <c r="D81" s="6">
        <f>COUNTIFS(Problems!$C:$C, B81, Problems!$G:$G, "&lt;&gt;UNKNOWN")</f>
        <v>5</v>
      </c>
      <c r="E81" s="6">
        <f>COUNTIFS(Problems!$C:$C, B81, Problems!$A:$A, "Solved")</f>
        <v>0</v>
      </c>
      <c r="F81" s="15">
        <f>IF(C81&gt;0, E81/C81, 0)</f>
        <v>0</v>
      </c>
      <c r="G81" s="16">
        <f>AVERAGEIF(Problems!$C:$C, B81, Problems!$H:$H)</f>
        <v>2120</v>
      </c>
    </row>
    <row r="82" spans="1:7" ht="20.100000000000001" customHeight="1">
      <c r="A82" s="3" t="s">
        <v>2461</v>
      </c>
      <c r="B82" s="3" t="s">
        <v>2629</v>
      </c>
      <c r="C82" s="2">
        <f>COUNTIF(Problems!$C:$C, B82)</f>
        <v>3</v>
      </c>
      <c r="D82" s="2">
        <f>COUNTIFS(Problems!$C:$C, B82, Problems!$G:$G, "&lt;&gt;UNKNOWN")</f>
        <v>3</v>
      </c>
      <c r="E82" s="2">
        <f>COUNTIFS(Problems!$C:$C, B82, Problems!$A:$A, "Solved")</f>
        <v>0</v>
      </c>
      <c r="F82" s="13">
        <f>IF(C82&gt;0, E82/C82, 0)</f>
        <v>0</v>
      </c>
      <c r="G82" s="14">
        <f>AVERAGEIF(Problems!$C:$C, B82, Problems!$H:$H)</f>
        <v>1633.3333333333333</v>
      </c>
    </row>
    <row r="83" spans="1:7" ht="20.100000000000001" customHeight="1">
      <c r="A83" s="7" t="s">
        <v>2461</v>
      </c>
      <c r="B83" s="7" t="s">
        <v>2639</v>
      </c>
      <c r="C83" s="6">
        <f>COUNTIF(Problems!$C:$C, B83)</f>
        <v>6</v>
      </c>
      <c r="D83" s="6">
        <f>COUNTIFS(Problems!$C:$C, B83, Problems!$G:$G, "&lt;&gt;UNKNOWN")</f>
        <v>6</v>
      </c>
      <c r="E83" s="6">
        <f>COUNTIFS(Problems!$C:$C, B83, Problems!$A:$A, "Solved")</f>
        <v>0</v>
      </c>
      <c r="F83" s="15">
        <f>IF(C83&gt;0, E83/C83, 0)</f>
        <v>0</v>
      </c>
      <c r="G83" s="16">
        <f>AVERAGEIF(Problems!$C:$C, B83, Problems!$H:$H)</f>
        <v>1950</v>
      </c>
    </row>
    <row r="84" spans="1:7" ht="20.100000000000001" customHeight="1">
      <c r="A84" s="3" t="s">
        <v>2461</v>
      </c>
      <c r="B84" s="3" t="s">
        <v>2663</v>
      </c>
      <c r="C84" s="2">
        <f>COUNTIF(Problems!$C:$C, B84)</f>
        <v>2</v>
      </c>
      <c r="D84" s="2">
        <f>COUNTIFS(Problems!$C:$C, B84, Problems!$G:$G, "&lt;&gt;UNKNOWN")</f>
        <v>2</v>
      </c>
      <c r="E84" s="2">
        <f>COUNTIFS(Problems!$C:$C, B84, Problems!$A:$A, "Solved")</f>
        <v>0</v>
      </c>
      <c r="F84" s="13">
        <f>IF(C84&gt;0, E84/C84, 0)</f>
        <v>0</v>
      </c>
      <c r="G84" s="14">
        <f>AVERAGEIF(Problems!$C:$C, B84, Problems!$H:$H)</f>
        <v>1850</v>
      </c>
    </row>
    <row r="85" spans="1:7" ht="20.100000000000001" customHeight="1">
      <c r="A85" s="7" t="s">
        <v>2461</v>
      </c>
      <c r="B85" s="7" t="s">
        <v>2671</v>
      </c>
      <c r="C85" s="6">
        <f>COUNTIF(Problems!$C:$C, B85)</f>
        <v>5</v>
      </c>
      <c r="D85" s="6">
        <f>COUNTIFS(Problems!$C:$C, B85, Problems!$G:$G, "&lt;&gt;UNKNOWN")</f>
        <v>5</v>
      </c>
      <c r="E85" s="6">
        <f>COUNTIFS(Problems!$C:$C, B85, Problems!$A:$A, "Solved")</f>
        <v>0</v>
      </c>
      <c r="F85" s="15">
        <f>IF(C85&gt;0, E85/C85, 0)</f>
        <v>0</v>
      </c>
      <c r="G85" s="16">
        <f>AVERAGEIF(Problems!$C:$C, B85, Problems!$H:$H)</f>
        <v>2520</v>
      </c>
    </row>
    <row r="86" spans="1:7" ht="20.100000000000001" customHeight="1">
      <c r="A86" s="3" t="s">
        <v>2690</v>
      </c>
      <c r="B86" s="3" t="s">
        <v>2691</v>
      </c>
      <c r="C86" s="2">
        <f>COUNTIF(Problems!$C:$C, B86)</f>
        <v>1</v>
      </c>
      <c r="D86" s="2">
        <f>COUNTIFS(Problems!$C:$C, B86, Problems!$G:$G, "&lt;&gt;UNKNOWN")</f>
        <v>1</v>
      </c>
      <c r="E86" s="2">
        <f>COUNTIFS(Problems!$C:$C, B86, Problems!$A:$A, "Solved")</f>
        <v>0</v>
      </c>
      <c r="F86" s="13">
        <f>IF(C86&gt;0, E86/C86, 0)</f>
        <v>0</v>
      </c>
      <c r="G86" s="14">
        <f>AVERAGEIF(Problems!$C:$C, B86, Problems!$H:$H)</f>
        <v>1800</v>
      </c>
    </row>
    <row r="87" spans="1:7" ht="20.100000000000001" customHeight="1">
      <c r="A87" s="7" t="s">
        <v>2690</v>
      </c>
      <c r="B87" s="7" t="s">
        <v>2695</v>
      </c>
      <c r="C87" s="6">
        <f>COUNTIF(Problems!$C:$C, B87)</f>
        <v>1</v>
      </c>
      <c r="D87" s="6">
        <f>COUNTIFS(Problems!$C:$C, B87, Problems!$G:$G, "&lt;&gt;UNKNOWN")</f>
        <v>1</v>
      </c>
      <c r="E87" s="6">
        <f>COUNTIFS(Problems!$C:$C, B87, Problems!$A:$A, "Solved")</f>
        <v>0</v>
      </c>
      <c r="F87" s="15">
        <f>IF(C87&gt;0, E87/C87, 0)</f>
        <v>0</v>
      </c>
      <c r="G87" s="16">
        <f>AVERAGEIF(Problems!$C:$C, B87, Problems!$H:$H)</f>
        <v>2400</v>
      </c>
    </row>
    <row r="88" spans="1:7" ht="20.100000000000001" customHeight="1">
      <c r="A88" s="3" t="s">
        <v>2690</v>
      </c>
      <c r="B88" s="3" t="s">
        <v>2700</v>
      </c>
      <c r="C88" s="2">
        <f>COUNTIF(Problems!$C:$C, B88)</f>
        <v>5</v>
      </c>
      <c r="D88" s="2">
        <f>COUNTIFS(Problems!$C:$C, B88, Problems!$G:$G, "&lt;&gt;UNKNOWN")</f>
        <v>5</v>
      </c>
      <c r="E88" s="2">
        <f>COUNTIFS(Problems!$C:$C, B88, Problems!$A:$A, "Solved")</f>
        <v>0</v>
      </c>
      <c r="F88" s="13">
        <f>IF(C88&gt;0, E88/C88, 0)</f>
        <v>0</v>
      </c>
      <c r="G88" s="14">
        <f>AVERAGEIF(Problems!$C:$C, B88, Problems!$H:$H)</f>
        <v>2400</v>
      </c>
    </row>
    <row r="89" spans="1:7" ht="20.100000000000001" customHeight="1">
      <c r="A89" s="7" t="s">
        <v>2718</v>
      </c>
      <c r="B89" s="7" t="s">
        <v>2719</v>
      </c>
      <c r="C89" s="6">
        <f>COUNTIF(Problems!$C:$C, B89)</f>
        <v>9</v>
      </c>
      <c r="D89" s="6">
        <f>COUNTIFS(Problems!$C:$C, B89, Problems!$G:$G, "&lt;&gt;UNKNOWN")</f>
        <v>9</v>
      </c>
      <c r="E89" s="6">
        <f>COUNTIFS(Problems!$C:$C, B89, Problems!$A:$A, "Solved")</f>
        <v>0</v>
      </c>
      <c r="F89" s="15">
        <f>IF(C89&gt;0, E89/C89, 0)</f>
        <v>0</v>
      </c>
      <c r="G89" s="16">
        <f>AVERAGEIF(Problems!$C:$C, B89, Problems!$H:$H)</f>
        <v>2122.2222222222222</v>
      </c>
    </row>
    <row r="90" spans="1:7" ht="20.100000000000001" customHeight="1">
      <c r="A90" s="3" t="s">
        <v>2718</v>
      </c>
      <c r="B90" s="3" t="s">
        <v>2750</v>
      </c>
      <c r="C90" s="2">
        <f>COUNTIF(Problems!$C:$C, B90)</f>
        <v>2</v>
      </c>
      <c r="D90" s="2">
        <f>COUNTIFS(Problems!$C:$C, B90, Problems!$G:$G, "&lt;&gt;UNKNOWN")</f>
        <v>2</v>
      </c>
      <c r="E90" s="2">
        <f>COUNTIFS(Problems!$C:$C, B90, Problems!$A:$A, "Solved")</f>
        <v>0</v>
      </c>
      <c r="F90" s="13">
        <f>IF(C90&gt;0, E90/C90, 0)</f>
        <v>0</v>
      </c>
      <c r="G90" s="14">
        <f>AVERAGEIF(Problems!$C:$C, B90, Problems!$H:$H)</f>
        <v>2250</v>
      </c>
    </row>
    <row r="91" spans="1:7" ht="20.100000000000001" customHeight="1">
      <c r="A91" s="7" t="s">
        <v>2718</v>
      </c>
      <c r="B91" s="7" t="s">
        <v>2758</v>
      </c>
      <c r="C91" s="6">
        <f>COUNTIF(Problems!$C:$C, B91)</f>
        <v>3</v>
      </c>
      <c r="D91" s="6">
        <f>COUNTIFS(Problems!$C:$C, B91, Problems!$G:$G, "&lt;&gt;UNKNOWN")</f>
        <v>3</v>
      </c>
      <c r="E91" s="6">
        <f>COUNTIFS(Problems!$C:$C, B91, Problems!$A:$A, "Solved")</f>
        <v>0</v>
      </c>
      <c r="F91" s="15">
        <f>IF(C91&gt;0, E91/C91, 0)</f>
        <v>0</v>
      </c>
      <c r="G91" s="16">
        <f>AVERAGEIF(Problems!$C:$C, B91, Problems!$H:$H)</f>
        <v>2333.3333333333335</v>
      </c>
    </row>
    <row r="92" spans="1:7" ht="20.100000000000001" customHeight="1">
      <c r="A92" s="3" t="s">
        <v>2718</v>
      </c>
      <c r="B92" s="3" t="s">
        <v>2769</v>
      </c>
      <c r="C92" s="2">
        <f>COUNTIF(Problems!$C:$C, B92)</f>
        <v>4</v>
      </c>
      <c r="D92" s="2">
        <f>COUNTIFS(Problems!$C:$C, B92, Problems!$G:$G, "&lt;&gt;UNKNOWN")</f>
        <v>4</v>
      </c>
      <c r="E92" s="2">
        <f>COUNTIFS(Problems!$C:$C, B92, Problems!$A:$A, "Solved")</f>
        <v>0</v>
      </c>
      <c r="F92" s="13">
        <f>IF(C92&gt;0, E92/C92, 0)</f>
        <v>0</v>
      </c>
      <c r="G92" s="14">
        <f>AVERAGEIF(Problems!$C:$C, B92, Problems!$H:$H)</f>
        <v>2175</v>
      </c>
    </row>
    <row r="93" spans="1:7" ht="20.100000000000001" customHeight="1">
      <c r="A93" s="7" t="s">
        <v>2718</v>
      </c>
      <c r="B93" s="7" t="s">
        <v>2785</v>
      </c>
      <c r="C93" s="6">
        <f>COUNTIF(Problems!$C:$C, B93)</f>
        <v>5</v>
      </c>
      <c r="D93" s="6">
        <f>COUNTIFS(Problems!$C:$C, B93, Problems!$G:$G, "&lt;&gt;UNKNOWN")</f>
        <v>4</v>
      </c>
      <c r="E93" s="6">
        <f>COUNTIFS(Problems!$C:$C, B93, Problems!$A:$A, "Solved")</f>
        <v>0</v>
      </c>
      <c r="F93" s="15">
        <f>IF(C93&gt;0, E93/C93, 0)</f>
        <v>0</v>
      </c>
      <c r="G93" s="16">
        <f>AVERAGEIF(Problems!$C:$C, B93, Problems!$H:$H)</f>
        <v>2525</v>
      </c>
    </row>
    <row r="94" spans="1:7" ht="20.100000000000001" customHeight="1">
      <c r="A94" s="3" t="s">
        <v>2718</v>
      </c>
      <c r="B94" s="3" t="s">
        <v>2803</v>
      </c>
      <c r="C94" s="2">
        <f>COUNTIF(Problems!$C:$C, B94)</f>
        <v>2</v>
      </c>
      <c r="D94" s="2">
        <f>COUNTIFS(Problems!$C:$C, B94, Problems!$G:$G, "&lt;&gt;UNKNOWN")</f>
        <v>2</v>
      </c>
      <c r="E94" s="2">
        <f>COUNTIFS(Problems!$C:$C, B94, Problems!$A:$A, "Solved")</f>
        <v>0</v>
      </c>
      <c r="F94" s="13">
        <f>IF(C94&gt;0, E94/C94, 0)</f>
        <v>0</v>
      </c>
      <c r="G94" s="14">
        <f>AVERAGEIF(Problems!$C:$C, B94, Problems!$H:$H)</f>
        <v>1950</v>
      </c>
    </row>
    <row r="95" spans="1:7" ht="20.100000000000001" customHeight="1">
      <c r="A95" s="7" t="s">
        <v>2811</v>
      </c>
      <c r="B95" s="7" t="s">
        <v>2812</v>
      </c>
      <c r="C95" s="6">
        <f>COUNTIF(Problems!$C:$C, B95)</f>
        <v>1</v>
      </c>
      <c r="D95" s="6">
        <f>COUNTIFS(Problems!$C:$C, B95, Problems!$G:$G, "&lt;&gt;UNKNOWN")</f>
        <v>1</v>
      </c>
      <c r="E95" s="6">
        <f>COUNTIFS(Problems!$C:$C, B95, Problems!$A:$A, "Solved")</f>
        <v>0</v>
      </c>
      <c r="F95" s="15">
        <f>IF(C95&gt;0, E95/C95, 0)</f>
        <v>0</v>
      </c>
      <c r="G95" s="16">
        <f>AVERAGEIF(Problems!$C:$C, B95, Problems!$H:$H)</f>
        <v>1900</v>
      </c>
    </row>
    <row r="96" spans="1:7" ht="20.100000000000001" customHeight="1">
      <c r="A96" s="3" t="s">
        <v>2811</v>
      </c>
      <c r="B96" s="3" t="s">
        <v>2816</v>
      </c>
      <c r="C96" s="2">
        <f>COUNTIF(Problems!$C:$C, B96)</f>
        <v>1</v>
      </c>
      <c r="D96" s="2">
        <f>COUNTIFS(Problems!$C:$C, B96, Problems!$G:$G, "&lt;&gt;UNKNOWN")</f>
        <v>1</v>
      </c>
      <c r="E96" s="2">
        <f>COUNTIFS(Problems!$C:$C, B96, Problems!$A:$A, "Solved")</f>
        <v>0</v>
      </c>
      <c r="F96" s="13">
        <f>IF(C96&gt;0, E96/C96, 0)</f>
        <v>0</v>
      </c>
      <c r="G96" s="14">
        <f>AVERAGEIF(Problems!$C:$C, B96, Problems!$H:$H)</f>
        <v>1900</v>
      </c>
    </row>
    <row r="97" spans="1:7" ht="20.100000000000001" customHeight="1">
      <c r="A97" s="7" t="s">
        <v>2811</v>
      </c>
      <c r="B97" s="7" t="s">
        <v>2820</v>
      </c>
      <c r="C97" s="6">
        <f>COUNTIF(Problems!$C:$C, B97)</f>
        <v>1</v>
      </c>
      <c r="D97" s="6">
        <f>COUNTIFS(Problems!$C:$C, B97, Problems!$G:$G, "&lt;&gt;UNKNOWN")</f>
        <v>1</v>
      </c>
      <c r="E97" s="6">
        <f>COUNTIFS(Problems!$C:$C, B97, Problems!$A:$A, "Solved")</f>
        <v>0</v>
      </c>
      <c r="F97" s="15">
        <f>IF(C97&gt;0, E97/C97, 0)</f>
        <v>0</v>
      </c>
      <c r="G97" s="16">
        <f>AVERAGEIF(Problems!$C:$C, B97, Problems!$H:$H)</f>
        <v>1900</v>
      </c>
    </row>
    <row r="98" spans="1:7" ht="20.100000000000001" customHeight="1">
      <c r="A98" s="3" t="s">
        <v>2811</v>
      </c>
      <c r="B98" s="3" t="s">
        <v>2824</v>
      </c>
      <c r="C98" s="2">
        <f>COUNTIF(Problems!$C:$C, B98)</f>
        <v>2</v>
      </c>
      <c r="D98" s="2">
        <f>COUNTIFS(Problems!$C:$C, B98, Problems!$G:$G, "&lt;&gt;UNKNOWN")</f>
        <v>2</v>
      </c>
      <c r="E98" s="2">
        <f>COUNTIFS(Problems!$C:$C, B98, Problems!$A:$A, "Solved")</f>
        <v>0</v>
      </c>
      <c r="F98" s="13">
        <f>IF(C98&gt;0, E98/C98, 0)</f>
        <v>0</v>
      </c>
      <c r="G98" s="14">
        <f>AVERAGEIF(Problems!$C:$C, B98, Problems!$H:$H)</f>
        <v>2200</v>
      </c>
    </row>
    <row r="99" spans="1:7" ht="20.100000000000001" customHeight="1">
      <c r="A99" s="7" t="s">
        <v>2811</v>
      </c>
      <c r="B99" s="7" t="s">
        <v>2831</v>
      </c>
      <c r="C99" s="6">
        <f>COUNTIF(Problems!$C:$C, B99)</f>
        <v>2</v>
      </c>
      <c r="D99" s="6">
        <f>COUNTIFS(Problems!$C:$C, B99, Problems!$G:$G, "&lt;&gt;UNKNOWN")</f>
        <v>2</v>
      </c>
      <c r="E99" s="6">
        <f>COUNTIFS(Problems!$C:$C, B99, Problems!$A:$A, "Solved")</f>
        <v>0</v>
      </c>
      <c r="F99" s="15">
        <f>IF(C99&gt;0, E99/C99, 0)</f>
        <v>0</v>
      </c>
      <c r="G99" s="16">
        <f>AVERAGEIF(Problems!$C:$C, B99, Problems!$H:$H)</f>
        <v>2200</v>
      </c>
    </row>
    <row r="100" spans="1:7" ht="20.100000000000001" customHeight="1">
      <c r="A100" s="3" t="s">
        <v>2811</v>
      </c>
      <c r="B100" s="3" t="s">
        <v>2838</v>
      </c>
      <c r="C100" s="2">
        <f>COUNTIF(Problems!$C:$C, B100)</f>
        <v>2</v>
      </c>
      <c r="D100" s="2">
        <f>COUNTIFS(Problems!$C:$C, B100, Problems!$G:$G, "&lt;&gt;UNKNOWN")</f>
        <v>2</v>
      </c>
      <c r="E100" s="2">
        <f>COUNTIFS(Problems!$C:$C, B100, Problems!$A:$A, "Solved")</f>
        <v>0</v>
      </c>
      <c r="F100" s="13">
        <f>IF(C100&gt;0, E100/C100, 0)</f>
        <v>0</v>
      </c>
      <c r="G100" s="14">
        <f>AVERAGEIF(Problems!$C:$C, B100, Problems!$H:$H)</f>
        <v>1650</v>
      </c>
    </row>
    <row r="101" spans="1:7" ht="20.100000000000001" customHeight="1">
      <c r="A101" s="7" t="s">
        <v>2811</v>
      </c>
      <c r="B101" s="7" t="s">
        <v>2846</v>
      </c>
      <c r="C101" s="6">
        <f>COUNTIF(Problems!$C:$C, B101)</f>
        <v>5</v>
      </c>
      <c r="D101" s="6">
        <f>COUNTIFS(Problems!$C:$C, B101, Problems!$G:$G, "&lt;&gt;UNKNOWN")</f>
        <v>4</v>
      </c>
      <c r="E101" s="6">
        <f>COUNTIFS(Problems!$C:$C, B101, Problems!$A:$A, "Solved")</f>
        <v>0</v>
      </c>
      <c r="F101" s="15">
        <f>IF(C101&gt;0, E101/C101, 0)</f>
        <v>0</v>
      </c>
      <c r="G101" s="16">
        <f>AVERAGEIF(Problems!$C:$C, B101, Problems!$H:$H)</f>
        <v>1475</v>
      </c>
    </row>
    <row r="102" spans="1:7" ht="20.100000000000001" customHeight="1">
      <c r="A102" s="3" t="s">
        <v>2811</v>
      </c>
      <c r="B102" s="3" t="s">
        <v>2864</v>
      </c>
      <c r="C102" s="2">
        <f>COUNTIF(Problems!$C:$C, B102)</f>
        <v>4</v>
      </c>
      <c r="D102" s="2">
        <f>COUNTIFS(Problems!$C:$C, B102, Problems!$G:$G, "&lt;&gt;UNKNOWN")</f>
        <v>4</v>
      </c>
      <c r="E102" s="2">
        <f>COUNTIFS(Problems!$C:$C, B102, Problems!$A:$A, "Solved")</f>
        <v>0</v>
      </c>
      <c r="F102" s="13">
        <f>IF(C102&gt;0, E102/C102, 0)</f>
        <v>0</v>
      </c>
      <c r="G102" s="14">
        <f>AVERAGEIF(Problems!$C:$C, B102, Problems!$H:$H)</f>
        <v>2125</v>
      </c>
    </row>
    <row r="103" spans="1:7" ht="20.100000000000001" customHeight="1">
      <c r="A103" s="7" t="s">
        <v>2880</v>
      </c>
      <c r="B103" s="7" t="s">
        <v>2881</v>
      </c>
      <c r="C103" s="6">
        <f>COUNTIF(Problems!$C:$C, B103)</f>
        <v>6</v>
      </c>
      <c r="D103" s="6">
        <f>COUNTIFS(Problems!$C:$C, B103, Problems!$G:$G, "&lt;&gt;UNKNOWN")</f>
        <v>6</v>
      </c>
      <c r="E103" s="6">
        <f>COUNTIFS(Problems!$C:$C, B103, Problems!$A:$A, "Solved")</f>
        <v>0</v>
      </c>
      <c r="F103" s="15">
        <f>IF(C103&gt;0, E103/C103, 0)</f>
        <v>0</v>
      </c>
      <c r="G103" s="16">
        <f>AVERAGEIF(Problems!$C:$C, B103, Problems!$H:$H)</f>
        <v>2166.6666666666665</v>
      </c>
    </row>
    <row r="104" spans="1:7" ht="20.100000000000001" customHeight="1">
      <c r="A104" s="3" t="s">
        <v>2880</v>
      </c>
      <c r="B104" s="3" t="s">
        <v>2904</v>
      </c>
      <c r="C104" s="2">
        <f>COUNTIF(Problems!$C:$C, B104)</f>
        <v>3</v>
      </c>
      <c r="D104" s="2">
        <f>COUNTIFS(Problems!$C:$C, B104, Problems!$G:$G, "&lt;&gt;UNKNOWN")</f>
        <v>3</v>
      </c>
      <c r="E104" s="2">
        <f>COUNTIFS(Problems!$C:$C, B104, Problems!$A:$A, "Solved")</f>
        <v>0</v>
      </c>
      <c r="F104" s="13">
        <f>IF(C104&gt;0, E104/C104, 0)</f>
        <v>0</v>
      </c>
      <c r="G104" s="14">
        <f>AVERAGEIF(Problems!$C:$C, B104, Problems!$H:$H)</f>
        <v>1400</v>
      </c>
    </row>
    <row r="105" spans="1:7" ht="20.100000000000001" customHeight="1">
      <c r="A105" s="7" t="s">
        <v>2880</v>
      </c>
      <c r="B105" s="7" t="s">
        <v>2915</v>
      </c>
      <c r="C105" s="6">
        <f>COUNTIF(Problems!$C:$C, B105)</f>
        <v>3</v>
      </c>
      <c r="D105" s="6">
        <f>COUNTIFS(Problems!$C:$C, B105, Problems!$G:$G, "&lt;&gt;UNKNOWN")</f>
        <v>3</v>
      </c>
      <c r="E105" s="6">
        <f>COUNTIFS(Problems!$C:$C, B105, Problems!$A:$A, "Solved")</f>
        <v>0</v>
      </c>
      <c r="F105" s="15">
        <f>IF(C105&gt;0, E105/C105, 0)</f>
        <v>0</v>
      </c>
      <c r="G105" s="16">
        <f>AVERAGEIF(Problems!$C:$C, B105, Problems!$H:$H)</f>
        <v>1800</v>
      </c>
    </row>
    <row r="106" spans="1:7" ht="20.100000000000001" customHeight="1">
      <c r="A106" s="3" t="s">
        <v>2880</v>
      </c>
      <c r="B106" s="3" t="s">
        <v>2928</v>
      </c>
      <c r="C106" s="2">
        <f>COUNTIF(Problems!$C:$C, B106)</f>
        <v>4</v>
      </c>
      <c r="D106" s="2">
        <f>COUNTIFS(Problems!$C:$C, B106, Problems!$G:$G, "&lt;&gt;UNKNOWN")</f>
        <v>3</v>
      </c>
      <c r="E106" s="2">
        <f>COUNTIFS(Problems!$C:$C, B106, Problems!$A:$A, "Solved")</f>
        <v>0</v>
      </c>
      <c r="F106" s="13">
        <f>IF(C106&gt;0, E106/C106, 0)</f>
        <v>0</v>
      </c>
      <c r="G106" s="14">
        <f>AVERAGEIF(Problems!$C:$C, B106, Problems!$H:$H)</f>
        <v>933.33333333333337</v>
      </c>
    </row>
    <row r="107" spans="1:7" ht="20.100000000000001" customHeight="1">
      <c r="A107" s="7" t="s">
        <v>2880</v>
      </c>
      <c r="B107" s="7" t="s">
        <v>2941</v>
      </c>
      <c r="C107" s="6">
        <f>COUNTIF(Problems!$C:$C, B107)</f>
        <v>9</v>
      </c>
      <c r="D107" s="6">
        <f>COUNTIFS(Problems!$C:$C, B107, Problems!$G:$G, "&lt;&gt;UNKNOWN")</f>
        <v>9</v>
      </c>
      <c r="E107" s="6">
        <f>COUNTIFS(Problems!$C:$C, B107, Problems!$A:$A, "Solved")</f>
        <v>0</v>
      </c>
      <c r="F107" s="15">
        <f>IF(C107&gt;0, E107/C107, 0)</f>
        <v>0</v>
      </c>
      <c r="G107" s="16">
        <f>AVERAGEIF(Problems!$C:$C, B107, Problems!$H:$H)</f>
        <v>2222.2222222222222</v>
      </c>
    </row>
  </sheetData>
  <autoFilter ref="A1:G10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5"/>
  <cols>
    <col min="1" max="1" width="51" customWidth="1"/>
    <col min="2" max="2" width="46" customWidth="1"/>
    <col min="3" max="3" width="52" customWidth="1"/>
  </cols>
  <sheetData>
    <row r="1" spans="1:3" ht="30" customHeight="1">
      <c r="A1" s="17" t="s">
        <v>2988</v>
      </c>
    </row>
    <row r="3" spans="1:3" ht="24.95" customHeight="1">
      <c r="A3" s="1" t="s">
        <v>2989</v>
      </c>
      <c r="B3" s="1" t="s">
        <v>2990</v>
      </c>
      <c r="C3" s="1" t="s">
        <v>2991</v>
      </c>
    </row>
    <row r="4" spans="1:3" ht="21.95" customHeight="1">
      <c r="A4" s="18" t="s">
        <v>2980</v>
      </c>
      <c r="B4" s="19">
        <f>COUNTA(Problems!D2:D10000)</f>
        <v>792</v>
      </c>
      <c r="C4" s="20" t="s">
        <v>2992</v>
      </c>
    </row>
    <row r="5" spans="1:3" ht="21.95" customHeight="1">
      <c r="A5" s="21" t="s">
        <v>2981</v>
      </c>
      <c r="B5" s="22">
        <f>COUNTIF(Problems!G2:G10000, "&lt;&gt;UNKNOWN")</f>
        <v>9982</v>
      </c>
      <c r="C5" s="23" t="s">
        <v>2993</v>
      </c>
    </row>
    <row r="6" spans="1:3" ht="21.95" customHeight="1">
      <c r="A6" s="18" t="s">
        <v>2994</v>
      </c>
      <c r="B6" s="19">
        <f>COUNTIF(Problems!A2:A10000, "Solved")</f>
        <v>0</v>
      </c>
      <c r="C6" s="20" t="s">
        <v>2995</v>
      </c>
    </row>
    <row r="7" spans="1:3" ht="21.95" customHeight="1">
      <c r="A7" s="21" t="s">
        <v>2996</v>
      </c>
      <c r="B7" s="22">
        <f>B4-B6</f>
        <v>792</v>
      </c>
      <c r="C7" s="23" t="s">
        <v>2997</v>
      </c>
    </row>
    <row r="8" spans="1:3" ht="21.95" customHeight="1">
      <c r="A8" s="18" t="s">
        <v>2998</v>
      </c>
      <c r="B8" s="19">
        <f>SUM(Problems!L2:L10000)</f>
        <v>37390</v>
      </c>
      <c r="C8" s="20" t="s">
        <v>2999</v>
      </c>
    </row>
    <row r="9" spans="1:3" ht="21.95" customHeight="1">
      <c r="A9" s="21" t="s">
        <v>3000</v>
      </c>
      <c r="B9" s="24">
        <f>AVERAGE(Problems!H2:H10000)</f>
        <v>1587.3548387096773</v>
      </c>
      <c r="C9" s="23" t="s">
        <v>3001</v>
      </c>
    </row>
    <row r="10" spans="1:3" ht="21.95" customHeight="1">
      <c r="A10" s="18" t="s">
        <v>3002</v>
      </c>
      <c r="B10" s="25">
        <f>MAX(Problems!H2:H10000)</f>
        <v>3300</v>
      </c>
      <c r="C10" s="20" t="s">
        <v>3003</v>
      </c>
    </row>
    <row r="11" spans="1:3" ht="21.95" customHeight="1">
      <c r="A11" s="21" t="s">
        <v>3004</v>
      </c>
      <c r="B11" s="24">
        <f>MIN(Problems!H2:H10000)</f>
        <v>800</v>
      </c>
      <c r="C11" s="23" t="s">
        <v>3005</v>
      </c>
    </row>
    <row r="12" spans="1:3" ht="21.95" customHeight="1">
      <c r="A12" s="18" t="s">
        <v>3006</v>
      </c>
      <c r="B12" s="25">
        <f>AVERAGE(Problems!K2:K10000)</f>
        <v>53.800505050505052</v>
      </c>
      <c r="C12" s="20" t="s">
        <v>3007</v>
      </c>
    </row>
    <row r="13" spans="1:3" ht="21.95" customHeight="1">
      <c r="A13" s="21" t="s">
        <v>3008</v>
      </c>
      <c r="B13" s="26">
        <f>AVERAGE('Kingdom Summary'!F2:F100)</f>
        <v>0</v>
      </c>
      <c r="C13" s="23" t="s">
        <v>3009</v>
      </c>
    </row>
    <row r="14" spans="1:3" ht="21.95" customHeight="1">
      <c r="A14" s="18" t="s">
        <v>3010</v>
      </c>
      <c r="B14" s="27">
        <f>AVERAGE('Pattern Summary'!F2:F500)</f>
        <v>0</v>
      </c>
      <c r="C14" s="20" t="s">
        <v>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7"/>
  <sheetViews>
    <sheetView tabSelected="1" workbookViewId="0"/>
  </sheetViews>
  <sheetFormatPr defaultRowHeight="15"/>
  <cols>
    <col min="1" max="2" width="69" customWidth="1"/>
    <col min="3" max="3" width="25" customWidth="1"/>
    <col min="4" max="4" width="20" customWidth="1"/>
  </cols>
  <sheetData>
    <row r="1" spans="1:4" ht="30" customHeight="1">
      <c r="A1" s="17" t="s">
        <v>3012</v>
      </c>
    </row>
    <row r="3" spans="1:4">
      <c r="A3" s="28" t="s">
        <v>3013</v>
      </c>
      <c r="B3" s="29" t="s">
        <v>3014</v>
      </c>
    </row>
    <row r="4" spans="1:4">
      <c r="A4" s="28" t="s">
        <v>3015</v>
      </c>
      <c r="B4" s="29" t="s">
        <v>3014</v>
      </c>
    </row>
    <row r="6" spans="1:4">
      <c r="A6" s="30" t="s">
        <v>3016</v>
      </c>
      <c r="B6" s="30" t="s">
        <v>3017</v>
      </c>
      <c r="C6" s="30" t="s">
        <v>10</v>
      </c>
      <c r="D6" s="30" t="s">
        <v>3018</v>
      </c>
    </row>
    <row r="7" spans="1:4">
      <c r="A7" s="31" t="s">
        <v>3019</v>
      </c>
      <c r="B7" s="31" t="s">
        <v>20</v>
      </c>
      <c r="C7" s="31">
        <v>15</v>
      </c>
      <c r="D7" s="31">
        <v>10</v>
      </c>
    </row>
    <row r="8" spans="1:4">
      <c r="A8" s="32" t="s">
        <v>3020</v>
      </c>
      <c r="B8" s="32" t="s">
        <v>43</v>
      </c>
      <c r="C8" s="32">
        <v>25</v>
      </c>
      <c r="D8" s="32">
        <v>20</v>
      </c>
    </row>
    <row r="9" spans="1:4">
      <c r="A9" s="31" t="s">
        <v>3021</v>
      </c>
      <c r="B9" s="31" t="s">
        <v>163</v>
      </c>
      <c r="C9" s="31">
        <v>40</v>
      </c>
      <c r="D9" s="31">
        <v>35</v>
      </c>
    </row>
    <row r="10" spans="1:4">
      <c r="A10" s="32" t="s">
        <v>3022</v>
      </c>
      <c r="B10" s="32" t="s">
        <v>418</v>
      </c>
      <c r="C10" s="32">
        <v>60</v>
      </c>
      <c r="D10" s="32">
        <v>55</v>
      </c>
    </row>
    <row r="11" spans="1:4">
      <c r="A11" s="31" t="s">
        <v>3023</v>
      </c>
      <c r="B11" s="31" t="s">
        <v>386</v>
      </c>
      <c r="C11" s="31">
        <v>90</v>
      </c>
      <c r="D11" s="31">
        <v>80</v>
      </c>
    </row>
    <row r="12" spans="1:4">
      <c r="A12" s="32" t="s">
        <v>3024</v>
      </c>
      <c r="B12" s="32" t="s">
        <v>523</v>
      </c>
      <c r="C12" s="32">
        <v>120</v>
      </c>
      <c r="D12" s="32">
        <v>110</v>
      </c>
    </row>
    <row r="13" spans="1:4">
      <c r="A13" s="31" t="s">
        <v>3025</v>
      </c>
      <c r="B13" s="31" t="s">
        <v>659</v>
      </c>
      <c r="C13" s="31">
        <v>180</v>
      </c>
      <c r="D13" s="31">
        <v>150</v>
      </c>
    </row>
    <row r="14" spans="1:4">
      <c r="A14" s="32" t="s">
        <v>3026</v>
      </c>
      <c r="B14" s="32" t="s">
        <v>659</v>
      </c>
      <c r="C14" s="32">
        <v>240</v>
      </c>
      <c r="D14" s="32">
        <v>220</v>
      </c>
    </row>
    <row r="17" spans="1:3">
      <c r="A17" s="30" t="s">
        <v>3027</v>
      </c>
      <c r="B17" s="30" t="s">
        <v>3028</v>
      </c>
      <c r="C17" s="30" t="s">
        <v>3029</v>
      </c>
    </row>
    <row r="18" spans="1:3">
      <c r="A18" s="32">
        <v>1</v>
      </c>
      <c r="B18" s="33" t="s">
        <v>15</v>
      </c>
      <c r="C18" s="32">
        <v>6</v>
      </c>
    </row>
    <row r="19" spans="1:3">
      <c r="A19" s="31">
        <v>2</v>
      </c>
      <c r="B19" s="34" t="s">
        <v>555</v>
      </c>
      <c r="C19" s="31">
        <v>4</v>
      </c>
    </row>
    <row r="20" spans="1:3">
      <c r="A20" s="32">
        <v>3</v>
      </c>
      <c r="B20" s="33" t="s">
        <v>700</v>
      </c>
      <c r="C20" s="32">
        <v>4</v>
      </c>
    </row>
    <row r="21" spans="1:3">
      <c r="A21" s="31">
        <v>4</v>
      </c>
      <c r="B21" s="34" t="s">
        <v>825</v>
      </c>
      <c r="C21" s="31">
        <v>4</v>
      </c>
    </row>
    <row r="22" spans="1:3">
      <c r="A22" s="32">
        <v>5</v>
      </c>
      <c r="B22" s="33" t="s">
        <v>889</v>
      </c>
      <c r="C22" s="32">
        <v>5</v>
      </c>
    </row>
    <row r="23" spans="1:3">
      <c r="A23" s="31">
        <v>6</v>
      </c>
      <c r="B23" s="34" t="s">
        <v>1038</v>
      </c>
      <c r="C23" s="31">
        <v>6</v>
      </c>
    </row>
    <row r="24" spans="1:3">
      <c r="A24" s="32">
        <v>7</v>
      </c>
      <c r="B24" s="33" t="s">
        <v>1228</v>
      </c>
      <c r="C24" s="32">
        <v>4</v>
      </c>
    </row>
    <row r="25" spans="1:3">
      <c r="A25" s="31">
        <v>8</v>
      </c>
      <c r="B25" s="34" t="s">
        <v>1334</v>
      </c>
      <c r="C25" s="31">
        <v>6</v>
      </c>
    </row>
    <row r="26" spans="1:3">
      <c r="A26" s="32">
        <v>9</v>
      </c>
      <c r="B26" s="33" t="s">
        <v>1578</v>
      </c>
      <c r="C26" s="32">
        <v>4</v>
      </c>
    </row>
    <row r="27" spans="1:3">
      <c r="A27" s="31">
        <v>10</v>
      </c>
      <c r="B27" s="34" t="s">
        <v>1703</v>
      </c>
      <c r="C27" s="31">
        <v>4</v>
      </c>
    </row>
    <row r="28" spans="1:3">
      <c r="A28" s="32">
        <v>11</v>
      </c>
      <c r="B28" s="33" t="s">
        <v>1814</v>
      </c>
      <c r="C28" s="32">
        <v>4</v>
      </c>
    </row>
    <row r="29" spans="1:3">
      <c r="A29" s="31">
        <v>12</v>
      </c>
      <c r="B29" s="34" t="s">
        <v>1935</v>
      </c>
      <c r="C29" s="31">
        <v>4</v>
      </c>
    </row>
    <row r="30" spans="1:3">
      <c r="A30" s="32">
        <v>13</v>
      </c>
      <c r="B30" s="33" t="s">
        <v>2039</v>
      </c>
      <c r="C30" s="32">
        <v>6</v>
      </c>
    </row>
    <row r="31" spans="1:3">
      <c r="A31" s="31">
        <v>14</v>
      </c>
      <c r="B31" s="34" t="s">
        <v>2211</v>
      </c>
      <c r="C31" s="31">
        <v>5</v>
      </c>
    </row>
    <row r="32" spans="1:3">
      <c r="A32" s="32">
        <v>15</v>
      </c>
      <c r="B32" s="33" t="s">
        <v>2304</v>
      </c>
      <c r="C32" s="32">
        <v>4</v>
      </c>
    </row>
    <row r="33" spans="1:3">
      <c r="A33" s="31">
        <v>16</v>
      </c>
      <c r="B33" s="34" t="s">
        <v>2370</v>
      </c>
      <c r="C33" s="31">
        <v>4</v>
      </c>
    </row>
    <row r="34" spans="1:3">
      <c r="A34" s="32">
        <v>17</v>
      </c>
      <c r="B34" s="33" t="s">
        <v>2461</v>
      </c>
      <c r="C34" s="32">
        <v>10</v>
      </c>
    </row>
    <row r="35" spans="1:3">
      <c r="A35" s="31">
        <v>18</v>
      </c>
      <c r="B35" s="34" t="s">
        <v>2690</v>
      </c>
      <c r="C35" s="31">
        <v>3</v>
      </c>
    </row>
    <row r="36" spans="1:3">
      <c r="A36" s="32">
        <v>19</v>
      </c>
      <c r="B36" s="33" t="s">
        <v>2718</v>
      </c>
      <c r="C36" s="32">
        <v>6</v>
      </c>
    </row>
    <row r="37" spans="1:3">
      <c r="A37" s="31">
        <v>20</v>
      </c>
      <c r="B37" s="34" t="s">
        <v>2811</v>
      </c>
      <c r="C37" s="31">
        <v>8</v>
      </c>
    </row>
    <row r="38" spans="1:3">
      <c r="A38" s="32">
        <v>21</v>
      </c>
      <c r="B38" s="33" t="s">
        <v>2880</v>
      </c>
      <c r="C38" s="32">
        <v>5</v>
      </c>
    </row>
    <row r="41" spans="1:3">
      <c r="A41" s="30" t="s">
        <v>2978</v>
      </c>
      <c r="B41" s="30" t="s">
        <v>3030</v>
      </c>
    </row>
    <row r="42" spans="1:3">
      <c r="A42" s="33" t="s">
        <v>15</v>
      </c>
      <c r="B42" s="33" t="s">
        <v>16</v>
      </c>
    </row>
    <row r="43" spans="1:3">
      <c r="A43" s="34" t="s">
        <v>15</v>
      </c>
      <c r="B43" s="34" t="s">
        <v>152</v>
      </c>
    </row>
    <row r="44" spans="1:3">
      <c r="A44" s="33" t="s">
        <v>15</v>
      </c>
      <c r="B44" s="33" t="s">
        <v>247</v>
      </c>
    </row>
    <row r="45" spans="1:3">
      <c r="A45" s="34" t="s">
        <v>15</v>
      </c>
      <c r="B45" s="34" t="s">
        <v>358</v>
      </c>
    </row>
    <row r="46" spans="1:3">
      <c r="A46" s="33" t="s">
        <v>15</v>
      </c>
      <c r="B46" s="33" t="s">
        <v>451</v>
      </c>
    </row>
    <row r="47" spans="1:3">
      <c r="A47" s="34" t="s">
        <v>15</v>
      </c>
      <c r="B47" s="34" t="s">
        <v>509</v>
      </c>
    </row>
    <row r="48" spans="1:3">
      <c r="A48" s="33" t="s">
        <v>555</v>
      </c>
      <c r="B48" s="33" t="s">
        <v>556</v>
      </c>
    </row>
    <row r="49" spans="1:2">
      <c r="A49" s="34" t="s">
        <v>555</v>
      </c>
      <c r="B49" s="34" t="s">
        <v>593</v>
      </c>
    </row>
    <row r="50" spans="1:2">
      <c r="A50" s="33" t="s">
        <v>555</v>
      </c>
      <c r="B50" s="33" t="s">
        <v>625</v>
      </c>
    </row>
    <row r="51" spans="1:2">
      <c r="A51" s="34" t="s">
        <v>555</v>
      </c>
      <c r="B51" s="34" t="s">
        <v>674</v>
      </c>
    </row>
    <row r="52" spans="1:2">
      <c r="A52" s="33" t="s">
        <v>700</v>
      </c>
      <c r="B52" s="33" t="s">
        <v>701</v>
      </c>
    </row>
    <row r="53" spans="1:2">
      <c r="A53" s="34" t="s">
        <v>700</v>
      </c>
      <c r="B53" s="34" t="s">
        <v>746</v>
      </c>
    </row>
    <row r="54" spans="1:2">
      <c r="A54" s="33" t="s">
        <v>700</v>
      </c>
      <c r="B54" s="33" t="s">
        <v>773</v>
      </c>
    </row>
    <row r="55" spans="1:2">
      <c r="A55" s="34" t="s">
        <v>700</v>
      </c>
      <c r="B55" s="34" t="s">
        <v>801</v>
      </c>
    </row>
    <row r="56" spans="1:2">
      <c r="A56" s="33" t="s">
        <v>825</v>
      </c>
      <c r="B56" s="33" t="s">
        <v>826</v>
      </c>
    </row>
    <row r="57" spans="1:2">
      <c r="A57" s="34" t="s">
        <v>825</v>
      </c>
      <c r="B57" s="34" t="s">
        <v>841</v>
      </c>
    </row>
    <row r="58" spans="1:2">
      <c r="A58" s="33" t="s">
        <v>825</v>
      </c>
      <c r="B58" s="33" t="s">
        <v>851</v>
      </c>
    </row>
    <row r="59" spans="1:2">
      <c r="A59" s="34" t="s">
        <v>825</v>
      </c>
      <c r="B59" s="34" t="s">
        <v>865</v>
      </c>
    </row>
    <row r="60" spans="1:2">
      <c r="A60" s="33" t="s">
        <v>889</v>
      </c>
      <c r="B60" s="33" t="s">
        <v>890</v>
      </c>
    </row>
    <row r="61" spans="1:2">
      <c r="A61" s="34" t="s">
        <v>889</v>
      </c>
      <c r="B61" s="34" t="s">
        <v>910</v>
      </c>
    </row>
    <row r="62" spans="1:2">
      <c r="A62" s="33" t="s">
        <v>889</v>
      </c>
      <c r="B62" s="33" t="s">
        <v>932</v>
      </c>
    </row>
    <row r="63" spans="1:2">
      <c r="A63" s="34" t="s">
        <v>889</v>
      </c>
      <c r="B63" s="34" t="s">
        <v>976</v>
      </c>
    </row>
    <row r="64" spans="1:2">
      <c r="A64" s="33" t="s">
        <v>889</v>
      </c>
      <c r="B64" s="33" t="s">
        <v>1006</v>
      </c>
    </row>
    <row r="65" spans="1:2">
      <c r="A65" s="34" t="s">
        <v>1038</v>
      </c>
      <c r="B65" s="34" t="s">
        <v>1039</v>
      </c>
    </row>
    <row r="66" spans="1:2">
      <c r="A66" s="33" t="s">
        <v>1038</v>
      </c>
      <c r="B66" s="33" t="s">
        <v>1094</v>
      </c>
    </row>
    <row r="67" spans="1:2">
      <c r="A67" s="34" t="s">
        <v>1038</v>
      </c>
      <c r="B67" s="34" t="s">
        <v>1134</v>
      </c>
    </row>
    <row r="68" spans="1:2">
      <c r="A68" s="33" t="s">
        <v>1038</v>
      </c>
      <c r="B68" s="33" t="s">
        <v>1162</v>
      </c>
    </row>
    <row r="69" spans="1:2">
      <c r="A69" s="34" t="s">
        <v>1038</v>
      </c>
      <c r="B69" s="34" t="s">
        <v>1190</v>
      </c>
    </row>
    <row r="70" spans="1:2">
      <c r="A70" s="33" t="s">
        <v>1038</v>
      </c>
      <c r="B70" s="33" t="s">
        <v>1208</v>
      </c>
    </row>
    <row r="71" spans="1:2">
      <c r="A71" s="34" t="s">
        <v>1228</v>
      </c>
      <c r="B71" s="34" t="s">
        <v>1229</v>
      </c>
    </row>
    <row r="72" spans="1:2">
      <c r="A72" s="33" t="s">
        <v>1228</v>
      </c>
      <c r="B72" s="33" t="s">
        <v>1274</v>
      </c>
    </row>
    <row r="73" spans="1:2">
      <c r="A73" s="34" t="s">
        <v>1228</v>
      </c>
      <c r="B73" s="34" t="s">
        <v>1287</v>
      </c>
    </row>
    <row r="74" spans="1:2">
      <c r="A74" s="33" t="s">
        <v>1228</v>
      </c>
      <c r="B74" s="33" t="s">
        <v>1309</v>
      </c>
    </row>
    <row r="75" spans="1:2">
      <c r="A75" s="34" t="s">
        <v>1334</v>
      </c>
      <c r="B75" s="34" t="s">
        <v>1335</v>
      </c>
    </row>
    <row r="76" spans="1:2">
      <c r="A76" s="33" t="s">
        <v>1334</v>
      </c>
      <c r="B76" s="33" t="s">
        <v>1404</v>
      </c>
    </row>
    <row r="77" spans="1:2">
      <c r="A77" s="34" t="s">
        <v>1334</v>
      </c>
      <c r="B77" s="34" t="s">
        <v>1448</v>
      </c>
    </row>
    <row r="78" spans="1:2">
      <c r="A78" s="33" t="s">
        <v>1334</v>
      </c>
      <c r="B78" s="33" t="s">
        <v>1489</v>
      </c>
    </row>
    <row r="79" spans="1:2">
      <c r="A79" s="34" t="s">
        <v>1334</v>
      </c>
      <c r="B79" s="34" t="s">
        <v>1518</v>
      </c>
    </row>
    <row r="80" spans="1:2">
      <c r="A80" s="33" t="s">
        <v>1334</v>
      </c>
      <c r="B80" s="33" t="s">
        <v>1553</v>
      </c>
    </row>
    <row r="81" spans="1:2">
      <c r="A81" s="34" t="s">
        <v>1578</v>
      </c>
      <c r="B81" s="34" t="s">
        <v>1579</v>
      </c>
    </row>
    <row r="82" spans="1:2">
      <c r="A82" s="33" t="s">
        <v>1578</v>
      </c>
      <c r="B82" s="33" t="s">
        <v>1613</v>
      </c>
    </row>
    <row r="83" spans="1:2">
      <c r="A83" s="34" t="s">
        <v>1578</v>
      </c>
      <c r="B83" s="34" t="s">
        <v>1665</v>
      </c>
    </row>
    <row r="84" spans="1:2">
      <c r="A84" s="33" t="s">
        <v>1578</v>
      </c>
      <c r="B84" s="33" t="s">
        <v>1686</v>
      </c>
    </row>
    <row r="85" spans="1:2">
      <c r="A85" s="34" t="s">
        <v>1703</v>
      </c>
      <c r="B85" s="34" t="s">
        <v>1704</v>
      </c>
    </row>
    <row r="86" spans="1:2">
      <c r="A86" s="33" t="s">
        <v>1703</v>
      </c>
      <c r="B86" s="33" t="s">
        <v>1746</v>
      </c>
    </row>
    <row r="87" spans="1:2">
      <c r="A87" s="34" t="s">
        <v>1703</v>
      </c>
      <c r="B87" s="34" t="s">
        <v>1774</v>
      </c>
    </row>
    <row r="88" spans="1:2">
      <c r="A88" s="33" t="s">
        <v>1703</v>
      </c>
      <c r="B88" s="33" t="s">
        <v>1806</v>
      </c>
    </row>
    <row r="89" spans="1:2">
      <c r="A89" s="34" t="s">
        <v>1814</v>
      </c>
      <c r="B89" s="34" t="s">
        <v>1815</v>
      </c>
    </row>
    <row r="90" spans="1:2">
      <c r="A90" s="33" t="s">
        <v>1814</v>
      </c>
      <c r="B90" s="33" t="s">
        <v>1849</v>
      </c>
    </row>
    <row r="91" spans="1:2">
      <c r="A91" s="34" t="s">
        <v>1814</v>
      </c>
      <c r="B91" s="34" t="s">
        <v>1882</v>
      </c>
    </row>
    <row r="92" spans="1:2">
      <c r="A92" s="33" t="s">
        <v>1814</v>
      </c>
      <c r="B92" s="33" t="s">
        <v>1906</v>
      </c>
    </row>
    <row r="93" spans="1:2">
      <c r="A93" s="34" t="s">
        <v>1935</v>
      </c>
      <c r="B93" s="34" t="s">
        <v>1936</v>
      </c>
    </row>
    <row r="94" spans="1:2">
      <c r="A94" s="33" t="s">
        <v>1935</v>
      </c>
      <c r="B94" s="33" t="s">
        <v>1972</v>
      </c>
    </row>
    <row r="95" spans="1:2">
      <c r="A95" s="34" t="s">
        <v>1935</v>
      </c>
      <c r="B95" s="34" t="s">
        <v>2005</v>
      </c>
    </row>
    <row r="96" spans="1:2">
      <c r="A96" s="33" t="s">
        <v>1935</v>
      </c>
      <c r="B96" s="33" t="s">
        <v>2010</v>
      </c>
    </row>
    <row r="97" spans="1:2">
      <c r="A97" s="34" t="s">
        <v>2039</v>
      </c>
      <c r="B97" s="34" t="s">
        <v>2040</v>
      </c>
    </row>
    <row r="98" spans="1:2">
      <c r="A98" s="33" t="s">
        <v>2039</v>
      </c>
      <c r="B98" s="33" t="s">
        <v>2084</v>
      </c>
    </row>
    <row r="99" spans="1:2">
      <c r="A99" s="34" t="s">
        <v>2039</v>
      </c>
      <c r="B99" s="34" t="s">
        <v>2109</v>
      </c>
    </row>
    <row r="100" spans="1:2">
      <c r="A100" s="33" t="s">
        <v>2039</v>
      </c>
      <c r="B100" s="33" t="s">
        <v>2148</v>
      </c>
    </row>
    <row r="101" spans="1:2">
      <c r="A101" s="34" t="s">
        <v>2039</v>
      </c>
      <c r="B101" s="34" t="s">
        <v>2183</v>
      </c>
    </row>
    <row r="102" spans="1:2">
      <c r="A102" s="33" t="s">
        <v>2039</v>
      </c>
      <c r="B102" s="33" t="s">
        <v>2194</v>
      </c>
    </row>
    <row r="103" spans="1:2">
      <c r="A103" s="34" t="s">
        <v>2211</v>
      </c>
      <c r="B103" s="34" t="s">
        <v>2212</v>
      </c>
    </row>
    <row r="104" spans="1:2">
      <c r="A104" s="33" t="s">
        <v>2211</v>
      </c>
      <c r="B104" s="33" t="s">
        <v>2242</v>
      </c>
    </row>
    <row r="105" spans="1:2">
      <c r="A105" s="34" t="s">
        <v>2211</v>
      </c>
      <c r="B105" s="34" t="s">
        <v>2250</v>
      </c>
    </row>
    <row r="106" spans="1:2">
      <c r="A106" s="33" t="s">
        <v>2211</v>
      </c>
      <c r="B106" s="33" t="s">
        <v>2278</v>
      </c>
    </row>
    <row r="107" spans="1:2">
      <c r="A107" s="34" t="s">
        <v>2211</v>
      </c>
      <c r="B107" s="34" t="s">
        <v>2287</v>
      </c>
    </row>
    <row r="108" spans="1:2">
      <c r="A108" s="33" t="s">
        <v>2304</v>
      </c>
      <c r="B108" s="33" t="s">
        <v>2305</v>
      </c>
    </row>
    <row r="109" spans="1:2">
      <c r="A109" s="34" t="s">
        <v>2304</v>
      </c>
      <c r="B109" s="34" t="s">
        <v>2330</v>
      </c>
    </row>
    <row r="110" spans="1:2">
      <c r="A110" s="33" t="s">
        <v>2304</v>
      </c>
      <c r="B110" s="33" t="s">
        <v>2339</v>
      </c>
    </row>
    <row r="111" spans="1:2">
      <c r="A111" s="34" t="s">
        <v>2304</v>
      </c>
      <c r="B111" s="34" t="s">
        <v>2357</v>
      </c>
    </row>
    <row r="112" spans="1:2">
      <c r="A112" s="33" t="s">
        <v>2370</v>
      </c>
      <c r="B112" s="33" t="s">
        <v>2371</v>
      </c>
    </row>
    <row r="113" spans="1:2">
      <c r="A113" s="34" t="s">
        <v>2370</v>
      </c>
      <c r="B113" s="34" t="s">
        <v>2398</v>
      </c>
    </row>
    <row r="114" spans="1:2">
      <c r="A114" s="33" t="s">
        <v>2370</v>
      </c>
      <c r="B114" s="33" t="s">
        <v>2431</v>
      </c>
    </row>
    <row r="115" spans="1:2">
      <c r="A115" s="34" t="s">
        <v>2370</v>
      </c>
      <c r="B115" s="34" t="s">
        <v>2448</v>
      </c>
    </row>
    <row r="116" spans="1:2">
      <c r="A116" s="33" t="s">
        <v>2461</v>
      </c>
      <c r="B116" s="33" t="s">
        <v>2462</v>
      </c>
    </row>
    <row r="117" spans="1:2">
      <c r="A117" s="34" t="s">
        <v>2461</v>
      </c>
      <c r="B117" s="34" t="s">
        <v>2505</v>
      </c>
    </row>
    <row r="118" spans="1:2">
      <c r="A118" s="33" t="s">
        <v>2461</v>
      </c>
      <c r="B118" s="33" t="s">
        <v>2530</v>
      </c>
    </row>
    <row r="119" spans="1:2">
      <c r="A119" s="34" t="s">
        <v>2461</v>
      </c>
      <c r="B119" s="34" t="s">
        <v>2562</v>
      </c>
    </row>
    <row r="120" spans="1:2">
      <c r="A120" s="33" t="s">
        <v>2461</v>
      </c>
      <c r="B120" s="33" t="s">
        <v>2583</v>
      </c>
    </row>
    <row r="121" spans="1:2">
      <c r="A121" s="34" t="s">
        <v>2461</v>
      </c>
      <c r="B121" s="34" t="s">
        <v>2610</v>
      </c>
    </row>
    <row r="122" spans="1:2">
      <c r="A122" s="33" t="s">
        <v>2461</v>
      </c>
      <c r="B122" s="33" t="s">
        <v>2629</v>
      </c>
    </row>
    <row r="123" spans="1:2">
      <c r="A123" s="34" t="s">
        <v>2461</v>
      </c>
      <c r="B123" s="34" t="s">
        <v>2639</v>
      </c>
    </row>
    <row r="124" spans="1:2">
      <c r="A124" s="33" t="s">
        <v>2461</v>
      </c>
      <c r="B124" s="33" t="s">
        <v>2663</v>
      </c>
    </row>
    <row r="125" spans="1:2">
      <c r="A125" s="34" t="s">
        <v>2461</v>
      </c>
      <c r="B125" s="34" t="s">
        <v>2671</v>
      </c>
    </row>
    <row r="126" spans="1:2">
      <c r="A126" s="33" t="s">
        <v>2690</v>
      </c>
      <c r="B126" s="33" t="s">
        <v>2691</v>
      </c>
    </row>
    <row r="127" spans="1:2">
      <c r="A127" s="34" t="s">
        <v>2690</v>
      </c>
      <c r="B127" s="34" t="s">
        <v>2695</v>
      </c>
    </row>
    <row r="128" spans="1:2">
      <c r="A128" s="33" t="s">
        <v>2690</v>
      </c>
      <c r="B128" s="33" t="s">
        <v>2700</v>
      </c>
    </row>
    <row r="129" spans="1:2">
      <c r="A129" s="34" t="s">
        <v>2718</v>
      </c>
      <c r="B129" s="34" t="s">
        <v>2719</v>
      </c>
    </row>
    <row r="130" spans="1:2">
      <c r="A130" s="33" t="s">
        <v>2718</v>
      </c>
      <c r="B130" s="33" t="s">
        <v>2750</v>
      </c>
    </row>
    <row r="131" spans="1:2">
      <c r="A131" s="34" t="s">
        <v>2718</v>
      </c>
      <c r="B131" s="34" t="s">
        <v>2758</v>
      </c>
    </row>
    <row r="132" spans="1:2">
      <c r="A132" s="33" t="s">
        <v>2718</v>
      </c>
      <c r="B132" s="33" t="s">
        <v>2769</v>
      </c>
    </row>
    <row r="133" spans="1:2">
      <c r="A133" s="34" t="s">
        <v>2718</v>
      </c>
      <c r="B133" s="34" t="s">
        <v>2785</v>
      </c>
    </row>
    <row r="134" spans="1:2">
      <c r="A134" s="33" t="s">
        <v>2718</v>
      </c>
      <c r="B134" s="33" t="s">
        <v>2803</v>
      </c>
    </row>
    <row r="135" spans="1:2">
      <c r="A135" s="34" t="s">
        <v>2811</v>
      </c>
      <c r="B135" s="34" t="s">
        <v>2812</v>
      </c>
    </row>
    <row r="136" spans="1:2">
      <c r="A136" s="33" t="s">
        <v>2811</v>
      </c>
      <c r="B136" s="33" t="s">
        <v>2816</v>
      </c>
    </row>
    <row r="137" spans="1:2">
      <c r="A137" s="34" t="s">
        <v>2811</v>
      </c>
      <c r="B137" s="34" t="s">
        <v>2820</v>
      </c>
    </row>
    <row r="138" spans="1:2">
      <c r="A138" s="33" t="s">
        <v>2811</v>
      </c>
      <c r="B138" s="33" t="s">
        <v>2824</v>
      </c>
    </row>
    <row r="139" spans="1:2">
      <c r="A139" s="34" t="s">
        <v>2811</v>
      </c>
      <c r="B139" s="34" t="s">
        <v>2831</v>
      </c>
    </row>
    <row r="140" spans="1:2">
      <c r="A140" s="33" t="s">
        <v>2811</v>
      </c>
      <c r="B140" s="33" t="s">
        <v>2838</v>
      </c>
    </row>
    <row r="141" spans="1:2">
      <c r="A141" s="34" t="s">
        <v>2811</v>
      </c>
      <c r="B141" s="34" t="s">
        <v>2846</v>
      </c>
    </row>
    <row r="142" spans="1:2">
      <c r="A142" s="33" t="s">
        <v>2811</v>
      </c>
      <c r="B142" s="33" t="s">
        <v>2864</v>
      </c>
    </row>
    <row r="143" spans="1:2">
      <c r="A143" s="34" t="s">
        <v>2880</v>
      </c>
      <c r="B143" s="34" t="s">
        <v>2881</v>
      </c>
    </row>
    <row r="144" spans="1:2">
      <c r="A144" s="33" t="s">
        <v>2880</v>
      </c>
      <c r="B144" s="33" t="s">
        <v>2904</v>
      </c>
    </row>
    <row r="145" spans="1:2">
      <c r="A145" s="34" t="s">
        <v>2880</v>
      </c>
      <c r="B145" s="34" t="s">
        <v>2915</v>
      </c>
    </row>
    <row r="146" spans="1:2">
      <c r="A146" s="33" t="s">
        <v>2880</v>
      </c>
      <c r="B146" s="33" t="s">
        <v>2928</v>
      </c>
    </row>
    <row r="147" spans="1:2">
      <c r="A147" s="34" t="s">
        <v>2880</v>
      </c>
      <c r="B147" s="34" t="s">
        <v>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 Deva Harsha</cp:lastModifiedBy>
  <cp:revision/>
  <dcterms:created xsi:type="dcterms:W3CDTF">2026-07-29T16:22:34Z</dcterms:created>
  <dcterms:modified xsi:type="dcterms:W3CDTF">2026-07-29T17:17:06Z</dcterms:modified>
  <cp:category/>
  <cp:contentStatus/>
</cp:coreProperties>
</file>