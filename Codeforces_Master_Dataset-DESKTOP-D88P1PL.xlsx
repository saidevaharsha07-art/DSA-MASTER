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blems" sheetId="1" state="visible" r:id="rId1"/>
    <sheet name="Kingdom Summary" sheetId="2" state="visible" r:id="rId2"/>
    <sheet name="Pattern Summary" sheetId="3" state="visible" r:id="rId3"/>
    <sheet name="Statistics" sheetId="4" state="visible" r:id="rId4"/>
    <sheet name="Metadata" sheetId="5" state="visible" r:id="rId5"/>
  </sheets>
  <definedNames>
    <definedName name="_xlnm._FilterDatabase" localSheetId="0" hidden="1">'Problems'!$A$1:$N$793</definedName>
    <definedName name="_xlnm._FilterDatabase" localSheetId="1" hidden="1">'Kingdom Summary'!$A$1:$H$22</definedName>
    <definedName name="_xlnm._FilterDatabase" localSheetId="2" hidden="1">'Pattern Summary'!$A$1:$G$107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274E13"/>
      <sz val="11"/>
    </font>
    <font>
      <name val="Calibri"/>
      <color rgb="FF0563C1"/>
      <sz val="11"/>
      <u val="single"/>
    </font>
    <font>
      <name val="Calibri"/>
      <sz val="11"/>
    </font>
    <font>
      <name val="Calibri"/>
      <b val="1"/>
      <color rgb="FF7F6000"/>
      <sz val="11"/>
    </font>
    <font>
      <name val="Calibri"/>
      <b val="1"/>
      <color rgb="FF783F04"/>
      <sz val="11"/>
    </font>
    <font>
      <name val="Calibri"/>
      <i val="1"/>
      <color rgb="FF595959"/>
      <sz val="11"/>
    </font>
    <font>
      <name val="Calibri"/>
      <b val="1"/>
      <color rgb="FF660000"/>
      <sz val="11"/>
    </font>
    <font>
      <name val="Calibri"/>
      <b val="1"/>
      <color rgb="FF1F4E79"/>
      <sz val="14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10" fillId="5" borderId="1" pivotButton="0" quotePrefix="0" xfId="0"/>
    <xf numFmtId="0" fontId="10" fillId="5" borderId="1" applyAlignment="1" pivotButton="0" quotePrefix="0" xfId="0">
      <alignment horizontal="center" vertical="center"/>
    </xf>
    <xf numFmtId="0" fontId="4" fillId="5" borderId="1" pivotButton="0" quotePrefix="0" xfId="0"/>
    <xf numFmtId="165" fontId="10" fillId="5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forces.com/problemset/problem/263/A" TargetMode="External" Id="rId1" /><Relationship Type="http://schemas.openxmlformats.org/officeDocument/2006/relationships/hyperlink" Target="https://codeforces.com/problemset/problem/266/A" TargetMode="External" Id="rId2" /><Relationship Type="http://schemas.openxmlformats.org/officeDocument/2006/relationships/hyperlink" Target="https://codeforces.com/problemset/problem/339/A" TargetMode="External" Id="rId3" /><Relationship Type="http://schemas.openxmlformats.org/officeDocument/2006/relationships/hyperlink" Target="https://codeforces.com/problemset/problem/405/A" TargetMode="External" Id="rId4" /><Relationship Type="http://schemas.openxmlformats.org/officeDocument/2006/relationships/hyperlink" Target="https://codeforces.com/problemset/problem/467/A" TargetMode="External" Id="rId5" /><Relationship Type="http://schemas.openxmlformats.org/officeDocument/2006/relationships/hyperlink" Target="https://codeforces.com/problemset/problem/469/A" TargetMode="External" Id="rId6" /><Relationship Type="http://schemas.openxmlformats.org/officeDocument/2006/relationships/hyperlink" Target="https://codeforces.com/problemset/problem/479/A" TargetMode="External" Id="rId7" /><Relationship Type="http://schemas.openxmlformats.org/officeDocument/2006/relationships/hyperlink" Target="https://codeforces.com/problemset/problem/490/A" TargetMode="External" Id="rId8" /><Relationship Type="http://schemas.openxmlformats.org/officeDocument/2006/relationships/hyperlink" Target="https://codeforces.com/problemset/problem/501/A" TargetMode="External" Id="rId9" /><Relationship Type="http://schemas.openxmlformats.org/officeDocument/2006/relationships/hyperlink" Target="https://codeforces.com/problemset/problem/509/A" TargetMode="External" Id="rId10" /><Relationship Type="http://schemas.openxmlformats.org/officeDocument/2006/relationships/hyperlink" Target="https://codeforces.com/problemset/problem/510/A" TargetMode="External" Id="rId11" /><Relationship Type="http://schemas.openxmlformats.org/officeDocument/2006/relationships/hyperlink" Target="https://codeforces.com/problemset/problem/581/A" TargetMode="External" Id="rId12" /><Relationship Type="http://schemas.openxmlformats.org/officeDocument/2006/relationships/hyperlink" Target="https://codeforces.com/problemset/problem/677/A" TargetMode="External" Id="rId13" /><Relationship Type="http://schemas.openxmlformats.org/officeDocument/2006/relationships/hyperlink" Target="https://codeforces.com/problemset/problem/705/A" TargetMode="External" Id="rId14" /><Relationship Type="http://schemas.openxmlformats.org/officeDocument/2006/relationships/hyperlink" Target="https://codeforces.com/problemset/problem/723/A" TargetMode="External" Id="rId15" /><Relationship Type="http://schemas.openxmlformats.org/officeDocument/2006/relationships/hyperlink" Target="https://codeforces.com/problemset/problem/731/A" TargetMode="External" Id="rId16" /><Relationship Type="http://schemas.openxmlformats.org/officeDocument/2006/relationships/hyperlink" Target="https://codeforces.com/problemset/problem/734/A" TargetMode="External" Id="rId17" /><Relationship Type="http://schemas.openxmlformats.org/officeDocument/2006/relationships/hyperlink" Target="https://codeforces.com/problemset/problem/746/A" TargetMode="External" Id="rId18" /><Relationship Type="http://schemas.openxmlformats.org/officeDocument/2006/relationships/hyperlink" Target="https://codeforces.com/problemset/problem/750/A" TargetMode="External" Id="rId19" /><Relationship Type="http://schemas.openxmlformats.org/officeDocument/2006/relationships/hyperlink" Target="https://codeforces.com/problemset/problem/758/A" TargetMode="External" Id="rId20" /><Relationship Type="http://schemas.openxmlformats.org/officeDocument/2006/relationships/hyperlink" Target="https://codeforces.com/problemset/problem/785/A" TargetMode="External" Id="rId21" /><Relationship Type="http://schemas.openxmlformats.org/officeDocument/2006/relationships/hyperlink" Target="https://codeforces.com/problemset/problem/791/A" TargetMode="External" Id="rId22" /><Relationship Type="http://schemas.openxmlformats.org/officeDocument/2006/relationships/hyperlink" Target="https://codeforces.com/problemset/problem/935/A" TargetMode="External" Id="rId23" /><Relationship Type="http://schemas.openxmlformats.org/officeDocument/2006/relationships/hyperlink" Target="https://codeforces.com/problemset/problem/996/A" TargetMode="External" Id="rId24" /><Relationship Type="http://schemas.openxmlformats.org/officeDocument/2006/relationships/hyperlink" Target="https://codeforces.com/problemset/problem/1030/A" TargetMode="External" Id="rId25" /><Relationship Type="http://schemas.openxmlformats.org/officeDocument/2006/relationships/hyperlink" Target="https://codeforces.com/problemset/problem/1097/A" TargetMode="External" Id="rId26" /><Relationship Type="http://schemas.openxmlformats.org/officeDocument/2006/relationships/hyperlink" Target="https://codeforces.com/problemset/problem/1108/A" TargetMode="External" Id="rId27" /><Relationship Type="http://schemas.openxmlformats.org/officeDocument/2006/relationships/hyperlink" Target="https://codeforces.com/problemset/problem/1114/A" TargetMode="External" Id="rId28" /><Relationship Type="http://schemas.openxmlformats.org/officeDocument/2006/relationships/hyperlink" Target="https://codeforces.com/problemset/problem/116/A" TargetMode="External" Id="rId29" /><Relationship Type="http://schemas.openxmlformats.org/officeDocument/2006/relationships/hyperlink" Target="https://codeforces.com/problemset/problem/1234/A" TargetMode="External" Id="rId30" /><Relationship Type="http://schemas.openxmlformats.org/officeDocument/2006/relationships/hyperlink" Target="https://codeforces.com/problemset/problem/1294/A" TargetMode="External" Id="rId31" /><Relationship Type="http://schemas.openxmlformats.org/officeDocument/2006/relationships/hyperlink" Target="https://codeforces.com/problemset/problem/1335/A" TargetMode="External" Id="rId32" /><Relationship Type="http://schemas.openxmlformats.org/officeDocument/2006/relationships/hyperlink" Target="https://codeforces.com/problemset/problem/1352/A" TargetMode="External" Id="rId33" /><Relationship Type="http://schemas.openxmlformats.org/officeDocument/2006/relationships/hyperlink" Target="https://codeforces.com/problemset/problem/1367/A" TargetMode="External" Id="rId34" /><Relationship Type="http://schemas.openxmlformats.org/officeDocument/2006/relationships/hyperlink" Target="https://codeforces.com/problemset/problem/1374/A" TargetMode="External" Id="rId35" /><Relationship Type="http://schemas.openxmlformats.org/officeDocument/2006/relationships/hyperlink" Target="https://codeforces.com/problemset/problem/1385/A" TargetMode="External" Id="rId36" /><Relationship Type="http://schemas.openxmlformats.org/officeDocument/2006/relationships/hyperlink" Target="https://codeforces.com/problemset/problem/1399/A" TargetMode="External" Id="rId37" /><Relationship Type="http://schemas.openxmlformats.org/officeDocument/2006/relationships/hyperlink" Target="https://codeforces.com/problemset/problem/1409/A" TargetMode="External" Id="rId38" /><Relationship Type="http://schemas.openxmlformats.org/officeDocument/2006/relationships/hyperlink" Target="https://codeforces.com/problemset/problem/1426/A" TargetMode="External" Id="rId39" /><Relationship Type="http://schemas.openxmlformats.org/officeDocument/2006/relationships/hyperlink" Target="https://codeforces.com/problemset/problem/228/A" TargetMode="External" Id="rId40" /><Relationship Type="http://schemas.openxmlformats.org/officeDocument/2006/relationships/hyperlink" Target="https://codeforces.com/problemset/problem/368/B" TargetMode="External" Id="rId41" /><Relationship Type="http://schemas.openxmlformats.org/officeDocument/2006/relationships/hyperlink" Target="https://codeforces.com/problemset/problem/459/B" TargetMode="External" Id="rId42" /><Relationship Type="http://schemas.openxmlformats.org/officeDocument/2006/relationships/hyperlink" Target="https://codeforces.com/problemset/problem/478/B" TargetMode="External" Id="rId43" /><Relationship Type="http://schemas.openxmlformats.org/officeDocument/2006/relationships/hyperlink" Target="https://codeforces.com/problemset/problem/550/A" TargetMode="External" Id="rId44" /><Relationship Type="http://schemas.openxmlformats.org/officeDocument/2006/relationships/hyperlink" Target="https://codeforces.com/problemset/problem/978/A" TargetMode="External" Id="rId45" /><Relationship Type="http://schemas.openxmlformats.org/officeDocument/2006/relationships/hyperlink" Target="https://codeforces.com/problemset/problem/1005/B" TargetMode="External" Id="rId46" /><Relationship Type="http://schemas.openxmlformats.org/officeDocument/2006/relationships/hyperlink" Target="https://codeforces.com/problemset/problem/1077/C" TargetMode="External" Id="rId47" /><Relationship Type="http://schemas.openxmlformats.org/officeDocument/2006/relationships/hyperlink" Target="https://codeforces.com/problemset/problem/1141/A" TargetMode="External" Id="rId48" /><Relationship Type="http://schemas.openxmlformats.org/officeDocument/2006/relationships/hyperlink" Target="https://codeforces.com/problemset/problem/1187/A" TargetMode="External" Id="rId49" /><Relationship Type="http://schemas.openxmlformats.org/officeDocument/2006/relationships/hyperlink" Target="https://codeforces.com/problemset/problem/1228/A" TargetMode="External" Id="rId50" /><Relationship Type="http://schemas.openxmlformats.org/officeDocument/2006/relationships/hyperlink" Target="https://codeforces.com/problemset/problem/1270/A" TargetMode="External" Id="rId51" /><Relationship Type="http://schemas.openxmlformats.org/officeDocument/2006/relationships/hyperlink" Target="https://codeforces.com/problemset/problem/1325/A" TargetMode="External" Id="rId52" /><Relationship Type="http://schemas.openxmlformats.org/officeDocument/2006/relationships/hyperlink" Target="https://codeforces.com/problemset/problem/1360/B" TargetMode="External" Id="rId53" /><Relationship Type="http://schemas.openxmlformats.org/officeDocument/2006/relationships/hyperlink" Target="https://codeforces.com/problemset/problem/1382/A" TargetMode="External" Id="rId54" /><Relationship Type="http://schemas.openxmlformats.org/officeDocument/2006/relationships/hyperlink" Target="https://codeforces.com/problemset/problem/1398/A" TargetMode="External" Id="rId55" /><Relationship Type="http://schemas.openxmlformats.org/officeDocument/2006/relationships/hyperlink" Target="https://codeforces.com/problemset/problem/1419/A" TargetMode="External" Id="rId56" /><Relationship Type="http://schemas.openxmlformats.org/officeDocument/2006/relationships/hyperlink" Target="https://codeforces.com/problemset/problem/1472/B" TargetMode="External" Id="rId57" /><Relationship Type="http://schemas.openxmlformats.org/officeDocument/2006/relationships/hyperlink" Target="https://codeforces.com/problemset/problem/1490/A" TargetMode="External" Id="rId58" /><Relationship Type="http://schemas.openxmlformats.org/officeDocument/2006/relationships/hyperlink" Target="https://codeforces.com/problemset/problem/1512/A" TargetMode="External" Id="rId59" /><Relationship Type="http://schemas.openxmlformats.org/officeDocument/2006/relationships/hyperlink" Target="https://codeforces.com/problemset/problem/1520/A" TargetMode="External" Id="rId60" /><Relationship Type="http://schemas.openxmlformats.org/officeDocument/2006/relationships/hyperlink" Target="https://codeforces.com/problemset/problem/1542/A" TargetMode="External" Id="rId61" /><Relationship Type="http://schemas.openxmlformats.org/officeDocument/2006/relationships/hyperlink" Target="https://codeforces.com/problemset/problem/1560/A" TargetMode="External" Id="rId62" /><Relationship Type="http://schemas.openxmlformats.org/officeDocument/2006/relationships/hyperlink" Target="https://codeforces.com/problemset/problem/1607/A" TargetMode="External" Id="rId63" /><Relationship Type="http://schemas.openxmlformats.org/officeDocument/2006/relationships/hyperlink" Target="https://codeforces.com/problemset/problem/1619/A" TargetMode="External" Id="rId64" /><Relationship Type="http://schemas.openxmlformats.org/officeDocument/2006/relationships/hyperlink" Target="https://codeforces.com/problemset/problem/1676/A" TargetMode="External" Id="rId65" /><Relationship Type="http://schemas.openxmlformats.org/officeDocument/2006/relationships/hyperlink" Target="https://codeforces.com/problemset/problem/300/A" TargetMode="External" Id="rId66" /><Relationship Type="http://schemas.openxmlformats.org/officeDocument/2006/relationships/hyperlink" Target="https://codeforces.com/problemset/problem/381/A" TargetMode="External" Id="rId67" /><Relationship Type="http://schemas.openxmlformats.org/officeDocument/2006/relationships/hyperlink" Target="https://codeforces.com/problemset/problem/478/A" TargetMode="External" Id="rId68" /><Relationship Type="http://schemas.openxmlformats.org/officeDocument/2006/relationships/hyperlink" Target="https://codeforces.com/problemset/problem/500/A" TargetMode="External" Id="rId69" /><Relationship Type="http://schemas.openxmlformats.org/officeDocument/2006/relationships/hyperlink" Target="https://codeforces.com/problemset/problem/518/B" TargetMode="External" Id="rId70" /><Relationship Type="http://schemas.openxmlformats.org/officeDocument/2006/relationships/hyperlink" Target="https://codeforces.com/problemset/problem/545/A" TargetMode="External" Id="rId71" /><Relationship Type="http://schemas.openxmlformats.org/officeDocument/2006/relationships/hyperlink" Target="https://codeforces.com/problemset/problem/734/B" TargetMode="External" Id="rId72" /><Relationship Type="http://schemas.openxmlformats.org/officeDocument/2006/relationships/hyperlink" Target="https://codeforces.com/problemset/problem/863/B" TargetMode="External" Id="rId73" /><Relationship Type="http://schemas.openxmlformats.org/officeDocument/2006/relationships/hyperlink" Target="https://codeforces.com/problemset/problem/1005/A" TargetMode="External" Id="rId74" /><Relationship Type="http://schemas.openxmlformats.org/officeDocument/2006/relationships/hyperlink" Target="https://codeforces.com/problemset/problem/1015/A" TargetMode="External" Id="rId75" /><Relationship Type="http://schemas.openxmlformats.org/officeDocument/2006/relationships/hyperlink" Target="https://codeforces.com/problemset/problem/1066/A" TargetMode="External" Id="rId76" /><Relationship Type="http://schemas.openxmlformats.org/officeDocument/2006/relationships/hyperlink" Target="https://codeforces.com/problemset/problem/1088/B" TargetMode="External" Id="rId77" /><Relationship Type="http://schemas.openxmlformats.org/officeDocument/2006/relationships/hyperlink" Target="https://codeforces.com/problemset/problem/1099/C" TargetMode="External" Id="rId78" /><Relationship Type="http://schemas.openxmlformats.org/officeDocument/2006/relationships/hyperlink" Target="https://codeforces.com/problemset/problem/1108/C" TargetMode="External" Id="rId79" /><Relationship Type="http://schemas.openxmlformats.org/officeDocument/2006/relationships/hyperlink" Target="https://codeforces.com/problemset/problem/1141/C" TargetMode="External" Id="rId80" /><Relationship Type="http://schemas.openxmlformats.org/officeDocument/2006/relationships/hyperlink" Target="https://codeforces.com/problemset/problem/1154/B" TargetMode="External" Id="rId81" /><Relationship Type="http://schemas.openxmlformats.org/officeDocument/2006/relationships/hyperlink" Target="https://codeforces.com/problemset/problem/1208/A" TargetMode="External" Id="rId82" /><Relationship Type="http://schemas.openxmlformats.org/officeDocument/2006/relationships/hyperlink" Target="https://codeforces.com/problemset/problem/1272/A" TargetMode="External" Id="rId83" /><Relationship Type="http://schemas.openxmlformats.org/officeDocument/2006/relationships/hyperlink" Target="https://codeforces.com/problemset/problem/1296/A" TargetMode="External" Id="rId84" /><Relationship Type="http://schemas.openxmlformats.org/officeDocument/2006/relationships/hyperlink" Target="https://codeforces.com/problemset/problem/1334/B" TargetMode="External" Id="rId85" /><Relationship Type="http://schemas.openxmlformats.org/officeDocument/2006/relationships/hyperlink" Target="https://codeforces.com/problemset/problem/1355/B" TargetMode="External" Id="rId86" /><Relationship Type="http://schemas.openxmlformats.org/officeDocument/2006/relationships/hyperlink" Target="https://codeforces.com/problemset/problem/1368/A" TargetMode="External" Id="rId87" /><Relationship Type="http://schemas.openxmlformats.org/officeDocument/2006/relationships/hyperlink" Target="https://codeforces.com/problemset/problem/1407/A" TargetMode="External" Id="rId88" /><Relationship Type="http://schemas.openxmlformats.org/officeDocument/2006/relationships/hyperlink" Target="https://codeforces.com/problemset/problem/1454/B" TargetMode="External" Id="rId89" /><Relationship Type="http://schemas.openxmlformats.org/officeDocument/2006/relationships/hyperlink" Target="https://codeforces.com/problemset/problem/1466/A" TargetMode="External" Id="rId90" /><Relationship Type="http://schemas.openxmlformats.org/officeDocument/2006/relationships/hyperlink" Target="https://codeforces.com/problemset/problem/1497/A" TargetMode="External" Id="rId91" /><Relationship Type="http://schemas.openxmlformats.org/officeDocument/2006/relationships/hyperlink" Target="https://codeforces.com/problemset/problem/1515/A" TargetMode="External" Id="rId92" /><Relationship Type="http://schemas.openxmlformats.org/officeDocument/2006/relationships/hyperlink" Target="https://codeforces.com/problemset/problem/1535/A" TargetMode="External" Id="rId93" /><Relationship Type="http://schemas.openxmlformats.org/officeDocument/2006/relationships/hyperlink" Target="https://codeforces.com/problemset/problem/1551/A" TargetMode="External" Id="rId94" /><Relationship Type="http://schemas.openxmlformats.org/officeDocument/2006/relationships/hyperlink" Target="https://codeforces.com/problemset/problem/1561/A" TargetMode="External" Id="rId95" /><Relationship Type="http://schemas.openxmlformats.org/officeDocument/2006/relationships/hyperlink" Target="https://codeforces.com/problemset/problem/1607/C" TargetMode="External" Id="rId96" /><Relationship Type="http://schemas.openxmlformats.org/officeDocument/2006/relationships/hyperlink" Target="https://codeforces.com/problemset/problem/34/B" TargetMode="External" Id="rId97" /><Relationship Type="http://schemas.openxmlformats.org/officeDocument/2006/relationships/hyperlink" Target="https://codeforces.com/problemset/problem/160/A" TargetMode="External" Id="rId98" /><Relationship Type="http://schemas.openxmlformats.org/officeDocument/2006/relationships/hyperlink" Target="https://codeforces.com/problemset/problem/230/A" TargetMode="External" Id="rId99" /><Relationship Type="http://schemas.openxmlformats.org/officeDocument/2006/relationships/hyperlink" Target="https://codeforces.com/problemset/problem/489/B" TargetMode="External" Id="rId100" /><Relationship Type="http://schemas.openxmlformats.org/officeDocument/2006/relationships/hyperlink" Target="https://codeforces.com/problemset/problem/580/A" TargetMode="External" Id="rId101" /><Relationship Type="http://schemas.openxmlformats.org/officeDocument/2006/relationships/hyperlink" Target="https://codeforces.com/problemset/problem/659/C" TargetMode="External" Id="rId102" /><Relationship Type="http://schemas.openxmlformats.org/officeDocument/2006/relationships/hyperlink" Target="https://codeforces.com/problemset/problem/706/B" TargetMode="External" Id="rId103" /><Relationship Type="http://schemas.openxmlformats.org/officeDocument/2006/relationships/hyperlink" Target="https://codeforces.com/problemset/problem/808/D" TargetMode="External" Id="rId104" /><Relationship Type="http://schemas.openxmlformats.org/officeDocument/2006/relationships/hyperlink" Target="https://codeforces.com/problemset/problem/812/C" TargetMode="External" Id="rId105" /><Relationship Type="http://schemas.openxmlformats.org/officeDocument/2006/relationships/hyperlink" Target="https://codeforces.com/problemset/problem/977/C" TargetMode="External" Id="rId106" /><Relationship Type="http://schemas.openxmlformats.org/officeDocument/2006/relationships/hyperlink" Target="https://codeforces.com/problemset/problem/978/C" TargetMode="External" Id="rId107" /><Relationship Type="http://schemas.openxmlformats.org/officeDocument/2006/relationships/hyperlink" Target="https://codeforces.com/problemset/problem/1006/C" TargetMode="External" Id="rId108" /><Relationship Type="http://schemas.openxmlformats.org/officeDocument/2006/relationships/hyperlink" Target="https://codeforces.com/problemset/problem/1029/B" TargetMode="External" Id="rId109" /><Relationship Type="http://schemas.openxmlformats.org/officeDocument/2006/relationships/hyperlink" Target="https://codeforces.com/problemset/problem/1201/C" TargetMode="External" Id="rId110" /><Relationship Type="http://schemas.openxmlformats.org/officeDocument/2006/relationships/hyperlink" Target="https://codeforces.com/problemset/problem/1294/C" TargetMode="External" Id="rId111" /><Relationship Type="http://schemas.openxmlformats.org/officeDocument/2006/relationships/hyperlink" Target="https://codeforces.com/problemset/problem/1333/C" TargetMode="External" Id="rId112" /><Relationship Type="http://schemas.openxmlformats.org/officeDocument/2006/relationships/hyperlink" Target="https://codeforces.com/problemset/problem/1358/B" TargetMode="External" Id="rId113" /><Relationship Type="http://schemas.openxmlformats.org/officeDocument/2006/relationships/hyperlink" Target="https://codeforces.com/problemset/problem/1400/D" TargetMode="External" Id="rId114" /><Relationship Type="http://schemas.openxmlformats.org/officeDocument/2006/relationships/hyperlink" Target="https://codeforces.com/problemset/problem/1498/B" TargetMode="External" Id="rId115" /><Relationship Type="http://schemas.openxmlformats.org/officeDocument/2006/relationships/hyperlink" Target="https://codeforces.com/problemset/problem/1519/C" TargetMode="External" Id="rId116" /><Relationship Type="http://schemas.openxmlformats.org/officeDocument/2006/relationships/hyperlink" Target="https://codeforces.com/problemset/problem/1538/C" TargetMode="External" Id="rId117" /><Relationship Type="http://schemas.openxmlformats.org/officeDocument/2006/relationships/hyperlink" Target="https://codeforces.com/problemset/problem/1552/C" TargetMode="External" Id="rId118" /><Relationship Type="http://schemas.openxmlformats.org/officeDocument/2006/relationships/hyperlink" Target="https://codeforces.com/problemset/problem/1611/C" TargetMode="External" Id="rId119" /><Relationship Type="http://schemas.openxmlformats.org/officeDocument/2006/relationships/hyperlink" Target="https://codeforces.com/problemset/problem/1670/B" TargetMode="External" Id="rId120" /><Relationship Type="http://schemas.openxmlformats.org/officeDocument/2006/relationships/hyperlink" Target="https://codeforces.com/problemset/problem/987/C" TargetMode="External" Id="rId121" /><Relationship Type="http://schemas.openxmlformats.org/officeDocument/2006/relationships/hyperlink" Target="https://codeforces.com/problemset/problem/1000/C" TargetMode="External" Id="rId122" /><Relationship Type="http://schemas.openxmlformats.org/officeDocument/2006/relationships/hyperlink" Target="https://codeforces.com/problemset/problem/1042/D" TargetMode="External" Id="rId123" /><Relationship Type="http://schemas.openxmlformats.org/officeDocument/2006/relationships/hyperlink" Target="https://codeforces.com/problemset/problem/1131/C" TargetMode="External" Id="rId124" /><Relationship Type="http://schemas.openxmlformats.org/officeDocument/2006/relationships/hyperlink" Target="https://codeforces.com/problemset/problem/1181/C" TargetMode="External" Id="rId125" /><Relationship Type="http://schemas.openxmlformats.org/officeDocument/2006/relationships/hyperlink" Target="https://codeforces.com/problemset/problem/1208/B" TargetMode="External" Id="rId126" /><Relationship Type="http://schemas.openxmlformats.org/officeDocument/2006/relationships/hyperlink" Target="https://codeforces.com/problemset/problem/1230/C" TargetMode="External" Id="rId127" /><Relationship Type="http://schemas.openxmlformats.org/officeDocument/2006/relationships/hyperlink" Target="https://codeforces.com/problemset/problem/1324/D" TargetMode="External" Id="rId128" /><Relationship Type="http://schemas.openxmlformats.org/officeDocument/2006/relationships/hyperlink" Target="https://codeforces.com/problemset/problem/1355/C" TargetMode="External" Id="rId129" /><Relationship Type="http://schemas.openxmlformats.org/officeDocument/2006/relationships/hyperlink" Target="https://codeforces.com/problemset/problem/1400/C" TargetMode="External" Id="rId130" /><Relationship Type="http://schemas.openxmlformats.org/officeDocument/2006/relationships/hyperlink" Target="https://codeforces.com/problemset/problem/1473/D" TargetMode="External" Id="rId131" /><Relationship Type="http://schemas.openxmlformats.org/officeDocument/2006/relationships/hyperlink" Target="https://codeforces.com/problemset/problem/1490/D" TargetMode="External" Id="rId132" /><Relationship Type="http://schemas.openxmlformats.org/officeDocument/2006/relationships/hyperlink" Target="https://codeforces.com/problemset/problem/1512/D" TargetMode="External" Id="rId133" /><Relationship Type="http://schemas.openxmlformats.org/officeDocument/2006/relationships/hyperlink" Target="https://codeforces.com/problemset/problem/1547/C" TargetMode="External" Id="rId134" /><Relationship Type="http://schemas.openxmlformats.org/officeDocument/2006/relationships/hyperlink" Target="https://codeforces.com/problemset/problem/1567/C" TargetMode="External" Id="rId135" /><Relationship Type="http://schemas.openxmlformats.org/officeDocument/2006/relationships/hyperlink" Target="https://codeforces.com/problemset/problem/1251/C" TargetMode="External" Id="rId136" /><Relationship Type="http://schemas.openxmlformats.org/officeDocument/2006/relationships/hyperlink" Target="https://codeforces.com/problemset/problem/1288/D" TargetMode="External" Id="rId137" /><Relationship Type="http://schemas.openxmlformats.org/officeDocument/2006/relationships/hyperlink" Target="https://codeforces.com/problemset/problem/1370/D" TargetMode="External" Id="rId138" /><Relationship Type="http://schemas.openxmlformats.org/officeDocument/2006/relationships/hyperlink" Target="https://codeforces.com/problemset/problem/1407/D" TargetMode="External" Id="rId139" /><Relationship Type="http://schemas.openxmlformats.org/officeDocument/2006/relationships/hyperlink" Target="https://codeforces.com/problemset/problem/1486/D" TargetMode="External" Id="rId140" /><Relationship Type="http://schemas.openxmlformats.org/officeDocument/2006/relationships/hyperlink" Target="https://codeforces.com/problemset/problem/1512/E" TargetMode="External" Id="rId141" /><Relationship Type="http://schemas.openxmlformats.org/officeDocument/2006/relationships/hyperlink" Target="https://codeforces.com/problemset/problem/1538/G" TargetMode="External" Id="rId142" /><Relationship Type="http://schemas.openxmlformats.org/officeDocument/2006/relationships/hyperlink" Target="https://codeforces.com/problemset/problem/1552/D" TargetMode="External" Id="rId143" /><Relationship Type="http://schemas.openxmlformats.org/officeDocument/2006/relationships/hyperlink" Target="https://codeforces.com/problemset/problem/1606/C" TargetMode="External" Id="rId144" /><Relationship Type="http://schemas.openxmlformats.org/officeDocument/2006/relationships/hyperlink" Target="https://codeforces.com/problemset/problem/1623/C" TargetMode="External" Id="rId145" /><Relationship Type="http://schemas.openxmlformats.org/officeDocument/2006/relationships/hyperlink" Target="https://codeforces.com/problemset/problem/1701/C" TargetMode="External" Id="rId146" /><Relationship Type="http://schemas.openxmlformats.org/officeDocument/2006/relationships/hyperlink" Target="https://codeforces.com/problemset/problem/313/B" TargetMode="External" Id="rId147" /><Relationship Type="http://schemas.openxmlformats.org/officeDocument/2006/relationships/hyperlink" Target="https://codeforces.com/problemset/problem/363/B" TargetMode="External" Id="rId148" /><Relationship Type="http://schemas.openxmlformats.org/officeDocument/2006/relationships/hyperlink" Target="https://codeforces.com/problemset/problem/433/B" TargetMode="External" Id="rId149" /><Relationship Type="http://schemas.openxmlformats.org/officeDocument/2006/relationships/hyperlink" Target="https://codeforces.com/problemset/problem/466/C" TargetMode="External" Id="rId150" /><Relationship Type="http://schemas.openxmlformats.org/officeDocument/2006/relationships/hyperlink" Target="https://codeforces.com/problemset/problem/816/B" TargetMode="External" Id="rId151" /><Relationship Type="http://schemas.openxmlformats.org/officeDocument/2006/relationships/hyperlink" Target="https://codeforces.com/problemset/problem/1191/C" TargetMode="External" Id="rId152" /><Relationship Type="http://schemas.openxmlformats.org/officeDocument/2006/relationships/hyperlink" Target="https://codeforces.com/problemset/problem/1272/C" TargetMode="External" Id="rId153" /><Relationship Type="http://schemas.openxmlformats.org/officeDocument/2006/relationships/hyperlink" Target="https://codeforces.com/problemset/problem/1363/A" TargetMode="External" Id="rId154" /><Relationship Type="http://schemas.openxmlformats.org/officeDocument/2006/relationships/hyperlink" Target="https://codeforces.com/problemset/problem/1392/D" TargetMode="External" Id="rId155" /><Relationship Type="http://schemas.openxmlformats.org/officeDocument/2006/relationships/hyperlink" Target="https://codeforces.com/problemset/problem/1430/D" TargetMode="External" Id="rId156" /><Relationship Type="http://schemas.openxmlformats.org/officeDocument/2006/relationships/hyperlink" Target="https://codeforces.com/problemset/problem/1114/C" TargetMode="External" Id="rId157" /><Relationship Type="http://schemas.openxmlformats.org/officeDocument/2006/relationships/hyperlink" Target="https://codeforces.com/problemset/problem/1141/D" TargetMode="External" Id="rId158" /><Relationship Type="http://schemas.openxmlformats.org/officeDocument/2006/relationships/hyperlink" Target="https://codeforces.com/problemset/problem/1238/E" TargetMode="External" Id="rId159" /><Relationship Type="http://schemas.openxmlformats.org/officeDocument/2006/relationships/hyperlink" Target="https://codeforces.com/problemset/problem/1285/B" TargetMode="External" Id="rId160" /><Relationship Type="http://schemas.openxmlformats.org/officeDocument/2006/relationships/hyperlink" Target="https://codeforces.com/problemset/problem/1303/C" TargetMode="External" Id="rId161" /><Relationship Type="http://schemas.openxmlformats.org/officeDocument/2006/relationships/hyperlink" Target="https://codeforces.com/problemset/problem/1437/C" TargetMode="External" Id="rId162" /><Relationship Type="http://schemas.openxmlformats.org/officeDocument/2006/relationships/hyperlink" Target="https://codeforces.com/problemset/problem/1498/C" TargetMode="External" Id="rId163" /><Relationship Type="http://schemas.openxmlformats.org/officeDocument/2006/relationships/hyperlink" Target="https://codeforces.com/problemset/problem/1513/C" TargetMode="External" Id="rId164" /><Relationship Type="http://schemas.openxmlformats.org/officeDocument/2006/relationships/hyperlink" Target="https://codeforces.com/problemset/problem/295/A" TargetMode="External" Id="rId165" /><Relationship Type="http://schemas.openxmlformats.org/officeDocument/2006/relationships/hyperlink" Target="https://codeforces.com/problemset/problem/276/C" TargetMode="External" Id="rId166" /><Relationship Type="http://schemas.openxmlformats.org/officeDocument/2006/relationships/hyperlink" Target="https://codeforces.com/problemset/problem/817/F" TargetMode="External" Id="rId167" /><Relationship Type="http://schemas.openxmlformats.org/officeDocument/2006/relationships/hyperlink" Target="https://codeforces.com/problemset/problem/1114/D" TargetMode="External" Id="rId168" /><Relationship Type="http://schemas.openxmlformats.org/officeDocument/2006/relationships/hyperlink" Target="https://codeforces.com/problemset/problem/1136/C" TargetMode="External" Id="rId169" /><Relationship Type="http://schemas.openxmlformats.org/officeDocument/2006/relationships/hyperlink" Target="https://codeforces.com/problemset/problem/1187/C" TargetMode="External" Id="rId170" /><Relationship Type="http://schemas.openxmlformats.org/officeDocument/2006/relationships/hyperlink" Target="https://codeforces.com/problemset/problem/1209/E1" TargetMode="External" Id="rId171" /><Relationship Type="http://schemas.openxmlformats.org/officeDocument/2006/relationships/hyperlink" Target="https://codeforces.com/problemset/problem/1209/E2" TargetMode="External" Id="rId172" /><Relationship Type="http://schemas.openxmlformats.org/officeDocument/2006/relationships/hyperlink" Target="https://codeforces.com/problemset/problem/1358/D" TargetMode="External" Id="rId173" /><Relationship Type="http://schemas.openxmlformats.org/officeDocument/2006/relationships/hyperlink" Target="https://codeforces.com/problemset/problem/1490/F" TargetMode="External" Id="rId174" /><Relationship Type="http://schemas.openxmlformats.org/officeDocument/2006/relationships/hyperlink" Target="https://codeforces.com/problemset/problem/1530/E" TargetMode="External" Id="rId175" /><Relationship Type="http://schemas.openxmlformats.org/officeDocument/2006/relationships/hyperlink" Target="https://codeforces.com/problemset/problem/617/E" TargetMode="External" Id="rId176" /><Relationship Type="http://schemas.openxmlformats.org/officeDocument/2006/relationships/hyperlink" Target="https://codeforces.com/problemset/problem/703/D" TargetMode="External" Id="rId177" /><Relationship Type="http://schemas.openxmlformats.org/officeDocument/2006/relationships/hyperlink" Target="https://codeforces.com/problemset/problem/862/C" TargetMode="External" Id="rId178" /><Relationship Type="http://schemas.openxmlformats.org/officeDocument/2006/relationships/hyperlink" Target="https://codeforces.com/problemset/problem/983/B" TargetMode="External" Id="rId179" /><Relationship Type="http://schemas.openxmlformats.org/officeDocument/2006/relationships/hyperlink" Target="https://codeforces.com/problemset/problem/1110/E" TargetMode="External" Id="rId180" /><Relationship Type="http://schemas.openxmlformats.org/officeDocument/2006/relationships/hyperlink" Target="https://codeforces.com/problemset/problem/1450/D" TargetMode="External" Id="rId181" /><Relationship Type="http://schemas.openxmlformats.org/officeDocument/2006/relationships/hyperlink" Target="https://codeforces.com/problemset/problem/1552/F" TargetMode="External" Id="rId182" /><Relationship Type="http://schemas.openxmlformats.org/officeDocument/2006/relationships/hyperlink" Target="https://codeforces.com/problemset/problem/279/B" TargetMode="External" Id="rId183" /><Relationship Type="http://schemas.openxmlformats.org/officeDocument/2006/relationships/hyperlink" Target="https://codeforces.com/problemset/problem/580/B" TargetMode="External" Id="rId184" /><Relationship Type="http://schemas.openxmlformats.org/officeDocument/2006/relationships/hyperlink" Target="https://codeforces.com/problemset/problem/602/B" TargetMode="External" Id="rId185" /><Relationship Type="http://schemas.openxmlformats.org/officeDocument/2006/relationships/hyperlink" Target="https://codeforces.com/problemset/problem/616/D" TargetMode="External" Id="rId186" /><Relationship Type="http://schemas.openxmlformats.org/officeDocument/2006/relationships/hyperlink" Target="https://codeforces.com/problemset/problem/702/C" TargetMode="External" Id="rId187" /><Relationship Type="http://schemas.openxmlformats.org/officeDocument/2006/relationships/hyperlink" Target="https://codeforces.com/problemset/problem/1157/C1" TargetMode="External" Id="rId188" /><Relationship Type="http://schemas.openxmlformats.org/officeDocument/2006/relationships/hyperlink" Target="https://codeforces.com/problemset/problem/1157/C2" TargetMode="External" Id="rId189" /><Relationship Type="http://schemas.openxmlformats.org/officeDocument/2006/relationships/hyperlink" Target="https://codeforces.com/problemset/problem/1197/C" TargetMode="External" Id="rId190" /><Relationship Type="http://schemas.openxmlformats.org/officeDocument/2006/relationships/hyperlink" Target="https://codeforces.com/problemset/problem/1257/C" TargetMode="External" Id="rId191" /><Relationship Type="http://schemas.openxmlformats.org/officeDocument/2006/relationships/hyperlink" Target="https://codeforces.com/problemset/problem/1295/B" TargetMode="External" Id="rId192" /><Relationship Type="http://schemas.openxmlformats.org/officeDocument/2006/relationships/hyperlink" Target="https://codeforces.com/problemset/problem/1373/C" TargetMode="External" Id="rId193" /><Relationship Type="http://schemas.openxmlformats.org/officeDocument/2006/relationships/hyperlink" Target="https://codeforces.com/problemset/problem/1490/G" TargetMode="External" Id="rId194" /><Relationship Type="http://schemas.openxmlformats.org/officeDocument/2006/relationships/hyperlink" Target="https://codeforces.com/problemset/problem/6/C" TargetMode="External" Id="rId195" /><Relationship Type="http://schemas.openxmlformats.org/officeDocument/2006/relationships/hyperlink" Target="https://codeforces.com/problemset/problem/701/C" TargetMode="External" Id="rId196" /><Relationship Type="http://schemas.openxmlformats.org/officeDocument/2006/relationships/hyperlink" Target="https://codeforces.com/problemset/problem/961/B" TargetMode="External" Id="rId197" /><Relationship Type="http://schemas.openxmlformats.org/officeDocument/2006/relationships/hyperlink" Target="https://codeforces.com/problemset/problem/1133/C" TargetMode="External" Id="rId198" /><Relationship Type="http://schemas.openxmlformats.org/officeDocument/2006/relationships/hyperlink" Target="https://codeforces.com/problemset/problem/1156/C" TargetMode="External" Id="rId199" /><Relationship Type="http://schemas.openxmlformats.org/officeDocument/2006/relationships/hyperlink" Target="https://codeforces.com/problemset/problem/1234/D" TargetMode="External" Id="rId200" /><Relationship Type="http://schemas.openxmlformats.org/officeDocument/2006/relationships/hyperlink" Target="https://codeforces.com/problemset/problem/1605/C" TargetMode="External" Id="rId201" /><Relationship Type="http://schemas.openxmlformats.org/officeDocument/2006/relationships/hyperlink" Target="https://codeforces.com/problemset/problem/676/C" TargetMode="External" Id="rId202" /><Relationship Type="http://schemas.openxmlformats.org/officeDocument/2006/relationships/hyperlink" Target="https://codeforces.com/problemset/problem/1041/C" TargetMode="External" Id="rId203" /><Relationship Type="http://schemas.openxmlformats.org/officeDocument/2006/relationships/hyperlink" Target="https://codeforces.com/problemset/problem/1077/D" TargetMode="External" Id="rId204" /><Relationship Type="http://schemas.openxmlformats.org/officeDocument/2006/relationships/hyperlink" Target="https://codeforces.com/problemset/problem/1335/C" TargetMode="External" Id="rId205" /><Relationship Type="http://schemas.openxmlformats.org/officeDocument/2006/relationships/hyperlink" Target="https://codeforces.com/problemset/problem/1371/C" TargetMode="External" Id="rId206" /><Relationship Type="http://schemas.openxmlformats.org/officeDocument/2006/relationships/hyperlink" Target="https://codeforces.com/problemset/problem/1516/B" TargetMode="External" Id="rId207" /><Relationship Type="http://schemas.openxmlformats.org/officeDocument/2006/relationships/hyperlink" Target="https://codeforces.com/problemset/problem/1539/C" TargetMode="External" Id="rId208" /><Relationship Type="http://schemas.openxmlformats.org/officeDocument/2006/relationships/hyperlink" Target="https://codeforces.com/problemset/problem/1561/B" TargetMode="External" Id="rId209" /><Relationship Type="http://schemas.openxmlformats.org/officeDocument/2006/relationships/hyperlink" Target="https://codeforces.com/problemset/problem/525/E" TargetMode="External" Id="rId210" /><Relationship Type="http://schemas.openxmlformats.org/officeDocument/2006/relationships/hyperlink" Target="https://codeforces.com/problemset/problem/888/E" TargetMode="External" Id="rId211" /><Relationship Type="http://schemas.openxmlformats.org/officeDocument/2006/relationships/hyperlink" Target="https://codeforces.com/problemset/problem/1006/F" TargetMode="External" Id="rId212" /><Relationship Type="http://schemas.openxmlformats.org/officeDocument/2006/relationships/hyperlink" Target="https://codeforces.com/problemset/problem/1197/D" TargetMode="External" Id="rId213" /><Relationship Type="http://schemas.openxmlformats.org/officeDocument/2006/relationships/hyperlink" Target="https://codeforces.com/problemset/problem/1239/A" TargetMode="External" Id="rId214" /><Relationship Type="http://schemas.openxmlformats.org/officeDocument/2006/relationships/hyperlink" Target="https://codeforces.com/problemset/problem/1325/E" TargetMode="External" Id="rId215" /><Relationship Type="http://schemas.openxmlformats.org/officeDocument/2006/relationships/hyperlink" Target="https://codeforces.com/problemset/problem/492/B" TargetMode="External" Id="rId216" /><Relationship Type="http://schemas.openxmlformats.org/officeDocument/2006/relationships/hyperlink" Target="https://codeforces.com/problemset/problem/371/C" TargetMode="External" Id="rId217" /><Relationship Type="http://schemas.openxmlformats.org/officeDocument/2006/relationships/hyperlink" Target="https://codeforces.com/problemset/problem/1251/D" TargetMode="External" Id="rId218" /><Relationship Type="http://schemas.openxmlformats.org/officeDocument/2006/relationships/hyperlink" Target="https://codeforces.com/problemset/problem/1468/D" TargetMode="External" Id="rId219" /><Relationship Type="http://schemas.openxmlformats.org/officeDocument/2006/relationships/hyperlink" Target="https://codeforces.com/problemset/problem/670/D2" TargetMode="External" Id="rId220" /><Relationship Type="http://schemas.openxmlformats.org/officeDocument/2006/relationships/hyperlink" Target="https://codeforces.com/problemset/problem/1117/C" TargetMode="External" Id="rId221" /><Relationship Type="http://schemas.openxmlformats.org/officeDocument/2006/relationships/hyperlink" Target="https://codeforces.com/problemset/problem/448/D" TargetMode="External" Id="rId222" /><Relationship Type="http://schemas.openxmlformats.org/officeDocument/2006/relationships/hyperlink" Target="https://codeforces.com/problemset/problem/1168/A" TargetMode="External" Id="rId223" /><Relationship Type="http://schemas.openxmlformats.org/officeDocument/2006/relationships/hyperlink" Target="https://codeforces.com/problemset/problem/1520/G" TargetMode="External" Id="rId224" /><Relationship Type="http://schemas.openxmlformats.org/officeDocument/2006/relationships/hyperlink" Target="https://codeforces.com/problemset/problem/1705/C" TargetMode="External" Id="rId225" /><Relationship Type="http://schemas.openxmlformats.org/officeDocument/2006/relationships/hyperlink" Target="https://codeforces.com/problemset/problem/578/C" TargetMode="External" Id="rId226" /><Relationship Type="http://schemas.openxmlformats.org/officeDocument/2006/relationships/hyperlink" Target="https://codeforces.com/problemset/problem/780/B" TargetMode="External" Id="rId227" /><Relationship Type="http://schemas.openxmlformats.org/officeDocument/2006/relationships/hyperlink" Target="https://codeforces.com/problemset/problem/1030/D" TargetMode="External" Id="rId228" /><Relationship Type="http://schemas.openxmlformats.org/officeDocument/2006/relationships/hyperlink" Target="https://codeforces.com/problemset/problem/1163/C2" TargetMode="External" Id="rId229" /><Relationship Type="http://schemas.openxmlformats.org/officeDocument/2006/relationships/hyperlink" Target="https://codeforces.com/problemset/problem/1283/C" TargetMode="External" Id="rId230" /><Relationship Type="http://schemas.openxmlformats.org/officeDocument/2006/relationships/hyperlink" Target="https://codeforces.com/problemset/problem/1301/D" TargetMode="External" Id="rId231" /><Relationship Type="http://schemas.openxmlformats.org/officeDocument/2006/relationships/hyperlink" Target="https://codeforces.com/problemset/problem/58/B" TargetMode="External" Id="rId232" /><Relationship Type="http://schemas.openxmlformats.org/officeDocument/2006/relationships/hyperlink" Target="https://codeforces.com/problemset/problem/1256/A" TargetMode="External" Id="rId233" /><Relationship Type="http://schemas.openxmlformats.org/officeDocument/2006/relationships/hyperlink" Target="https://codeforces.com/problemset/problem/1312/B" TargetMode="External" Id="rId234" /><Relationship Type="http://schemas.openxmlformats.org/officeDocument/2006/relationships/hyperlink" Target="https://codeforces.com/problemset/problem/1418/A" TargetMode="External" Id="rId235" /><Relationship Type="http://schemas.openxmlformats.org/officeDocument/2006/relationships/hyperlink" Target="https://codeforces.com/problemset/problem/1618/A" TargetMode="External" Id="rId236" /><Relationship Type="http://schemas.openxmlformats.org/officeDocument/2006/relationships/hyperlink" Target="https://codeforces.com/problemset/problem/1675/A" TargetMode="External" Id="rId237" /><Relationship Type="http://schemas.openxmlformats.org/officeDocument/2006/relationships/hyperlink" Target="https://codeforces.com/problemset/problem/1005/C" TargetMode="External" Id="rId238" /><Relationship Type="http://schemas.openxmlformats.org/officeDocument/2006/relationships/hyperlink" Target="https://codeforces.com/problemset/problem/1092/C" TargetMode="External" Id="rId239" /><Relationship Type="http://schemas.openxmlformats.org/officeDocument/2006/relationships/hyperlink" Target="https://codeforces.com/problemset/problem/1144/D" TargetMode="External" Id="rId240" /><Relationship Type="http://schemas.openxmlformats.org/officeDocument/2006/relationships/hyperlink" Target="https://codeforces.com/problemset/problem/1203/C" TargetMode="External" Id="rId241" /><Relationship Type="http://schemas.openxmlformats.org/officeDocument/2006/relationships/hyperlink" Target="https://codeforces.com/problemset/problem/1385/C" TargetMode="External" Id="rId242" /><Relationship Type="http://schemas.openxmlformats.org/officeDocument/2006/relationships/hyperlink" Target="https://codeforces.com/problemset/problem/1399/C" TargetMode="External" Id="rId243" /><Relationship Type="http://schemas.openxmlformats.org/officeDocument/2006/relationships/hyperlink" Target="https://codeforces.com/problemset/problem/527/D" TargetMode="External" Id="rId244" /><Relationship Type="http://schemas.openxmlformats.org/officeDocument/2006/relationships/hyperlink" Target="https://codeforces.com/problemset/problem/913/D" TargetMode="External" Id="rId245" /><Relationship Type="http://schemas.openxmlformats.org/officeDocument/2006/relationships/hyperlink" Target="https://codeforces.com/problemset/problem/1029/C" TargetMode="External" Id="rId246" /><Relationship Type="http://schemas.openxmlformats.org/officeDocument/2006/relationships/hyperlink" Target="https://codeforces.com/problemset/problem/1106/D" TargetMode="External" Id="rId247" /><Relationship Type="http://schemas.openxmlformats.org/officeDocument/2006/relationships/hyperlink" Target="https://codeforces.com/problemset/problem/1249/D1" TargetMode="External" Id="rId248" /><Relationship Type="http://schemas.openxmlformats.org/officeDocument/2006/relationships/hyperlink" Target="https://codeforces.com/problemset/problem/1249/D2" TargetMode="External" Id="rId249" /><Relationship Type="http://schemas.openxmlformats.org/officeDocument/2006/relationships/hyperlink" Target="https://codeforces.com/problemset/problem/1282/C" TargetMode="External" Id="rId250" /><Relationship Type="http://schemas.openxmlformats.org/officeDocument/2006/relationships/hyperlink" Target="https://codeforces.com/problemset/problem/1353/D" TargetMode="External" Id="rId251" /><Relationship Type="http://schemas.openxmlformats.org/officeDocument/2006/relationships/hyperlink" Target="https://codeforces.com/problemset/problem/1428/E" TargetMode="External" Id="rId252" /><Relationship Type="http://schemas.openxmlformats.org/officeDocument/2006/relationships/hyperlink" Target="https://codeforces.com/problemset/problem/1468/H" TargetMode="External" Id="rId253" /><Relationship Type="http://schemas.openxmlformats.org/officeDocument/2006/relationships/hyperlink" Target="https://codeforces.com/problemset/problem/1550/C" TargetMode="External" Id="rId254" /><Relationship Type="http://schemas.openxmlformats.org/officeDocument/2006/relationships/hyperlink" Target="https://codeforces.com/problemset/problem/864/D" TargetMode="External" Id="rId255" /><Relationship Type="http://schemas.openxmlformats.org/officeDocument/2006/relationships/hyperlink" Target="https://codeforces.com/problemset/problem/1140/C" TargetMode="External" Id="rId256" /><Relationship Type="http://schemas.openxmlformats.org/officeDocument/2006/relationships/hyperlink" Target="https://codeforces.com/problemset/problem/1310/A" TargetMode="External" Id="rId257" /><Relationship Type="http://schemas.openxmlformats.org/officeDocument/2006/relationships/hyperlink" Target="https://codeforces.com/problemset/problem/1374/E1" TargetMode="External" Id="rId258" /><Relationship Type="http://schemas.openxmlformats.org/officeDocument/2006/relationships/hyperlink" Target="https://codeforces.com/problemset/problem/1374/E2" TargetMode="External" Id="rId259" /><Relationship Type="http://schemas.openxmlformats.org/officeDocument/2006/relationships/hyperlink" Target="https://codeforces.com/problemset/problem/1526/C1" TargetMode="External" Id="rId260" /><Relationship Type="http://schemas.openxmlformats.org/officeDocument/2006/relationships/hyperlink" Target="https://codeforces.com/problemset/problem/1526/C2" TargetMode="External" Id="rId261" /><Relationship Type="http://schemas.openxmlformats.org/officeDocument/2006/relationships/hyperlink" Target="https://codeforces.com/problemset/problem/1579/D" TargetMode="External" Id="rId262" /><Relationship Type="http://schemas.openxmlformats.org/officeDocument/2006/relationships/hyperlink" Target="https://codeforces.com/problemset/problem/1304/D" TargetMode="External" Id="rId263" /><Relationship Type="http://schemas.openxmlformats.org/officeDocument/2006/relationships/hyperlink" Target="https://codeforces.com/problemset/problem/1348/C" TargetMode="External" Id="rId264" /><Relationship Type="http://schemas.openxmlformats.org/officeDocument/2006/relationships/hyperlink" Target="https://codeforces.com/problemset/problem/1380/D" TargetMode="External" Id="rId265" /><Relationship Type="http://schemas.openxmlformats.org/officeDocument/2006/relationships/hyperlink" Target="https://codeforces.com/problemset/problem/1474/D" TargetMode="External" Id="rId266" /><Relationship Type="http://schemas.openxmlformats.org/officeDocument/2006/relationships/hyperlink" Target="https://codeforces.com/problemset/problem/1506/F" TargetMode="External" Id="rId267" /><Relationship Type="http://schemas.openxmlformats.org/officeDocument/2006/relationships/hyperlink" Target="https://codeforces.com/problemset/problem/1537/D" TargetMode="External" Id="rId268" /><Relationship Type="http://schemas.openxmlformats.org/officeDocument/2006/relationships/hyperlink" Target="https://codeforces.com/problemset/problem/1572/A" TargetMode="External" Id="rId269" /><Relationship Type="http://schemas.openxmlformats.org/officeDocument/2006/relationships/hyperlink" Target="https://codeforces.com/problemset/problem/1705/B" TargetMode="External" Id="rId270" /><Relationship Type="http://schemas.openxmlformats.org/officeDocument/2006/relationships/hyperlink" Target="https://codeforces.com/problemset/problem/41/A" TargetMode="External" Id="rId271" /><Relationship Type="http://schemas.openxmlformats.org/officeDocument/2006/relationships/hyperlink" Target="https://codeforces.com/problemset/problem/58/A" TargetMode="External" Id="rId272" /><Relationship Type="http://schemas.openxmlformats.org/officeDocument/2006/relationships/hyperlink" Target="https://codeforces.com/problemset/problem/96/A" TargetMode="External" Id="rId273" /><Relationship Type="http://schemas.openxmlformats.org/officeDocument/2006/relationships/hyperlink" Target="https://codeforces.com/problemset/problem/112/A" TargetMode="External" Id="rId274" /><Relationship Type="http://schemas.openxmlformats.org/officeDocument/2006/relationships/hyperlink" Target="https://codeforces.com/problemset/problem/118/A" TargetMode="External" Id="rId275" /><Relationship Type="http://schemas.openxmlformats.org/officeDocument/2006/relationships/hyperlink" Target="https://codeforces.com/problemset/problem/281/A" TargetMode="External" Id="rId276" /><Relationship Type="http://schemas.openxmlformats.org/officeDocument/2006/relationships/hyperlink" Target="https://codeforces.com/problemset/problem/313/A" TargetMode="External" Id="rId277" /><Relationship Type="http://schemas.openxmlformats.org/officeDocument/2006/relationships/hyperlink" Target="https://codeforces.com/problemset/problem/472/A" TargetMode="External" Id="rId278" /><Relationship Type="http://schemas.openxmlformats.org/officeDocument/2006/relationships/hyperlink" Target="https://codeforces.com/problemset/problem/520/A" TargetMode="External" Id="rId279" /><Relationship Type="http://schemas.openxmlformats.org/officeDocument/2006/relationships/hyperlink" Target="https://codeforces.com/problemset/problem/977/B" TargetMode="External" Id="rId280" /><Relationship Type="http://schemas.openxmlformats.org/officeDocument/2006/relationships/hyperlink" Target="https://codeforces.com/problemset/problem/1095/A" TargetMode="External" Id="rId281" /><Relationship Type="http://schemas.openxmlformats.org/officeDocument/2006/relationships/hyperlink" Target="https://codeforces.com/problemset/problem/1108/B" TargetMode="External" Id="rId282" /><Relationship Type="http://schemas.openxmlformats.org/officeDocument/2006/relationships/hyperlink" Target="https://codeforces.com/problemset/problem/1182/A" TargetMode="External" Id="rId283" /><Relationship Type="http://schemas.openxmlformats.org/officeDocument/2006/relationships/hyperlink" Target="https://codeforces.com/problemset/problem/1266/A" TargetMode="External" Id="rId284" /><Relationship Type="http://schemas.openxmlformats.org/officeDocument/2006/relationships/hyperlink" Target="https://codeforces.com/problemset/problem/1295/A" TargetMode="External" Id="rId285" /><Relationship Type="http://schemas.openxmlformats.org/officeDocument/2006/relationships/hyperlink" Target="https://codeforces.com/problemset/problem/1433/A" TargetMode="External" Id="rId286" /><Relationship Type="http://schemas.openxmlformats.org/officeDocument/2006/relationships/hyperlink" Target="https://codeforces.com/problemset/problem/271/A" TargetMode="External" Id="rId287" /><Relationship Type="http://schemas.openxmlformats.org/officeDocument/2006/relationships/hyperlink" Target="https://codeforces.com/problemset/problem/443/A" TargetMode="External" Id="rId288" /><Relationship Type="http://schemas.openxmlformats.org/officeDocument/2006/relationships/hyperlink" Target="https://codeforces.com/problemset/problem/554/A" TargetMode="External" Id="rId289" /><Relationship Type="http://schemas.openxmlformats.org/officeDocument/2006/relationships/hyperlink" Target="https://codeforces.com/problemset/problem/897/A" TargetMode="External" Id="rId290" /><Relationship Type="http://schemas.openxmlformats.org/officeDocument/2006/relationships/hyperlink" Target="https://codeforces.com/problemset/problem/978/B" TargetMode="External" Id="rId291" /><Relationship Type="http://schemas.openxmlformats.org/officeDocument/2006/relationships/hyperlink" Target="https://codeforces.com/problemset/problem/1008/A" TargetMode="External" Id="rId292" /><Relationship Type="http://schemas.openxmlformats.org/officeDocument/2006/relationships/hyperlink" Target="https://codeforces.com/problemset/problem/1216/A" TargetMode="External" Id="rId293" /><Relationship Type="http://schemas.openxmlformats.org/officeDocument/2006/relationships/hyperlink" Target="https://codeforces.com/problemset/problem/1277/A" TargetMode="External" Id="rId294" /><Relationship Type="http://schemas.openxmlformats.org/officeDocument/2006/relationships/hyperlink" Target="https://codeforces.com/problemset/problem/1368/B" TargetMode="External" Id="rId295" /><Relationship Type="http://schemas.openxmlformats.org/officeDocument/2006/relationships/hyperlink" Target="https://codeforces.com/problemset/problem/1430/C" TargetMode="External" Id="rId296" /><Relationship Type="http://schemas.openxmlformats.org/officeDocument/2006/relationships/hyperlink" Target="https://codeforces.com/problemset/problem/1450/A" TargetMode="External" Id="rId297" /><Relationship Type="http://schemas.openxmlformats.org/officeDocument/2006/relationships/hyperlink" Target="https://codeforces.com/problemset/problem/1530/A" TargetMode="External" Id="rId298" /><Relationship Type="http://schemas.openxmlformats.org/officeDocument/2006/relationships/hyperlink" Target="https://codeforces.com/problemset/problem/1165/C" TargetMode="External" Id="rId299" /><Relationship Type="http://schemas.openxmlformats.org/officeDocument/2006/relationships/hyperlink" Target="https://codeforces.com/problemset/problem/1200/E" TargetMode="External" Id="rId300" /><Relationship Type="http://schemas.openxmlformats.org/officeDocument/2006/relationships/hyperlink" Target="https://codeforces.com/problemset/problem/1367/D" TargetMode="External" Id="rId301" /><Relationship Type="http://schemas.openxmlformats.org/officeDocument/2006/relationships/hyperlink" Target="https://codeforces.com/problemset/problem/1382/C1" TargetMode="External" Id="rId302" /><Relationship Type="http://schemas.openxmlformats.org/officeDocument/2006/relationships/hyperlink" Target="https://codeforces.com/problemset/problem/1382/C2" TargetMode="External" Id="rId303" /><Relationship Type="http://schemas.openxmlformats.org/officeDocument/2006/relationships/hyperlink" Target="https://codeforces.com/problemset/problem/1430/E" TargetMode="External" Id="rId304" /><Relationship Type="http://schemas.openxmlformats.org/officeDocument/2006/relationships/hyperlink" Target="https://codeforces.com/problemset/problem/1451/C" TargetMode="External" Id="rId305" /><Relationship Type="http://schemas.openxmlformats.org/officeDocument/2006/relationships/hyperlink" Target="https://codeforces.com/problemset/problem/1493/C" TargetMode="External" Id="rId306" /><Relationship Type="http://schemas.openxmlformats.org/officeDocument/2006/relationships/hyperlink" Target="https://codeforces.com/problemset/problem/126/B" TargetMode="External" Id="rId307" /><Relationship Type="http://schemas.openxmlformats.org/officeDocument/2006/relationships/hyperlink" Target="https://codeforces.com/problemset/problem/432/D" TargetMode="External" Id="rId308" /><Relationship Type="http://schemas.openxmlformats.org/officeDocument/2006/relationships/hyperlink" Target="https://codeforces.com/problemset/problem/471/D" TargetMode="External" Id="rId309" /><Relationship Type="http://schemas.openxmlformats.org/officeDocument/2006/relationships/hyperlink" Target="https://codeforces.com/problemset/problem/526/D" TargetMode="External" Id="rId310" /><Relationship Type="http://schemas.openxmlformats.org/officeDocument/2006/relationships/hyperlink" Target="https://codeforces.com/problemset/problem/808/G" TargetMode="External" Id="rId311" /><Relationship Type="http://schemas.openxmlformats.org/officeDocument/2006/relationships/hyperlink" Target="https://codeforces.com/problemset/problem/1326/D2" TargetMode="External" Id="rId312" /><Relationship Type="http://schemas.openxmlformats.org/officeDocument/2006/relationships/hyperlink" Target="https://codeforces.com/problemset/problem/1721/E" TargetMode="External" Id="rId313" /><Relationship Type="http://schemas.openxmlformats.org/officeDocument/2006/relationships/hyperlink" Target="https://codeforces.com/problemset/problem/196/B" TargetMode="External" Id="rId314" /><Relationship Type="http://schemas.openxmlformats.org/officeDocument/2006/relationships/hyperlink" Target="https://codeforces.com/problemset/problem/535/D" TargetMode="External" Id="rId315" /><Relationship Type="http://schemas.openxmlformats.org/officeDocument/2006/relationships/hyperlink" Target="https://codeforces.com/problemset/problem/1137/B" TargetMode="External" Id="rId316" /><Relationship Type="http://schemas.openxmlformats.org/officeDocument/2006/relationships/hyperlink" Target="https://codeforces.com/problemset/problem/1267/L" TargetMode="External" Id="rId317" /><Relationship Type="http://schemas.openxmlformats.org/officeDocument/2006/relationships/hyperlink" Target="https://codeforces.com/problemset/problem/271/D" TargetMode="External" Id="rId318" /><Relationship Type="http://schemas.openxmlformats.org/officeDocument/2006/relationships/hyperlink" Target="https://codeforces.com/problemset/problem/514/C" TargetMode="External" Id="rId319" /><Relationship Type="http://schemas.openxmlformats.org/officeDocument/2006/relationships/hyperlink" Target="https://codeforces.com/problemset/problem/580/E" TargetMode="External" Id="rId320" /><Relationship Type="http://schemas.openxmlformats.org/officeDocument/2006/relationships/hyperlink" Target="https://codeforces.com/problemset/problem/835/D" TargetMode="External" Id="rId321" /><Relationship Type="http://schemas.openxmlformats.org/officeDocument/2006/relationships/hyperlink" Target="https://codeforces.com/problemset/problem/963/D" TargetMode="External" Id="rId322" /><Relationship Type="http://schemas.openxmlformats.org/officeDocument/2006/relationships/hyperlink" Target="https://codeforces.com/problemset/problem/579/A" TargetMode="External" Id="rId323" /><Relationship Type="http://schemas.openxmlformats.org/officeDocument/2006/relationships/hyperlink" Target="https://codeforces.com/problemset/problem/768/A" TargetMode="External" Id="rId324" /><Relationship Type="http://schemas.openxmlformats.org/officeDocument/2006/relationships/hyperlink" Target="https://codeforces.com/problemset/problem/912/A" TargetMode="External" Id="rId325" /><Relationship Type="http://schemas.openxmlformats.org/officeDocument/2006/relationships/hyperlink" Target="https://codeforces.com/problemset/problem/1151/A" TargetMode="External" Id="rId326" /><Relationship Type="http://schemas.openxmlformats.org/officeDocument/2006/relationships/hyperlink" Target="https://codeforces.com/problemset/problem/1299/A" TargetMode="External" Id="rId327" /><Relationship Type="http://schemas.openxmlformats.org/officeDocument/2006/relationships/hyperlink" Target="https://codeforces.com/problemset/problem/1325/B" TargetMode="External" Id="rId328" /><Relationship Type="http://schemas.openxmlformats.org/officeDocument/2006/relationships/hyperlink" Target="https://codeforces.com/problemset/problem/1362/A" TargetMode="External" Id="rId329" /><Relationship Type="http://schemas.openxmlformats.org/officeDocument/2006/relationships/hyperlink" Target="https://codeforces.com/problemset/problem/1395/C" TargetMode="External" Id="rId330" /><Relationship Type="http://schemas.openxmlformats.org/officeDocument/2006/relationships/hyperlink" Target="https://codeforces.com/problemset/problem/1421/A" TargetMode="External" Id="rId331" /><Relationship Type="http://schemas.openxmlformats.org/officeDocument/2006/relationships/hyperlink" Target="https://codeforces.com/problemset/problem/1438/A" TargetMode="External" Id="rId332" /><Relationship Type="http://schemas.openxmlformats.org/officeDocument/2006/relationships/hyperlink" Target="https://codeforces.com/problemset/problem/1457/A" TargetMode="External" Id="rId333" /><Relationship Type="http://schemas.openxmlformats.org/officeDocument/2006/relationships/hyperlink" Target="https://codeforces.com/problemset/problem/1491/A" TargetMode="External" Id="rId334" /><Relationship Type="http://schemas.openxmlformats.org/officeDocument/2006/relationships/hyperlink" Target="https://codeforces.com/problemset/problem/1501/A" TargetMode="External" Id="rId335" /><Relationship Type="http://schemas.openxmlformats.org/officeDocument/2006/relationships/hyperlink" Target="https://codeforces.com/problemset/problem/1525/A" TargetMode="External" Id="rId336" /><Relationship Type="http://schemas.openxmlformats.org/officeDocument/2006/relationships/hyperlink" Target="https://codeforces.com/problemset/problem/276/D" TargetMode="External" Id="rId337" /><Relationship Type="http://schemas.openxmlformats.org/officeDocument/2006/relationships/hyperlink" Target="https://codeforces.com/problemset/problem/282/E" TargetMode="External" Id="rId338" /><Relationship Type="http://schemas.openxmlformats.org/officeDocument/2006/relationships/hyperlink" Target="https://codeforces.com/problemset/problem/429/A" TargetMode="External" Id="rId339" /><Relationship Type="http://schemas.openxmlformats.org/officeDocument/2006/relationships/hyperlink" Target="https://codeforces.com/problemset/problem/319/B" TargetMode="External" Id="rId340" /><Relationship Type="http://schemas.openxmlformats.org/officeDocument/2006/relationships/hyperlink" Target="https://codeforces.com/problemset/problem/580/D" TargetMode="External" Id="rId341" /><Relationship Type="http://schemas.openxmlformats.org/officeDocument/2006/relationships/hyperlink" Target="https://codeforces.com/problemset/problem/839/C" TargetMode="External" Id="rId342" /><Relationship Type="http://schemas.openxmlformats.org/officeDocument/2006/relationships/hyperlink" Target="https://codeforces.com/problemset/problem/1102/F" TargetMode="External" Id="rId343" /><Relationship Type="http://schemas.openxmlformats.org/officeDocument/2006/relationships/hyperlink" Target="https://codeforces.com/problemset/problem/1316/E" TargetMode="External" Id="rId344" /><Relationship Type="http://schemas.openxmlformats.org/officeDocument/2006/relationships/hyperlink" Target="https://codeforces.com/problemset/problem/1523/D" TargetMode="External" Id="rId345" /><Relationship Type="http://schemas.openxmlformats.org/officeDocument/2006/relationships/hyperlink" Target="https://codeforces.com/problemset/problem/706/D" TargetMode="External" Id="rId346" /><Relationship Type="http://schemas.openxmlformats.org/officeDocument/2006/relationships/hyperlink" Target="https://codeforces.com/problemset/problem/888/G" TargetMode="External" Id="rId347" /><Relationship Type="http://schemas.openxmlformats.org/officeDocument/2006/relationships/hyperlink" Target="https://codeforces.com/problemset/problem/923/C" TargetMode="External" Id="rId348" /><Relationship Type="http://schemas.openxmlformats.org/officeDocument/2006/relationships/hyperlink" Target="https://codeforces.com/problemset/problem/948/D" TargetMode="External" Id="rId349" /><Relationship Type="http://schemas.openxmlformats.org/officeDocument/2006/relationships/hyperlink" Target="https://codeforces.com/problemset/problem/1285/D" TargetMode="External" Id="rId350" /><Relationship Type="http://schemas.openxmlformats.org/officeDocument/2006/relationships/hyperlink" Target="https://codeforces.com/problemset/problem/1447/E" TargetMode="External" Id="rId351" /><Relationship Type="http://schemas.openxmlformats.org/officeDocument/2006/relationships/hyperlink" Target="https://codeforces.com/problemset/problem/1658/D2" TargetMode="External" Id="rId352" /><Relationship Type="http://schemas.openxmlformats.org/officeDocument/2006/relationships/hyperlink" Target="https://codeforces.com/problemset/problem/50/A" TargetMode="External" Id="rId353" /><Relationship Type="http://schemas.openxmlformats.org/officeDocument/2006/relationships/hyperlink" Target="https://codeforces.com/problemset/problem/617/A" TargetMode="External" Id="rId354" /><Relationship Type="http://schemas.openxmlformats.org/officeDocument/2006/relationships/hyperlink" Target="https://codeforces.com/problemset/problem/630/A" TargetMode="External" Id="rId355" /><Relationship Type="http://schemas.openxmlformats.org/officeDocument/2006/relationships/hyperlink" Target="https://codeforces.com/problemset/problem/742/A" TargetMode="External" Id="rId356" /><Relationship Type="http://schemas.openxmlformats.org/officeDocument/2006/relationships/hyperlink" Target="https://codeforces.com/problemset/problem/732/A" TargetMode="External" Id="rId357" /><Relationship Type="http://schemas.openxmlformats.org/officeDocument/2006/relationships/hyperlink" Target="https://codeforces.com/problemset/problem/977/A" TargetMode="External" Id="rId358" /><Relationship Type="http://schemas.openxmlformats.org/officeDocument/2006/relationships/hyperlink" Target="https://codeforces.com/problemset/problem/1154/A" TargetMode="External" Id="rId359" /><Relationship Type="http://schemas.openxmlformats.org/officeDocument/2006/relationships/hyperlink" Target="https://codeforces.com/problemset/problem/119/A" TargetMode="External" Id="rId360" /><Relationship Type="http://schemas.openxmlformats.org/officeDocument/2006/relationships/hyperlink" Target="https://codeforces.com/problemset/problem/1204/A" TargetMode="External" Id="rId361" /><Relationship Type="http://schemas.openxmlformats.org/officeDocument/2006/relationships/hyperlink" Target="https://codeforces.com/problemset/problem/1220/A" TargetMode="External" Id="rId362" /><Relationship Type="http://schemas.openxmlformats.org/officeDocument/2006/relationships/hyperlink" Target="https://codeforces.com/problemset/problem/1245/A" TargetMode="External" Id="rId363" /><Relationship Type="http://schemas.openxmlformats.org/officeDocument/2006/relationships/hyperlink" Target="https://codeforces.com/problemset/problem/1285/A" TargetMode="External" Id="rId364" /><Relationship Type="http://schemas.openxmlformats.org/officeDocument/2006/relationships/hyperlink" Target="https://codeforces.com/problemset/problem/1328/A" TargetMode="External" Id="rId365" /><Relationship Type="http://schemas.openxmlformats.org/officeDocument/2006/relationships/hyperlink" Target="https://codeforces.com/problemset/problem/1352/C" TargetMode="External" Id="rId366" /><Relationship Type="http://schemas.openxmlformats.org/officeDocument/2006/relationships/hyperlink" Target="https://codeforces.com/problemset/problem/1353/A" TargetMode="External" Id="rId367" /><Relationship Type="http://schemas.openxmlformats.org/officeDocument/2006/relationships/hyperlink" Target="https://codeforces.com/problemset/problem/1370/A" TargetMode="External" Id="rId368" /><Relationship Type="http://schemas.openxmlformats.org/officeDocument/2006/relationships/hyperlink" Target="https://codeforces.com/problemset/problem/1374/B" TargetMode="External" Id="rId369" /><Relationship Type="http://schemas.openxmlformats.org/officeDocument/2006/relationships/hyperlink" Target="https://codeforces.com/problemset/problem/1422/A" TargetMode="External" Id="rId370" /><Relationship Type="http://schemas.openxmlformats.org/officeDocument/2006/relationships/hyperlink" Target="https://codeforces.com/problemset/problem/1472/A" TargetMode="External" Id="rId371" /><Relationship Type="http://schemas.openxmlformats.org/officeDocument/2006/relationships/hyperlink" Target="https://codeforces.com/problemset/problem/1487/A" TargetMode="External" Id="rId372" /><Relationship Type="http://schemas.openxmlformats.org/officeDocument/2006/relationships/hyperlink" Target="https://codeforces.com/problemset/problem/1498/A" TargetMode="External" Id="rId373" /><Relationship Type="http://schemas.openxmlformats.org/officeDocument/2006/relationships/hyperlink" Target="https://codeforces.com/problemset/problem/7/C" TargetMode="External" Id="rId374" /><Relationship Type="http://schemas.openxmlformats.org/officeDocument/2006/relationships/hyperlink" Target="https://codeforces.com/problemset/problem/16/C" TargetMode="External" Id="rId375" /><Relationship Type="http://schemas.openxmlformats.org/officeDocument/2006/relationships/hyperlink" Target="https://codeforces.com/problemset/problem/340/A" TargetMode="External" Id="rId376" /><Relationship Type="http://schemas.openxmlformats.org/officeDocument/2006/relationships/hyperlink" Target="https://codeforces.com/problemset/problem/475/D" TargetMode="External" Id="rId377" /><Relationship Type="http://schemas.openxmlformats.org/officeDocument/2006/relationships/hyperlink" Target="https://codeforces.com/problemset/problem/510/D" TargetMode="External" Id="rId378" /><Relationship Type="http://schemas.openxmlformats.org/officeDocument/2006/relationships/hyperlink" Target="https://codeforces.com/problemset/problem/803/C" TargetMode="External" Id="rId379" /><Relationship Type="http://schemas.openxmlformats.org/officeDocument/2006/relationships/hyperlink" Target="https://codeforces.com/problemset/problem/891/A" TargetMode="External" Id="rId380" /><Relationship Type="http://schemas.openxmlformats.org/officeDocument/2006/relationships/hyperlink" Target="https://codeforces.com/problemset/problem/1025/B" TargetMode="External" Id="rId381" /><Relationship Type="http://schemas.openxmlformats.org/officeDocument/2006/relationships/hyperlink" Target="https://codeforces.com/problemset/problem/1244/C" TargetMode="External" Id="rId382" /><Relationship Type="http://schemas.openxmlformats.org/officeDocument/2006/relationships/hyperlink" Target="https://codeforces.com/problemset/problem/1285/C" TargetMode="External" Id="rId383" /><Relationship Type="http://schemas.openxmlformats.org/officeDocument/2006/relationships/hyperlink" Target="https://codeforces.com/problemset/problem/1458/A" TargetMode="External" Id="rId384" /><Relationship Type="http://schemas.openxmlformats.org/officeDocument/2006/relationships/hyperlink" Target="https://codeforces.com/problemset/problem/1548/B" TargetMode="External" Id="rId385" /><Relationship Type="http://schemas.openxmlformats.org/officeDocument/2006/relationships/hyperlink" Target="https://codeforces.com/problemset/problem/17/A" TargetMode="External" Id="rId386" /><Relationship Type="http://schemas.openxmlformats.org/officeDocument/2006/relationships/hyperlink" Target="https://codeforces.com/problemset/problem/230/B" TargetMode="External" Id="rId387" /><Relationship Type="http://schemas.openxmlformats.org/officeDocument/2006/relationships/hyperlink" Target="https://codeforces.com/problemset/problem/385/C" TargetMode="External" Id="rId388" /><Relationship Type="http://schemas.openxmlformats.org/officeDocument/2006/relationships/hyperlink" Target="https://codeforces.com/problemset/problem/577/B" TargetMode="External" Id="rId389" /><Relationship Type="http://schemas.openxmlformats.org/officeDocument/2006/relationships/hyperlink" Target="https://codeforces.com/problemset/problem/776/B" TargetMode="External" Id="rId390" /><Relationship Type="http://schemas.openxmlformats.org/officeDocument/2006/relationships/hyperlink" Target="https://codeforces.com/problemset/problem/959/D" TargetMode="External" Id="rId391" /><Relationship Type="http://schemas.openxmlformats.org/officeDocument/2006/relationships/hyperlink" Target="https://codeforces.com/problemset/problem/1033/D" TargetMode="External" Id="rId392" /><Relationship Type="http://schemas.openxmlformats.org/officeDocument/2006/relationships/hyperlink" Target="https://codeforces.com/problemset/problem/1174/C" TargetMode="External" Id="rId393" /><Relationship Type="http://schemas.openxmlformats.org/officeDocument/2006/relationships/hyperlink" Target="https://codeforces.com/problemset/problem/1228/C" TargetMode="External" Id="rId394" /><Relationship Type="http://schemas.openxmlformats.org/officeDocument/2006/relationships/hyperlink" Target="https://codeforces.com/problemset/problem/1295/D" TargetMode="External" Id="rId395" /><Relationship Type="http://schemas.openxmlformats.org/officeDocument/2006/relationships/hyperlink" Target="https://codeforces.com/problemset/problem/1475/G" TargetMode="External" Id="rId396" /><Relationship Type="http://schemas.openxmlformats.org/officeDocument/2006/relationships/hyperlink" Target="https://codeforces.com/problemset/problem/337/C" TargetMode="External" Id="rId397" /><Relationship Type="http://schemas.openxmlformats.org/officeDocument/2006/relationships/hyperlink" Target="https://codeforces.com/problemset/problem/451/E" TargetMode="External" Id="rId398" /><Relationship Type="http://schemas.openxmlformats.org/officeDocument/2006/relationships/hyperlink" Target="https://codeforces.com/problemset/problem/584/B" TargetMode="External" Id="rId399" /><Relationship Type="http://schemas.openxmlformats.org/officeDocument/2006/relationships/hyperlink" Target="https://codeforces.com/problemset/problem/622/F" TargetMode="External" Id="rId400" /><Relationship Type="http://schemas.openxmlformats.org/officeDocument/2006/relationships/hyperlink" Target="https://codeforces.com/problemset/problem/895/C" TargetMode="External" Id="rId401" /><Relationship Type="http://schemas.openxmlformats.org/officeDocument/2006/relationships/hyperlink" Target="https://codeforces.com/problemset/problem/1096/D" TargetMode="External" Id="rId402" /><Relationship Type="http://schemas.openxmlformats.org/officeDocument/2006/relationships/hyperlink" Target="https://codeforces.com/problemset/problem/1359/E" TargetMode="External" Id="rId403" /><Relationship Type="http://schemas.openxmlformats.org/officeDocument/2006/relationships/hyperlink" Target="https://codeforces.com/problemset/problem/1452/D" TargetMode="External" Id="rId404" /><Relationship Type="http://schemas.openxmlformats.org/officeDocument/2006/relationships/hyperlink" Target="https://codeforces.com/problemset/problem/294/C" TargetMode="External" Id="rId405" /><Relationship Type="http://schemas.openxmlformats.org/officeDocument/2006/relationships/hyperlink" Target="https://codeforces.com/problemset/problem/300/C" TargetMode="External" Id="rId406" /><Relationship Type="http://schemas.openxmlformats.org/officeDocument/2006/relationships/hyperlink" Target="https://codeforces.com/problemset/problem/553/A" TargetMode="External" Id="rId407" /><Relationship Type="http://schemas.openxmlformats.org/officeDocument/2006/relationships/hyperlink" Target="https://codeforces.com/problemset/problem/869/C" TargetMode="External" Id="rId408" /><Relationship Type="http://schemas.openxmlformats.org/officeDocument/2006/relationships/hyperlink" Target="https://codeforces.com/problemset/problem/888/D" TargetMode="External" Id="rId409" /><Relationship Type="http://schemas.openxmlformats.org/officeDocument/2006/relationships/hyperlink" Target="https://codeforces.com/problemset/problem/1091/D" TargetMode="External" Id="rId410" /><Relationship Type="http://schemas.openxmlformats.org/officeDocument/2006/relationships/hyperlink" Target="https://codeforces.com/problemset/problem/1312/D" TargetMode="External" Id="rId411" /><Relationship Type="http://schemas.openxmlformats.org/officeDocument/2006/relationships/hyperlink" Target="https://codeforces.com/problemset/problem/1420/D" TargetMode="External" Id="rId412" /><Relationship Type="http://schemas.openxmlformats.org/officeDocument/2006/relationships/hyperlink" Target="https://codeforces.com/problemset/problem/1545/B" TargetMode="External" Id="rId413" /><Relationship Type="http://schemas.openxmlformats.org/officeDocument/2006/relationships/hyperlink" Target="https://codeforces.com/problemset/problem/1717/D" TargetMode="External" Id="rId414" /><Relationship Type="http://schemas.openxmlformats.org/officeDocument/2006/relationships/hyperlink" Target="https://codeforces.com/problemset/problem/547/C" TargetMode="External" Id="rId415" /><Relationship Type="http://schemas.openxmlformats.org/officeDocument/2006/relationships/hyperlink" Target="https://codeforces.com/problemset/problem/803/F" TargetMode="External" Id="rId416" /><Relationship Type="http://schemas.openxmlformats.org/officeDocument/2006/relationships/hyperlink" Target="https://codeforces.com/problemset/problem/900/D" TargetMode="External" Id="rId417" /><Relationship Type="http://schemas.openxmlformats.org/officeDocument/2006/relationships/hyperlink" Target="https://codeforces.com/problemset/problem/915/G" TargetMode="External" Id="rId418" /><Relationship Type="http://schemas.openxmlformats.org/officeDocument/2006/relationships/hyperlink" Target="https://codeforces.com/problemset/problem/986/F" TargetMode="External" Id="rId419" /><Relationship Type="http://schemas.openxmlformats.org/officeDocument/2006/relationships/hyperlink" Target="https://codeforces.com/problemset/problem/1559/E" TargetMode="External" Id="rId420" /><Relationship Type="http://schemas.openxmlformats.org/officeDocument/2006/relationships/hyperlink" Target="https://codeforces.com/problemset/problem/1750/D" TargetMode="External" Id="rId421" /><Relationship Type="http://schemas.openxmlformats.org/officeDocument/2006/relationships/hyperlink" Target="https://codeforces.com/problemset/problem/448/A" TargetMode="External" Id="rId422" /><Relationship Type="http://schemas.openxmlformats.org/officeDocument/2006/relationships/hyperlink" Target="https://codeforces.com/problemset/problem/448/C" TargetMode="External" Id="rId423" /><Relationship Type="http://schemas.openxmlformats.org/officeDocument/2006/relationships/hyperlink" Target="https://codeforces.com/problemset/problem/559/B" TargetMode="External" Id="rId424" /><Relationship Type="http://schemas.openxmlformats.org/officeDocument/2006/relationships/hyperlink" Target="https://codeforces.com/problemset/problem/750/C" TargetMode="External" Id="rId425" /><Relationship Type="http://schemas.openxmlformats.org/officeDocument/2006/relationships/hyperlink" Target="https://codeforces.com/problemset/problem/863/C" TargetMode="External" Id="rId426" /><Relationship Type="http://schemas.openxmlformats.org/officeDocument/2006/relationships/hyperlink" Target="https://codeforces.com/problemset/problem/1030/C" TargetMode="External" Id="rId427" /><Relationship Type="http://schemas.openxmlformats.org/officeDocument/2006/relationships/hyperlink" Target="https://codeforces.com/problemset/problem/1174/B" TargetMode="External" Id="rId428" /><Relationship Type="http://schemas.openxmlformats.org/officeDocument/2006/relationships/hyperlink" Target="https://codeforces.com/problemset/problem/1363/C" TargetMode="External" Id="rId429" /><Relationship Type="http://schemas.openxmlformats.org/officeDocument/2006/relationships/hyperlink" Target="https://codeforces.com/problemset/problem/1454/E" TargetMode="External" Id="rId430" /><Relationship Type="http://schemas.openxmlformats.org/officeDocument/2006/relationships/hyperlink" Target="https://codeforces.com/problemset/problem/525/B" TargetMode="External" Id="rId431" /><Relationship Type="http://schemas.openxmlformats.org/officeDocument/2006/relationships/hyperlink" Target="https://codeforces.com/problemset/problem/525/C" TargetMode="External" Id="rId432" /><Relationship Type="http://schemas.openxmlformats.org/officeDocument/2006/relationships/hyperlink" Target="https://codeforces.com/problemset/problem/550/B" TargetMode="External" Id="rId433" /><Relationship Type="http://schemas.openxmlformats.org/officeDocument/2006/relationships/hyperlink" Target="https://codeforces.com/problemset/problem/580/C" TargetMode="External" Id="rId434" /><Relationship Type="http://schemas.openxmlformats.org/officeDocument/2006/relationships/hyperlink" Target="https://codeforces.com/problemset/problem/750/D" TargetMode="External" Id="rId435" /><Relationship Type="http://schemas.openxmlformats.org/officeDocument/2006/relationships/hyperlink" Target="https://codeforces.com/problemset/problem/864/C" TargetMode="External" Id="rId436" /><Relationship Type="http://schemas.openxmlformats.org/officeDocument/2006/relationships/hyperlink" Target="https://codeforces.com/problemset/problem/903/D" TargetMode="External" Id="rId437" /><Relationship Type="http://schemas.openxmlformats.org/officeDocument/2006/relationships/hyperlink" Target="https://codeforces.com/problemset/problem/996/C" TargetMode="External" Id="rId438" /><Relationship Type="http://schemas.openxmlformats.org/officeDocument/2006/relationships/hyperlink" Target="https://codeforces.com/problemset/problem/1059/B" TargetMode="External" Id="rId439" /><Relationship Type="http://schemas.openxmlformats.org/officeDocument/2006/relationships/hyperlink" Target="https://codeforces.com/problemset/problem/1182/C" TargetMode="External" Id="rId440" /><Relationship Type="http://schemas.openxmlformats.org/officeDocument/2006/relationships/hyperlink" Target="https://codeforces.com/problemset/problem/1243/B2" TargetMode="External" Id="rId441" /><Relationship Type="http://schemas.openxmlformats.org/officeDocument/2006/relationships/hyperlink" Target="https://codeforces.com/problemset/problem/1301/A" TargetMode="External" Id="rId442" /><Relationship Type="http://schemas.openxmlformats.org/officeDocument/2006/relationships/hyperlink" Target="https://codeforces.com/problemset/problem/1385/D" TargetMode="External" Id="rId443" /><Relationship Type="http://schemas.openxmlformats.org/officeDocument/2006/relationships/hyperlink" Target="https://codeforces.com/problemset/problem/1450/B" TargetMode="External" Id="rId444" /><Relationship Type="http://schemas.openxmlformats.org/officeDocument/2006/relationships/hyperlink" Target="https://codeforces.com/problemset/problem/1501/C" TargetMode="External" Id="rId445" /><Relationship Type="http://schemas.openxmlformats.org/officeDocument/2006/relationships/hyperlink" Target="https://codeforces.com/problemset/problem/1189/A" TargetMode="External" Id="rId446" /><Relationship Type="http://schemas.openxmlformats.org/officeDocument/2006/relationships/hyperlink" Target="https://codeforces.com/problemset/problem/1225/C" TargetMode="External" Id="rId447" /><Relationship Type="http://schemas.openxmlformats.org/officeDocument/2006/relationships/hyperlink" Target="https://codeforces.com/problemset/problem/1266/C" TargetMode="External" Id="rId448" /><Relationship Type="http://schemas.openxmlformats.org/officeDocument/2006/relationships/hyperlink" Target="https://codeforces.com/problemset/problem/1366/C" TargetMode="External" Id="rId449" /><Relationship Type="http://schemas.openxmlformats.org/officeDocument/2006/relationships/hyperlink" Target="https://codeforces.com/problemset/problem/1453/C" TargetMode="External" Id="rId450" /><Relationship Type="http://schemas.openxmlformats.org/officeDocument/2006/relationships/hyperlink" Target="https://codeforces.com/problemset/problem/1492/D" TargetMode="External" Id="rId451" /><Relationship Type="http://schemas.openxmlformats.org/officeDocument/2006/relationships/hyperlink" Target="https://codeforces.com/problemset/problem/873/D" TargetMode="External" Id="rId452" /><Relationship Type="http://schemas.openxmlformats.org/officeDocument/2006/relationships/hyperlink" Target="https://codeforces.com/problemset/problem/1114/E" TargetMode="External" Id="rId453" /><Relationship Type="http://schemas.openxmlformats.org/officeDocument/2006/relationships/hyperlink" Target="https://codeforces.com/problemset/problem/1283/D" TargetMode="External" Id="rId454" /><Relationship Type="http://schemas.openxmlformats.org/officeDocument/2006/relationships/hyperlink" Target="https://codeforces.com/problemset/problem/1408/E" TargetMode="External" Id="rId455" /><Relationship Type="http://schemas.openxmlformats.org/officeDocument/2006/relationships/hyperlink" Target="https://codeforces.com/problemset/problem/56/E" TargetMode="External" Id="rId456" /><Relationship Type="http://schemas.openxmlformats.org/officeDocument/2006/relationships/hyperlink" Target="https://codeforces.com/problemset/problem/343/B" TargetMode="External" Id="rId457" /><Relationship Type="http://schemas.openxmlformats.org/officeDocument/2006/relationships/hyperlink" Target="https://codeforces.com/problemset/problem/847/B" TargetMode="External" Id="rId458" /><Relationship Type="http://schemas.openxmlformats.org/officeDocument/2006/relationships/hyperlink" Target="https://codeforces.com/problemset/problem/1003/A" TargetMode="External" Id="rId459" /><Relationship Type="http://schemas.openxmlformats.org/officeDocument/2006/relationships/hyperlink" Target="https://codeforces.com/problemset/problem/1073/B" TargetMode="External" Id="rId460" /><Relationship Type="http://schemas.openxmlformats.org/officeDocument/2006/relationships/hyperlink" Target="https://codeforces.com/problemset/problem/1092/D1" TargetMode="External" Id="rId461" /><Relationship Type="http://schemas.openxmlformats.org/officeDocument/2006/relationships/hyperlink" Target="https://codeforces.com/problemset/problem/1092/D2" TargetMode="External" Id="rId462" /><Relationship Type="http://schemas.openxmlformats.org/officeDocument/2006/relationships/hyperlink" Target="https://codeforces.com/problemset/problem/1154/E" TargetMode="External" Id="rId463" /><Relationship Type="http://schemas.openxmlformats.org/officeDocument/2006/relationships/hyperlink" Target="https://codeforces.com/problemset/problem/1263/C" TargetMode="External" Id="rId464" /><Relationship Type="http://schemas.openxmlformats.org/officeDocument/2006/relationships/hyperlink" Target="https://codeforces.com/problemset/problem/1375/C" TargetMode="External" Id="rId465" /><Relationship Type="http://schemas.openxmlformats.org/officeDocument/2006/relationships/hyperlink" Target="https://codeforces.com/problemset/problem/1445/A" TargetMode="External" Id="rId466" /><Relationship Type="http://schemas.openxmlformats.org/officeDocument/2006/relationships/hyperlink" Target="https://codeforces.com/problemset/problem/1462/B" TargetMode="External" Id="rId467" /><Relationship Type="http://schemas.openxmlformats.org/officeDocument/2006/relationships/hyperlink" Target="https://codeforces.com/problemset/problem/5/C" TargetMode="External" Id="rId468" /><Relationship Type="http://schemas.openxmlformats.org/officeDocument/2006/relationships/hyperlink" Target="https://codeforces.com/problemset/problem/26/B" TargetMode="External" Id="rId469" /><Relationship Type="http://schemas.openxmlformats.org/officeDocument/2006/relationships/hyperlink" Target="https://codeforces.com/problemset/problem/380/C" TargetMode="External" Id="rId470" /><Relationship Type="http://schemas.openxmlformats.org/officeDocument/2006/relationships/hyperlink" Target="https://codeforces.com/problemset/problem/1095/E" TargetMode="External" Id="rId471" /><Relationship Type="http://schemas.openxmlformats.org/officeDocument/2006/relationships/hyperlink" Target="https://codeforces.com/problemset/problem/1153/C" TargetMode="External" Id="rId472" /><Relationship Type="http://schemas.openxmlformats.org/officeDocument/2006/relationships/hyperlink" Target="https://codeforces.com/problemset/problem/1305/B" TargetMode="External" Id="rId473" /><Relationship Type="http://schemas.openxmlformats.org/officeDocument/2006/relationships/hyperlink" Target="https://codeforces.com/problemset/problem/1452/C" TargetMode="External" Id="rId474" /><Relationship Type="http://schemas.openxmlformats.org/officeDocument/2006/relationships/hyperlink" Target="https://codeforces.com/problemset/problem/1578/H" TargetMode="External" Id="rId475" /><Relationship Type="http://schemas.openxmlformats.org/officeDocument/2006/relationships/hyperlink" Target="https://codeforces.com/problemset/problem/547/B" TargetMode="External" Id="rId476" /><Relationship Type="http://schemas.openxmlformats.org/officeDocument/2006/relationships/hyperlink" Target="https://codeforces.com/problemset/problem/817/D" TargetMode="External" Id="rId477" /><Relationship Type="http://schemas.openxmlformats.org/officeDocument/2006/relationships/hyperlink" Target="https://codeforces.com/problemset/problem/920/F" TargetMode="External" Id="rId478" /><Relationship Type="http://schemas.openxmlformats.org/officeDocument/2006/relationships/hyperlink" Target="https://codeforces.com/problemset/problem/1156/E" TargetMode="External" Id="rId479" /><Relationship Type="http://schemas.openxmlformats.org/officeDocument/2006/relationships/hyperlink" Target="https://codeforces.com/problemset/problem/1237/D" TargetMode="External" Id="rId480" /><Relationship Type="http://schemas.openxmlformats.org/officeDocument/2006/relationships/hyperlink" Target="https://codeforces.com/problemset/problem/1313/C2" TargetMode="External" Id="rId481" /><Relationship Type="http://schemas.openxmlformats.org/officeDocument/2006/relationships/hyperlink" Target="https://codeforces.com/problemset/problem/1503/C" TargetMode="External" Id="rId482" /><Relationship Type="http://schemas.openxmlformats.org/officeDocument/2006/relationships/hyperlink" Target="https://codeforces.com/problemset/problem/1795/E" TargetMode="External" Id="rId483" /><Relationship Type="http://schemas.openxmlformats.org/officeDocument/2006/relationships/hyperlink" Target="https://codeforces.com/problemset/problem/1239/D" TargetMode="External" Id="rId484" /><Relationship Type="http://schemas.openxmlformats.org/officeDocument/2006/relationships/hyperlink" Target="https://codeforces.com/problemset/problem/1381/B" TargetMode="External" Id="rId485" /><Relationship Type="http://schemas.openxmlformats.org/officeDocument/2006/relationships/hyperlink" Target="https://codeforces.com/problemset/problem/1238/B" TargetMode="External" Id="rId486" /><Relationship Type="http://schemas.openxmlformats.org/officeDocument/2006/relationships/hyperlink" Target="https://codeforces.com/problemset/problem/939/C" TargetMode="External" Id="rId487" /><Relationship Type="http://schemas.openxmlformats.org/officeDocument/2006/relationships/hyperlink" Target="https://codeforces.com/problemset/problem/920/A" TargetMode="External" Id="rId488" /><Relationship Type="http://schemas.openxmlformats.org/officeDocument/2006/relationships/hyperlink" Target="https://codeforces.com/problemset/problem/978/D" TargetMode="External" Id="rId489" /><Relationship Type="http://schemas.openxmlformats.org/officeDocument/2006/relationships/hyperlink" Target="https://codeforces.com/problemset/problem/1015/C" TargetMode="External" Id="rId490" /><Relationship Type="http://schemas.openxmlformats.org/officeDocument/2006/relationships/hyperlink" Target="https://codeforces.com/problemset/problem/1104/B" TargetMode="External" Id="rId491" /><Relationship Type="http://schemas.openxmlformats.org/officeDocument/2006/relationships/hyperlink" Target="https://codeforces.com/problemset/problem/1195/B" TargetMode="External" Id="rId492" /><Relationship Type="http://schemas.openxmlformats.org/officeDocument/2006/relationships/hyperlink" Target="https://codeforces.com/problemset/problem/1287/A" TargetMode="External" Id="rId493" /><Relationship Type="http://schemas.openxmlformats.org/officeDocument/2006/relationships/hyperlink" Target="https://codeforces.com/problemset/problem/1367/B" TargetMode="External" Id="rId494" /><Relationship Type="http://schemas.openxmlformats.org/officeDocument/2006/relationships/hyperlink" Target="https://codeforces.com/problemset/problem/1511/A" TargetMode="External" Id="rId495" /><Relationship Type="http://schemas.openxmlformats.org/officeDocument/2006/relationships/hyperlink" Target="https://codeforces.com/problemset/problem/1294/D" TargetMode="External" Id="rId496" /><Relationship Type="http://schemas.openxmlformats.org/officeDocument/2006/relationships/hyperlink" Target="https://codeforces.com/problemset/problem/1353/E" TargetMode="External" Id="rId497" /><Relationship Type="http://schemas.openxmlformats.org/officeDocument/2006/relationships/hyperlink" Target="https://codeforces.com/problemset/problem/1393/C" TargetMode="External" Id="rId498" /><Relationship Type="http://schemas.openxmlformats.org/officeDocument/2006/relationships/hyperlink" Target="https://codeforces.com/problemset/problem/1438/B" TargetMode="External" Id="rId499" /><Relationship Type="http://schemas.openxmlformats.org/officeDocument/2006/relationships/hyperlink" Target="https://codeforces.com/problemset/problem/1469/C" TargetMode="External" Id="rId500" /><Relationship Type="http://schemas.openxmlformats.org/officeDocument/2006/relationships/hyperlink" Target="https://codeforces.com/problemset/problem/1512/C" TargetMode="External" Id="rId501" /><Relationship Type="http://schemas.openxmlformats.org/officeDocument/2006/relationships/hyperlink" Target="https://codeforces.com/problemset/problem/1547/D" TargetMode="External" Id="rId502" /><Relationship Type="http://schemas.openxmlformats.org/officeDocument/2006/relationships/hyperlink" Target="https://codeforces.com/problemset/problem/1574/D" TargetMode="External" Id="rId503" /><Relationship Type="http://schemas.openxmlformats.org/officeDocument/2006/relationships/hyperlink" Target="https://codeforces.com/problemset/problem/372/C" TargetMode="External" Id="rId504" /><Relationship Type="http://schemas.openxmlformats.org/officeDocument/2006/relationships/hyperlink" Target="https://codeforces.com/problemset/problem/445/A" TargetMode="External" Id="rId505" /><Relationship Type="http://schemas.openxmlformats.org/officeDocument/2006/relationships/hyperlink" Target="https://codeforces.com/problemset/problem/939/F" TargetMode="External" Id="rId506" /><Relationship Type="http://schemas.openxmlformats.org/officeDocument/2006/relationships/hyperlink" Target="https://codeforces.com/problemset/problem/1077/F1" TargetMode="External" Id="rId507" /><Relationship Type="http://schemas.openxmlformats.org/officeDocument/2006/relationships/hyperlink" Target="https://codeforces.com/problemset/problem/1077/F2" TargetMode="External" Id="rId508" /><Relationship Type="http://schemas.openxmlformats.org/officeDocument/2006/relationships/hyperlink" Target="https://codeforces.com/problemset/problem/1485/C" TargetMode="External" Id="rId509" /><Relationship Type="http://schemas.openxmlformats.org/officeDocument/2006/relationships/hyperlink" Target="https://codeforces.com/problemset/problem/796/D" TargetMode="External" Id="rId510" /><Relationship Type="http://schemas.openxmlformats.org/officeDocument/2006/relationships/hyperlink" Target="https://codeforces.com/problemset/problem/877/D" TargetMode="External" Id="rId511" /><Relationship Type="http://schemas.openxmlformats.org/officeDocument/2006/relationships/hyperlink" Target="https://codeforces.com/problemset/problem/986/A" TargetMode="External" Id="rId512" /><Relationship Type="http://schemas.openxmlformats.org/officeDocument/2006/relationships/hyperlink" Target="https://codeforces.com/problemset/problem/1272/E" TargetMode="External" Id="rId513" /><Relationship Type="http://schemas.openxmlformats.org/officeDocument/2006/relationships/hyperlink" Target="https://codeforces.com/problemset/problem/1294/F" TargetMode="External" Id="rId514" /><Relationship Type="http://schemas.openxmlformats.org/officeDocument/2006/relationships/hyperlink" Target="https://codeforces.com/problemset/problem/1344/B" TargetMode="External" Id="rId515" /><Relationship Type="http://schemas.openxmlformats.org/officeDocument/2006/relationships/hyperlink" Target="https://codeforces.com/problemset/problem/1486/E" TargetMode="External" Id="rId516" /><Relationship Type="http://schemas.openxmlformats.org/officeDocument/2006/relationships/hyperlink" Target="https://codeforces.com/problemset/problem/722/C" TargetMode="External" Id="rId517" /><Relationship Type="http://schemas.openxmlformats.org/officeDocument/2006/relationships/hyperlink" Target="https://codeforces.com/problemset/problem/863/D" TargetMode="External" Id="rId518" /><Relationship Type="http://schemas.openxmlformats.org/officeDocument/2006/relationships/hyperlink" Target="https://codeforces.com/problemset/problem/1008/B" TargetMode="External" Id="rId519" /><Relationship Type="http://schemas.openxmlformats.org/officeDocument/2006/relationships/hyperlink" Target="https://codeforces.com/problemset/problem/1196/A" TargetMode="External" Id="rId520" /><Relationship Type="http://schemas.openxmlformats.org/officeDocument/2006/relationships/hyperlink" Target="https://codeforces.com/problemset/problem/1234/B1" TargetMode="External" Id="rId521" /><Relationship Type="http://schemas.openxmlformats.org/officeDocument/2006/relationships/hyperlink" Target="https://codeforces.com/problemset/problem/1234/B2" TargetMode="External" Id="rId522" /><Relationship Type="http://schemas.openxmlformats.org/officeDocument/2006/relationships/hyperlink" Target="https://codeforces.com/problemset/problem/1293/A" TargetMode="External" Id="rId523" /><Relationship Type="http://schemas.openxmlformats.org/officeDocument/2006/relationships/hyperlink" Target="https://codeforces.com/problemset/problem/1360/C" TargetMode="External" Id="rId524" /><Relationship Type="http://schemas.openxmlformats.org/officeDocument/2006/relationships/hyperlink" Target="https://codeforces.com/problemset/problem/1409/B" TargetMode="External" Id="rId525" /><Relationship Type="http://schemas.openxmlformats.org/officeDocument/2006/relationships/hyperlink" Target="https://codeforces.com/problemset/problem/1512/B" TargetMode="External" Id="rId526" /><Relationship Type="http://schemas.openxmlformats.org/officeDocument/2006/relationships/hyperlink" Target="https://codeforces.com/problemset/problem/659/D" TargetMode="External" Id="rId527" /><Relationship Type="http://schemas.openxmlformats.org/officeDocument/2006/relationships/hyperlink" Target="https://codeforces.com/problemset/problem/975/C" TargetMode="External" Id="rId528" /><Relationship Type="http://schemas.openxmlformats.org/officeDocument/2006/relationships/hyperlink" Target="https://codeforces.com/problemset/problem/1237/C1" TargetMode="External" Id="rId529" /><Relationship Type="http://schemas.openxmlformats.org/officeDocument/2006/relationships/hyperlink" Target="https://codeforces.com/problemset/problem/1237/C2" TargetMode="External" Id="rId530" /><Relationship Type="http://schemas.openxmlformats.org/officeDocument/2006/relationships/hyperlink" Target="https://codeforces.com/problemset/problem/1352/D" TargetMode="External" Id="rId531" /><Relationship Type="http://schemas.openxmlformats.org/officeDocument/2006/relationships/hyperlink" Target="https://codeforces.com/problemset/problem/1382/B" TargetMode="External" Id="rId532" /><Relationship Type="http://schemas.openxmlformats.org/officeDocument/2006/relationships/hyperlink" Target="https://codeforces.com/problemset/problem/1468/K" TargetMode="External" Id="rId533" /><Relationship Type="http://schemas.openxmlformats.org/officeDocument/2006/relationships/hyperlink" Target="https://codeforces.com/problemset/problem/1487/B" TargetMode="External" Id="rId534" /><Relationship Type="http://schemas.openxmlformats.org/officeDocument/2006/relationships/hyperlink" Target="https://codeforces.com/problemset/problem/1525/B" TargetMode="External" Id="rId535" /><Relationship Type="http://schemas.openxmlformats.org/officeDocument/2006/relationships/hyperlink" Target="https://codeforces.com/problemset/problem/1299/C" TargetMode="External" Id="rId536" /><Relationship Type="http://schemas.openxmlformats.org/officeDocument/2006/relationships/hyperlink" Target="https://codeforces.com/problemset/problem/61/E" TargetMode="External" Id="rId537" /><Relationship Type="http://schemas.openxmlformats.org/officeDocument/2006/relationships/hyperlink" Target="https://codeforces.com/problemset/problem/220/B" TargetMode="External" Id="rId538" /><Relationship Type="http://schemas.openxmlformats.org/officeDocument/2006/relationships/hyperlink" Target="https://codeforces.com/problemset/problem/652/D" TargetMode="External" Id="rId539" /><Relationship Type="http://schemas.openxmlformats.org/officeDocument/2006/relationships/hyperlink" Target="https://codeforces.com/problemset/problem/847/E" TargetMode="External" Id="rId540" /><Relationship Type="http://schemas.openxmlformats.org/officeDocument/2006/relationships/hyperlink" Target="https://codeforces.com/problemset/problem/1354/D" TargetMode="External" Id="rId541" /><Relationship Type="http://schemas.openxmlformats.org/officeDocument/2006/relationships/hyperlink" Target="https://codeforces.com/problemset/problem/1430/F" TargetMode="External" Id="rId542" /><Relationship Type="http://schemas.openxmlformats.org/officeDocument/2006/relationships/hyperlink" Target="https://codeforces.com/problemset/problem/1579/E1" TargetMode="External" Id="rId543" /><Relationship Type="http://schemas.openxmlformats.org/officeDocument/2006/relationships/hyperlink" Target="https://codeforces.com/problemset/problem/1579/E2" TargetMode="External" Id="rId544" /><Relationship Type="http://schemas.openxmlformats.org/officeDocument/2006/relationships/hyperlink" Target="https://codeforces.com/problemset/problem/219/D" TargetMode="External" Id="rId545" /><Relationship Type="http://schemas.openxmlformats.org/officeDocument/2006/relationships/hyperlink" Target="https://codeforces.com/problemset/problem/337/A" TargetMode="External" Id="rId546" /><Relationship Type="http://schemas.openxmlformats.org/officeDocument/2006/relationships/hyperlink" Target="https://codeforces.com/problemset/problem/337/D" TargetMode="External" Id="rId547" /><Relationship Type="http://schemas.openxmlformats.org/officeDocument/2006/relationships/hyperlink" Target="https://codeforces.com/problemset/problem/545/C" TargetMode="External" Id="rId548" /><Relationship Type="http://schemas.openxmlformats.org/officeDocument/2006/relationships/hyperlink" Target="https://codeforces.com/problemset/problem/763/A" TargetMode="External" Id="rId549" /><Relationship Type="http://schemas.openxmlformats.org/officeDocument/2006/relationships/hyperlink" Target="https://codeforces.com/problemset/problem/893/C" TargetMode="External" Id="rId550" /><Relationship Type="http://schemas.openxmlformats.org/officeDocument/2006/relationships/hyperlink" Target="https://codeforces.com/problemset/problem/920/E" TargetMode="External" Id="rId551" /><Relationship Type="http://schemas.openxmlformats.org/officeDocument/2006/relationships/hyperlink" Target="https://codeforces.com/problemset/problem/987/D" TargetMode="External" Id="rId552" /><Relationship Type="http://schemas.openxmlformats.org/officeDocument/2006/relationships/hyperlink" Target="https://codeforces.com/problemset/problem/1029/E" TargetMode="External" Id="rId553" /><Relationship Type="http://schemas.openxmlformats.org/officeDocument/2006/relationships/hyperlink" Target="https://codeforces.com/problemset/problem/1118/F1" TargetMode="External" Id="rId554" /><Relationship Type="http://schemas.openxmlformats.org/officeDocument/2006/relationships/hyperlink" Target="https://codeforces.com/problemset/problem/1139/C" TargetMode="External" Id="rId555" /><Relationship Type="http://schemas.openxmlformats.org/officeDocument/2006/relationships/hyperlink" Target="https://codeforces.com/problemset/problem/1187/E" TargetMode="External" Id="rId556" /><Relationship Type="http://schemas.openxmlformats.org/officeDocument/2006/relationships/hyperlink" Target="https://codeforces.com/problemset/problem/682/C" TargetMode="External" Id="rId557" /><Relationship Type="http://schemas.openxmlformats.org/officeDocument/2006/relationships/hyperlink" Target="https://codeforces.com/problemset/problem/734/E" TargetMode="External" Id="rId558" /><Relationship Type="http://schemas.openxmlformats.org/officeDocument/2006/relationships/hyperlink" Target="https://codeforces.com/problemset/problem/980/E" TargetMode="External" Id="rId559" /><Relationship Type="http://schemas.openxmlformats.org/officeDocument/2006/relationships/hyperlink" Target="https://codeforces.com/problemset/problem/1286/B" TargetMode="External" Id="rId560" /><Relationship Type="http://schemas.openxmlformats.org/officeDocument/2006/relationships/hyperlink" Target="https://codeforces.com/problemset/problem/1328/E" TargetMode="External" Id="rId561" /><Relationship Type="http://schemas.openxmlformats.org/officeDocument/2006/relationships/hyperlink" Target="https://codeforces.com/problemset/problem/1363/E" TargetMode="External" Id="rId562" /><Relationship Type="http://schemas.openxmlformats.org/officeDocument/2006/relationships/hyperlink" Target="https://codeforces.com/problemset/problem/1385/F" TargetMode="External" Id="rId563" /><Relationship Type="http://schemas.openxmlformats.org/officeDocument/2006/relationships/hyperlink" Target="https://codeforces.com/problemset/problem/274/B" TargetMode="External" Id="rId564" /><Relationship Type="http://schemas.openxmlformats.org/officeDocument/2006/relationships/hyperlink" Target="https://codeforces.com/problemset/problem/543/D" TargetMode="External" Id="rId565" /><Relationship Type="http://schemas.openxmlformats.org/officeDocument/2006/relationships/hyperlink" Target="https://codeforces.com/problemset/problem/960/E" TargetMode="External" Id="rId566" /><Relationship Type="http://schemas.openxmlformats.org/officeDocument/2006/relationships/hyperlink" Target="https://codeforces.com/problemset/problem/1099/F" TargetMode="External" Id="rId567" /><Relationship Type="http://schemas.openxmlformats.org/officeDocument/2006/relationships/hyperlink" Target="https://codeforces.com/problemset/problem/1118/F2" TargetMode="External" Id="rId568" /><Relationship Type="http://schemas.openxmlformats.org/officeDocument/2006/relationships/hyperlink" Target="https://codeforces.com/problemset/problem/1131/F" TargetMode="External" Id="rId569" /><Relationship Type="http://schemas.openxmlformats.org/officeDocument/2006/relationships/hyperlink" Target="https://codeforces.com/problemset/problem/1280/C" TargetMode="External" Id="rId570" /><Relationship Type="http://schemas.openxmlformats.org/officeDocument/2006/relationships/hyperlink" Target="https://codeforces.com/problemset/problem/1324/F" TargetMode="External" Id="rId571" /><Relationship Type="http://schemas.openxmlformats.org/officeDocument/2006/relationships/hyperlink" Target="https://codeforces.com/problemset/problem/1528/A" TargetMode="External" Id="rId572" /><Relationship Type="http://schemas.openxmlformats.org/officeDocument/2006/relationships/hyperlink" Target="https://codeforces.com/problemset/problem/1593/E" TargetMode="External" Id="rId573" /><Relationship Type="http://schemas.openxmlformats.org/officeDocument/2006/relationships/hyperlink" Target="https://codeforces.com/problemset/problem/208/E" TargetMode="External" Id="rId574" /><Relationship Type="http://schemas.openxmlformats.org/officeDocument/2006/relationships/hyperlink" Target="https://codeforces.com/problemset/problem/519/E" TargetMode="External" Id="rId575" /><Relationship Type="http://schemas.openxmlformats.org/officeDocument/2006/relationships/hyperlink" Target="https://codeforces.com/problemset/problem/587/C" TargetMode="External" Id="rId576" /><Relationship Type="http://schemas.openxmlformats.org/officeDocument/2006/relationships/hyperlink" Target="https://codeforces.com/problemset/problem/609/E" TargetMode="External" Id="rId577" /><Relationship Type="http://schemas.openxmlformats.org/officeDocument/2006/relationships/hyperlink" Target="https://codeforces.com/problemset/problem/832/D" TargetMode="External" Id="rId578" /><Relationship Type="http://schemas.openxmlformats.org/officeDocument/2006/relationships/hyperlink" Target="https://codeforces.com/problemset/problem/916/E" TargetMode="External" Id="rId579" /><Relationship Type="http://schemas.openxmlformats.org/officeDocument/2006/relationships/hyperlink" Target="https://codeforces.com/problemset/problem/1304/E" TargetMode="External" Id="rId580" /><Relationship Type="http://schemas.openxmlformats.org/officeDocument/2006/relationships/hyperlink" Target="https://codeforces.com/problemset/problem/1702/G1" TargetMode="External" Id="rId581" /><Relationship Type="http://schemas.openxmlformats.org/officeDocument/2006/relationships/hyperlink" Target="https://codeforces.com/problemset/problem/1702/G2" TargetMode="External" Id="rId582" /><Relationship Type="http://schemas.openxmlformats.org/officeDocument/2006/relationships/hyperlink" Target="https://codeforces.com/problemset/problem/1092/F" TargetMode="External" Id="rId583" /><Relationship Type="http://schemas.openxmlformats.org/officeDocument/2006/relationships/hyperlink" Target="https://codeforces.com/problemset/problem/1388/C" TargetMode="External" Id="rId584" /><Relationship Type="http://schemas.openxmlformats.org/officeDocument/2006/relationships/hyperlink" Target="https://codeforces.com/problemset/problem/1485/E" TargetMode="External" Id="rId585" /><Relationship Type="http://schemas.openxmlformats.org/officeDocument/2006/relationships/hyperlink" Target="https://codeforces.com/problemset/problem/570/D" TargetMode="External" Id="rId586" /><Relationship Type="http://schemas.openxmlformats.org/officeDocument/2006/relationships/hyperlink" Target="https://codeforces.com/problemset/problem/620/E" TargetMode="External" Id="rId587" /><Relationship Type="http://schemas.openxmlformats.org/officeDocument/2006/relationships/hyperlink" Target="https://codeforces.com/problemset/problem/877/E" TargetMode="External" Id="rId588" /><Relationship Type="http://schemas.openxmlformats.org/officeDocument/2006/relationships/hyperlink" Target="https://codeforces.com/problemset/problem/1000/E" TargetMode="External" Id="rId589" /><Relationship Type="http://schemas.openxmlformats.org/officeDocument/2006/relationships/hyperlink" Target="https://codeforces.com/problemset/problem/1110/F" TargetMode="External" Id="rId590" /><Relationship Type="http://schemas.openxmlformats.org/officeDocument/2006/relationships/hyperlink" Target="https://codeforces.com/problemset/problem/217/A" TargetMode="External" Id="rId591" /><Relationship Type="http://schemas.openxmlformats.org/officeDocument/2006/relationships/hyperlink" Target="https://codeforces.com/problemset/problem/445/B" TargetMode="External" Id="rId592" /><Relationship Type="http://schemas.openxmlformats.org/officeDocument/2006/relationships/hyperlink" Target="https://codeforces.com/problemset/problem/510/B" TargetMode="External" Id="rId593" /><Relationship Type="http://schemas.openxmlformats.org/officeDocument/2006/relationships/hyperlink" Target="https://codeforces.com/problemset/problem/659/E" TargetMode="External" Id="rId594" /><Relationship Type="http://schemas.openxmlformats.org/officeDocument/2006/relationships/hyperlink" Target="https://codeforces.com/problemset/problem/755/C" TargetMode="External" Id="rId595" /><Relationship Type="http://schemas.openxmlformats.org/officeDocument/2006/relationships/hyperlink" Target="https://codeforces.com/problemset/problem/999/E" TargetMode="External" Id="rId596" /><Relationship Type="http://schemas.openxmlformats.org/officeDocument/2006/relationships/hyperlink" Target="https://codeforces.com/problemset/problem/103/B" TargetMode="External" Id="rId597" /><Relationship Type="http://schemas.openxmlformats.org/officeDocument/2006/relationships/hyperlink" Target="https://codeforces.com/problemset/problem/1243/D" TargetMode="External" Id="rId598" /><Relationship Type="http://schemas.openxmlformats.org/officeDocument/2006/relationships/hyperlink" Target="https://codeforces.com/problemset/problem/1027/D" TargetMode="External" Id="rId599" /><Relationship Type="http://schemas.openxmlformats.org/officeDocument/2006/relationships/hyperlink" Target="https://codeforces.com/problemset/problem/1481/D" TargetMode="External" Id="rId600" /><Relationship Type="http://schemas.openxmlformats.org/officeDocument/2006/relationships/hyperlink" Target="https://codeforces.com/problemset/problem/510/C" TargetMode="External" Id="rId601" /><Relationship Type="http://schemas.openxmlformats.org/officeDocument/2006/relationships/hyperlink" Target="https://codeforces.com/problemset/problem/769/C" TargetMode="External" Id="rId602" /><Relationship Type="http://schemas.openxmlformats.org/officeDocument/2006/relationships/hyperlink" Target="https://codeforces.com/problemset/problem/915/D" TargetMode="External" Id="rId603" /><Relationship Type="http://schemas.openxmlformats.org/officeDocument/2006/relationships/hyperlink" Target="https://codeforces.com/problemset/problem/1037/D" TargetMode="External" Id="rId604" /><Relationship Type="http://schemas.openxmlformats.org/officeDocument/2006/relationships/hyperlink" Target="https://codeforces.com/problemset/problem/1063/B" TargetMode="External" Id="rId605" /><Relationship Type="http://schemas.openxmlformats.org/officeDocument/2006/relationships/hyperlink" Target="https://codeforces.com/problemset/problem/1100/E" TargetMode="External" Id="rId606" /><Relationship Type="http://schemas.openxmlformats.org/officeDocument/2006/relationships/hyperlink" Target="https://codeforces.com/problemset/problem/1385/E" TargetMode="External" Id="rId607" /><Relationship Type="http://schemas.openxmlformats.org/officeDocument/2006/relationships/hyperlink" Target="https://codeforces.com/problemset/problem/1364/D" TargetMode="External" Id="rId608" /><Relationship Type="http://schemas.openxmlformats.org/officeDocument/2006/relationships/hyperlink" Target="https://codeforces.com/problemset/problem/1679/D" TargetMode="External" Id="rId609" /><Relationship Type="http://schemas.openxmlformats.org/officeDocument/2006/relationships/hyperlink" Target="https://codeforces.com/problemset/problem/687/A" TargetMode="External" Id="rId610" /><Relationship Type="http://schemas.openxmlformats.org/officeDocument/2006/relationships/hyperlink" Target="https://codeforces.com/problemset/problem/741/C" TargetMode="External" Id="rId611" /><Relationship Type="http://schemas.openxmlformats.org/officeDocument/2006/relationships/hyperlink" Target="https://codeforces.com/problemset/problem/1144/F" TargetMode="External" Id="rId612" /><Relationship Type="http://schemas.openxmlformats.org/officeDocument/2006/relationships/hyperlink" Target="https://codeforces.com/problemset/problem/1354/E" TargetMode="External" Id="rId613" /><Relationship Type="http://schemas.openxmlformats.org/officeDocument/2006/relationships/hyperlink" Target="https://codeforces.com/problemset/problem/1702/E" TargetMode="External" Id="rId614" /><Relationship Type="http://schemas.openxmlformats.org/officeDocument/2006/relationships/hyperlink" Target="https://codeforces.com/problemset/problem/20/C" TargetMode="External" Id="rId615" /><Relationship Type="http://schemas.openxmlformats.org/officeDocument/2006/relationships/hyperlink" Target="https://codeforces.com/problemset/problem/229/B" TargetMode="External" Id="rId616" /><Relationship Type="http://schemas.openxmlformats.org/officeDocument/2006/relationships/hyperlink" Target="https://codeforces.com/problemset/problem/449/B" TargetMode="External" Id="rId617" /><Relationship Type="http://schemas.openxmlformats.org/officeDocument/2006/relationships/hyperlink" Target="https://codeforces.com/problemset/problem/545/E" TargetMode="External" Id="rId618" /><Relationship Type="http://schemas.openxmlformats.org/officeDocument/2006/relationships/hyperlink" Target="https://codeforces.com/problemset/problem/938/D" TargetMode="External" Id="rId619" /><Relationship Type="http://schemas.openxmlformats.org/officeDocument/2006/relationships/hyperlink" Target="https://codeforces.com/problemset/problem/1076/D" TargetMode="External" Id="rId620" /><Relationship Type="http://schemas.openxmlformats.org/officeDocument/2006/relationships/hyperlink" Target="https://codeforces.com/problemset/problem/1422/D" TargetMode="External" Id="rId621" /><Relationship Type="http://schemas.openxmlformats.org/officeDocument/2006/relationships/hyperlink" Target="https://codeforces.com/problemset/problem/1433/G" TargetMode="External" Id="rId622" /><Relationship Type="http://schemas.openxmlformats.org/officeDocument/2006/relationships/hyperlink" Target="https://codeforces.com/problemset/problem/1705/E" TargetMode="External" Id="rId623" /><Relationship Type="http://schemas.openxmlformats.org/officeDocument/2006/relationships/hyperlink" Target="https://codeforces.com/problemset/problem/59/E" TargetMode="External" Id="rId624" /><Relationship Type="http://schemas.openxmlformats.org/officeDocument/2006/relationships/hyperlink" Target="https://codeforces.com/problemset/problem/567/E" TargetMode="External" Id="rId625" /><Relationship Type="http://schemas.openxmlformats.org/officeDocument/2006/relationships/hyperlink" Target="https://codeforces.com/problemset/problem/1074/D" TargetMode="External" Id="rId626" /><Relationship Type="http://schemas.openxmlformats.org/officeDocument/2006/relationships/hyperlink" Target="https://codeforces.com/problemset/problem/1209/F" TargetMode="External" Id="rId627" /><Relationship Type="http://schemas.openxmlformats.org/officeDocument/2006/relationships/hyperlink" Target="https://codeforces.com/problemset/problem/1394/A" TargetMode="External" Id="rId628" /><Relationship Type="http://schemas.openxmlformats.org/officeDocument/2006/relationships/hyperlink" Target="https://codeforces.com/problemset/problem/295/B" TargetMode="External" Id="rId629" /><Relationship Type="http://schemas.openxmlformats.org/officeDocument/2006/relationships/hyperlink" Target="https://codeforces.com/problemset/problem/400/D" TargetMode="External" Id="rId630" /><Relationship Type="http://schemas.openxmlformats.org/officeDocument/2006/relationships/hyperlink" Target="https://codeforces.com/problemset/problem/1205/B" TargetMode="External" Id="rId631" /><Relationship Type="http://schemas.openxmlformats.org/officeDocument/2006/relationships/hyperlink" Target="https://codeforces.com/problemset/problem/939/D" TargetMode="External" Id="rId632" /><Relationship Type="http://schemas.openxmlformats.org/officeDocument/2006/relationships/hyperlink" Target="https://codeforces.com/problemset/problem/1167/C" TargetMode="External" Id="rId633" /><Relationship Type="http://schemas.openxmlformats.org/officeDocument/2006/relationships/hyperlink" Target="https://codeforces.com/problemset/problem/1249/B1" TargetMode="External" Id="rId634" /><Relationship Type="http://schemas.openxmlformats.org/officeDocument/2006/relationships/hyperlink" Target="https://codeforces.com/problemset/problem/1249/B2" TargetMode="External" Id="rId635" /><Relationship Type="http://schemas.openxmlformats.org/officeDocument/2006/relationships/hyperlink" Target="https://codeforces.com/problemset/problem/1263/D" TargetMode="External" Id="rId636" /><Relationship Type="http://schemas.openxmlformats.org/officeDocument/2006/relationships/hyperlink" Target="https://codeforces.com/problemset/problem/1383/A" TargetMode="External" Id="rId637" /><Relationship Type="http://schemas.openxmlformats.org/officeDocument/2006/relationships/hyperlink" Target="https://codeforces.com/problemset/problem/1609/D" TargetMode="External" Id="rId638" /><Relationship Type="http://schemas.openxmlformats.org/officeDocument/2006/relationships/hyperlink" Target="https://codeforces.com/problemset/problem/25/D" TargetMode="External" Id="rId639" /><Relationship Type="http://schemas.openxmlformats.org/officeDocument/2006/relationships/hyperlink" Target="https://codeforces.com/problemset/problem/277/A" TargetMode="External" Id="rId640" /><Relationship Type="http://schemas.openxmlformats.org/officeDocument/2006/relationships/hyperlink" Target="https://codeforces.com/problemset/problem/500/B" TargetMode="External" Id="rId641" /><Relationship Type="http://schemas.openxmlformats.org/officeDocument/2006/relationships/hyperlink" Target="https://codeforces.com/problemset/problem/653/D" TargetMode="External" Id="rId642" /><Relationship Type="http://schemas.openxmlformats.org/officeDocument/2006/relationships/hyperlink" Target="https://codeforces.com/problemset/problem/891/C" TargetMode="External" Id="rId643" /><Relationship Type="http://schemas.openxmlformats.org/officeDocument/2006/relationships/hyperlink" Target="https://codeforces.com/problemset/problem/1131/D" TargetMode="External" Id="rId644" /><Relationship Type="http://schemas.openxmlformats.org/officeDocument/2006/relationships/hyperlink" Target="https://codeforces.com/problemset/problem/1253/D" TargetMode="External" Id="rId645" /><Relationship Type="http://schemas.openxmlformats.org/officeDocument/2006/relationships/hyperlink" Target="https://codeforces.com/problemset/problem/1466/F" TargetMode="External" Id="rId646" /><Relationship Type="http://schemas.openxmlformats.org/officeDocument/2006/relationships/hyperlink" Target="https://codeforces.com/problemset/problem/1095/F" TargetMode="External" Id="rId647" /><Relationship Type="http://schemas.openxmlformats.org/officeDocument/2006/relationships/hyperlink" Target="https://codeforces.com/problemset/problem/1245/D" TargetMode="External" Id="rId648" /><Relationship Type="http://schemas.openxmlformats.org/officeDocument/2006/relationships/hyperlink" Target="https://codeforces.com/problemset/problem/1468/J" TargetMode="External" Id="rId649" /><Relationship Type="http://schemas.openxmlformats.org/officeDocument/2006/relationships/hyperlink" Target="https://codeforces.com/problemset/problem/160/D" TargetMode="External" Id="rId650" /><Relationship Type="http://schemas.openxmlformats.org/officeDocument/2006/relationships/hyperlink" Target="https://codeforces.com/problemset/problem/1416/D" TargetMode="External" Id="rId651" /><Relationship Type="http://schemas.openxmlformats.org/officeDocument/2006/relationships/hyperlink" Target="https://codeforces.com/problemset/problem/1559/D1" TargetMode="External" Id="rId652" /><Relationship Type="http://schemas.openxmlformats.org/officeDocument/2006/relationships/hyperlink" Target="https://codeforces.com/problemset/problem/1559/D2" TargetMode="External" Id="rId653" /><Relationship Type="http://schemas.openxmlformats.org/officeDocument/2006/relationships/hyperlink" Target="https://codeforces.com/problemset/problem/189/A" TargetMode="External" Id="rId654" /><Relationship Type="http://schemas.openxmlformats.org/officeDocument/2006/relationships/hyperlink" Target="https://codeforces.com/problemset/problem/455/A" TargetMode="External" Id="rId655" /><Relationship Type="http://schemas.openxmlformats.org/officeDocument/2006/relationships/hyperlink" Target="https://codeforces.com/problemset/problem/474/D" TargetMode="External" Id="rId656" /><Relationship Type="http://schemas.openxmlformats.org/officeDocument/2006/relationships/hyperlink" Target="https://codeforces.com/problemset/problem/698/A" TargetMode="External" Id="rId657" /><Relationship Type="http://schemas.openxmlformats.org/officeDocument/2006/relationships/hyperlink" Target="https://codeforces.com/problemset/problem/706/C" TargetMode="External" Id="rId658" /><Relationship Type="http://schemas.openxmlformats.org/officeDocument/2006/relationships/hyperlink" Target="https://codeforces.com/problemset/problem/1249/E" TargetMode="External" Id="rId659" /><Relationship Type="http://schemas.openxmlformats.org/officeDocument/2006/relationships/hyperlink" Target="https://codeforces.com/problemset/problem/1282/B2" TargetMode="External" Id="rId660" /><Relationship Type="http://schemas.openxmlformats.org/officeDocument/2006/relationships/hyperlink" Target="https://codeforces.com/problemset/problem/1355/A" TargetMode="External" Id="rId661" /><Relationship Type="http://schemas.openxmlformats.org/officeDocument/2006/relationships/hyperlink" Target="https://codeforces.com/problemset/problem/1359/C" TargetMode="External" Id="rId662" /><Relationship Type="http://schemas.openxmlformats.org/officeDocument/2006/relationships/hyperlink" Target="https://codeforces.com/problemset/problem/1455/D" TargetMode="External" Id="rId663" /><Relationship Type="http://schemas.openxmlformats.org/officeDocument/2006/relationships/hyperlink" Target="https://codeforces.com/problemset/problem/1467/C" TargetMode="External" Id="rId664" /><Relationship Type="http://schemas.openxmlformats.org/officeDocument/2006/relationships/hyperlink" Target="https://codeforces.com/problemset/problem/1472/C" TargetMode="External" Id="rId665" /><Relationship Type="http://schemas.openxmlformats.org/officeDocument/2006/relationships/hyperlink" Target="https://codeforces.com/problemset/problem/1525/D" TargetMode="External" Id="rId666" /><Relationship Type="http://schemas.openxmlformats.org/officeDocument/2006/relationships/hyperlink" Target="https://codeforces.com/problemset/problem/366/C" TargetMode="External" Id="rId667" /><Relationship Type="http://schemas.openxmlformats.org/officeDocument/2006/relationships/hyperlink" Target="https://codeforces.com/problemset/problem/543/A" TargetMode="External" Id="rId668" /><Relationship Type="http://schemas.openxmlformats.org/officeDocument/2006/relationships/hyperlink" Target="https://codeforces.com/problemset/problem/837/D" TargetMode="External" Id="rId669" /><Relationship Type="http://schemas.openxmlformats.org/officeDocument/2006/relationships/hyperlink" Target="https://codeforces.com/problemset/problem/1155/D" TargetMode="External" Id="rId670" /><Relationship Type="http://schemas.openxmlformats.org/officeDocument/2006/relationships/hyperlink" Target="https://codeforces.com/problemset/problem/1433/F" TargetMode="External" Id="rId671" /><Relationship Type="http://schemas.openxmlformats.org/officeDocument/2006/relationships/hyperlink" Target="https://codeforces.com/problemset/problem/1458/B" TargetMode="External" Id="rId672" /><Relationship Type="http://schemas.openxmlformats.org/officeDocument/2006/relationships/hyperlink" Target="https://codeforces.com/problemset/problem/148/E" TargetMode="External" Id="rId673" /><Relationship Type="http://schemas.openxmlformats.org/officeDocument/2006/relationships/hyperlink" Target="https://codeforces.com/problemset/problem/1633/D" TargetMode="External" Id="rId674" /><Relationship Type="http://schemas.openxmlformats.org/officeDocument/2006/relationships/hyperlink" Target="https://codeforces.com/problemset/problem/2/B" TargetMode="External" Id="rId675" /><Relationship Type="http://schemas.openxmlformats.org/officeDocument/2006/relationships/hyperlink" Target="https://codeforces.com/problemset/problem/429/B" TargetMode="External" Id="rId676" /><Relationship Type="http://schemas.openxmlformats.org/officeDocument/2006/relationships/hyperlink" Target="https://codeforces.com/problemset/problem/677/D" TargetMode="External" Id="rId677" /><Relationship Type="http://schemas.openxmlformats.org/officeDocument/2006/relationships/hyperlink" Target="https://codeforces.com/problemset/problem/864/E" TargetMode="External" Id="rId678" /><Relationship Type="http://schemas.openxmlformats.org/officeDocument/2006/relationships/hyperlink" Target="https://codeforces.com/problemset/problem/954/F" TargetMode="External" Id="rId679" /><Relationship Type="http://schemas.openxmlformats.org/officeDocument/2006/relationships/hyperlink" Target="https://codeforces.com/problemset/problem/1246/C" TargetMode="External" Id="rId680" /><Relationship Type="http://schemas.openxmlformats.org/officeDocument/2006/relationships/hyperlink" Target="https://codeforces.com/problemset/problem/1353/F" TargetMode="External" Id="rId681" /><Relationship Type="http://schemas.openxmlformats.org/officeDocument/2006/relationships/hyperlink" Target="https://codeforces.com/problemset/problem/1391/D" TargetMode="External" Id="rId682" /><Relationship Type="http://schemas.openxmlformats.org/officeDocument/2006/relationships/hyperlink" Target="https://codeforces.com/problemset/problem/1525/E" TargetMode="External" Id="rId683" /><Relationship Type="http://schemas.openxmlformats.org/officeDocument/2006/relationships/hyperlink" Target="https://codeforces.com/problemset/problem/607/B" TargetMode="External" Id="rId684" /><Relationship Type="http://schemas.openxmlformats.org/officeDocument/2006/relationships/hyperlink" Target="https://codeforces.com/problemset/problem/1132/C" TargetMode="External" Id="rId685" /><Relationship Type="http://schemas.openxmlformats.org/officeDocument/2006/relationships/hyperlink" Target="https://codeforces.com/problemset/problem/1312/E" TargetMode="External" Id="rId686" /><Relationship Type="http://schemas.openxmlformats.org/officeDocument/2006/relationships/hyperlink" Target="https://codeforces.com/problemset/problem/1509/C" TargetMode="External" Id="rId687" /><Relationship Type="http://schemas.openxmlformats.org/officeDocument/2006/relationships/hyperlink" Target="https://codeforces.com/problemset/problem/1527/E" TargetMode="External" Id="rId688" /><Relationship Type="http://schemas.openxmlformats.org/officeDocument/2006/relationships/hyperlink" Target="https://codeforces.com/problemset/problem/1771/D" TargetMode="External" Id="rId689" /><Relationship Type="http://schemas.openxmlformats.org/officeDocument/2006/relationships/hyperlink" Target="https://codeforces.com/problemset/problem/55/D" TargetMode="External" Id="rId690" /><Relationship Type="http://schemas.openxmlformats.org/officeDocument/2006/relationships/hyperlink" Target="https://codeforces.com/problemset/problem/1036/C" TargetMode="External" Id="rId691" /><Relationship Type="http://schemas.openxmlformats.org/officeDocument/2006/relationships/hyperlink" Target="https://codeforces.com/problemset/problem/431/D" TargetMode="External" Id="rId692" /><Relationship Type="http://schemas.openxmlformats.org/officeDocument/2006/relationships/hyperlink" Target="https://codeforces.com/problemset/problem/628/D" TargetMode="External" Id="rId693" /><Relationship Type="http://schemas.openxmlformats.org/officeDocument/2006/relationships/hyperlink" Target="https://codeforces.com/problemset/problem/855/E" TargetMode="External" Id="rId694" /><Relationship Type="http://schemas.openxmlformats.org/officeDocument/2006/relationships/hyperlink" Target="https://codeforces.com/problemset/problem/914/C" TargetMode="External" Id="rId695" /><Relationship Type="http://schemas.openxmlformats.org/officeDocument/2006/relationships/hyperlink" Target="https://codeforces.com/problemset/problem/1225/D" TargetMode="External" Id="rId696" /><Relationship Type="http://schemas.openxmlformats.org/officeDocument/2006/relationships/hyperlink" Target="https://codeforces.com/problemset/problem/8/C" TargetMode="External" Id="rId697" /><Relationship Type="http://schemas.openxmlformats.org/officeDocument/2006/relationships/hyperlink" Target="https://codeforces.com/problemset/problem/11/D" TargetMode="External" Id="rId698" /><Relationship Type="http://schemas.openxmlformats.org/officeDocument/2006/relationships/hyperlink" Target="https://codeforces.com/problemset/problem/16/E" TargetMode="External" Id="rId699" /><Relationship Type="http://schemas.openxmlformats.org/officeDocument/2006/relationships/hyperlink" Target="https://codeforces.com/problemset/problem/41/D" TargetMode="External" Id="rId700" /><Relationship Type="http://schemas.openxmlformats.org/officeDocument/2006/relationships/hyperlink" Target="https://codeforces.com/problemset/problem/321/E" TargetMode="External" Id="rId701" /><Relationship Type="http://schemas.openxmlformats.org/officeDocument/2006/relationships/hyperlink" Target="https://codeforces.com/problemset/problem/721/C" TargetMode="External" Id="rId702" /><Relationship Type="http://schemas.openxmlformats.org/officeDocument/2006/relationships/hyperlink" Target="https://codeforces.com/problemset/problem/919/D" TargetMode="External" Id="rId703" /><Relationship Type="http://schemas.openxmlformats.org/officeDocument/2006/relationships/hyperlink" Target="https://codeforces.com/problemset/problem/981/C" TargetMode="External" Id="rId704" /><Relationship Type="http://schemas.openxmlformats.org/officeDocument/2006/relationships/hyperlink" Target="https://codeforces.com/problemset/problem/148/D" TargetMode="External" Id="rId705" /><Relationship Type="http://schemas.openxmlformats.org/officeDocument/2006/relationships/hyperlink" Target="https://codeforces.com/problemset/problem/235/B" TargetMode="External" Id="rId706" /><Relationship Type="http://schemas.openxmlformats.org/officeDocument/2006/relationships/hyperlink" Target="https://codeforces.com/problemset/problem/540/D" TargetMode="External" Id="rId707" /><Relationship Type="http://schemas.openxmlformats.org/officeDocument/2006/relationships/hyperlink" Target="https://codeforces.com/problemset/problem/908/D" TargetMode="External" Id="rId708" /><Relationship Type="http://schemas.openxmlformats.org/officeDocument/2006/relationships/hyperlink" Target="https://codeforces.com/problemset/problem/1265/E" TargetMode="External" Id="rId709" /><Relationship Type="http://schemas.openxmlformats.org/officeDocument/2006/relationships/hyperlink" Target="https://codeforces.com/problemset/problem/1279/D" TargetMode="External" Id="rId710" /><Relationship Type="http://schemas.openxmlformats.org/officeDocument/2006/relationships/hyperlink" Target="https://codeforces.com/problemset/problem/607/A" TargetMode="External" Id="rId711" /><Relationship Type="http://schemas.openxmlformats.org/officeDocument/2006/relationships/hyperlink" Target="https://codeforces.com/problemset/problem/1510/D" TargetMode="External" Id="rId712" /><Relationship Type="http://schemas.openxmlformats.org/officeDocument/2006/relationships/hyperlink" Target="https://codeforces.com/problemset/problem/319/C" TargetMode="External" Id="rId713" /><Relationship Type="http://schemas.openxmlformats.org/officeDocument/2006/relationships/hyperlink" Target="https://codeforces.com/problemset/problem/631/E" TargetMode="External" Id="rId714" /><Relationship Type="http://schemas.openxmlformats.org/officeDocument/2006/relationships/hyperlink" Target="https://codeforces.com/problemset/problem/868/F" TargetMode="External" Id="rId715" /><Relationship Type="http://schemas.openxmlformats.org/officeDocument/2006/relationships/hyperlink" Target="https://codeforces.com/problemset/problem/1012/E" TargetMode="External" Id="rId716" /><Relationship Type="http://schemas.openxmlformats.org/officeDocument/2006/relationships/hyperlink" Target="https://codeforces.com/problemset/problem/1073/E" TargetMode="External" Id="rId717" /><Relationship Type="http://schemas.openxmlformats.org/officeDocument/2006/relationships/hyperlink" Target="https://codeforces.com/problemset/problem/986/B" TargetMode="External" Id="rId718" /><Relationship Type="http://schemas.openxmlformats.org/officeDocument/2006/relationships/hyperlink" Target="https://codeforces.com/problemset/problem/1455/E" TargetMode="External" Id="rId719" /><Relationship Type="http://schemas.openxmlformats.org/officeDocument/2006/relationships/hyperlink" Target="https://codeforces.com/problemset/problem/1093/E" TargetMode="External" Id="rId720" /><Relationship Type="http://schemas.openxmlformats.org/officeDocument/2006/relationships/hyperlink" Target="https://codeforces.com/problemset/problem/1260/F" TargetMode="External" Id="rId721" /><Relationship Type="http://schemas.openxmlformats.org/officeDocument/2006/relationships/hyperlink" Target="https://codeforces.com/problemset/problem/1404/C" TargetMode="External" Id="rId722" /><Relationship Type="http://schemas.openxmlformats.org/officeDocument/2006/relationships/hyperlink" Target="https://codeforces.com/problemset/problem/1553/F" TargetMode="External" Id="rId723" /><Relationship Type="http://schemas.openxmlformats.org/officeDocument/2006/relationships/hyperlink" Target="https://codeforces.com/problemset/problem/1603/C" TargetMode="External" Id="rId724" /><Relationship Type="http://schemas.openxmlformats.org/officeDocument/2006/relationships/hyperlink" Target="https://codeforces.com/problemset/problem/339/D" TargetMode="External" Id="rId725" /><Relationship Type="http://schemas.openxmlformats.org/officeDocument/2006/relationships/hyperlink" Target="https://codeforces.com/problemset/problem/52/C" TargetMode="External" Id="rId726" /><Relationship Type="http://schemas.openxmlformats.org/officeDocument/2006/relationships/hyperlink" Target="https://codeforces.com/problemset/problem/474/E" TargetMode="External" Id="rId727" /><Relationship Type="http://schemas.openxmlformats.org/officeDocument/2006/relationships/hyperlink" Target="https://codeforces.com/problemset/problem/558/E" TargetMode="External" Id="rId728" /><Relationship Type="http://schemas.openxmlformats.org/officeDocument/2006/relationships/hyperlink" Target="https://codeforces.com/problemset/problem/863/E" TargetMode="External" Id="rId729" /><Relationship Type="http://schemas.openxmlformats.org/officeDocument/2006/relationships/hyperlink" Target="https://codeforces.com/problemset/problem/1114/F" TargetMode="External" Id="rId730" /><Relationship Type="http://schemas.openxmlformats.org/officeDocument/2006/relationships/hyperlink" Target="https://codeforces.com/problemset/problem/1136/E" TargetMode="External" Id="rId731" /><Relationship Type="http://schemas.openxmlformats.org/officeDocument/2006/relationships/hyperlink" Target="https://codeforces.com/problemset/problem/1252/G" TargetMode="External" Id="rId732" /><Relationship Type="http://schemas.openxmlformats.org/officeDocument/2006/relationships/hyperlink" Target="https://codeforces.com/problemset/problem/1278/E" TargetMode="External" Id="rId733" /><Relationship Type="http://schemas.openxmlformats.org/officeDocument/2006/relationships/hyperlink" Target="https://codeforces.com/problemset/problem/145/E" TargetMode="External" Id="rId734" /><Relationship Type="http://schemas.openxmlformats.org/officeDocument/2006/relationships/hyperlink" Target="https://codeforces.com/problemset/problem/1555/E" TargetMode="External" Id="rId735" /><Relationship Type="http://schemas.openxmlformats.org/officeDocument/2006/relationships/hyperlink" Target="https://codeforces.com/problemset/problem/438/D" TargetMode="External" Id="rId736" /><Relationship Type="http://schemas.openxmlformats.org/officeDocument/2006/relationships/hyperlink" Target="https://codeforces.com/problemset/problem/446/C" TargetMode="External" Id="rId737" /><Relationship Type="http://schemas.openxmlformats.org/officeDocument/2006/relationships/hyperlink" Target="https://codeforces.com/problemset/problem/915/E" TargetMode="External" Id="rId738" /><Relationship Type="http://schemas.openxmlformats.org/officeDocument/2006/relationships/hyperlink" Target="https://codeforces.com/problemset/problem/459/D" TargetMode="External" Id="rId739" /><Relationship Type="http://schemas.openxmlformats.org/officeDocument/2006/relationships/hyperlink" Target="https://codeforces.com/problemset/problem/600/E" TargetMode="External" Id="rId740" /><Relationship Type="http://schemas.openxmlformats.org/officeDocument/2006/relationships/hyperlink" Target="https://codeforces.com/problemset/problem/803/G" TargetMode="External" Id="rId741" /><Relationship Type="http://schemas.openxmlformats.org/officeDocument/2006/relationships/hyperlink" Target="https://codeforces.com/problemset/problem/1093/G" TargetMode="External" Id="rId742" /><Relationship Type="http://schemas.openxmlformats.org/officeDocument/2006/relationships/hyperlink" Target="https://codeforces.com/problemset/problem/484/E" TargetMode="External" Id="rId743" /><Relationship Type="http://schemas.openxmlformats.org/officeDocument/2006/relationships/hyperlink" Target="https://codeforces.com/problemset/problem/786/C" TargetMode="External" Id="rId744" /><Relationship Type="http://schemas.openxmlformats.org/officeDocument/2006/relationships/hyperlink" Target="https://codeforces.com/problemset/problem/893/F" TargetMode="External" Id="rId745" /><Relationship Type="http://schemas.openxmlformats.org/officeDocument/2006/relationships/hyperlink" Target="https://codeforces.com/problemset/problem/1262/D2" TargetMode="External" Id="rId746" /><Relationship Type="http://schemas.openxmlformats.org/officeDocument/2006/relationships/hyperlink" Target="https://codeforces.com/problemset/problem/1479/D" TargetMode="External" Id="rId747" /><Relationship Type="http://schemas.openxmlformats.org/officeDocument/2006/relationships/hyperlink" Target="https://codeforces.com/problemset/problem/1557/D" TargetMode="External" Id="rId748" /><Relationship Type="http://schemas.openxmlformats.org/officeDocument/2006/relationships/hyperlink" Target="https://codeforces.com/problemset/problem/1779/D" TargetMode="External" Id="rId749" /><Relationship Type="http://schemas.openxmlformats.org/officeDocument/2006/relationships/hyperlink" Target="https://codeforces.com/problemset/problem/597/C" TargetMode="External" Id="rId750" /><Relationship Type="http://schemas.openxmlformats.org/officeDocument/2006/relationships/hyperlink" Target="https://codeforces.com/problemset/problem/1076/E" TargetMode="External" Id="rId751" /><Relationship Type="http://schemas.openxmlformats.org/officeDocument/2006/relationships/hyperlink" Target="https://codeforces.com/problemset/problem/961/E" TargetMode="External" Id="rId752" /><Relationship Type="http://schemas.openxmlformats.org/officeDocument/2006/relationships/hyperlink" Target="https://codeforces.com/problemset/problem/301/D" TargetMode="External" Id="rId753" /><Relationship Type="http://schemas.openxmlformats.org/officeDocument/2006/relationships/hyperlink" Target="https://codeforces.com/problemset/problem/369/E" TargetMode="External" Id="rId754" /><Relationship Type="http://schemas.openxmlformats.org/officeDocument/2006/relationships/hyperlink" Target="https://codeforces.com/problemset/problem/1450/C1" TargetMode="External" Id="rId755" /><Relationship Type="http://schemas.openxmlformats.org/officeDocument/2006/relationships/hyperlink" Target="https://codeforces.com/problemset/problem/1450/C2" TargetMode="External" Id="rId756" /><Relationship Type="http://schemas.openxmlformats.org/officeDocument/2006/relationships/hyperlink" Target="https://codeforces.com/problemset/problem/1091/C" TargetMode="External" Id="rId757" /><Relationship Type="http://schemas.openxmlformats.org/officeDocument/2006/relationships/hyperlink" Target="https://codeforces.com/problemset/problem/1220/D" TargetMode="External" Id="rId758" /><Relationship Type="http://schemas.openxmlformats.org/officeDocument/2006/relationships/hyperlink" Target="https://codeforces.com/problemset/problem/1208/D" TargetMode="External" Id="rId759" /><Relationship Type="http://schemas.openxmlformats.org/officeDocument/2006/relationships/hyperlink" Target="https://codeforces.com/problemset/problem/1265/C" TargetMode="External" Id="rId760" /><Relationship Type="http://schemas.openxmlformats.org/officeDocument/2006/relationships/hyperlink" Target="https://codeforces.com/problemset/problem/1340/A" TargetMode="External" Id="rId761" /><Relationship Type="http://schemas.openxmlformats.org/officeDocument/2006/relationships/hyperlink" Target="https://codeforces.com/problemset/problem/1530/D" TargetMode="External" Id="rId762" /><Relationship Type="http://schemas.openxmlformats.org/officeDocument/2006/relationships/hyperlink" Target="https://codeforces.com/problemset/problem/1612/B" TargetMode="External" Id="rId763" /><Relationship Type="http://schemas.openxmlformats.org/officeDocument/2006/relationships/hyperlink" Target="https://codeforces.com/problemset/problem/1270/D" TargetMode="External" Id="rId764" /><Relationship Type="http://schemas.openxmlformats.org/officeDocument/2006/relationships/hyperlink" Target="https://codeforces.com/problemset/problem/1451/E1" TargetMode="External" Id="rId765" /><Relationship Type="http://schemas.openxmlformats.org/officeDocument/2006/relationships/hyperlink" Target="https://codeforces.com/problemset/problem/1451/E2" TargetMode="External" Id="rId766" /><Relationship Type="http://schemas.openxmlformats.org/officeDocument/2006/relationships/hyperlink" Target="https://codeforces.com/problemset/problem/1592/D" TargetMode="External" Id="rId767" /><Relationship Type="http://schemas.openxmlformats.org/officeDocument/2006/relationships/hyperlink" Target="https://codeforces.com/problemset/problem/166/B" TargetMode="External" Id="rId768" /><Relationship Type="http://schemas.openxmlformats.org/officeDocument/2006/relationships/hyperlink" Target="https://codeforces.com/problemset/problem/598/C" TargetMode="External" Id="rId769" /><Relationship Type="http://schemas.openxmlformats.org/officeDocument/2006/relationships/hyperlink" Target="https://codeforces.com/problemset/problem/613/A" TargetMode="External" Id="rId770" /><Relationship Type="http://schemas.openxmlformats.org/officeDocument/2006/relationships/hyperlink" Target="https://codeforces.com/problemset/problem/961/D" TargetMode="External" Id="rId771" /><Relationship Type="http://schemas.openxmlformats.org/officeDocument/2006/relationships/hyperlink" Target="https://codeforces.com/problemset/problem/1299/B" TargetMode="External" Id="rId772" /><Relationship Type="http://schemas.openxmlformats.org/officeDocument/2006/relationships/hyperlink" Target="https://codeforces.com/problemset/problem/1359/F" TargetMode="External" Id="rId773" /><Relationship Type="http://schemas.openxmlformats.org/officeDocument/2006/relationships/hyperlink" Target="https://codeforces.com/problemset/problem/166/A" TargetMode="External" Id="rId774" /><Relationship Type="http://schemas.openxmlformats.org/officeDocument/2006/relationships/hyperlink" Target="https://codeforces.com/problemset/problem/617/D" TargetMode="External" Id="rId775" /><Relationship Type="http://schemas.openxmlformats.org/officeDocument/2006/relationships/hyperlink" Target="https://codeforces.com/problemset/problem/1195/C" TargetMode="External" Id="rId776" /><Relationship Type="http://schemas.openxmlformats.org/officeDocument/2006/relationships/hyperlink" Target="https://codeforces.com/problemset/problem/843/B" TargetMode="External" Id="rId777" /><Relationship Type="http://schemas.openxmlformats.org/officeDocument/2006/relationships/hyperlink" Target="https://codeforces.com/problemset/problem/1016/D" TargetMode="External" Id="rId778" /><Relationship Type="http://schemas.openxmlformats.org/officeDocument/2006/relationships/hyperlink" Target="https://codeforces.com/problemset/problem/1698/D" TargetMode="External" Id="rId779" /><Relationship Type="http://schemas.openxmlformats.org/officeDocument/2006/relationships/hyperlink" Target="https://codeforces.com/problemset/problem/1185/C" TargetMode="External" Id="rId780" /><Relationship Type="http://schemas.openxmlformats.org/officeDocument/2006/relationships/hyperlink" Target="https://codeforces.com/problemset/problem/1485/A" TargetMode="External" Id="rId781" /><Relationship Type="http://schemas.openxmlformats.org/officeDocument/2006/relationships/hyperlink" Target="https://codeforces.com/problemset/problem/1520/B" TargetMode="External" Id="rId782" /><Relationship Type="http://schemas.openxmlformats.org/officeDocument/2006/relationships/hyperlink" Target="https://codeforces.com/problemset/problem/1562/B" TargetMode="External" Id="rId783" /><Relationship Type="http://schemas.openxmlformats.org/officeDocument/2006/relationships/hyperlink" Target="https://codeforces.com/problemset/problem/487/B" TargetMode="External" Id="rId784" /><Relationship Type="http://schemas.openxmlformats.org/officeDocument/2006/relationships/hyperlink" Target="https://codeforces.com/problemset/problem/730/I" TargetMode="External" Id="rId785" /><Relationship Type="http://schemas.openxmlformats.org/officeDocument/2006/relationships/hyperlink" Target="https://codeforces.com/problemset/problem/1039/D" TargetMode="External" Id="rId786" /><Relationship Type="http://schemas.openxmlformats.org/officeDocument/2006/relationships/hyperlink" Target="https://codeforces.com/problemset/problem/1187/G" TargetMode="External" Id="rId787" /><Relationship Type="http://schemas.openxmlformats.org/officeDocument/2006/relationships/hyperlink" Target="https://codeforces.com/problemset/problem/1388/D" TargetMode="External" Id="rId788" /><Relationship Type="http://schemas.openxmlformats.org/officeDocument/2006/relationships/hyperlink" Target="https://codeforces.com/problemset/problem/1601/C" TargetMode="External" Id="rId789" /><Relationship Type="http://schemas.openxmlformats.org/officeDocument/2006/relationships/hyperlink" Target="https://codeforces.com/problemset/problem/1731/E" TargetMode="External" Id="rId790" /><Relationship Type="http://schemas.openxmlformats.org/officeDocument/2006/relationships/hyperlink" Target="https://codeforces.com/problemset/problem/1842/E" TargetMode="External" Id="rId791" /><Relationship Type="http://schemas.openxmlformats.org/officeDocument/2006/relationships/hyperlink" Target="https://codeforces.com/problemset/problem/1900/E" TargetMode="External" Id="rId7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3"/>
    <col width="39" customWidth="1" min="3" max="3"/>
    <col width="13" customWidth="1" min="4" max="4"/>
    <col width="14" customWidth="1" min="5" max="5"/>
    <col width="17" customWidth="1" min="6" max="6"/>
    <col width="56" customWidth="1" min="7" max="7"/>
    <col width="12" customWidth="1" min="8" max="8"/>
    <col width="14" customWidth="1" min="9" max="9"/>
    <col width="105" customWidth="1" min="10" max="10"/>
    <col width="25" customWidth="1" min="11" max="11"/>
    <col width="12" customWidth="1" min="12" max="12"/>
    <col width="53" customWidth="1" min="13" max="13"/>
    <col width="12" customWidth="1" min="14" max="14"/>
  </cols>
  <sheetData>
    <row r="1" ht="24.95" customHeight="1">
      <c r="A1" s="1" t="inlineStr">
        <is>
          <t>Status</t>
        </is>
      </c>
      <c r="B1" s="1" t="inlineStr">
        <is>
          <t>Category</t>
        </is>
      </c>
      <c r="C1" s="1" t="inlineStr">
        <is>
          <t>Subtopic</t>
        </is>
      </c>
      <c r="D1" s="1" t="inlineStr">
        <is>
          <t>Problem #</t>
        </is>
      </c>
      <c r="E1" s="1" t="inlineStr">
        <is>
          <t>Contest ID</t>
        </is>
      </c>
      <c r="F1" s="1" t="inlineStr">
        <is>
          <t>Problem Index</t>
        </is>
      </c>
      <c r="G1" s="1" t="inlineStr">
        <is>
          <t>Problem Name</t>
        </is>
      </c>
      <c r="H1" s="1" t="inlineStr">
        <is>
          <t>Rating</t>
        </is>
      </c>
      <c r="I1" s="1" t="inlineStr">
        <is>
          <t>Difficulty</t>
        </is>
      </c>
      <c r="J1" s="1" t="inlineStr">
        <is>
          <t>Topics</t>
        </is>
      </c>
      <c r="K1" s="1" t="inlineStr">
        <is>
          <t>Estimated Time (mins)</t>
        </is>
      </c>
      <c r="L1" s="1" t="inlineStr">
        <is>
          <t>XP</t>
        </is>
      </c>
      <c r="M1" s="1" t="inlineStr">
        <is>
          <t>Open Link</t>
        </is>
      </c>
      <c r="N1" s="1" t="inlineStr">
        <is>
          <t>Notes</t>
        </is>
      </c>
    </row>
    <row r="2" ht="20.1" customHeight="1">
      <c r="A2" s="2" t="inlineStr">
        <is>
          <t>Unsolved</t>
        </is>
      </c>
      <c r="B2" s="3" t="inlineStr">
        <is>
          <t>Arrays</t>
        </is>
      </c>
      <c r="C2" s="3" t="inlineStr">
        <is>
          <t>Basic Array Traversal</t>
        </is>
      </c>
      <c r="D2" s="2" t="inlineStr">
        <is>
          <t>263A</t>
        </is>
      </c>
      <c r="E2" s="2" t="n">
        <v>263</v>
      </c>
      <c r="F2" s="2" t="inlineStr">
        <is>
          <t>A</t>
        </is>
      </c>
      <c r="G2" s="3" t="inlineStr">
        <is>
          <t>Beautiful Matrix</t>
        </is>
      </c>
      <c r="H2" s="2" t="n">
        <v>800</v>
      </c>
      <c r="I2" s="4" t="inlineStr">
        <is>
          <t>Easy</t>
        </is>
      </c>
      <c r="J2" s="3" t="inlineStr">
        <is>
          <t>implementation</t>
        </is>
      </c>
      <c r="K2" s="2" t="n">
        <v>15</v>
      </c>
      <c r="L2" s="2" t="n">
        <v>10</v>
      </c>
      <c r="M2" s="5" t="inlineStr">
        <is>
          <t>https://codeforces.com/problemset/problem/263/A</t>
        </is>
      </c>
      <c r="N2" s="3" t="n"/>
    </row>
    <row r="3" ht="20.1" customHeight="1">
      <c r="A3" s="6" t="inlineStr">
        <is>
          <t>Unsolved</t>
        </is>
      </c>
      <c r="B3" s="7" t="inlineStr">
        <is>
          <t>Arrays</t>
        </is>
      </c>
      <c r="C3" s="7" t="inlineStr">
        <is>
          <t>Basic Array Traversal</t>
        </is>
      </c>
      <c r="D3" s="6" t="inlineStr">
        <is>
          <t>266A</t>
        </is>
      </c>
      <c r="E3" s="6" t="n">
        <v>266</v>
      </c>
      <c r="F3" s="6" t="inlineStr">
        <is>
          <t>A</t>
        </is>
      </c>
      <c r="G3" s="7" t="inlineStr">
        <is>
          <t>Stones on the Table</t>
        </is>
      </c>
      <c r="H3" s="6" t="n">
        <v>800</v>
      </c>
      <c r="I3" s="4" t="inlineStr">
        <is>
          <t>Easy</t>
        </is>
      </c>
      <c r="J3" s="7" t="inlineStr">
        <is>
          <t>implementation</t>
        </is>
      </c>
      <c r="K3" s="6" t="n">
        <v>15</v>
      </c>
      <c r="L3" s="6" t="n">
        <v>10</v>
      </c>
      <c r="M3" s="8" t="inlineStr">
        <is>
          <t>https://codeforces.com/problemset/problem/266/A</t>
        </is>
      </c>
      <c r="N3" s="7" t="n"/>
    </row>
    <row r="4" ht="20.1" customHeight="1">
      <c r="A4" s="2" t="inlineStr">
        <is>
          <t>Unsolved</t>
        </is>
      </c>
      <c r="B4" s="3" t="inlineStr">
        <is>
          <t>Arrays</t>
        </is>
      </c>
      <c r="C4" s="3" t="inlineStr">
        <is>
          <t>Basic Array Traversal</t>
        </is>
      </c>
      <c r="D4" s="2" t="inlineStr">
        <is>
          <t>339A</t>
        </is>
      </c>
      <c r="E4" s="2" t="n">
        <v>339</v>
      </c>
      <c r="F4" s="2" t="inlineStr">
        <is>
          <t>A</t>
        </is>
      </c>
      <c r="G4" s="3" t="inlineStr">
        <is>
          <t>Helpful Maths</t>
        </is>
      </c>
      <c r="H4" s="2" t="n">
        <v>800</v>
      </c>
      <c r="I4" s="4" t="inlineStr">
        <is>
          <t>Easy</t>
        </is>
      </c>
      <c r="J4" s="3" t="inlineStr">
        <is>
          <t>greedy, implementation, sortings, strings</t>
        </is>
      </c>
      <c r="K4" s="2" t="n">
        <v>15</v>
      </c>
      <c r="L4" s="2" t="n">
        <v>10</v>
      </c>
      <c r="M4" s="5" t="inlineStr">
        <is>
          <t>https://codeforces.com/problemset/problem/339/A</t>
        </is>
      </c>
      <c r="N4" s="3" t="n"/>
    </row>
    <row r="5" ht="20.1" customHeight="1">
      <c r="A5" s="6" t="inlineStr">
        <is>
          <t>Unsolved</t>
        </is>
      </c>
      <c r="B5" s="7" t="inlineStr">
        <is>
          <t>Arrays</t>
        </is>
      </c>
      <c r="C5" s="7" t="inlineStr">
        <is>
          <t>Basic Array Traversal</t>
        </is>
      </c>
      <c r="D5" s="6" t="inlineStr">
        <is>
          <t>405A</t>
        </is>
      </c>
      <c r="E5" s="6" t="n">
        <v>405</v>
      </c>
      <c r="F5" s="6" t="inlineStr">
        <is>
          <t>A</t>
        </is>
      </c>
      <c r="G5" s="7" t="inlineStr">
        <is>
          <t>Gravity Flip</t>
        </is>
      </c>
      <c r="H5" s="6" t="n">
        <v>900</v>
      </c>
      <c r="I5" s="4" t="inlineStr">
        <is>
          <t>Easy</t>
        </is>
      </c>
      <c r="J5" s="7" t="inlineStr">
        <is>
          <t>greedy, implementation, sortings</t>
        </is>
      </c>
      <c r="K5" s="6" t="n">
        <v>15</v>
      </c>
      <c r="L5" s="6" t="n">
        <v>10</v>
      </c>
      <c r="M5" s="8" t="inlineStr">
        <is>
          <t>https://codeforces.com/problemset/problem/405/A</t>
        </is>
      </c>
      <c r="N5" s="7" t="n"/>
    </row>
    <row r="6" ht="20.1" customHeight="1">
      <c r="A6" s="2" t="inlineStr">
        <is>
          <t>Unsolved</t>
        </is>
      </c>
      <c r="B6" s="3" t="inlineStr">
        <is>
          <t>Arrays</t>
        </is>
      </c>
      <c r="C6" s="3" t="inlineStr">
        <is>
          <t>Basic Array Traversal</t>
        </is>
      </c>
      <c r="D6" s="2" t="inlineStr">
        <is>
          <t>467A</t>
        </is>
      </c>
      <c r="E6" s="2" t="n">
        <v>467</v>
      </c>
      <c r="F6" s="2" t="inlineStr">
        <is>
          <t>A</t>
        </is>
      </c>
      <c r="G6" s="3" t="inlineStr">
        <is>
          <t>George and Accommodation</t>
        </is>
      </c>
      <c r="H6" s="2" t="n">
        <v>800</v>
      </c>
      <c r="I6" s="4" t="inlineStr">
        <is>
          <t>Easy</t>
        </is>
      </c>
      <c r="J6" s="3" t="inlineStr">
        <is>
          <t>implementation</t>
        </is>
      </c>
      <c r="K6" s="2" t="n">
        <v>15</v>
      </c>
      <c r="L6" s="2" t="n">
        <v>10</v>
      </c>
      <c r="M6" s="5" t="inlineStr">
        <is>
          <t>https://codeforces.com/problemset/problem/467/A</t>
        </is>
      </c>
      <c r="N6" s="3" t="n"/>
    </row>
    <row r="7" ht="20.1" customHeight="1">
      <c r="A7" s="6" t="inlineStr">
        <is>
          <t>Unsolved</t>
        </is>
      </c>
      <c r="B7" s="7" t="inlineStr">
        <is>
          <t>Arrays</t>
        </is>
      </c>
      <c r="C7" s="7" t="inlineStr">
        <is>
          <t>Basic Array Traversal</t>
        </is>
      </c>
      <c r="D7" s="6" t="inlineStr">
        <is>
          <t>469A</t>
        </is>
      </c>
      <c r="E7" s="6" t="n">
        <v>469</v>
      </c>
      <c r="F7" s="6" t="inlineStr">
        <is>
          <t>A</t>
        </is>
      </c>
      <c r="G7" s="7" t="inlineStr">
        <is>
          <t>I Wanna Be the Guy</t>
        </is>
      </c>
      <c r="H7" s="6" t="n">
        <v>800</v>
      </c>
      <c r="I7" s="4" t="inlineStr">
        <is>
          <t>Easy</t>
        </is>
      </c>
      <c r="J7" s="7" t="inlineStr">
        <is>
          <t>greedy, implementation</t>
        </is>
      </c>
      <c r="K7" s="6" t="n">
        <v>15</v>
      </c>
      <c r="L7" s="6" t="n">
        <v>10</v>
      </c>
      <c r="M7" s="8" t="inlineStr">
        <is>
          <t>https://codeforces.com/problemset/problem/469/A</t>
        </is>
      </c>
      <c r="N7" s="7" t="n"/>
    </row>
    <row r="8" ht="20.1" customHeight="1">
      <c r="A8" s="2" t="inlineStr">
        <is>
          <t>Unsolved</t>
        </is>
      </c>
      <c r="B8" s="3" t="inlineStr">
        <is>
          <t>Arrays</t>
        </is>
      </c>
      <c r="C8" s="3" t="inlineStr">
        <is>
          <t>Basic Array Traversal</t>
        </is>
      </c>
      <c r="D8" s="2" t="inlineStr">
        <is>
          <t>479A</t>
        </is>
      </c>
      <c r="E8" s="2" t="n">
        <v>479</v>
      </c>
      <c r="F8" s="2" t="inlineStr">
        <is>
          <t>A</t>
        </is>
      </c>
      <c r="G8" s="3" t="inlineStr">
        <is>
          <t>Expression</t>
        </is>
      </c>
      <c r="H8" s="2" t="n">
        <v>1000</v>
      </c>
      <c r="I8" s="4" t="inlineStr">
        <is>
          <t>Easy+</t>
        </is>
      </c>
      <c r="J8" s="3" t="inlineStr">
        <is>
          <t>brute force, math</t>
        </is>
      </c>
      <c r="K8" s="2" t="n">
        <v>15</v>
      </c>
      <c r="L8" s="2" t="n">
        <v>10</v>
      </c>
      <c r="M8" s="5" t="inlineStr">
        <is>
          <t>https://codeforces.com/problemset/problem/479/A</t>
        </is>
      </c>
      <c r="N8" s="3" t="n"/>
    </row>
    <row r="9" ht="20.1" customHeight="1">
      <c r="A9" s="6" t="inlineStr">
        <is>
          <t>Unsolved</t>
        </is>
      </c>
      <c r="B9" s="7" t="inlineStr">
        <is>
          <t>Arrays</t>
        </is>
      </c>
      <c r="C9" s="7" t="inlineStr">
        <is>
          <t>Basic Array Traversal</t>
        </is>
      </c>
      <c r="D9" s="6" t="inlineStr">
        <is>
          <t>490A</t>
        </is>
      </c>
      <c r="E9" s="6" t="n">
        <v>490</v>
      </c>
      <c r="F9" s="6" t="inlineStr">
        <is>
          <t>A</t>
        </is>
      </c>
      <c r="G9" s="7" t="inlineStr">
        <is>
          <t>Team Olympiad</t>
        </is>
      </c>
      <c r="H9" s="6" t="n">
        <v>800</v>
      </c>
      <c r="I9" s="4" t="inlineStr">
        <is>
          <t>Easy</t>
        </is>
      </c>
      <c r="J9" s="7" t="inlineStr">
        <is>
          <t>greedy, implementation, sortings</t>
        </is>
      </c>
      <c r="K9" s="6" t="n">
        <v>15</v>
      </c>
      <c r="L9" s="6" t="n">
        <v>10</v>
      </c>
      <c r="M9" s="8" t="inlineStr">
        <is>
          <t>https://codeforces.com/problemset/problem/490/A</t>
        </is>
      </c>
      <c r="N9" s="7" t="n"/>
    </row>
    <row r="10" ht="20.1" customHeight="1">
      <c r="A10" s="2" t="inlineStr">
        <is>
          <t>Unsolved</t>
        </is>
      </c>
      <c r="B10" s="3" t="inlineStr">
        <is>
          <t>Arrays</t>
        </is>
      </c>
      <c r="C10" s="3" t="inlineStr">
        <is>
          <t>Basic Array Traversal</t>
        </is>
      </c>
      <c r="D10" s="2" t="inlineStr">
        <is>
          <t>501A</t>
        </is>
      </c>
      <c r="E10" s="2" t="n">
        <v>501</v>
      </c>
      <c r="F10" s="2" t="inlineStr">
        <is>
          <t>A</t>
        </is>
      </c>
      <c r="G10" s="3" t="inlineStr">
        <is>
          <t>Contest</t>
        </is>
      </c>
      <c r="H10" s="2" t="n">
        <v>900</v>
      </c>
      <c r="I10" s="4" t="inlineStr">
        <is>
          <t>Easy</t>
        </is>
      </c>
      <c r="J10" s="3" t="inlineStr">
        <is>
          <t>implementation</t>
        </is>
      </c>
      <c r="K10" s="2" t="n">
        <v>15</v>
      </c>
      <c r="L10" s="2" t="n">
        <v>10</v>
      </c>
      <c r="M10" s="5" t="inlineStr">
        <is>
          <t>https://codeforces.com/problemset/problem/501/A</t>
        </is>
      </c>
      <c r="N10" s="3" t="n"/>
    </row>
    <row r="11" ht="20.1" customHeight="1">
      <c r="A11" s="6" t="inlineStr">
        <is>
          <t>Unsolved</t>
        </is>
      </c>
      <c r="B11" s="7" t="inlineStr">
        <is>
          <t>Arrays</t>
        </is>
      </c>
      <c r="C11" s="7" t="inlineStr">
        <is>
          <t>Basic Array Traversal</t>
        </is>
      </c>
      <c r="D11" s="6" t="inlineStr">
        <is>
          <t>509A</t>
        </is>
      </c>
      <c r="E11" s="6" t="n">
        <v>509</v>
      </c>
      <c r="F11" s="6" t="inlineStr">
        <is>
          <t>A</t>
        </is>
      </c>
      <c r="G11" s="7" t="inlineStr">
        <is>
          <t>Maximum in Table</t>
        </is>
      </c>
      <c r="H11" s="6" t="n">
        <v>800</v>
      </c>
      <c r="I11" s="4" t="inlineStr">
        <is>
          <t>Easy</t>
        </is>
      </c>
      <c r="J11" s="7" t="inlineStr">
        <is>
          <t>brute force, implementation</t>
        </is>
      </c>
      <c r="K11" s="6" t="n">
        <v>15</v>
      </c>
      <c r="L11" s="6" t="n">
        <v>10</v>
      </c>
      <c r="M11" s="8" t="inlineStr">
        <is>
          <t>https://codeforces.com/problemset/problem/509/A</t>
        </is>
      </c>
      <c r="N11" s="7" t="n"/>
    </row>
    <row r="12" ht="20.1" customHeight="1">
      <c r="A12" s="2" t="inlineStr">
        <is>
          <t>Unsolved</t>
        </is>
      </c>
      <c r="B12" s="3" t="inlineStr">
        <is>
          <t>Arrays</t>
        </is>
      </c>
      <c r="C12" s="3" t="inlineStr">
        <is>
          <t>Basic Array Traversal</t>
        </is>
      </c>
      <c r="D12" s="2" t="inlineStr">
        <is>
          <t>510A</t>
        </is>
      </c>
      <c r="E12" s="2" t="n">
        <v>510</v>
      </c>
      <c r="F12" s="2" t="inlineStr">
        <is>
          <t>A</t>
        </is>
      </c>
      <c r="G12" s="3" t="inlineStr">
        <is>
          <t>Fox And Snake</t>
        </is>
      </c>
      <c r="H12" s="2" t="n">
        <v>800</v>
      </c>
      <c r="I12" s="4" t="inlineStr">
        <is>
          <t>Easy</t>
        </is>
      </c>
      <c r="J12" s="3" t="inlineStr">
        <is>
          <t>implementation</t>
        </is>
      </c>
      <c r="K12" s="2" t="n">
        <v>15</v>
      </c>
      <c r="L12" s="2" t="n">
        <v>10</v>
      </c>
      <c r="M12" s="5" t="inlineStr">
        <is>
          <t>https://codeforces.com/problemset/problem/510/A</t>
        </is>
      </c>
      <c r="N12" s="3" t="n"/>
    </row>
    <row r="13" ht="20.1" customHeight="1">
      <c r="A13" s="6" t="inlineStr">
        <is>
          <t>Unsolved</t>
        </is>
      </c>
      <c r="B13" s="7" t="inlineStr">
        <is>
          <t>Arrays</t>
        </is>
      </c>
      <c r="C13" s="7" t="inlineStr">
        <is>
          <t>Basic Array Traversal</t>
        </is>
      </c>
      <c r="D13" s="6" t="inlineStr">
        <is>
          <t>581A</t>
        </is>
      </c>
      <c r="E13" s="6" t="n">
        <v>581</v>
      </c>
      <c r="F13" s="6" t="inlineStr">
        <is>
          <t>A</t>
        </is>
      </c>
      <c r="G13" s="7" t="inlineStr">
        <is>
          <t>Vasya the Hipster</t>
        </is>
      </c>
      <c r="H13" s="6" t="n">
        <v>800</v>
      </c>
      <c r="I13" s="4" t="inlineStr">
        <is>
          <t>Easy</t>
        </is>
      </c>
      <c r="J13" s="7" t="inlineStr">
        <is>
          <t>implementation, math</t>
        </is>
      </c>
      <c r="K13" s="6" t="n">
        <v>15</v>
      </c>
      <c r="L13" s="6" t="n">
        <v>10</v>
      </c>
      <c r="M13" s="8" t="inlineStr">
        <is>
          <t>https://codeforces.com/problemset/problem/581/A</t>
        </is>
      </c>
      <c r="N13" s="7" t="n"/>
    </row>
    <row r="14" ht="20.1" customHeight="1">
      <c r="A14" s="2" t="inlineStr">
        <is>
          <t>Unsolved</t>
        </is>
      </c>
      <c r="B14" s="3" t="inlineStr">
        <is>
          <t>Arrays</t>
        </is>
      </c>
      <c r="C14" s="3" t="inlineStr">
        <is>
          <t>Basic Array Traversal</t>
        </is>
      </c>
      <c r="D14" s="2" t="inlineStr">
        <is>
          <t>677A</t>
        </is>
      </c>
      <c r="E14" s="2" t="n">
        <v>677</v>
      </c>
      <c r="F14" s="2" t="inlineStr">
        <is>
          <t>A</t>
        </is>
      </c>
      <c r="G14" s="3" t="inlineStr">
        <is>
          <t>Vanya and Fence</t>
        </is>
      </c>
      <c r="H14" s="2" t="n">
        <v>800</v>
      </c>
      <c r="I14" s="4" t="inlineStr">
        <is>
          <t>Easy</t>
        </is>
      </c>
      <c r="J14" s="3" t="inlineStr">
        <is>
          <t>implementation</t>
        </is>
      </c>
      <c r="K14" s="2" t="n">
        <v>15</v>
      </c>
      <c r="L14" s="2" t="n">
        <v>10</v>
      </c>
      <c r="M14" s="5" t="inlineStr">
        <is>
          <t>https://codeforces.com/problemset/problem/677/A</t>
        </is>
      </c>
      <c r="N14" s="3" t="n"/>
    </row>
    <row r="15" ht="20.1" customHeight="1">
      <c r="A15" s="6" t="inlineStr">
        <is>
          <t>Unsolved</t>
        </is>
      </c>
      <c r="B15" s="7" t="inlineStr">
        <is>
          <t>Arrays</t>
        </is>
      </c>
      <c r="C15" s="7" t="inlineStr">
        <is>
          <t>Basic Array Traversal</t>
        </is>
      </c>
      <c r="D15" s="6" t="inlineStr">
        <is>
          <t>705A</t>
        </is>
      </c>
      <c r="E15" s="6" t="n">
        <v>705</v>
      </c>
      <c r="F15" s="6" t="inlineStr">
        <is>
          <t>A</t>
        </is>
      </c>
      <c r="G15" s="7" t="inlineStr">
        <is>
          <t>Hulk</t>
        </is>
      </c>
      <c r="H15" s="6" t="n">
        <v>800</v>
      </c>
      <c r="I15" s="4" t="inlineStr">
        <is>
          <t>Easy</t>
        </is>
      </c>
      <c r="J15" s="7" t="inlineStr">
        <is>
          <t>implementation</t>
        </is>
      </c>
      <c r="K15" s="6" t="n">
        <v>15</v>
      </c>
      <c r="L15" s="6" t="n">
        <v>10</v>
      </c>
      <c r="M15" s="8" t="inlineStr">
        <is>
          <t>https://codeforces.com/problemset/problem/705/A</t>
        </is>
      </c>
      <c r="N15" s="7" t="n"/>
    </row>
    <row r="16" ht="20.1" customHeight="1">
      <c r="A16" s="2" t="inlineStr">
        <is>
          <t>Unsolved</t>
        </is>
      </c>
      <c r="B16" s="3" t="inlineStr">
        <is>
          <t>Arrays</t>
        </is>
      </c>
      <c r="C16" s="3" t="inlineStr">
        <is>
          <t>Basic Array Traversal</t>
        </is>
      </c>
      <c r="D16" s="2" t="inlineStr">
        <is>
          <t>723A</t>
        </is>
      </c>
      <c r="E16" s="2" t="n">
        <v>723</v>
      </c>
      <c r="F16" s="2" t="inlineStr">
        <is>
          <t>A</t>
        </is>
      </c>
      <c r="G16" s="3" t="inlineStr">
        <is>
          <t>The New Year: Meeting Friends</t>
        </is>
      </c>
      <c r="H16" s="2" t="n">
        <v>800</v>
      </c>
      <c r="I16" s="4" t="inlineStr">
        <is>
          <t>Easy</t>
        </is>
      </c>
      <c r="J16" s="3" t="inlineStr">
        <is>
          <t>implementation, math, sortings</t>
        </is>
      </c>
      <c r="K16" s="2" t="n">
        <v>15</v>
      </c>
      <c r="L16" s="2" t="n">
        <v>10</v>
      </c>
      <c r="M16" s="5" t="inlineStr">
        <is>
          <t>https://codeforces.com/problemset/problem/723/A</t>
        </is>
      </c>
      <c r="N16" s="3" t="n"/>
    </row>
    <row r="17" ht="20.1" customHeight="1">
      <c r="A17" s="6" t="inlineStr">
        <is>
          <t>Unsolved</t>
        </is>
      </c>
      <c r="B17" s="7" t="inlineStr">
        <is>
          <t>Arrays</t>
        </is>
      </c>
      <c r="C17" s="7" t="inlineStr">
        <is>
          <t>Basic Array Traversal</t>
        </is>
      </c>
      <c r="D17" s="6" t="inlineStr">
        <is>
          <t>731A</t>
        </is>
      </c>
      <c r="E17" s="6" t="n">
        <v>731</v>
      </c>
      <c r="F17" s="6" t="inlineStr">
        <is>
          <t>A</t>
        </is>
      </c>
      <c r="G17" s="7" t="inlineStr">
        <is>
          <t>Night at the Museum</t>
        </is>
      </c>
      <c r="H17" s="6" t="n">
        <v>800</v>
      </c>
      <c r="I17" s="4" t="inlineStr">
        <is>
          <t>Easy</t>
        </is>
      </c>
      <c r="J17" s="7" t="inlineStr">
        <is>
          <t>implementation, strings</t>
        </is>
      </c>
      <c r="K17" s="6" t="n">
        <v>15</v>
      </c>
      <c r="L17" s="6" t="n">
        <v>10</v>
      </c>
      <c r="M17" s="8" t="inlineStr">
        <is>
          <t>https://codeforces.com/problemset/problem/731/A</t>
        </is>
      </c>
      <c r="N17" s="7" t="n"/>
    </row>
    <row r="18" ht="20.1" customHeight="1">
      <c r="A18" s="2" t="inlineStr">
        <is>
          <t>Unsolved</t>
        </is>
      </c>
      <c r="B18" s="3" t="inlineStr">
        <is>
          <t>Arrays</t>
        </is>
      </c>
      <c r="C18" s="3" t="inlineStr">
        <is>
          <t>Basic Array Traversal</t>
        </is>
      </c>
      <c r="D18" s="2" t="inlineStr">
        <is>
          <t>734A</t>
        </is>
      </c>
      <c r="E18" s="2" t="n">
        <v>734</v>
      </c>
      <c r="F18" s="2" t="inlineStr">
        <is>
          <t>A</t>
        </is>
      </c>
      <c r="G18" s="3" t="inlineStr">
        <is>
          <t>Anton and Danik</t>
        </is>
      </c>
      <c r="H18" s="2" t="n">
        <v>800</v>
      </c>
      <c r="I18" s="4" t="inlineStr">
        <is>
          <t>Easy</t>
        </is>
      </c>
      <c r="J18" s="3" t="inlineStr">
        <is>
          <t>implementation, strings</t>
        </is>
      </c>
      <c r="K18" s="2" t="n">
        <v>15</v>
      </c>
      <c r="L18" s="2" t="n">
        <v>10</v>
      </c>
      <c r="M18" s="5" t="inlineStr">
        <is>
          <t>https://codeforces.com/problemset/problem/734/A</t>
        </is>
      </c>
      <c r="N18" s="3" t="n"/>
    </row>
    <row r="19" ht="20.1" customHeight="1">
      <c r="A19" s="6" t="inlineStr">
        <is>
          <t>Unsolved</t>
        </is>
      </c>
      <c r="B19" s="7" t="inlineStr">
        <is>
          <t>Arrays</t>
        </is>
      </c>
      <c r="C19" s="7" t="inlineStr">
        <is>
          <t>Basic Array Traversal</t>
        </is>
      </c>
      <c r="D19" s="6" t="inlineStr">
        <is>
          <t>746A</t>
        </is>
      </c>
      <c r="E19" s="6" t="n">
        <v>746</v>
      </c>
      <c r="F19" s="6" t="inlineStr">
        <is>
          <t>A</t>
        </is>
      </c>
      <c r="G19" s="7" t="inlineStr">
        <is>
          <t>Compote</t>
        </is>
      </c>
      <c r="H19" s="6" t="n">
        <v>800</v>
      </c>
      <c r="I19" s="4" t="inlineStr">
        <is>
          <t>Easy</t>
        </is>
      </c>
      <c r="J19" s="7" t="inlineStr">
        <is>
          <t>implementation, math</t>
        </is>
      </c>
      <c r="K19" s="6" t="n">
        <v>15</v>
      </c>
      <c r="L19" s="6" t="n">
        <v>10</v>
      </c>
      <c r="M19" s="8" t="inlineStr">
        <is>
          <t>https://codeforces.com/problemset/problem/746/A</t>
        </is>
      </c>
      <c r="N19" s="7" t="n"/>
    </row>
    <row r="20" ht="20.1" customHeight="1">
      <c r="A20" s="2" t="inlineStr">
        <is>
          <t>Unsolved</t>
        </is>
      </c>
      <c r="B20" s="3" t="inlineStr">
        <is>
          <t>Arrays</t>
        </is>
      </c>
      <c r="C20" s="3" t="inlineStr">
        <is>
          <t>Basic Array Traversal</t>
        </is>
      </c>
      <c r="D20" s="2" t="inlineStr">
        <is>
          <t>750A</t>
        </is>
      </c>
      <c r="E20" s="2" t="n">
        <v>750</v>
      </c>
      <c r="F20" s="2" t="inlineStr">
        <is>
          <t>A</t>
        </is>
      </c>
      <c r="G20" s="3" t="inlineStr">
        <is>
          <t>New Year and Hurry</t>
        </is>
      </c>
      <c r="H20" s="2" t="n">
        <v>800</v>
      </c>
      <c r="I20" s="4" t="inlineStr">
        <is>
          <t>Easy</t>
        </is>
      </c>
      <c r="J20" s="3" t="inlineStr">
        <is>
          <t>binary search, brute force, implementation, math</t>
        </is>
      </c>
      <c r="K20" s="2" t="n">
        <v>15</v>
      </c>
      <c r="L20" s="2" t="n">
        <v>10</v>
      </c>
      <c r="M20" s="5" t="inlineStr">
        <is>
          <t>https://codeforces.com/problemset/problem/750/A</t>
        </is>
      </c>
      <c r="N20" s="3" t="n"/>
    </row>
    <row r="21" ht="20.1" customHeight="1">
      <c r="A21" s="6" t="inlineStr">
        <is>
          <t>Unsolved</t>
        </is>
      </c>
      <c r="B21" s="7" t="inlineStr">
        <is>
          <t>Arrays</t>
        </is>
      </c>
      <c r="C21" s="7" t="inlineStr">
        <is>
          <t>Basic Array Traversal</t>
        </is>
      </c>
      <c r="D21" s="6" t="inlineStr">
        <is>
          <t>758A</t>
        </is>
      </c>
      <c r="E21" s="6" t="n">
        <v>758</v>
      </c>
      <c r="F21" s="6" t="inlineStr">
        <is>
          <t>A</t>
        </is>
      </c>
      <c r="G21" s="7" t="inlineStr">
        <is>
          <t>Holiday Of Equality</t>
        </is>
      </c>
      <c r="H21" s="6" t="n">
        <v>800</v>
      </c>
      <c r="I21" s="4" t="inlineStr">
        <is>
          <t>Easy</t>
        </is>
      </c>
      <c r="J21" s="7" t="inlineStr">
        <is>
          <t>implementation, math</t>
        </is>
      </c>
      <c r="K21" s="6" t="n">
        <v>15</v>
      </c>
      <c r="L21" s="6" t="n">
        <v>10</v>
      </c>
      <c r="M21" s="8" t="inlineStr">
        <is>
          <t>https://codeforces.com/problemset/problem/758/A</t>
        </is>
      </c>
      <c r="N21" s="7" t="n"/>
    </row>
    <row r="22" ht="20.1" customHeight="1">
      <c r="A22" s="2" t="inlineStr">
        <is>
          <t>Unsolved</t>
        </is>
      </c>
      <c r="B22" s="3" t="inlineStr">
        <is>
          <t>Arrays</t>
        </is>
      </c>
      <c r="C22" s="3" t="inlineStr">
        <is>
          <t>Basic Array Traversal</t>
        </is>
      </c>
      <c r="D22" s="2" t="inlineStr">
        <is>
          <t>785A</t>
        </is>
      </c>
      <c r="E22" s="2" t="n">
        <v>785</v>
      </c>
      <c r="F22" s="2" t="inlineStr">
        <is>
          <t>A</t>
        </is>
      </c>
      <c r="G22" s="3" t="inlineStr">
        <is>
          <t>Anton and Polyhedrons</t>
        </is>
      </c>
      <c r="H22" s="2" t="n">
        <v>800</v>
      </c>
      <c r="I22" s="4" t="inlineStr">
        <is>
          <t>Easy</t>
        </is>
      </c>
      <c r="J22" s="3" t="inlineStr">
        <is>
          <t>implementation, strings</t>
        </is>
      </c>
      <c r="K22" s="2" t="n">
        <v>15</v>
      </c>
      <c r="L22" s="2" t="n">
        <v>10</v>
      </c>
      <c r="M22" s="5" t="inlineStr">
        <is>
          <t>https://codeforces.com/problemset/problem/785/A</t>
        </is>
      </c>
      <c r="N22" s="3" t="n"/>
    </row>
    <row r="23" ht="20.1" customHeight="1">
      <c r="A23" s="6" t="inlineStr">
        <is>
          <t>Unsolved</t>
        </is>
      </c>
      <c r="B23" s="7" t="inlineStr">
        <is>
          <t>Arrays</t>
        </is>
      </c>
      <c r="C23" s="7" t="inlineStr">
        <is>
          <t>Basic Array Traversal</t>
        </is>
      </c>
      <c r="D23" s="6" t="inlineStr">
        <is>
          <t>791A</t>
        </is>
      </c>
      <c r="E23" s="6" t="n">
        <v>791</v>
      </c>
      <c r="F23" s="6" t="inlineStr">
        <is>
          <t>A</t>
        </is>
      </c>
      <c r="G23" s="7" t="inlineStr">
        <is>
          <t>Bear and Big Brother</t>
        </is>
      </c>
      <c r="H23" s="6" t="n">
        <v>800</v>
      </c>
      <c r="I23" s="4" t="inlineStr">
        <is>
          <t>Easy</t>
        </is>
      </c>
      <c r="J23" s="7" t="inlineStr">
        <is>
          <t>implementation</t>
        </is>
      </c>
      <c r="K23" s="6" t="n">
        <v>15</v>
      </c>
      <c r="L23" s="6" t="n">
        <v>10</v>
      </c>
      <c r="M23" s="8" t="inlineStr">
        <is>
          <t>https://codeforces.com/problemset/problem/791/A</t>
        </is>
      </c>
      <c r="N23" s="7" t="n"/>
    </row>
    <row r="24" ht="20.1" customHeight="1">
      <c r="A24" s="2" t="inlineStr">
        <is>
          <t>Unsolved</t>
        </is>
      </c>
      <c r="B24" s="3" t="inlineStr">
        <is>
          <t>Arrays</t>
        </is>
      </c>
      <c r="C24" s="3" t="inlineStr">
        <is>
          <t>Basic Array Traversal</t>
        </is>
      </c>
      <c r="D24" s="2" t="inlineStr">
        <is>
          <t>935A</t>
        </is>
      </c>
      <c r="E24" s="2" t="n">
        <v>935</v>
      </c>
      <c r="F24" s="2" t="inlineStr">
        <is>
          <t>A</t>
        </is>
      </c>
      <c r="G24" s="3" t="inlineStr">
        <is>
          <t>Fafa and his Company</t>
        </is>
      </c>
      <c r="H24" s="2" t="n">
        <v>800</v>
      </c>
      <c r="I24" s="4" t="inlineStr">
        <is>
          <t>Easy</t>
        </is>
      </c>
      <c r="J24" s="3" t="inlineStr">
        <is>
          <t>brute force, implementation</t>
        </is>
      </c>
      <c r="K24" s="2" t="n">
        <v>15</v>
      </c>
      <c r="L24" s="2" t="n">
        <v>10</v>
      </c>
      <c r="M24" s="5" t="inlineStr">
        <is>
          <t>https://codeforces.com/problemset/problem/935/A</t>
        </is>
      </c>
      <c r="N24" s="3" t="n"/>
    </row>
    <row r="25" ht="20.1" customHeight="1">
      <c r="A25" s="6" t="inlineStr">
        <is>
          <t>Unsolved</t>
        </is>
      </c>
      <c r="B25" s="7" t="inlineStr">
        <is>
          <t>Arrays</t>
        </is>
      </c>
      <c r="C25" s="7" t="inlineStr">
        <is>
          <t>Basic Array Traversal</t>
        </is>
      </c>
      <c r="D25" s="6" t="inlineStr">
        <is>
          <t>996A</t>
        </is>
      </c>
      <c r="E25" s="6" t="n">
        <v>996</v>
      </c>
      <c r="F25" s="6" t="inlineStr">
        <is>
          <t>A</t>
        </is>
      </c>
      <c r="G25" s="7" t="inlineStr">
        <is>
          <t>Hit the Lottery</t>
        </is>
      </c>
      <c r="H25" s="6" t="n">
        <v>800</v>
      </c>
      <c r="I25" s="4" t="inlineStr">
        <is>
          <t>Easy</t>
        </is>
      </c>
      <c r="J25" s="7" t="inlineStr">
        <is>
          <t>dp, greedy</t>
        </is>
      </c>
      <c r="K25" s="6" t="n">
        <v>15</v>
      </c>
      <c r="L25" s="6" t="n">
        <v>10</v>
      </c>
      <c r="M25" s="8" t="inlineStr">
        <is>
          <t>https://codeforces.com/problemset/problem/996/A</t>
        </is>
      </c>
      <c r="N25" s="7" t="n"/>
    </row>
    <row r="26" ht="20.1" customHeight="1">
      <c r="A26" s="2" t="inlineStr">
        <is>
          <t>Unsolved</t>
        </is>
      </c>
      <c r="B26" s="3" t="inlineStr">
        <is>
          <t>Arrays</t>
        </is>
      </c>
      <c r="C26" s="3" t="inlineStr">
        <is>
          <t>Basic Array Traversal</t>
        </is>
      </c>
      <c r="D26" s="2" t="inlineStr">
        <is>
          <t>1030A</t>
        </is>
      </c>
      <c r="E26" s="2" t="n">
        <v>1030</v>
      </c>
      <c r="F26" s="2" t="inlineStr">
        <is>
          <t>A</t>
        </is>
      </c>
      <c r="G26" s="3" t="inlineStr">
        <is>
          <t>In Search of an Easy Problem</t>
        </is>
      </c>
      <c r="H26" s="2" t="n">
        <v>800</v>
      </c>
      <c r="I26" s="4" t="inlineStr">
        <is>
          <t>Easy</t>
        </is>
      </c>
      <c r="J26" s="3" t="inlineStr">
        <is>
          <t>implementation</t>
        </is>
      </c>
      <c r="K26" s="2" t="n">
        <v>15</v>
      </c>
      <c r="L26" s="2" t="n">
        <v>10</v>
      </c>
      <c r="M26" s="5" t="inlineStr">
        <is>
          <t>https://codeforces.com/problemset/problem/1030/A</t>
        </is>
      </c>
      <c r="N26" s="3" t="n"/>
    </row>
    <row r="27" ht="20.1" customHeight="1">
      <c r="A27" s="6" t="inlineStr">
        <is>
          <t>Unsolved</t>
        </is>
      </c>
      <c r="B27" s="7" t="inlineStr">
        <is>
          <t>Arrays</t>
        </is>
      </c>
      <c r="C27" s="7" t="inlineStr">
        <is>
          <t>Basic Array Traversal</t>
        </is>
      </c>
      <c r="D27" s="6" t="inlineStr">
        <is>
          <t>1097A</t>
        </is>
      </c>
      <c r="E27" s="6" t="n">
        <v>1097</v>
      </c>
      <c r="F27" s="6" t="inlineStr">
        <is>
          <t>A</t>
        </is>
      </c>
      <c r="G27" s="7" t="inlineStr">
        <is>
          <t>Gennady and a Card Game</t>
        </is>
      </c>
      <c r="H27" s="6" t="n">
        <v>800</v>
      </c>
      <c r="I27" s="4" t="inlineStr">
        <is>
          <t>Easy</t>
        </is>
      </c>
      <c r="J27" s="7" t="inlineStr">
        <is>
          <t>brute force, implementation</t>
        </is>
      </c>
      <c r="K27" s="6" t="n">
        <v>15</v>
      </c>
      <c r="L27" s="6" t="n">
        <v>10</v>
      </c>
      <c r="M27" s="8" t="inlineStr">
        <is>
          <t>https://codeforces.com/problemset/problem/1097/A</t>
        </is>
      </c>
      <c r="N27" s="7" t="n"/>
    </row>
    <row r="28" ht="20.1" customHeight="1">
      <c r="A28" s="2" t="inlineStr">
        <is>
          <t>Unsolved</t>
        </is>
      </c>
      <c r="B28" s="3" t="inlineStr">
        <is>
          <t>Arrays</t>
        </is>
      </c>
      <c r="C28" s="3" t="inlineStr">
        <is>
          <t>Basic Array Traversal</t>
        </is>
      </c>
      <c r="D28" s="2" t="inlineStr">
        <is>
          <t>1108A</t>
        </is>
      </c>
      <c r="E28" s="2" t="n">
        <v>1108</v>
      </c>
      <c r="F28" s="2" t="inlineStr">
        <is>
          <t>A</t>
        </is>
      </c>
      <c r="G28" s="3" t="inlineStr">
        <is>
          <t>Two distinct points</t>
        </is>
      </c>
      <c r="H28" s="2" t="n">
        <v>800</v>
      </c>
      <c r="I28" s="4" t="inlineStr">
        <is>
          <t>Easy</t>
        </is>
      </c>
      <c r="J28" s="3" t="inlineStr">
        <is>
          <t>implementation</t>
        </is>
      </c>
      <c r="K28" s="2" t="n">
        <v>15</v>
      </c>
      <c r="L28" s="2" t="n">
        <v>10</v>
      </c>
      <c r="M28" s="5" t="inlineStr">
        <is>
          <t>https://codeforces.com/problemset/problem/1108/A</t>
        </is>
      </c>
      <c r="N28" s="3" t="n"/>
    </row>
    <row r="29" ht="20.1" customHeight="1">
      <c r="A29" s="6" t="inlineStr">
        <is>
          <t>Unsolved</t>
        </is>
      </c>
      <c r="B29" s="7" t="inlineStr">
        <is>
          <t>Arrays</t>
        </is>
      </c>
      <c r="C29" s="7" t="inlineStr">
        <is>
          <t>Basic Array Traversal</t>
        </is>
      </c>
      <c r="D29" s="6" t="inlineStr">
        <is>
          <t>1114A</t>
        </is>
      </c>
      <c r="E29" s="6" t="n">
        <v>1114</v>
      </c>
      <c r="F29" s="6" t="inlineStr">
        <is>
          <t>A</t>
        </is>
      </c>
      <c r="G29" s="7" t="inlineStr">
        <is>
          <t>Got Any Grapes?</t>
        </is>
      </c>
      <c r="H29" s="6" t="n">
        <v>800</v>
      </c>
      <c r="I29" s="4" t="inlineStr">
        <is>
          <t>Easy</t>
        </is>
      </c>
      <c r="J29" s="7" t="inlineStr">
        <is>
          <t>brute force, greedy, implementation</t>
        </is>
      </c>
      <c r="K29" s="6" t="n">
        <v>15</v>
      </c>
      <c r="L29" s="6" t="n">
        <v>10</v>
      </c>
      <c r="M29" s="8" t="inlineStr">
        <is>
          <t>https://codeforces.com/problemset/problem/1114/A</t>
        </is>
      </c>
      <c r="N29" s="7" t="n"/>
    </row>
    <row r="30" ht="20.1" customHeight="1">
      <c r="A30" s="2" t="inlineStr">
        <is>
          <t>Unsolved</t>
        </is>
      </c>
      <c r="B30" s="3" t="inlineStr">
        <is>
          <t>Arrays</t>
        </is>
      </c>
      <c r="C30" s="3" t="inlineStr">
        <is>
          <t>Basic Array Traversal</t>
        </is>
      </c>
      <c r="D30" s="2" t="inlineStr">
        <is>
          <t>116A</t>
        </is>
      </c>
      <c r="E30" s="2" t="n">
        <v>116</v>
      </c>
      <c r="F30" s="2" t="inlineStr">
        <is>
          <t>A</t>
        </is>
      </c>
      <c r="G30" s="3" t="inlineStr">
        <is>
          <t>Tram</t>
        </is>
      </c>
      <c r="H30" s="2" t="n">
        <v>800</v>
      </c>
      <c r="I30" s="4" t="inlineStr">
        <is>
          <t>Easy</t>
        </is>
      </c>
      <c r="J30" s="3" t="inlineStr">
        <is>
          <t>implementation</t>
        </is>
      </c>
      <c r="K30" s="2" t="n">
        <v>15</v>
      </c>
      <c r="L30" s="2" t="n">
        <v>10</v>
      </c>
      <c r="M30" s="5" t="inlineStr">
        <is>
          <t>https://codeforces.com/problemset/problem/116/A</t>
        </is>
      </c>
      <c r="N30" s="3" t="n"/>
    </row>
    <row r="31" ht="20.1" customHeight="1">
      <c r="A31" s="6" t="inlineStr">
        <is>
          <t>Unsolved</t>
        </is>
      </c>
      <c r="B31" s="7" t="inlineStr">
        <is>
          <t>Arrays</t>
        </is>
      </c>
      <c r="C31" s="7" t="inlineStr">
        <is>
          <t>Basic Array Traversal</t>
        </is>
      </c>
      <c r="D31" s="6" t="inlineStr">
        <is>
          <t>1234A</t>
        </is>
      </c>
      <c r="E31" s="6" t="n">
        <v>1234</v>
      </c>
      <c r="F31" s="6" t="inlineStr">
        <is>
          <t>A</t>
        </is>
      </c>
      <c r="G31" s="7" t="inlineStr">
        <is>
          <t>Equalize Prices Again</t>
        </is>
      </c>
      <c r="H31" s="6" t="n">
        <v>800</v>
      </c>
      <c r="I31" s="4" t="inlineStr">
        <is>
          <t>Easy</t>
        </is>
      </c>
      <c r="J31" s="7" t="inlineStr">
        <is>
          <t>math</t>
        </is>
      </c>
      <c r="K31" s="6" t="n">
        <v>15</v>
      </c>
      <c r="L31" s="6" t="n">
        <v>10</v>
      </c>
      <c r="M31" s="8" t="inlineStr">
        <is>
          <t>https://codeforces.com/problemset/problem/1234/A</t>
        </is>
      </c>
      <c r="N31" s="7" t="n"/>
    </row>
    <row r="32" ht="20.1" customHeight="1">
      <c r="A32" s="2" t="inlineStr">
        <is>
          <t>Unsolved</t>
        </is>
      </c>
      <c r="B32" s="3" t="inlineStr">
        <is>
          <t>Arrays</t>
        </is>
      </c>
      <c r="C32" s="3" t="inlineStr">
        <is>
          <t>Basic Array Traversal</t>
        </is>
      </c>
      <c r="D32" s="2" t="inlineStr">
        <is>
          <t>1294A</t>
        </is>
      </c>
      <c r="E32" s="2" t="n">
        <v>1294</v>
      </c>
      <c r="F32" s="2" t="inlineStr">
        <is>
          <t>A</t>
        </is>
      </c>
      <c r="G32" s="3" t="inlineStr">
        <is>
          <t>Collecting Coins</t>
        </is>
      </c>
      <c r="H32" s="2" t="n">
        <v>800</v>
      </c>
      <c r="I32" s="4" t="inlineStr">
        <is>
          <t>Easy</t>
        </is>
      </c>
      <c r="J32" s="3" t="inlineStr">
        <is>
          <t>math</t>
        </is>
      </c>
      <c r="K32" s="2" t="n">
        <v>15</v>
      </c>
      <c r="L32" s="2" t="n">
        <v>10</v>
      </c>
      <c r="M32" s="5" t="inlineStr">
        <is>
          <t>https://codeforces.com/problemset/problem/1294/A</t>
        </is>
      </c>
      <c r="N32" s="3" t="n"/>
    </row>
    <row r="33" ht="20.1" customHeight="1">
      <c r="A33" s="6" t="inlineStr">
        <is>
          <t>Unsolved</t>
        </is>
      </c>
      <c r="B33" s="7" t="inlineStr">
        <is>
          <t>Arrays</t>
        </is>
      </c>
      <c r="C33" s="7" t="inlineStr">
        <is>
          <t>Basic Array Traversal</t>
        </is>
      </c>
      <c r="D33" s="6" t="inlineStr">
        <is>
          <t>1335A</t>
        </is>
      </c>
      <c r="E33" s="6" t="n">
        <v>1335</v>
      </c>
      <c r="F33" s="6" t="inlineStr">
        <is>
          <t>A</t>
        </is>
      </c>
      <c r="G33" s="7" t="inlineStr">
        <is>
          <t>Candies and Two Sisters</t>
        </is>
      </c>
      <c r="H33" s="6" t="n">
        <v>800</v>
      </c>
      <c r="I33" s="4" t="inlineStr">
        <is>
          <t>Easy</t>
        </is>
      </c>
      <c r="J33" s="7" t="inlineStr">
        <is>
          <t>math</t>
        </is>
      </c>
      <c r="K33" s="6" t="n">
        <v>15</v>
      </c>
      <c r="L33" s="6" t="n">
        <v>10</v>
      </c>
      <c r="M33" s="8" t="inlineStr">
        <is>
          <t>https://codeforces.com/problemset/problem/1335/A</t>
        </is>
      </c>
      <c r="N33" s="7" t="n"/>
    </row>
    <row r="34" ht="20.1" customHeight="1">
      <c r="A34" s="2" t="inlineStr">
        <is>
          <t>Unsolved</t>
        </is>
      </c>
      <c r="B34" s="3" t="inlineStr">
        <is>
          <t>Arrays</t>
        </is>
      </c>
      <c r="C34" s="3" t="inlineStr">
        <is>
          <t>Basic Array Traversal</t>
        </is>
      </c>
      <c r="D34" s="2" t="inlineStr">
        <is>
          <t>1352A</t>
        </is>
      </c>
      <c r="E34" s="2" t="n">
        <v>1352</v>
      </c>
      <c r="F34" s="2" t="inlineStr">
        <is>
          <t>A</t>
        </is>
      </c>
      <c r="G34" s="3" t="inlineStr">
        <is>
          <t>Sum of Round Numbers</t>
        </is>
      </c>
      <c r="H34" s="2" t="n">
        <v>800</v>
      </c>
      <c r="I34" s="4" t="inlineStr">
        <is>
          <t>Easy</t>
        </is>
      </c>
      <c r="J34" s="3" t="inlineStr">
        <is>
          <t>implementation, math</t>
        </is>
      </c>
      <c r="K34" s="2" t="n">
        <v>15</v>
      </c>
      <c r="L34" s="2" t="n">
        <v>10</v>
      </c>
      <c r="M34" s="5" t="inlineStr">
        <is>
          <t>https://codeforces.com/problemset/problem/1352/A</t>
        </is>
      </c>
      <c r="N34" s="3" t="n"/>
    </row>
    <row r="35" ht="20.1" customHeight="1">
      <c r="A35" s="6" t="inlineStr">
        <is>
          <t>Unsolved</t>
        </is>
      </c>
      <c r="B35" s="7" t="inlineStr">
        <is>
          <t>Arrays</t>
        </is>
      </c>
      <c r="C35" s="7" t="inlineStr">
        <is>
          <t>Basic Array Traversal</t>
        </is>
      </c>
      <c r="D35" s="6" t="inlineStr">
        <is>
          <t>1367A</t>
        </is>
      </c>
      <c r="E35" s="6" t="n">
        <v>1367</v>
      </c>
      <c r="F35" s="6" t="inlineStr">
        <is>
          <t>A</t>
        </is>
      </c>
      <c r="G35" s="7" t="inlineStr">
        <is>
          <t>Short Substrings</t>
        </is>
      </c>
      <c r="H35" s="6" t="n">
        <v>800</v>
      </c>
      <c r="I35" s="4" t="inlineStr">
        <is>
          <t>Easy</t>
        </is>
      </c>
      <c r="J35" s="7" t="inlineStr">
        <is>
          <t>implementation, strings</t>
        </is>
      </c>
      <c r="K35" s="6" t="n">
        <v>15</v>
      </c>
      <c r="L35" s="6" t="n">
        <v>10</v>
      </c>
      <c r="M35" s="8" t="inlineStr">
        <is>
          <t>https://codeforces.com/problemset/problem/1367/A</t>
        </is>
      </c>
      <c r="N35" s="7" t="n"/>
    </row>
    <row r="36" ht="20.1" customHeight="1">
      <c r="A36" s="2" t="inlineStr">
        <is>
          <t>Unsolved</t>
        </is>
      </c>
      <c r="B36" s="3" t="inlineStr">
        <is>
          <t>Arrays</t>
        </is>
      </c>
      <c r="C36" s="3" t="inlineStr">
        <is>
          <t>Basic Array Traversal</t>
        </is>
      </c>
      <c r="D36" s="2" t="inlineStr">
        <is>
          <t>1374A</t>
        </is>
      </c>
      <c r="E36" s="2" t="n">
        <v>1374</v>
      </c>
      <c r="F36" s="2" t="inlineStr">
        <is>
          <t>A</t>
        </is>
      </c>
      <c r="G36" s="3" t="inlineStr">
        <is>
          <t>Required Remainder</t>
        </is>
      </c>
      <c r="H36" s="2" t="n">
        <v>800</v>
      </c>
      <c r="I36" s="4" t="inlineStr">
        <is>
          <t>Easy</t>
        </is>
      </c>
      <c r="J36" s="3" t="inlineStr">
        <is>
          <t>math</t>
        </is>
      </c>
      <c r="K36" s="2" t="n">
        <v>15</v>
      </c>
      <c r="L36" s="2" t="n">
        <v>10</v>
      </c>
      <c r="M36" s="5" t="inlineStr">
        <is>
          <t>https://codeforces.com/problemset/problem/1374/A</t>
        </is>
      </c>
      <c r="N36" s="3" t="n"/>
    </row>
    <row r="37" ht="20.1" customHeight="1">
      <c r="A37" s="6" t="inlineStr">
        <is>
          <t>Unsolved</t>
        </is>
      </c>
      <c r="B37" s="7" t="inlineStr">
        <is>
          <t>Arrays</t>
        </is>
      </c>
      <c r="C37" s="7" t="inlineStr">
        <is>
          <t>Basic Array Traversal</t>
        </is>
      </c>
      <c r="D37" s="6" t="inlineStr">
        <is>
          <t>1385A</t>
        </is>
      </c>
      <c r="E37" s="6" t="n">
        <v>1385</v>
      </c>
      <c r="F37" s="6" t="inlineStr">
        <is>
          <t>A</t>
        </is>
      </c>
      <c r="G37" s="7" t="inlineStr">
        <is>
          <t>Three Pairwise Maximums</t>
        </is>
      </c>
      <c r="H37" s="6" t="n">
        <v>800</v>
      </c>
      <c r="I37" s="4" t="inlineStr">
        <is>
          <t>Easy</t>
        </is>
      </c>
      <c r="J37" s="7" t="inlineStr">
        <is>
          <t>math</t>
        </is>
      </c>
      <c r="K37" s="6" t="n">
        <v>15</v>
      </c>
      <c r="L37" s="6" t="n">
        <v>10</v>
      </c>
      <c r="M37" s="8" t="inlineStr">
        <is>
          <t>https://codeforces.com/problemset/problem/1385/A</t>
        </is>
      </c>
      <c r="N37" s="7" t="n"/>
    </row>
    <row r="38" ht="20.1" customHeight="1">
      <c r="A38" s="2" t="inlineStr">
        <is>
          <t>Unsolved</t>
        </is>
      </c>
      <c r="B38" s="3" t="inlineStr">
        <is>
          <t>Arrays</t>
        </is>
      </c>
      <c r="C38" s="3" t="inlineStr">
        <is>
          <t>Basic Array Traversal</t>
        </is>
      </c>
      <c r="D38" s="2" t="inlineStr">
        <is>
          <t>1399A</t>
        </is>
      </c>
      <c r="E38" s="2" t="n">
        <v>1399</v>
      </c>
      <c r="F38" s="2" t="inlineStr">
        <is>
          <t>A</t>
        </is>
      </c>
      <c r="G38" s="3" t="inlineStr">
        <is>
          <t>Remove Smallest</t>
        </is>
      </c>
      <c r="H38" s="2" t="n">
        <v>800</v>
      </c>
      <c r="I38" s="4" t="inlineStr">
        <is>
          <t>Easy</t>
        </is>
      </c>
      <c r="J38" s="3" t="inlineStr">
        <is>
          <t>greedy, sortings</t>
        </is>
      </c>
      <c r="K38" s="2" t="n">
        <v>15</v>
      </c>
      <c r="L38" s="2" t="n">
        <v>10</v>
      </c>
      <c r="M38" s="5" t="inlineStr">
        <is>
          <t>https://codeforces.com/problemset/problem/1399/A</t>
        </is>
      </c>
      <c r="N38" s="3" t="n"/>
    </row>
    <row r="39" ht="20.1" customHeight="1">
      <c r="A39" s="6" t="inlineStr">
        <is>
          <t>Unsolved</t>
        </is>
      </c>
      <c r="B39" s="7" t="inlineStr">
        <is>
          <t>Arrays</t>
        </is>
      </c>
      <c r="C39" s="7" t="inlineStr">
        <is>
          <t>Basic Array Traversal</t>
        </is>
      </c>
      <c r="D39" s="6" t="inlineStr">
        <is>
          <t>1409A</t>
        </is>
      </c>
      <c r="E39" s="6" t="n">
        <v>1409</v>
      </c>
      <c r="F39" s="6" t="inlineStr">
        <is>
          <t>A</t>
        </is>
      </c>
      <c r="G39" s="7" t="inlineStr">
        <is>
          <t>Yet Another Two Integers Problem</t>
        </is>
      </c>
      <c r="H39" s="6" t="n">
        <v>800</v>
      </c>
      <c r="I39" s="4" t="inlineStr">
        <is>
          <t>Easy</t>
        </is>
      </c>
      <c r="J39" s="7" t="inlineStr">
        <is>
          <t>greedy, math</t>
        </is>
      </c>
      <c r="K39" s="6" t="n">
        <v>15</v>
      </c>
      <c r="L39" s="6" t="n">
        <v>10</v>
      </c>
      <c r="M39" s="8" t="inlineStr">
        <is>
          <t>https://codeforces.com/problemset/problem/1409/A</t>
        </is>
      </c>
      <c r="N39" s="7" t="n"/>
    </row>
    <row r="40" ht="20.1" customHeight="1">
      <c r="A40" s="2" t="inlineStr">
        <is>
          <t>Unsolved</t>
        </is>
      </c>
      <c r="B40" s="3" t="inlineStr">
        <is>
          <t>Arrays</t>
        </is>
      </c>
      <c r="C40" s="3" t="inlineStr">
        <is>
          <t>Basic Array Traversal</t>
        </is>
      </c>
      <c r="D40" s="2" t="inlineStr">
        <is>
          <t>1426A</t>
        </is>
      </c>
      <c r="E40" s="2" t="n">
        <v>1426</v>
      </c>
      <c r="F40" s="2" t="inlineStr">
        <is>
          <t>A</t>
        </is>
      </c>
      <c r="G40" s="3" t="inlineStr">
        <is>
          <t>Floor Number</t>
        </is>
      </c>
      <c r="H40" s="2" t="n">
        <v>800</v>
      </c>
      <c r="I40" s="4" t="inlineStr">
        <is>
          <t>Easy</t>
        </is>
      </c>
      <c r="J40" s="3" t="inlineStr">
        <is>
          <t>implementation, math</t>
        </is>
      </c>
      <c r="K40" s="2" t="n">
        <v>15</v>
      </c>
      <c r="L40" s="2" t="n">
        <v>10</v>
      </c>
      <c r="M40" s="5" t="inlineStr">
        <is>
          <t>https://codeforces.com/problemset/problem/1426/A</t>
        </is>
      </c>
      <c r="N40" s="3" t="n"/>
    </row>
    <row r="41" ht="20.1" customHeight="1">
      <c r="A41" s="6" t="inlineStr">
        <is>
          <t>Unsolved</t>
        </is>
      </c>
      <c r="B41" s="7" t="inlineStr">
        <is>
          <t>Arrays</t>
        </is>
      </c>
      <c r="C41" s="7" t="inlineStr">
        <is>
          <t>Frequency Counting</t>
        </is>
      </c>
      <c r="D41" s="6" t="inlineStr">
        <is>
          <t>228A</t>
        </is>
      </c>
      <c r="E41" s="6" t="n">
        <v>228</v>
      </c>
      <c r="F41" s="6" t="inlineStr">
        <is>
          <t>A</t>
        </is>
      </c>
      <c r="G41" s="7" t="inlineStr">
        <is>
          <t>Is your horseshoe on the other hoof?</t>
        </is>
      </c>
      <c r="H41" s="6" t="n">
        <v>800</v>
      </c>
      <c r="I41" s="4" t="inlineStr">
        <is>
          <t>Easy</t>
        </is>
      </c>
      <c r="J41" s="7" t="inlineStr">
        <is>
          <t>implementation</t>
        </is>
      </c>
      <c r="K41" s="6" t="n">
        <v>15</v>
      </c>
      <c r="L41" s="6" t="n">
        <v>10</v>
      </c>
      <c r="M41" s="8" t="inlineStr">
        <is>
          <t>https://codeforces.com/problemset/problem/228/A</t>
        </is>
      </c>
      <c r="N41" s="7" t="n"/>
    </row>
    <row r="42" ht="20.1" customHeight="1">
      <c r="A42" s="2" t="inlineStr">
        <is>
          <t>Unsolved</t>
        </is>
      </c>
      <c r="B42" s="3" t="inlineStr">
        <is>
          <t>Arrays</t>
        </is>
      </c>
      <c r="C42" s="3" t="inlineStr">
        <is>
          <t>Frequency Counting</t>
        </is>
      </c>
      <c r="D42" s="2" t="inlineStr">
        <is>
          <t>368B</t>
        </is>
      </c>
      <c r="E42" s="2" t="n">
        <v>368</v>
      </c>
      <c r="F42" s="2" t="inlineStr">
        <is>
          <t>B</t>
        </is>
      </c>
      <c r="G42" s="3" t="inlineStr">
        <is>
          <t>Sereja and Suffixes</t>
        </is>
      </c>
      <c r="H42" s="2" t="n">
        <v>1100</v>
      </c>
      <c r="I42" s="4" t="inlineStr">
        <is>
          <t>Easy+</t>
        </is>
      </c>
      <c r="J42" s="3" t="inlineStr">
        <is>
          <t>data structures, dp</t>
        </is>
      </c>
      <c r="K42" s="2" t="n">
        <v>25</v>
      </c>
      <c r="L42" s="2" t="n">
        <v>20</v>
      </c>
      <c r="M42" s="5" t="inlineStr">
        <is>
          <t>https://codeforces.com/problemset/problem/368/B</t>
        </is>
      </c>
      <c r="N42" s="3" t="n"/>
    </row>
    <row r="43" ht="20.1" customHeight="1">
      <c r="A43" s="6" t="inlineStr">
        <is>
          <t>Unsolved</t>
        </is>
      </c>
      <c r="B43" s="7" t="inlineStr">
        <is>
          <t>Arrays</t>
        </is>
      </c>
      <c r="C43" s="7" t="inlineStr">
        <is>
          <t>Frequency Counting</t>
        </is>
      </c>
      <c r="D43" s="6" t="inlineStr">
        <is>
          <t>459B</t>
        </is>
      </c>
      <c r="E43" s="6" t="n">
        <v>459</v>
      </c>
      <c r="F43" s="6" t="inlineStr">
        <is>
          <t>B</t>
        </is>
      </c>
      <c r="G43" s="7" t="inlineStr">
        <is>
          <t>Pashmak and Flowers</t>
        </is>
      </c>
      <c r="H43" s="6" t="n">
        <v>1300</v>
      </c>
      <c r="I43" s="9" t="inlineStr">
        <is>
          <t>Medium</t>
        </is>
      </c>
      <c r="J43" s="7" t="inlineStr">
        <is>
          <t>combinatorics, implementation, sortings</t>
        </is>
      </c>
      <c r="K43" s="6" t="n">
        <v>25</v>
      </c>
      <c r="L43" s="6" t="n">
        <v>20</v>
      </c>
      <c r="M43" s="8" t="inlineStr">
        <is>
          <t>https://codeforces.com/problemset/problem/459/B</t>
        </is>
      </c>
      <c r="N43" s="7" t="n"/>
    </row>
    <row r="44" ht="20.1" customHeight="1">
      <c r="A44" s="2" t="inlineStr">
        <is>
          <t>Unsolved</t>
        </is>
      </c>
      <c r="B44" s="3" t="inlineStr">
        <is>
          <t>Arrays</t>
        </is>
      </c>
      <c r="C44" s="3" t="inlineStr">
        <is>
          <t>Frequency Counting</t>
        </is>
      </c>
      <c r="D44" s="2" t="inlineStr">
        <is>
          <t>478B</t>
        </is>
      </c>
      <c r="E44" s="2" t="n">
        <v>478</v>
      </c>
      <c r="F44" s="2" t="inlineStr">
        <is>
          <t>B</t>
        </is>
      </c>
      <c r="G44" s="3" t="inlineStr">
        <is>
          <t>Random Teams</t>
        </is>
      </c>
      <c r="H44" s="2" t="n">
        <v>1300</v>
      </c>
      <c r="I44" s="9" t="inlineStr">
        <is>
          <t>Medium</t>
        </is>
      </c>
      <c r="J44" s="3" t="inlineStr">
        <is>
          <t>combinatorics, constructive algorithms, greedy, math</t>
        </is>
      </c>
      <c r="K44" s="2" t="n">
        <v>25</v>
      </c>
      <c r="L44" s="2" t="n">
        <v>20</v>
      </c>
      <c r="M44" s="5" t="inlineStr">
        <is>
          <t>https://codeforces.com/problemset/problem/478/B</t>
        </is>
      </c>
      <c r="N44" s="3" t="n"/>
    </row>
    <row r="45" ht="20.1" customHeight="1">
      <c r="A45" s="6" t="inlineStr">
        <is>
          <t>Unsolved</t>
        </is>
      </c>
      <c r="B45" s="7" t="inlineStr">
        <is>
          <t>Arrays</t>
        </is>
      </c>
      <c r="C45" s="7" t="inlineStr">
        <is>
          <t>Frequency Counting</t>
        </is>
      </c>
      <c r="D45" s="6" t="inlineStr">
        <is>
          <t>550A</t>
        </is>
      </c>
      <c r="E45" s="6" t="n">
        <v>550</v>
      </c>
      <c r="F45" s="6" t="inlineStr">
        <is>
          <t>A</t>
        </is>
      </c>
      <c r="G45" s="7" t="inlineStr">
        <is>
          <t>Two Substrings</t>
        </is>
      </c>
      <c r="H45" s="6" t="n">
        <v>1500</v>
      </c>
      <c r="I45" s="9" t="inlineStr">
        <is>
          <t>Medium+</t>
        </is>
      </c>
      <c r="J45" s="7" t="inlineStr">
        <is>
          <t>brute force, dp, greedy, implementation, strings</t>
        </is>
      </c>
      <c r="K45" s="6" t="n">
        <v>40</v>
      </c>
      <c r="L45" s="6" t="n">
        <v>35</v>
      </c>
      <c r="M45" s="8" t="inlineStr">
        <is>
          <t>https://codeforces.com/problemset/problem/550/A</t>
        </is>
      </c>
      <c r="N45" s="7" t="n"/>
    </row>
    <row r="46" ht="20.1" customHeight="1">
      <c r="A46" s="2" t="inlineStr">
        <is>
          <t>Unsolved</t>
        </is>
      </c>
      <c r="B46" s="3" t="inlineStr">
        <is>
          <t>Arrays</t>
        </is>
      </c>
      <c r="C46" s="3" t="inlineStr">
        <is>
          <t>Frequency Counting</t>
        </is>
      </c>
      <c r="D46" s="2" t="inlineStr">
        <is>
          <t>978A</t>
        </is>
      </c>
      <c r="E46" s="2" t="n">
        <v>978</v>
      </c>
      <c r="F46" s="2" t="inlineStr">
        <is>
          <t>A</t>
        </is>
      </c>
      <c r="G46" s="3" t="inlineStr">
        <is>
          <t>Remove Duplicates</t>
        </is>
      </c>
      <c r="H46" s="2" t="n">
        <v>800</v>
      </c>
      <c r="I46" s="4" t="inlineStr">
        <is>
          <t>Easy</t>
        </is>
      </c>
      <c r="J46" s="3" t="inlineStr">
        <is>
          <t>implementation</t>
        </is>
      </c>
      <c r="K46" s="2" t="n">
        <v>15</v>
      </c>
      <c r="L46" s="2" t="n">
        <v>10</v>
      </c>
      <c r="M46" s="5" t="inlineStr">
        <is>
          <t>https://codeforces.com/problemset/problem/978/A</t>
        </is>
      </c>
      <c r="N46" s="3" t="n"/>
    </row>
    <row r="47" ht="20.1" customHeight="1">
      <c r="A47" s="6" t="inlineStr">
        <is>
          <t>Unsolved</t>
        </is>
      </c>
      <c r="B47" s="7" t="inlineStr">
        <is>
          <t>Arrays</t>
        </is>
      </c>
      <c r="C47" s="7" t="inlineStr">
        <is>
          <t>Frequency Counting</t>
        </is>
      </c>
      <c r="D47" s="6" t="inlineStr">
        <is>
          <t>1005B</t>
        </is>
      </c>
      <c r="E47" s="6" t="n">
        <v>1005</v>
      </c>
      <c r="F47" s="6" t="inlineStr">
        <is>
          <t>B</t>
        </is>
      </c>
      <c r="G47" s="7" t="inlineStr">
        <is>
          <t>Delete from the Left</t>
        </is>
      </c>
      <c r="H47" s="6" t="n">
        <v>900</v>
      </c>
      <c r="I47" s="4" t="inlineStr">
        <is>
          <t>Easy</t>
        </is>
      </c>
      <c r="J47" s="7" t="inlineStr">
        <is>
          <t>brute force, implementation, strings</t>
        </is>
      </c>
      <c r="K47" s="6" t="n">
        <v>15</v>
      </c>
      <c r="L47" s="6" t="n">
        <v>10</v>
      </c>
      <c r="M47" s="8" t="inlineStr">
        <is>
          <t>https://codeforces.com/problemset/problem/1005/B</t>
        </is>
      </c>
      <c r="N47" s="7" t="n"/>
    </row>
    <row r="48" ht="20.1" customHeight="1">
      <c r="A48" s="2" t="inlineStr">
        <is>
          <t>Unsolved</t>
        </is>
      </c>
      <c r="B48" s="3" t="inlineStr">
        <is>
          <t>Arrays</t>
        </is>
      </c>
      <c r="C48" s="3" t="inlineStr">
        <is>
          <t>Frequency Counting</t>
        </is>
      </c>
      <c r="D48" s="2" t="inlineStr">
        <is>
          <t>1077C</t>
        </is>
      </c>
      <c r="E48" s="2" t="n">
        <v>1077</v>
      </c>
      <c r="F48" s="2" t="inlineStr">
        <is>
          <t>C</t>
        </is>
      </c>
      <c r="G48" s="3" t="inlineStr">
        <is>
          <t>Good Array</t>
        </is>
      </c>
      <c r="H48" s="2" t="n">
        <v>1300</v>
      </c>
      <c r="I48" s="9" t="inlineStr">
        <is>
          <t>Medium</t>
        </is>
      </c>
      <c r="J48" s="3" t="inlineStr">
        <is>
          <t>UNKNOWN</t>
        </is>
      </c>
      <c r="K48" s="2" t="n">
        <v>25</v>
      </c>
      <c r="L48" s="2" t="n">
        <v>20</v>
      </c>
      <c r="M48" s="5" t="inlineStr">
        <is>
          <t>https://codeforces.com/problemset/problem/1077/C</t>
        </is>
      </c>
      <c r="N48" s="3" t="n"/>
    </row>
    <row r="49" ht="20.1" customHeight="1">
      <c r="A49" s="6" t="inlineStr">
        <is>
          <t>Unsolved</t>
        </is>
      </c>
      <c r="B49" s="7" t="inlineStr">
        <is>
          <t>Arrays</t>
        </is>
      </c>
      <c r="C49" s="7" t="inlineStr">
        <is>
          <t>Frequency Counting</t>
        </is>
      </c>
      <c r="D49" s="6" t="inlineStr">
        <is>
          <t>1141A</t>
        </is>
      </c>
      <c r="E49" s="6" t="n">
        <v>1141</v>
      </c>
      <c r="F49" s="6" t="inlineStr">
        <is>
          <t>A</t>
        </is>
      </c>
      <c r="G49" s="7" t="inlineStr">
        <is>
          <t>Game 23</t>
        </is>
      </c>
      <c r="H49" s="6" t="n">
        <v>1000</v>
      </c>
      <c r="I49" s="4" t="inlineStr">
        <is>
          <t>Easy+</t>
        </is>
      </c>
      <c r="J49" s="7" t="inlineStr">
        <is>
          <t>implementation, math</t>
        </is>
      </c>
      <c r="K49" s="6" t="n">
        <v>15</v>
      </c>
      <c r="L49" s="6" t="n">
        <v>10</v>
      </c>
      <c r="M49" s="8" t="inlineStr">
        <is>
          <t>https://codeforces.com/problemset/problem/1141/A</t>
        </is>
      </c>
      <c r="N49" s="7" t="n"/>
    </row>
    <row r="50" ht="20.1" customHeight="1">
      <c r="A50" s="2" t="inlineStr">
        <is>
          <t>Unsolved</t>
        </is>
      </c>
      <c r="B50" s="3" t="inlineStr">
        <is>
          <t>Arrays</t>
        </is>
      </c>
      <c r="C50" s="3" t="inlineStr">
        <is>
          <t>Frequency Counting</t>
        </is>
      </c>
      <c r="D50" s="2" t="inlineStr">
        <is>
          <t>1187A</t>
        </is>
      </c>
      <c r="E50" s="2" t="n">
        <v>1187</v>
      </c>
      <c r="F50" s="2" t="inlineStr">
        <is>
          <t>A</t>
        </is>
      </c>
      <c r="G50" s="3" t="inlineStr">
        <is>
          <t>Stickers and Toys</t>
        </is>
      </c>
      <c r="H50" s="2" t="n">
        <v>900</v>
      </c>
      <c r="I50" s="4" t="inlineStr">
        <is>
          <t>Easy</t>
        </is>
      </c>
      <c r="J50" s="3" t="inlineStr">
        <is>
          <t>math</t>
        </is>
      </c>
      <c r="K50" s="2" t="n">
        <v>15</v>
      </c>
      <c r="L50" s="2" t="n">
        <v>10</v>
      </c>
      <c r="M50" s="5" t="inlineStr">
        <is>
          <t>https://codeforces.com/problemset/problem/1187/A</t>
        </is>
      </c>
      <c r="N50" s="3" t="n"/>
    </row>
    <row r="51" ht="20.1" customHeight="1">
      <c r="A51" s="6" t="inlineStr">
        <is>
          <t>Unsolved</t>
        </is>
      </c>
      <c r="B51" s="7" t="inlineStr">
        <is>
          <t>Arrays</t>
        </is>
      </c>
      <c r="C51" s="7" t="inlineStr">
        <is>
          <t>Frequency Counting</t>
        </is>
      </c>
      <c r="D51" s="6" t="inlineStr">
        <is>
          <t>1228A</t>
        </is>
      </c>
      <c r="E51" s="6" t="n">
        <v>1228</v>
      </c>
      <c r="F51" s="6" t="inlineStr">
        <is>
          <t>A</t>
        </is>
      </c>
      <c r="G51" s="7" t="inlineStr">
        <is>
          <t>Distinct Digits</t>
        </is>
      </c>
      <c r="H51" s="6" t="n">
        <v>800</v>
      </c>
      <c r="I51" s="4" t="inlineStr">
        <is>
          <t>Easy</t>
        </is>
      </c>
      <c r="J51" s="7" t="inlineStr">
        <is>
          <t>brute force, implementation</t>
        </is>
      </c>
      <c r="K51" s="6" t="n">
        <v>15</v>
      </c>
      <c r="L51" s="6" t="n">
        <v>10</v>
      </c>
      <c r="M51" s="8" t="inlineStr">
        <is>
          <t>https://codeforces.com/problemset/problem/1228/A</t>
        </is>
      </c>
      <c r="N51" s="7" t="n"/>
    </row>
    <row r="52" ht="20.1" customHeight="1">
      <c r="A52" s="2" t="inlineStr">
        <is>
          <t>Unsolved</t>
        </is>
      </c>
      <c r="B52" s="3" t="inlineStr">
        <is>
          <t>Arrays</t>
        </is>
      </c>
      <c r="C52" s="3" t="inlineStr">
        <is>
          <t>Frequency Counting</t>
        </is>
      </c>
      <c r="D52" s="2" t="inlineStr">
        <is>
          <t>1270A</t>
        </is>
      </c>
      <c r="E52" s="2" t="n">
        <v>1270</v>
      </c>
      <c r="F52" s="2" t="inlineStr">
        <is>
          <t>A</t>
        </is>
      </c>
      <c r="G52" s="3" t="inlineStr">
        <is>
          <t>Card Game</t>
        </is>
      </c>
      <c r="H52" s="2" t="n">
        <v>800</v>
      </c>
      <c r="I52" s="4" t="inlineStr">
        <is>
          <t>Easy</t>
        </is>
      </c>
      <c r="J52" s="3" t="inlineStr">
        <is>
          <t>games, greedy, math</t>
        </is>
      </c>
      <c r="K52" s="2" t="n">
        <v>15</v>
      </c>
      <c r="L52" s="2" t="n">
        <v>10</v>
      </c>
      <c r="M52" s="5" t="inlineStr">
        <is>
          <t>https://codeforces.com/problemset/problem/1270/A</t>
        </is>
      </c>
      <c r="N52" s="3" t="n"/>
    </row>
    <row r="53" ht="20.1" customHeight="1">
      <c r="A53" s="6" t="inlineStr">
        <is>
          <t>Unsolved</t>
        </is>
      </c>
      <c r="B53" s="7" t="inlineStr">
        <is>
          <t>Arrays</t>
        </is>
      </c>
      <c r="C53" s="7" t="inlineStr">
        <is>
          <t>Frequency Counting</t>
        </is>
      </c>
      <c r="D53" s="6" t="inlineStr">
        <is>
          <t>1325A</t>
        </is>
      </c>
      <c r="E53" s="6" t="n">
        <v>1325</v>
      </c>
      <c r="F53" s="6" t="inlineStr">
        <is>
          <t>A</t>
        </is>
      </c>
      <c r="G53" s="7" t="inlineStr">
        <is>
          <t>EhAb AnD gCd</t>
        </is>
      </c>
      <c r="H53" s="6" t="n">
        <v>800</v>
      </c>
      <c r="I53" s="4" t="inlineStr">
        <is>
          <t>Easy</t>
        </is>
      </c>
      <c r="J53" s="7" t="inlineStr">
        <is>
          <t>constructive algorithms, greedy, number theory</t>
        </is>
      </c>
      <c r="K53" s="6" t="n">
        <v>15</v>
      </c>
      <c r="L53" s="6" t="n">
        <v>10</v>
      </c>
      <c r="M53" s="8" t="inlineStr">
        <is>
          <t>https://codeforces.com/problemset/problem/1325/A</t>
        </is>
      </c>
      <c r="N53" s="7" t="n"/>
    </row>
    <row r="54" ht="20.1" customHeight="1">
      <c r="A54" s="2" t="inlineStr">
        <is>
          <t>Unsolved</t>
        </is>
      </c>
      <c r="B54" s="3" t="inlineStr">
        <is>
          <t>Arrays</t>
        </is>
      </c>
      <c r="C54" s="3" t="inlineStr">
        <is>
          <t>Frequency Counting</t>
        </is>
      </c>
      <c r="D54" s="2" t="inlineStr">
        <is>
          <t>1360B</t>
        </is>
      </c>
      <c r="E54" s="2" t="n">
        <v>1360</v>
      </c>
      <c r="F54" s="2" t="inlineStr">
        <is>
          <t>B</t>
        </is>
      </c>
      <c r="G54" s="3" t="inlineStr">
        <is>
          <t>Honest Coach</t>
        </is>
      </c>
      <c r="H54" s="2" t="n">
        <v>800</v>
      </c>
      <c r="I54" s="4" t="inlineStr">
        <is>
          <t>Easy</t>
        </is>
      </c>
      <c r="J54" s="3" t="inlineStr">
        <is>
          <t>greedy, sortings</t>
        </is>
      </c>
      <c r="K54" s="2" t="n">
        <v>15</v>
      </c>
      <c r="L54" s="2" t="n">
        <v>10</v>
      </c>
      <c r="M54" s="5" t="inlineStr">
        <is>
          <t>https://codeforces.com/problemset/problem/1360/B</t>
        </is>
      </c>
      <c r="N54" s="3" t="n"/>
    </row>
    <row r="55" ht="20.1" customHeight="1">
      <c r="A55" s="6" t="inlineStr">
        <is>
          <t>Unsolved</t>
        </is>
      </c>
      <c r="B55" s="7" t="inlineStr">
        <is>
          <t>Arrays</t>
        </is>
      </c>
      <c r="C55" s="7" t="inlineStr">
        <is>
          <t>Frequency Counting</t>
        </is>
      </c>
      <c r="D55" s="6" t="inlineStr">
        <is>
          <t>1382A</t>
        </is>
      </c>
      <c r="E55" s="6" t="n">
        <v>1382</v>
      </c>
      <c r="F55" s="6" t="inlineStr">
        <is>
          <t>A</t>
        </is>
      </c>
      <c r="G55" s="7" t="inlineStr">
        <is>
          <t>Common Subsequence</t>
        </is>
      </c>
      <c r="H55" s="6" t="n">
        <v>800</v>
      </c>
      <c r="I55" s="4" t="inlineStr">
        <is>
          <t>Easy</t>
        </is>
      </c>
      <c r="J55" s="7" t="inlineStr">
        <is>
          <t>brute force</t>
        </is>
      </c>
      <c r="K55" s="6" t="n">
        <v>15</v>
      </c>
      <c r="L55" s="6" t="n">
        <v>10</v>
      </c>
      <c r="M55" s="8" t="inlineStr">
        <is>
          <t>https://codeforces.com/problemset/problem/1382/A</t>
        </is>
      </c>
      <c r="N55" s="7" t="n"/>
    </row>
    <row r="56" ht="20.1" customHeight="1">
      <c r="A56" s="2" t="inlineStr">
        <is>
          <t>Unsolved</t>
        </is>
      </c>
      <c r="B56" s="3" t="inlineStr">
        <is>
          <t>Arrays</t>
        </is>
      </c>
      <c r="C56" s="3" t="inlineStr">
        <is>
          <t>Frequency Counting</t>
        </is>
      </c>
      <c r="D56" s="2" t="inlineStr">
        <is>
          <t>1398A</t>
        </is>
      </c>
      <c r="E56" s="2" t="n">
        <v>1398</v>
      </c>
      <c r="F56" s="2" t="inlineStr">
        <is>
          <t>A</t>
        </is>
      </c>
      <c r="G56" s="3" t="inlineStr">
        <is>
          <t>Bad Triangle</t>
        </is>
      </c>
      <c r="H56" s="2" t="n">
        <v>800</v>
      </c>
      <c r="I56" s="4" t="inlineStr">
        <is>
          <t>Easy</t>
        </is>
      </c>
      <c r="J56" s="3" t="inlineStr">
        <is>
          <t>geometry, math</t>
        </is>
      </c>
      <c r="K56" s="2" t="n">
        <v>15</v>
      </c>
      <c r="L56" s="2" t="n">
        <v>10</v>
      </c>
      <c r="M56" s="5" t="inlineStr">
        <is>
          <t>https://codeforces.com/problemset/problem/1398/A</t>
        </is>
      </c>
      <c r="N56" s="3" t="n"/>
    </row>
    <row r="57" ht="20.1" customHeight="1">
      <c r="A57" s="6" t="inlineStr">
        <is>
          <t>Unsolved</t>
        </is>
      </c>
      <c r="B57" s="7" t="inlineStr">
        <is>
          <t>Arrays</t>
        </is>
      </c>
      <c r="C57" s="7" t="inlineStr">
        <is>
          <t>Frequency Counting</t>
        </is>
      </c>
      <c r="D57" s="6" t="inlineStr">
        <is>
          <t>1419A</t>
        </is>
      </c>
      <c r="E57" s="6" t="n">
        <v>1419</v>
      </c>
      <c r="F57" s="6" t="inlineStr">
        <is>
          <t>A</t>
        </is>
      </c>
      <c r="G57" s="7" t="inlineStr">
        <is>
          <t>Digit Game</t>
        </is>
      </c>
      <c r="H57" s="6" t="n">
        <v>900</v>
      </c>
      <c r="I57" s="4" t="inlineStr">
        <is>
          <t>Easy</t>
        </is>
      </c>
      <c r="J57" s="7" t="inlineStr">
        <is>
          <t>games, greedy, implementation</t>
        </is>
      </c>
      <c r="K57" s="6" t="n">
        <v>15</v>
      </c>
      <c r="L57" s="6" t="n">
        <v>10</v>
      </c>
      <c r="M57" s="8" t="inlineStr">
        <is>
          <t>https://codeforces.com/problemset/problem/1419/A</t>
        </is>
      </c>
      <c r="N57" s="7" t="n"/>
    </row>
    <row r="58" ht="20.1" customHeight="1">
      <c r="A58" s="2" t="inlineStr">
        <is>
          <t>Unsolved</t>
        </is>
      </c>
      <c r="B58" s="3" t="inlineStr">
        <is>
          <t>Arrays</t>
        </is>
      </c>
      <c r="C58" s="3" t="inlineStr">
        <is>
          <t>Frequency Counting</t>
        </is>
      </c>
      <c r="D58" s="2" t="inlineStr">
        <is>
          <t>1472B</t>
        </is>
      </c>
      <c r="E58" s="2" t="n">
        <v>1472</v>
      </c>
      <c r="F58" s="2" t="inlineStr">
        <is>
          <t>B</t>
        </is>
      </c>
      <c r="G58" s="3" t="inlineStr">
        <is>
          <t>Fair Division</t>
        </is>
      </c>
      <c r="H58" s="2" t="n">
        <v>800</v>
      </c>
      <c r="I58" s="4" t="inlineStr">
        <is>
          <t>Easy</t>
        </is>
      </c>
      <c r="J58" s="3" t="inlineStr">
        <is>
          <t>dp, greedy, math</t>
        </is>
      </c>
      <c r="K58" s="2" t="n">
        <v>15</v>
      </c>
      <c r="L58" s="2" t="n">
        <v>10</v>
      </c>
      <c r="M58" s="5" t="inlineStr">
        <is>
          <t>https://codeforces.com/problemset/problem/1472/B</t>
        </is>
      </c>
      <c r="N58" s="3" t="n"/>
    </row>
    <row r="59" ht="20.1" customHeight="1">
      <c r="A59" s="6" t="inlineStr">
        <is>
          <t>Unsolved</t>
        </is>
      </c>
      <c r="B59" s="7" t="inlineStr">
        <is>
          <t>Arrays</t>
        </is>
      </c>
      <c r="C59" s="7" t="inlineStr">
        <is>
          <t>Frequency Counting</t>
        </is>
      </c>
      <c r="D59" s="6" t="inlineStr">
        <is>
          <t>1490A</t>
        </is>
      </c>
      <c r="E59" s="6" t="n">
        <v>1490</v>
      </c>
      <c r="F59" s="6" t="inlineStr">
        <is>
          <t>A</t>
        </is>
      </c>
      <c r="G59" s="7" t="inlineStr">
        <is>
          <t>Dense Array</t>
        </is>
      </c>
      <c r="H59" s="6" t="n">
        <v>800</v>
      </c>
      <c r="I59" s="4" t="inlineStr">
        <is>
          <t>Easy</t>
        </is>
      </c>
      <c r="J59" s="7" t="inlineStr">
        <is>
          <t>greedy, math</t>
        </is>
      </c>
      <c r="K59" s="6" t="n">
        <v>15</v>
      </c>
      <c r="L59" s="6" t="n">
        <v>10</v>
      </c>
      <c r="M59" s="8" t="inlineStr">
        <is>
          <t>https://codeforces.com/problemset/problem/1490/A</t>
        </is>
      </c>
      <c r="N59" s="7" t="n"/>
    </row>
    <row r="60" ht="20.1" customHeight="1">
      <c r="A60" s="2" t="inlineStr">
        <is>
          <t>Unsolved</t>
        </is>
      </c>
      <c r="B60" s="3" t="inlineStr">
        <is>
          <t>Arrays</t>
        </is>
      </c>
      <c r="C60" s="3" t="inlineStr">
        <is>
          <t>Frequency Counting</t>
        </is>
      </c>
      <c r="D60" s="2" t="inlineStr">
        <is>
          <t>1512A</t>
        </is>
      </c>
      <c r="E60" s="2" t="n">
        <v>1512</v>
      </c>
      <c r="F60" s="2" t="inlineStr">
        <is>
          <t>A</t>
        </is>
      </c>
      <c r="G60" s="3" t="inlineStr">
        <is>
          <t>Spy Detected!</t>
        </is>
      </c>
      <c r="H60" s="2" t="n">
        <v>800</v>
      </c>
      <c r="I60" s="4" t="inlineStr">
        <is>
          <t>Easy</t>
        </is>
      </c>
      <c r="J60" s="3" t="inlineStr">
        <is>
          <t>brute force, implementation</t>
        </is>
      </c>
      <c r="K60" s="2" t="n">
        <v>15</v>
      </c>
      <c r="L60" s="2" t="n">
        <v>10</v>
      </c>
      <c r="M60" s="5" t="inlineStr">
        <is>
          <t>https://codeforces.com/problemset/problem/1512/A</t>
        </is>
      </c>
      <c r="N60" s="3" t="n"/>
    </row>
    <row r="61" ht="20.1" customHeight="1">
      <c r="A61" s="6" t="inlineStr">
        <is>
          <t>Unsolved</t>
        </is>
      </c>
      <c r="B61" s="7" t="inlineStr">
        <is>
          <t>Arrays</t>
        </is>
      </c>
      <c r="C61" s="7" t="inlineStr">
        <is>
          <t>Frequency Counting</t>
        </is>
      </c>
      <c r="D61" s="6" t="inlineStr">
        <is>
          <t>1520A</t>
        </is>
      </c>
      <c r="E61" s="6" t="n">
        <v>1520</v>
      </c>
      <c r="F61" s="6" t="inlineStr">
        <is>
          <t>A</t>
        </is>
      </c>
      <c r="G61" s="7" t="inlineStr">
        <is>
          <t>Do Not Be Distracted!</t>
        </is>
      </c>
      <c r="H61" s="6" t="n">
        <v>800</v>
      </c>
      <c r="I61" s="4" t="inlineStr">
        <is>
          <t>Easy</t>
        </is>
      </c>
      <c r="J61" s="7" t="inlineStr">
        <is>
          <t>brute force, implementation</t>
        </is>
      </c>
      <c r="K61" s="6" t="n">
        <v>15</v>
      </c>
      <c r="L61" s="6" t="n">
        <v>10</v>
      </c>
      <c r="M61" s="8" t="inlineStr">
        <is>
          <t>https://codeforces.com/problemset/problem/1520/A</t>
        </is>
      </c>
      <c r="N61" s="7" t="n"/>
    </row>
    <row r="62" ht="20.1" customHeight="1">
      <c r="A62" s="2" t="inlineStr">
        <is>
          <t>Unsolved</t>
        </is>
      </c>
      <c r="B62" s="3" t="inlineStr">
        <is>
          <t>Arrays</t>
        </is>
      </c>
      <c r="C62" s="3" t="inlineStr">
        <is>
          <t>Frequency Counting</t>
        </is>
      </c>
      <c r="D62" s="2" t="inlineStr">
        <is>
          <t>1542A</t>
        </is>
      </c>
      <c r="E62" s="2" t="n">
        <v>1542</v>
      </c>
      <c r="F62" s="2" t="inlineStr">
        <is>
          <t>A</t>
        </is>
      </c>
      <c r="G62" s="3" t="inlineStr">
        <is>
          <t>Odd Set</t>
        </is>
      </c>
      <c r="H62" s="2" t="n">
        <v>800</v>
      </c>
      <c r="I62" s="4" t="inlineStr">
        <is>
          <t>Easy</t>
        </is>
      </c>
      <c r="J62" s="3" t="inlineStr">
        <is>
          <t>math</t>
        </is>
      </c>
      <c r="K62" s="2" t="n">
        <v>15</v>
      </c>
      <c r="L62" s="2" t="n">
        <v>10</v>
      </c>
      <c r="M62" s="5" t="inlineStr">
        <is>
          <t>https://codeforces.com/problemset/problem/1542/A</t>
        </is>
      </c>
      <c r="N62" s="3" t="n"/>
    </row>
    <row r="63" ht="20.1" customHeight="1">
      <c r="A63" s="6" t="inlineStr">
        <is>
          <t>Unsolved</t>
        </is>
      </c>
      <c r="B63" s="7" t="inlineStr">
        <is>
          <t>Arrays</t>
        </is>
      </c>
      <c r="C63" s="7" t="inlineStr">
        <is>
          <t>Frequency Counting</t>
        </is>
      </c>
      <c r="D63" s="6" t="inlineStr">
        <is>
          <t>1560A</t>
        </is>
      </c>
      <c r="E63" s="6" t="n">
        <v>1560</v>
      </c>
      <c r="F63" s="6" t="inlineStr">
        <is>
          <t>A</t>
        </is>
      </c>
      <c r="G63" s="7" t="inlineStr">
        <is>
          <t>Dislike of Threes</t>
        </is>
      </c>
      <c r="H63" s="6" t="n">
        <v>800</v>
      </c>
      <c r="I63" s="4" t="inlineStr">
        <is>
          <t>Easy</t>
        </is>
      </c>
      <c r="J63" s="7" t="inlineStr">
        <is>
          <t>implementation</t>
        </is>
      </c>
      <c r="K63" s="6" t="n">
        <v>15</v>
      </c>
      <c r="L63" s="6" t="n">
        <v>10</v>
      </c>
      <c r="M63" s="8" t="inlineStr">
        <is>
          <t>https://codeforces.com/problemset/problem/1560/A</t>
        </is>
      </c>
      <c r="N63" s="7" t="n"/>
    </row>
    <row r="64" ht="20.1" customHeight="1">
      <c r="A64" s="2" t="inlineStr">
        <is>
          <t>Unsolved</t>
        </is>
      </c>
      <c r="B64" s="3" t="inlineStr">
        <is>
          <t>Arrays</t>
        </is>
      </c>
      <c r="C64" s="3" t="inlineStr">
        <is>
          <t>Frequency Counting</t>
        </is>
      </c>
      <c r="D64" s="2" t="inlineStr">
        <is>
          <t>1607A</t>
        </is>
      </c>
      <c r="E64" s="2" t="n">
        <v>1607</v>
      </c>
      <c r="F64" s="2" t="inlineStr">
        <is>
          <t>A</t>
        </is>
      </c>
      <c r="G64" s="3" t="inlineStr">
        <is>
          <t>Linear Keyboard</t>
        </is>
      </c>
      <c r="H64" s="2" t="n">
        <v>800</v>
      </c>
      <c r="I64" s="4" t="inlineStr">
        <is>
          <t>Easy</t>
        </is>
      </c>
      <c r="J64" s="3" t="inlineStr">
        <is>
          <t>implementation, strings</t>
        </is>
      </c>
      <c r="K64" s="2" t="n">
        <v>15</v>
      </c>
      <c r="L64" s="2" t="n">
        <v>10</v>
      </c>
      <c r="M64" s="5" t="inlineStr">
        <is>
          <t>https://codeforces.com/problemset/problem/1607/A</t>
        </is>
      </c>
      <c r="N64" s="3" t="n"/>
    </row>
    <row r="65" ht="20.1" customHeight="1">
      <c r="A65" s="6" t="inlineStr">
        <is>
          <t>Unsolved</t>
        </is>
      </c>
      <c r="B65" s="7" t="inlineStr">
        <is>
          <t>Arrays</t>
        </is>
      </c>
      <c r="C65" s="7" t="inlineStr">
        <is>
          <t>Frequency Counting</t>
        </is>
      </c>
      <c r="D65" s="6" t="inlineStr">
        <is>
          <t>1619A</t>
        </is>
      </c>
      <c r="E65" s="6" t="n">
        <v>1619</v>
      </c>
      <c r="F65" s="6" t="inlineStr">
        <is>
          <t>A</t>
        </is>
      </c>
      <c r="G65" s="7" t="inlineStr">
        <is>
          <t>Square String?</t>
        </is>
      </c>
      <c r="H65" s="6" t="n">
        <v>800</v>
      </c>
      <c r="I65" s="4" t="inlineStr">
        <is>
          <t>Easy</t>
        </is>
      </c>
      <c r="J65" s="7" t="inlineStr">
        <is>
          <t>implementation, strings</t>
        </is>
      </c>
      <c r="K65" s="6" t="n">
        <v>15</v>
      </c>
      <c r="L65" s="6" t="n">
        <v>10</v>
      </c>
      <c r="M65" s="8" t="inlineStr">
        <is>
          <t>https://codeforces.com/problemset/problem/1619/A</t>
        </is>
      </c>
      <c r="N65" s="7" t="n"/>
    </row>
    <row r="66" ht="20.1" customHeight="1">
      <c r="A66" s="2" t="inlineStr">
        <is>
          <t>Unsolved</t>
        </is>
      </c>
      <c r="B66" s="3" t="inlineStr">
        <is>
          <t>Arrays</t>
        </is>
      </c>
      <c r="C66" s="3" t="inlineStr">
        <is>
          <t>Frequency Counting</t>
        </is>
      </c>
      <c r="D66" s="2" t="inlineStr">
        <is>
          <t>1676A</t>
        </is>
      </c>
      <c r="E66" s="2" t="n">
        <v>1676</v>
      </c>
      <c r="F66" s="2" t="inlineStr">
        <is>
          <t>A</t>
        </is>
      </c>
      <c r="G66" s="3" t="inlineStr">
        <is>
          <t>Lucky?</t>
        </is>
      </c>
      <c r="H66" s="2" t="n">
        <v>800</v>
      </c>
      <c r="I66" s="4" t="inlineStr">
        <is>
          <t>Easy</t>
        </is>
      </c>
      <c r="J66" s="3" t="inlineStr">
        <is>
          <t>implementation</t>
        </is>
      </c>
      <c r="K66" s="2" t="n">
        <v>15</v>
      </c>
      <c r="L66" s="2" t="n">
        <v>10</v>
      </c>
      <c r="M66" s="5" t="inlineStr">
        <is>
          <t>https://codeforces.com/problemset/problem/1676/A</t>
        </is>
      </c>
      <c r="N66" s="3" t="n"/>
    </row>
    <row r="67" ht="20.1" customHeight="1">
      <c r="A67" s="6" t="inlineStr">
        <is>
          <t>Unsolved</t>
        </is>
      </c>
      <c r="B67" s="7" t="inlineStr">
        <is>
          <t>Arrays</t>
        </is>
      </c>
      <c r="C67" s="7" t="inlineStr">
        <is>
          <t>Simulation on Arrays</t>
        </is>
      </c>
      <c r="D67" s="6" t="inlineStr">
        <is>
          <t>300A</t>
        </is>
      </c>
      <c r="E67" s="6" t="n">
        <v>300</v>
      </c>
      <c r="F67" s="6" t="inlineStr">
        <is>
          <t>A</t>
        </is>
      </c>
      <c r="G67" s="7" t="inlineStr">
        <is>
          <t>Array</t>
        </is>
      </c>
      <c r="H67" s="6" t="n">
        <v>1100</v>
      </c>
      <c r="I67" s="4" t="inlineStr">
        <is>
          <t>Easy+</t>
        </is>
      </c>
      <c r="J67" s="7" t="inlineStr">
        <is>
          <t>brute force, constructive algorithms, implementation</t>
        </is>
      </c>
      <c r="K67" s="6" t="n">
        <v>25</v>
      </c>
      <c r="L67" s="6" t="n">
        <v>20</v>
      </c>
      <c r="M67" s="8" t="inlineStr">
        <is>
          <t>https://codeforces.com/problemset/problem/300/A</t>
        </is>
      </c>
      <c r="N67" s="7" t="n"/>
    </row>
    <row r="68" ht="20.1" customHeight="1">
      <c r="A68" s="2" t="inlineStr">
        <is>
          <t>Unsolved</t>
        </is>
      </c>
      <c r="B68" s="3" t="inlineStr">
        <is>
          <t>Arrays</t>
        </is>
      </c>
      <c r="C68" s="3" t="inlineStr">
        <is>
          <t>Simulation on Arrays</t>
        </is>
      </c>
      <c r="D68" s="2" t="inlineStr">
        <is>
          <t>381A</t>
        </is>
      </c>
      <c r="E68" s="2" t="n">
        <v>381</v>
      </c>
      <c r="F68" s="2" t="inlineStr">
        <is>
          <t>A</t>
        </is>
      </c>
      <c r="G68" s="3" t="inlineStr">
        <is>
          <t>Sereja and Dima</t>
        </is>
      </c>
      <c r="H68" s="2" t="n">
        <v>800</v>
      </c>
      <c r="I68" s="4" t="inlineStr">
        <is>
          <t>Easy</t>
        </is>
      </c>
      <c r="J68" s="3" t="inlineStr">
        <is>
          <t>greedy, implementation, two pointers</t>
        </is>
      </c>
      <c r="K68" s="2" t="n">
        <v>15</v>
      </c>
      <c r="L68" s="2" t="n">
        <v>10</v>
      </c>
      <c r="M68" s="5" t="inlineStr">
        <is>
          <t>https://codeforces.com/problemset/problem/381/A</t>
        </is>
      </c>
      <c r="N68" s="3" t="n"/>
    </row>
    <row r="69" ht="20.1" customHeight="1">
      <c r="A69" s="6" t="inlineStr">
        <is>
          <t>Unsolved</t>
        </is>
      </c>
      <c r="B69" s="7" t="inlineStr">
        <is>
          <t>Arrays</t>
        </is>
      </c>
      <c r="C69" s="7" t="inlineStr">
        <is>
          <t>Simulation on Arrays</t>
        </is>
      </c>
      <c r="D69" s="6" t="inlineStr">
        <is>
          <t>478A</t>
        </is>
      </c>
      <c r="E69" s="6" t="n">
        <v>478</v>
      </c>
      <c r="F69" s="6" t="inlineStr">
        <is>
          <t>A</t>
        </is>
      </c>
      <c r="G69" s="7" t="inlineStr">
        <is>
          <t>Initial Bet</t>
        </is>
      </c>
      <c r="H69" s="6" t="n">
        <v>1100</v>
      </c>
      <c r="I69" s="4" t="inlineStr">
        <is>
          <t>Easy+</t>
        </is>
      </c>
      <c r="J69" s="7" t="inlineStr">
        <is>
          <t>implementation</t>
        </is>
      </c>
      <c r="K69" s="6" t="n">
        <v>25</v>
      </c>
      <c r="L69" s="6" t="n">
        <v>20</v>
      </c>
      <c r="M69" s="8" t="inlineStr">
        <is>
          <t>https://codeforces.com/problemset/problem/478/A</t>
        </is>
      </c>
      <c r="N69" s="7" t="n"/>
    </row>
    <row r="70" ht="20.1" customHeight="1">
      <c r="A70" s="2" t="inlineStr">
        <is>
          <t>Unsolved</t>
        </is>
      </c>
      <c r="B70" s="3" t="inlineStr">
        <is>
          <t>Arrays</t>
        </is>
      </c>
      <c r="C70" s="3" t="inlineStr">
        <is>
          <t>Simulation on Arrays</t>
        </is>
      </c>
      <c r="D70" s="2" t="inlineStr">
        <is>
          <t>500A</t>
        </is>
      </c>
      <c r="E70" s="2" t="n">
        <v>500</v>
      </c>
      <c r="F70" s="2" t="inlineStr">
        <is>
          <t>A</t>
        </is>
      </c>
      <c r="G70" s="3" t="inlineStr">
        <is>
          <t>New Year Transportation</t>
        </is>
      </c>
      <c r="H70" s="2" t="n">
        <v>1000</v>
      </c>
      <c r="I70" s="4" t="inlineStr">
        <is>
          <t>Easy+</t>
        </is>
      </c>
      <c r="J70" s="3" t="inlineStr">
        <is>
          <t>dfs and similar, graphs, implementation</t>
        </is>
      </c>
      <c r="K70" s="2" t="n">
        <v>15</v>
      </c>
      <c r="L70" s="2" t="n">
        <v>10</v>
      </c>
      <c r="M70" s="5" t="inlineStr">
        <is>
          <t>https://codeforces.com/problemset/problem/500/A</t>
        </is>
      </c>
      <c r="N70" s="3" t="n"/>
    </row>
    <row r="71" ht="20.1" customHeight="1">
      <c r="A71" s="6" t="inlineStr">
        <is>
          <t>Unsolved</t>
        </is>
      </c>
      <c r="B71" s="7" t="inlineStr">
        <is>
          <t>Arrays</t>
        </is>
      </c>
      <c r="C71" s="7" t="inlineStr">
        <is>
          <t>Simulation on Arrays</t>
        </is>
      </c>
      <c r="D71" s="6" t="inlineStr">
        <is>
          <t>518B</t>
        </is>
      </c>
      <c r="E71" s="6" t="n">
        <v>518</v>
      </c>
      <c r="F71" s="6" t="inlineStr">
        <is>
          <t>B</t>
        </is>
      </c>
      <c r="G71" s="7" t="inlineStr">
        <is>
          <t>Tanya and Postcard</t>
        </is>
      </c>
      <c r="H71" s="6" t="n">
        <v>1400</v>
      </c>
      <c r="I71" s="9" t="inlineStr">
        <is>
          <t>Medium</t>
        </is>
      </c>
      <c r="J71" s="7" t="inlineStr">
        <is>
          <t>greedy, implementation, strings</t>
        </is>
      </c>
      <c r="K71" s="6" t="n">
        <v>40</v>
      </c>
      <c r="L71" s="6" t="n">
        <v>35</v>
      </c>
      <c r="M71" s="8" t="inlineStr">
        <is>
          <t>https://codeforces.com/problemset/problem/518/B</t>
        </is>
      </c>
      <c r="N71" s="7" t="n"/>
    </row>
    <row r="72" ht="20.1" customHeight="1">
      <c r="A72" s="2" t="inlineStr">
        <is>
          <t>Unsolved</t>
        </is>
      </c>
      <c r="B72" s="3" t="inlineStr">
        <is>
          <t>Arrays</t>
        </is>
      </c>
      <c r="C72" s="3" t="inlineStr">
        <is>
          <t>Simulation on Arrays</t>
        </is>
      </c>
      <c r="D72" s="2" t="inlineStr">
        <is>
          <t>545A</t>
        </is>
      </c>
      <c r="E72" s="2" t="n">
        <v>545</v>
      </c>
      <c r="F72" s="2" t="inlineStr">
        <is>
          <t>A</t>
        </is>
      </c>
      <c r="G72" s="3" t="inlineStr">
        <is>
          <t>Toy Cars</t>
        </is>
      </c>
      <c r="H72" s="2" t="n">
        <v>900</v>
      </c>
      <c r="I72" s="4" t="inlineStr">
        <is>
          <t>Easy</t>
        </is>
      </c>
      <c r="J72" s="3" t="inlineStr">
        <is>
          <t>implementation</t>
        </is>
      </c>
      <c r="K72" s="2" t="n">
        <v>15</v>
      </c>
      <c r="L72" s="2" t="n">
        <v>10</v>
      </c>
      <c r="M72" s="5" t="inlineStr">
        <is>
          <t>https://codeforces.com/problemset/problem/545/A</t>
        </is>
      </c>
      <c r="N72" s="3" t="n"/>
    </row>
    <row r="73" ht="20.1" customHeight="1">
      <c r="A73" s="6" t="inlineStr">
        <is>
          <t>Unsolved</t>
        </is>
      </c>
      <c r="B73" s="7" t="inlineStr">
        <is>
          <t>Arrays</t>
        </is>
      </c>
      <c r="C73" s="7" t="inlineStr">
        <is>
          <t>Simulation on Arrays</t>
        </is>
      </c>
      <c r="D73" s="6" t="inlineStr">
        <is>
          <t>734B</t>
        </is>
      </c>
      <c r="E73" s="6" t="n">
        <v>734</v>
      </c>
      <c r="F73" s="6" t="inlineStr">
        <is>
          <t>B</t>
        </is>
      </c>
      <c r="G73" s="7" t="inlineStr">
        <is>
          <t>Anton and Digits</t>
        </is>
      </c>
      <c r="H73" s="6" t="n">
        <v>800</v>
      </c>
      <c r="I73" s="4" t="inlineStr">
        <is>
          <t>Easy</t>
        </is>
      </c>
      <c r="J73" s="7" t="inlineStr">
        <is>
          <t>brute force, greedy, implementation, math</t>
        </is>
      </c>
      <c r="K73" s="6" t="n">
        <v>15</v>
      </c>
      <c r="L73" s="6" t="n">
        <v>10</v>
      </c>
      <c r="M73" s="8" t="inlineStr">
        <is>
          <t>https://codeforces.com/problemset/problem/734/B</t>
        </is>
      </c>
      <c r="N73" s="7" t="n"/>
    </row>
    <row r="74" ht="20.1" customHeight="1">
      <c r="A74" s="2" t="inlineStr">
        <is>
          <t>Unsolved</t>
        </is>
      </c>
      <c r="B74" s="3" t="inlineStr">
        <is>
          <t>Arrays</t>
        </is>
      </c>
      <c r="C74" s="3" t="inlineStr">
        <is>
          <t>Simulation on Arrays</t>
        </is>
      </c>
      <c r="D74" s="2" t="inlineStr">
        <is>
          <t>863B</t>
        </is>
      </c>
      <c r="E74" s="2" t="n">
        <v>863</v>
      </c>
      <c r="F74" s="2" t="inlineStr">
        <is>
          <t>B</t>
        </is>
      </c>
      <c r="G74" s="3" t="inlineStr">
        <is>
          <t>Kayaking</t>
        </is>
      </c>
      <c r="H74" s="2" t="n">
        <v>1500</v>
      </c>
      <c r="I74" s="9" t="inlineStr">
        <is>
          <t>Medium+</t>
        </is>
      </c>
      <c r="J74" s="3" t="inlineStr">
        <is>
          <t>brute force, greedy, sortings</t>
        </is>
      </c>
      <c r="K74" s="2" t="n">
        <v>40</v>
      </c>
      <c r="L74" s="2" t="n">
        <v>35</v>
      </c>
      <c r="M74" s="5" t="inlineStr">
        <is>
          <t>https://codeforces.com/problemset/problem/863/B</t>
        </is>
      </c>
      <c r="N74" s="3" t="n"/>
    </row>
    <row r="75" ht="20.1" customHeight="1">
      <c r="A75" s="6" t="inlineStr">
        <is>
          <t>Unsolved</t>
        </is>
      </c>
      <c r="B75" s="7" t="inlineStr">
        <is>
          <t>Arrays</t>
        </is>
      </c>
      <c r="C75" s="7" t="inlineStr">
        <is>
          <t>Simulation on Arrays</t>
        </is>
      </c>
      <c r="D75" s="6" t="inlineStr">
        <is>
          <t>1005A</t>
        </is>
      </c>
      <c r="E75" s="6" t="n">
        <v>1005</v>
      </c>
      <c r="F75" s="6" t="inlineStr">
        <is>
          <t>A</t>
        </is>
      </c>
      <c r="G75" s="7" t="inlineStr">
        <is>
          <t>Tanya and Stairways</t>
        </is>
      </c>
      <c r="H75" s="6" t="n">
        <v>800</v>
      </c>
      <c r="I75" s="4" t="inlineStr">
        <is>
          <t>Easy</t>
        </is>
      </c>
      <c r="J75" s="7" t="inlineStr">
        <is>
          <t>implementation</t>
        </is>
      </c>
      <c r="K75" s="6" t="n">
        <v>15</v>
      </c>
      <c r="L75" s="6" t="n">
        <v>10</v>
      </c>
      <c r="M75" s="8" t="inlineStr">
        <is>
          <t>https://codeforces.com/problemset/problem/1005/A</t>
        </is>
      </c>
      <c r="N75" s="7" t="n"/>
    </row>
    <row r="76" ht="20.1" customHeight="1">
      <c r="A76" s="2" t="inlineStr">
        <is>
          <t>Unsolved</t>
        </is>
      </c>
      <c r="B76" s="3" t="inlineStr">
        <is>
          <t>Arrays</t>
        </is>
      </c>
      <c r="C76" s="3" t="inlineStr">
        <is>
          <t>Simulation on Arrays</t>
        </is>
      </c>
      <c r="D76" s="2" t="inlineStr">
        <is>
          <t>1015A</t>
        </is>
      </c>
      <c r="E76" s="2" t="n">
        <v>1015</v>
      </c>
      <c r="F76" s="2" t="inlineStr">
        <is>
          <t>A</t>
        </is>
      </c>
      <c r="G76" s="3" t="inlineStr">
        <is>
          <t>Points in Segments</t>
        </is>
      </c>
      <c r="H76" s="2" t="n">
        <v>800</v>
      </c>
      <c r="I76" s="4" t="inlineStr">
        <is>
          <t>Easy</t>
        </is>
      </c>
      <c r="J76" s="3" t="inlineStr">
        <is>
          <t>implementation</t>
        </is>
      </c>
      <c r="K76" s="2" t="n">
        <v>15</v>
      </c>
      <c r="L76" s="2" t="n">
        <v>10</v>
      </c>
      <c r="M76" s="5" t="inlineStr">
        <is>
          <t>https://codeforces.com/problemset/problem/1015/A</t>
        </is>
      </c>
      <c r="N76" s="3" t="n"/>
    </row>
    <row r="77" ht="20.1" customHeight="1">
      <c r="A77" s="6" t="inlineStr">
        <is>
          <t>Unsolved</t>
        </is>
      </c>
      <c r="B77" s="7" t="inlineStr">
        <is>
          <t>Arrays</t>
        </is>
      </c>
      <c r="C77" s="7" t="inlineStr">
        <is>
          <t>Simulation on Arrays</t>
        </is>
      </c>
      <c r="D77" s="6" t="inlineStr">
        <is>
          <t>1066A</t>
        </is>
      </c>
      <c r="E77" s="6" t="n">
        <v>1066</v>
      </c>
      <c r="F77" s="6" t="inlineStr">
        <is>
          <t>A</t>
        </is>
      </c>
      <c r="G77" s="7" t="inlineStr">
        <is>
          <t>Vova and Train</t>
        </is>
      </c>
      <c r="H77" s="6" t="n">
        <v>1100</v>
      </c>
      <c r="I77" s="4" t="inlineStr">
        <is>
          <t>Easy+</t>
        </is>
      </c>
      <c r="J77" s="7" t="inlineStr">
        <is>
          <t>math</t>
        </is>
      </c>
      <c r="K77" s="6" t="n">
        <v>25</v>
      </c>
      <c r="L77" s="6" t="n">
        <v>20</v>
      </c>
      <c r="M77" s="8" t="inlineStr">
        <is>
          <t>https://codeforces.com/problemset/problem/1066/A</t>
        </is>
      </c>
      <c r="N77" s="7" t="n"/>
    </row>
    <row r="78" ht="20.1" customHeight="1">
      <c r="A78" s="2" t="inlineStr">
        <is>
          <t>Unsolved</t>
        </is>
      </c>
      <c r="B78" s="3" t="inlineStr">
        <is>
          <t>Arrays</t>
        </is>
      </c>
      <c r="C78" s="3" t="inlineStr">
        <is>
          <t>Simulation on Arrays</t>
        </is>
      </c>
      <c r="D78" s="2" t="inlineStr">
        <is>
          <t>1088B</t>
        </is>
      </c>
      <c r="E78" s="2" t="n">
        <v>1088</v>
      </c>
      <c r="F78" s="2" t="inlineStr">
        <is>
          <t>B</t>
        </is>
      </c>
      <c r="G78" s="3" t="inlineStr">
        <is>
          <t>Ehab and subtraction</t>
        </is>
      </c>
      <c r="H78" s="2" t="n">
        <v>1000</v>
      </c>
      <c r="I78" s="4" t="inlineStr">
        <is>
          <t>Easy+</t>
        </is>
      </c>
      <c r="J78" s="3" t="inlineStr">
        <is>
          <t>implementation, sortings</t>
        </is>
      </c>
      <c r="K78" s="2" t="n">
        <v>15</v>
      </c>
      <c r="L78" s="2" t="n">
        <v>10</v>
      </c>
      <c r="M78" s="5" t="inlineStr">
        <is>
          <t>https://codeforces.com/problemset/problem/1088/B</t>
        </is>
      </c>
      <c r="N78" s="3" t="n"/>
    </row>
    <row r="79" ht="20.1" customHeight="1">
      <c r="A79" s="6" t="inlineStr">
        <is>
          <t>Unsolved</t>
        </is>
      </c>
      <c r="B79" s="7" t="inlineStr">
        <is>
          <t>Arrays</t>
        </is>
      </c>
      <c r="C79" s="7" t="inlineStr">
        <is>
          <t>Simulation on Arrays</t>
        </is>
      </c>
      <c r="D79" s="6" t="inlineStr">
        <is>
          <t>1099C</t>
        </is>
      </c>
      <c r="E79" s="6" t="n">
        <v>1099</v>
      </c>
      <c r="F79" s="6" t="inlineStr">
        <is>
          <t>C</t>
        </is>
      </c>
      <c r="G79" s="7" t="inlineStr">
        <is>
          <t>Postcard</t>
        </is>
      </c>
      <c r="H79" s="6" t="n">
        <v>1200</v>
      </c>
      <c r="I79" s="4" t="inlineStr">
        <is>
          <t>Easy+</t>
        </is>
      </c>
      <c r="J79" s="7" t="inlineStr">
        <is>
          <t>constructive algorithms, implementation</t>
        </is>
      </c>
      <c r="K79" s="6" t="n">
        <v>25</v>
      </c>
      <c r="L79" s="6" t="n">
        <v>20</v>
      </c>
      <c r="M79" s="8" t="inlineStr">
        <is>
          <t>https://codeforces.com/problemset/problem/1099/C</t>
        </is>
      </c>
      <c r="N79" s="7" t="n"/>
    </row>
    <row r="80" ht="20.1" customHeight="1">
      <c r="A80" s="2" t="inlineStr">
        <is>
          <t>Unsolved</t>
        </is>
      </c>
      <c r="B80" s="3" t="inlineStr">
        <is>
          <t>Arrays</t>
        </is>
      </c>
      <c r="C80" s="3" t="inlineStr">
        <is>
          <t>Simulation on Arrays</t>
        </is>
      </c>
      <c r="D80" s="2" t="inlineStr">
        <is>
          <t>1108C</t>
        </is>
      </c>
      <c r="E80" s="2" t="n">
        <v>1108</v>
      </c>
      <c r="F80" s="2" t="inlineStr">
        <is>
          <t>C</t>
        </is>
      </c>
      <c r="G80" s="3" t="inlineStr">
        <is>
          <t>Nice Garland</t>
        </is>
      </c>
      <c r="H80" s="2" t="n">
        <v>1300</v>
      </c>
      <c r="I80" s="9" t="inlineStr">
        <is>
          <t>Medium</t>
        </is>
      </c>
      <c r="J80" s="3" t="inlineStr">
        <is>
          <t>brute force, greedy, math</t>
        </is>
      </c>
      <c r="K80" s="2" t="n">
        <v>25</v>
      </c>
      <c r="L80" s="2" t="n">
        <v>20</v>
      </c>
      <c r="M80" s="5" t="inlineStr">
        <is>
          <t>https://codeforces.com/problemset/problem/1108/C</t>
        </is>
      </c>
      <c r="N80" s="3" t="n"/>
    </row>
    <row r="81" ht="20.1" customHeight="1">
      <c r="A81" s="6" t="inlineStr">
        <is>
          <t>Unsolved</t>
        </is>
      </c>
      <c r="B81" s="7" t="inlineStr">
        <is>
          <t>Arrays</t>
        </is>
      </c>
      <c r="C81" s="7" t="inlineStr">
        <is>
          <t>Simulation on Arrays</t>
        </is>
      </c>
      <c r="D81" s="6" t="inlineStr">
        <is>
          <t>1141C</t>
        </is>
      </c>
      <c r="E81" s="6" t="n">
        <v>1141</v>
      </c>
      <c r="F81" s="6" t="inlineStr">
        <is>
          <t>C</t>
        </is>
      </c>
      <c r="G81" s="7" t="inlineStr">
        <is>
          <t>Polycarp Restores Permutation</t>
        </is>
      </c>
      <c r="H81" s="6" t="n">
        <v>1500</v>
      </c>
      <c r="I81" s="9" t="inlineStr">
        <is>
          <t>Medium+</t>
        </is>
      </c>
      <c r="J81" s="7" t="inlineStr">
        <is>
          <t>math</t>
        </is>
      </c>
      <c r="K81" s="6" t="n">
        <v>40</v>
      </c>
      <c r="L81" s="6" t="n">
        <v>35</v>
      </c>
      <c r="M81" s="8" t="inlineStr">
        <is>
          <t>https://codeforces.com/problemset/problem/1141/C</t>
        </is>
      </c>
      <c r="N81" s="7" t="n"/>
    </row>
    <row r="82" ht="20.1" customHeight="1">
      <c r="A82" s="2" t="inlineStr">
        <is>
          <t>Unsolved</t>
        </is>
      </c>
      <c r="B82" s="3" t="inlineStr">
        <is>
          <t>Arrays</t>
        </is>
      </c>
      <c r="C82" s="3" t="inlineStr">
        <is>
          <t>Simulation on Arrays</t>
        </is>
      </c>
      <c r="D82" s="2" t="inlineStr">
        <is>
          <t>1154B</t>
        </is>
      </c>
      <c r="E82" s="2" t="n">
        <v>1154</v>
      </c>
      <c r="F82" s="2" t="inlineStr">
        <is>
          <t>B</t>
        </is>
      </c>
      <c r="G82" s="3" t="inlineStr">
        <is>
          <t>Make Them Equal</t>
        </is>
      </c>
      <c r="H82" s="2" t="n">
        <v>1200</v>
      </c>
      <c r="I82" s="4" t="inlineStr">
        <is>
          <t>Easy+</t>
        </is>
      </c>
      <c r="J82" s="3" t="inlineStr">
        <is>
          <t>math</t>
        </is>
      </c>
      <c r="K82" s="2" t="n">
        <v>25</v>
      </c>
      <c r="L82" s="2" t="n">
        <v>20</v>
      </c>
      <c r="M82" s="5" t="inlineStr">
        <is>
          <t>https://codeforces.com/problemset/problem/1154/B</t>
        </is>
      </c>
      <c r="N82" s="3" t="n"/>
    </row>
    <row r="83" ht="20.1" customHeight="1">
      <c r="A83" s="6" t="inlineStr">
        <is>
          <t>Unsolved</t>
        </is>
      </c>
      <c r="B83" s="7" t="inlineStr">
        <is>
          <t>Arrays</t>
        </is>
      </c>
      <c r="C83" s="7" t="inlineStr">
        <is>
          <t>Simulation on Arrays</t>
        </is>
      </c>
      <c r="D83" s="6" t="inlineStr">
        <is>
          <t>1208A</t>
        </is>
      </c>
      <c r="E83" s="6" t="n">
        <v>1208</v>
      </c>
      <c r="F83" s="6" t="inlineStr">
        <is>
          <t>A</t>
        </is>
      </c>
      <c r="G83" s="7" t="inlineStr">
        <is>
          <t>XORinacci</t>
        </is>
      </c>
      <c r="H83" s="6" t="n">
        <v>900</v>
      </c>
      <c r="I83" s="4" t="inlineStr">
        <is>
          <t>Easy</t>
        </is>
      </c>
      <c r="J83" s="7" t="inlineStr">
        <is>
          <t>math</t>
        </is>
      </c>
      <c r="K83" s="6" t="n">
        <v>15</v>
      </c>
      <c r="L83" s="6" t="n">
        <v>10</v>
      </c>
      <c r="M83" s="8" t="inlineStr">
        <is>
          <t>https://codeforces.com/problemset/problem/1208/A</t>
        </is>
      </c>
      <c r="N83" s="7" t="n"/>
    </row>
    <row r="84" ht="20.1" customHeight="1">
      <c r="A84" s="2" t="inlineStr">
        <is>
          <t>Unsolved</t>
        </is>
      </c>
      <c r="B84" s="3" t="inlineStr">
        <is>
          <t>Arrays</t>
        </is>
      </c>
      <c r="C84" s="3" t="inlineStr">
        <is>
          <t>Simulation on Arrays</t>
        </is>
      </c>
      <c r="D84" s="2" t="inlineStr">
        <is>
          <t>1272A</t>
        </is>
      </c>
      <c r="E84" s="2" t="n">
        <v>1272</v>
      </c>
      <c r="F84" s="2" t="inlineStr">
        <is>
          <t>A</t>
        </is>
      </c>
      <c r="G84" s="3" t="inlineStr">
        <is>
          <t>Three Friends</t>
        </is>
      </c>
      <c r="H84" s="2" t="n">
        <v>900</v>
      </c>
      <c r="I84" s="4" t="inlineStr">
        <is>
          <t>Easy</t>
        </is>
      </c>
      <c r="J84" s="3" t="inlineStr">
        <is>
          <t>brute force, greedy, math, sortings</t>
        </is>
      </c>
      <c r="K84" s="2" t="n">
        <v>15</v>
      </c>
      <c r="L84" s="2" t="n">
        <v>10</v>
      </c>
      <c r="M84" s="5" t="inlineStr">
        <is>
          <t>https://codeforces.com/problemset/problem/1272/A</t>
        </is>
      </c>
      <c r="N84" s="3" t="n"/>
    </row>
    <row r="85" ht="20.1" customHeight="1">
      <c r="A85" s="6" t="inlineStr">
        <is>
          <t>Unsolved</t>
        </is>
      </c>
      <c r="B85" s="7" t="inlineStr">
        <is>
          <t>Arrays</t>
        </is>
      </c>
      <c r="C85" s="7" t="inlineStr">
        <is>
          <t>Simulation on Arrays</t>
        </is>
      </c>
      <c r="D85" s="6" t="inlineStr">
        <is>
          <t>1296A</t>
        </is>
      </c>
      <c r="E85" s="6" t="n">
        <v>1296</v>
      </c>
      <c r="F85" s="6" t="inlineStr">
        <is>
          <t>A</t>
        </is>
      </c>
      <c r="G85" s="7" t="inlineStr">
        <is>
          <t>Array with Odd Sum</t>
        </is>
      </c>
      <c r="H85" s="6" t="n">
        <v>800</v>
      </c>
      <c r="I85" s="4" t="inlineStr">
        <is>
          <t>Easy</t>
        </is>
      </c>
      <c r="J85" s="7" t="inlineStr">
        <is>
          <t>math</t>
        </is>
      </c>
      <c r="K85" s="6" t="n">
        <v>15</v>
      </c>
      <c r="L85" s="6" t="n">
        <v>10</v>
      </c>
      <c r="M85" s="8" t="inlineStr">
        <is>
          <t>https://codeforces.com/problemset/problem/1296/A</t>
        </is>
      </c>
      <c r="N85" s="7" t="n"/>
    </row>
    <row r="86" ht="20.1" customHeight="1">
      <c r="A86" s="2" t="inlineStr">
        <is>
          <t>Unsolved</t>
        </is>
      </c>
      <c r="B86" s="3" t="inlineStr">
        <is>
          <t>Arrays</t>
        </is>
      </c>
      <c r="C86" s="3" t="inlineStr">
        <is>
          <t>Simulation on Arrays</t>
        </is>
      </c>
      <c r="D86" s="2" t="inlineStr">
        <is>
          <t>1334B</t>
        </is>
      </c>
      <c r="E86" s="2" t="n">
        <v>1334</v>
      </c>
      <c r="F86" s="2" t="inlineStr">
        <is>
          <t>B</t>
        </is>
      </c>
      <c r="G86" s="3" t="inlineStr">
        <is>
          <t>Middle Class</t>
        </is>
      </c>
      <c r="H86" s="2" t="n">
        <v>1100</v>
      </c>
      <c r="I86" s="4" t="inlineStr">
        <is>
          <t>Easy+</t>
        </is>
      </c>
      <c r="J86" s="3" t="inlineStr">
        <is>
          <t>greedy, sortings</t>
        </is>
      </c>
      <c r="K86" s="2" t="n">
        <v>25</v>
      </c>
      <c r="L86" s="2" t="n">
        <v>20</v>
      </c>
      <c r="M86" s="5" t="inlineStr">
        <is>
          <t>https://codeforces.com/problemset/problem/1334/B</t>
        </is>
      </c>
      <c r="N86" s="3" t="n"/>
    </row>
    <row r="87" ht="20.1" customHeight="1">
      <c r="A87" s="6" t="inlineStr">
        <is>
          <t>Unsolved</t>
        </is>
      </c>
      <c r="B87" s="7" t="inlineStr">
        <is>
          <t>Arrays</t>
        </is>
      </c>
      <c r="C87" s="7" t="inlineStr">
        <is>
          <t>Simulation on Arrays</t>
        </is>
      </c>
      <c r="D87" s="6" t="inlineStr">
        <is>
          <t>1355B</t>
        </is>
      </c>
      <c r="E87" s="6" t="n">
        <v>1355</v>
      </c>
      <c r="F87" s="6" t="inlineStr">
        <is>
          <t>B</t>
        </is>
      </c>
      <c r="G87" s="7" t="inlineStr">
        <is>
          <t>Young Explorers</t>
        </is>
      </c>
      <c r="H87" s="6" t="n">
        <v>1200</v>
      </c>
      <c r="I87" s="4" t="inlineStr">
        <is>
          <t>Easy+</t>
        </is>
      </c>
      <c r="J87" s="7" t="inlineStr">
        <is>
          <t>dp, greedy, sortings</t>
        </is>
      </c>
      <c r="K87" s="6" t="n">
        <v>25</v>
      </c>
      <c r="L87" s="6" t="n">
        <v>20</v>
      </c>
      <c r="M87" s="8" t="inlineStr">
        <is>
          <t>https://codeforces.com/problemset/problem/1355/B</t>
        </is>
      </c>
      <c r="N87" s="7" t="n"/>
    </row>
    <row r="88" ht="20.1" customHeight="1">
      <c r="A88" s="2" t="inlineStr">
        <is>
          <t>Unsolved</t>
        </is>
      </c>
      <c r="B88" s="3" t="inlineStr">
        <is>
          <t>Arrays</t>
        </is>
      </c>
      <c r="C88" s="3" t="inlineStr">
        <is>
          <t>Simulation on Arrays</t>
        </is>
      </c>
      <c r="D88" s="2" t="inlineStr">
        <is>
          <t>1368A</t>
        </is>
      </c>
      <c r="E88" s="2" t="n">
        <v>1368</v>
      </c>
      <c r="F88" s="2" t="inlineStr">
        <is>
          <t>A</t>
        </is>
      </c>
      <c r="G88" s="3" t="inlineStr">
        <is>
          <t>C+=</t>
        </is>
      </c>
      <c r="H88" s="2" t="n">
        <v>800</v>
      </c>
      <c r="I88" s="4" t="inlineStr">
        <is>
          <t>Easy</t>
        </is>
      </c>
      <c r="J88" s="3" t="inlineStr">
        <is>
          <t>brute force, greedy, implementation, math</t>
        </is>
      </c>
      <c r="K88" s="2" t="n">
        <v>15</v>
      </c>
      <c r="L88" s="2" t="n">
        <v>10</v>
      </c>
      <c r="M88" s="5" t="inlineStr">
        <is>
          <t>https://codeforces.com/problemset/problem/1368/A</t>
        </is>
      </c>
      <c r="N88" s="3" t="n"/>
    </row>
    <row r="89" ht="20.1" customHeight="1">
      <c r="A89" s="6" t="inlineStr">
        <is>
          <t>Unsolved</t>
        </is>
      </c>
      <c r="B89" s="7" t="inlineStr">
        <is>
          <t>Arrays</t>
        </is>
      </c>
      <c r="C89" s="7" t="inlineStr">
        <is>
          <t>Simulation on Arrays</t>
        </is>
      </c>
      <c r="D89" s="6" t="inlineStr">
        <is>
          <t>1407A</t>
        </is>
      </c>
      <c r="E89" s="6" t="n">
        <v>1407</v>
      </c>
      <c r="F89" s="6" t="inlineStr">
        <is>
          <t>A</t>
        </is>
      </c>
      <c r="G89" s="7" t="inlineStr">
        <is>
          <t>Ahahahahahahahaha</t>
        </is>
      </c>
      <c r="H89" s="6" t="n">
        <v>1100</v>
      </c>
      <c r="I89" s="4" t="inlineStr">
        <is>
          <t>Easy+</t>
        </is>
      </c>
      <c r="J89" s="7" t="inlineStr">
        <is>
          <t>constructive algorithms, math</t>
        </is>
      </c>
      <c r="K89" s="6" t="n">
        <v>25</v>
      </c>
      <c r="L89" s="6" t="n">
        <v>20</v>
      </c>
      <c r="M89" s="8" t="inlineStr">
        <is>
          <t>https://codeforces.com/problemset/problem/1407/A</t>
        </is>
      </c>
      <c r="N89" s="7" t="n"/>
    </row>
    <row r="90" ht="20.1" customHeight="1">
      <c r="A90" s="2" t="inlineStr">
        <is>
          <t>Unsolved</t>
        </is>
      </c>
      <c r="B90" s="3" t="inlineStr">
        <is>
          <t>Arrays</t>
        </is>
      </c>
      <c r="C90" s="3" t="inlineStr">
        <is>
          <t>Simulation on Arrays</t>
        </is>
      </c>
      <c r="D90" s="2" t="inlineStr">
        <is>
          <t>1454B</t>
        </is>
      </c>
      <c r="E90" s="2" t="n">
        <v>1454</v>
      </c>
      <c r="F90" s="2" t="inlineStr">
        <is>
          <t>B</t>
        </is>
      </c>
      <c r="G90" s="3" t="inlineStr">
        <is>
          <t>Unique Bid Auction</t>
        </is>
      </c>
      <c r="H90" s="2" t="n">
        <v>800</v>
      </c>
      <c r="I90" s="4" t="inlineStr">
        <is>
          <t>Easy</t>
        </is>
      </c>
      <c r="J90" s="3" t="inlineStr">
        <is>
          <t>implementation</t>
        </is>
      </c>
      <c r="K90" s="2" t="n">
        <v>15</v>
      </c>
      <c r="L90" s="2" t="n">
        <v>10</v>
      </c>
      <c r="M90" s="5" t="inlineStr">
        <is>
          <t>https://codeforces.com/problemset/problem/1454/B</t>
        </is>
      </c>
      <c r="N90" s="3" t="n"/>
    </row>
    <row r="91" ht="20.1" customHeight="1">
      <c r="A91" s="6" t="inlineStr">
        <is>
          <t>Unsolved</t>
        </is>
      </c>
      <c r="B91" s="7" t="inlineStr">
        <is>
          <t>Arrays</t>
        </is>
      </c>
      <c r="C91" s="7" t="inlineStr">
        <is>
          <t>Simulation on Arrays</t>
        </is>
      </c>
      <c r="D91" s="6" t="inlineStr">
        <is>
          <t>1466A</t>
        </is>
      </c>
      <c r="E91" s="6" t="n">
        <v>1466</v>
      </c>
      <c r="F91" s="6" t="inlineStr">
        <is>
          <t>A</t>
        </is>
      </c>
      <c r="G91" s="7" t="inlineStr">
        <is>
          <t>Bovine Dilemma</t>
        </is>
      </c>
      <c r="H91" s="6" t="n">
        <v>800</v>
      </c>
      <c r="I91" s="4" t="inlineStr">
        <is>
          <t>Easy</t>
        </is>
      </c>
      <c r="J91" s="7" t="inlineStr">
        <is>
          <t>brute force, geometry, math</t>
        </is>
      </c>
      <c r="K91" s="6" t="n">
        <v>15</v>
      </c>
      <c r="L91" s="6" t="n">
        <v>10</v>
      </c>
      <c r="M91" s="8" t="inlineStr">
        <is>
          <t>https://codeforces.com/problemset/problem/1466/A</t>
        </is>
      </c>
      <c r="N91" s="7" t="n"/>
    </row>
    <row r="92" ht="20.1" customHeight="1">
      <c r="A92" s="2" t="inlineStr">
        <is>
          <t>Unsolved</t>
        </is>
      </c>
      <c r="B92" s="3" t="inlineStr">
        <is>
          <t>Arrays</t>
        </is>
      </c>
      <c r="C92" s="3" t="inlineStr">
        <is>
          <t>Simulation on Arrays</t>
        </is>
      </c>
      <c r="D92" s="2" t="inlineStr">
        <is>
          <t>1497A</t>
        </is>
      </c>
      <c r="E92" s="2" t="n">
        <v>1497</v>
      </c>
      <c r="F92" s="2" t="inlineStr">
        <is>
          <t>A</t>
        </is>
      </c>
      <c r="G92" s="3" t="inlineStr">
        <is>
          <t>Meximization</t>
        </is>
      </c>
      <c r="H92" s="2" t="n">
        <v>800</v>
      </c>
      <c r="I92" s="4" t="inlineStr">
        <is>
          <t>Easy</t>
        </is>
      </c>
      <c r="J92" s="3" t="inlineStr">
        <is>
          <t>brute force, data structures, greedy, sortings</t>
        </is>
      </c>
      <c r="K92" s="2" t="n">
        <v>15</v>
      </c>
      <c r="L92" s="2" t="n">
        <v>10</v>
      </c>
      <c r="M92" s="5" t="inlineStr">
        <is>
          <t>https://codeforces.com/problemset/problem/1497/A</t>
        </is>
      </c>
      <c r="N92" s="3" t="n"/>
    </row>
    <row r="93" ht="20.1" customHeight="1">
      <c r="A93" s="6" t="inlineStr">
        <is>
          <t>Unsolved</t>
        </is>
      </c>
      <c r="B93" s="7" t="inlineStr">
        <is>
          <t>Arrays</t>
        </is>
      </c>
      <c r="C93" s="7" t="inlineStr">
        <is>
          <t>Simulation on Arrays</t>
        </is>
      </c>
      <c r="D93" s="6" t="inlineStr">
        <is>
          <t>1515A</t>
        </is>
      </c>
      <c r="E93" s="6" t="n">
        <v>1515</v>
      </c>
      <c r="F93" s="6" t="inlineStr">
        <is>
          <t>A</t>
        </is>
      </c>
      <c r="G93" s="7" t="inlineStr">
        <is>
          <t>Phoenix and Gold</t>
        </is>
      </c>
      <c r="H93" s="6" t="n">
        <v>800</v>
      </c>
      <c r="I93" s="4" t="inlineStr">
        <is>
          <t>Easy</t>
        </is>
      </c>
      <c r="J93" s="7" t="inlineStr">
        <is>
          <t>constructive algorithms, greedy, math</t>
        </is>
      </c>
      <c r="K93" s="6" t="n">
        <v>15</v>
      </c>
      <c r="L93" s="6" t="n">
        <v>10</v>
      </c>
      <c r="M93" s="8" t="inlineStr">
        <is>
          <t>https://codeforces.com/problemset/problem/1515/A</t>
        </is>
      </c>
      <c r="N93" s="7" t="n"/>
    </row>
    <row r="94" ht="20.1" customHeight="1">
      <c r="A94" s="2" t="inlineStr">
        <is>
          <t>Unsolved</t>
        </is>
      </c>
      <c r="B94" s="3" t="inlineStr">
        <is>
          <t>Arrays</t>
        </is>
      </c>
      <c r="C94" s="3" t="inlineStr">
        <is>
          <t>Simulation on Arrays</t>
        </is>
      </c>
      <c r="D94" s="2" t="inlineStr">
        <is>
          <t>1535A</t>
        </is>
      </c>
      <c r="E94" s="2" t="n">
        <v>1535</v>
      </c>
      <c r="F94" s="2" t="inlineStr">
        <is>
          <t>A</t>
        </is>
      </c>
      <c r="G94" s="3" t="inlineStr">
        <is>
          <t>Fair Playoff</t>
        </is>
      </c>
      <c r="H94" s="2" t="n">
        <v>800</v>
      </c>
      <c r="I94" s="4" t="inlineStr">
        <is>
          <t>Easy</t>
        </is>
      </c>
      <c r="J94" s="3" t="inlineStr">
        <is>
          <t>brute force, implementation</t>
        </is>
      </c>
      <c r="K94" s="2" t="n">
        <v>15</v>
      </c>
      <c r="L94" s="2" t="n">
        <v>10</v>
      </c>
      <c r="M94" s="5" t="inlineStr">
        <is>
          <t>https://codeforces.com/problemset/problem/1535/A</t>
        </is>
      </c>
      <c r="N94" s="3" t="n"/>
    </row>
    <row r="95" ht="20.1" customHeight="1">
      <c r="A95" s="6" t="inlineStr">
        <is>
          <t>Unsolved</t>
        </is>
      </c>
      <c r="B95" s="7" t="inlineStr">
        <is>
          <t>Arrays</t>
        </is>
      </c>
      <c r="C95" s="7" t="inlineStr">
        <is>
          <t>Simulation on Arrays</t>
        </is>
      </c>
      <c r="D95" s="6" t="inlineStr">
        <is>
          <t>1551A</t>
        </is>
      </c>
      <c r="E95" s="6" t="n">
        <v>1551</v>
      </c>
      <c r="F95" s="6" t="inlineStr">
        <is>
          <t>A</t>
        </is>
      </c>
      <c r="G95" s="7" t="inlineStr">
        <is>
          <t>Polycarp and Coins</t>
        </is>
      </c>
      <c r="H95" s="6" t="n">
        <v>800</v>
      </c>
      <c r="I95" s="4" t="inlineStr">
        <is>
          <t>Easy</t>
        </is>
      </c>
      <c r="J95" s="7" t="inlineStr">
        <is>
          <t>greedy, math</t>
        </is>
      </c>
      <c r="K95" s="6" t="n">
        <v>15</v>
      </c>
      <c r="L95" s="6" t="n">
        <v>10</v>
      </c>
      <c r="M95" s="8" t="inlineStr">
        <is>
          <t>https://codeforces.com/problemset/problem/1551/A</t>
        </is>
      </c>
      <c r="N95" s="7" t="n"/>
    </row>
    <row r="96" ht="20.1" customHeight="1">
      <c r="A96" s="2" t="inlineStr">
        <is>
          <t>Unsolved</t>
        </is>
      </c>
      <c r="B96" s="3" t="inlineStr">
        <is>
          <t>Arrays</t>
        </is>
      </c>
      <c r="C96" s="3" t="inlineStr">
        <is>
          <t>Simulation on Arrays</t>
        </is>
      </c>
      <c r="D96" s="2" t="inlineStr">
        <is>
          <t>1561A</t>
        </is>
      </c>
      <c r="E96" s="2" t="n">
        <v>1561</v>
      </c>
      <c r="F96" s="2" t="inlineStr">
        <is>
          <t>A</t>
        </is>
      </c>
      <c r="G96" s="3" t="inlineStr">
        <is>
          <t>Simply Strange Sort</t>
        </is>
      </c>
      <c r="H96" s="2" t="n">
        <v>800</v>
      </c>
      <c r="I96" s="4" t="inlineStr">
        <is>
          <t>Easy</t>
        </is>
      </c>
      <c r="J96" s="3" t="inlineStr">
        <is>
          <t>brute force, implementation, sortings</t>
        </is>
      </c>
      <c r="K96" s="2" t="n">
        <v>15</v>
      </c>
      <c r="L96" s="2" t="n">
        <v>10</v>
      </c>
      <c r="M96" s="5" t="inlineStr">
        <is>
          <t>https://codeforces.com/problemset/problem/1561/A</t>
        </is>
      </c>
      <c r="N96" s="3" t="n"/>
    </row>
    <row r="97" ht="20.1" customHeight="1">
      <c r="A97" s="6" t="inlineStr">
        <is>
          <t>Unsolved</t>
        </is>
      </c>
      <c r="B97" s="7" t="inlineStr">
        <is>
          <t>Arrays</t>
        </is>
      </c>
      <c r="C97" s="7" t="inlineStr">
        <is>
          <t>Simulation on Arrays</t>
        </is>
      </c>
      <c r="D97" s="6" t="inlineStr">
        <is>
          <t>1607C</t>
        </is>
      </c>
      <c r="E97" s="6" t="n">
        <v>1607</v>
      </c>
      <c r="F97" s="6" t="inlineStr">
        <is>
          <t>C</t>
        </is>
      </c>
      <c r="G97" s="7" t="inlineStr">
        <is>
          <t>Minimum Extraction</t>
        </is>
      </c>
      <c r="H97" s="6" t="n">
        <v>1000</v>
      </c>
      <c r="I97" s="4" t="inlineStr">
        <is>
          <t>Easy+</t>
        </is>
      </c>
      <c r="J97" s="7" t="inlineStr">
        <is>
          <t>brute force, sortings</t>
        </is>
      </c>
      <c r="K97" s="6" t="n">
        <v>15</v>
      </c>
      <c r="L97" s="6" t="n">
        <v>10</v>
      </c>
      <c r="M97" s="8" t="inlineStr">
        <is>
          <t>https://codeforces.com/problemset/problem/1607/C</t>
        </is>
      </c>
      <c r="N97" s="7" t="n"/>
    </row>
    <row r="98" ht="20.1" customHeight="1">
      <c r="A98" s="2" t="inlineStr">
        <is>
          <t>Unsolved</t>
        </is>
      </c>
      <c r="B98" s="3" t="inlineStr">
        <is>
          <t>Arrays</t>
        </is>
      </c>
      <c r="C98" s="3" t="inlineStr">
        <is>
          <t>Sorting Based Arrays</t>
        </is>
      </c>
      <c r="D98" s="2" t="inlineStr">
        <is>
          <t>34B</t>
        </is>
      </c>
      <c r="E98" s="2" t="n">
        <v>34</v>
      </c>
      <c r="F98" s="2" t="inlineStr">
        <is>
          <t>B</t>
        </is>
      </c>
      <c r="G98" s="3" t="inlineStr">
        <is>
          <t>Sale</t>
        </is>
      </c>
      <c r="H98" s="2" t="n">
        <v>900</v>
      </c>
      <c r="I98" s="4" t="inlineStr">
        <is>
          <t>Easy</t>
        </is>
      </c>
      <c r="J98" s="3" t="inlineStr">
        <is>
          <t>greedy, sortings</t>
        </is>
      </c>
      <c r="K98" s="2" t="n">
        <v>15</v>
      </c>
      <c r="L98" s="2" t="n">
        <v>10</v>
      </c>
      <c r="M98" s="5" t="inlineStr">
        <is>
          <t>https://codeforces.com/problemset/problem/34/B</t>
        </is>
      </c>
      <c r="N98" s="3" t="n"/>
    </row>
    <row r="99" ht="20.1" customHeight="1">
      <c r="A99" s="6" t="inlineStr">
        <is>
          <t>Unsolved</t>
        </is>
      </c>
      <c r="B99" s="7" t="inlineStr">
        <is>
          <t>Arrays</t>
        </is>
      </c>
      <c r="C99" s="7" t="inlineStr">
        <is>
          <t>Sorting Based Arrays</t>
        </is>
      </c>
      <c r="D99" s="6" t="inlineStr">
        <is>
          <t>160A</t>
        </is>
      </c>
      <c r="E99" s="6" t="n">
        <v>160</v>
      </c>
      <c r="F99" s="6" t="inlineStr">
        <is>
          <t>A</t>
        </is>
      </c>
      <c r="G99" s="7" t="inlineStr">
        <is>
          <t>Twins</t>
        </is>
      </c>
      <c r="H99" s="6" t="n">
        <v>900</v>
      </c>
      <c r="I99" s="4" t="inlineStr">
        <is>
          <t>Easy</t>
        </is>
      </c>
      <c r="J99" s="7" t="inlineStr">
        <is>
          <t>greedy, sortings</t>
        </is>
      </c>
      <c r="K99" s="6" t="n">
        <v>15</v>
      </c>
      <c r="L99" s="6" t="n">
        <v>10</v>
      </c>
      <c r="M99" s="8" t="inlineStr">
        <is>
          <t>https://codeforces.com/problemset/problem/160/A</t>
        </is>
      </c>
      <c r="N99" s="7" t="n"/>
    </row>
    <row r="100" ht="20.1" customHeight="1">
      <c r="A100" s="2" t="inlineStr">
        <is>
          <t>Unsolved</t>
        </is>
      </c>
      <c r="B100" s="3" t="inlineStr">
        <is>
          <t>Arrays</t>
        </is>
      </c>
      <c r="C100" s="3" t="inlineStr">
        <is>
          <t>Sorting Based Arrays</t>
        </is>
      </c>
      <c r="D100" s="2" t="inlineStr">
        <is>
          <t>230A</t>
        </is>
      </c>
      <c r="E100" s="2" t="n">
        <v>230</v>
      </c>
      <c r="F100" s="2" t="inlineStr">
        <is>
          <t>A</t>
        </is>
      </c>
      <c r="G100" s="3" t="inlineStr">
        <is>
          <t>Dragons</t>
        </is>
      </c>
      <c r="H100" s="2" t="n">
        <v>1000</v>
      </c>
      <c r="I100" s="4" t="inlineStr">
        <is>
          <t>Easy+</t>
        </is>
      </c>
      <c r="J100" s="3" t="inlineStr">
        <is>
          <t>greedy, sortings</t>
        </is>
      </c>
      <c r="K100" s="2" t="n">
        <v>15</v>
      </c>
      <c r="L100" s="2" t="n">
        <v>10</v>
      </c>
      <c r="M100" s="5" t="inlineStr">
        <is>
          <t>https://codeforces.com/problemset/problem/230/A</t>
        </is>
      </c>
      <c r="N100" s="3" t="n"/>
    </row>
    <row r="101" ht="20.1" customHeight="1">
      <c r="A101" s="6" t="inlineStr">
        <is>
          <t>Unsolved</t>
        </is>
      </c>
      <c r="B101" s="7" t="inlineStr">
        <is>
          <t>Arrays</t>
        </is>
      </c>
      <c r="C101" s="7" t="inlineStr">
        <is>
          <t>Sorting Based Arrays</t>
        </is>
      </c>
      <c r="D101" s="6" t="inlineStr">
        <is>
          <t>489B</t>
        </is>
      </c>
      <c r="E101" s="6" t="n">
        <v>489</v>
      </c>
      <c r="F101" s="6" t="inlineStr">
        <is>
          <t>B</t>
        </is>
      </c>
      <c r="G101" s="7" t="inlineStr">
        <is>
          <t>BerSU Ball</t>
        </is>
      </c>
      <c r="H101" s="6" t="n">
        <v>1200</v>
      </c>
      <c r="I101" s="4" t="inlineStr">
        <is>
          <t>Easy+</t>
        </is>
      </c>
      <c r="J101" s="7" t="inlineStr">
        <is>
          <t>dfs and similar, dp, graph matchings, greedy, sortings, two pointers</t>
        </is>
      </c>
      <c r="K101" s="6" t="n">
        <v>25</v>
      </c>
      <c r="L101" s="6" t="n">
        <v>20</v>
      </c>
      <c r="M101" s="8" t="inlineStr">
        <is>
          <t>https://codeforces.com/problemset/problem/489/B</t>
        </is>
      </c>
      <c r="N101" s="7" t="n"/>
    </row>
    <row r="102" ht="20.1" customHeight="1">
      <c r="A102" s="2" t="inlineStr">
        <is>
          <t>Unsolved</t>
        </is>
      </c>
      <c r="B102" s="3" t="inlineStr">
        <is>
          <t>Arrays</t>
        </is>
      </c>
      <c r="C102" s="3" t="inlineStr">
        <is>
          <t>Sorting Based Arrays</t>
        </is>
      </c>
      <c r="D102" s="2" t="inlineStr">
        <is>
          <t>580A</t>
        </is>
      </c>
      <c r="E102" s="2" t="n">
        <v>580</v>
      </c>
      <c r="F102" s="2" t="inlineStr">
        <is>
          <t>A</t>
        </is>
      </c>
      <c r="G102" s="3" t="inlineStr">
        <is>
          <t>Kefa and First Steps</t>
        </is>
      </c>
      <c r="H102" s="2" t="n">
        <v>900</v>
      </c>
      <c r="I102" s="4" t="inlineStr">
        <is>
          <t>Easy</t>
        </is>
      </c>
      <c r="J102" s="3" t="inlineStr">
        <is>
          <t>brute force, dp, implementation</t>
        </is>
      </c>
      <c r="K102" s="2" t="n">
        <v>15</v>
      </c>
      <c r="L102" s="2" t="n">
        <v>10</v>
      </c>
      <c r="M102" s="5" t="inlineStr">
        <is>
          <t>https://codeforces.com/problemset/problem/580/A</t>
        </is>
      </c>
      <c r="N102" s="3" t="n"/>
    </row>
    <row r="103" ht="20.1" customHeight="1">
      <c r="A103" s="6" t="inlineStr">
        <is>
          <t>Unsolved</t>
        </is>
      </c>
      <c r="B103" s="7" t="inlineStr">
        <is>
          <t>Arrays</t>
        </is>
      </c>
      <c r="C103" s="7" t="inlineStr">
        <is>
          <t>Sorting Based Arrays</t>
        </is>
      </c>
      <c r="D103" s="6" t="inlineStr">
        <is>
          <t>659C</t>
        </is>
      </c>
      <c r="E103" s="6" t="n">
        <v>659</v>
      </c>
      <c r="F103" s="6" t="inlineStr">
        <is>
          <t>C</t>
        </is>
      </c>
      <c r="G103" s="7" t="inlineStr">
        <is>
          <t>Tanya and Toys</t>
        </is>
      </c>
      <c r="H103" s="6" t="n">
        <v>1200</v>
      </c>
      <c r="I103" s="4" t="inlineStr">
        <is>
          <t>Easy+</t>
        </is>
      </c>
      <c r="J103" s="7" t="inlineStr">
        <is>
          <t>greedy, implementation</t>
        </is>
      </c>
      <c r="K103" s="6" t="n">
        <v>25</v>
      </c>
      <c r="L103" s="6" t="n">
        <v>20</v>
      </c>
      <c r="M103" s="8" t="inlineStr">
        <is>
          <t>https://codeforces.com/problemset/problem/659/C</t>
        </is>
      </c>
      <c r="N103" s="7" t="n"/>
    </row>
    <row r="104" ht="20.1" customHeight="1">
      <c r="A104" s="2" t="inlineStr">
        <is>
          <t>Unsolved</t>
        </is>
      </c>
      <c r="B104" s="3" t="inlineStr">
        <is>
          <t>Arrays</t>
        </is>
      </c>
      <c r="C104" s="3" t="inlineStr">
        <is>
          <t>Sorting Based Arrays</t>
        </is>
      </c>
      <c r="D104" s="2" t="inlineStr">
        <is>
          <t>706B</t>
        </is>
      </c>
      <c r="E104" s="2" t="n">
        <v>706</v>
      </c>
      <c r="F104" s="2" t="inlineStr">
        <is>
          <t>B</t>
        </is>
      </c>
      <c r="G104" s="3" t="inlineStr">
        <is>
          <t>Interesting drink</t>
        </is>
      </c>
      <c r="H104" s="2" t="n">
        <v>1100</v>
      </c>
      <c r="I104" s="4" t="inlineStr">
        <is>
          <t>Easy+</t>
        </is>
      </c>
      <c r="J104" s="3" t="inlineStr">
        <is>
          <t>binary search, dp, implementation</t>
        </is>
      </c>
      <c r="K104" s="2" t="n">
        <v>25</v>
      </c>
      <c r="L104" s="2" t="n">
        <v>20</v>
      </c>
      <c r="M104" s="5" t="inlineStr">
        <is>
          <t>https://codeforces.com/problemset/problem/706/B</t>
        </is>
      </c>
      <c r="N104" s="3" t="n"/>
    </row>
    <row r="105" ht="20.1" customHeight="1">
      <c r="A105" s="6" t="inlineStr">
        <is>
          <t>Unsolved</t>
        </is>
      </c>
      <c r="B105" s="7" t="inlineStr">
        <is>
          <t>Arrays</t>
        </is>
      </c>
      <c r="C105" s="7" t="inlineStr">
        <is>
          <t>Sorting Based Arrays</t>
        </is>
      </c>
      <c r="D105" s="6" t="inlineStr">
        <is>
          <t>808D</t>
        </is>
      </c>
      <c r="E105" s="6" t="n">
        <v>808</v>
      </c>
      <c r="F105" s="6" t="inlineStr">
        <is>
          <t>D</t>
        </is>
      </c>
      <c r="G105" s="7" t="inlineStr">
        <is>
          <t>Array Division</t>
        </is>
      </c>
      <c r="H105" s="6" t="n">
        <v>1900</v>
      </c>
      <c r="I105" s="10" t="inlineStr">
        <is>
          <t>Hard+</t>
        </is>
      </c>
      <c r="J105" s="7" t="inlineStr">
        <is>
          <t>binary search, data structures, implementation</t>
        </is>
      </c>
      <c r="K105" s="6" t="n">
        <v>60</v>
      </c>
      <c r="L105" s="6" t="n">
        <v>55</v>
      </c>
      <c r="M105" s="8" t="inlineStr">
        <is>
          <t>https://codeforces.com/problemset/problem/808/D</t>
        </is>
      </c>
      <c r="N105" s="7" t="n"/>
    </row>
    <row r="106" ht="20.1" customHeight="1">
      <c r="A106" s="2" t="inlineStr">
        <is>
          <t>Unsolved</t>
        </is>
      </c>
      <c r="B106" s="3" t="inlineStr">
        <is>
          <t>Arrays</t>
        </is>
      </c>
      <c r="C106" s="3" t="inlineStr">
        <is>
          <t>Sorting Based Arrays</t>
        </is>
      </c>
      <c r="D106" s="2" t="inlineStr">
        <is>
          <t>812C</t>
        </is>
      </c>
      <c r="E106" s="2" t="n">
        <v>812</v>
      </c>
      <c r="F106" s="2" t="inlineStr">
        <is>
          <t>C</t>
        </is>
      </c>
      <c r="G106" s="3" t="inlineStr">
        <is>
          <t>Sagheer and Nubian Market</t>
        </is>
      </c>
      <c r="H106" s="2" t="n">
        <v>1500</v>
      </c>
      <c r="I106" s="9" t="inlineStr">
        <is>
          <t>Medium+</t>
        </is>
      </c>
      <c r="J106" s="3" t="inlineStr">
        <is>
          <t>binary search, sortings</t>
        </is>
      </c>
      <c r="K106" s="2" t="n">
        <v>40</v>
      </c>
      <c r="L106" s="2" t="n">
        <v>35</v>
      </c>
      <c r="M106" s="5" t="inlineStr">
        <is>
          <t>https://codeforces.com/problemset/problem/812/C</t>
        </is>
      </c>
      <c r="N106" s="3" t="n"/>
    </row>
    <row r="107" ht="20.1" customHeight="1">
      <c r="A107" s="6" t="inlineStr">
        <is>
          <t>Unsolved</t>
        </is>
      </c>
      <c r="B107" s="7" t="inlineStr">
        <is>
          <t>Arrays</t>
        </is>
      </c>
      <c r="C107" s="7" t="inlineStr">
        <is>
          <t>Sorting Based Arrays</t>
        </is>
      </c>
      <c r="D107" s="6" t="inlineStr">
        <is>
          <t>977C</t>
        </is>
      </c>
      <c r="E107" s="6" t="n">
        <v>977</v>
      </c>
      <c r="F107" s="6" t="inlineStr">
        <is>
          <t>C</t>
        </is>
      </c>
      <c r="G107" s="7" t="inlineStr">
        <is>
          <t>Less or Equal</t>
        </is>
      </c>
      <c r="H107" s="6" t="n">
        <v>1200</v>
      </c>
      <c r="I107" s="4" t="inlineStr">
        <is>
          <t>Easy+</t>
        </is>
      </c>
      <c r="J107" s="7" t="inlineStr">
        <is>
          <t>sortings</t>
        </is>
      </c>
      <c r="K107" s="6" t="n">
        <v>25</v>
      </c>
      <c r="L107" s="6" t="n">
        <v>20</v>
      </c>
      <c r="M107" s="8" t="inlineStr">
        <is>
          <t>https://codeforces.com/problemset/problem/977/C</t>
        </is>
      </c>
      <c r="N107" s="7" t="n"/>
    </row>
    <row r="108" ht="20.1" customHeight="1">
      <c r="A108" s="2" t="inlineStr">
        <is>
          <t>Unsolved</t>
        </is>
      </c>
      <c r="B108" s="3" t="inlineStr">
        <is>
          <t>Arrays</t>
        </is>
      </c>
      <c r="C108" s="3" t="inlineStr">
        <is>
          <t>Sorting Based Arrays</t>
        </is>
      </c>
      <c r="D108" s="2" t="inlineStr">
        <is>
          <t>978C</t>
        </is>
      </c>
      <c r="E108" s="2" t="n">
        <v>978</v>
      </c>
      <c r="F108" s="2" t="inlineStr">
        <is>
          <t>C</t>
        </is>
      </c>
      <c r="G108" s="3" t="inlineStr">
        <is>
          <t>Letters</t>
        </is>
      </c>
      <c r="H108" s="2" t="n">
        <v>1000</v>
      </c>
      <c r="I108" s="4" t="inlineStr">
        <is>
          <t>Easy+</t>
        </is>
      </c>
      <c r="J108" s="3" t="inlineStr">
        <is>
          <t>binary search, implementation, two pointers</t>
        </is>
      </c>
      <c r="K108" s="2" t="n">
        <v>15</v>
      </c>
      <c r="L108" s="2" t="n">
        <v>10</v>
      </c>
      <c r="M108" s="5" t="inlineStr">
        <is>
          <t>https://codeforces.com/problemset/problem/978/C</t>
        </is>
      </c>
      <c r="N108" s="3" t="n"/>
    </row>
    <row r="109" ht="20.1" customHeight="1">
      <c r="A109" s="6" t="inlineStr">
        <is>
          <t>Unsolved</t>
        </is>
      </c>
      <c r="B109" s="7" t="inlineStr">
        <is>
          <t>Arrays</t>
        </is>
      </c>
      <c r="C109" s="7" t="inlineStr">
        <is>
          <t>Sorting Based Arrays</t>
        </is>
      </c>
      <c r="D109" s="6" t="inlineStr">
        <is>
          <t>1006C</t>
        </is>
      </c>
      <c r="E109" s="6" t="n">
        <v>1006</v>
      </c>
      <c r="F109" s="6" t="inlineStr">
        <is>
          <t>C</t>
        </is>
      </c>
      <c r="G109" s="7" t="inlineStr">
        <is>
          <t>Three Parts of the Array</t>
        </is>
      </c>
      <c r="H109" s="6" t="n">
        <v>1200</v>
      </c>
      <c r="I109" s="4" t="inlineStr">
        <is>
          <t>Easy+</t>
        </is>
      </c>
      <c r="J109" s="7" t="inlineStr">
        <is>
          <t>binary search, data structures, two pointers</t>
        </is>
      </c>
      <c r="K109" s="6" t="n">
        <v>25</v>
      </c>
      <c r="L109" s="6" t="n">
        <v>20</v>
      </c>
      <c r="M109" s="8" t="inlineStr">
        <is>
          <t>https://codeforces.com/problemset/problem/1006/C</t>
        </is>
      </c>
      <c r="N109" s="7" t="n"/>
    </row>
    <row r="110" ht="20.1" customHeight="1">
      <c r="A110" s="2" t="inlineStr">
        <is>
          <t>Unsolved</t>
        </is>
      </c>
      <c r="B110" s="3" t="inlineStr">
        <is>
          <t>Arrays</t>
        </is>
      </c>
      <c r="C110" s="3" t="inlineStr">
        <is>
          <t>Sorting Based Arrays</t>
        </is>
      </c>
      <c r="D110" s="2" t="inlineStr">
        <is>
          <t>1029B</t>
        </is>
      </c>
      <c r="E110" s="2" t="n">
        <v>1029</v>
      </c>
      <c r="F110" s="2" t="inlineStr">
        <is>
          <t>B</t>
        </is>
      </c>
      <c r="G110" s="3" t="inlineStr">
        <is>
          <t>Creating the Contest</t>
        </is>
      </c>
      <c r="H110" s="2" t="n">
        <v>1200</v>
      </c>
      <c r="I110" s="4" t="inlineStr">
        <is>
          <t>Easy+</t>
        </is>
      </c>
      <c r="J110" s="3" t="inlineStr">
        <is>
          <t>dp, greedy, math</t>
        </is>
      </c>
      <c r="K110" s="2" t="n">
        <v>25</v>
      </c>
      <c r="L110" s="2" t="n">
        <v>20</v>
      </c>
      <c r="M110" s="5" t="inlineStr">
        <is>
          <t>https://codeforces.com/problemset/problem/1029/B</t>
        </is>
      </c>
      <c r="N110" s="3" t="n"/>
    </row>
    <row r="111" ht="20.1" customHeight="1">
      <c r="A111" s="6" t="inlineStr">
        <is>
          <t>Unsolved</t>
        </is>
      </c>
      <c r="B111" s="7" t="inlineStr">
        <is>
          <t>Arrays</t>
        </is>
      </c>
      <c r="C111" s="7" t="inlineStr">
        <is>
          <t>Sorting Based Arrays</t>
        </is>
      </c>
      <c r="D111" s="6" t="inlineStr">
        <is>
          <t>1201C</t>
        </is>
      </c>
      <c r="E111" s="6" t="n">
        <v>1201</v>
      </c>
      <c r="F111" s="6" t="inlineStr">
        <is>
          <t>C</t>
        </is>
      </c>
      <c r="G111" s="7" t="inlineStr">
        <is>
          <t>Maximum Median</t>
        </is>
      </c>
      <c r="H111" s="6" t="n">
        <v>1400</v>
      </c>
      <c r="I111" s="9" t="inlineStr">
        <is>
          <t>Medium</t>
        </is>
      </c>
      <c r="J111" s="7" t="inlineStr">
        <is>
          <t>binary search, greedy, math, sortings</t>
        </is>
      </c>
      <c r="K111" s="6" t="n">
        <v>40</v>
      </c>
      <c r="L111" s="6" t="n">
        <v>35</v>
      </c>
      <c r="M111" s="8" t="inlineStr">
        <is>
          <t>https://codeforces.com/problemset/problem/1201/C</t>
        </is>
      </c>
      <c r="N111" s="7" t="n"/>
    </row>
    <row r="112" ht="20.1" customHeight="1">
      <c r="A112" s="2" t="inlineStr">
        <is>
          <t>Unsolved</t>
        </is>
      </c>
      <c r="B112" s="3" t="inlineStr">
        <is>
          <t>Arrays</t>
        </is>
      </c>
      <c r="C112" s="3" t="inlineStr">
        <is>
          <t>Sorting Based Arrays</t>
        </is>
      </c>
      <c r="D112" s="2" t="inlineStr">
        <is>
          <t>1294C</t>
        </is>
      </c>
      <c r="E112" s="2" t="n">
        <v>1294</v>
      </c>
      <c r="F112" s="2" t="inlineStr">
        <is>
          <t>C</t>
        </is>
      </c>
      <c r="G112" s="3" t="inlineStr">
        <is>
          <t>Product of Three Numbers</t>
        </is>
      </c>
      <c r="H112" s="2" t="n">
        <v>1300</v>
      </c>
      <c r="I112" s="9" t="inlineStr">
        <is>
          <t>Medium</t>
        </is>
      </c>
      <c r="J112" s="3" t="inlineStr">
        <is>
          <t>greedy, math, number theory</t>
        </is>
      </c>
      <c r="K112" s="2" t="n">
        <v>25</v>
      </c>
      <c r="L112" s="2" t="n">
        <v>20</v>
      </c>
      <c r="M112" s="5" t="inlineStr">
        <is>
          <t>https://codeforces.com/problemset/problem/1294/C</t>
        </is>
      </c>
      <c r="N112" s="3" t="n"/>
    </row>
    <row r="113" ht="20.1" customHeight="1">
      <c r="A113" s="6" t="inlineStr">
        <is>
          <t>Unsolved</t>
        </is>
      </c>
      <c r="B113" s="7" t="inlineStr">
        <is>
          <t>Arrays</t>
        </is>
      </c>
      <c r="C113" s="7" t="inlineStr">
        <is>
          <t>Sorting Based Arrays</t>
        </is>
      </c>
      <c r="D113" s="6" t="inlineStr">
        <is>
          <t>1333C</t>
        </is>
      </c>
      <c r="E113" s="6" t="n">
        <v>1333</v>
      </c>
      <c r="F113" s="6" t="inlineStr">
        <is>
          <t>C</t>
        </is>
      </c>
      <c r="G113" s="7" t="inlineStr">
        <is>
          <t>Eugene and an array</t>
        </is>
      </c>
      <c r="H113" s="6" t="n">
        <v>1700</v>
      </c>
      <c r="I113" s="10" t="inlineStr">
        <is>
          <t>Hard</t>
        </is>
      </c>
      <c r="J113" s="7" t="inlineStr">
        <is>
          <t>binary search, data structures, implementation, two pointers</t>
        </is>
      </c>
      <c r="K113" s="6" t="n">
        <v>60</v>
      </c>
      <c r="L113" s="6" t="n">
        <v>55</v>
      </c>
      <c r="M113" s="8" t="inlineStr">
        <is>
          <t>https://codeforces.com/problemset/problem/1333/C</t>
        </is>
      </c>
      <c r="N113" s="7" t="n"/>
    </row>
    <row r="114" ht="20.1" customHeight="1">
      <c r="A114" s="2" t="inlineStr">
        <is>
          <t>Unsolved</t>
        </is>
      </c>
      <c r="B114" s="3" t="inlineStr">
        <is>
          <t>Arrays</t>
        </is>
      </c>
      <c r="C114" s="3" t="inlineStr">
        <is>
          <t>Sorting Based Arrays</t>
        </is>
      </c>
      <c r="D114" s="2" t="inlineStr">
        <is>
          <t>1358B</t>
        </is>
      </c>
      <c r="E114" s="2" t="n">
        <v>1358</v>
      </c>
      <c r="F114" s="2" t="inlineStr">
        <is>
          <t>B</t>
        </is>
      </c>
      <c r="G114" s="3" t="inlineStr">
        <is>
          <t>Maria Breaks the Self-isolation</t>
        </is>
      </c>
      <c r="H114" s="2" t="n">
        <v>1000</v>
      </c>
      <c r="I114" s="4" t="inlineStr">
        <is>
          <t>Easy+</t>
        </is>
      </c>
      <c r="J114" s="3" t="inlineStr">
        <is>
          <t>greedy, sortings</t>
        </is>
      </c>
      <c r="K114" s="2" t="n">
        <v>15</v>
      </c>
      <c r="L114" s="2" t="n">
        <v>10</v>
      </c>
      <c r="M114" s="5" t="inlineStr">
        <is>
          <t>https://codeforces.com/problemset/problem/1358/B</t>
        </is>
      </c>
      <c r="N114" s="3" t="n"/>
    </row>
    <row r="115" ht="20.1" customHeight="1">
      <c r="A115" s="6" t="inlineStr">
        <is>
          <t>Unsolved</t>
        </is>
      </c>
      <c r="B115" s="7" t="inlineStr">
        <is>
          <t>Arrays</t>
        </is>
      </c>
      <c r="C115" s="7" t="inlineStr">
        <is>
          <t>Sorting Based Arrays</t>
        </is>
      </c>
      <c r="D115" s="6" t="inlineStr">
        <is>
          <t>1400D</t>
        </is>
      </c>
      <c r="E115" s="6" t="n">
        <v>1400</v>
      </c>
      <c r="F115" s="6" t="inlineStr">
        <is>
          <t>D</t>
        </is>
      </c>
      <c r="G115" s="7" t="inlineStr">
        <is>
          <t>Zigzags</t>
        </is>
      </c>
      <c r="H115" s="6" t="n">
        <v>1900</v>
      </c>
      <c r="I115" s="10" t="inlineStr">
        <is>
          <t>Hard+</t>
        </is>
      </c>
      <c r="J115" s="7" t="inlineStr">
        <is>
          <t>brute force, combinatorics, data structures, math, two pointers</t>
        </is>
      </c>
      <c r="K115" s="6" t="n">
        <v>60</v>
      </c>
      <c r="L115" s="6" t="n">
        <v>55</v>
      </c>
      <c r="M115" s="8" t="inlineStr">
        <is>
          <t>https://codeforces.com/problemset/problem/1400/D</t>
        </is>
      </c>
      <c r="N115" s="7" t="n"/>
    </row>
    <row r="116" ht="20.1" customHeight="1">
      <c r="A116" s="2" t="inlineStr">
        <is>
          <t>Unsolved</t>
        </is>
      </c>
      <c r="B116" s="3" t="inlineStr">
        <is>
          <t>Arrays</t>
        </is>
      </c>
      <c r="C116" s="3" t="inlineStr">
        <is>
          <t>Sorting Based Arrays</t>
        </is>
      </c>
      <c r="D116" s="2" t="inlineStr">
        <is>
          <t>1498B</t>
        </is>
      </c>
      <c r="E116" s="2" t="n">
        <v>1498</v>
      </c>
      <c r="F116" s="2" t="inlineStr">
        <is>
          <t>B</t>
        </is>
      </c>
      <c r="G116" s="3" t="inlineStr">
        <is>
          <t>Box Fitting</t>
        </is>
      </c>
      <c r="H116" s="2" t="n">
        <v>1300</v>
      </c>
      <c r="I116" s="9" t="inlineStr">
        <is>
          <t>Medium</t>
        </is>
      </c>
      <c r="J116" s="3" t="inlineStr">
        <is>
          <t>binary search, bitmasks, data structures, greedy</t>
        </is>
      </c>
      <c r="K116" s="2" t="n">
        <v>25</v>
      </c>
      <c r="L116" s="2" t="n">
        <v>20</v>
      </c>
      <c r="M116" s="5" t="inlineStr">
        <is>
          <t>https://codeforces.com/problemset/problem/1498/B</t>
        </is>
      </c>
      <c r="N116" s="3" t="n"/>
    </row>
    <row r="117" ht="20.1" customHeight="1">
      <c r="A117" s="6" t="inlineStr">
        <is>
          <t>Unsolved</t>
        </is>
      </c>
      <c r="B117" s="7" t="inlineStr">
        <is>
          <t>Arrays</t>
        </is>
      </c>
      <c r="C117" s="7" t="inlineStr">
        <is>
          <t>Sorting Based Arrays</t>
        </is>
      </c>
      <c r="D117" s="6" t="inlineStr">
        <is>
          <t>1519C</t>
        </is>
      </c>
      <c r="E117" s="6" t="n">
        <v>1519</v>
      </c>
      <c r="F117" s="6" t="inlineStr">
        <is>
          <t>C</t>
        </is>
      </c>
      <c r="G117" s="7" t="inlineStr">
        <is>
          <t>Berland Regional</t>
        </is>
      </c>
      <c r="H117" s="6" t="n">
        <v>1400</v>
      </c>
      <c r="I117" s="9" t="inlineStr">
        <is>
          <t>Medium</t>
        </is>
      </c>
      <c r="J117" s="7" t="inlineStr">
        <is>
          <t>brute force, data structures, greedy, number theory, sortings</t>
        </is>
      </c>
      <c r="K117" s="6" t="n">
        <v>40</v>
      </c>
      <c r="L117" s="6" t="n">
        <v>35</v>
      </c>
      <c r="M117" s="8" t="inlineStr">
        <is>
          <t>https://codeforces.com/problemset/problem/1519/C</t>
        </is>
      </c>
      <c r="N117" s="7" t="n"/>
    </row>
    <row r="118" ht="20.1" customHeight="1">
      <c r="A118" s="2" t="inlineStr">
        <is>
          <t>Unsolved</t>
        </is>
      </c>
      <c r="B118" s="3" t="inlineStr">
        <is>
          <t>Arrays</t>
        </is>
      </c>
      <c r="C118" s="3" t="inlineStr">
        <is>
          <t>Sorting Based Arrays</t>
        </is>
      </c>
      <c r="D118" s="2" t="inlineStr">
        <is>
          <t>1538C</t>
        </is>
      </c>
      <c r="E118" s="2" t="n">
        <v>1538</v>
      </c>
      <c r="F118" s="2" t="inlineStr">
        <is>
          <t>C</t>
        </is>
      </c>
      <c r="G118" s="3" t="inlineStr">
        <is>
          <t>Number of Pairs</t>
        </is>
      </c>
      <c r="H118" s="2" t="n">
        <v>1300</v>
      </c>
      <c r="I118" s="9" t="inlineStr">
        <is>
          <t>Medium</t>
        </is>
      </c>
      <c r="J118" s="3" t="inlineStr">
        <is>
          <t>binary search, data structures, math, two pointers</t>
        </is>
      </c>
      <c r="K118" s="2" t="n">
        <v>25</v>
      </c>
      <c r="L118" s="2" t="n">
        <v>20</v>
      </c>
      <c r="M118" s="5" t="inlineStr">
        <is>
          <t>https://codeforces.com/problemset/problem/1538/C</t>
        </is>
      </c>
      <c r="N118" s="3" t="n"/>
    </row>
    <row r="119" ht="20.1" customHeight="1">
      <c r="A119" s="6" t="inlineStr">
        <is>
          <t>Unsolved</t>
        </is>
      </c>
      <c r="B119" s="7" t="inlineStr">
        <is>
          <t>Arrays</t>
        </is>
      </c>
      <c r="C119" s="7" t="inlineStr">
        <is>
          <t>Sorting Based Arrays</t>
        </is>
      </c>
      <c r="D119" s="6" t="inlineStr">
        <is>
          <t>1552C</t>
        </is>
      </c>
      <c r="E119" s="6" t="n">
        <v>1552</v>
      </c>
      <c r="F119" s="6" t="inlineStr">
        <is>
          <t>C</t>
        </is>
      </c>
      <c r="G119" s="7" t="inlineStr">
        <is>
          <t>Maximize the Intersections</t>
        </is>
      </c>
      <c r="H119" s="6" t="n">
        <v>1800</v>
      </c>
      <c r="I119" s="10" t="inlineStr">
        <is>
          <t>Hard</t>
        </is>
      </c>
      <c r="J119" s="7" t="inlineStr">
        <is>
          <t>combinatorics, constructive algorithms, geometry, greedy, sortings</t>
        </is>
      </c>
      <c r="K119" s="6" t="n">
        <v>60</v>
      </c>
      <c r="L119" s="6" t="n">
        <v>55</v>
      </c>
      <c r="M119" s="8" t="inlineStr">
        <is>
          <t>https://codeforces.com/problemset/problem/1552/C</t>
        </is>
      </c>
      <c r="N119" s="7" t="n"/>
    </row>
    <row r="120" ht="20.1" customHeight="1">
      <c r="A120" s="2" t="inlineStr">
        <is>
          <t>Unsolved</t>
        </is>
      </c>
      <c r="B120" s="3" t="inlineStr">
        <is>
          <t>Arrays</t>
        </is>
      </c>
      <c r="C120" s="3" t="inlineStr">
        <is>
          <t>Sorting Based Arrays</t>
        </is>
      </c>
      <c r="D120" s="2" t="inlineStr">
        <is>
          <t>1611C</t>
        </is>
      </c>
      <c r="E120" s="2" t="n">
        <v>1611</v>
      </c>
      <c r="F120" s="2" t="inlineStr">
        <is>
          <t>C</t>
        </is>
      </c>
      <c r="G120" s="3" t="inlineStr">
        <is>
          <t>Polycarp Recovers the Permutation</t>
        </is>
      </c>
      <c r="H120" s="2" t="n">
        <v>1000</v>
      </c>
      <c r="I120" s="4" t="inlineStr">
        <is>
          <t>Easy+</t>
        </is>
      </c>
      <c r="J120" s="3" t="inlineStr">
        <is>
          <t>constructive algorithms</t>
        </is>
      </c>
      <c r="K120" s="2" t="n">
        <v>15</v>
      </c>
      <c r="L120" s="2" t="n">
        <v>10</v>
      </c>
      <c r="M120" s="5" t="inlineStr">
        <is>
          <t>https://codeforces.com/problemset/problem/1611/C</t>
        </is>
      </c>
      <c r="N120" s="3" t="n"/>
    </row>
    <row r="121" ht="20.1" customHeight="1">
      <c r="A121" s="6" t="inlineStr">
        <is>
          <t>Unsolved</t>
        </is>
      </c>
      <c r="B121" s="7" t="inlineStr">
        <is>
          <t>Arrays</t>
        </is>
      </c>
      <c r="C121" s="7" t="inlineStr">
        <is>
          <t>Sorting Based Arrays</t>
        </is>
      </c>
      <c r="D121" s="6" t="inlineStr">
        <is>
          <t>1670B</t>
        </is>
      </c>
      <c r="E121" s="6" t="n">
        <v>1670</v>
      </c>
      <c r="F121" s="6" t="inlineStr">
        <is>
          <t>B</t>
        </is>
      </c>
      <c r="G121" s="7" t="inlineStr">
        <is>
          <t>Dorms War</t>
        </is>
      </c>
      <c r="H121" s="6" t="n">
        <v>1100</v>
      </c>
      <c r="I121" s="4" t="inlineStr">
        <is>
          <t>Easy+</t>
        </is>
      </c>
      <c r="J121" s="7" t="inlineStr">
        <is>
          <t>brute force, implementation, strings</t>
        </is>
      </c>
      <c r="K121" s="6" t="n">
        <v>25</v>
      </c>
      <c r="L121" s="6" t="n">
        <v>20</v>
      </c>
      <c r="M121" s="8" t="inlineStr">
        <is>
          <t>https://codeforces.com/problemset/problem/1670/B</t>
        </is>
      </c>
      <c r="N121" s="7" t="n"/>
    </row>
    <row r="122" ht="20.1" customHeight="1">
      <c r="A122" s="2" t="inlineStr">
        <is>
          <t>Unsolved</t>
        </is>
      </c>
      <c r="B122" s="3" t="inlineStr">
        <is>
          <t>Arrays</t>
        </is>
      </c>
      <c r="C122" s="3" t="inlineStr">
        <is>
          <t>Coordinate Compression</t>
        </is>
      </c>
      <c r="D122" s="2" t="inlineStr">
        <is>
          <t>987C</t>
        </is>
      </c>
      <c r="E122" s="2" t="n">
        <v>987</v>
      </c>
      <c r="F122" s="2" t="inlineStr">
        <is>
          <t>C</t>
        </is>
      </c>
      <c r="G122" s="3" t="inlineStr">
        <is>
          <t>Three displays</t>
        </is>
      </c>
      <c r="H122" s="2" t="n">
        <v>1400</v>
      </c>
      <c r="I122" s="9" t="inlineStr">
        <is>
          <t>Medium</t>
        </is>
      </c>
      <c r="J122" s="3" t="inlineStr">
        <is>
          <t>brute force, dp, implementation</t>
        </is>
      </c>
      <c r="K122" s="2" t="n">
        <v>40</v>
      </c>
      <c r="L122" s="2" t="n">
        <v>35</v>
      </c>
      <c r="M122" s="5" t="inlineStr">
        <is>
          <t>https://codeforces.com/problemset/problem/987/C</t>
        </is>
      </c>
      <c r="N122" s="3" t="n"/>
    </row>
    <row r="123" ht="20.1" customHeight="1">
      <c r="A123" s="6" t="inlineStr">
        <is>
          <t>Unsolved</t>
        </is>
      </c>
      <c r="B123" s="7" t="inlineStr">
        <is>
          <t>Arrays</t>
        </is>
      </c>
      <c r="C123" s="7" t="inlineStr">
        <is>
          <t>Coordinate Compression</t>
        </is>
      </c>
      <c r="D123" s="6" t="inlineStr">
        <is>
          <t>1000C</t>
        </is>
      </c>
      <c r="E123" s="6" t="n">
        <v>1000</v>
      </c>
      <c r="F123" s="6" t="inlineStr">
        <is>
          <t>C</t>
        </is>
      </c>
      <c r="G123" s="7" t="inlineStr">
        <is>
          <t>Covered Points Count</t>
        </is>
      </c>
      <c r="H123" s="6" t="n">
        <v>1700</v>
      </c>
      <c r="I123" s="10" t="inlineStr">
        <is>
          <t>Hard</t>
        </is>
      </c>
      <c r="J123" s="7" t="inlineStr">
        <is>
          <t>data structures, implementation, sortings</t>
        </is>
      </c>
      <c r="K123" s="6" t="n">
        <v>60</v>
      </c>
      <c r="L123" s="6" t="n">
        <v>55</v>
      </c>
      <c r="M123" s="8" t="inlineStr">
        <is>
          <t>https://codeforces.com/problemset/problem/1000/C</t>
        </is>
      </c>
      <c r="N123" s="7" t="n"/>
    </row>
    <row r="124" ht="20.1" customHeight="1">
      <c r="A124" s="2" t="inlineStr">
        <is>
          <t>Unsolved</t>
        </is>
      </c>
      <c r="B124" s="3" t="inlineStr">
        <is>
          <t>Arrays</t>
        </is>
      </c>
      <c r="C124" s="3" t="inlineStr">
        <is>
          <t>Coordinate Compression</t>
        </is>
      </c>
      <c r="D124" s="2" t="inlineStr">
        <is>
          <t>1042D</t>
        </is>
      </c>
      <c r="E124" s="2" t="n">
        <v>1042</v>
      </c>
      <c r="F124" s="2" t="inlineStr">
        <is>
          <t>D</t>
        </is>
      </c>
      <c r="G124" s="3" t="inlineStr">
        <is>
          <t>Petya and Array</t>
        </is>
      </c>
      <c r="H124" s="2" t="n">
        <v>1800</v>
      </c>
      <c r="I124" s="10" t="inlineStr">
        <is>
          <t>Hard</t>
        </is>
      </c>
      <c r="J124" s="3" t="inlineStr">
        <is>
          <t>data structures, divide and conquer, two pointers</t>
        </is>
      </c>
      <c r="K124" s="2" t="n">
        <v>60</v>
      </c>
      <c r="L124" s="2" t="n">
        <v>55</v>
      </c>
      <c r="M124" s="5" t="inlineStr">
        <is>
          <t>https://codeforces.com/problemset/problem/1042/D</t>
        </is>
      </c>
      <c r="N124" s="3" t="n"/>
    </row>
    <row r="125" ht="20.1" customHeight="1">
      <c r="A125" s="6" t="inlineStr">
        <is>
          <t>Unsolved</t>
        </is>
      </c>
      <c r="B125" s="7" t="inlineStr">
        <is>
          <t>Arrays</t>
        </is>
      </c>
      <c r="C125" s="7" t="inlineStr">
        <is>
          <t>Coordinate Compression</t>
        </is>
      </c>
      <c r="D125" s="6" t="inlineStr">
        <is>
          <t>1131C</t>
        </is>
      </c>
      <c r="E125" s="6" t="n">
        <v>1131</v>
      </c>
      <c r="F125" s="6" t="inlineStr">
        <is>
          <t>C</t>
        </is>
      </c>
      <c r="G125" s="7" t="inlineStr">
        <is>
          <t>Birthday</t>
        </is>
      </c>
      <c r="H125" s="6" t="n">
        <v>1200</v>
      </c>
      <c r="I125" s="4" t="inlineStr">
        <is>
          <t>Easy+</t>
        </is>
      </c>
      <c r="J125" s="7" t="inlineStr">
        <is>
          <t>binary search, greedy, sortings</t>
        </is>
      </c>
      <c r="K125" s="6" t="n">
        <v>25</v>
      </c>
      <c r="L125" s="6" t="n">
        <v>20</v>
      </c>
      <c r="M125" s="8" t="inlineStr">
        <is>
          <t>https://codeforces.com/problemset/problem/1131/C</t>
        </is>
      </c>
      <c r="N125" s="7" t="n"/>
    </row>
    <row r="126" ht="20.1" customHeight="1">
      <c r="A126" s="2" t="inlineStr">
        <is>
          <t>Unsolved</t>
        </is>
      </c>
      <c r="B126" s="3" t="inlineStr">
        <is>
          <t>Arrays</t>
        </is>
      </c>
      <c r="C126" s="3" t="inlineStr">
        <is>
          <t>Coordinate Compression</t>
        </is>
      </c>
      <c r="D126" s="2" t="inlineStr">
        <is>
          <t>1181C</t>
        </is>
      </c>
      <c r="E126" s="2" t="n">
        <v>1181</v>
      </c>
      <c r="F126" s="2" t="inlineStr">
        <is>
          <t>C</t>
        </is>
      </c>
      <c r="G126" s="3" t="inlineStr">
        <is>
          <t>Flag</t>
        </is>
      </c>
      <c r="H126" s="2" t="n">
        <v>1900</v>
      </c>
      <c r="I126" s="10" t="inlineStr">
        <is>
          <t>Hard+</t>
        </is>
      </c>
      <c r="J126" s="3" t="inlineStr">
        <is>
          <t>brute force, combinatorics, dp, implementation</t>
        </is>
      </c>
      <c r="K126" s="2" t="n">
        <v>60</v>
      </c>
      <c r="L126" s="2" t="n">
        <v>55</v>
      </c>
      <c r="M126" s="5" t="inlineStr">
        <is>
          <t>https://codeforces.com/problemset/problem/1181/C</t>
        </is>
      </c>
      <c r="N126" s="3" t="n"/>
    </row>
    <row r="127" ht="20.1" customHeight="1">
      <c r="A127" s="6" t="inlineStr">
        <is>
          <t>Unsolved</t>
        </is>
      </c>
      <c r="B127" s="7" t="inlineStr">
        <is>
          <t>Arrays</t>
        </is>
      </c>
      <c r="C127" s="7" t="inlineStr">
        <is>
          <t>Coordinate Compression</t>
        </is>
      </c>
      <c r="D127" s="6" t="inlineStr">
        <is>
          <t>1208B</t>
        </is>
      </c>
      <c r="E127" s="6" t="n">
        <v>1208</v>
      </c>
      <c r="F127" s="6" t="inlineStr">
        <is>
          <t>B</t>
        </is>
      </c>
      <c r="G127" s="7" t="inlineStr">
        <is>
          <t>Uniqueness</t>
        </is>
      </c>
      <c r="H127" s="6" t="n">
        <v>1500</v>
      </c>
      <c r="I127" s="9" t="inlineStr">
        <is>
          <t>Medium+</t>
        </is>
      </c>
      <c r="J127" s="7" t="inlineStr">
        <is>
          <t>binary search, brute force, implementation, two pointers</t>
        </is>
      </c>
      <c r="K127" s="6" t="n">
        <v>40</v>
      </c>
      <c r="L127" s="6" t="n">
        <v>35</v>
      </c>
      <c r="M127" s="8" t="inlineStr">
        <is>
          <t>https://codeforces.com/problemset/problem/1208/B</t>
        </is>
      </c>
      <c r="N127" s="7" t="n"/>
    </row>
    <row r="128" ht="20.1" customHeight="1">
      <c r="A128" s="2" t="inlineStr">
        <is>
          <t>Unsolved</t>
        </is>
      </c>
      <c r="B128" s="3" t="inlineStr">
        <is>
          <t>Arrays</t>
        </is>
      </c>
      <c r="C128" s="3" t="inlineStr">
        <is>
          <t>Coordinate Compression</t>
        </is>
      </c>
      <c r="D128" s="2" t="inlineStr">
        <is>
          <t>1230C</t>
        </is>
      </c>
      <c r="E128" s="2" t="n">
        <v>1230</v>
      </c>
      <c r="F128" s="2" t="inlineStr">
        <is>
          <t>C</t>
        </is>
      </c>
      <c r="G128" s="3" t="inlineStr">
        <is>
          <t>UNKNOWN</t>
        </is>
      </c>
      <c r="H128" s="2" t="inlineStr">
        <is>
          <t>UNKNOWN</t>
        </is>
      </c>
      <c r="I128" s="11" t="inlineStr">
        <is>
          <t>UNKNOWN</t>
        </is>
      </c>
      <c r="J128" s="3" t="inlineStr">
        <is>
          <t>UNKNOWN</t>
        </is>
      </c>
      <c r="K128" s="2" t="n">
        <v>0</v>
      </c>
      <c r="L128" s="2" t="n">
        <v>0</v>
      </c>
      <c r="M128" s="5" t="inlineStr">
        <is>
          <t>https://codeforces.com/problemset/problem/1230/C</t>
        </is>
      </c>
      <c r="N128" s="3" t="n"/>
    </row>
    <row r="129" ht="20.1" customHeight="1">
      <c r="A129" s="6" t="inlineStr">
        <is>
          <t>Unsolved</t>
        </is>
      </c>
      <c r="B129" s="7" t="inlineStr">
        <is>
          <t>Arrays</t>
        </is>
      </c>
      <c r="C129" s="7" t="inlineStr">
        <is>
          <t>Coordinate Compression</t>
        </is>
      </c>
      <c r="D129" s="6" t="inlineStr">
        <is>
          <t>1324D</t>
        </is>
      </c>
      <c r="E129" s="6" t="n">
        <v>1324</v>
      </c>
      <c r="F129" s="6" t="inlineStr">
        <is>
          <t>D</t>
        </is>
      </c>
      <c r="G129" s="7" t="inlineStr">
        <is>
          <t>Pair of Topics</t>
        </is>
      </c>
      <c r="H129" s="6" t="n">
        <v>1400</v>
      </c>
      <c r="I129" s="9" t="inlineStr">
        <is>
          <t>Medium</t>
        </is>
      </c>
      <c r="J129" s="7" t="inlineStr">
        <is>
          <t>binary search, data structures, sortings, two pointers</t>
        </is>
      </c>
      <c r="K129" s="6" t="n">
        <v>40</v>
      </c>
      <c r="L129" s="6" t="n">
        <v>35</v>
      </c>
      <c r="M129" s="8" t="inlineStr">
        <is>
          <t>https://codeforces.com/problemset/problem/1324/D</t>
        </is>
      </c>
      <c r="N129" s="7" t="n"/>
    </row>
    <row r="130" ht="20.1" customHeight="1">
      <c r="A130" s="2" t="inlineStr">
        <is>
          <t>Unsolved</t>
        </is>
      </c>
      <c r="B130" s="3" t="inlineStr">
        <is>
          <t>Arrays</t>
        </is>
      </c>
      <c r="C130" s="3" t="inlineStr">
        <is>
          <t>Coordinate Compression</t>
        </is>
      </c>
      <c r="D130" s="2" t="inlineStr">
        <is>
          <t>1355C</t>
        </is>
      </c>
      <c r="E130" s="2" t="n">
        <v>1355</v>
      </c>
      <c r="F130" s="2" t="inlineStr">
        <is>
          <t>C</t>
        </is>
      </c>
      <c r="G130" s="3" t="inlineStr">
        <is>
          <t>Count Triangles</t>
        </is>
      </c>
      <c r="H130" s="2" t="n">
        <v>1800</v>
      </c>
      <c r="I130" s="10" t="inlineStr">
        <is>
          <t>Hard</t>
        </is>
      </c>
      <c r="J130" s="3" t="inlineStr">
        <is>
          <t>binary search, implementation, math, two pointers</t>
        </is>
      </c>
      <c r="K130" s="2" t="n">
        <v>60</v>
      </c>
      <c r="L130" s="2" t="n">
        <v>55</v>
      </c>
      <c r="M130" s="5" t="inlineStr">
        <is>
          <t>https://codeforces.com/problemset/problem/1355/C</t>
        </is>
      </c>
      <c r="N130" s="3" t="n"/>
    </row>
    <row r="131" ht="20.1" customHeight="1">
      <c r="A131" s="6" t="inlineStr">
        <is>
          <t>Unsolved</t>
        </is>
      </c>
      <c r="B131" s="7" t="inlineStr">
        <is>
          <t>Arrays</t>
        </is>
      </c>
      <c r="C131" s="7" t="inlineStr">
        <is>
          <t>Coordinate Compression</t>
        </is>
      </c>
      <c r="D131" s="6" t="inlineStr">
        <is>
          <t>1400C</t>
        </is>
      </c>
      <c r="E131" s="6" t="n">
        <v>1400</v>
      </c>
      <c r="F131" s="6" t="inlineStr">
        <is>
          <t>C</t>
        </is>
      </c>
      <c r="G131" s="7" t="inlineStr">
        <is>
          <t>Binary String Reconstruction</t>
        </is>
      </c>
      <c r="H131" s="6" t="n">
        <v>1500</v>
      </c>
      <c r="I131" s="9" t="inlineStr">
        <is>
          <t>Medium+</t>
        </is>
      </c>
      <c r="J131" s="7" t="inlineStr">
        <is>
          <t>2-sat, brute force, constructive algorithms, greedy</t>
        </is>
      </c>
      <c r="K131" s="6" t="n">
        <v>40</v>
      </c>
      <c r="L131" s="6" t="n">
        <v>35</v>
      </c>
      <c r="M131" s="8" t="inlineStr">
        <is>
          <t>https://codeforces.com/problemset/problem/1400/C</t>
        </is>
      </c>
      <c r="N131" s="7" t="n"/>
    </row>
    <row r="132" ht="20.1" customHeight="1">
      <c r="A132" s="2" t="inlineStr">
        <is>
          <t>Unsolved</t>
        </is>
      </c>
      <c r="B132" s="3" t="inlineStr">
        <is>
          <t>Arrays</t>
        </is>
      </c>
      <c r="C132" s="3" t="inlineStr">
        <is>
          <t>Coordinate Compression</t>
        </is>
      </c>
      <c r="D132" s="2" t="inlineStr">
        <is>
          <t>1473D</t>
        </is>
      </c>
      <c r="E132" s="2" t="n">
        <v>1473</v>
      </c>
      <c r="F132" s="2" t="inlineStr">
        <is>
          <t>D</t>
        </is>
      </c>
      <c r="G132" s="3" t="inlineStr">
        <is>
          <t>Program</t>
        </is>
      </c>
      <c r="H132" s="2" t="n">
        <v>1700</v>
      </c>
      <c r="I132" s="10" t="inlineStr">
        <is>
          <t>Hard</t>
        </is>
      </c>
      <c r="J132" s="3" t="inlineStr">
        <is>
          <t>data structures, dp, implementation, strings</t>
        </is>
      </c>
      <c r="K132" s="2" t="n">
        <v>60</v>
      </c>
      <c r="L132" s="2" t="n">
        <v>55</v>
      </c>
      <c r="M132" s="5" t="inlineStr">
        <is>
          <t>https://codeforces.com/problemset/problem/1473/D</t>
        </is>
      </c>
      <c r="N132" s="3" t="n"/>
    </row>
    <row r="133" ht="20.1" customHeight="1">
      <c r="A133" s="6" t="inlineStr">
        <is>
          <t>Unsolved</t>
        </is>
      </c>
      <c r="B133" s="7" t="inlineStr">
        <is>
          <t>Arrays</t>
        </is>
      </c>
      <c r="C133" s="7" t="inlineStr">
        <is>
          <t>Coordinate Compression</t>
        </is>
      </c>
      <c r="D133" s="6" t="inlineStr">
        <is>
          <t>1490D</t>
        </is>
      </c>
      <c r="E133" s="6" t="n">
        <v>1490</v>
      </c>
      <c r="F133" s="6" t="inlineStr">
        <is>
          <t>D</t>
        </is>
      </c>
      <c r="G133" s="7" t="inlineStr">
        <is>
          <t>Permutation Transformation</t>
        </is>
      </c>
      <c r="H133" s="6" t="n">
        <v>1200</v>
      </c>
      <c r="I133" s="4" t="inlineStr">
        <is>
          <t>Easy+</t>
        </is>
      </c>
      <c r="J133" s="7" t="inlineStr">
        <is>
          <t>dfs and similar, divide and conquer, implementation</t>
        </is>
      </c>
      <c r="K133" s="6" t="n">
        <v>25</v>
      </c>
      <c r="L133" s="6" t="n">
        <v>20</v>
      </c>
      <c r="M133" s="8" t="inlineStr">
        <is>
          <t>https://codeforces.com/problemset/problem/1490/D</t>
        </is>
      </c>
      <c r="N133" s="7" t="n"/>
    </row>
    <row r="134" ht="20.1" customHeight="1">
      <c r="A134" s="2" t="inlineStr">
        <is>
          <t>Unsolved</t>
        </is>
      </c>
      <c r="B134" s="3" t="inlineStr">
        <is>
          <t>Arrays</t>
        </is>
      </c>
      <c r="C134" s="3" t="inlineStr">
        <is>
          <t>Coordinate Compression</t>
        </is>
      </c>
      <c r="D134" s="2" t="inlineStr">
        <is>
          <t>1512D</t>
        </is>
      </c>
      <c r="E134" s="2" t="n">
        <v>1512</v>
      </c>
      <c r="F134" s="2" t="inlineStr">
        <is>
          <t>D</t>
        </is>
      </c>
      <c r="G134" s="3" t="inlineStr">
        <is>
          <t>Corrupted Array</t>
        </is>
      </c>
      <c r="H134" s="2" t="n">
        <v>1200</v>
      </c>
      <c r="I134" s="4" t="inlineStr">
        <is>
          <t>Easy+</t>
        </is>
      </c>
      <c r="J134" s="3" t="inlineStr">
        <is>
          <t>constructive algorithms, data structures, greedy</t>
        </is>
      </c>
      <c r="K134" s="2" t="n">
        <v>25</v>
      </c>
      <c r="L134" s="2" t="n">
        <v>20</v>
      </c>
      <c r="M134" s="5" t="inlineStr">
        <is>
          <t>https://codeforces.com/problemset/problem/1512/D</t>
        </is>
      </c>
      <c r="N134" s="3" t="n"/>
    </row>
    <row r="135" ht="20.1" customHeight="1">
      <c r="A135" s="6" t="inlineStr">
        <is>
          <t>Unsolved</t>
        </is>
      </c>
      <c r="B135" s="7" t="inlineStr">
        <is>
          <t>Arrays</t>
        </is>
      </c>
      <c r="C135" s="7" t="inlineStr">
        <is>
          <t>Coordinate Compression</t>
        </is>
      </c>
      <c r="D135" s="6" t="inlineStr">
        <is>
          <t>1547C</t>
        </is>
      </c>
      <c r="E135" s="6" t="n">
        <v>1547</v>
      </c>
      <c r="F135" s="6" t="inlineStr">
        <is>
          <t>C</t>
        </is>
      </c>
      <c r="G135" s="7" t="inlineStr">
        <is>
          <t>Pair Programming</t>
        </is>
      </c>
      <c r="H135" s="6" t="n">
        <v>1100</v>
      </c>
      <c r="I135" s="4" t="inlineStr">
        <is>
          <t>Easy+</t>
        </is>
      </c>
      <c r="J135" s="7" t="inlineStr">
        <is>
          <t>greedy, two pointers</t>
        </is>
      </c>
      <c r="K135" s="6" t="n">
        <v>25</v>
      </c>
      <c r="L135" s="6" t="n">
        <v>20</v>
      </c>
      <c r="M135" s="8" t="inlineStr">
        <is>
          <t>https://codeforces.com/problemset/problem/1547/C</t>
        </is>
      </c>
      <c r="N135" s="7" t="n"/>
    </row>
    <row r="136" ht="20.1" customHeight="1">
      <c r="A136" s="2" t="inlineStr">
        <is>
          <t>Unsolved</t>
        </is>
      </c>
      <c r="B136" s="3" t="inlineStr">
        <is>
          <t>Arrays</t>
        </is>
      </c>
      <c r="C136" s="3" t="inlineStr">
        <is>
          <t>Coordinate Compression</t>
        </is>
      </c>
      <c r="D136" s="2" t="inlineStr">
        <is>
          <t>1567C</t>
        </is>
      </c>
      <c r="E136" s="2" t="n">
        <v>1567</v>
      </c>
      <c r="F136" s="2" t="inlineStr">
        <is>
          <t>C</t>
        </is>
      </c>
      <c r="G136" s="3" t="inlineStr">
        <is>
          <t>Carrying Conundrum</t>
        </is>
      </c>
      <c r="H136" s="2" t="n">
        <v>1600</v>
      </c>
      <c r="I136" s="9" t="inlineStr">
        <is>
          <t>Medium+</t>
        </is>
      </c>
      <c r="J136" s="3" t="inlineStr">
        <is>
          <t>bitmasks, combinatorics, dp, math</t>
        </is>
      </c>
      <c r="K136" s="2" t="n">
        <v>40</v>
      </c>
      <c r="L136" s="2" t="n">
        <v>35</v>
      </c>
      <c r="M136" s="5" t="inlineStr">
        <is>
          <t>https://codeforces.com/problemset/problem/1567/C</t>
        </is>
      </c>
      <c r="N136" s="3" t="n"/>
    </row>
    <row r="137" ht="20.1" customHeight="1">
      <c r="A137" s="6" t="inlineStr">
        <is>
          <t>Unsolved</t>
        </is>
      </c>
      <c r="B137" s="7" t="inlineStr">
        <is>
          <t>Arrays</t>
        </is>
      </c>
      <c r="C137" s="7" t="inlineStr">
        <is>
          <t>Constructive Arrays</t>
        </is>
      </c>
      <c r="D137" s="6" t="inlineStr">
        <is>
          <t>1251C</t>
        </is>
      </c>
      <c r="E137" s="6" t="n">
        <v>1251</v>
      </c>
      <c r="F137" s="6" t="inlineStr">
        <is>
          <t>C</t>
        </is>
      </c>
      <c r="G137" s="7" t="inlineStr">
        <is>
          <t>Minimize The Integer</t>
        </is>
      </c>
      <c r="H137" s="6" t="n">
        <v>1600</v>
      </c>
      <c r="I137" s="9" t="inlineStr">
        <is>
          <t>Medium+</t>
        </is>
      </c>
      <c r="J137" s="7" t="inlineStr">
        <is>
          <t>greedy, two pointers</t>
        </is>
      </c>
      <c r="K137" s="6" t="n">
        <v>40</v>
      </c>
      <c r="L137" s="6" t="n">
        <v>35</v>
      </c>
      <c r="M137" s="8" t="inlineStr">
        <is>
          <t>https://codeforces.com/problemset/problem/1251/C</t>
        </is>
      </c>
      <c r="N137" s="7" t="n"/>
    </row>
    <row r="138" ht="20.1" customHeight="1">
      <c r="A138" s="2" t="inlineStr">
        <is>
          <t>Unsolved</t>
        </is>
      </c>
      <c r="B138" s="3" t="inlineStr">
        <is>
          <t>Arrays</t>
        </is>
      </c>
      <c r="C138" s="3" t="inlineStr">
        <is>
          <t>Constructive Arrays</t>
        </is>
      </c>
      <c r="D138" s="2" t="inlineStr">
        <is>
          <t>1288D</t>
        </is>
      </c>
      <c r="E138" s="2" t="n">
        <v>1288</v>
      </c>
      <c r="F138" s="2" t="inlineStr">
        <is>
          <t>D</t>
        </is>
      </c>
      <c r="G138" s="3" t="inlineStr">
        <is>
          <t>Minimax Problem</t>
        </is>
      </c>
      <c r="H138" s="2" t="n">
        <v>2000</v>
      </c>
      <c r="I138" s="10" t="inlineStr">
        <is>
          <t>Hard+</t>
        </is>
      </c>
      <c r="J138" s="3" t="inlineStr">
        <is>
          <t>binary search, bitmasks, dp</t>
        </is>
      </c>
      <c r="K138" s="2" t="n">
        <v>90</v>
      </c>
      <c r="L138" s="2" t="n">
        <v>80</v>
      </c>
      <c r="M138" s="5" t="inlineStr">
        <is>
          <t>https://codeforces.com/problemset/problem/1288/D</t>
        </is>
      </c>
      <c r="N138" s="3" t="n"/>
    </row>
    <row r="139" ht="20.1" customHeight="1">
      <c r="A139" s="6" t="inlineStr">
        <is>
          <t>Unsolved</t>
        </is>
      </c>
      <c r="B139" s="7" t="inlineStr">
        <is>
          <t>Arrays</t>
        </is>
      </c>
      <c r="C139" s="7" t="inlineStr">
        <is>
          <t>Constructive Arrays</t>
        </is>
      </c>
      <c r="D139" s="6" t="inlineStr">
        <is>
          <t>1370D</t>
        </is>
      </c>
      <c r="E139" s="6" t="n">
        <v>1370</v>
      </c>
      <c r="F139" s="6" t="inlineStr">
        <is>
          <t>D</t>
        </is>
      </c>
      <c r="G139" s="7" t="inlineStr">
        <is>
          <t>Odd-Even Subsequence</t>
        </is>
      </c>
      <c r="H139" s="6" t="n">
        <v>2000</v>
      </c>
      <c r="I139" s="10" t="inlineStr">
        <is>
          <t>Hard+</t>
        </is>
      </c>
      <c r="J139" s="7" t="inlineStr">
        <is>
          <t>binary search, dp, dsu, greedy, implementation</t>
        </is>
      </c>
      <c r="K139" s="6" t="n">
        <v>90</v>
      </c>
      <c r="L139" s="6" t="n">
        <v>80</v>
      </c>
      <c r="M139" s="8" t="inlineStr">
        <is>
          <t>https://codeforces.com/problemset/problem/1370/D</t>
        </is>
      </c>
      <c r="N139" s="7" t="n"/>
    </row>
    <row r="140" ht="20.1" customHeight="1">
      <c r="A140" s="2" t="inlineStr">
        <is>
          <t>Unsolved</t>
        </is>
      </c>
      <c r="B140" s="3" t="inlineStr">
        <is>
          <t>Arrays</t>
        </is>
      </c>
      <c r="C140" s="3" t="inlineStr">
        <is>
          <t>Constructive Arrays</t>
        </is>
      </c>
      <c r="D140" s="2" t="inlineStr">
        <is>
          <t>1407D</t>
        </is>
      </c>
      <c r="E140" s="2" t="n">
        <v>1407</v>
      </c>
      <c r="F140" s="2" t="inlineStr">
        <is>
          <t>D</t>
        </is>
      </c>
      <c r="G140" s="3" t="inlineStr">
        <is>
          <t>Discrete Centrifugal Jumps</t>
        </is>
      </c>
      <c r="H140" s="2" t="n">
        <v>2200</v>
      </c>
      <c r="I140" s="12" t="inlineStr">
        <is>
          <t>Expert</t>
        </is>
      </c>
      <c r="J140" s="3" t="inlineStr">
        <is>
          <t>data structures, dp, graphs</t>
        </is>
      </c>
      <c r="K140" s="2" t="n">
        <v>90</v>
      </c>
      <c r="L140" s="2" t="n">
        <v>80</v>
      </c>
      <c r="M140" s="5" t="inlineStr">
        <is>
          <t>https://codeforces.com/problemset/problem/1407/D</t>
        </is>
      </c>
      <c r="N140" s="3" t="n"/>
    </row>
    <row r="141" ht="20.1" customHeight="1">
      <c r="A141" s="6" t="inlineStr">
        <is>
          <t>Unsolved</t>
        </is>
      </c>
      <c r="B141" s="7" t="inlineStr">
        <is>
          <t>Arrays</t>
        </is>
      </c>
      <c r="C141" s="7" t="inlineStr">
        <is>
          <t>Constructive Arrays</t>
        </is>
      </c>
      <c r="D141" s="6" t="inlineStr">
        <is>
          <t>1486D</t>
        </is>
      </c>
      <c r="E141" s="6" t="n">
        <v>1486</v>
      </c>
      <c r="F141" s="6" t="inlineStr">
        <is>
          <t>D</t>
        </is>
      </c>
      <c r="G141" s="7" t="inlineStr">
        <is>
          <t>Max Median</t>
        </is>
      </c>
      <c r="H141" s="6" t="n">
        <v>2100</v>
      </c>
      <c r="I141" s="12" t="inlineStr">
        <is>
          <t>Expert</t>
        </is>
      </c>
      <c r="J141" s="7" t="inlineStr">
        <is>
          <t>binary search, data structures, dp</t>
        </is>
      </c>
      <c r="K141" s="6" t="n">
        <v>90</v>
      </c>
      <c r="L141" s="6" t="n">
        <v>80</v>
      </c>
      <c r="M141" s="8" t="inlineStr">
        <is>
          <t>https://codeforces.com/problemset/problem/1486/D</t>
        </is>
      </c>
      <c r="N141" s="7" t="n"/>
    </row>
    <row r="142" ht="20.1" customHeight="1">
      <c r="A142" s="2" t="inlineStr">
        <is>
          <t>Unsolved</t>
        </is>
      </c>
      <c r="B142" s="3" t="inlineStr">
        <is>
          <t>Arrays</t>
        </is>
      </c>
      <c r="C142" s="3" t="inlineStr">
        <is>
          <t>Constructive Arrays</t>
        </is>
      </c>
      <c r="D142" s="2" t="inlineStr">
        <is>
          <t>1512E</t>
        </is>
      </c>
      <c r="E142" s="2" t="n">
        <v>1512</v>
      </c>
      <c r="F142" s="2" t="inlineStr">
        <is>
          <t>E</t>
        </is>
      </c>
      <c r="G142" s="3" t="inlineStr">
        <is>
          <t>Permutation by Sum</t>
        </is>
      </c>
      <c r="H142" s="2" t="n">
        <v>1600</v>
      </c>
      <c r="I142" s="9" t="inlineStr">
        <is>
          <t>Medium+</t>
        </is>
      </c>
      <c r="J142" s="3" t="inlineStr">
        <is>
          <t>brute force, greedy, math</t>
        </is>
      </c>
      <c r="K142" s="2" t="n">
        <v>40</v>
      </c>
      <c r="L142" s="2" t="n">
        <v>35</v>
      </c>
      <c r="M142" s="5" t="inlineStr">
        <is>
          <t>https://codeforces.com/problemset/problem/1512/E</t>
        </is>
      </c>
      <c r="N142" s="3" t="n"/>
    </row>
    <row r="143" ht="20.1" customHeight="1">
      <c r="A143" s="6" t="inlineStr">
        <is>
          <t>Unsolved</t>
        </is>
      </c>
      <c r="B143" s="7" t="inlineStr">
        <is>
          <t>Arrays</t>
        </is>
      </c>
      <c r="C143" s="7" t="inlineStr">
        <is>
          <t>Constructive Arrays</t>
        </is>
      </c>
      <c r="D143" s="6" t="inlineStr">
        <is>
          <t>1538G</t>
        </is>
      </c>
      <c r="E143" s="6" t="n">
        <v>1538</v>
      </c>
      <c r="F143" s="6" t="inlineStr">
        <is>
          <t>G</t>
        </is>
      </c>
      <c r="G143" s="7" t="inlineStr">
        <is>
          <t>Gift Set</t>
        </is>
      </c>
      <c r="H143" s="6" t="n">
        <v>2100</v>
      </c>
      <c r="I143" s="12" t="inlineStr">
        <is>
          <t>Expert</t>
        </is>
      </c>
      <c r="J143" s="7" t="inlineStr">
        <is>
          <t>binary search, greedy, math, ternary search</t>
        </is>
      </c>
      <c r="K143" s="6" t="n">
        <v>90</v>
      </c>
      <c r="L143" s="6" t="n">
        <v>80</v>
      </c>
      <c r="M143" s="8" t="inlineStr">
        <is>
          <t>https://codeforces.com/problemset/problem/1538/G</t>
        </is>
      </c>
      <c r="N143" s="7" t="n"/>
    </row>
    <row r="144" ht="20.1" customHeight="1">
      <c r="A144" s="2" t="inlineStr">
        <is>
          <t>Unsolved</t>
        </is>
      </c>
      <c r="B144" s="3" t="inlineStr">
        <is>
          <t>Arrays</t>
        </is>
      </c>
      <c r="C144" s="3" t="inlineStr">
        <is>
          <t>Constructive Arrays</t>
        </is>
      </c>
      <c r="D144" s="2" t="inlineStr">
        <is>
          <t>1552D</t>
        </is>
      </c>
      <c r="E144" s="2" t="n">
        <v>1552</v>
      </c>
      <c r="F144" s="2" t="inlineStr">
        <is>
          <t>D</t>
        </is>
      </c>
      <c r="G144" s="3" t="inlineStr">
        <is>
          <t>Array Differentiation</t>
        </is>
      </c>
      <c r="H144" s="2" t="n">
        <v>1800</v>
      </c>
      <c r="I144" s="10" t="inlineStr">
        <is>
          <t>Hard</t>
        </is>
      </c>
      <c r="J144" s="3" t="inlineStr">
        <is>
          <t>bitmasks, brute force, constructive algorithms, dfs and similar, dp, graphs, math</t>
        </is>
      </c>
      <c r="K144" s="2" t="n">
        <v>60</v>
      </c>
      <c r="L144" s="2" t="n">
        <v>55</v>
      </c>
      <c r="M144" s="5" t="inlineStr">
        <is>
          <t>https://codeforces.com/problemset/problem/1552/D</t>
        </is>
      </c>
      <c r="N144" s="3" t="n"/>
    </row>
    <row r="145" ht="20.1" customHeight="1">
      <c r="A145" s="6" t="inlineStr">
        <is>
          <t>Unsolved</t>
        </is>
      </c>
      <c r="B145" s="7" t="inlineStr">
        <is>
          <t>Arrays</t>
        </is>
      </c>
      <c r="C145" s="7" t="inlineStr">
        <is>
          <t>Constructive Arrays</t>
        </is>
      </c>
      <c r="D145" s="6" t="inlineStr">
        <is>
          <t>1606C</t>
        </is>
      </c>
      <c r="E145" s="6" t="n">
        <v>1606</v>
      </c>
      <c r="F145" s="6" t="inlineStr">
        <is>
          <t>C</t>
        </is>
      </c>
      <c r="G145" s="7" t="inlineStr">
        <is>
          <t>Banknotes</t>
        </is>
      </c>
      <c r="H145" s="6" t="n">
        <v>1400</v>
      </c>
      <c r="I145" s="9" t="inlineStr">
        <is>
          <t>Medium</t>
        </is>
      </c>
      <c r="J145" s="7" t="inlineStr">
        <is>
          <t>greedy, number theory</t>
        </is>
      </c>
      <c r="K145" s="6" t="n">
        <v>40</v>
      </c>
      <c r="L145" s="6" t="n">
        <v>35</v>
      </c>
      <c r="M145" s="8" t="inlineStr">
        <is>
          <t>https://codeforces.com/problemset/problem/1606/C</t>
        </is>
      </c>
      <c r="N145" s="7" t="n"/>
    </row>
    <row r="146" ht="20.1" customHeight="1">
      <c r="A146" s="2" t="inlineStr">
        <is>
          <t>Unsolved</t>
        </is>
      </c>
      <c r="B146" s="3" t="inlineStr">
        <is>
          <t>Arrays</t>
        </is>
      </c>
      <c r="C146" s="3" t="inlineStr">
        <is>
          <t>Constructive Arrays</t>
        </is>
      </c>
      <c r="D146" s="2" t="inlineStr">
        <is>
          <t>1623C</t>
        </is>
      </c>
      <c r="E146" s="2" t="n">
        <v>1623</v>
      </c>
      <c r="F146" s="2" t="inlineStr">
        <is>
          <t>C</t>
        </is>
      </c>
      <c r="G146" s="3" t="inlineStr">
        <is>
          <t>Balanced Stone Heaps</t>
        </is>
      </c>
      <c r="H146" s="2" t="n">
        <v>1600</v>
      </c>
      <c r="I146" s="9" t="inlineStr">
        <is>
          <t>Medium+</t>
        </is>
      </c>
      <c r="J146" s="3" t="inlineStr">
        <is>
          <t>binary search, greedy</t>
        </is>
      </c>
      <c r="K146" s="2" t="n">
        <v>40</v>
      </c>
      <c r="L146" s="2" t="n">
        <v>35</v>
      </c>
      <c r="M146" s="5" t="inlineStr">
        <is>
          <t>https://codeforces.com/problemset/problem/1623/C</t>
        </is>
      </c>
      <c r="N146" s="3" t="n"/>
    </row>
    <row r="147" ht="20.1" customHeight="1">
      <c r="A147" s="6" t="inlineStr">
        <is>
          <t>Unsolved</t>
        </is>
      </c>
      <c r="B147" s="7" t="inlineStr">
        <is>
          <t>Arrays</t>
        </is>
      </c>
      <c r="C147" s="7" t="inlineStr">
        <is>
          <t>Constructive Arrays</t>
        </is>
      </c>
      <c r="D147" s="6" t="inlineStr">
        <is>
          <t>1701C</t>
        </is>
      </c>
      <c r="E147" s="6" t="n">
        <v>1701</v>
      </c>
      <c r="F147" s="6" t="inlineStr">
        <is>
          <t>C</t>
        </is>
      </c>
      <c r="G147" s="7" t="inlineStr">
        <is>
          <t>Schedule Management</t>
        </is>
      </c>
      <c r="H147" s="6" t="n">
        <v>1400</v>
      </c>
      <c r="I147" s="9" t="inlineStr">
        <is>
          <t>Medium</t>
        </is>
      </c>
      <c r="J147" s="7" t="inlineStr">
        <is>
          <t>binary search, greedy, implementation, two pointers</t>
        </is>
      </c>
      <c r="K147" s="6" t="n">
        <v>40</v>
      </c>
      <c r="L147" s="6" t="n">
        <v>35</v>
      </c>
      <c r="M147" s="8" t="inlineStr">
        <is>
          <t>https://codeforces.com/problemset/problem/1701/C</t>
        </is>
      </c>
      <c r="N147" s="7" t="n"/>
    </row>
    <row r="148" ht="20.1" customHeight="1">
      <c r="A148" s="2" t="inlineStr">
        <is>
          <t>Unsolved</t>
        </is>
      </c>
      <c r="B148" s="3" t="inlineStr">
        <is>
          <t>Prefix Sums</t>
        </is>
      </c>
      <c r="C148" s="3" t="inlineStr">
        <is>
          <t>1D Prefix Sum</t>
        </is>
      </c>
      <c r="D148" s="2" t="inlineStr">
        <is>
          <t>313B</t>
        </is>
      </c>
      <c r="E148" s="2" t="n">
        <v>313</v>
      </c>
      <c r="F148" s="2" t="inlineStr">
        <is>
          <t>B</t>
        </is>
      </c>
      <c r="G148" s="3" t="inlineStr">
        <is>
          <t>Ilya and Queries</t>
        </is>
      </c>
      <c r="H148" s="2" t="n">
        <v>1100</v>
      </c>
      <c r="I148" s="4" t="inlineStr">
        <is>
          <t>Easy+</t>
        </is>
      </c>
      <c r="J148" s="3" t="inlineStr">
        <is>
          <t>dp, implementation</t>
        </is>
      </c>
      <c r="K148" s="2" t="n">
        <v>25</v>
      </c>
      <c r="L148" s="2" t="n">
        <v>20</v>
      </c>
      <c r="M148" s="5" t="inlineStr">
        <is>
          <t>https://codeforces.com/problemset/problem/313/B</t>
        </is>
      </c>
      <c r="N148" s="3" t="n"/>
    </row>
    <row r="149" ht="20.1" customHeight="1">
      <c r="A149" s="6" t="inlineStr">
        <is>
          <t>Unsolved</t>
        </is>
      </c>
      <c r="B149" s="7" t="inlineStr">
        <is>
          <t>Prefix Sums</t>
        </is>
      </c>
      <c r="C149" s="7" t="inlineStr">
        <is>
          <t>1D Prefix Sum</t>
        </is>
      </c>
      <c r="D149" s="6" t="inlineStr">
        <is>
          <t>363B</t>
        </is>
      </c>
      <c r="E149" s="6" t="n">
        <v>363</v>
      </c>
      <c r="F149" s="6" t="inlineStr">
        <is>
          <t>B</t>
        </is>
      </c>
      <c r="G149" s="7" t="inlineStr">
        <is>
          <t>Fence</t>
        </is>
      </c>
      <c r="H149" s="6" t="n">
        <v>1100</v>
      </c>
      <c r="I149" s="4" t="inlineStr">
        <is>
          <t>Easy+</t>
        </is>
      </c>
      <c r="J149" s="7" t="inlineStr">
        <is>
          <t>brute force, dp</t>
        </is>
      </c>
      <c r="K149" s="6" t="n">
        <v>25</v>
      </c>
      <c r="L149" s="6" t="n">
        <v>20</v>
      </c>
      <c r="M149" s="8" t="inlineStr">
        <is>
          <t>https://codeforces.com/problemset/problem/363/B</t>
        </is>
      </c>
      <c r="N149" s="7" t="n"/>
    </row>
    <row r="150" ht="20.1" customHeight="1">
      <c r="A150" s="2" t="inlineStr">
        <is>
          <t>Unsolved</t>
        </is>
      </c>
      <c r="B150" s="3" t="inlineStr">
        <is>
          <t>Prefix Sums</t>
        </is>
      </c>
      <c r="C150" s="3" t="inlineStr">
        <is>
          <t>1D Prefix Sum</t>
        </is>
      </c>
      <c r="D150" s="2" t="inlineStr">
        <is>
          <t>433B</t>
        </is>
      </c>
      <c r="E150" s="2" t="n">
        <v>433</v>
      </c>
      <c r="F150" s="2" t="inlineStr">
        <is>
          <t>B</t>
        </is>
      </c>
      <c r="G150" s="3" t="inlineStr">
        <is>
          <t>Kuriyama Mirai's Stones</t>
        </is>
      </c>
      <c r="H150" s="2" t="n">
        <v>1200</v>
      </c>
      <c r="I150" s="4" t="inlineStr">
        <is>
          <t>Easy+</t>
        </is>
      </c>
      <c r="J150" s="3" t="inlineStr">
        <is>
          <t>dp, implementation, sortings</t>
        </is>
      </c>
      <c r="K150" s="2" t="n">
        <v>25</v>
      </c>
      <c r="L150" s="2" t="n">
        <v>20</v>
      </c>
      <c r="M150" s="5" t="inlineStr">
        <is>
          <t>https://codeforces.com/problemset/problem/433/B</t>
        </is>
      </c>
      <c r="N150" s="3" t="n"/>
    </row>
    <row r="151" ht="20.1" customHeight="1">
      <c r="A151" s="6" t="inlineStr">
        <is>
          <t>Unsolved</t>
        </is>
      </c>
      <c r="B151" s="7" t="inlineStr">
        <is>
          <t>Prefix Sums</t>
        </is>
      </c>
      <c r="C151" s="7" t="inlineStr">
        <is>
          <t>1D Prefix Sum</t>
        </is>
      </c>
      <c r="D151" s="6" t="inlineStr">
        <is>
          <t>466C</t>
        </is>
      </c>
      <c r="E151" s="6" t="n">
        <v>466</v>
      </c>
      <c r="F151" s="6" t="inlineStr">
        <is>
          <t>C</t>
        </is>
      </c>
      <c r="G151" s="7" t="inlineStr">
        <is>
          <t>Number of Ways</t>
        </is>
      </c>
      <c r="H151" s="6" t="n">
        <v>1700</v>
      </c>
      <c r="I151" s="10" t="inlineStr">
        <is>
          <t>Hard</t>
        </is>
      </c>
      <c r="J151" s="7" t="inlineStr">
        <is>
          <t>binary search, brute force, data structures, dp, two pointers</t>
        </is>
      </c>
      <c r="K151" s="6" t="n">
        <v>60</v>
      </c>
      <c r="L151" s="6" t="n">
        <v>55</v>
      </c>
      <c r="M151" s="8" t="inlineStr">
        <is>
          <t>https://codeforces.com/problemset/problem/466/C</t>
        </is>
      </c>
      <c r="N151" s="7" t="n"/>
    </row>
    <row r="152" ht="20.1" customHeight="1">
      <c r="A152" s="2" t="inlineStr">
        <is>
          <t>Unsolved</t>
        </is>
      </c>
      <c r="B152" s="3" t="inlineStr">
        <is>
          <t>Prefix Sums</t>
        </is>
      </c>
      <c r="C152" s="3" t="inlineStr">
        <is>
          <t>1D Prefix Sum</t>
        </is>
      </c>
      <c r="D152" s="2" t="inlineStr">
        <is>
          <t>816B</t>
        </is>
      </c>
      <c r="E152" s="2" t="n">
        <v>816</v>
      </c>
      <c r="F152" s="2" t="inlineStr">
        <is>
          <t>B</t>
        </is>
      </c>
      <c r="G152" s="3" t="inlineStr">
        <is>
          <t>Karen and Coffee</t>
        </is>
      </c>
      <c r="H152" s="2" t="n">
        <v>1400</v>
      </c>
      <c r="I152" s="9" t="inlineStr">
        <is>
          <t>Medium</t>
        </is>
      </c>
      <c r="J152" s="3" t="inlineStr">
        <is>
          <t>binary search, data structures, implementation</t>
        </is>
      </c>
      <c r="K152" s="2" t="n">
        <v>40</v>
      </c>
      <c r="L152" s="2" t="n">
        <v>35</v>
      </c>
      <c r="M152" s="5" t="inlineStr">
        <is>
          <t>https://codeforces.com/problemset/problem/816/B</t>
        </is>
      </c>
      <c r="N152" s="3" t="n"/>
    </row>
    <row r="153" ht="20.1" customHeight="1">
      <c r="A153" s="6" t="inlineStr">
        <is>
          <t>Unsolved</t>
        </is>
      </c>
      <c r="B153" s="7" t="inlineStr">
        <is>
          <t>Prefix Sums</t>
        </is>
      </c>
      <c r="C153" s="7" t="inlineStr">
        <is>
          <t>1D Prefix Sum</t>
        </is>
      </c>
      <c r="D153" s="6" t="inlineStr">
        <is>
          <t>1191C</t>
        </is>
      </c>
      <c r="E153" s="6" t="n">
        <v>1191</v>
      </c>
      <c r="F153" s="6" t="inlineStr">
        <is>
          <t>C</t>
        </is>
      </c>
      <c r="G153" s="7" t="inlineStr">
        <is>
          <t>UNKNOWN</t>
        </is>
      </c>
      <c r="H153" s="6" t="inlineStr">
        <is>
          <t>UNKNOWN</t>
        </is>
      </c>
      <c r="I153" s="11" t="inlineStr">
        <is>
          <t>UNKNOWN</t>
        </is>
      </c>
      <c r="J153" s="7" t="inlineStr">
        <is>
          <t>UNKNOWN</t>
        </is>
      </c>
      <c r="K153" s="6" t="n">
        <v>0</v>
      </c>
      <c r="L153" s="6" t="n">
        <v>0</v>
      </c>
      <c r="M153" s="8" t="inlineStr">
        <is>
          <t>https://codeforces.com/problemset/problem/1191/C</t>
        </is>
      </c>
      <c r="N153" s="7" t="n"/>
    </row>
    <row r="154" ht="20.1" customHeight="1">
      <c r="A154" s="2" t="inlineStr">
        <is>
          <t>Unsolved</t>
        </is>
      </c>
      <c r="B154" s="3" t="inlineStr">
        <is>
          <t>Prefix Sums</t>
        </is>
      </c>
      <c r="C154" s="3" t="inlineStr">
        <is>
          <t>1D Prefix Sum</t>
        </is>
      </c>
      <c r="D154" s="2" t="inlineStr">
        <is>
          <t>1272C</t>
        </is>
      </c>
      <c r="E154" s="2" t="n">
        <v>1272</v>
      </c>
      <c r="F154" s="2" t="inlineStr">
        <is>
          <t>C</t>
        </is>
      </c>
      <c r="G154" s="3" t="inlineStr">
        <is>
          <t>Yet Another Broken Keyboard</t>
        </is>
      </c>
      <c r="H154" s="2" t="n">
        <v>1200</v>
      </c>
      <c r="I154" s="4" t="inlineStr">
        <is>
          <t>Easy+</t>
        </is>
      </c>
      <c r="J154" s="3" t="inlineStr">
        <is>
          <t>combinatorics, dp, implementation</t>
        </is>
      </c>
      <c r="K154" s="2" t="n">
        <v>25</v>
      </c>
      <c r="L154" s="2" t="n">
        <v>20</v>
      </c>
      <c r="M154" s="5" t="inlineStr">
        <is>
          <t>https://codeforces.com/problemset/problem/1272/C</t>
        </is>
      </c>
      <c r="N154" s="3" t="n"/>
    </row>
    <row r="155" ht="20.1" customHeight="1">
      <c r="A155" s="6" t="inlineStr">
        <is>
          <t>Unsolved</t>
        </is>
      </c>
      <c r="B155" s="7" t="inlineStr">
        <is>
          <t>Prefix Sums</t>
        </is>
      </c>
      <c r="C155" s="7" t="inlineStr">
        <is>
          <t>1D Prefix Sum</t>
        </is>
      </c>
      <c r="D155" s="6" t="inlineStr">
        <is>
          <t>1363A</t>
        </is>
      </c>
      <c r="E155" s="6" t="n">
        <v>1363</v>
      </c>
      <c r="F155" s="6" t="inlineStr">
        <is>
          <t>A</t>
        </is>
      </c>
      <c r="G155" s="7" t="inlineStr">
        <is>
          <t>Odd Selection</t>
        </is>
      </c>
      <c r="H155" s="6" t="n">
        <v>1200</v>
      </c>
      <c r="I155" s="4" t="inlineStr">
        <is>
          <t>Easy+</t>
        </is>
      </c>
      <c r="J155" s="7" t="inlineStr">
        <is>
          <t>brute force, implementation, math</t>
        </is>
      </c>
      <c r="K155" s="6" t="n">
        <v>25</v>
      </c>
      <c r="L155" s="6" t="n">
        <v>20</v>
      </c>
      <c r="M155" s="8" t="inlineStr">
        <is>
          <t>https://codeforces.com/problemset/problem/1363/A</t>
        </is>
      </c>
      <c r="N155" s="7" t="n"/>
    </row>
    <row r="156" ht="20.1" customHeight="1">
      <c r="A156" s="2" t="inlineStr">
        <is>
          <t>Unsolved</t>
        </is>
      </c>
      <c r="B156" s="3" t="inlineStr">
        <is>
          <t>Prefix Sums</t>
        </is>
      </c>
      <c r="C156" s="3" t="inlineStr">
        <is>
          <t>1D Prefix Sum</t>
        </is>
      </c>
      <c r="D156" s="2" t="inlineStr">
        <is>
          <t>1392D</t>
        </is>
      </c>
      <c r="E156" s="2" t="n">
        <v>1392</v>
      </c>
      <c r="F156" s="2" t="inlineStr">
        <is>
          <t>D</t>
        </is>
      </c>
      <c r="G156" s="3" t="inlineStr">
        <is>
          <t>Omkar and Bed Wars</t>
        </is>
      </c>
      <c r="H156" s="2" t="n">
        <v>1700</v>
      </c>
      <c r="I156" s="10" t="inlineStr">
        <is>
          <t>Hard</t>
        </is>
      </c>
      <c r="J156" s="3" t="inlineStr">
        <is>
          <t>dp, greedy</t>
        </is>
      </c>
      <c r="K156" s="2" t="n">
        <v>60</v>
      </c>
      <c r="L156" s="2" t="n">
        <v>55</v>
      </c>
      <c r="M156" s="5" t="inlineStr">
        <is>
          <t>https://codeforces.com/problemset/problem/1392/D</t>
        </is>
      </c>
      <c r="N156" s="3" t="n"/>
    </row>
    <row r="157" ht="20.1" customHeight="1">
      <c r="A157" s="6" t="inlineStr">
        <is>
          <t>Unsolved</t>
        </is>
      </c>
      <c r="B157" s="7" t="inlineStr">
        <is>
          <t>Prefix Sums</t>
        </is>
      </c>
      <c r="C157" s="7" t="inlineStr">
        <is>
          <t>1D Prefix Sum</t>
        </is>
      </c>
      <c r="D157" s="6" t="inlineStr">
        <is>
          <t>1430D</t>
        </is>
      </c>
      <c r="E157" s="6" t="n">
        <v>1430</v>
      </c>
      <c r="F157" s="6" t="inlineStr">
        <is>
          <t>D</t>
        </is>
      </c>
      <c r="G157" s="7" t="inlineStr">
        <is>
          <t>String Deletion</t>
        </is>
      </c>
      <c r="H157" s="6" t="n">
        <v>1700</v>
      </c>
      <c r="I157" s="10" t="inlineStr">
        <is>
          <t>Hard</t>
        </is>
      </c>
      <c r="J157" s="7" t="inlineStr">
        <is>
          <t>binary search, data structures, greedy, two pointers</t>
        </is>
      </c>
      <c r="K157" s="6" t="n">
        <v>60</v>
      </c>
      <c r="L157" s="6" t="n">
        <v>55</v>
      </c>
      <c r="M157" s="8" t="inlineStr">
        <is>
          <t>https://codeforces.com/problemset/problem/1430/D</t>
        </is>
      </c>
      <c r="N157" s="7" t="n"/>
    </row>
    <row r="158" ht="20.1" customHeight="1">
      <c r="A158" s="2" t="inlineStr">
        <is>
          <t>Unsolved</t>
        </is>
      </c>
      <c r="B158" s="3" t="inlineStr">
        <is>
          <t>Prefix Sums</t>
        </is>
      </c>
      <c r="C158" s="3" t="inlineStr">
        <is>
          <t>Prefix Frequency</t>
        </is>
      </c>
      <c r="D158" s="2" t="inlineStr">
        <is>
          <t>1114C</t>
        </is>
      </c>
      <c r="E158" s="2" t="n">
        <v>1114</v>
      </c>
      <c r="F158" s="2" t="inlineStr">
        <is>
          <t>C</t>
        </is>
      </c>
      <c r="G158" s="3" t="inlineStr">
        <is>
          <t>Trailing Loves (or L'oeufs?)</t>
        </is>
      </c>
      <c r="H158" s="2" t="n">
        <v>1700</v>
      </c>
      <c r="I158" s="10" t="inlineStr">
        <is>
          <t>Hard</t>
        </is>
      </c>
      <c r="J158" s="3" t="inlineStr">
        <is>
          <t>brute force, implementation, math, number theory</t>
        </is>
      </c>
      <c r="K158" s="2" t="n">
        <v>60</v>
      </c>
      <c r="L158" s="2" t="n">
        <v>55</v>
      </c>
      <c r="M158" s="5" t="inlineStr">
        <is>
          <t>https://codeforces.com/problemset/problem/1114/C</t>
        </is>
      </c>
      <c r="N158" s="3" t="n"/>
    </row>
    <row r="159" ht="20.1" customHeight="1">
      <c r="A159" s="6" t="inlineStr">
        <is>
          <t>Unsolved</t>
        </is>
      </c>
      <c r="B159" s="7" t="inlineStr">
        <is>
          <t>Prefix Sums</t>
        </is>
      </c>
      <c r="C159" s="7" t="inlineStr">
        <is>
          <t>Prefix Frequency</t>
        </is>
      </c>
      <c r="D159" s="6" t="inlineStr">
        <is>
          <t>1141D</t>
        </is>
      </c>
      <c r="E159" s="6" t="n">
        <v>1141</v>
      </c>
      <c r="F159" s="6" t="inlineStr">
        <is>
          <t>D</t>
        </is>
      </c>
      <c r="G159" s="7" t="inlineStr">
        <is>
          <t>Colored Boots</t>
        </is>
      </c>
      <c r="H159" s="6" t="n">
        <v>1500</v>
      </c>
      <c r="I159" s="9" t="inlineStr">
        <is>
          <t>Medium+</t>
        </is>
      </c>
      <c r="J159" s="7" t="inlineStr">
        <is>
          <t>greedy, implementation</t>
        </is>
      </c>
      <c r="K159" s="6" t="n">
        <v>40</v>
      </c>
      <c r="L159" s="6" t="n">
        <v>35</v>
      </c>
      <c r="M159" s="8" t="inlineStr">
        <is>
          <t>https://codeforces.com/problemset/problem/1141/D</t>
        </is>
      </c>
      <c r="N159" s="7" t="n"/>
    </row>
    <row r="160" ht="20.1" customHeight="1">
      <c r="A160" s="2" t="inlineStr">
        <is>
          <t>Unsolved</t>
        </is>
      </c>
      <c r="B160" s="3" t="inlineStr">
        <is>
          <t>Prefix Sums</t>
        </is>
      </c>
      <c r="C160" s="3" t="inlineStr">
        <is>
          <t>Prefix Frequency</t>
        </is>
      </c>
      <c r="D160" s="2" t="inlineStr">
        <is>
          <t>1238E</t>
        </is>
      </c>
      <c r="E160" s="2" t="n">
        <v>1238</v>
      </c>
      <c r="F160" s="2" t="inlineStr">
        <is>
          <t>E</t>
        </is>
      </c>
      <c r="G160" s="3" t="inlineStr">
        <is>
          <t>Keyboard Purchase</t>
        </is>
      </c>
      <c r="H160" s="2" t="n">
        <v>2200</v>
      </c>
      <c r="I160" s="12" t="inlineStr">
        <is>
          <t>Expert</t>
        </is>
      </c>
      <c r="J160" s="3" t="inlineStr">
        <is>
          <t>bitmasks, dp</t>
        </is>
      </c>
      <c r="K160" s="2" t="n">
        <v>90</v>
      </c>
      <c r="L160" s="2" t="n">
        <v>80</v>
      </c>
      <c r="M160" s="5" t="inlineStr">
        <is>
          <t>https://codeforces.com/problemset/problem/1238/E</t>
        </is>
      </c>
      <c r="N160" s="3" t="n"/>
    </row>
    <row r="161" ht="20.1" customHeight="1">
      <c r="A161" s="6" t="inlineStr">
        <is>
          <t>Unsolved</t>
        </is>
      </c>
      <c r="B161" s="7" t="inlineStr">
        <is>
          <t>Prefix Sums</t>
        </is>
      </c>
      <c r="C161" s="7" t="inlineStr">
        <is>
          <t>Prefix Frequency</t>
        </is>
      </c>
      <c r="D161" s="6" t="inlineStr">
        <is>
          <t>1285B</t>
        </is>
      </c>
      <c r="E161" s="6" t="n">
        <v>1285</v>
      </c>
      <c r="F161" s="6" t="inlineStr">
        <is>
          <t>B</t>
        </is>
      </c>
      <c r="G161" s="7" t="inlineStr">
        <is>
          <t>Just Eat It!</t>
        </is>
      </c>
      <c r="H161" s="6" t="n">
        <v>1300</v>
      </c>
      <c r="I161" s="9" t="inlineStr">
        <is>
          <t>Medium</t>
        </is>
      </c>
      <c r="J161" s="7" t="inlineStr">
        <is>
          <t>dp, greedy, implementation</t>
        </is>
      </c>
      <c r="K161" s="6" t="n">
        <v>25</v>
      </c>
      <c r="L161" s="6" t="n">
        <v>20</v>
      </c>
      <c r="M161" s="8" t="inlineStr">
        <is>
          <t>https://codeforces.com/problemset/problem/1285/B</t>
        </is>
      </c>
      <c r="N161" s="7" t="n"/>
    </row>
    <row r="162" ht="20.1" customHeight="1">
      <c r="A162" s="2" t="inlineStr">
        <is>
          <t>Unsolved</t>
        </is>
      </c>
      <c r="B162" s="3" t="inlineStr">
        <is>
          <t>Prefix Sums</t>
        </is>
      </c>
      <c r="C162" s="3" t="inlineStr">
        <is>
          <t>Prefix Frequency</t>
        </is>
      </c>
      <c r="D162" s="2" t="inlineStr">
        <is>
          <t>1303C</t>
        </is>
      </c>
      <c r="E162" s="2" t="n">
        <v>1303</v>
      </c>
      <c r="F162" s="2" t="inlineStr">
        <is>
          <t>C</t>
        </is>
      </c>
      <c r="G162" s="3" t="inlineStr">
        <is>
          <t>Perfect Keyboard</t>
        </is>
      </c>
      <c r="H162" s="2" t="n">
        <v>1600</v>
      </c>
      <c r="I162" s="9" t="inlineStr">
        <is>
          <t>Medium+</t>
        </is>
      </c>
      <c r="J162" s="3" t="inlineStr">
        <is>
          <t>dfs and similar, greedy, implementation</t>
        </is>
      </c>
      <c r="K162" s="2" t="n">
        <v>40</v>
      </c>
      <c r="L162" s="2" t="n">
        <v>35</v>
      </c>
      <c r="M162" s="5" t="inlineStr">
        <is>
          <t>https://codeforces.com/problemset/problem/1303/C</t>
        </is>
      </c>
      <c r="N162" s="3" t="n"/>
    </row>
    <row r="163" ht="20.1" customHeight="1">
      <c r="A163" s="6" t="inlineStr">
        <is>
          <t>Unsolved</t>
        </is>
      </c>
      <c r="B163" s="7" t="inlineStr">
        <is>
          <t>Prefix Sums</t>
        </is>
      </c>
      <c r="C163" s="7" t="inlineStr">
        <is>
          <t>Prefix Frequency</t>
        </is>
      </c>
      <c r="D163" s="6" t="inlineStr">
        <is>
          <t>1437C</t>
        </is>
      </c>
      <c r="E163" s="6" t="n">
        <v>1437</v>
      </c>
      <c r="F163" s="6" t="inlineStr">
        <is>
          <t>C</t>
        </is>
      </c>
      <c r="G163" s="7" t="inlineStr">
        <is>
          <t>Chef Monocarp</t>
        </is>
      </c>
      <c r="H163" s="6" t="n">
        <v>1800</v>
      </c>
      <c r="I163" s="10" t="inlineStr">
        <is>
          <t>Hard</t>
        </is>
      </c>
      <c r="J163" s="7" t="inlineStr">
        <is>
          <t>dp, flows, graph matchings, greedy, math, sortings</t>
        </is>
      </c>
      <c r="K163" s="6" t="n">
        <v>60</v>
      </c>
      <c r="L163" s="6" t="n">
        <v>55</v>
      </c>
      <c r="M163" s="8" t="inlineStr">
        <is>
          <t>https://codeforces.com/problemset/problem/1437/C</t>
        </is>
      </c>
      <c r="N163" s="7" t="n"/>
    </row>
    <row r="164" ht="20.1" customHeight="1">
      <c r="A164" s="2" t="inlineStr">
        <is>
          <t>Unsolved</t>
        </is>
      </c>
      <c r="B164" s="3" t="inlineStr">
        <is>
          <t>Prefix Sums</t>
        </is>
      </c>
      <c r="C164" s="3" t="inlineStr">
        <is>
          <t>Prefix Frequency</t>
        </is>
      </c>
      <c r="D164" s="2" t="inlineStr">
        <is>
          <t>1498C</t>
        </is>
      </c>
      <c r="E164" s="2" t="n">
        <v>1498</v>
      </c>
      <c r="F164" s="2" t="inlineStr">
        <is>
          <t>C</t>
        </is>
      </c>
      <c r="G164" s="3" t="inlineStr">
        <is>
          <t>Planar Reflections</t>
        </is>
      </c>
      <c r="H164" s="2" t="n">
        <v>1600</v>
      </c>
      <c r="I164" s="9" t="inlineStr">
        <is>
          <t>Medium+</t>
        </is>
      </c>
      <c r="J164" s="3" t="inlineStr">
        <is>
          <t>brute force, data structures, dp</t>
        </is>
      </c>
      <c r="K164" s="2" t="n">
        <v>40</v>
      </c>
      <c r="L164" s="2" t="n">
        <v>35</v>
      </c>
      <c r="M164" s="5" t="inlineStr">
        <is>
          <t>https://codeforces.com/problemset/problem/1498/C</t>
        </is>
      </c>
      <c r="N164" s="3" t="n"/>
    </row>
    <row r="165" ht="20.1" customHeight="1">
      <c r="A165" s="6" t="inlineStr">
        <is>
          <t>Unsolved</t>
        </is>
      </c>
      <c r="B165" s="7" t="inlineStr">
        <is>
          <t>Prefix Sums</t>
        </is>
      </c>
      <c r="C165" s="7" t="inlineStr">
        <is>
          <t>Prefix Frequency</t>
        </is>
      </c>
      <c r="D165" s="6" t="inlineStr">
        <is>
          <t>1513C</t>
        </is>
      </c>
      <c r="E165" s="6" t="n">
        <v>1513</v>
      </c>
      <c r="F165" s="6" t="inlineStr">
        <is>
          <t>C</t>
        </is>
      </c>
      <c r="G165" s="7" t="inlineStr">
        <is>
          <t>Add One</t>
        </is>
      </c>
      <c r="H165" s="6" t="n">
        <v>1600</v>
      </c>
      <c r="I165" s="9" t="inlineStr">
        <is>
          <t>Medium+</t>
        </is>
      </c>
      <c r="J165" s="7" t="inlineStr">
        <is>
          <t>dp, matrices</t>
        </is>
      </c>
      <c r="K165" s="6" t="n">
        <v>40</v>
      </c>
      <c r="L165" s="6" t="n">
        <v>35</v>
      </c>
      <c r="M165" s="8" t="inlineStr">
        <is>
          <t>https://codeforces.com/problemset/problem/1513/C</t>
        </is>
      </c>
      <c r="N165" s="7" t="n"/>
    </row>
    <row r="166" ht="20.1" customHeight="1">
      <c r="A166" s="2" t="inlineStr">
        <is>
          <t>Unsolved</t>
        </is>
      </c>
      <c r="B166" s="3" t="inlineStr">
        <is>
          <t>Prefix Sums</t>
        </is>
      </c>
      <c r="C166" s="3" t="inlineStr">
        <is>
          <t>Difference Array</t>
        </is>
      </c>
      <c r="D166" s="2" t="inlineStr">
        <is>
          <t>295A</t>
        </is>
      </c>
      <c r="E166" s="2" t="n">
        <v>295</v>
      </c>
      <c r="F166" s="2" t="inlineStr">
        <is>
          <t>A</t>
        </is>
      </c>
      <c r="G166" s="3" t="inlineStr">
        <is>
          <t>Greg and Array</t>
        </is>
      </c>
      <c r="H166" s="2" t="n">
        <v>1400</v>
      </c>
      <c r="I166" s="9" t="inlineStr">
        <is>
          <t>Medium</t>
        </is>
      </c>
      <c r="J166" s="3" t="inlineStr">
        <is>
          <t>data structures, implementation</t>
        </is>
      </c>
      <c r="K166" s="2" t="n">
        <v>40</v>
      </c>
      <c r="L166" s="2" t="n">
        <v>35</v>
      </c>
      <c r="M166" s="5" t="inlineStr">
        <is>
          <t>https://codeforces.com/problemset/problem/295/A</t>
        </is>
      </c>
      <c r="N166" s="3" t="n"/>
    </row>
    <row r="167" ht="20.1" customHeight="1">
      <c r="A167" s="6" t="inlineStr">
        <is>
          <t>Unsolved</t>
        </is>
      </c>
      <c r="B167" s="7" t="inlineStr">
        <is>
          <t>Prefix Sums</t>
        </is>
      </c>
      <c r="C167" s="7" t="inlineStr">
        <is>
          <t>Difference Array</t>
        </is>
      </c>
      <c r="D167" s="6" t="inlineStr">
        <is>
          <t>276C</t>
        </is>
      </c>
      <c r="E167" s="6" t="n">
        <v>276</v>
      </c>
      <c r="F167" s="6" t="inlineStr">
        <is>
          <t>C</t>
        </is>
      </c>
      <c r="G167" s="7" t="inlineStr">
        <is>
          <t>Little Girl and Maximum Sum</t>
        </is>
      </c>
      <c r="H167" s="6" t="n">
        <v>1500</v>
      </c>
      <c r="I167" s="9" t="inlineStr">
        <is>
          <t>Medium+</t>
        </is>
      </c>
      <c r="J167" s="7" t="inlineStr">
        <is>
          <t>data structures, greedy, implementation, sortings</t>
        </is>
      </c>
      <c r="K167" s="6" t="n">
        <v>40</v>
      </c>
      <c r="L167" s="6" t="n">
        <v>35</v>
      </c>
      <c r="M167" s="8" t="inlineStr">
        <is>
          <t>https://codeforces.com/problemset/problem/276/C</t>
        </is>
      </c>
      <c r="N167" s="7" t="n"/>
    </row>
    <row r="168" ht="20.1" customHeight="1">
      <c r="A168" s="2" t="inlineStr">
        <is>
          <t>Unsolved</t>
        </is>
      </c>
      <c r="B168" s="3" t="inlineStr">
        <is>
          <t>Prefix Sums</t>
        </is>
      </c>
      <c r="C168" s="3" t="inlineStr">
        <is>
          <t>Difference Array</t>
        </is>
      </c>
      <c r="D168" s="2" t="inlineStr">
        <is>
          <t>817F</t>
        </is>
      </c>
      <c r="E168" s="2" t="n">
        <v>817</v>
      </c>
      <c r="F168" s="2" t="inlineStr">
        <is>
          <t>F</t>
        </is>
      </c>
      <c r="G168" s="3" t="inlineStr">
        <is>
          <t>MEX Queries</t>
        </is>
      </c>
      <c r="H168" s="2" t="n">
        <v>2300</v>
      </c>
      <c r="I168" s="12" t="inlineStr">
        <is>
          <t>Expert</t>
        </is>
      </c>
      <c r="J168" s="3" t="inlineStr">
        <is>
          <t>binary search, data structures, trees</t>
        </is>
      </c>
      <c r="K168" s="2" t="n">
        <v>120</v>
      </c>
      <c r="L168" s="2" t="n">
        <v>110</v>
      </c>
      <c r="M168" s="5" t="inlineStr">
        <is>
          <t>https://codeforces.com/problemset/problem/817/F</t>
        </is>
      </c>
      <c r="N168" s="3" t="n"/>
    </row>
    <row r="169" ht="20.1" customHeight="1">
      <c r="A169" s="6" t="inlineStr">
        <is>
          <t>Unsolved</t>
        </is>
      </c>
      <c r="B169" s="7" t="inlineStr">
        <is>
          <t>Prefix Sums</t>
        </is>
      </c>
      <c r="C169" s="7" t="inlineStr">
        <is>
          <t>Difference Array</t>
        </is>
      </c>
      <c r="D169" s="6" t="inlineStr">
        <is>
          <t>1114D</t>
        </is>
      </c>
      <c r="E169" s="6" t="n">
        <v>1114</v>
      </c>
      <c r="F169" s="6" t="inlineStr">
        <is>
          <t>D</t>
        </is>
      </c>
      <c r="G169" s="7" t="inlineStr">
        <is>
          <t>Flood Fill</t>
        </is>
      </c>
      <c r="H169" s="6" t="n">
        <v>1900</v>
      </c>
      <c r="I169" s="10" t="inlineStr">
        <is>
          <t>Hard+</t>
        </is>
      </c>
      <c r="J169" s="7" t="inlineStr">
        <is>
          <t>dp</t>
        </is>
      </c>
      <c r="K169" s="6" t="n">
        <v>60</v>
      </c>
      <c r="L169" s="6" t="n">
        <v>55</v>
      </c>
      <c r="M169" s="8" t="inlineStr">
        <is>
          <t>https://codeforces.com/problemset/problem/1114/D</t>
        </is>
      </c>
      <c r="N169" s="7" t="n"/>
    </row>
    <row r="170" ht="20.1" customHeight="1">
      <c r="A170" s="2" t="inlineStr">
        <is>
          <t>Unsolved</t>
        </is>
      </c>
      <c r="B170" s="3" t="inlineStr">
        <is>
          <t>Prefix Sums</t>
        </is>
      </c>
      <c r="C170" s="3" t="inlineStr">
        <is>
          <t>Difference Array</t>
        </is>
      </c>
      <c r="D170" s="2" t="inlineStr">
        <is>
          <t>1136C</t>
        </is>
      </c>
      <c r="E170" s="2" t="n">
        <v>1136</v>
      </c>
      <c r="F170" s="2" t="inlineStr">
        <is>
          <t>C</t>
        </is>
      </c>
      <c r="G170" s="3" t="inlineStr">
        <is>
          <t>Nastya Is Transposing Matrices</t>
        </is>
      </c>
      <c r="H170" s="2" t="n">
        <v>1500</v>
      </c>
      <c r="I170" s="9" t="inlineStr">
        <is>
          <t>Medium+</t>
        </is>
      </c>
      <c r="J170" s="3" t="inlineStr">
        <is>
          <t>constructive algorithms, sortings</t>
        </is>
      </c>
      <c r="K170" s="2" t="n">
        <v>40</v>
      </c>
      <c r="L170" s="2" t="n">
        <v>35</v>
      </c>
      <c r="M170" s="5" t="inlineStr">
        <is>
          <t>https://codeforces.com/problemset/problem/1136/C</t>
        </is>
      </c>
      <c r="N170" s="3" t="n"/>
    </row>
    <row r="171" ht="20.1" customHeight="1">
      <c r="A171" s="6" t="inlineStr">
        <is>
          <t>Unsolved</t>
        </is>
      </c>
      <c r="B171" s="7" t="inlineStr">
        <is>
          <t>Prefix Sums</t>
        </is>
      </c>
      <c r="C171" s="7" t="inlineStr">
        <is>
          <t>Difference Array</t>
        </is>
      </c>
      <c r="D171" s="6" t="inlineStr">
        <is>
          <t>1187C</t>
        </is>
      </c>
      <c r="E171" s="6" t="n">
        <v>1187</v>
      </c>
      <c r="F171" s="6" t="inlineStr">
        <is>
          <t>C</t>
        </is>
      </c>
      <c r="G171" s="7" t="inlineStr">
        <is>
          <t>Vasya And Array</t>
        </is>
      </c>
      <c r="H171" s="6" t="n">
        <v>1800</v>
      </c>
      <c r="I171" s="10" t="inlineStr">
        <is>
          <t>Hard</t>
        </is>
      </c>
      <c r="J171" s="7" t="inlineStr">
        <is>
          <t>constructive algorithms, greedy, implementation</t>
        </is>
      </c>
      <c r="K171" s="6" t="n">
        <v>60</v>
      </c>
      <c r="L171" s="6" t="n">
        <v>55</v>
      </c>
      <c r="M171" s="8" t="inlineStr">
        <is>
          <t>https://codeforces.com/problemset/problem/1187/C</t>
        </is>
      </c>
      <c r="N171" s="7" t="n"/>
    </row>
    <row r="172" ht="20.1" customHeight="1">
      <c r="A172" s="2" t="inlineStr">
        <is>
          <t>Unsolved</t>
        </is>
      </c>
      <c r="B172" s="3" t="inlineStr">
        <is>
          <t>Prefix Sums</t>
        </is>
      </c>
      <c r="C172" s="3" t="inlineStr">
        <is>
          <t>Difference Array</t>
        </is>
      </c>
      <c r="D172" s="2" t="inlineStr">
        <is>
          <t>1209E1</t>
        </is>
      </c>
      <c r="E172" s="2" t="n">
        <v>1209</v>
      </c>
      <c r="F172" s="2" t="inlineStr">
        <is>
          <t>E1</t>
        </is>
      </c>
      <c r="G172" s="3" t="inlineStr">
        <is>
          <t>Rotate Columns (easy version)</t>
        </is>
      </c>
      <c r="H172" s="2" t="n">
        <v>2000</v>
      </c>
      <c r="I172" s="10" t="inlineStr">
        <is>
          <t>Hard+</t>
        </is>
      </c>
      <c r="J172" s="3" t="inlineStr">
        <is>
          <t>bitmasks, brute force, dp, greedy, sortings</t>
        </is>
      </c>
      <c r="K172" s="2" t="n">
        <v>90</v>
      </c>
      <c r="L172" s="2" t="n">
        <v>80</v>
      </c>
      <c r="M172" s="5" t="inlineStr">
        <is>
          <t>https://codeforces.com/problemset/problem/1209/E1</t>
        </is>
      </c>
      <c r="N172" s="3" t="n"/>
    </row>
    <row r="173" ht="20.1" customHeight="1">
      <c r="A173" s="6" t="inlineStr">
        <is>
          <t>Unsolved</t>
        </is>
      </c>
      <c r="B173" s="7" t="inlineStr">
        <is>
          <t>Prefix Sums</t>
        </is>
      </c>
      <c r="C173" s="7" t="inlineStr">
        <is>
          <t>Difference Array</t>
        </is>
      </c>
      <c r="D173" s="6" t="inlineStr">
        <is>
          <t>1209E2</t>
        </is>
      </c>
      <c r="E173" s="6" t="n">
        <v>1209</v>
      </c>
      <c r="F173" s="6" t="inlineStr">
        <is>
          <t>E2</t>
        </is>
      </c>
      <c r="G173" s="7" t="inlineStr">
        <is>
          <t>Rotate Columns (hard version)</t>
        </is>
      </c>
      <c r="H173" s="6" t="n">
        <v>2500</v>
      </c>
      <c r="I173" s="12" t="inlineStr">
        <is>
          <t>Master</t>
        </is>
      </c>
      <c r="J173" s="7" t="inlineStr">
        <is>
          <t>bitmasks, dp, greedy, sortings</t>
        </is>
      </c>
      <c r="K173" s="6" t="n">
        <v>120</v>
      </c>
      <c r="L173" s="6" t="n">
        <v>110</v>
      </c>
      <c r="M173" s="8" t="inlineStr">
        <is>
          <t>https://codeforces.com/problemset/problem/1209/E2</t>
        </is>
      </c>
      <c r="N173" s="7" t="n"/>
    </row>
    <row r="174" ht="20.1" customHeight="1">
      <c r="A174" s="2" t="inlineStr">
        <is>
          <t>Unsolved</t>
        </is>
      </c>
      <c r="B174" s="3" t="inlineStr">
        <is>
          <t>Prefix Sums</t>
        </is>
      </c>
      <c r="C174" s="3" t="inlineStr">
        <is>
          <t>Difference Array</t>
        </is>
      </c>
      <c r="D174" s="2" t="inlineStr">
        <is>
          <t>1358D</t>
        </is>
      </c>
      <c r="E174" s="2" t="n">
        <v>1358</v>
      </c>
      <c r="F174" s="2" t="inlineStr">
        <is>
          <t>D</t>
        </is>
      </c>
      <c r="G174" s="3" t="inlineStr">
        <is>
          <t>The Best Vacation</t>
        </is>
      </c>
      <c r="H174" s="2" t="n">
        <v>1900</v>
      </c>
      <c r="I174" s="10" t="inlineStr">
        <is>
          <t>Hard+</t>
        </is>
      </c>
      <c r="J174" s="3" t="inlineStr">
        <is>
          <t>binary search, brute force, greedy, implementation, two pointers</t>
        </is>
      </c>
      <c r="K174" s="2" t="n">
        <v>60</v>
      </c>
      <c r="L174" s="2" t="n">
        <v>55</v>
      </c>
      <c r="M174" s="5" t="inlineStr">
        <is>
          <t>https://codeforces.com/problemset/problem/1358/D</t>
        </is>
      </c>
      <c r="N174" s="3" t="n"/>
    </row>
    <row r="175" ht="20.1" customHeight="1">
      <c r="A175" s="6" t="inlineStr">
        <is>
          <t>Unsolved</t>
        </is>
      </c>
      <c r="B175" s="7" t="inlineStr">
        <is>
          <t>Prefix Sums</t>
        </is>
      </c>
      <c r="C175" s="7" t="inlineStr">
        <is>
          <t>Difference Array</t>
        </is>
      </c>
      <c r="D175" s="6" t="inlineStr">
        <is>
          <t>1490F</t>
        </is>
      </c>
      <c r="E175" s="6" t="n">
        <v>1490</v>
      </c>
      <c r="F175" s="6" t="inlineStr">
        <is>
          <t>F</t>
        </is>
      </c>
      <c r="G175" s="7" t="inlineStr">
        <is>
          <t>Equalize the Array</t>
        </is>
      </c>
      <c r="H175" s="6" t="n">
        <v>1500</v>
      </c>
      <c r="I175" s="9" t="inlineStr">
        <is>
          <t>Medium+</t>
        </is>
      </c>
      <c r="J175" s="7" t="inlineStr">
        <is>
          <t>binary search, data structures, greedy, math, sortings</t>
        </is>
      </c>
      <c r="K175" s="6" t="n">
        <v>40</v>
      </c>
      <c r="L175" s="6" t="n">
        <v>35</v>
      </c>
      <c r="M175" s="8" t="inlineStr">
        <is>
          <t>https://codeforces.com/problemset/problem/1490/F</t>
        </is>
      </c>
      <c r="N175" s="7" t="n"/>
    </row>
    <row r="176" ht="20.1" customHeight="1">
      <c r="A176" s="2" t="inlineStr">
        <is>
          <t>Unsolved</t>
        </is>
      </c>
      <c r="B176" s="3" t="inlineStr">
        <is>
          <t>Prefix Sums</t>
        </is>
      </c>
      <c r="C176" s="3" t="inlineStr">
        <is>
          <t>Difference Array</t>
        </is>
      </c>
      <c r="D176" s="2" t="inlineStr">
        <is>
          <t>1530E</t>
        </is>
      </c>
      <c r="E176" s="2" t="n">
        <v>1530</v>
      </c>
      <c r="F176" s="2" t="inlineStr">
        <is>
          <t>E</t>
        </is>
      </c>
      <c r="G176" s="3" t="inlineStr">
        <is>
          <t>Minimax</t>
        </is>
      </c>
      <c r="H176" s="2" t="n">
        <v>2100</v>
      </c>
      <c r="I176" s="12" t="inlineStr">
        <is>
          <t>Expert</t>
        </is>
      </c>
      <c r="J176" s="3" t="inlineStr">
        <is>
          <t>constructive algorithms, greedy, strings</t>
        </is>
      </c>
      <c r="K176" s="2" t="n">
        <v>90</v>
      </c>
      <c r="L176" s="2" t="n">
        <v>80</v>
      </c>
      <c r="M176" s="5" t="inlineStr">
        <is>
          <t>https://codeforces.com/problemset/problem/1530/E</t>
        </is>
      </c>
      <c r="N176" s="3" t="n"/>
    </row>
    <row r="177" ht="20.1" customHeight="1">
      <c r="A177" s="6" t="inlineStr">
        <is>
          <t>Unsolved</t>
        </is>
      </c>
      <c r="B177" s="7" t="inlineStr">
        <is>
          <t>Prefix Sums</t>
        </is>
      </c>
      <c r="C177" s="7" t="inlineStr">
        <is>
          <t>Prefix XOR</t>
        </is>
      </c>
      <c r="D177" s="6" t="inlineStr">
        <is>
          <t>617E</t>
        </is>
      </c>
      <c r="E177" s="6" t="n">
        <v>617</v>
      </c>
      <c r="F177" s="6" t="inlineStr">
        <is>
          <t>E</t>
        </is>
      </c>
      <c r="G177" s="7" t="inlineStr">
        <is>
          <t>XOR and Favorite Number</t>
        </is>
      </c>
      <c r="H177" s="6" t="n">
        <v>2200</v>
      </c>
      <c r="I177" s="12" t="inlineStr">
        <is>
          <t>Expert</t>
        </is>
      </c>
      <c r="J177" s="7" t="inlineStr">
        <is>
          <t>data structures</t>
        </is>
      </c>
      <c r="K177" s="6" t="n">
        <v>90</v>
      </c>
      <c r="L177" s="6" t="n">
        <v>80</v>
      </c>
      <c r="M177" s="8" t="inlineStr">
        <is>
          <t>https://codeforces.com/problemset/problem/617/E</t>
        </is>
      </c>
      <c r="N177" s="7" t="n"/>
    </row>
    <row r="178" ht="20.1" customHeight="1">
      <c r="A178" s="2" t="inlineStr">
        <is>
          <t>Unsolved</t>
        </is>
      </c>
      <c r="B178" s="3" t="inlineStr">
        <is>
          <t>Prefix Sums</t>
        </is>
      </c>
      <c r="C178" s="3" t="inlineStr">
        <is>
          <t>Prefix XOR</t>
        </is>
      </c>
      <c r="D178" s="2" t="inlineStr">
        <is>
          <t>703D</t>
        </is>
      </c>
      <c r="E178" s="2" t="n">
        <v>703</v>
      </c>
      <c r="F178" s="2" t="inlineStr">
        <is>
          <t>D</t>
        </is>
      </c>
      <c r="G178" s="3" t="inlineStr">
        <is>
          <t>Mishka and Interesting sum</t>
        </is>
      </c>
      <c r="H178" s="2" t="n">
        <v>2100</v>
      </c>
      <c r="I178" s="12" t="inlineStr">
        <is>
          <t>Expert</t>
        </is>
      </c>
      <c r="J178" s="3" t="inlineStr">
        <is>
          <t>data structures</t>
        </is>
      </c>
      <c r="K178" s="2" t="n">
        <v>90</v>
      </c>
      <c r="L178" s="2" t="n">
        <v>80</v>
      </c>
      <c r="M178" s="5" t="inlineStr">
        <is>
          <t>https://codeforces.com/problemset/problem/703/D</t>
        </is>
      </c>
      <c r="N178" s="3" t="n"/>
    </row>
    <row r="179" ht="20.1" customHeight="1">
      <c r="A179" s="6" t="inlineStr">
        <is>
          <t>Unsolved</t>
        </is>
      </c>
      <c r="B179" s="7" t="inlineStr">
        <is>
          <t>Prefix Sums</t>
        </is>
      </c>
      <c r="C179" s="7" t="inlineStr">
        <is>
          <t>Prefix XOR</t>
        </is>
      </c>
      <c r="D179" s="6" t="inlineStr">
        <is>
          <t>862C</t>
        </is>
      </c>
      <c r="E179" s="6" t="n">
        <v>862</v>
      </c>
      <c r="F179" s="6" t="inlineStr">
        <is>
          <t>C</t>
        </is>
      </c>
      <c r="G179" s="7" t="inlineStr">
        <is>
          <t>Mahmoud and Ehab and the xor</t>
        </is>
      </c>
      <c r="H179" s="6" t="n">
        <v>1900</v>
      </c>
      <c r="I179" s="10" t="inlineStr">
        <is>
          <t>Hard+</t>
        </is>
      </c>
      <c r="J179" s="7" t="inlineStr">
        <is>
          <t>constructive algorithms</t>
        </is>
      </c>
      <c r="K179" s="6" t="n">
        <v>60</v>
      </c>
      <c r="L179" s="6" t="n">
        <v>55</v>
      </c>
      <c r="M179" s="8" t="inlineStr">
        <is>
          <t>https://codeforces.com/problemset/problem/862/C</t>
        </is>
      </c>
      <c r="N179" s="7" t="n"/>
    </row>
    <row r="180" ht="20.1" customHeight="1">
      <c r="A180" s="2" t="inlineStr">
        <is>
          <t>Unsolved</t>
        </is>
      </c>
      <c r="B180" s="3" t="inlineStr">
        <is>
          <t>Prefix Sums</t>
        </is>
      </c>
      <c r="C180" s="3" t="inlineStr">
        <is>
          <t>Prefix XOR</t>
        </is>
      </c>
      <c r="D180" s="2" t="inlineStr">
        <is>
          <t>983B</t>
        </is>
      </c>
      <c r="E180" s="2" t="n">
        <v>983</v>
      </c>
      <c r="F180" s="2" t="inlineStr">
        <is>
          <t>B</t>
        </is>
      </c>
      <c r="G180" s="3" t="inlineStr">
        <is>
          <t>XOR-pyramid</t>
        </is>
      </c>
      <c r="H180" s="2" t="n">
        <v>1800</v>
      </c>
      <c r="I180" s="10" t="inlineStr">
        <is>
          <t>Hard</t>
        </is>
      </c>
      <c r="J180" s="3" t="inlineStr">
        <is>
          <t>dp</t>
        </is>
      </c>
      <c r="K180" s="2" t="n">
        <v>60</v>
      </c>
      <c r="L180" s="2" t="n">
        <v>55</v>
      </c>
      <c r="M180" s="5" t="inlineStr">
        <is>
          <t>https://codeforces.com/problemset/problem/983/B</t>
        </is>
      </c>
      <c r="N180" s="3" t="n"/>
    </row>
    <row r="181" ht="20.1" customHeight="1">
      <c r="A181" s="6" t="inlineStr">
        <is>
          <t>Unsolved</t>
        </is>
      </c>
      <c r="B181" s="7" t="inlineStr">
        <is>
          <t>Prefix Sums</t>
        </is>
      </c>
      <c r="C181" s="7" t="inlineStr">
        <is>
          <t>Prefix XOR</t>
        </is>
      </c>
      <c r="D181" s="6" t="inlineStr">
        <is>
          <t>1110E</t>
        </is>
      </c>
      <c r="E181" s="6" t="n">
        <v>1110</v>
      </c>
      <c r="F181" s="6" t="inlineStr">
        <is>
          <t>E</t>
        </is>
      </c>
      <c r="G181" s="7" t="inlineStr">
        <is>
          <t>Magic Stones</t>
        </is>
      </c>
      <c r="H181" s="6" t="n">
        <v>2200</v>
      </c>
      <c r="I181" s="12" t="inlineStr">
        <is>
          <t>Expert</t>
        </is>
      </c>
      <c r="J181" s="7" t="inlineStr">
        <is>
          <t>constructive algorithms, math, sortings</t>
        </is>
      </c>
      <c r="K181" s="6" t="n">
        <v>90</v>
      </c>
      <c r="L181" s="6" t="n">
        <v>80</v>
      </c>
      <c r="M181" s="8" t="inlineStr">
        <is>
          <t>https://codeforces.com/problemset/problem/1110/E</t>
        </is>
      </c>
      <c r="N181" s="7" t="n"/>
    </row>
    <row r="182" ht="20.1" customHeight="1">
      <c r="A182" s="2" t="inlineStr">
        <is>
          <t>Unsolved</t>
        </is>
      </c>
      <c r="B182" s="3" t="inlineStr">
        <is>
          <t>Prefix Sums</t>
        </is>
      </c>
      <c r="C182" s="3" t="inlineStr">
        <is>
          <t>Prefix XOR</t>
        </is>
      </c>
      <c r="D182" s="2" t="inlineStr">
        <is>
          <t>1450D</t>
        </is>
      </c>
      <c r="E182" s="2" t="n">
        <v>1450</v>
      </c>
      <c r="F182" s="2" t="inlineStr">
        <is>
          <t>D</t>
        </is>
      </c>
      <c r="G182" s="3" t="inlineStr">
        <is>
          <t>Rating Compression</t>
        </is>
      </c>
      <c r="H182" s="2" t="n">
        <v>1800</v>
      </c>
      <c r="I182" s="10" t="inlineStr">
        <is>
          <t>Hard</t>
        </is>
      </c>
      <c r="J182" s="3" t="inlineStr">
        <is>
          <t>binary search, data structures, greedy, implementation, two pointers</t>
        </is>
      </c>
      <c r="K182" s="2" t="n">
        <v>60</v>
      </c>
      <c r="L182" s="2" t="n">
        <v>55</v>
      </c>
      <c r="M182" s="5" t="inlineStr">
        <is>
          <t>https://codeforces.com/problemset/problem/1450/D</t>
        </is>
      </c>
      <c r="N182" s="3" t="n"/>
    </row>
    <row r="183" ht="20.1" customHeight="1">
      <c r="A183" s="6" t="inlineStr">
        <is>
          <t>Unsolved</t>
        </is>
      </c>
      <c r="B183" s="7" t="inlineStr">
        <is>
          <t>Prefix Sums</t>
        </is>
      </c>
      <c r="C183" s="7" t="inlineStr">
        <is>
          <t>Prefix XOR</t>
        </is>
      </c>
      <c r="D183" s="6" t="inlineStr">
        <is>
          <t>1552F</t>
        </is>
      </c>
      <c r="E183" s="6" t="n">
        <v>1552</v>
      </c>
      <c r="F183" s="6" t="inlineStr">
        <is>
          <t>F</t>
        </is>
      </c>
      <c r="G183" s="7" t="inlineStr">
        <is>
          <t>Telepanting</t>
        </is>
      </c>
      <c r="H183" s="6" t="n">
        <v>2200</v>
      </c>
      <c r="I183" s="12" t="inlineStr">
        <is>
          <t>Expert</t>
        </is>
      </c>
      <c r="J183" s="7" t="inlineStr">
        <is>
          <t>binary search, data structures, dp, sortings</t>
        </is>
      </c>
      <c r="K183" s="6" t="n">
        <v>90</v>
      </c>
      <c r="L183" s="6" t="n">
        <v>80</v>
      </c>
      <c r="M183" s="8" t="inlineStr">
        <is>
          <t>https://codeforces.com/problemset/problem/1552/F</t>
        </is>
      </c>
      <c r="N183" s="7" t="n"/>
    </row>
    <row r="184" ht="20.1" customHeight="1">
      <c r="A184" s="2" t="inlineStr">
        <is>
          <t>Unsolved</t>
        </is>
      </c>
      <c r="B184" s="3" t="inlineStr">
        <is>
          <t>Two Pointers</t>
        </is>
      </c>
      <c r="C184" s="3" t="inlineStr">
        <is>
          <t>Classic Two Pointers</t>
        </is>
      </c>
      <c r="D184" s="2" t="inlineStr">
        <is>
          <t>279B</t>
        </is>
      </c>
      <c r="E184" s="2" t="n">
        <v>279</v>
      </c>
      <c r="F184" s="2" t="inlineStr">
        <is>
          <t>B</t>
        </is>
      </c>
      <c r="G184" s="3" t="inlineStr">
        <is>
          <t>Books</t>
        </is>
      </c>
      <c r="H184" s="2" t="n">
        <v>1400</v>
      </c>
      <c r="I184" s="9" t="inlineStr">
        <is>
          <t>Medium</t>
        </is>
      </c>
      <c r="J184" s="3" t="inlineStr">
        <is>
          <t>binary search, brute force, implementation, two pointers</t>
        </is>
      </c>
      <c r="K184" s="2" t="n">
        <v>40</v>
      </c>
      <c r="L184" s="2" t="n">
        <v>35</v>
      </c>
      <c r="M184" s="5" t="inlineStr">
        <is>
          <t>https://codeforces.com/problemset/problem/279/B</t>
        </is>
      </c>
      <c r="N184" s="3" t="n"/>
    </row>
    <row r="185" ht="20.1" customHeight="1">
      <c r="A185" s="6" t="inlineStr">
        <is>
          <t>Unsolved</t>
        </is>
      </c>
      <c r="B185" s="7" t="inlineStr">
        <is>
          <t>Two Pointers</t>
        </is>
      </c>
      <c r="C185" s="7" t="inlineStr">
        <is>
          <t>Classic Two Pointers</t>
        </is>
      </c>
      <c r="D185" s="6" t="inlineStr">
        <is>
          <t>580B</t>
        </is>
      </c>
      <c r="E185" s="6" t="n">
        <v>580</v>
      </c>
      <c r="F185" s="6" t="inlineStr">
        <is>
          <t>B</t>
        </is>
      </c>
      <c r="G185" s="7" t="inlineStr">
        <is>
          <t>Kefa and Company</t>
        </is>
      </c>
      <c r="H185" s="6" t="n">
        <v>1500</v>
      </c>
      <c r="I185" s="9" t="inlineStr">
        <is>
          <t>Medium+</t>
        </is>
      </c>
      <c r="J185" s="7" t="inlineStr">
        <is>
          <t>binary search, sortings, two pointers</t>
        </is>
      </c>
      <c r="K185" s="6" t="n">
        <v>40</v>
      </c>
      <c r="L185" s="6" t="n">
        <v>35</v>
      </c>
      <c r="M185" s="8" t="inlineStr">
        <is>
          <t>https://codeforces.com/problemset/problem/580/B</t>
        </is>
      </c>
      <c r="N185" s="7" t="n"/>
    </row>
    <row r="186" ht="20.1" customHeight="1">
      <c r="A186" s="2" t="inlineStr">
        <is>
          <t>Unsolved</t>
        </is>
      </c>
      <c r="B186" s="3" t="inlineStr">
        <is>
          <t>Two Pointers</t>
        </is>
      </c>
      <c r="C186" s="3" t="inlineStr">
        <is>
          <t>Classic Two Pointers</t>
        </is>
      </c>
      <c r="D186" s="2" t="inlineStr">
        <is>
          <t>602B</t>
        </is>
      </c>
      <c r="E186" s="2" t="n">
        <v>602</v>
      </c>
      <c r="F186" s="2" t="inlineStr">
        <is>
          <t>B</t>
        </is>
      </c>
      <c r="G186" s="3" t="inlineStr">
        <is>
          <t>Approximating a Constant Range</t>
        </is>
      </c>
      <c r="H186" s="2" t="n">
        <v>1400</v>
      </c>
      <c r="I186" s="9" t="inlineStr">
        <is>
          <t>Medium</t>
        </is>
      </c>
      <c r="J186" s="3" t="inlineStr">
        <is>
          <t>dp, implementation, two pointers</t>
        </is>
      </c>
      <c r="K186" s="2" t="n">
        <v>40</v>
      </c>
      <c r="L186" s="2" t="n">
        <v>35</v>
      </c>
      <c r="M186" s="5" t="inlineStr">
        <is>
          <t>https://codeforces.com/problemset/problem/602/B</t>
        </is>
      </c>
      <c r="N186" s="3" t="n"/>
    </row>
    <row r="187" ht="20.1" customHeight="1">
      <c r="A187" s="6" t="inlineStr">
        <is>
          <t>Unsolved</t>
        </is>
      </c>
      <c r="B187" s="7" t="inlineStr">
        <is>
          <t>Two Pointers</t>
        </is>
      </c>
      <c r="C187" s="7" t="inlineStr">
        <is>
          <t>Classic Two Pointers</t>
        </is>
      </c>
      <c r="D187" s="6" t="inlineStr">
        <is>
          <t>616D</t>
        </is>
      </c>
      <c r="E187" s="6" t="n">
        <v>616</v>
      </c>
      <c r="F187" s="6" t="inlineStr">
        <is>
          <t>D</t>
        </is>
      </c>
      <c r="G187" s="7" t="inlineStr">
        <is>
          <t>Longest k-Good Segment</t>
        </is>
      </c>
      <c r="H187" s="6" t="n">
        <v>1600</v>
      </c>
      <c r="I187" s="9" t="inlineStr">
        <is>
          <t>Medium+</t>
        </is>
      </c>
      <c r="J187" s="7" t="inlineStr">
        <is>
          <t>binary search, data structures, two pointers</t>
        </is>
      </c>
      <c r="K187" s="6" t="n">
        <v>40</v>
      </c>
      <c r="L187" s="6" t="n">
        <v>35</v>
      </c>
      <c r="M187" s="8" t="inlineStr">
        <is>
          <t>https://codeforces.com/problemset/problem/616/D</t>
        </is>
      </c>
      <c r="N187" s="7" t="n"/>
    </row>
    <row r="188" ht="20.1" customHeight="1">
      <c r="A188" s="2" t="inlineStr">
        <is>
          <t>Unsolved</t>
        </is>
      </c>
      <c r="B188" s="3" t="inlineStr">
        <is>
          <t>Two Pointers</t>
        </is>
      </c>
      <c r="C188" s="3" t="inlineStr">
        <is>
          <t>Classic Two Pointers</t>
        </is>
      </c>
      <c r="D188" s="2" t="inlineStr">
        <is>
          <t>702C</t>
        </is>
      </c>
      <c r="E188" s="2" t="n">
        <v>702</v>
      </c>
      <c r="F188" s="2" t="inlineStr">
        <is>
          <t>C</t>
        </is>
      </c>
      <c r="G188" s="3" t="inlineStr">
        <is>
          <t>Cellular Network</t>
        </is>
      </c>
      <c r="H188" s="2" t="n">
        <v>1500</v>
      </c>
      <c r="I188" s="9" t="inlineStr">
        <is>
          <t>Medium+</t>
        </is>
      </c>
      <c r="J188" s="3" t="inlineStr">
        <is>
          <t>binary search, implementation, two pointers</t>
        </is>
      </c>
      <c r="K188" s="2" t="n">
        <v>40</v>
      </c>
      <c r="L188" s="2" t="n">
        <v>35</v>
      </c>
      <c r="M188" s="5" t="inlineStr">
        <is>
          <t>https://codeforces.com/problemset/problem/702/C</t>
        </is>
      </c>
      <c r="N188" s="3" t="n"/>
    </row>
    <row r="189" ht="20.1" customHeight="1">
      <c r="A189" s="6" t="inlineStr">
        <is>
          <t>Unsolved</t>
        </is>
      </c>
      <c r="B189" s="7" t="inlineStr">
        <is>
          <t>Two Pointers</t>
        </is>
      </c>
      <c r="C189" s="7" t="inlineStr">
        <is>
          <t>Classic Two Pointers</t>
        </is>
      </c>
      <c r="D189" s="6" t="inlineStr">
        <is>
          <t>1157C1</t>
        </is>
      </c>
      <c r="E189" s="6" t="n">
        <v>1157</v>
      </c>
      <c r="F189" s="6" t="inlineStr">
        <is>
          <t>C1</t>
        </is>
      </c>
      <c r="G189" s="7" t="inlineStr">
        <is>
          <t>Increasing Subsequence (easy version)</t>
        </is>
      </c>
      <c r="H189" s="6" t="n">
        <v>1300</v>
      </c>
      <c r="I189" s="9" t="inlineStr">
        <is>
          <t>Medium</t>
        </is>
      </c>
      <c r="J189" s="7" t="inlineStr">
        <is>
          <t>greedy</t>
        </is>
      </c>
      <c r="K189" s="6" t="n">
        <v>25</v>
      </c>
      <c r="L189" s="6" t="n">
        <v>20</v>
      </c>
      <c r="M189" s="8" t="inlineStr">
        <is>
          <t>https://codeforces.com/problemset/problem/1157/C1</t>
        </is>
      </c>
      <c r="N189" s="7" t="n"/>
    </row>
    <row r="190" ht="20.1" customHeight="1">
      <c r="A190" s="2" t="inlineStr">
        <is>
          <t>Unsolved</t>
        </is>
      </c>
      <c r="B190" s="3" t="inlineStr">
        <is>
          <t>Two Pointers</t>
        </is>
      </c>
      <c r="C190" s="3" t="inlineStr">
        <is>
          <t>Classic Two Pointers</t>
        </is>
      </c>
      <c r="D190" s="2" t="inlineStr">
        <is>
          <t>1157C2</t>
        </is>
      </c>
      <c r="E190" s="2" t="n">
        <v>1157</v>
      </c>
      <c r="F190" s="2" t="inlineStr">
        <is>
          <t>C2</t>
        </is>
      </c>
      <c r="G190" s="3" t="inlineStr">
        <is>
          <t>Increasing Subsequence (hard version)</t>
        </is>
      </c>
      <c r="H190" s="2" t="n">
        <v>1700</v>
      </c>
      <c r="I190" s="10" t="inlineStr">
        <is>
          <t>Hard</t>
        </is>
      </c>
      <c r="J190" s="3" t="inlineStr">
        <is>
          <t>greedy</t>
        </is>
      </c>
      <c r="K190" s="2" t="n">
        <v>60</v>
      </c>
      <c r="L190" s="2" t="n">
        <v>55</v>
      </c>
      <c r="M190" s="5" t="inlineStr">
        <is>
          <t>https://codeforces.com/problemset/problem/1157/C2</t>
        </is>
      </c>
      <c r="N190" s="3" t="n"/>
    </row>
    <row r="191" ht="20.1" customHeight="1">
      <c r="A191" s="6" t="inlineStr">
        <is>
          <t>Unsolved</t>
        </is>
      </c>
      <c r="B191" s="7" t="inlineStr">
        <is>
          <t>Two Pointers</t>
        </is>
      </c>
      <c r="C191" s="7" t="inlineStr">
        <is>
          <t>Classic Two Pointers</t>
        </is>
      </c>
      <c r="D191" s="6" t="inlineStr">
        <is>
          <t>1197C</t>
        </is>
      </c>
      <c r="E191" s="6" t="n">
        <v>1197</v>
      </c>
      <c r="F191" s="6" t="inlineStr">
        <is>
          <t>C</t>
        </is>
      </c>
      <c r="G191" s="7" t="inlineStr">
        <is>
          <t>Array Splitting</t>
        </is>
      </c>
      <c r="H191" s="6" t="n">
        <v>1400</v>
      </c>
      <c r="I191" s="9" t="inlineStr">
        <is>
          <t>Medium</t>
        </is>
      </c>
      <c r="J191" s="7" t="inlineStr">
        <is>
          <t>greedy, sortings</t>
        </is>
      </c>
      <c r="K191" s="6" t="n">
        <v>40</v>
      </c>
      <c r="L191" s="6" t="n">
        <v>35</v>
      </c>
      <c r="M191" s="8" t="inlineStr">
        <is>
          <t>https://codeforces.com/problemset/problem/1197/C</t>
        </is>
      </c>
      <c r="N191" s="7" t="n"/>
    </row>
    <row r="192" ht="20.1" customHeight="1">
      <c r="A192" s="2" t="inlineStr">
        <is>
          <t>Unsolved</t>
        </is>
      </c>
      <c r="B192" s="3" t="inlineStr">
        <is>
          <t>Two Pointers</t>
        </is>
      </c>
      <c r="C192" s="3" t="inlineStr">
        <is>
          <t>Classic Two Pointers</t>
        </is>
      </c>
      <c r="D192" s="2" t="inlineStr">
        <is>
          <t>1257C</t>
        </is>
      </c>
      <c r="E192" s="2" t="n">
        <v>1257</v>
      </c>
      <c r="F192" s="2" t="inlineStr">
        <is>
          <t>C</t>
        </is>
      </c>
      <c r="G192" s="3" t="inlineStr">
        <is>
          <t>Dominated Subarray</t>
        </is>
      </c>
      <c r="H192" s="2" t="n">
        <v>1200</v>
      </c>
      <c r="I192" s="4" t="inlineStr">
        <is>
          <t>Easy+</t>
        </is>
      </c>
      <c r="J192" s="3" t="inlineStr">
        <is>
          <t>greedy, implementation, sortings, strings, two pointers</t>
        </is>
      </c>
      <c r="K192" s="2" t="n">
        <v>25</v>
      </c>
      <c r="L192" s="2" t="n">
        <v>20</v>
      </c>
      <c r="M192" s="5" t="inlineStr">
        <is>
          <t>https://codeforces.com/problemset/problem/1257/C</t>
        </is>
      </c>
      <c r="N192" s="3" t="n"/>
    </row>
    <row r="193" ht="20.1" customHeight="1">
      <c r="A193" s="6" t="inlineStr">
        <is>
          <t>Unsolved</t>
        </is>
      </c>
      <c r="B193" s="7" t="inlineStr">
        <is>
          <t>Two Pointers</t>
        </is>
      </c>
      <c r="C193" s="7" t="inlineStr">
        <is>
          <t>Classic Two Pointers</t>
        </is>
      </c>
      <c r="D193" s="6" t="inlineStr">
        <is>
          <t>1295B</t>
        </is>
      </c>
      <c r="E193" s="6" t="n">
        <v>1295</v>
      </c>
      <c r="F193" s="6" t="inlineStr">
        <is>
          <t>B</t>
        </is>
      </c>
      <c r="G193" s="7" t="inlineStr">
        <is>
          <t>Infinite Prefixes</t>
        </is>
      </c>
      <c r="H193" s="6" t="n">
        <v>1700</v>
      </c>
      <c r="I193" s="10" t="inlineStr">
        <is>
          <t>Hard</t>
        </is>
      </c>
      <c r="J193" s="7" t="inlineStr">
        <is>
          <t>math, strings</t>
        </is>
      </c>
      <c r="K193" s="6" t="n">
        <v>60</v>
      </c>
      <c r="L193" s="6" t="n">
        <v>55</v>
      </c>
      <c r="M193" s="8" t="inlineStr">
        <is>
          <t>https://codeforces.com/problemset/problem/1295/B</t>
        </is>
      </c>
      <c r="N193" s="7" t="n"/>
    </row>
    <row r="194" ht="20.1" customHeight="1">
      <c r="A194" s="2" t="inlineStr">
        <is>
          <t>Unsolved</t>
        </is>
      </c>
      <c r="B194" s="3" t="inlineStr">
        <is>
          <t>Two Pointers</t>
        </is>
      </c>
      <c r="C194" s="3" t="inlineStr">
        <is>
          <t>Classic Two Pointers</t>
        </is>
      </c>
      <c r="D194" s="2" t="inlineStr">
        <is>
          <t>1373C</t>
        </is>
      </c>
      <c r="E194" s="2" t="n">
        <v>1373</v>
      </c>
      <c r="F194" s="2" t="inlineStr">
        <is>
          <t>C</t>
        </is>
      </c>
      <c r="G194" s="3" t="inlineStr">
        <is>
          <t>Pluses and Minuses</t>
        </is>
      </c>
      <c r="H194" s="2" t="n">
        <v>1300</v>
      </c>
      <c r="I194" s="9" t="inlineStr">
        <is>
          <t>Medium</t>
        </is>
      </c>
      <c r="J194" s="3" t="inlineStr">
        <is>
          <t>math</t>
        </is>
      </c>
      <c r="K194" s="2" t="n">
        <v>25</v>
      </c>
      <c r="L194" s="2" t="n">
        <v>20</v>
      </c>
      <c r="M194" s="5" t="inlineStr">
        <is>
          <t>https://codeforces.com/problemset/problem/1373/C</t>
        </is>
      </c>
      <c r="N194" s="3" t="n"/>
    </row>
    <row r="195" ht="20.1" customHeight="1">
      <c r="A195" s="6" t="inlineStr">
        <is>
          <t>Unsolved</t>
        </is>
      </c>
      <c r="B195" s="7" t="inlineStr">
        <is>
          <t>Two Pointers</t>
        </is>
      </c>
      <c r="C195" s="7" t="inlineStr">
        <is>
          <t>Classic Two Pointers</t>
        </is>
      </c>
      <c r="D195" s="6" t="inlineStr">
        <is>
          <t>1490G</t>
        </is>
      </c>
      <c r="E195" s="6" t="n">
        <v>1490</v>
      </c>
      <c r="F195" s="6" t="inlineStr">
        <is>
          <t>G</t>
        </is>
      </c>
      <c r="G195" s="7" t="inlineStr">
        <is>
          <t xml:space="preserve">Old Floppy Drive </t>
        </is>
      </c>
      <c r="H195" s="6" t="n">
        <v>1900</v>
      </c>
      <c r="I195" s="10" t="inlineStr">
        <is>
          <t>Hard+</t>
        </is>
      </c>
      <c r="J195" s="7" t="inlineStr">
        <is>
          <t>binary search, data structures, math</t>
        </is>
      </c>
      <c r="K195" s="6" t="n">
        <v>60</v>
      </c>
      <c r="L195" s="6" t="n">
        <v>55</v>
      </c>
      <c r="M195" s="8" t="inlineStr">
        <is>
          <t>https://codeforces.com/problemset/problem/1490/G</t>
        </is>
      </c>
      <c r="N195" s="7" t="n"/>
    </row>
    <row r="196" ht="20.1" customHeight="1">
      <c r="A196" s="2" t="inlineStr">
        <is>
          <t>Unsolved</t>
        </is>
      </c>
      <c r="B196" s="3" t="inlineStr">
        <is>
          <t>Two Pointers</t>
        </is>
      </c>
      <c r="C196" s="3" t="inlineStr">
        <is>
          <t>Opposite Direction Pointers</t>
        </is>
      </c>
      <c r="D196" s="2" t="inlineStr">
        <is>
          <t>6C</t>
        </is>
      </c>
      <c r="E196" s="2" t="n">
        <v>6</v>
      </c>
      <c r="F196" s="2" t="inlineStr">
        <is>
          <t>C</t>
        </is>
      </c>
      <c r="G196" s="3" t="inlineStr">
        <is>
          <t>Alice, Bob and Chocolate</t>
        </is>
      </c>
      <c r="H196" s="2" t="n">
        <v>1200</v>
      </c>
      <c r="I196" s="4" t="inlineStr">
        <is>
          <t>Easy+</t>
        </is>
      </c>
      <c r="J196" s="3" t="inlineStr">
        <is>
          <t>greedy, two pointers</t>
        </is>
      </c>
      <c r="K196" s="2" t="n">
        <v>25</v>
      </c>
      <c r="L196" s="2" t="n">
        <v>20</v>
      </c>
      <c r="M196" s="5" t="inlineStr">
        <is>
          <t>https://codeforces.com/problemset/problem/6/C</t>
        </is>
      </c>
      <c r="N196" s="3" t="n"/>
    </row>
    <row r="197" ht="20.1" customHeight="1">
      <c r="A197" s="6" t="inlineStr">
        <is>
          <t>Unsolved</t>
        </is>
      </c>
      <c r="B197" s="7" t="inlineStr">
        <is>
          <t>Two Pointers</t>
        </is>
      </c>
      <c r="C197" s="7" t="inlineStr">
        <is>
          <t>Opposite Direction Pointers</t>
        </is>
      </c>
      <c r="D197" s="6" t="inlineStr">
        <is>
          <t>701C</t>
        </is>
      </c>
      <c r="E197" s="6" t="n">
        <v>701</v>
      </c>
      <c r="F197" s="6" t="inlineStr">
        <is>
          <t>C</t>
        </is>
      </c>
      <c r="G197" s="7" t="inlineStr">
        <is>
          <t>They Are Everywhere</t>
        </is>
      </c>
      <c r="H197" s="6" t="n">
        <v>1500</v>
      </c>
      <c r="I197" s="9" t="inlineStr">
        <is>
          <t>Medium+</t>
        </is>
      </c>
      <c r="J197" s="7" t="inlineStr">
        <is>
          <t>binary search, strings, two pointers</t>
        </is>
      </c>
      <c r="K197" s="6" t="n">
        <v>40</v>
      </c>
      <c r="L197" s="6" t="n">
        <v>35</v>
      </c>
      <c r="M197" s="8" t="inlineStr">
        <is>
          <t>https://codeforces.com/problemset/problem/701/C</t>
        </is>
      </c>
      <c r="N197" s="7" t="n"/>
    </row>
    <row r="198" ht="20.1" customHeight="1">
      <c r="A198" s="2" t="inlineStr">
        <is>
          <t>Unsolved</t>
        </is>
      </c>
      <c r="B198" s="3" t="inlineStr">
        <is>
          <t>Two Pointers</t>
        </is>
      </c>
      <c r="C198" s="3" t="inlineStr">
        <is>
          <t>Opposite Direction Pointers</t>
        </is>
      </c>
      <c r="D198" s="2" t="inlineStr">
        <is>
          <t>961B</t>
        </is>
      </c>
      <c r="E198" s="2" t="n">
        <v>961</v>
      </c>
      <c r="F198" s="2" t="inlineStr">
        <is>
          <t>B</t>
        </is>
      </c>
      <c r="G198" s="3" t="inlineStr">
        <is>
          <t>Lecture Sleep</t>
        </is>
      </c>
      <c r="H198" s="2" t="n">
        <v>1200</v>
      </c>
      <c r="I198" s="4" t="inlineStr">
        <is>
          <t>Easy+</t>
        </is>
      </c>
      <c r="J198" s="3" t="inlineStr">
        <is>
          <t>data structures, dp, implementation, two pointers</t>
        </is>
      </c>
      <c r="K198" s="2" t="n">
        <v>25</v>
      </c>
      <c r="L198" s="2" t="n">
        <v>20</v>
      </c>
      <c r="M198" s="5" t="inlineStr">
        <is>
          <t>https://codeforces.com/problemset/problem/961/B</t>
        </is>
      </c>
      <c r="N198" s="3" t="n"/>
    </row>
    <row r="199" ht="20.1" customHeight="1">
      <c r="A199" s="6" t="inlineStr">
        <is>
          <t>Unsolved</t>
        </is>
      </c>
      <c r="B199" s="7" t="inlineStr">
        <is>
          <t>Two Pointers</t>
        </is>
      </c>
      <c r="C199" s="7" t="inlineStr">
        <is>
          <t>Opposite Direction Pointers</t>
        </is>
      </c>
      <c r="D199" s="6" t="inlineStr">
        <is>
          <t>1133C</t>
        </is>
      </c>
      <c r="E199" s="6" t="n">
        <v>1133</v>
      </c>
      <c r="F199" s="6" t="inlineStr">
        <is>
          <t>C</t>
        </is>
      </c>
      <c r="G199" s="7" t="inlineStr">
        <is>
          <t>Balanced Team</t>
        </is>
      </c>
      <c r="H199" s="6" t="n">
        <v>1200</v>
      </c>
      <c r="I199" s="4" t="inlineStr">
        <is>
          <t>Easy+</t>
        </is>
      </c>
      <c r="J199" s="7" t="inlineStr">
        <is>
          <t>sortings, two pointers</t>
        </is>
      </c>
      <c r="K199" s="6" t="n">
        <v>25</v>
      </c>
      <c r="L199" s="6" t="n">
        <v>20</v>
      </c>
      <c r="M199" s="8" t="inlineStr">
        <is>
          <t>https://codeforces.com/problemset/problem/1133/C</t>
        </is>
      </c>
      <c r="N199" s="7" t="n"/>
    </row>
    <row r="200" ht="20.1" customHeight="1">
      <c r="A200" s="2" t="inlineStr">
        <is>
          <t>Unsolved</t>
        </is>
      </c>
      <c r="B200" s="3" t="inlineStr">
        <is>
          <t>Two Pointers</t>
        </is>
      </c>
      <c r="C200" s="3" t="inlineStr">
        <is>
          <t>Opposite Direction Pointers</t>
        </is>
      </c>
      <c r="D200" s="2" t="inlineStr">
        <is>
          <t>1156C</t>
        </is>
      </c>
      <c r="E200" s="2" t="n">
        <v>1156</v>
      </c>
      <c r="F200" s="2" t="inlineStr">
        <is>
          <t>C</t>
        </is>
      </c>
      <c r="G200" s="3" t="inlineStr">
        <is>
          <t>Match Points</t>
        </is>
      </c>
      <c r="H200" s="2" t="n">
        <v>2000</v>
      </c>
      <c r="I200" s="10" t="inlineStr">
        <is>
          <t>Hard+</t>
        </is>
      </c>
      <c r="J200" s="3" t="inlineStr">
        <is>
          <t>binary search, greedy, sortings, ternary search, two pointers</t>
        </is>
      </c>
      <c r="K200" s="2" t="n">
        <v>90</v>
      </c>
      <c r="L200" s="2" t="n">
        <v>80</v>
      </c>
      <c r="M200" s="5" t="inlineStr">
        <is>
          <t>https://codeforces.com/problemset/problem/1156/C</t>
        </is>
      </c>
      <c r="N200" s="3" t="n"/>
    </row>
    <row r="201" ht="20.1" customHeight="1">
      <c r="A201" s="6" t="inlineStr">
        <is>
          <t>Unsolved</t>
        </is>
      </c>
      <c r="B201" s="7" t="inlineStr">
        <is>
          <t>Two Pointers</t>
        </is>
      </c>
      <c r="C201" s="7" t="inlineStr">
        <is>
          <t>Opposite Direction Pointers</t>
        </is>
      </c>
      <c r="D201" s="6" t="inlineStr">
        <is>
          <t>1234D</t>
        </is>
      </c>
      <c r="E201" s="6" t="n">
        <v>1234</v>
      </c>
      <c r="F201" s="6" t="inlineStr">
        <is>
          <t>D</t>
        </is>
      </c>
      <c r="G201" s="7" t="inlineStr">
        <is>
          <t>Distinct Characters Queries</t>
        </is>
      </c>
      <c r="H201" s="6" t="n">
        <v>1600</v>
      </c>
      <c r="I201" s="9" t="inlineStr">
        <is>
          <t>Medium+</t>
        </is>
      </c>
      <c r="J201" s="7" t="inlineStr">
        <is>
          <t>data structures</t>
        </is>
      </c>
      <c r="K201" s="6" t="n">
        <v>40</v>
      </c>
      <c r="L201" s="6" t="n">
        <v>35</v>
      </c>
      <c r="M201" s="8" t="inlineStr">
        <is>
          <t>https://codeforces.com/problemset/problem/1234/D</t>
        </is>
      </c>
      <c r="N201" s="7" t="n"/>
    </row>
    <row r="202" ht="20.1" customHeight="1">
      <c r="A202" s="2" t="inlineStr">
        <is>
          <t>Unsolved</t>
        </is>
      </c>
      <c r="B202" s="3" t="inlineStr">
        <is>
          <t>Two Pointers</t>
        </is>
      </c>
      <c r="C202" s="3" t="inlineStr">
        <is>
          <t>Opposite Direction Pointers</t>
        </is>
      </c>
      <c r="D202" s="2" t="inlineStr">
        <is>
          <t>1605C</t>
        </is>
      </c>
      <c r="E202" s="2" t="n">
        <v>1605</v>
      </c>
      <c r="F202" s="2" t="inlineStr">
        <is>
          <t>C</t>
        </is>
      </c>
      <c r="G202" s="3" t="inlineStr">
        <is>
          <t>Dominant Character</t>
        </is>
      </c>
      <c r="H202" s="2" t="n">
        <v>1400</v>
      </c>
      <c r="I202" s="9" t="inlineStr">
        <is>
          <t>Medium</t>
        </is>
      </c>
      <c r="J202" s="3" t="inlineStr">
        <is>
          <t>brute force, greedy, implementation, strings</t>
        </is>
      </c>
      <c r="K202" s="2" t="n">
        <v>40</v>
      </c>
      <c r="L202" s="2" t="n">
        <v>35</v>
      </c>
      <c r="M202" s="5" t="inlineStr">
        <is>
          <t>https://codeforces.com/problemset/problem/1605/C</t>
        </is>
      </c>
      <c r="N202" s="3" t="n"/>
    </row>
    <row r="203" ht="20.1" customHeight="1">
      <c r="A203" s="6" t="inlineStr">
        <is>
          <t>Unsolved</t>
        </is>
      </c>
      <c r="B203" s="7" t="inlineStr">
        <is>
          <t>Two Pointers</t>
        </is>
      </c>
      <c r="C203" s="7" t="inlineStr">
        <is>
          <t>Sliding Window</t>
        </is>
      </c>
      <c r="D203" s="6" t="inlineStr">
        <is>
          <t>676C</t>
        </is>
      </c>
      <c r="E203" s="6" t="n">
        <v>676</v>
      </c>
      <c r="F203" s="6" t="inlineStr">
        <is>
          <t>C</t>
        </is>
      </c>
      <c r="G203" s="7" t="inlineStr">
        <is>
          <t>Vasya and String</t>
        </is>
      </c>
      <c r="H203" s="6" t="n">
        <v>1500</v>
      </c>
      <c r="I203" s="9" t="inlineStr">
        <is>
          <t>Medium+</t>
        </is>
      </c>
      <c r="J203" s="7" t="inlineStr">
        <is>
          <t>binary search, dp, strings, two pointers</t>
        </is>
      </c>
      <c r="K203" s="6" t="n">
        <v>40</v>
      </c>
      <c r="L203" s="6" t="n">
        <v>35</v>
      </c>
      <c r="M203" s="8" t="inlineStr">
        <is>
          <t>https://codeforces.com/problemset/problem/676/C</t>
        </is>
      </c>
      <c r="N203" s="7" t="n"/>
    </row>
    <row r="204" ht="20.1" customHeight="1">
      <c r="A204" s="2" t="inlineStr">
        <is>
          <t>Unsolved</t>
        </is>
      </c>
      <c r="B204" s="3" t="inlineStr">
        <is>
          <t>Two Pointers</t>
        </is>
      </c>
      <c r="C204" s="3" t="inlineStr">
        <is>
          <t>Sliding Window</t>
        </is>
      </c>
      <c r="D204" s="2" t="inlineStr">
        <is>
          <t>1041C</t>
        </is>
      </c>
      <c r="E204" s="2" t="n">
        <v>1041</v>
      </c>
      <c r="F204" s="2" t="inlineStr">
        <is>
          <t>C</t>
        </is>
      </c>
      <c r="G204" s="3" t="inlineStr">
        <is>
          <t>Coffee Break</t>
        </is>
      </c>
      <c r="H204" s="2" t="n">
        <v>1600</v>
      </c>
      <c r="I204" s="9" t="inlineStr">
        <is>
          <t>Medium+</t>
        </is>
      </c>
      <c r="J204" s="3" t="inlineStr">
        <is>
          <t>binary search, data structures, greedy, two pointers</t>
        </is>
      </c>
      <c r="K204" s="2" t="n">
        <v>40</v>
      </c>
      <c r="L204" s="2" t="n">
        <v>35</v>
      </c>
      <c r="M204" s="5" t="inlineStr">
        <is>
          <t>https://codeforces.com/problemset/problem/1041/C</t>
        </is>
      </c>
      <c r="N204" s="3" t="n"/>
    </row>
    <row r="205" ht="20.1" customHeight="1">
      <c r="A205" s="6" t="inlineStr">
        <is>
          <t>Unsolved</t>
        </is>
      </c>
      <c r="B205" s="7" t="inlineStr">
        <is>
          <t>Two Pointers</t>
        </is>
      </c>
      <c r="C205" s="7" t="inlineStr">
        <is>
          <t>Sliding Window</t>
        </is>
      </c>
      <c r="D205" s="6" t="inlineStr">
        <is>
          <t>1077D</t>
        </is>
      </c>
      <c r="E205" s="6" t="n">
        <v>1077</v>
      </c>
      <c r="F205" s="6" t="inlineStr">
        <is>
          <t>D</t>
        </is>
      </c>
      <c r="G205" s="7" t="inlineStr">
        <is>
          <t>Cutting Out</t>
        </is>
      </c>
      <c r="H205" s="6" t="n">
        <v>1600</v>
      </c>
      <c r="I205" s="9" t="inlineStr">
        <is>
          <t>Medium+</t>
        </is>
      </c>
      <c r="J205" s="7" t="inlineStr">
        <is>
          <t>binary search, sortings</t>
        </is>
      </c>
      <c r="K205" s="6" t="n">
        <v>40</v>
      </c>
      <c r="L205" s="6" t="n">
        <v>35</v>
      </c>
      <c r="M205" s="8" t="inlineStr">
        <is>
          <t>https://codeforces.com/problemset/problem/1077/D</t>
        </is>
      </c>
      <c r="N205" s="7" t="n"/>
    </row>
    <row r="206" ht="20.1" customHeight="1">
      <c r="A206" s="2" t="inlineStr">
        <is>
          <t>Unsolved</t>
        </is>
      </c>
      <c r="B206" s="3" t="inlineStr">
        <is>
          <t>Two Pointers</t>
        </is>
      </c>
      <c r="C206" s="3" t="inlineStr">
        <is>
          <t>Sliding Window</t>
        </is>
      </c>
      <c r="D206" s="2" t="inlineStr">
        <is>
          <t>1335C</t>
        </is>
      </c>
      <c r="E206" s="2" t="n">
        <v>1335</v>
      </c>
      <c r="F206" s="2" t="inlineStr">
        <is>
          <t>C</t>
        </is>
      </c>
      <c r="G206" s="3" t="inlineStr">
        <is>
          <t>Two Teams Composing</t>
        </is>
      </c>
      <c r="H206" s="2" t="n">
        <v>1100</v>
      </c>
      <c r="I206" s="4" t="inlineStr">
        <is>
          <t>Easy+</t>
        </is>
      </c>
      <c r="J206" s="3" t="inlineStr">
        <is>
          <t>binary search, greedy, implementation, sortings</t>
        </is>
      </c>
      <c r="K206" s="2" t="n">
        <v>25</v>
      </c>
      <c r="L206" s="2" t="n">
        <v>20</v>
      </c>
      <c r="M206" s="5" t="inlineStr">
        <is>
          <t>https://codeforces.com/problemset/problem/1335/C</t>
        </is>
      </c>
      <c r="N206" s="3" t="n"/>
    </row>
    <row r="207" ht="20.1" customHeight="1">
      <c r="A207" s="6" t="inlineStr">
        <is>
          <t>Unsolved</t>
        </is>
      </c>
      <c r="B207" s="7" t="inlineStr">
        <is>
          <t>Two Pointers</t>
        </is>
      </c>
      <c r="C207" s="7" t="inlineStr">
        <is>
          <t>Sliding Window</t>
        </is>
      </c>
      <c r="D207" s="6" t="inlineStr">
        <is>
          <t>1371C</t>
        </is>
      </c>
      <c r="E207" s="6" t="n">
        <v>1371</v>
      </c>
      <c r="F207" s="6" t="inlineStr">
        <is>
          <t>C</t>
        </is>
      </c>
      <c r="G207" s="7" t="inlineStr">
        <is>
          <t>A Cookie for You</t>
        </is>
      </c>
      <c r="H207" s="6" t="n">
        <v>1300</v>
      </c>
      <c r="I207" s="9" t="inlineStr">
        <is>
          <t>Medium</t>
        </is>
      </c>
      <c r="J207" s="7" t="inlineStr">
        <is>
          <t>greedy, implementation, math</t>
        </is>
      </c>
      <c r="K207" s="6" t="n">
        <v>25</v>
      </c>
      <c r="L207" s="6" t="n">
        <v>20</v>
      </c>
      <c r="M207" s="8" t="inlineStr">
        <is>
          <t>https://codeforces.com/problemset/problem/1371/C</t>
        </is>
      </c>
      <c r="N207" s="7" t="n"/>
    </row>
    <row r="208" ht="20.1" customHeight="1">
      <c r="A208" s="2" t="inlineStr">
        <is>
          <t>Unsolved</t>
        </is>
      </c>
      <c r="B208" s="3" t="inlineStr">
        <is>
          <t>Two Pointers</t>
        </is>
      </c>
      <c r="C208" s="3" t="inlineStr">
        <is>
          <t>Sliding Window</t>
        </is>
      </c>
      <c r="D208" s="2" t="inlineStr">
        <is>
          <t>1516B</t>
        </is>
      </c>
      <c r="E208" s="2" t="n">
        <v>1516</v>
      </c>
      <c r="F208" s="2" t="inlineStr">
        <is>
          <t>B</t>
        </is>
      </c>
      <c r="G208" s="3" t="inlineStr">
        <is>
          <t>AGAGA XOOORRR</t>
        </is>
      </c>
      <c r="H208" s="2" t="n">
        <v>1500</v>
      </c>
      <c r="I208" s="9" t="inlineStr">
        <is>
          <t>Medium+</t>
        </is>
      </c>
      <c r="J208" s="3" t="inlineStr">
        <is>
          <t>bitmasks, brute force, dp, greedy</t>
        </is>
      </c>
      <c r="K208" s="2" t="n">
        <v>40</v>
      </c>
      <c r="L208" s="2" t="n">
        <v>35</v>
      </c>
      <c r="M208" s="5" t="inlineStr">
        <is>
          <t>https://codeforces.com/problemset/problem/1516/B</t>
        </is>
      </c>
      <c r="N208" s="3" t="n"/>
    </row>
    <row r="209" ht="20.1" customHeight="1">
      <c r="A209" s="6" t="inlineStr">
        <is>
          <t>Unsolved</t>
        </is>
      </c>
      <c r="B209" s="7" t="inlineStr">
        <is>
          <t>Two Pointers</t>
        </is>
      </c>
      <c r="C209" s="7" t="inlineStr">
        <is>
          <t>Sliding Window</t>
        </is>
      </c>
      <c r="D209" s="6" t="inlineStr">
        <is>
          <t>1539C</t>
        </is>
      </c>
      <c r="E209" s="6" t="n">
        <v>1539</v>
      </c>
      <c r="F209" s="6" t="inlineStr">
        <is>
          <t>C</t>
        </is>
      </c>
      <c r="G209" s="7" t="inlineStr">
        <is>
          <t>Stable Groups</t>
        </is>
      </c>
      <c r="H209" s="6" t="n">
        <v>1200</v>
      </c>
      <c r="I209" s="4" t="inlineStr">
        <is>
          <t>Easy+</t>
        </is>
      </c>
      <c r="J209" s="7" t="inlineStr">
        <is>
          <t>greedy, sortings</t>
        </is>
      </c>
      <c r="K209" s="6" t="n">
        <v>25</v>
      </c>
      <c r="L209" s="6" t="n">
        <v>20</v>
      </c>
      <c r="M209" s="8" t="inlineStr">
        <is>
          <t>https://codeforces.com/problemset/problem/1539/C</t>
        </is>
      </c>
      <c r="N209" s="7" t="n"/>
    </row>
    <row r="210" ht="20.1" customHeight="1">
      <c r="A210" s="2" t="inlineStr">
        <is>
          <t>Unsolved</t>
        </is>
      </c>
      <c r="B210" s="3" t="inlineStr">
        <is>
          <t>Two Pointers</t>
        </is>
      </c>
      <c r="C210" s="3" t="inlineStr">
        <is>
          <t>Sliding Window</t>
        </is>
      </c>
      <c r="D210" s="2" t="inlineStr">
        <is>
          <t>1561B</t>
        </is>
      </c>
      <c r="E210" s="2" t="n">
        <v>1561</v>
      </c>
      <c r="F210" s="2" t="inlineStr">
        <is>
          <t>B</t>
        </is>
      </c>
      <c r="G210" s="3" t="inlineStr">
        <is>
          <t>UNKNOWN</t>
        </is>
      </c>
      <c r="H210" s="2" t="inlineStr">
        <is>
          <t>UNKNOWN</t>
        </is>
      </c>
      <c r="I210" s="11" t="inlineStr">
        <is>
          <t>UNKNOWN</t>
        </is>
      </c>
      <c r="J210" s="3" t="inlineStr">
        <is>
          <t>UNKNOWN</t>
        </is>
      </c>
      <c r="K210" s="2" t="n">
        <v>0</v>
      </c>
      <c r="L210" s="2" t="n">
        <v>0</v>
      </c>
      <c r="M210" s="5" t="inlineStr">
        <is>
          <t>https://codeforces.com/problemset/problem/1561/B</t>
        </is>
      </c>
      <c r="N210" s="3" t="n"/>
    </row>
    <row r="211" ht="20.1" customHeight="1">
      <c r="A211" s="6" t="inlineStr">
        <is>
          <t>Unsolved</t>
        </is>
      </c>
      <c r="B211" s="7" t="inlineStr">
        <is>
          <t>Two Pointers</t>
        </is>
      </c>
      <c r="C211" s="7" t="inlineStr">
        <is>
          <t>Meet in the Middle Style</t>
        </is>
      </c>
      <c r="D211" s="6" t="inlineStr">
        <is>
          <t>525E</t>
        </is>
      </c>
      <c r="E211" s="6" t="n">
        <v>525</v>
      </c>
      <c r="F211" s="6" t="inlineStr">
        <is>
          <t>E</t>
        </is>
      </c>
      <c r="G211" s="7" t="inlineStr">
        <is>
          <t>Anya and Cubes</t>
        </is>
      </c>
      <c r="H211" s="6" t="n">
        <v>2100</v>
      </c>
      <c r="I211" s="12" t="inlineStr">
        <is>
          <t>Expert</t>
        </is>
      </c>
      <c r="J211" s="7" t="inlineStr">
        <is>
          <t>binary search, bitmasks, brute force, dp, math, meet-in-the-middle</t>
        </is>
      </c>
      <c r="K211" s="6" t="n">
        <v>90</v>
      </c>
      <c r="L211" s="6" t="n">
        <v>80</v>
      </c>
      <c r="M211" s="8" t="inlineStr">
        <is>
          <t>https://codeforces.com/problemset/problem/525/E</t>
        </is>
      </c>
      <c r="N211" s="7" t="n"/>
    </row>
    <row r="212" ht="20.1" customHeight="1">
      <c r="A212" s="2" t="inlineStr">
        <is>
          <t>Unsolved</t>
        </is>
      </c>
      <c r="B212" s="3" t="inlineStr">
        <is>
          <t>Two Pointers</t>
        </is>
      </c>
      <c r="C212" s="3" t="inlineStr">
        <is>
          <t>Meet in the Middle Style</t>
        </is>
      </c>
      <c r="D212" s="2" t="inlineStr">
        <is>
          <t>888E</t>
        </is>
      </c>
      <c r="E212" s="2" t="n">
        <v>888</v>
      </c>
      <c r="F212" s="2" t="inlineStr">
        <is>
          <t>E</t>
        </is>
      </c>
      <c r="G212" s="3" t="inlineStr">
        <is>
          <t>Maximum Subsequence</t>
        </is>
      </c>
      <c r="H212" s="2" t="n">
        <v>1800</v>
      </c>
      <c r="I212" s="10" t="inlineStr">
        <is>
          <t>Hard</t>
        </is>
      </c>
      <c r="J212" s="3" t="inlineStr">
        <is>
          <t>bitmasks, divide and conquer, meet-in-the-middle</t>
        </is>
      </c>
      <c r="K212" s="2" t="n">
        <v>60</v>
      </c>
      <c r="L212" s="2" t="n">
        <v>55</v>
      </c>
      <c r="M212" s="5" t="inlineStr">
        <is>
          <t>https://codeforces.com/problemset/problem/888/E</t>
        </is>
      </c>
      <c r="N212" s="3" t="n"/>
    </row>
    <row r="213" ht="20.1" customHeight="1">
      <c r="A213" s="6" t="inlineStr">
        <is>
          <t>Unsolved</t>
        </is>
      </c>
      <c r="B213" s="7" t="inlineStr">
        <is>
          <t>Two Pointers</t>
        </is>
      </c>
      <c r="C213" s="7" t="inlineStr">
        <is>
          <t>Meet in the Middle Style</t>
        </is>
      </c>
      <c r="D213" s="6" t="inlineStr">
        <is>
          <t>1006F</t>
        </is>
      </c>
      <c r="E213" s="6" t="n">
        <v>1006</v>
      </c>
      <c r="F213" s="6" t="inlineStr">
        <is>
          <t>F</t>
        </is>
      </c>
      <c r="G213" s="7" t="inlineStr">
        <is>
          <t>Xor-Paths</t>
        </is>
      </c>
      <c r="H213" s="6" t="n">
        <v>2100</v>
      </c>
      <c r="I213" s="12" t="inlineStr">
        <is>
          <t>Expert</t>
        </is>
      </c>
      <c r="J213" s="7" t="inlineStr">
        <is>
          <t>bitmasks, brute force, dp, meet-in-the-middle</t>
        </is>
      </c>
      <c r="K213" s="6" t="n">
        <v>90</v>
      </c>
      <c r="L213" s="6" t="n">
        <v>80</v>
      </c>
      <c r="M213" s="8" t="inlineStr">
        <is>
          <t>https://codeforces.com/problemset/problem/1006/F</t>
        </is>
      </c>
      <c r="N213" s="7" t="n"/>
    </row>
    <row r="214" ht="20.1" customHeight="1">
      <c r="A214" s="2" t="inlineStr">
        <is>
          <t>Unsolved</t>
        </is>
      </c>
      <c r="B214" s="3" t="inlineStr">
        <is>
          <t>Two Pointers</t>
        </is>
      </c>
      <c r="C214" s="3" t="inlineStr">
        <is>
          <t>Meet in the Middle Style</t>
        </is>
      </c>
      <c r="D214" s="2" t="inlineStr">
        <is>
          <t>1197D</t>
        </is>
      </c>
      <c r="E214" s="2" t="n">
        <v>1197</v>
      </c>
      <c r="F214" s="2" t="inlineStr">
        <is>
          <t>D</t>
        </is>
      </c>
      <c r="G214" s="3" t="inlineStr">
        <is>
          <t>Yet Another Subarray Problem</t>
        </is>
      </c>
      <c r="H214" s="2" t="n">
        <v>1900</v>
      </c>
      <c r="I214" s="10" t="inlineStr">
        <is>
          <t>Hard+</t>
        </is>
      </c>
      <c r="J214" s="3" t="inlineStr">
        <is>
          <t>dp, greedy, math</t>
        </is>
      </c>
      <c r="K214" s="2" t="n">
        <v>60</v>
      </c>
      <c r="L214" s="2" t="n">
        <v>55</v>
      </c>
      <c r="M214" s="5" t="inlineStr">
        <is>
          <t>https://codeforces.com/problemset/problem/1197/D</t>
        </is>
      </c>
      <c r="N214" s="3" t="n"/>
    </row>
    <row r="215" ht="20.1" customHeight="1">
      <c r="A215" s="6" t="inlineStr">
        <is>
          <t>Unsolved</t>
        </is>
      </c>
      <c r="B215" s="7" t="inlineStr">
        <is>
          <t>Two Pointers</t>
        </is>
      </c>
      <c r="C215" s="7" t="inlineStr">
        <is>
          <t>Meet in the Middle Style</t>
        </is>
      </c>
      <c r="D215" s="6" t="inlineStr">
        <is>
          <t>1239A</t>
        </is>
      </c>
      <c r="E215" s="6" t="n">
        <v>1239</v>
      </c>
      <c r="F215" s="6" t="inlineStr">
        <is>
          <t>A</t>
        </is>
      </c>
      <c r="G215" s="7" t="inlineStr">
        <is>
          <t>Ivan the Fool and the Probability Theory</t>
        </is>
      </c>
      <c r="H215" s="6" t="n">
        <v>1700</v>
      </c>
      <c r="I215" s="10" t="inlineStr">
        <is>
          <t>Hard</t>
        </is>
      </c>
      <c r="J215" s="7" t="inlineStr">
        <is>
          <t>combinatorics, dp, math</t>
        </is>
      </c>
      <c r="K215" s="6" t="n">
        <v>60</v>
      </c>
      <c r="L215" s="6" t="n">
        <v>55</v>
      </c>
      <c r="M215" s="8" t="inlineStr">
        <is>
          <t>https://codeforces.com/problemset/problem/1239/A</t>
        </is>
      </c>
      <c r="N215" s="7" t="n"/>
    </row>
    <row r="216" ht="20.1" customHeight="1">
      <c r="A216" s="2" t="inlineStr">
        <is>
          <t>Unsolved</t>
        </is>
      </c>
      <c r="B216" s="3" t="inlineStr">
        <is>
          <t>Two Pointers</t>
        </is>
      </c>
      <c r="C216" s="3" t="inlineStr">
        <is>
          <t>Meet in the Middle Style</t>
        </is>
      </c>
      <c r="D216" s="2" t="inlineStr">
        <is>
          <t>1325E</t>
        </is>
      </c>
      <c r="E216" s="2" t="n">
        <v>1325</v>
      </c>
      <c r="F216" s="2" t="inlineStr">
        <is>
          <t>E</t>
        </is>
      </c>
      <c r="G216" s="3" t="inlineStr">
        <is>
          <t>Ehab's REAL Number Theory Problem</t>
        </is>
      </c>
      <c r="H216" s="2" t="n">
        <v>2600</v>
      </c>
      <c r="I216" s="12" t="inlineStr">
        <is>
          <t>Master</t>
        </is>
      </c>
      <c r="J216" s="3" t="inlineStr">
        <is>
          <t>brute force, dfs and similar, graphs, number theory, shortest paths</t>
        </is>
      </c>
      <c r="K216" s="2" t="n">
        <v>180</v>
      </c>
      <c r="L216" s="2" t="n">
        <v>150</v>
      </c>
      <c r="M216" s="5" t="inlineStr">
        <is>
          <t>https://codeforces.com/problemset/problem/1325/E</t>
        </is>
      </c>
      <c r="N216" s="3" t="n"/>
    </row>
    <row r="217" ht="20.1" customHeight="1">
      <c r="A217" s="6" t="inlineStr">
        <is>
          <t>Unsolved</t>
        </is>
      </c>
      <c r="B217" s="7" t="inlineStr">
        <is>
          <t>Binary Search</t>
        </is>
      </c>
      <c r="C217" s="7" t="inlineStr">
        <is>
          <t>Classic Binary Search</t>
        </is>
      </c>
      <c r="D217" s="6" t="inlineStr">
        <is>
          <t>492B</t>
        </is>
      </c>
      <c r="E217" s="6" t="n">
        <v>492</v>
      </c>
      <c r="F217" s="6" t="inlineStr">
        <is>
          <t>B</t>
        </is>
      </c>
      <c r="G217" s="7" t="inlineStr">
        <is>
          <t>Vanya and Lanterns</t>
        </is>
      </c>
      <c r="H217" s="6" t="n">
        <v>1200</v>
      </c>
      <c r="I217" s="4" t="inlineStr">
        <is>
          <t>Easy+</t>
        </is>
      </c>
      <c r="J217" s="7" t="inlineStr">
        <is>
          <t>binary search, implementation, math, sortings</t>
        </is>
      </c>
      <c r="K217" s="6" t="n">
        <v>25</v>
      </c>
      <c r="L217" s="6" t="n">
        <v>20</v>
      </c>
      <c r="M217" s="8" t="inlineStr">
        <is>
          <t>https://codeforces.com/problemset/problem/492/B</t>
        </is>
      </c>
      <c r="N217" s="7" t="n"/>
    </row>
    <row r="218" ht="20.1" customHeight="1">
      <c r="A218" s="2" t="inlineStr">
        <is>
          <t>Unsolved</t>
        </is>
      </c>
      <c r="B218" s="3" t="inlineStr">
        <is>
          <t>Binary Search</t>
        </is>
      </c>
      <c r="C218" s="3" t="inlineStr">
        <is>
          <t>Classic Binary Search</t>
        </is>
      </c>
      <c r="D218" s="2" t="inlineStr">
        <is>
          <t>371C</t>
        </is>
      </c>
      <c r="E218" s="2" t="n">
        <v>371</v>
      </c>
      <c r="F218" s="2" t="inlineStr">
        <is>
          <t>C</t>
        </is>
      </c>
      <c r="G218" s="3" t="inlineStr">
        <is>
          <t>Hamburgers</t>
        </is>
      </c>
      <c r="H218" s="2" t="n">
        <v>1600</v>
      </c>
      <c r="I218" s="9" t="inlineStr">
        <is>
          <t>Medium+</t>
        </is>
      </c>
      <c r="J218" s="3" t="inlineStr">
        <is>
          <t>binary search, brute force</t>
        </is>
      </c>
      <c r="K218" s="2" t="n">
        <v>40</v>
      </c>
      <c r="L218" s="2" t="n">
        <v>35</v>
      </c>
      <c r="M218" s="5" t="inlineStr">
        <is>
          <t>https://codeforces.com/problemset/problem/371/C</t>
        </is>
      </c>
      <c r="N218" s="3" t="n"/>
    </row>
    <row r="219" ht="20.1" customHeight="1">
      <c r="A219" s="6" t="inlineStr">
        <is>
          <t>Unsolved</t>
        </is>
      </c>
      <c r="B219" s="7" t="inlineStr">
        <is>
          <t>Binary Search</t>
        </is>
      </c>
      <c r="C219" s="7" t="inlineStr">
        <is>
          <t>Classic Binary Search</t>
        </is>
      </c>
      <c r="D219" s="6" t="inlineStr">
        <is>
          <t>1251D</t>
        </is>
      </c>
      <c r="E219" s="6" t="n">
        <v>1251</v>
      </c>
      <c r="F219" s="6" t="inlineStr">
        <is>
          <t>D</t>
        </is>
      </c>
      <c r="G219" s="7" t="inlineStr">
        <is>
          <t>Salary Changing</t>
        </is>
      </c>
      <c r="H219" s="6" t="n">
        <v>1900</v>
      </c>
      <c r="I219" s="10" t="inlineStr">
        <is>
          <t>Hard+</t>
        </is>
      </c>
      <c r="J219" s="7" t="inlineStr">
        <is>
          <t>binary search, greedy, sortings</t>
        </is>
      </c>
      <c r="K219" s="6" t="n">
        <v>60</v>
      </c>
      <c r="L219" s="6" t="n">
        <v>55</v>
      </c>
      <c r="M219" s="8" t="inlineStr">
        <is>
          <t>https://codeforces.com/problemset/problem/1251/D</t>
        </is>
      </c>
      <c r="N219" s="7" t="n"/>
    </row>
    <row r="220" ht="20.1" customHeight="1">
      <c r="A220" s="2" t="inlineStr">
        <is>
          <t>Unsolved</t>
        </is>
      </c>
      <c r="B220" s="3" t="inlineStr">
        <is>
          <t>Binary Search</t>
        </is>
      </c>
      <c r="C220" s="3" t="inlineStr">
        <is>
          <t>Classic Binary Search</t>
        </is>
      </c>
      <c r="D220" s="2" t="inlineStr">
        <is>
          <t>1468D</t>
        </is>
      </c>
      <c r="E220" s="2" t="n">
        <v>1468</v>
      </c>
      <c r="F220" s="2" t="inlineStr">
        <is>
          <t>D</t>
        </is>
      </c>
      <c r="G220" s="3" t="inlineStr">
        <is>
          <t>Firecrackers</t>
        </is>
      </c>
      <c r="H220" s="2" t="n">
        <v>1700</v>
      </c>
      <c r="I220" s="10" t="inlineStr">
        <is>
          <t>Hard</t>
        </is>
      </c>
      <c r="J220" s="3" t="inlineStr">
        <is>
          <t>binary search, sortings</t>
        </is>
      </c>
      <c r="K220" s="2" t="n">
        <v>60</v>
      </c>
      <c r="L220" s="2" t="n">
        <v>55</v>
      </c>
      <c r="M220" s="5" t="inlineStr">
        <is>
          <t>https://codeforces.com/problemset/problem/1468/D</t>
        </is>
      </c>
      <c r="N220" s="3" t="n"/>
    </row>
    <row r="221" ht="20.1" customHeight="1">
      <c r="A221" s="6" t="inlineStr">
        <is>
          <t>Unsolved</t>
        </is>
      </c>
      <c r="B221" s="7" t="inlineStr">
        <is>
          <t>Binary Search</t>
        </is>
      </c>
      <c r="C221" s="7" t="inlineStr">
        <is>
          <t>Binary Search on Answer</t>
        </is>
      </c>
      <c r="D221" s="6" t="inlineStr">
        <is>
          <t>670D2</t>
        </is>
      </c>
      <c r="E221" s="6" t="n">
        <v>670</v>
      </c>
      <c r="F221" s="6" t="inlineStr">
        <is>
          <t>D2</t>
        </is>
      </c>
      <c r="G221" s="7" t="inlineStr">
        <is>
          <t>Magic Powder - 2</t>
        </is>
      </c>
      <c r="H221" s="6" t="n">
        <v>1500</v>
      </c>
      <c r="I221" s="9" t="inlineStr">
        <is>
          <t>Medium+</t>
        </is>
      </c>
      <c r="J221" s="7" t="inlineStr">
        <is>
          <t>binary search, implementation</t>
        </is>
      </c>
      <c r="K221" s="6" t="n">
        <v>40</v>
      </c>
      <c r="L221" s="6" t="n">
        <v>35</v>
      </c>
      <c r="M221" s="8" t="inlineStr">
        <is>
          <t>https://codeforces.com/problemset/problem/670/D2</t>
        </is>
      </c>
      <c r="N221" s="7" t="n"/>
    </row>
    <row r="222" ht="20.1" customHeight="1">
      <c r="A222" s="2" t="inlineStr">
        <is>
          <t>Unsolved</t>
        </is>
      </c>
      <c r="B222" s="3" t="inlineStr">
        <is>
          <t>Binary Search</t>
        </is>
      </c>
      <c r="C222" s="3" t="inlineStr">
        <is>
          <t>Binary Search on Answer</t>
        </is>
      </c>
      <c r="D222" s="2" t="inlineStr">
        <is>
          <t>1117C</t>
        </is>
      </c>
      <c r="E222" s="2" t="n">
        <v>1117</v>
      </c>
      <c r="F222" s="2" t="inlineStr">
        <is>
          <t>C</t>
        </is>
      </c>
      <c r="G222" s="3" t="inlineStr">
        <is>
          <t>Magic Ship</t>
        </is>
      </c>
      <c r="H222" s="2" t="n">
        <v>1900</v>
      </c>
      <c r="I222" s="10" t="inlineStr">
        <is>
          <t>Hard+</t>
        </is>
      </c>
      <c r="J222" s="3" t="inlineStr">
        <is>
          <t>binary search</t>
        </is>
      </c>
      <c r="K222" s="2" t="n">
        <v>60</v>
      </c>
      <c r="L222" s="2" t="n">
        <v>55</v>
      </c>
      <c r="M222" s="5" t="inlineStr">
        <is>
          <t>https://codeforces.com/problemset/problem/1117/C</t>
        </is>
      </c>
      <c r="N222" s="3" t="n"/>
    </row>
    <row r="223" ht="20.1" customHeight="1">
      <c r="A223" s="6" t="inlineStr">
        <is>
          <t>Unsolved</t>
        </is>
      </c>
      <c r="B223" s="7" t="inlineStr">
        <is>
          <t>Binary Search</t>
        </is>
      </c>
      <c r="C223" s="7" t="inlineStr">
        <is>
          <t>Parametric Search</t>
        </is>
      </c>
      <c r="D223" s="6" t="inlineStr">
        <is>
          <t>448D</t>
        </is>
      </c>
      <c r="E223" s="6" t="n">
        <v>448</v>
      </c>
      <c r="F223" s="6" t="inlineStr">
        <is>
          <t>D</t>
        </is>
      </c>
      <c r="G223" s="7" t="inlineStr">
        <is>
          <t>Multiplication Table</t>
        </is>
      </c>
      <c r="H223" s="6" t="n">
        <v>1800</v>
      </c>
      <c r="I223" s="10" t="inlineStr">
        <is>
          <t>Hard</t>
        </is>
      </c>
      <c r="J223" s="7" t="inlineStr">
        <is>
          <t>binary search, brute force</t>
        </is>
      </c>
      <c r="K223" s="6" t="n">
        <v>60</v>
      </c>
      <c r="L223" s="6" t="n">
        <v>55</v>
      </c>
      <c r="M223" s="8" t="inlineStr">
        <is>
          <t>https://codeforces.com/problemset/problem/448/D</t>
        </is>
      </c>
      <c r="N223" s="7" t="n"/>
    </row>
    <row r="224" ht="20.1" customHeight="1">
      <c r="A224" s="2" t="inlineStr">
        <is>
          <t>Unsolved</t>
        </is>
      </c>
      <c r="B224" s="3" t="inlineStr">
        <is>
          <t>Binary Search</t>
        </is>
      </c>
      <c r="C224" s="3" t="inlineStr">
        <is>
          <t>Parametric Search</t>
        </is>
      </c>
      <c r="D224" s="2" t="inlineStr">
        <is>
          <t>1168A</t>
        </is>
      </c>
      <c r="E224" s="2" t="n">
        <v>1168</v>
      </c>
      <c r="F224" s="2" t="inlineStr">
        <is>
          <t>A</t>
        </is>
      </c>
      <c r="G224" s="3" t="inlineStr">
        <is>
          <t>Increasing by Modulo</t>
        </is>
      </c>
      <c r="H224" s="2" t="n">
        <v>1700</v>
      </c>
      <c r="I224" s="10" t="inlineStr">
        <is>
          <t>Hard</t>
        </is>
      </c>
      <c r="J224" s="3" t="inlineStr">
        <is>
          <t>binary search, greedy</t>
        </is>
      </c>
      <c r="K224" s="2" t="n">
        <v>60</v>
      </c>
      <c r="L224" s="2" t="n">
        <v>55</v>
      </c>
      <c r="M224" s="5" t="inlineStr">
        <is>
          <t>https://codeforces.com/problemset/problem/1168/A</t>
        </is>
      </c>
      <c r="N224" s="3" t="n"/>
    </row>
    <row r="225" ht="20.1" customHeight="1">
      <c r="A225" s="6" t="inlineStr">
        <is>
          <t>Unsolved</t>
        </is>
      </c>
      <c r="B225" s="7" t="inlineStr">
        <is>
          <t>Binary Search</t>
        </is>
      </c>
      <c r="C225" s="7" t="inlineStr">
        <is>
          <t>Parametric Search</t>
        </is>
      </c>
      <c r="D225" s="6" t="inlineStr">
        <is>
          <t>1520G</t>
        </is>
      </c>
      <c r="E225" s="6" t="n">
        <v>1520</v>
      </c>
      <c r="F225" s="6" t="inlineStr">
        <is>
          <t>G</t>
        </is>
      </c>
      <c r="G225" s="7" t="inlineStr">
        <is>
          <t>To Go Or Not To Go?</t>
        </is>
      </c>
      <c r="H225" s="6" t="n">
        <v>2200</v>
      </c>
      <c r="I225" s="12" t="inlineStr">
        <is>
          <t>Expert</t>
        </is>
      </c>
      <c r="J225" s="7" t="inlineStr">
        <is>
          <t>brute force, dfs and similar, graphs, greedy, implementation, shortest paths</t>
        </is>
      </c>
      <c r="K225" s="6" t="n">
        <v>90</v>
      </c>
      <c r="L225" s="6" t="n">
        <v>80</v>
      </c>
      <c r="M225" s="8" t="inlineStr">
        <is>
          <t>https://codeforces.com/problemset/problem/1520/G</t>
        </is>
      </c>
      <c r="N225" s="7" t="n"/>
    </row>
    <row r="226" ht="20.1" customHeight="1">
      <c r="A226" s="2" t="inlineStr">
        <is>
          <t>Unsolved</t>
        </is>
      </c>
      <c r="B226" s="3" t="inlineStr">
        <is>
          <t>Binary Search</t>
        </is>
      </c>
      <c r="C226" s="3" t="inlineStr">
        <is>
          <t>Parametric Search</t>
        </is>
      </c>
      <c r="D226" s="2" t="inlineStr">
        <is>
          <t>1705C</t>
        </is>
      </c>
      <c r="E226" s="2" t="n">
        <v>1705</v>
      </c>
      <c r="F226" s="2" t="inlineStr">
        <is>
          <t>C</t>
        </is>
      </c>
      <c r="G226" s="3" t="inlineStr">
        <is>
          <t>Mark and His Unfinished Essay</t>
        </is>
      </c>
      <c r="H226" s="2" t="n">
        <v>1400</v>
      </c>
      <c r="I226" s="9" t="inlineStr">
        <is>
          <t>Medium</t>
        </is>
      </c>
      <c r="J226" s="3" t="inlineStr">
        <is>
          <t>brute force, implementation</t>
        </is>
      </c>
      <c r="K226" s="2" t="n">
        <v>40</v>
      </c>
      <c r="L226" s="2" t="n">
        <v>35</v>
      </c>
      <c r="M226" s="5" t="inlineStr">
        <is>
          <t>https://codeforces.com/problemset/problem/1705/C</t>
        </is>
      </c>
      <c r="N226" s="3" t="n"/>
    </row>
    <row r="227" ht="20.1" customHeight="1">
      <c r="A227" s="6" t="inlineStr">
        <is>
          <t>Unsolved</t>
        </is>
      </c>
      <c r="B227" s="7" t="inlineStr">
        <is>
          <t>Binary Search</t>
        </is>
      </c>
      <c r="C227" s="7" t="inlineStr">
        <is>
          <t>Continuous Binary Search</t>
        </is>
      </c>
      <c r="D227" s="6" t="inlineStr">
        <is>
          <t>578C</t>
        </is>
      </c>
      <c r="E227" s="6" t="n">
        <v>578</v>
      </c>
      <c r="F227" s="6" t="inlineStr">
        <is>
          <t>C</t>
        </is>
      </c>
      <c r="G227" s="7" t="inlineStr">
        <is>
          <t>Weakness and Poorness</t>
        </is>
      </c>
      <c r="H227" s="6" t="n">
        <v>2000</v>
      </c>
      <c r="I227" s="10" t="inlineStr">
        <is>
          <t>Hard+</t>
        </is>
      </c>
      <c r="J227" s="7" t="inlineStr">
        <is>
          <t>ternary search</t>
        </is>
      </c>
      <c r="K227" s="6" t="n">
        <v>90</v>
      </c>
      <c r="L227" s="6" t="n">
        <v>80</v>
      </c>
      <c r="M227" s="8" t="inlineStr">
        <is>
          <t>https://codeforces.com/problemset/problem/578/C</t>
        </is>
      </c>
      <c r="N227" s="7" t="n"/>
    </row>
    <row r="228" ht="20.1" customHeight="1">
      <c r="A228" s="2" t="inlineStr">
        <is>
          <t>Unsolved</t>
        </is>
      </c>
      <c r="B228" s="3" t="inlineStr">
        <is>
          <t>Binary Search</t>
        </is>
      </c>
      <c r="C228" s="3" t="inlineStr">
        <is>
          <t>Continuous Binary Search</t>
        </is>
      </c>
      <c r="D228" s="2" t="inlineStr">
        <is>
          <t>780B</t>
        </is>
      </c>
      <c r="E228" s="2" t="n">
        <v>780</v>
      </c>
      <c r="F228" s="2" t="inlineStr">
        <is>
          <t>B</t>
        </is>
      </c>
      <c r="G228" s="3" t="inlineStr">
        <is>
          <t>The Meeting Place Cannot Be Changed</t>
        </is>
      </c>
      <c r="H228" s="2" t="n">
        <v>1600</v>
      </c>
      <c r="I228" s="9" t="inlineStr">
        <is>
          <t>Medium+</t>
        </is>
      </c>
      <c r="J228" s="3" t="inlineStr">
        <is>
          <t>binary search</t>
        </is>
      </c>
      <c r="K228" s="2" t="n">
        <v>40</v>
      </c>
      <c r="L228" s="2" t="n">
        <v>35</v>
      </c>
      <c r="M228" s="5" t="inlineStr">
        <is>
          <t>https://codeforces.com/problemset/problem/780/B</t>
        </is>
      </c>
      <c r="N228" s="3" t="n"/>
    </row>
    <row r="229" ht="20.1" customHeight="1">
      <c r="A229" s="6" t="inlineStr">
        <is>
          <t>Unsolved</t>
        </is>
      </c>
      <c r="B229" s="7" t="inlineStr">
        <is>
          <t>Binary Search</t>
        </is>
      </c>
      <c r="C229" s="7" t="inlineStr">
        <is>
          <t>Continuous Binary Search</t>
        </is>
      </c>
      <c r="D229" s="6" t="inlineStr">
        <is>
          <t>1030D</t>
        </is>
      </c>
      <c r="E229" s="6" t="n">
        <v>1030</v>
      </c>
      <c r="F229" s="6" t="inlineStr">
        <is>
          <t>D</t>
        </is>
      </c>
      <c r="G229" s="7" t="inlineStr">
        <is>
          <t>Vasya and Triangle</t>
        </is>
      </c>
      <c r="H229" s="6" t="n">
        <v>1800</v>
      </c>
      <c r="I229" s="10" t="inlineStr">
        <is>
          <t>Hard</t>
        </is>
      </c>
      <c r="J229" s="7" t="inlineStr">
        <is>
          <t>geometry, number theory</t>
        </is>
      </c>
      <c r="K229" s="6" t="n">
        <v>60</v>
      </c>
      <c r="L229" s="6" t="n">
        <v>55</v>
      </c>
      <c r="M229" s="8" t="inlineStr">
        <is>
          <t>https://codeforces.com/problemset/problem/1030/D</t>
        </is>
      </c>
      <c r="N229" s="7" t="n"/>
    </row>
    <row r="230" ht="20.1" customHeight="1">
      <c r="A230" s="2" t="inlineStr">
        <is>
          <t>Unsolved</t>
        </is>
      </c>
      <c r="B230" s="3" t="inlineStr">
        <is>
          <t>Binary Search</t>
        </is>
      </c>
      <c r="C230" s="3" t="inlineStr">
        <is>
          <t>Continuous Binary Search</t>
        </is>
      </c>
      <c r="D230" s="2" t="inlineStr">
        <is>
          <t>1163C2</t>
        </is>
      </c>
      <c r="E230" s="2" t="n">
        <v>1163</v>
      </c>
      <c r="F230" s="2" t="inlineStr">
        <is>
          <t>C2</t>
        </is>
      </c>
      <c r="G230" s="3" t="inlineStr">
        <is>
          <t>Power Transmission (Hard Edition)</t>
        </is>
      </c>
      <c r="H230" s="2" t="n">
        <v>1900</v>
      </c>
      <c r="I230" s="10" t="inlineStr">
        <is>
          <t>Hard+</t>
        </is>
      </c>
      <c r="J230" s="3" t="inlineStr">
        <is>
          <t>data structures, geometry, implementation, math</t>
        </is>
      </c>
      <c r="K230" s="2" t="n">
        <v>60</v>
      </c>
      <c r="L230" s="2" t="n">
        <v>55</v>
      </c>
      <c r="M230" s="5" t="inlineStr">
        <is>
          <t>https://codeforces.com/problemset/problem/1163/C2</t>
        </is>
      </c>
      <c r="N230" s="3" t="n"/>
    </row>
    <row r="231" ht="20.1" customHeight="1">
      <c r="A231" s="6" t="inlineStr">
        <is>
          <t>Unsolved</t>
        </is>
      </c>
      <c r="B231" s="7" t="inlineStr">
        <is>
          <t>Binary Search</t>
        </is>
      </c>
      <c r="C231" s="7" t="inlineStr">
        <is>
          <t>Continuous Binary Search</t>
        </is>
      </c>
      <c r="D231" s="6" t="inlineStr">
        <is>
          <t>1283C</t>
        </is>
      </c>
      <c r="E231" s="6" t="n">
        <v>1283</v>
      </c>
      <c r="F231" s="6" t="inlineStr">
        <is>
          <t>C</t>
        </is>
      </c>
      <c r="G231" s="7" t="inlineStr">
        <is>
          <t>Friends and Gifts</t>
        </is>
      </c>
      <c r="H231" s="6" t="n">
        <v>1500</v>
      </c>
      <c r="I231" s="9" t="inlineStr">
        <is>
          <t>Medium+</t>
        </is>
      </c>
      <c r="J231" s="7" t="inlineStr">
        <is>
          <t>constructive algorithms, data structures, math</t>
        </is>
      </c>
      <c r="K231" s="6" t="n">
        <v>40</v>
      </c>
      <c r="L231" s="6" t="n">
        <v>35</v>
      </c>
      <c r="M231" s="8" t="inlineStr">
        <is>
          <t>https://codeforces.com/problemset/problem/1283/C</t>
        </is>
      </c>
      <c r="N231" s="7" t="n"/>
    </row>
    <row r="232" ht="20.1" customHeight="1">
      <c r="A232" s="2" t="inlineStr">
        <is>
          <t>Unsolved</t>
        </is>
      </c>
      <c r="B232" s="3" t="inlineStr">
        <is>
          <t>Binary Search</t>
        </is>
      </c>
      <c r="C232" s="3" t="inlineStr">
        <is>
          <t>Continuous Binary Search</t>
        </is>
      </c>
      <c r="D232" s="2" t="inlineStr">
        <is>
          <t>1301D</t>
        </is>
      </c>
      <c r="E232" s="2" t="n">
        <v>1301</v>
      </c>
      <c r="F232" s="2" t="inlineStr">
        <is>
          <t>D</t>
        </is>
      </c>
      <c r="G232" s="3" t="inlineStr">
        <is>
          <t>Time to Run</t>
        </is>
      </c>
      <c r="H232" s="2" t="n">
        <v>2000</v>
      </c>
      <c r="I232" s="10" t="inlineStr">
        <is>
          <t>Hard+</t>
        </is>
      </c>
      <c r="J232" s="3" t="inlineStr">
        <is>
          <t>constructive algorithms, graphs, implementation</t>
        </is>
      </c>
      <c r="K232" s="2" t="n">
        <v>90</v>
      </c>
      <c r="L232" s="2" t="n">
        <v>80</v>
      </c>
      <c r="M232" s="5" t="inlineStr">
        <is>
          <t>https://codeforces.com/problemset/problem/1301/D</t>
        </is>
      </c>
      <c r="N232" s="3" t="n"/>
    </row>
    <row r="233" ht="20.1" customHeight="1">
      <c r="A233" s="6" t="inlineStr">
        <is>
          <t>Unsolved</t>
        </is>
      </c>
      <c r="B233" s="7" t="inlineStr">
        <is>
          <t>Sorting &amp; Greedy</t>
        </is>
      </c>
      <c r="C233" s="7" t="inlineStr">
        <is>
          <t>Basic Greedy</t>
        </is>
      </c>
      <c r="D233" s="6" t="inlineStr">
        <is>
          <t>58B</t>
        </is>
      </c>
      <c r="E233" s="6" t="n">
        <v>58</v>
      </c>
      <c r="F233" s="6" t="inlineStr">
        <is>
          <t>B</t>
        </is>
      </c>
      <c r="G233" s="7" t="inlineStr">
        <is>
          <t>Coins</t>
        </is>
      </c>
      <c r="H233" s="6" t="n">
        <v>1300</v>
      </c>
      <c r="I233" s="9" t="inlineStr">
        <is>
          <t>Medium</t>
        </is>
      </c>
      <c r="J233" s="7" t="inlineStr">
        <is>
          <t>greedy</t>
        </is>
      </c>
      <c r="K233" s="6" t="n">
        <v>25</v>
      </c>
      <c r="L233" s="6" t="n">
        <v>20</v>
      </c>
      <c r="M233" s="8" t="inlineStr">
        <is>
          <t>https://codeforces.com/problemset/problem/58/B</t>
        </is>
      </c>
      <c r="N233" s="7" t="n"/>
    </row>
    <row r="234" ht="20.1" customHeight="1">
      <c r="A234" s="2" t="inlineStr">
        <is>
          <t>Unsolved</t>
        </is>
      </c>
      <c r="B234" s="3" t="inlineStr">
        <is>
          <t>Sorting &amp; Greedy</t>
        </is>
      </c>
      <c r="C234" s="3" t="inlineStr">
        <is>
          <t>Basic Greedy</t>
        </is>
      </c>
      <c r="D234" s="2" t="inlineStr">
        <is>
          <t>1256A</t>
        </is>
      </c>
      <c r="E234" s="2" t="n">
        <v>1256</v>
      </c>
      <c r="F234" s="2" t="inlineStr">
        <is>
          <t>A</t>
        </is>
      </c>
      <c r="G234" s="3" t="inlineStr">
        <is>
          <t>Payment Without Change</t>
        </is>
      </c>
      <c r="H234" s="2" t="n">
        <v>1000</v>
      </c>
      <c r="I234" s="4" t="inlineStr">
        <is>
          <t>Easy+</t>
        </is>
      </c>
      <c r="J234" s="3" t="inlineStr">
        <is>
          <t>math</t>
        </is>
      </c>
      <c r="K234" s="2" t="n">
        <v>15</v>
      </c>
      <c r="L234" s="2" t="n">
        <v>10</v>
      </c>
      <c r="M234" s="5" t="inlineStr">
        <is>
          <t>https://codeforces.com/problemset/problem/1256/A</t>
        </is>
      </c>
      <c r="N234" s="3" t="n"/>
    </row>
    <row r="235" ht="20.1" customHeight="1">
      <c r="A235" s="6" t="inlineStr">
        <is>
          <t>Unsolved</t>
        </is>
      </c>
      <c r="B235" s="7" t="inlineStr">
        <is>
          <t>Sorting &amp; Greedy</t>
        </is>
      </c>
      <c r="C235" s="7" t="inlineStr">
        <is>
          <t>Basic Greedy</t>
        </is>
      </c>
      <c r="D235" s="6" t="inlineStr">
        <is>
          <t>1312B</t>
        </is>
      </c>
      <c r="E235" s="6" t="n">
        <v>1312</v>
      </c>
      <c r="F235" s="6" t="inlineStr">
        <is>
          <t>B</t>
        </is>
      </c>
      <c r="G235" s="7" t="inlineStr">
        <is>
          <t>Bogosort</t>
        </is>
      </c>
      <c r="H235" s="6" t="n">
        <v>1000</v>
      </c>
      <c r="I235" s="4" t="inlineStr">
        <is>
          <t>Easy+</t>
        </is>
      </c>
      <c r="J235" s="7" t="inlineStr">
        <is>
          <t>constructive algorithms, sortings</t>
        </is>
      </c>
      <c r="K235" s="6" t="n">
        <v>15</v>
      </c>
      <c r="L235" s="6" t="n">
        <v>10</v>
      </c>
      <c r="M235" s="8" t="inlineStr">
        <is>
          <t>https://codeforces.com/problemset/problem/1312/B</t>
        </is>
      </c>
      <c r="N235" s="7" t="n"/>
    </row>
    <row r="236" ht="20.1" customHeight="1">
      <c r="A236" s="2" t="inlineStr">
        <is>
          <t>Unsolved</t>
        </is>
      </c>
      <c r="B236" s="3" t="inlineStr">
        <is>
          <t>Sorting &amp; Greedy</t>
        </is>
      </c>
      <c r="C236" s="3" t="inlineStr">
        <is>
          <t>Basic Greedy</t>
        </is>
      </c>
      <c r="D236" s="2" t="inlineStr">
        <is>
          <t>1418A</t>
        </is>
      </c>
      <c r="E236" s="2" t="n">
        <v>1418</v>
      </c>
      <c r="F236" s="2" t="inlineStr">
        <is>
          <t>A</t>
        </is>
      </c>
      <c r="G236" s="3" t="inlineStr">
        <is>
          <t>Buying Torches</t>
        </is>
      </c>
      <c r="H236" s="2" t="n">
        <v>1000</v>
      </c>
      <c r="I236" s="4" t="inlineStr">
        <is>
          <t>Easy+</t>
        </is>
      </c>
      <c r="J236" s="3" t="inlineStr">
        <is>
          <t>math</t>
        </is>
      </c>
      <c r="K236" s="2" t="n">
        <v>15</v>
      </c>
      <c r="L236" s="2" t="n">
        <v>10</v>
      </c>
      <c r="M236" s="5" t="inlineStr">
        <is>
          <t>https://codeforces.com/problemset/problem/1418/A</t>
        </is>
      </c>
      <c r="N236" s="3" t="n"/>
    </row>
    <row r="237" ht="20.1" customHeight="1">
      <c r="A237" s="6" t="inlineStr">
        <is>
          <t>Unsolved</t>
        </is>
      </c>
      <c r="B237" s="7" t="inlineStr">
        <is>
          <t>Sorting &amp; Greedy</t>
        </is>
      </c>
      <c r="C237" s="7" t="inlineStr">
        <is>
          <t>Basic Greedy</t>
        </is>
      </c>
      <c r="D237" s="6" t="inlineStr">
        <is>
          <t>1618A</t>
        </is>
      </c>
      <c r="E237" s="6" t="n">
        <v>1618</v>
      </c>
      <c r="F237" s="6" t="inlineStr">
        <is>
          <t>A</t>
        </is>
      </c>
      <c r="G237" s="7" t="inlineStr">
        <is>
          <t>Polycarp and Sums of Subsequences</t>
        </is>
      </c>
      <c r="H237" s="6" t="n">
        <v>800</v>
      </c>
      <c r="I237" s="4" t="inlineStr">
        <is>
          <t>Easy</t>
        </is>
      </c>
      <c r="J237" s="7" t="inlineStr">
        <is>
          <t>math, sortings</t>
        </is>
      </c>
      <c r="K237" s="6" t="n">
        <v>15</v>
      </c>
      <c r="L237" s="6" t="n">
        <v>10</v>
      </c>
      <c r="M237" s="8" t="inlineStr">
        <is>
          <t>https://codeforces.com/problemset/problem/1618/A</t>
        </is>
      </c>
      <c r="N237" s="7" t="n"/>
    </row>
    <row r="238" ht="20.1" customHeight="1">
      <c r="A238" s="2" t="inlineStr">
        <is>
          <t>Unsolved</t>
        </is>
      </c>
      <c r="B238" s="3" t="inlineStr">
        <is>
          <t>Sorting &amp; Greedy</t>
        </is>
      </c>
      <c r="C238" s="3" t="inlineStr">
        <is>
          <t>Basic Greedy</t>
        </is>
      </c>
      <c r="D238" s="2" t="inlineStr">
        <is>
          <t>1675A</t>
        </is>
      </c>
      <c r="E238" s="2" t="n">
        <v>1675</v>
      </c>
      <c r="F238" s="2" t="inlineStr">
        <is>
          <t>A</t>
        </is>
      </c>
      <c r="G238" s="3" t="inlineStr">
        <is>
          <t>Food for Animals</t>
        </is>
      </c>
      <c r="H238" s="2" t="n">
        <v>800</v>
      </c>
      <c r="I238" s="4" t="inlineStr">
        <is>
          <t>Easy</t>
        </is>
      </c>
      <c r="J238" s="3" t="inlineStr">
        <is>
          <t>greedy, math</t>
        </is>
      </c>
      <c r="K238" s="2" t="n">
        <v>15</v>
      </c>
      <c r="L238" s="2" t="n">
        <v>10</v>
      </c>
      <c r="M238" s="5" t="inlineStr">
        <is>
          <t>https://codeforces.com/problemset/problem/1675/A</t>
        </is>
      </c>
      <c r="N238" s="3" t="n"/>
    </row>
    <row r="239" ht="20.1" customHeight="1">
      <c r="A239" s="6" t="inlineStr">
        <is>
          <t>Unsolved</t>
        </is>
      </c>
      <c r="B239" s="7" t="inlineStr">
        <is>
          <t>Sorting &amp; Greedy</t>
        </is>
      </c>
      <c r="C239" s="7" t="inlineStr">
        <is>
          <t>Greedy with Sorting</t>
        </is>
      </c>
      <c r="D239" s="6" t="inlineStr">
        <is>
          <t>1005C</t>
        </is>
      </c>
      <c r="E239" s="6" t="n">
        <v>1005</v>
      </c>
      <c r="F239" s="6" t="inlineStr">
        <is>
          <t>C</t>
        </is>
      </c>
      <c r="G239" s="7" t="inlineStr">
        <is>
          <t>Summarize to the Power of Two</t>
        </is>
      </c>
      <c r="H239" s="6" t="n">
        <v>1300</v>
      </c>
      <c r="I239" s="9" t="inlineStr">
        <is>
          <t>Medium</t>
        </is>
      </c>
      <c r="J239" s="7" t="inlineStr">
        <is>
          <t>brute force, greedy, implementation</t>
        </is>
      </c>
      <c r="K239" s="6" t="n">
        <v>25</v>
      </c>
      <c r="L239" s="6" t="n">
        <v>20</v>
      </c>
      <c r="M239" s="8" t="inlineStr">
        <is>
          <t>https://codeforces.com/problemset/problem/1005/C</t>
        </is>
      </c>
      <c r="N239" s="7" t="n"/>
    </row>
    <row r="240" ht="20.1" customHeight="1">
      <c r="A240" s="2" t="inlineStr">
        <is>
          <t>Unsolved</t>
        </is>
      </c>
      <c r="B240" s="3" t="inlineStr">
        <is>
          <t>Sorting &amp; Greedy</t>
        </is>
      </c>
      <c r="C240" s="3" t="inlineStr">
        <is>
          <t>Greedy with Sorting</t>
        </is>
      </c>
      <c r="D240" s="2" t="inlineStr">
        <is>
          <t>1092C</t>
        </is>
      </c>
      <c r="E240" s="2" t="n">
        <v>1092</v>
      </c>
      <c r="F240" s="2" t="inlineStr">
        <is>
          <t>C</t>
        </is>
      </c>
      <c r="G240" s="3" t="inlineStr">
        <is>
          <t>Prefixes and Suffixes</t>
        </is>
      </c>
      <c r="H240" s="2" t="n">
        <v>1700</v>
      </c>
      <c r="I240" s="10" t="inlineStr">
        <is>
          <t>Hard</t>
        </is>
      </c>
      <c r="J240" s="3" t="inlineStr">
        <is>
          <t>strings</t>
        </is>
      </c>
      <c r="K240" s="2" t="n">
        <v>60</v>
      </c>
      <c r="L240" s="2" t="n">
        <v>55</v>
      </c>
      <c r="M240" s="5" t="inlineStr">
        <is>
          <t>https://codeforces.com/problemset/problem/1092/C</t>
        </is>
      </c>
      <c r="N240" s="3" t="n"/>
    </row>
    <row r="241" ht="20.1" customHeight="1">
      <c r="A241" s="6" t="inlineStr">
        <is>
          <t>Unsolved</t>
        </is>
      </c>
      <c r="B241" s="7" t="inlineStr">
        <is>
          <t>Sorting &amp; Greedy</t>
        </is>
      </c>
      <c r="C241" s="7" t="inlineStr">
        <is>
          <t>Greedy with Sorting</t>
        </is>
      </c>
      <c r="D241" s="6" t="inlineStr">
        <is>
          <t>1144D</t>
        </is>
      </c>
      <c r="E241" s="6" t="n">
        <v>1144</v>
      </c>
      <c r="F241" s="6" t="inlineStr">
        <is>
          <t>D</t>
        </is>
      </c>
      <c r="G241" s="7" t="inlineStr">
        <is>
          <t>Equalize Them All</t>
        </is>
      </c>
      <c r="H241" s="6" t="n">
        <v>1400</v>
      </c>
      <c r="I241" s="9" t="inlineStr">
        <is>
          <t>Medium</t>
        </is>
      </c>
      <c r="J241" s="7" t="inlineStr">
        <is>
          <t>constructive algorithms, greedy</t>
        </is>
      </c>
      <c r="K241" s="6" t="n">
        <v>40</v>
      </c>
      <c r="L241" s="6" t="n">
        <v>35</v>
      </c>
      <c r="M241" s="8" t="inlineStr">
        <is>
          <t>https://codeforces.com/problemset/problem/1144/D</t>
        </is>
      </c>
      <c r="N241" s="7" t="n"/>
    </row>
    <row r="242" ht="20.1" customHeight="1">
      <c r="A242" s="2" t="inlineStr">
        <is>
          <t>Unsolved</t>
        </is>
      </c>
      <c r="B242" s="3" t="inlineStr">
        <is>
          <t>Sorting &amp; Greedy</t>
        </is>
      </c>
      <c r="C242" s="3" t="inlineStr">
        <is>
          <t>Greedy with Sorting</t>
        </is>
      </c>
      <c r="D242" s="2" t="inlineStr">
        <is>
          <t>1203C</t>
        </is>
      </c>
      <c r="E242" s="2" t="n">
        <v>1203</v>
      </c>
      <c r="F242" s="2" t="inlineStr">
        <is>
          <t>C</t>
        </is>
      </c>
      <c r="G242" s="3" t="inlineStr">
        <is>
          <t>Common Divisors</t>
        </is>
      </c>
      <c r="H242" s="2" t="n">
        <v>1300</v>
      </c>
      <c r="I242" s="9" t="inlineStr">
        <is>
          <t>Medium</t>
        </is>
      </c>
      <c r="J242" s="3" t="inlineStr">
        <is>
          <t>implementation, math</t>
        </is>
      </c>
      <c r="K242" s="2" t="n">
        <v>25</v>
      </c>
      <c r="L242" s="2" t="n">
        <v>20</v>
      </c>
      <c r="M242" s="5" t="inlineStr">
        <is>
          <t>https://codeforces.com/problemset/problem/1203/C</t>
        </is>
      </c>
      <c r="N242" s="3" t="n"/>
    </row>
    <row r="243" ht="20.1" customHeight="1">
      <c r="A243" s="6" t="inlineStr">
        <is>
          <t>Unsolved</t>
        </is>
      </c>
      <c r="B243" s="7" t="inlineStr">
        <is>
          <t>Sorting &amp; Greedy</t>
        </is>
      </c>
      <c r="C243" s="7" t="inlineStr">
        <is>
          <t>Greedy with Sorting</t>
        </is>
      </c>
      <c r="D243" s="6" t="inlineStr">
        <is>
          <t>1385C</t>
        </is>
      </c>
      <c r="E243" s="6" t="n">
        <v>1385</v>
      </c>
      <c r="F243" s="6" t="inlineStr">
        <is>
          <t>C</t>
        </is>
      </c>
      <c r="G243" s="7" t="inlineStr">
        <is>
          <t>Make It Good</t>
        </is>
      </c>
      <c r="H243" s="6" t="n">
        <v>1200</v>
      </c>
      <c r="I243" s="4" t="inlineStr">
        <is>
          <t>Easy+</t>
        </is>
      </c>
      <c r="J243" s="7" t="inlineStr">
        <is>
          <t>greedy</t>
        </is>
      </c>
      <c r="K243" s="6" t="n">
        <v>25</v>
      </c>
      <c r="L243" s="6" t="n">
        <v>20</v>
      </c>
      <c r="M243" s="8" t="inlineStr">
        <is>
          <t>https://codeforces.com/problemset/problem/1385/C</t>
        </is>
      </c>
      <c r="N243" s="7" t="n"/>
    </row>
    <row r="244" ht="20.1" customHeight="1">
      <c r="A244" s="2" t="inlineStr">
        <is>
          <t>Unsolved</t>
        </is>
      </c>
      <c r="B244" s="3" t="inlineStr">
        <is>
          <t>Sorting &amp; Greedy</t>
        </is>
      </c>
      <c r="C244" s="3" t="inlineStr">
        <is>
          <t>Greedy with Sorting</t>
        </is>
      </c>
      <c r="D244" s="2" t="inlineStr">
        <is>
          <t>1399C</t>
        </is>
      </c>
      <c r="E244" s="2" t="n">
        <v>1399</v>
      </c>
      <c r="F244" s="2" t="inlineStr">
        <is>
          <t>C</t>
        </is>
      </c>
      <c r="G244" s="3" t="inlineStr">
        <is>
          <t>Boats Competition</t>
        </is>
      </c>
      <c r="H244" s="2" t="n">
        <v>1200</v>
      </c>
      <c r="I244" s="4" t="inlineStr">
        <is>
          <t>Easy+</t>
        </is>
      </c>
      <c r="J244" s="3" t="inlineStr">
        <is>
          <t>brute force, greedy, two pointers</t>
        </is>
      </c>
      <c r="K244" s="2" t="n">
        <v>25</v>
      </c>
      <c r="L244" s="2" t="n">
        <v>20</v>
      </c>
      <c r="M244" s="5" t="inlineStr">
        <is>
          <t>https://codeforces.com/problemset/problem/1399/C</t>
        </is>
      </c>
      <c r="N244" s="3" t="n"/>
    </row>
    <row r="245" ht="20.1" customHeight="1">
      <c r="A245" s="6" t="inlineStr">
        <is>
          <t>Unsolved</t>
        </is>
      </c>
      <c r="B245" s="7" t="inlineStr">
        <is>
          <t>Sorting &amp; Greedy</t>
        </is>
      </c>
      <c r="C245" s="7" t="inlineStr">
        <is>
          <t>Interval Greedy</t>
        </is>
      </c>
      <c r="D245" s="6" t="inlineStr">
        <is>
          <t>527D</t>
        </is>
      </c>
      <c r="E245" s="6" t="n">
        <v>527</v>
      </c>
      <c r="F245" s="6" t="inlineStr">
        <is>
          <t>D</t>
        </is>
      </c>
      <c r="G245" s="7" t="inlineStr">
        <is>
          <t>Clique Problem</t>
        </is>
      </c>
      <c r="H245" s="6" t="n">
        <v>1800</v>
      </c>
      <c r="I245" s="10" t="inlineStr">
        <is>
          <t>Hard</t>
        </is>
      </c>
      <c r="J245" s="7" t="inlineStr">
        <is>
          <t>data structures, dp, greedy, implementation, sortings</t>
        </is>
      </c>
      <c r="K245" s="6" t="n">
        <v>60</v>
      </c>
      <c r="L245" s="6" t="n">
        <v>55</v>
      </c>
      <c r="M245" s="8" t="inlineStr">
        <is>
          <t>https://codeforces.com/problemset/problem/527/D</t>
        </is>
      </c>
      <c r="N245" s="7" t="n"/>
    </row>
    <row r="246" ht="20.1" customHeight="1">
      <c r="A246" s="2" t="inlineStr">
        <is>
          <t>Unsolved</t>
        </is>
      </c>
      <c r="B246" s="3" t="inlineStr">
        <is>
          <t>Sorting &amp; Greedy</t>
        </is>
      </c>
      <c r="C246" s="3" t="inlineStr">
        <is>
          <t>Interval Greedy</t>
        </is>
      </c>
      <c r="D246" s="2" t="inlineStr">
        <is>
          <t>913D</t>
        </is>
      </c>
      <c r="E246" s="2" t="n">
        <v>913</v>
      </c>
      <c r="F246" s="2" t="inlineStr">
        <is>
          <t>D</t>
        </is>
      </c>
      <c r="G246" s="3" t="inlineStr">
        <is>
          <t>Too Easy Problems</t>
        </is>
      </c>
      <c r="H246" s="2" t="n">
        <v>1800</v>
      </c>
      <c r="I246" s="10" t="inlineStr">
        <is>
          <t>Hard</t>
        </is>
      </c>
      <c r="J246" s="3" t="inlineStr">
        <is>
          <t>binary search, brute force, data structures, greedy, sortings</t>
        </is>
      </c>
      <c r="K246" s="2" t="n">
        <v>60</v>
      </c>
      <c r="L246" s="2" t="n">
        <v>55</v>
      </c>
      <c r="M246" s="5" t="inlineStr">
        <is>
          <t>https://codeforces.com/problemset/problem/913/D</t>
        </is>
      </c>
      <c r="N246" s="3" t="n"/>
    </row>
    <row r="247" ht="20.1" customHeight="1">
      <c r="A247" s="6" t="inlineStr">
        <is>
          <t>Unsolved</t>
        </is>
      </c>
      <c r="B247" s="7" t="inlineStr">
        <is>
          <t>Sorting &amp; Greedy</t>
        </is>
      </c>
      <c r="C247" s="7" t="inlineStr">
        <is>
          <t>Interval Greedy</t>
        </is>
      </c>
      <c r="D247" s="6" t="inlineStr">
        <is>
          <t>1029C</t>
        </is>
      </c>
      <c r="E247" s="6" t="n">
        <v>1029</v>
      </c>
      <c r="F247" s="6" t="inlineStr">
        <is>
          <t>C</t>
        </is>
      </c>
      <c r="G247" s="7" t="inlineStr">
        <is>
          <t>Maximal Intersection</t>
        </is>
      </c>
      <c r="H247" s="6" t="n">
        <v>1600</v>
      </c>
      <c r="I247" s="9" t="inlineStr">
        <is>
          <t>Medium+</t>
        </is>
      </c>
      <c r="J247" s="7" t="inlineStr">
        <is>
          <t>greedy, math, sortings</t>
        </is>
      </c>
      <c r="K247" s="6" t="n">
        <v>40</v>
      </c>
      <c r="L247" s="6" t="n">
        <v>35</v>
      </c>
      <c r="M247" s="8" t="inlineStr">
        <is>
          <t>https://codeforces.com/problemset/problem/1029/C</t>
        </is>
      </c>
      <c r="N247" s="7" t="n"/>
    </row>
    <row r="248" ht="20.1" customHeight="1">
      <c r="A248" s="2" t="inlineStr">
        <is>
          <t>Unsolved</t>
        </is>
      </c>
      <c r="B248" s="3" t="inlineStr">
        <is>
          <t>Sorting &amp; Greedy</t>
        </is>
      </c>
      <c r="C248" s="3" t="inlineStr">
        <is>
          <t>Interval Greedy</t>
        </is>
      </c>
      <c r="D248" s="2" t="inlineStr">
        <is>
          <t>1106D</t>
        </is>
      </c>
      <c r="E248" s="2" t="n">
        <v>1106</v>
      </c>
      <c r="F248" s="2" t="inlineStr">
        <is>
          <t>D</t>
        </is>
      </c>
      <c r="G248" s="3" t="inlineStr">
        <is>
          <t>Lunar New Year and a Wander</t>
        </is>
      </c>
      <c r="H248" s="2" t="n">
        <v>1500</v>
      </c>
      <c r="I248" s="9" t="inlineStr">
        <is>
          <t>Medium+</t>
        </is>
      </c>
      <c r="J248" s="3" t="inlineStr">
        <is>
          <t>data structures, dfs and similar, graphs, greedy, shortest paths</t>
        </is>
      </c>
      <c r="K248" s="2" t="n">
        <v>40</v>
      </c>
      <c r="L248" s="2" t="n">
        <v>35</v>
      </c>
      <c r="M248" s="5" t="inlineStr">
        <is>
          <t>https://codeforces.com/problemset/problem/1106/D</t>
        </is>
      </c>
      <c r="N248" s="3" t="n"/>
    </row>
    <row r="249" ht="20.1" customHeight="1">
      <c r="A249" s="6" t="inlineStr">
        <is>
          <t>Unsolved</t>
        </is>
      </c>
      <c r="B249" s="7" t="inlineStr">
        <is>
          <t>Sorting &amp; Greedy</t>
        </is>
      </c>
      <c r="C249" s="7" t="inlineStr">
        <is>
          <t>Interval Greedy</t>
        </is>
      </c>
      <c r="D249" s="6" t="inlineStr">
        <is>
          <t>1249D1</t>
        </is>
      </c>
      <c r="E249" s="6" t="n">
        <v>1249</v>
      </c>
      <c r="F249" s="6" t="inlineStr">
        <is>
          <t>D1</t>
        </is>
      </c>
      <c r="G249" s="7" t="inlineStr">
        <is>
          <t>Too Many Segments (easy version)</t>
        </is>
      </c>
      <c r="H249" s="6" t="n">
        <v>1800</v>
      </c>
      <c r="I249" s="10" t="inlineStr">
        <is>
          <t>Hard</t>
        </is>
      </c>
      <c r="J249" s="7" t="inlineStr">
        <is>
          <t>greedy</t>
        </is>
      </c>
      <c r="K249" s="6" t="n">
        <v>60</v>
      </c>
      <c r="L249" s="6" t="n">
        <v>55</v>
      </c>
      <c r="M249" s="8" t="inlineStr">
        <is>
          <t>https://codeforces.com/problemset/problem/1249/D1</t>
        </is>
      </c>
      <c r="N249" s="7" t="n"/>
    </row>
    <row r="250" ht="20.1" customHeight="1">
      <c r="A250" s="2" t="inlineStr">
        <is>
          <t>Unsolved</t>
        </is>
      </c>
      <c r="B250" s="3" t="inlineStr">
        <is>
          <t>Sorting &amp; Greedy</t>
        </is>
      </c>
      <c r="C250" s="3" t="inlineStr">
        <is>
          <t>Interval Greedy</t>
        </is>
      </c>
      <c r="D250" s="2" t="inlineStr">
        <is>
          <t>1249D2</t>
        </is>
      </c>
      <c r="E250" s="2" t="n">
        <v>1249</v>
      </c>
      <c r="F250" s="2" t="inlineStr">
        <is>
          <t>D2</t>
        </is>
      </c>
      <c r="G250" s="3" t="inlineStr">
        <is>
          <t>Too Many Segments (hard version)</t>
        </is>
      </c>
      <c r="H250" s="2" t="n">
        <v>1800</v>
      </c>
      <c r="I250" s="10" t="inlineStr">
        <is>
          <t>Hard</t>
        </is>
      </c>
      <c r="J250" s="3" t="inlineStr">
        <is>
          <t>data structures, greedy, sortings</t>
        </is>
      </c>
      <c r="K250" s="2" t="n">
        <v>60</v>
      </c>
      <c r="L250" s="2" t="n">
        <v>55</v>
      </c>
      <c r="M250" s="5" t="inlineStr">
        <is>
          <t>https://codeforces.com/problemset/problem/1249/D2</t>
        </is>
      </c>
      <c r="N250" s="3" t="n"/>
    </row>
    <row r="251" ht="20.1" customHeight="1">
      <c r="A251" s="6" t="inlineStr">
        <is>
          <t>Unsolved</t>
        </is>
      </c>
      <c r="B251" s="7" t="inlineStr">
        <is>
          <t>Sorting &amp; Greedy</t>
        </is>
      </c>
      <c r="C251" s="7" t="inlineStr">
        <is>
          <t>Interval Greedy</t>
        </is>
      </c>
      <c r="D251" s="6" t="inlineStr">
        <is>
          <t>1282C</t>
        </is>
      </c>
      <c r="E251" s="6" t="n">
        <v>1282</v>
      </c>
      <c r="F251" s="6" t="inlineStr">
        <is>
          <t>C</t>
        </is>
      </c>
      <c r="G251" s="7" t="inlineStr">
        <is>
          <t>Petya and Exam</t>
        </is>
      </c>
      <c r="H251" s="6" t="n">
        <v>1800</v>
      </c>
      <c r="I251" s="10" t="inlineStr">
        <is>
          <t>Hard</t>
        </is>
      </c>
      <c r="J251" s="7" t="inlineStr">
        <is>
          <t>greedy, sortings, two pointers</t>
        </is>
      </c>
      <c r="K251" s="6" t="n">
        <v>60</v>
      </c>
      <c r="L251" s="6" t="n">
        <v>55</v>
      </c>
      <c r="M251" s="8" t="inlineStr">
        <is>
          <t>https://codeforces.com/problemset/problem/1282/C</t>
        </is>
      </c>
      <c r="N251" s="7" t="n"/>
    </row>
    <row r="252" ht="20.1" customHeight="1">
      <c r="A252" s="2" t="inlineStr">
        <is>
          <t>Unsolved</t>
        </is>
      </c>
      <c r="B252" s="3" t="inlineStr">
        <is>
          <t>Sorting &amp; Greedy</t>
        </is>
      </c>
      <c r="C252" s="3" t="inlineStr">
        <is>
          <t>Interval Greedy</t>
        </is>
      </c>
      <c r="D252" s="2" t="inlineStr">
        <is>
          <t>1353D</t>
        </is>
      </c>
      <c r="E252" s="2" t="n">
        <v>1353</v>
      </c>
      <c r="F252" s="2" t="inlineStr">
        <is>
          <t>D</t>
        </is>
      </c>
      <c r="G252" s="3" t="inlineStr">
        <is>
          <t>Constructing the Array</t>
        </is>
      </c>
      <c r="H252" s="2" t="n">
        <v>1600</v>
      </c>
      <c r="I252" s="9" t="inlineStr">
        <is>
          <t>Medium+</t>
        </is>
      </c>
      <c r="J252" s="3" t="inlineStr">
        <is>
          <t>constructive algorithms, data structures, sortings</t>
        </is>
      </c>
      <c r="K252" s="2" t="n">
        <v>40</v>
      </c>
      <c r="L252" s="2" t="n">
        <v>35</v>
      </c>
      <c r="M252" s="5" t="inlineStr">
        <is>
          <t>https://codeforces.com/problemset/problem/1353/D</t>
        </is>
      </c>
      <c r="N252" s="3" t="n"/>
    </row>
    <row r="253" ht="20.1" customHeight="1">
      <c r="A253" s="6" t="inlineStr">
        <is>
          <t>Unsolved</t>
        </is>
      </c>
      <c r="B253" s="7" t="inlineStr">
        <is>
          <t>Sorting &amp; Greedy</t>
        </is>
      </c>
      <c r="C253" s="7" t="inlineStr">
        <is>
          <t>Interval Greedy</t>
        </is>
      </c>
      <c r="D253" s="6" t="inlineStr">
        <is>
          <t>1428E</t>
        </is>
      </c>
      <c r="E253" s="6" t="n">
        <v>1428</v>
      </c>
      <c r="F253" s="6" t="inlineStr">
        <is>
          <t>E</t>
        </is>
      </c>
      <c r="G253" s="7" t="inlineStr">
        <is>
          <t>Carrots for Rabbits</t>
        </is>
      </c>
      <c r="H253" s="6" t="n">
        <v>2200</v>
      </c>
      <c r="I253" s="12" t="inlineStr">
        <is>
          <t>Expert</t>
        </is>
      </c>
      <c r="J253" s="7" t="inlineStr">
        <is>
          <t>binary search, data structures, greedy, math, sortings</t>
        </is>
      </c>
      <c r="K253" s="6" t="n">
        <v>90</v>
      </c>
      <c r="L253" s="6" t="n">
        <v>80</v>
      </c>
      <c r="M253" s="8" t="inlineStr">
        <is>
          <t>https://codeforces.com/problemset/problem/1428/E</t>
        </is>
      </c>
      <c r="N253" s="7" t="n"/>
    </row>
    <row r="254" ht="20.1" customHeight="1">
      <c r="A254" s="2" t="inlineStr">
        <is>
          <t>Unsolved</t>
        </is>
      </c>
      <c r="B254" s="3" t="inlineStr">
        <is>
          <t>Sorting &amp; Greedy</t>
        </is>
      </c>
      <c r="C254" s="3" t="inlineStr">
        <is>
          <t>Interval Greedy</t>
        </is>
      </c>
      <c r="D254" s="2" t="inlineStr">
        <is>
          <t>1468H</t>
        </is>
      </c>
      <c r="E254" s="2" t="n">
        <v>1468</v>
      </c>
      <c r="F254" s="2" t="inlineStr">
        <is>
          <t>H</t>
        </is>
      </c>
      <c r="G254" s="3" t="inlineStr">
        <is>
          <t>K and Medians</t>
        </is>
      </c>
      <c r="H254" s="2" t="n">
        <v>2200</v>
      </c>
      <c r="I254" s="12" t="inlineStr">
        <is>
          <t>Expert</t>
        </is>
      </c>
      <c r="J254" s="3" t="inlineStr">
        <is>
          <t>constructive algorithms, greedy, math</t>
        </is>
      </c>
      <c r="K254" s="2" t="n">
        <v>90</v>
      </c>
      <c r="L254" s="2" t="n">
        <v>80</v>
      </c>
      <c r="M254" s="5" t="inlineStr">
        <is>
          <t>https://codeforces.com/problemset/problem/1468/H</t>
        </is>
      </c>
      <c r="N254" s="3" t="n"/>
    </row>
    <row r="255" ht="20.1" customHeight="1">
      <c r="A255" s="6" t="inlineStr">
        <is>
          <t>Unsolved</t>
        </is>
      </c>
      <c r="B255" s="7" t="inlineStr">
        <is>
          <t>Sorting &amp; Greedy</t>
        </is>
      </c>
      <c r="C255" s="7" t="inlineStr">
        <is>
          <t>Interval Greedy</t>
        </is>
      </c>
      <c r="D255" s="6" t="inlineStr">
        <is>
          <t>1550C</t>
        </is>
      </c>
      <c r="E255" s="6" t="n">
        <v>1550</v>
      </c>
      <c r="F255" s="6" t="inlineStr">
        <is>
          <t>C</t>
        </is>
      </c>
      <c r="G255" s="7" t="inlineStr">
        <is>
          <t>Manhattan Subarrays</t>
        </is>
      </c>
      <c r="H255" s="6" t="n">
        <v>1700</v>
      </c>
      <c r="I255" s="10" t="inlineStr">
        <is>
          <t>Hard</t>
        </is>
      </c>
      <c r="J255" s="7" t="inlineStr">
        <is>
          <t>brute force, geometry, greedy, implementation</t>
        </is>
      </c>
      <c r="K255" s="6" t="n">
        <v>60</v>
      </c>
      <c r="L255" s="6" t="n">
        <v>55</v>
      </c>
      <c r="M255" s="8" t="inlineStr">
        <is>
          <t>https://codeforces.com/problemset/problem/1550/C</t>
        </is>
      </c>
      <c r="N255" s="7" t="n"/>
    </row>
    <row r="256" ht="20.1" customHeight="1">
      <c r="A256" s="2" t="inlineStr">
        <is>
          <t>Unsolved</t>
        </is>
      </c>
      <c r="B256" s="3" t="inlineStr">
        <is>
          <t>Sorting &amp; Greedy</t>
        </is>
      </c>
      <c r="C256" s="3" t="inlineStr">
        <is>
          <t>Greedy + Priority Queue</t>
        </is>
      </c>
      <c r="D256" s="2" t="inlineStr">
        <is>
          <t>864D</t>
        </is>
      </c>
      <c r="E256" s="2" t="n">
        <v>864</v>
      </c>
      <c r="F256" s="2" t="inlineStr">
        <is>
          <t>D</t>
        </is>
      </c>
      <c r="G256" s="3" t="inlineStr">
        <is>
          <t>Make a Permutation!</t>
        </is>
      </c>
      <c r="H256" s="2" t="n">
        <v>1500</v>
      </c>
      <c r="I256" s="9" t="inlineStr">
        <is>
          <t>Medium+</t>
        </is>
      </c>
      <c r="J256" s="3" t="inlineStr">
        <is>
          <t>greedy, implementation, math</t>
        </is>
      </c>
      <c r="K256" s="2" t="n">
        <v>40</v>
      </c>
      <c r="L256" s="2" t="n">
        <v>35</v>
      </c>
      <c r="M256" s="5" t="inlineStr">
        <is>
          <t>https://codeforces.com/problemset/problem/864/D</t>
        </is>
      </c>
      <c r="N256" s="3" t="n"/>
    </row>
    <row r="257" ht="20.1" customHeight="1">
      <c r="A257" s="6" t="inlineStr">
        <is>
          <t>Unsolved</t>
        </is>
      </c>
      <c r="B257" s="7" t="inlineStr">
        <is>
          <t>Sorting &amp; Greedy</t>
        </is>
      </c>
      <c r="C257" s="7" t="inlineStr">
        <is>
          <t>Greedy + Priority Queue</t>
        </is>
      </c>
      <c r="D257" s="6" t="inlineStr">
        <is>
          <t>1140C</t>
        </is>
      </c>
      <c r="E257" s="6" t="n">
        <v>1140</v>
      </c>
      <c r="F257" s="6" t="inlineStr">
        <is>
          <t>C</t>
        </is>
      </c>
      <c r="G257" s="7" t="inlineStr">
        <is>
          <t>Playlist</t>
        </is>
      </c>
      <c r="H257" s="6" t="n">
        <v>1600</v>
      </c>
      <c r="I257" s="9" t="inlineStr">
        <is>
          <t>Medium+</t>
        </is>
      </c>
      <c r="J257" s="7" t="inlineStr">
        <is>
          <t>brute force, data structures, sortings</t>
        </is>
      </c>
      <c r="K257" s="6" t="n">
        <v>40</v>
      </c>
      <c r="L257" s="6" t="n">
        <v>35</v>
      </c>
      <c r="M257" s="8" t="inlineStr">
        <is>
          <t>https://codeforces.com/problemset/problem/1140/C</t>
        </is>
      </c>
      <c r="N257" s="7" t="n"/>
    </row>
    <row r="258" ht="20.1" customHeight="1">
      <c r="A258" s="2" t="inlineStr">
        <is>
          <t>Unsolved</t>
        </is>
      </c>
      <c r="B258" s="3" t="inlineStr">
        <is>
          <t>Sorting &amp; Greedy</t>
        </is>
      </c>
      <c r="C258" s="3" t="inlineStr">
        <is>
          <t>Greedy + Priority Queue</t>
        </is>
      </c>
      <c r="D258" s="2" t="inlineStr">
        <is>
          <t>1310A</t>
        </is>
      </c>
      <c r="E258" s="2" t="n">
        <v>1310</v>
      </c>
      <c r="F258" s="2" t="inlineStr">
        <is>
          <t>A</t>
        </is>
      </c>
      <c r="G258" s="3" t="inlineStr">
        <is>
          <t>Recommendations</t>
        </is>
      </c>
      <c r="H258" s="2" t="n">
        <v>1700</v>
      </c>
      <c r="I258" s="10" t="inlineStr">
        <is>
          <t>Hard</t>
        </is>
      </c>
      <c r="J258" s="3" t="inlineStr">
        <is>
          <t>data structures, greedy, sortings</t>
        </is>
      </c>
      <c r="K258" s="2" t="n">
        <v>60</v>
      </c>
      <c r="L258" s="2" t="n">
        <v>55</v>
      </c>
      <c r="M258" s="5" t="inlineStr">
        <is>
          <t>https://codeforces.com/problemset/problem/1310/A</t>
        </is>
      </c>
      <c r="N258" s="3" t="n"/>
    </row>
    <row r="259" ht="20.1" customHeight="1">
      <c r="A259" s="6" t="inlineStr">
        <is>
          <t>Unsolved</t>
        </is>
      </c>
      <c r="B259" s="7" t="inlineStr">
        <is>
          <t>Sorting &amp; Greedy</t>
        </is>
      </c>
      <c r="C259" s="7" t="inlineStr">
        <is>
          <t>Greedy + Priority Queue</t>
        </is>
      </c>
      <c r="D259" s="6" t="inlineStr">
        <is>
          <t>1374E1</t>
        </is>
      </c>
      <c r="E259" s="6" t="n">
        <v>1374</v>
      </c>
      <c r="F259" s="6" t="inlineStr">
        <is>
          <t>E1</t>
        </is>
      </c>
      <c r="G259" s="7" t="inlineStr">
        <is>
          <t>Reading Books (easy version)</t>
        </is>
      </c>
      <c r="H259" s="6" t="n">
        <v>1600</v>
      </c>
      <c r="I259" s="9" t="inlineStr">
        <is>
          <t>Medium+</t>
        </is>
      </c>
      <c r="J259" s="7" t="inlineStr">
        <is>
          <t>data structures, greedy, sortings</t>
        </is>
      </c>
      <c r="K259" s="6" t="n">
        <v>40</v>
      </c>
      <c r="L259" s="6" t="n">
        <v>35</v>
      </c>
      <c r="M259" s="8" t="inlineStr">
        <is>
          <t>https://codeforces.com/problemset/problem/1374/E1</t>
        </is>
      </c>
      <c r="N259" s="7" t="n"/>
    </row>
    <row r="260" ht="20.1" customHeight="1">
      <c r="A260" s="2" t="inlineStr">
        <is>
          <t>Unsolved</t>
        </is>
      </c>
      <c r="B260" s="3" t="inlineStr">
        <is>
          <t>Sorting &amp; Greedy</t>
        </is>
      </c>
      <c r="C260" s="3" t="inlineStr">
        <is>
          <t>Greedy + Priority Queue</t>
        </is>
      </c>
      <c r="D260" s="2" t="inlineStr">
        <is>
          <t>1374E2</t>
        </is>
      </c>
      <c r="E260" s="2" t="n">
        <v>1374</v>
      </c>
      <c r="F260" s="2" t="inlineStr">
        <is>
          <t>E2</t>
        </is>
      </c>
      <c r="G260" s="3" t="inlineStr">
        <is>
          <t>Reading Books (hard version)</t>
        </is>
      </c>
      <c r="H260" s="2" t="n">
        <v>2500</v>
      </c>
      <c r="I260" s="12" t="inlineStr">
        <is>
          <t>Master</t>
        </is>
      </c>
      <c r="J260" s="3" t="inlineStr">
        <is>
          <t>data structures, greedy, implementation, sortings, ternary search, two pointers</t>
        </is>
      </c>
      <c r="K260" s="2" t="n">
        <v>120</v>
      </c>
      <c r="L260" s="2" t="n">
        <v>110</v>
      </c>
      <c r="M260" s="5" t="inlineStr">
        <is>
          <t>https://codeforces.com/problemset/problem/1374/E2</t>
        </is>
      </c>
      <c r="N260" s="3" t="n"/>
    </row>
    <row r="261" ht="20.1" customHeight="1">
      <c r="A261" s="6" t="inlineStr">
        <is>
          <t>Unsolved</t>
        </is>
      </c>
      <c r="B261" s="7" t="inlineStr">
        <is>
          <t>Sorting &amp; Greedy</t>
        </is>
      </c>
      <c r="C261" s="7" t="inlineStr">
        <is>
          <t>Greedy + Priority Queue</t>
        </is>
      </c>
      <c r="D261" s="6" t="inlineStr">
        <is>
          <t>1526C1</t>
        </is>
      </c>
      <c r="E261" s="6" t="n">
        <v>1526</v>
      </c>
      <c r="F261" s="6" t="inlineStr">
        <is>
          <t>C1</t>
        </is>
      </c>
      <c r="G261" s="7" t="inlineStr">
        <is>
          <t>Potions (Easy Version)</t>
        </is>
      </c>
      <c r="H261" s="6" t="n">
        <v>1500</v>
      </c>
      <c r="I261" s="9" t="inlineStr">
        <is>
          <t>Medium+</t>
        </is>
      </c>
      <c r="J261" s="7" t="inlineStr">
        <is>
          <t>brute force, data structures, dp, greedy</t>
        </is>
      </c>
      <c r="K261" s="6" t="n">
        <v>40</v>
      </c>
      <c r="L261" s="6" t="n">
        <v>35</v>
      </c>
      <c r="M261" s="8" t="inlineStr">
        <is>
          <t>https://codeforces.com/problemset/problem/1526/C1</t>
        </is>
      </c>
      <c r="N261" s="7" t="n"/>
    </row>
    <row r="262" ht="20.1" customHeight="1">
      <c r="A262" s="2" t="inlineStr">
        <is>
          <t>Unsolved</t>
        </is>
      </c>
      <c r="B262" s="3" t="inlineStr">
        <is>
          <t>Sorting &amp; Greedy</t>
        </is>
      </c>
      <c r="C262" s="3" t="inlineStr">
        <is>
          <t>Greedy + Priority Queue</t>
        </is>
      </c>
      <c r="D262" s="2" t="inlineStr">
        <is>
          <t>1526C2</t>
        </is>
      </c>
      <c r="E262" s="2" t="n">
        <v>1526</v>
      </c>
      <c r="F262" s="2" t="inlineStr">
        <is>
          <t>C2</t>
        </is>
      </c>
      <c r="G262" s="3" t="inlineStr">
        <is>
          <t>Potions (Hard Version)</t>
        </is>
      </c>
      <c r="H262" s="2" t="n">
        <v>1600</v>
      </c>
      <c r="I262" s="9" t="inlineStr">
        <is>
          <t>Medium+</t>
        </is>
      </c>
      <c r="J262" s="3" t="inlineStr">
        <is>
          <t>data structures, greedy</t>
        </is>
      </c>
      <c r="K262" s="2" t="n">
        <v>40</v>
      </c>
      <c r="L262" s="2" t="n">
        <v>35</v>
      </c>
      <c r="M262" s="5" t="inlineStr">
        <is>
          <t>https://codeforces.com/problemset/problem/1526/C2</t>
        </is>
      </c>
      <c r="N262" s="3" t="n"/>
    </row>
    <row r="263" ht="20.1" customHeight="1">
      <c r="A263" s="6" t="inlineStr">
        <is>
          <t>Unsolved</t>
        </is>
      </c>
      <c r="B263" s="7" t="inlineStr">
        <is>
          <t>Sorting &amp; Greedy</t>
        </is>
      </c>
      <c r="C263" s="7" t="inlineStr">
        <is>
          <t>Greedy + Priority Queue</t>
        </is>
      </c>
      <c r="D263" s="6" t="inlineStr">
        <is>
          <t>1579D</t>
        </is>
      </c>
      <c r="E263" s="6" t="n">
        <v>1579</v>
      </c>
      <c r="F263" s="6" t="inlineStr">
        <is>
          <t>D</t>
        </is>
      </c>
      <c r="G263" s="7" t="inlineStr">
        <is>
          <t>Productive Meeting</t>
        </is>
      </c>
      <c r="H263" s="6" t="n">
        <v>1400</v>
      </c>
      <c r="I263" s="9" t="inlineStr">
        <is>
          <t>Medium</t>
        </is>
      </c>
      <c r="J263" s="7" t="inlineStr">
        <is>
          <t>constructive algorithms, graphs, greedy</t>
        </is>
      </c>
      <c r="K263" s="6" t="n">
        <v>40</v>
      </c>
      <c r="L263" s="6" t="n">
        <v>35</v>
      </c>
      <c r="M263" s="8" t="inlineStr">
        <is>
          <t>https://codeforces.com/problemset/problem/1579/D</t>
        </is>
      </c>
      <c r="N263" s="7" t="n"/>
    </row>
    <row r="264" ht="20.1" customHeight="1">
      <c r="A264" s="2" t="inlineStr">
        <is>
          <t>Unsolved</t>
        </is>
      </c>
      <c r="B264" s="3" t="inlineStr">
        <is>
          <t>Sorting &amp; Greedy</t>
        </is>
      </c>
      <c r="C264" s="3" t="inlineStr">
        <is>
          <t>Constructive Greedy</t>
        </is>
      </c>
      <c r="D264" s="2" t="inlineStr">
        <is>
          <t>1304D</t>
        </is>
      </c>
      <c r="E264" s="2" t="n">
        <v>1304</v>
      </c>
      <c r="F264" s="2" t="inlineStr">
        <is>
          <t>D</t>
        </is>
      </c>
      <c r="G264" s="3" t="inlineStr">
        <is>
          <t>Shortest and Longest LIS</t>
        </is>
      </c>
      <c r="H264" s="2" t="n">
        <v>1800</v>
      </c>
      <c r="I264" s="10" t="inlineStr">
        <is>
          <t>Hard</t>
        </is>
      </c>
      <c r="J264" s="3" t="inlineStr">
        <is>
          <t>constructive algorithms, graphs, greedy, two pointers</t>
        </is>
      </c>
      <c r="K264" s="2" t="n">
        <v>60</v>
      </c>
      <c r="L264" s="2" t="n">
        <v>55</v>
      </c>
      <c r="M264" s="5" t="inlineStr">
        <is>
          <t>https://codeforces.com/problemset/problem/1304/D</t>
        </is>
      </c>
      <c r="N264" s="3" t="n"/>
    </row>
    <row r="265" ht="20.1" customHeight="1">
      <c r="A265" s="6" t="inlineStr">
        <is>
          <t>Unsolved</t>
        </is>
      </c>
      <c r="B265" s="7" t="inlineStr">
        <is>
          <t>Sorting &amp; Greedy</t>
        </is>
      </c>
      <c r="C265" s="7" t="inlineStr">
        <is>
          <t>Constructive Greedy</t>
        </is>
      </c>
      <c r="D265" s="6" t="inlineStr">
        <is>
          <t>1348C</t>
        </is>
      </c>
      <c r="E265" s="6" t="n">
        <v>1348</v>
      </c>
      <c r="F265" s="6" t="inlineStr">
        <is>
          <t>C</t>
        </is>
      </c>
      <c r="G265" s="7" t="inlineStr">
        <is>
          <t>Phoenix and Distribution</t>
        </is>
      </c>
      <c r="H265" s="6" t="n">
        <v>1600</v>
      </c>
      <c r="I265" s="9" t="inlineStr">
        <is>
          <t>Medium+</t>
        </is>
      </c>
      <c r="J265" s="7" t="inlineStr">
        <is>
          <t>constructive algorithms, greedy, sortings, strings</t>
        </is>
      </c>
      <c r="K265" s="6" t="n">
        <v>40</v>
      </c>
      <c r="L265" s="6" t="n">
        <v>35</v>
      </c>
      <c r="M265" s="8" t="inlineStr">
        <is>
          <t>https://codeforces.com/problemset/problem/1348/C</t>
        </is>
      </c>
      <c r="N265" s="7" t="n"/>
    </row>
    <row r="266" ht="20.1" customHeight="1">
      <c r="A266" s="2" t="inlineStr">
        <is>
          <t>Unsolved</t>
        </is>
      </c>
      <c r="B266" s="3" t="inlineStr">
        <is>
          <t>Sorting &amp; Greedy</t>
        </is>
      </c>
      <c r="C266" s="3" t="inlineStr">
        <is>
          <t>Constructive Greedy</t>
        </is>
      </c>
      <c r="D266" s="2" t="inlineStr">
        <is>
          <t>1380D</t>
        </is>
      </c>
      <c r="E266" s="2" t="n">
        <v>1380</v>
      </c>
      <c r="F266" s="2" t="inlineStr">
        <is>
          <t>D</t>
        </is>
      </c>
      <c r="G266" s="3" t="inlineStr">
        <is>
          <t>Berserk And Fireball</t>
        </is>
      </c>
      <c r="H266" s="2" t="n">
        <v>2000</v>
      </c>
      <c r="I266" s="10" t="inlineStr">
        <is>
          <t>Hard+</t>
        </is>
      </c>
      <c r="J266" s="3" t="inlineStr">
        <is>
          <t>constructive algorithms, greedy, implementation, math, two pointers</t>
        </is>
      </c>
      <c r="K266" s="2" t="n">
        <v>90</v>
      </c>
      <c r="L266" s="2" t="n">
        <v>80</v>
      </c>
      <c r="M266" s="5" t="inlineStr">
        <is>
          <t>https://codeforces.com/problemset/problem/1380/D</t>
        </is>
      </c>
      <c r="N266" s="3" t="n"/>
    </row>
    <row r="267" ht="20.1" customHeight="1">
      <c r="A267" s="6" t="inlineStr">
        <is>
          <t>Unsolved</t>
        </is>
      </c>
      <c r="B267" s="7" t="inlineStr">
        <is>
          <t>Sorting &amp; Greedy</t>
        </is>
      </c>
      <c r="C267" s="7" t="inlineStr">
        <is>
          <t>Constructive Greedy</t>
        </is>
      </c>
      <c r="D267" s="6" t="inlineStr">
        <is>
          <t>1474D</t>
        </is>
      </c>
      <c r="E267" s="6" t="n">
        <v>1474</v>
      </c>
      <c r="F267" s="6" t="inlineStr">
        <is>
          <t>D</t>
        </is>
      </c>
      <c r="G267" s="7" t="inlineStr">
        <is>
          <t>Cleaning</t>
        </is>
      </c>
      <c r="H267" s="6" t="n">
        <v>2200</v>
      </c>
      <c r="I267" s="12" t="inlineStr">
        <is>
          <t>Expert</t>
        </is>
      </c>
      <c r="J267" s="7" t="inlineStr">
        <is>
          <t>data structures, dp, greedy, math</t>
        </is>
      </c>
      <c r="K267" s="6" t="n">
        <v>90</v>
      </c>
      <c r="L267" s="6" t="n">
        <v>80</v>
      </c>
      <c r="M267" s="8" t="inlineStr">
        <is>
          <t>https://codeforces.com/problemset/problem/1474/D</t>
        </is>
      </c>
      <c r="N267" s="7" t="n"/>
    </row>
    <row r="268" ht="20.1" customHeight="1">
      <c r="A268" s="2" t="inlineStr">
        <is>
          <t>Unsolved</t>
        </is>
      </c>
      <c r="B268" s="3" t="inlineStr">
        <is>
          <t>Sorting &amp; Greedy</t>
        </is>
      </c>
      <c r="C268" s="3" t="inlineStr">
        <is>
          <t>Constructive Greedy</t>
        </is>
      </c>
      <c r="D268" s="2" t="inlineStr">
        <is>
          <t>1506F</t>
        </is>
      </c>
      <c r="E268" s="2" t="n">
        <v>1506</v>
      </c>
      <c r="F268" s="2" t="inlineStr">
        <is>
          <t>F</t>
        </is>
      </c>
      <c r="G268" s="3" t="inlineStr">
        <is>
          <t>Triangular Paths</t>
        </is>
      </c>
      <c r="H268" s="2" t="n">
        <v>2000</v>
      </c>
      <c r="I268" s="10" t="inlineStr">
        <is>
          <t>Hard+</t>
        </is>
      </c>
      <c r="J268" s="3" t="inlineStr">
        <is>
          <t>constructive algorithms, graphs, math, shortest paths, sortings</t>
        </is>
      </c>
      <c r="K268" s="2" t="n">
        <v>90</v>
      </c>
      <c r="L268" s="2" t="n">
        <v>80</v>
      </c>
      <c r="M268" s="5" t="inlineStr">
        <is>
          <t>https://codeforces.com/problemset/problem/1506/F</t>
        </is>
      </c>
      <c r="N268" s="3" t="n"/>
    </row>
    <row r="269" ht="20.1" customHeight="1">
      <c r="A269" s="6" t="inlineStr">
        <is>
          <t>Unsolved</t>
        </is>
      </c>
      <c r="B269" s="7" t="inlineStr">
        <is>
          <t>Sorting &amp; Greedy</t>
        </is>
      </c>
      <c r="C269" s="7" t="inlineStr">
        <is>
          <t>Constructive Greedy</t>
        </is>
      </c>
      <c r="D269" s="6" t="inlineStr">
        <is>
          <t>1537D</t>
        </is>
      </c>
      <c r="E269" s="6" t="n">
        <v>1537</v>
      </c>
      <c r="F269" s="6" t="inlineStr">
        <is>
          <t>D</t>
        </is>
      </c>
      <c r="G269" s="7" t="inlineStr">
        <is>
          <t>Deleting Divisors</t>
        </is>
      </c>
      <c r="H269" s="6" t="n">
        <v>1700</v>
      </c>
      <c r="I269" s="10" t="inlineStr">
        <is>
          <t>Hard</t>
        </is>
      </c>
      <c r="J269" s="7" t="inlineStr">
        <is>
          <t>games, math, number theory</t>
        </is>
      </c>
      <c r="K269" s="6" t="n">
        <v>60</v>
      </c>
      <c r="L269" s="6" t="n">
        <v>55</v>
      </c>
      <c r="M269" s="8" t="inlineStr">
        <is>
          <t>https://codeforces.com/problemset/problem/1537/D</t>
        </is>
      </c>
      <c r="N269" s="7" t="n"/>
    </row>
    <row r="270" ht="20.1" customHeight="1">
      <c r="A270" s="2" t="inlineStr">
        <is>
          <t>Unsolved</t>
        </is>
      </c>
      <c r="B270" s="3" t="inlineStr">
        <is>
          <t>Sorting &amp; Greedy</t>
        </is>
      </c>
      <c r="C270" s="3" t="inlineStr">
        <is>
          <t>Constructive Greedy</t>
        </is>
      </c>
      <c r="D270" s="2" t="inlineStr">
        <is>
          <t>1572A</t>
        </is>
      </c>
      <c r="E270" s="2" t="n">
        <v>1572</v>
      </c>
      <c r="F270" s="2" t="inlineStr">
        <is>
          <t>A</t>
        </is>
      </c>
      <c r="G270" s="3" t="inlineStr">
        <is>
          <t>Book</t>
        </is>
      </c>
      <c r="H270" s="2" t="n">
        <v>1800</v>
      </c>
      <c r="I270" s="10" t="inlineStr">
        <is>
          <t>Hard</t>
        </is>
      </c>
      <c r="J270" s="3" t="inlineStr">
        <is>
          <t>binary search, brute force, data structures, dp, graphs, implementation, sortings</t>
        </is>
      </c>
      <c r="K270" s="2" t="n">
        <v>60</v>
      </c>
      <c r="L270" s="2" t="n">
        <v>55</v>
      </c>
      <c r="M270" s="5" t="inlineStr">
        <is>
          <t>https://codeforces.com/problemset/problem/1572/A</t>
        </is>
      </c>
      <c r="N270" s="3" t="n"/>
    </row>
    <row r="271" ht="20.1" customHeight="1">
      <c r="A271" s="6" t="inlineStr">
        <is>
          <t>Unsolved</t>
        </is>
      </c>
      <c r="B271" s="7" t="inlineStr">
        <is>
          <t>Sorting &amp; Greedy</t>
        </is>
      </c>
      <c r="C271" s="7" t="inlineStr">
        <is>
          <t>Constructive Greedy</t>
        </is>
      </c>
      <c r="D271" s="6" t="inlineStr">
        <is>
          <t>1705B</t>
        </is>
      </c>
      <c r="E271" s="6" t="n">
        <v>1705</v>
      </c>
      <c r="F271" s="6" t="inlineStr">
        <is>
          <t>B</t>
        </is>
      </c>
      <c r="G271" s="7" t="inlineStr">
        <is>
          <t>Mark the Dust Sweeper</t>
        </is>
      </c>
      <c r="H271" s="6" t="n">
        <v>900</v>
      </c>
      <c r="I271" s="4" t="inlineStr">
        <is>
          <t>Easy</t>
        </is>
      </c>
      <c r="J271" s="7" t="inlineStr">
        <is>
          <t>constructive algorithms, greedy, implementation</t>
        </is>
      </c>
      <c r="K271" s="6" t="n">
        <v>15</v>
      </c>
      <c r="L271" s="6" t="n">
        <v>10</v>
      </c>
      <c r="M271" s="8" t="inlineStr">
        <is>
          <t>https://codeforces.com/problemset/problem/1705/B</t>
        </is>
      </c>
      <c r="N271" s="7" t="n"/>
    </row>
    <row r="272" ht="20.1" customHeight="1">
      <c r="A272" s="2" t="inlineStr">
        <is>
          <t>Unsolved</t>
        </is>
      </c>
      <c r="B272" s="3" t="inlineStr">
        <is>
          <t>Strings</t>
        </is>
      </c>
      <c r="C272" s="3" t="inlineStr">
        <is>
          <t>Basic String Processing</t>
        </is>
      </c>
      <c r="D272" s="2" t="inlineStr">
        <is>
          <t>41A</t>
        </is>
      </c>
      <c r="E272" s="2" t="n">
        <v>41</v>
      </c>
      <c r="F272" s="2" t="inlineStr">
        <is>
          <t>A</t>
        </is>
      </c>
      <c r="G272" s="3" t="inlineStr">
        <is>
          <t>Translation</t>
        </is>
      </c>
      <c r="H272" s="2" t="n">
        <v>800</v>
      </c>
      <c r="I272" s="4" t="inlineStr">
        <is>
          <t>Easy</t>
        </is>
      </c>
      <c r="J272" s="3" t="inlineStr">
        <is>
          <t>implementation, strings</t>
        </is>
      </c>
      <c r="K272" s="2" t="n">
        <v>15</v>
      </c>
      <c r="L272" s="2" t="n">
        <v>10</v>
      </c>
      <c r="M272" s="5" t="inlineStr">
        <is>
          <t>https://codeforces.com/problemset/problem/41/A</t>
        </is>
      </c>
      <c r="N272" s="3" t="n"/>
    </row>
    <row r="273" ht="20.1" customHeight="1">
      <c r="A273" s="6" t="inlineStr">
        <is>
          <t>Unsolved</t>
        </is>
      </c>
      <c r="B273" s="7" t="inlineStr">
        <is>
          <t>Strings</t>
        </is>
      </c>
      <c r="C273" s="7" t="inlineStr">
        <is>
          <t>Basic String Processing</t>
        </is>
      </c>
      <c r="D273" s="6" t="inlineStr">
        <is>
          <t>58A</t>
        </is>
      </c>
      <c r="E273" s="6" t="n">
        <v>58</v>
      </c>
      <c r="F273" s="6" t="inlineStr">
        <is>
          <t>A</t>
        </is>
      </c>
      <c r="G273" s="7" t="inlineStr">
        <is>
          <t>Chat room</t>
        </is>
      </c>
      <c r="H273" s="6" t="n">
        <v>1000</v>
      </c>
      <c r="I273" s="4" t="inlineStr">
        <is>
          <t>Easy+</t>
        </is>
      </c>
      <c r="J273" s="7" t="inlineStr">
        <is>
          <t>greedy, strings</t>
        </is>
      </c>
      <c r="K273" s="6" t="n">
        <v>15</v>
      </c>
      <c r="L273" s="6" t="n">
        <v>10</v>
      </c>
      <c r="M273" s="8" t="inlineStr">
        <is>
          <t>https://codeforces.com/problemset/problem/58/A</t>
        </is>
      </c>
      <c r="N273" s="7" t="n"/>
    </row>
    <row r="274" ht="20.1" customHeight="1">
      <c r="A274" s="2" t="inlineStr">
        <is>
          <t>Unsolved</t>
        </is>
      </c>
      <c r="B274" s="3" t="inlineStr">
        <is>
          <t>Strings</t>
        </is>
      </c>
      <c r="C274" s="3" t="inlineStr">
        <is>
          <t>Basic String Processing</t>
        </is>
      </c>
      <c r="D274" s="2" t="inlineStr">
        <is>
          <t>96A</t>
        </is>
      </c>
      <c r="E274" s="2" t="n">
        <v>96</v>
      </c>
      <c r="F274" s="2" t="inlineStr">
        <is>
          <t>A</t>
        </is>
      </c>
      <c r="G274" s="3" t="inlineStr">
        <is>
          <t>Football</t>
        </is>
      </c>
      <c r="H274" s="2" t="n">
        <v>900</v>
      </c>
      <c r="I274" s="4" t="inlineStr">
        <is>
          <t>Easy</t>
        </is>
      </c>
      <c r="J274" s="3" t="inlineStr">
        <is>
          <t>implementation, strings</t>
        </is>
      </c>
      <c r="K274" s="2" t="n">
        <v>15</v>
      </c>
      <c r="L274" s="2" t="n">
        <v>10</v>
      </c>
      <c r="M274" s="5" t="inlineStr">
        <is>
          <t>https://codeforces.com/problemset/problem/96/A</t>
        </is>
      </c>
      <c r="N274" s="3" t="n"/>
    </row>
    <row r="275" ht="20.1" customHeight="1">
      <c r="A275" s="6" t="inlineStr">
        <is>
          <t>Unsolved</t>
        </is>
      </c>
      <c r="B275" s="7" t="inlineStr">
        <is>
          <t>Strings</t>
        </is>
      </c>
      <c r="C275" s="7" t="inlineStr">
        <is>
          <t>Basic String Processing</t>
        </is>
      </c>
      <c r="D275" s="6" t="inlineStr">
        <is>
          <t>112A</t>
        </is>
      </c>
      <c r="E275" s="6" t="n">
        <v>112</v>
      </c>
      <c r="F275" s="6" t="inlineStr">
        <is>
          <t>A</t>
        </is>
      </c>
      <c r="G275" s="7" t="inlineStr">
        <is>
          <t>Petya and Strings</t>
        </is>
      </c>
      <c r="H275" s="6" t="n">
        <v>800</v>
      </c>
      <c r="I275" s="4" t="inlineStr">
        <is>
          <t>Easy</t>
        </is>
      </c>
      <c r="J275" s="7" t="inlineStr">
        <is>
          <t>implementation, strings</t>
        </is>
      </c>
      <c r="K275" s="6" t="n">
        <v>15</v>
      </c>
      <c r="L275" s="6" t="n">
        <v>10</v>
      </c>
      <c r="M275" s="8" t="inlineStr">
        <is>
          <t>https://codeforces.com/problemset/problem/112/A</t>
        </is>
      </c>
      <c r="N275" s="7" t="n"/>
    </row>
    <row r="276" ht="20.1" customHeight="1">
      <c r="A276" s="2" t="inlineStr">
        <is>
          <t>Unsolved</t>
        </is>
      </c>
      <c r="B276" s="3" t="inlineStr">
        <is>
          <t>Strings</t>
        </is>
      </c>
      <c r="C276" s="3" t="inlineStr">
        <is>
          <t>Basic String Processing</t>
        </is>
      </c>
      <c r="D276" s="2" t="inlineStr">
        <is>
          <t>118A</t>
        </is>
      </c>
      <c r="E276" s="2" t="n">
        <v>118</v>
      </c>
      <c r="F276" s="2" t="inlineStr">
        <is>
          <t>A</t>
        </is>
      </c>
      <c r="G276" s="3" t="inlineStr">
        <is>
          <t>String Task</t>
        </is>
      </c>
      <c r="H276" s="2" t="n">
        <v>1000</v>
      </c>
      <c r="I276" s="4" t="inlineStr">
        <is>
          <t>Easy+</t>
        </is>
      </c>
      <c r="J276" s="3" t="inlineStr">
        <is>
          <t>implementation, strings</t>
        </is>
      </c>
      <c r="K276" s="2" t="n">
        <v>15</v>
      </c>
      <c r="L276" s="2" t="n">
        <v>10</v>
      </c>
      <c r="M276" s="5" t="inlineStr">
        <is>
          <t>https://codeforces.com/problemset/problem/118/A</t>
        </is>
      </c>
      <c r="N276" s="3" t="n"/>
    </row>
    <row r="277" ht="20.1" customHeight="1">
      <c r="A277" s="6" t="inlineStr">
        <is>
          <t>Unsolved</t>
        </is>
      </c>
      <c r="B277" s="7" t="inlineStr">
        <is>
          <t>Strings</t>
        </is>
      </c>
      <c r="C277" s="7" t="inlineStr">
        <is>
          <t>Basic String Processing</t>
        </is>
      </c>
      <c r="D277" s="6" t="inlineStr">
        <is>
          <t>281A</t>
        </is>
      </c>
      <c r="E277" s="6" t="n">
        <v>281</v>
      </c>
      <c r="F277" s="6" t="inlineStr">
        <is>
          <t>A</t>
        </is>
      </c>
      <c r="G277" s="7" t="inlineStr">
        <is>
          <t>Word Capitalization</t>
        </is>
      </c>
      <c r="H277" s="6" t="n">
        <v>800</v>
      </c>
      <c r="I277" s="4" t="inlineStr">
        <is>
          <t>Easy</t>
        </is>
      </c>
      <c r="J277" s="7" t="inlineStr">
        <is>
          <t>implementation, strings</t>
        </is>
      </c>
      <c r="K277" s="6" t="n">
        <v>15</v>
      </c>
      <c r="L277" s="6" t="n">
        <v>10</v>
      </c>
      <c r="M277" s="8" t="inlineStr">
        <is>
          <t>https://codeforces.com/problemset/problem/281/A</t>
        </is>
      </c>
      <c r="N277" s="7" t="n"/>
    </row>
    <row r="278" ht="20.1" customHeight="1">
      <c r="A278" s="2" t="inlineStr">
        <is>
          <t>Unsolved</t>
        </is>
      </c>
      <c r="B278" s="3" t="inlineStr">
        <is>
          <t>Strings</t>
        </is>
      </c>
      <c r="C278" s="3" t="inlineStr">
        <is>
          <t>Basic String Processing</t>
        </is>
      </c>
      <c r="D278" s="2" t="inlineStr">
        <is>
          <t>313A</t>
        </is>
      </c>
      <c r="E278" s="2" t="n">
        <v>313</v>
      </c>
      <c r="F278" s="2" t="inlineStr">
        <is>
          <t>A</t>
        </is>
      </c>
      <c r="G278" s="3" t="inlineStr">
        <is>
          <t>Ilya and Bank Account</t>
        </is>
      </c>
      <c r="H278" s="2" t="n">
        <v>900</v>
      </c>
      <c r="I278" s="4" t="inlineStr">
        <is>
          <t>Easy</t>
        </is>
      </c>
      <c r="J278" s="3" t="inlineStr">
        <is>
          <t>implementation, number theory</t>
        </is>
      </c>
      <c r="K278" s="2" t="n">
        <v>15</v>
      </c>
      <c r="L278" s="2" t="n">
        <v>10</v>
      </c>
      <c r="M278" s="5" t="inlineStr">
        <is>
          <t>https://codeforces.com/problemset/problem/313/A</t>
        </is>
      </c>
      <c r="N278" s="3" t="n"/>
    </row>
    <row r="279" ht="20.1" customHeight="1">
      <c r="A279" s="6" t="inlineStr">
        <is>
          <t>Unsolved</t>
        </is>
      </c>
      <c r="B279" s="7" t="inlineStr">
        <is>
          <t>Strings</t>
        </is>
      </c>
      <c r="C279" s="7" t="inlineStr">
        <is>
          <t>Basic String Processing</t>
        </is>
      </c>
      <c r="D279" s="6" t="inlineStr">
        <is>
          <t>472A</t>
        </is>
      </c>
      <c r="E279" s="6" t="n">
        <v>472</v>
      </c>
      <c r="F279" s="6" t="inlineStr">
        <is>
          <t>A</t>
        </is>
      </c>
      <c r="G279" s="7" t="inlineStr">
        <is>
          <t>Design Tutorial: Learn from Math</t>
        </is>
      </c>
      <c r="H279" s="6" t="n">
        <v>800</v>
      </c>
      <c r="I279" s="4" t="inlineStr">
        <is>
          <t>Easy</t>
        </is>
      </c>
      <c r="J279" s="7" t="inlineStr">
        <is>
          <t>math, number theory</t>
        </is>
      </c>
      <c r="K279" s="6" t="n">
        <v>15</v>
      </c>
      <c r="L279" s="6" t="n">
        <v>10</v>
      </c>
      <c r="M279" s="8" t="inlineStr">
        <is>
          <t>https://codeforces.com/problemset/problem/472/A</t>
        </is>
      </c>
      <c r="N279" s="7" t="n"/>
    </row>
    <row r="280" ht="20.1" customHeight="1">
      <c r="A280" s="2" t="inlineStr">
        <is>
          <t>Unsolved</t>
        </is>
      </c>
      <c r="B280" s="3" t="inlineStr">
        <is>
          <t>Strings</t>
        </is>
      </c>
      <c r="C280" s="3" t="inlineStr">
        <is>
          <t>Basic String Processing</t>
        </is>
      </c>
      <c r="D280" s="2" t="inlineStr">
        <is>
          <t>520A</t>
        </is>
      </c>
      <c r="E280" s="2" t="n">
        <v>520</v>
      </c>
      <c r="F280" s="2" t="inlineStr">
        <is>
          <t>A</t>
        </is>
      </c>
      <c r="G280" s="3" t="inlineStr">
        <is>
          <t>Pangram</t>
        </is>
      </c>
      <c r="H280" s="2" t="n">
        <v>800</v>
      </c>
      <c r="I280" s="4" t="inlineStr">
        <is>
          <t>Easy</t>
        </is>
      </c>
      <c r="J280" s="3" t="inlineStr">
        <is>
          <t>implementation, strings</t>
        </is>
      </c>
      <c r="K280" s="2" t="n">
        <v>15</v>
      </c>
      <c r="L280" s="2" t="n">
        <v>10</v>
      </c>
      <c r="M280" s="5" t="inlineStr">
        <is>
          <t>https://codeforces.com/problemset/problem/520/A</t>
        </is>
      </c>
      <c r="N280" s="3" t="n"/>
    </row>
    <row r="281" ht="20.1" customHeight="1">
      <c r="A281" s="6" t="inlineStr">
        <is>
          <t>Unsolved</t>
        </is>
      </c>
      <c r="B281" s="7" t="inlineStr">
        <is>
          <t>Strings</t>
        </is>
      </c>
      <c r="C281" s="7" t="inlineStr">
        <is>
          <t>Basic String Processing</t>
        </is>
      </c>
      <c r="D281" s="6" t="inlineStr">
        <is>
          <t>977B</t>
        </is>
      </c>
      <c r="E281" s="6" t="n">
        <v>977</v>
      </c>
      <c r="F281" s="6" t="inlineStr">
        <is>
          <t>B</t>
        </is>
      </c>
      <c r="G281" s="7" t="inlineStr">
        <is>
          <t>Two-gram</t>
        </is>
      </c>
      <c r="H281" s="6" t="n">
        <v>900</v>
      </c>
      <c r="I281" s="4" t="inlineStr">
        <is>
          <t>Easy</t>
        </is>
      </c>
      <c r="J281" s="7" t="inlineStr">
        <is>
          <t>implementation, strings</t>
        </is>
      </c>
      <c r="K281" s="6" t="n">
        <v>15</v>
      </c>
      <c r="L281" s="6" t="n">
        <v>10</v>
      </c>
      <c r="M281" s="8" t="inlineStr">
        <is>
          <t>https://codeforces.com/problemset/problem/977/B</t>
        </is>
      </c>
      <c r="N281" s="7" t="n"/>
    </row>
    <row r="282" ht="20.1" customHeight="1">
      <c r="A282" s="2" t="inlineStr">
        <is>
          <t>Unsolved</t>
        </is>
      </c>
      <c r="B282" s="3" t="inlineStr">
        <is>
          <t>Strings</t>
        </is>
      </c>
      <c r="C282" s="3" t="inlineStr">
        <is>
          <t>Basic String Processing</t>
        </is>
      </c>
      <c r="D282" s="2" t="inlineStr">
        <is>
          <t>1095A</t>
        </is>
      </c>
      <c r="E282" s="2" t="n">
        <v>1095</v>
      </c>
      <c r="F282" s="2" t="inlineStr">
        <is>
          <t>A</t>
        </is>
      </c>
      <c r="G282" s="3" t="inlineStr">
        <is>
          <t>Repeating Cipher</t>
        </is>
      </c>
      <c r="H282" s="2" t="n">
        <v>800</v>
      </c>
      <c r="I282" s="4" t="inlineStr">
        <is>
          <t>Easy</t>
        </is>
      </c>
      <c r="J282" s="3" t="inlineStr">
        <is>
          <t>implementation</t>
        </is>
      </c>
      <c r="K282" s="2" t="n">
        <v>15</v>
      </c>
      <c r="L282" s="2" t="n">
        <v>10</v>
      </c>
      <c r="M282" s="5" t="inlineStr">
        <is>
          <t>https://codeforces.com/problemset/problem/1095/A</t>
        </is>
      </c>
      <c r="N282" s="3" t="n"/>
    </row>
    <row r="283" ht="20.1" customHeight="1">
      <c r="A283" s="6" t="inlineStr">
        <is>
          <t>Unsolved</t>
        </is>
      </c>
      <c r="B283" s="7" t="inlineStr">
        <is>
          <t>Strings</t>
        </is>
      </c>
      <c r="C283" s="7" t="inlineStr">
        <is>
          <t>Basic String Processing</t>
        </is>
      </c>
      <c r="D283" s="6" t="inlineStr">
        <is>
          <t>1108B</t>
        </is>
      </c>
      <c r="E283" s="6" t="n">
        <v>1108</v>
      </c>
      <c r="F283" s="6" t="inlineStr">
        <is>
          <t>B</t>
        </is>
      </c>
      <c r="G283" s="7" t="inlineStr">
        <is>
          <t>Divisors of Two Integers</t>
        </is>
      </c>
      <c r="H283" s="6" t="n">
        <v>1100</v>
      </c>
      <c r="I283" s="4" t="inlineStr">
        <is>
          <t>Easy+</t>
        </is>
      </c>
      <c r="J283" s="7" t="inlineStr">
        <is>
          <t>brute force, greedy, math, number theory</t>
        </is>
      </c>
      <c r="K283" s="6" t="n">
        <v>25</v>
      </c>
      <c r="L283" s="6" t="n">
        <v>20</v>
      </c>
      <c r="M283" s="8" t="inlineStr">
        <is>
          <t>https://codeforces.com/problemset/problem/1108/B</t>
        </is>
      </c>
      <c r="N283" s="7" t="n"/>
    </row>
    <row r="284" ht="20.1" customHeight="1">
      <c r="A284" s="2" t="inlineStr">
        <is>
          <t>Unsolved</t>
        </is>
      </c>
      <c r="B284" s="3" t="inlineStr">
        <is>
          <t>Strings</t>
        </is>
      </c>
      <c r="C284" s="3" t="inlineStr">
        <is>
          <t>Basic String Processing</t>
        </is>
      </c>
      <c r="D284" s="2" t="inlineStr">
        <is>
          <t>1182A</t>
        </is>
      </c>
      <c r="E284" s="2" t="n">
        <v>1182</v>
      </c>
      <c r="F284" s="2" t="inlineStr">
        <is>
          <t>A</t>
        </is>
      </c>
      <c r="G284" s="3" t="inlineStr">
        <is>
          <t>Filling Shapes</t>
        </is>
      </c>
      <c r="H284" s="2" t="n">
        <v>1000</v>
      </c>
      <c r="I284" s="4" t="inlineStr">
        <is>
          <t>Easy+</t>
        </is>
      </c>
      <c r="J284" s="3" t="inlineStr">
        <is>
          <t>dp, math</t>
        </is>
      </c>
      <c r="K284" s="2" t="n">
        <v>15</v>
      </c>
      <c r="L284" s="2" t="n">
        <v>10</v>
      </c>
      <c r="M284" s="5" t="inlineStr">
        <is>
          <t>https://codeforces.com/problemset/problem/1182/A</t>
        </is>
      </c>
      <c r="N284" s="3" t="n"/>
    </row>
    <row r="285" ht="20.1" customHeight="1">
      <c r="A285" s="6" t="inlineStr">
        <is>
          <t>Unsolved</t>
        </is>
      </c>
      <c r="B285" s="7" t="inlineStr">
        <is>
          <t>Strings</t>
        </is>
      </c>
      <c r="C285" s="7" t="inlineStr">
        <is>
          <t>Basic String Processing</t>
        </is>
      </c>
      <c r="D285" s="6" t="inlineStr">
        <is>
          <t>1266A</t>
        </is>
      </c>
      <c r="E285" s="6" t="n">
        <v>1266</v>
      </c>
      <c r="F285" s="6" t="inlineStr">
        <is>
          <t>A</t>
        </is>
      </c>
      <c r="G285" s="7" t="inlineStr">
        <is>
          <t>Competitive Programmer</t>
        </is>
      </c>
      <c r="H285" s="6" t="n">
        <v>1000</v>
      </c>
      <c r="I285" s="4" t="inlineStr">
        <is>
          <t>Easy+</t>
        </is>
      </c>
      <c r="J285" s="7" t="inlineStr">
        <is>
          <t>chinese remainder theorem, math</t>
        </is>
      </c>
      <c r="K285" s="6" t="n">
        <v>15</v>
      </c>
      <c r="L285" s="6" t="n">
        <v>10</v>
      </c>
      <c r="M285" s="8" t="inlineStr">
        <is>
          <t>https://codeforces.com/problemset/problem/1266/A</t>
        </is>
      </c>
      <c r="N285" s="7" t="n"/>
    </row>
    <row r="286" ht="20.1" customHeight="1">
      <c r="A286" s="2" t="inlineStr">
        <is>
          <t>Unsolved</t>
        </is>
      </c>
      <c r="B286" s="3" t="inlineStr">
        <is>
          <t>Strings</t>
        </is>
      </c>
      <c r="C286" s="3" t="inlineStr">
        <is>
          <t>Basic String Processing</t>
        </is>
      </c>
      <c r="D286" s="2" t="inlineStr">
        <is>
          <t>1295A</t>
        </is>
      </c>
      <c r="E286" s="2" t="n">
        <v>1295</v>
      </c>
      <c r="F286" s="2" t="inlineStr">
        <is>
          <t>A</t>
        </is>
      </c>
      <c r="G286" s="3" t="inlineStr">
        <is>
          <t>Display The Number</t>
        </is>
      </c>
      <c r="H286" s="2" t="n">
        <v>900</v>
      </c>
      <c r="I286" s="4" t="inlineStr">
        <is>
          <t>Easy</t>
        </is>
      </c>
      <c r="J286" s="3" t="inlineStr">
        <is>
          <t>greedy</t>
        </is>
      </c>
      <c r="K286" s="2" t="n">
        <v>15</v>
      </c>
      <c r="L286" s="2" t="n">
        <v>10</v>
      </c>
      <c r="M286" s="5" t="inlineStr">
        <is>
          <t>https://codeforces.com/problemset/problem/1295/A</t>
        </is>
      </c>
      <c r="N286" s="3" t="n"/>
    </row>
    <row r="287" ht="20.1" customHeight="1">
      <c r="A287" s="6" t="inlineStr">
        <is>
          <t>Unsolved</t>
        </is>
      </c>
      <c r="B287" s="7" t="inlineStr">
        <is>
          <t>Strings</t>
        </is>
      </c>
      <c r="C287" s="7" t="inlineStr">
        <is>
          <t>Basic String Processing</t>
        </is>
      </c>
      <c r="D287" s="6" t="inlineStr">
        <is>
          <t>1433A</t>
        </is>
      </c>
      <c r="E287" s="6" t="n">
        <v>1433</v>
      </c>
      <c r="F287" s="6" t="inlineStr">
        <is>
          <t>A</t>
        </is>
      </c>
      <c r="G287" s="7" t="inlineStr">
        <is>
          <t>Boring Apartments</t>
        </is>
      </c>
      <c r="H287" s="6" t="n">
        <v>800</v>
      </c>
      <c r="I287" s="4" t="inlineStr">
        <is>
          <t>Easy</t>
        </is>
      </c>
      <c r="J287" s="7" t="inlineStr">
        <is>
          <t>implementation, math</t>
        </is>
      </c>
      <c r="K287" s="6" t="n">
        <v>15</v>
      </c>
      <c r="L287" s="6" t="n">
        <v>10</v>
      </c>
      <c r="M287" s="8" t="inlineStr">
        <is>
          <t>https://codeforces.com/problemset/problem/1433/A</t>
        </is>
      </c>
      <c r="N287" s="7" t="n"/>
    </row>
    <row r="288" ht="20.1" customHeight="1">
      <c r="A288" s="2" t="inlineStr">
        <is>
          <t>Unsolved</t>
        </is>
      </c>
      <c r="B288" s="3" t="inlineStr">
        <is>
          <t>Strings</t>
        </is>
      </c>
      <c r="C288" s="3" t="inlineStr">
        <is>
          <t>Character Frequency</t>
        </is>
      </c>
      <c r="D288" s="2" t="inlineStr">
        <is>
          <t>271A</t>
        </is>
      </c>
      <c r="E288" s="2" t="n">
        <v>271</v>
      </c>
      <c r="F288" s="2" t="inlineStr">
        <is>
          <t>A</t>
        </is>
      </c>
      <c r="G288" s="3" t="inlineStr">
        <is>
          <t>Beautiful Year</t>
        </is>
      </c>
      <c r="H288" s="2" t="n">
        <v>800</v>
      </c>
      <c r="I288" s="4" t="inlineStr">
        <is>
          <t>Easy</t>
        </is>
      </c>
      <c r="J288" s="3" t="inlineStr">
        <is>
          <t>brute force</t>
        </is>
      </c>
      <c r="K288" s="2" t="n">
        <v>15</v>
      </c>
      <c r="L288" s="2" t="n">
        <v>10</v>
      </c>
      <c r="M288" s="5" t="inlineStr">
        <is>
          <t>https://codeforces.com/problemset/problem/271/A</t>
        </is>
      </c>
      <c r="N288" s="3" t="n"/>
    </row>
    <row r="289" ht="20.1" customHeight="1">
      <c r="A289" s="6" t="inlineStr">
        <is>
          <t>Unsolved</t>
        </is>
      </c>
      <c r="B289" s="7" t="inlineStr">
        <is>
          <t>Strings</t>
        </is>
      </c>
      <c r="C289" s="7" t="inlineStr">
        <is>
          <t>Character Frequency</t>
        </is>
      </c>
      <c r="D289" s="6" t="inlineStr">
        <is>
          <t>443A</t>
        </is>
      </c>
      <c r="E289" s="6" t="n">
        <v>443</v>
      </c>
      <c r="F289" s="6" t="inlineStr">
        <is>
          <t>A</t>
        </is>
      </c>
      <c r="G289" s="7" t="inlineStr">
        <is>
          <t>Anton and Letters</t>
        </is>
      </c>
      <c r="H289" s="6" t="n">
        <v>800</v>
      </c>
      <c r="I289" s="4" t="inlineStr">
        <is>
          <t>Easy</t>
        </is>
      </c>
      <c r="J289" s="7" t="inlineStr">
        <is>
          <t>constructive algorithms, implementation</t>
        </is>
      </c>
      <c r="K289" s="6" t="n">
        <v>15</v>
      </c>
      <c r="L289" s="6" t="n">
        <v>10</v>
      </c>
      <c r="M289" s="8" t="inlineStr">
        <is>
          <t>https://codeforces.com/problemset/problem/443/A</t>
        </is>
      </c>
      <c r="N289" s="7" t="n"/>
    </row>
    <row r="290" ht="20.1" customHeight="1">
      <c r="A290" s="2" t="inlineStr">
        <is>
          <t>Unsolved</t>
        </is>
      </c>
      <c r="B290" s="3" t="inlineStr">
        <is>
          <t>Strings</t>
        </is>
      </c>
      <c r="C290" s="3" t="inlineStr">
        <is>
          <t>Character Frequency</t>
        </is>
      </c>
      <c r="D290" s="2" t="inlineStr">
        <is>
          <t>554A</t>
        </is>
      </c>
      <c r="E290" s="2" t="n">
        <v>554</v>
      </c>
      <c r="F290" s="2" t="inlineStr">
        <is>
          <t>A</t>
        </is>
      </c>
      <c r="G290" s="3" t="inlineStr">
        <is>
          <t>Kyoya and Photobooks</t>
        </is>
      </c>
      <c r="H290" s="2" t="n">
        <v>900</v>
      </c>
      <c r="I290" s="4" t="inlineStr">
        <is>
          <t>Easy</t>
        </is>
      </c>
      <c r="J290" s="3" t="inlineStr">
        <is>
          <t>brute force, math, strings</t>
        </is>
      </c>
      <c r="K290" s="2" t="n">
        <v>15</v>
      </c>
      <c r="L290" s="2" t="n">
        <v>10</v>
      </c>
      <c r="M290" s="5" t="inlineStr">
        <is>
          <t>https://codeforces.com/problemset/problem/554/A</t>
        </is>
      </c>
      <c r="N290" s="3" t="n"/>
    </row>
    <row r="291" ht="20.1" customHeight="1">
      <c r="A291" s="6" t="inlineStr">
        <is>
          <t>Unsolved</t>
        </is>
      </c>
      <c r="B291" s="7" t="inlineStr">
        <is>
          <t>Strings</t>
        </is>
      </c>
      <c r="C291" s="7" t="inlineStr">
        <is>
          <t>Character Frequency</t>
        </is>
      </c>
      <c r="D291" s="6" t="inlineStr">
        <is>
          <t>897A</t>
        </is>
      </c>
      <c r="E291" s="6" t="n">
        <v>897</v>
      </c>
      <c r="F291" s="6" t="inlineStr">
        <is>
          <t>A</t>
        </is>
      </c>
      <c r="G291" s="7" t="inlineStr">
        <is>
          <t>Scarborough Fair</t>
        </is>
      </c>
      <c r="H291" s="6" t="n">
        <v>800</v>
      </c>
      <c r="I291" s="4" t="inlineStr">
        <is>
          <t>Easy</t>
        </is>
      </c>
      <c r="J291" s="7" t="inlineStr">
        <is>
          <t>implementation</t>
        </is>
      </c>
      <c r="K291" s="6" t="n">
        <v>15</v>
      </c>
      <c r="L291" s="6" t="n">
        <v>10</v>
      </c>
      <c r="M291" s="8" t="inlineStr">
        <is>
          <t>https://codeforces.com/problemset/problem/897/A</t>
        </is>
      </c>
      <c r="N291" s="7" t="n"/>
    </row>
    <row r="292" ht="20.1" customHeight="1">
      <c r="A292" s="2" t="inlineStr">
        <is>
          <t>Unsolved</t>
        </is>
      </c>
      <c r="B292" s="3" t="inlineStr">
        <is>
          <t>Strings</t>
        </is>
      </c>
      <c r="C292" s="3" t="inlineStr">
        <is>
          <t>Character Frequency</t>
        </is>
      </c>
      <c r="D292" s="2" t="inlineStr">
        <is>
          <t>978B</t>
        </is>
      </c>
      <c r="E292" s="2" t="n">
        <v>978</v>
      </c>
      <c r="F292" s="2" t="inlineStr">
        <is>
          <t>B</t>
        </is>
      </c>
      <c r="G292" s="3" t="inlineStr">
        <is>
          <t>File Name</t>
        </is>
      </c>
      <c r="H292" s="2" t="n">
        <v>800</v>
      </c>
      <c r="I292" s="4" t="inlineStr">
        <is>
          <t>Easy</t>
        </is>
      </c>
      <c r="J292" s="3" t="inlineStr">
        <is>
          <t>greedy, strings</t>
        </is>
      </c>
      <c r="K292" s="2" t="n">
        <v>15</v>
      </c>
      <c r="L292" s="2" t="n">
        <v>10</v>
      </c>
      <c r="M292" s="5" t="inlineStr">
        <is>
          <t>https://codeforces.com/problemset/problem/978/B</t>
        </is>
      </c>
      <c r="N292" s="3" t="n"/>
    </row>
    <row r="293" ht="20.1" customHeight="1">
      <c r="A293" s="6" t="inlineStr">
        <is>
          <t>Unsolved</t>
        </is>
      </c>
      <c r="B293" s="7" t="inlineStr">
        <is>
          <t>Strings</t>
        </is>
      </c>
      <c r="C293" s="7" t="inlineStr">
        <is>
          <t>Character Frequency</t>
        </is>
      </c>
      <c r="D293" s="6" t="inlineStr">
        <is>
          <t>1008A</t>
        </is>
      </c>
      <c r="E293" s="6" t="n">
        <v>1008</v>
      </c>
      <c r="F293" s="6" t="inlineStr">
        <is>
          <t>A</t>
        </is>
      </c>
      <c r="G293" s="7" t="inlineStr">
        <is>
          <t>Romaji</t>
        </is>
      </c>
      <c r="H293" s="6" t="n">
        <v>900</v>
      </c>
      <c r="I293" s="4" t="inlineStr">
        <is>
          <t>Easy</t>
        </is>
      </c>
      <c r="J293" s="7" t="inlineStr">
        <is>
          <t>implementation, strings</t>
        </is>
      </c>
      <c r="K293" s="6" t="n">
        <v>15</v>
      </c>
      <c r="L293" s="6" t="n">
        <v>10</v>
      </c>
      <c r="M293" s="8" t="inlineStr">
        <is>
          <t>https://codeforces.com/problemset/problem/1008/A</t>
        </is>
      </c>
      <c r="N293" s="7" t="n"/>
    </row>
    <row r="294" ht="20.1" customHeight="1">
      <c r="A294" s="2" t="inlineStr">
        <is>
          <t>Unsolved</t>
        </is>
      </c>
      <c r="B294" s="3" t="inlineStr">
        <is>
          <t>Strings</t>
        </is>
      </c>
      <c r="C294" s="3" t="inlineStr">
        <is>
          <t>Character Frequency</t>
        </is>
      </c>
      <c r="D294" s="2" t="inlineStr">
        <is>
          <t>1216A</t>
        </is>
      </c>
      <c r="E294" s="2" t="n">
        <v>1216</v>
      </c>
      <c r="F294" s="2" t="inlineStr">
        <is>
          <t>A</t>
        </is>
      </c>
      <c r="G294" s="3" t="inlineStr">
        <is>
          <t>Prefixes</t>
        </is>
      </c>
      <c r="H294" s="2" t="n">
        <v>800</v>
      </c>
      <c r="I294" s="4" t="inlineStr">
        <is>
          <t>Easy</t>
        </is>
      </c>
      <c r="J294" s="3" t="inlineStr">
        <is>
          <t>strings</t>
        </is>
      </c>
      <c r="K294" s="2" t="n">
        <v>15</v>
      </c>
      <c r="L294" s="2" t="n">
        <v>10</v>
      </c>
      <c r="M294" s="5" t="inlineStr">
        <is>
          <t>https://codeforces.com/problemset/problem/1216/A</t>
        </is>
      </c>
      <c r="N294" s="3" t="n"/>
    </row>
    <row r="295" ht="20.1" customHeight="1">
      <c r="A295" s="6" t="inlineStr">
        <is>
          <t>Unsolved</t>
        </is>
      </c>
      <c r="B295" s="7" t="inlineStr">
        <is>
          <t>Strings</t>
        </is>
      </c>
      <c r="C295" s="7" t="inlineStr">
        <is>
          <t>Character Frequency</t>
        </is>
      </c>
      <c r="D295" s="6" t="inlineStr">
        <is>
          <t>1277A</t>
        </is>
      </c>
      <c r="E295" s="6" t="n">
        <v>1277</v>
      </c>
      <c r="F295" s="6" t="inlineStr">
        <is>
          <t>A</t>
        </is>
      </c>
      <c r="G295" s="7" t="inlineStr">
        <is>
          <t>Happy Birthday, Polycarp!</t>
        </is>
      </c>
      <c r="H295" s="6" t="n">
        <v>1000</v>
      </c>
      <c r="I295" s="4" t="inlineStr">
        <is>
          <t>Easy+</t>
        </is>
      </c>
      <c r="J295" s="7" t="inlineStr">
        <is>
          <t>implementation</t>
        </is>
      </c>
      <c r="K295" s="6" t="n">
        <v>15</v>
      </c>
      <c r="L295" s="6" t="n">
        <v>10</v>
      </c>
      <c r="M295" s="8" t="inlineStr">
        <is>
          <t>https://codeforces.com/problemset/problem/1277/A</t>
        </is>
      </c>
      <c r="N295" s="7" t="n"/>
    </row>
    <row r="296" ht="20.1" customHeight="1">
      <c r="A296" s="2" t="inlineStr">
        <is>
          <t>Unsolved</t>
        </is>
      </c>
      <c r="B296" s="3" t="inlineStr">
        <is>
          <t>Strings</t>
        </is>
      </c>
      <c r="C296" s="3" t="inlineStr">
        <is>
          <t>Character Frequency</t>
        </is>
      </c>
      <c r="D296" s="2" t="inlineStr">
        <is>
          <t>1368B</t>
        </is>
      </c>
      <c r="E296" s="2" t="n">
        <v>1368</v>
      </c>
      <c r="F296" s="2" t="inlineStr">
        <is>
          <t>B</t>
        </is>
      </c>
      <c r="G296" s="3" t="inlineStr">
        <is>
          <t>Codeforces Subsequences</t>
        </is>
      </c>
      <c r="H296" s="2" t="n">
        <v>1500</v>
      </c>
      <c r="I296" s="9" t="inlineStr">
        <is>
          <t>Medium+</t>
        </is>
      </c>
      <c r="J296" s="3" t="inlineStr">
        <is>
          <t>brute force, constructive algorithms, greedy, math, strings</t>
        </is>
      </c>
      <c r="K296" s="2" t="n">
        <v>40</v>
      </c>
      <c r="L296" s="2" t="n">
        <v>35</v>
      </c>
      <c r="M296" s="5" t="inlineStr">
        <is>
          <t>https://codeforces.com/problemset/problem/1368/B</t>
        </is>
      </c>
      <c r="N296" s="3" t="n"/>
    </row>
    <row r="297" ht="20.1" customHeight="1">
      <c r="A297" s="6" t="inlineStr">
        <is>
          <t>Unsolved</t>
        </is>
      </c>
      <c r="B297" s="7" t="inlineStr">
        <is>
          <t>Strings</t>
        </is>
      </c>
      <c r="C297" s="7" t="inlineStr">
        <is>
          <t>Character Frequency</t>
        </is>
      </c>
      <c r="D297" s="6" t="inlineStr">
        <is>
          <t>1430C</t>
        </is>
      </c>
      <c r="E297" s="6" t="n">
        <v>1430</v>
      </c>
      <c r="F297" s="6" t="inlineStr">
        <is>
          <t>C</t>
        </is>
      </c>
      <c r="G297" s="7" t="inlineStr">
        <is>
          <t>Numbers on Whiteboard</t>
        </is>
      </c>
      <c r="H297" s="6" t="n">
        <v>1000</v>
      </c>
      <c r="I297" s="4" t="inlineStr">
        <is>
          <t>Easy+</t>
        </is>
      </c>
      <c r="J297" s="7" t="inlineStr">
        <is>
          <t>constructive algorithms, data structures, greedy, implementation, math</t>
        </is>
      </c>
      <c r="K297" s="6" t="n">
        <v>15</v>
      </c>
      <c r="L297" s="6" t="n">
        <v>10</v>
      </c>
      <c r="M297" s="8" t="inlineStr">
        <is>
          <t>https://codeforces.com/problemset/problem/1430/C</t>
        </is>
      </c>
      <c r="N297" s="7" t="n"/>
    </row>
    <row r="298" ht="20.1" customHeight="1">
      <c r="A298" s="2" t="inlineStr">
        <is>
          <t>Unsolved</t>
        </is>
      </c>
      <c r="B298" s="3" t="inlineStr">
        <is>
          <t>Strings</t>
        </is>
      </c>
      <c r="C298" s="3" t="inlineStr">
        <is>
          <t>Character Frequency</t>
        </is>
      </c>
      <c r="D298" s="2" t="inlineStr">
        <is>
          <t>1450A</t>
        </is>
      </c>
      <c r="E298" s="2" t="n">
        <v>1450</v>
      </c>
      <c r="F298" s="2" t="inlineStr">
        <is>
          <t>A</t>
        </is>
      </c>
      <c r="G298" s="3" t="inlineStr">
        <is>
          <t>Avoid Trygub</t>
        </is>
      </c>
      <c r="H298" s="2" t="n">
        <v>800</v>
      </c>
      <c r="I298" s="4" t="inlineStr">
        <is>
          <t>Easy</t>
        </is>
      </c>
      <c r="J298" s="3" t="inlineStr">
        <is>
          <t>constructive algorithms, sortings</t>
        </is>
      </c>
      <c r="K298" s="2" t="n">
        <v>15</v>
      </c>
      <c r="L298" s="2" t="n">
        <v>10</v>
      </c>
      <c r="M298" s="5" t="inlineStr">
        <is>
          <t>https://codeforces.com/problemset/problem/1450/A</t>
        </is>
      </c>
      <c r="N298" s="3" t="n"/>
    </row>
    <row r="299" ht="20.1" customHeight="1">
      <c r="A299" s="6" t="inlineStr">
        <is>
          <t>Unsolved</t>
        </is>
      </c>
      <c r="B299" s="7" t="inlineStr">
        <is>
          <t>Strings</t>
        </is>
      </c>
      <c r="C299" s="7" t="inlineStr">
        <is>
          <t>Character Frequency</t>
        </is>
      </c>
      <c r="D299" s="6" t="inlineStr">
        <is>
          <t>1530A</t>
        </is>
      </c>
      <c r="E299" s="6" t="n">
        <v>1530</v>
      </c>
      <c r="F299" s="6" t="inlineStr">
        <is>
          <t>A</t>
        </is>
      </c>
      <c r="G299" s="7" t="inlineStr">
        <is>
          <t>Binary Decimal</t>
        </is>
      </c>
      <c r="H299" s="6" t="n">
        <v>800</v>
      </c>
      <c r="I299" s="4" t="inlineStr">
        <is>
          <t>Easy</t>
        </is>
      </c>
      <c r="J299" s="7" t="inlineStr">
        <is>
          <t>greedy, math</t>
        </is>
      </c>
      <c r="K299" s="6" t="n">
        <v>15</v>
      </c>
      <c r="L299" s="6" t="n">
        <v>10</v>
      </c>
      <c r="M299" s="8" t="inlineStr">
        <is>
          <t>https://codeforces.com/problemset/problem/1530/A</t>
        </is>
      </c>
      <c r="N299" s="7" t="n"/>
    </row>
    <row r="300" ht="20.1" customHeight="1">
      <c r="A300" s="2" t="inlineStr">
        <is>
          <t>Unsolved</t>
        </is>
      </c>
      <c r="B300" s="3" t="inlineStr">
        <is>
          <t>Strings</t>
        </is>
      </c>
      <c r="C300" s="3" t="inlineStr">
        <is>
          <t>Greedy on Strings</t>
        </is>
      </c>
      <c r="D300" s="2" t="inlineStr">
        <is>
          <t>1165C</t>
        </is>
      </c>
      <c r="E300" s="2" t="n">
        <v>1165</v>
      </c>
      <c r="F300" s="2" t="inlineStr">
        <is>
          <t>C</t>
        </is>
      </c>
      <c r="G300" s="3" t="inlineStr">
        <is>
          <t>Good String</t>
        </is>
      </c>
      <c r="H300" s="2" t="n">
        <v>1300</v>
      </c>
      <c r="I300" s="9" t="inlineStr">
        <is>
          <t>Medium</t>
        </is>
      </c>
      <c r="J300" s="3" t="inlineStr">
        <is>
          <t>greedy</t>
        </is>
      </c>
      <c r="K300" s="2" t="n">
        <v>25</v>
      </c>
      <c r="L300" s="2" t="n">
        <v>20</v>
      </c>
      <c r="M300" s="5" t="inlineStr">
        <is>
          <t>https://codeforces.com/problemset/problem/1165/C</t>
        </is>
      </c>
      <c r="N300" s="3" t="n"/>
    </row>
    <row r="301" ht="20.1" customHeight="1">
      <c r="A301" s="6" t="inlineStr">
        <is>
          <t>Unsolved</t>
        </is>
      </c>
      <c r="B301" s="7" t="inlineStr">
        <is>
          <t>Strings</t>
        </is>
      </c>
      <c r="C301" s="7" t="inlineStr">
        <is>
          <t>Greedy on Strings</t>
        </is>
      </c>
      <c r="D301" s="6" t="inlineStr">
        <is>
          <t>1200E</t>
        </is>
      </c>
      <c r="E301" s="6" t="n">
        <v>1200</v>
      </c>
      <c r="F301" s="6" t="inlineStr">
        <is>
          <t>E</t>
        </is>
      </c>
      <c r="G301" s="7" t="inlineStr">
        <is>
          <t>Compress Words</t>
        </is>
      </c>
      <c r="H301" s="6" t="n">
        <v>2000</v>
      </c>
      <c r="I301" s="10" t="inlineStr">
        <is>
          <t>Hard+</t>
        </is>
      </c>
      <c r="J301" s="7" t="inlineStr">
        <is>
          <t>brute force, hashing, implementation, string suffix structures, strings</t>
        </is>
      </c>
      <c r="K301" s="6" t="n">
        <v>90</v>
      </c>
      <c r="L301" s="6" t="n">
        <v>80</v>
      </c>
      <c r="M301" s="8" t="inlineStr">
        <is>
          <t>https://codeforces.com/problemset/problem/1200/E</t>
        </is>
      </c>
      <c r="N301" s="7" t="n"/>
    </row>
    <row r="302" ht="20.1" customHeight="1">
      <c r="A302" s="2" t="inlineStr">
        <is>
          <t>Unsolved</t>
        </is>
      </c>
      <c r="B302" s="3" t="inlineStr">
        <is>
          <t>Strings</t>
        </is>
      </c>
      <c r="C302" s="3" t="inlineStr">
        <is>
          <t>Greedy on Strings</t>
        </is>
      </c>
      <c r="D302" s="2" t="inlineStr">
        <is>
          <t>1367D</t>
        </is>
      </c>
      <c r="E302" s="2" t="n">
        <v>1367</v>
      </c>
      <c r="F302" s="2" t="inlineStr">
        <is>
          <t>D</t>
        </is>
      </c>
      <c r="G302" s="3" t="inlineStr">
        <is>
          <t>Task On The Board</t>
        </is>
      </c>
      <c r="H302" s="2" t="n">
        <v>1800</v>
      </c>
      <c r="I302" s="10" t="inlineStr">
        <is>
          <t>Hard</t>
        </is>
      </c>
      <c r="J302" s="3" t="inlineStr">
        <is>
          <t>constructive algorithms, greedy, implementation, sortings</t>
        </is>
      </c>
      <c r="K302" s="2" t="n">
        <v>60</v>
      </c>
      <c r="L302" s="2" t="n">
        <v>55</v>
      </c>
      <c r="M302" s="5" t="inlineStr">
        <is>
          <t>https://codeforces.com/problemset/problem/1367/D</t>
        </is>
      </c>
      <c r="N302" s="3" t="n"/>
    </row>
    <row r="303" ht="20.1" customHeight="1">
      <c r="A303" s="6" t="inlineStr">
        <is>
          <t>Unsolved</t>
        </is>
      </c>
      <c r="B303" s="7" t="inlineStr">
        <is>
          <t>Strings</t>
        </is>
      </c>
      <c r="C303" s="7" t="inlineStr">
        <is>
          <t>Greedy on Strings</t>
        </is>
      </c>
      <c r="D303" s="6" t="inlineStr">
        <is>
          <t>1382C1</t>
        </is>
      </c>
      <c r="E303" s="6" t="n">
        <v>1382</v>
      </c>
      <c r="F303" s="6" t="inlineStr">
        <is>
          <t>C1</t>
        </is>
      </c>
      <c r="G303" s="7" t="inlineStr">
        <is>
          <t>UNKNOWN</t>
        </is>
      </c>
      <c r="H303" s="6" t="inlineStr">
        <is>
          <t>UNKNOWN</t>
        </is>
      </c>
      <c r="I303" s="11" t="inlineStr">
        <is>
          <t>UNKNOWN</t>
        </is>
      </c>
      <c r="J303" s="7" t="inlineStr">
        <is>
          <t>UNKNOWN</t>
        </is>
      </c>
      <c r="K303" s="6" t="n">
        <v>0</v>
      </c>
      <c r="L303" s="6" t="n">
        <v>0</v>
      </c>
      <c r="M303" s="8" t="inlineStr">
        <is>
          <t>https://codeforces.com/problemset/problem/1382/C1</t>
        </is>
      </c>
      <c r="N303" s="7" t="n"/>
    </row>
    <row r="304" ht="20.1" customHeight="1">
      <c r="A304" s="2" t="inlineStr">
        <is>
          <t>Unsolved</t>
        </is>
      </c>
      <c r="B304" s="3" t="inlineStr">
        <is>
          <t>Strings</t>
        </is>
      </c>
      <c r="C304" s="3" t="inlineStr">
        <is>
          <t>Greedy on Strings</t>
        </is>
      </c>
      <c r="D304" s="2" t="inlineStr">
        <is>
          <t>1382C2</t>
        </is>
      </c>
      <c r="E304" s="2" t="n">
        <v>1382</v>
      </c>
      <c r="F304" s="2" t="inlineStr">
        <is>
          <t>C2</t>
        </is>
      </c>
      <c r="G304" s="3" t="inlineStr">
        <is>
          <t>UNKNOWN</t>
        </is>
      </c>
      <c r="H304" s="2" t="inlineStr">
        <is>
          <t>UNKNOWN</t>
        </is>
      </c>
      <c r="I304" s="11" t="inlineStr">
        <is>
          <t>UNKNOWN</t>
        </is>
      </c>
      <c r="J304" s="3" t="inlineStr">
        <is>
          <t>UNKNOWN</t>
        </is>
      </c>
      <c r="K304" s="2" t="n">
        <v>0</v>
      </c>
      <c r="L304" s="2" t="n">
        <v>0</v>
      </c>
      <c r="M304" s="5" t="inlineStr">
        <is>
          <t>https://codeforces.com/problemset/problem/1382/C2</t>
        </is>
      </c>
      <c r="N304" s="3" t="n"/>
    </row>
    <row r="305" ht="20.1" customHeight="1">
      <c r="A305" s="6" t="inlineStr">
        <is>
          <t>Unsolved</t>
        </is>
      </c>
      <c r="B305" s="7" t="inlineStr">
        <is>
          <t>Strings</t>
        </is>
      </c>
      <c r="C305" s="7" t="inlineStr">
        <is>
          <t>Greedy on Strings</t>
        </is>
      </c>
      <c r="D305" s="6" t="inlineStr">
        <is>
          <t>1430E</t>
        </is>
      </c>
      <c r="E305" s="6" t="n">
        <v>1430</v>
      </c>
      <c r="F305" s="6" t="inlineStr">
        <is>
          <t>E</t>
        </is>
      </c>
      <c r="G305" s="7" t="inlineStr">
        <is>
          <t>String Reversal</t>
        </is>
      </c>
      <c r="H305" s="6" t="n">
        <v>1900</v>
      </c>
      <c r="I305" s="10" t="inlineStr">
        <is>
          <t>Hard+</t>
        </is>
      </c>
      <c r="J305" s="7" t="inlineStr">
        <is>
          <t>data structures, greedy, strings</t>
        </is>
      </c>
      <c r="K305" s="6" t="n">
        <v>60</v>
      </c>
      <c r="L305" s="6" t="n">
        <v>55</v>
      </c>
      <c r="M305" s="8" t="inlineStr">
        <is>
          <t>https://codeforces.com/problemset/problem/1430/E</t>
        </is>
      </c>
      <c r="N305" s="7" t="n"/>
    </row>
    <row r="306" ht="20.1" customHeight="1">
      <c r="A306" s="2" t="inlineStr">
        <is>
          <t>Unsolved</t>
        </is>
      </c>
      <c r="B306" s="3" t="inlineStr">
        <is>
          <t>Strings</t>
        </is>
      </c>
      <c r="C306" s="3" t="inlineStr">
        <is>
          <t>Greedy on Strings</t>
        </is>
      </c>
      <c r="D306" s="2" t="inlineStr">
        <is>
          <t>1451C</t>
        </is>
      </c>
      <c r="E306" s="2" t="n">
        <v>1451</v>
      </c>
      <c r="F306" s="2" t="inlineStr">
        <is>
          <t>C</t>
        </is>
      </c>
      <c r="G306" s="3" t="inlineStr">
        <is>
          <t>String Equality</t>
        </is>
      </c>
      <c r="H306" s="2" t="n">
        <v>1400</v>
      </c>
      <c r="I306" s="9" t="inlineStr">
        <is>
          <t>Medium</t>
        </is>
      </c>
      <c r="J306" s="3" t="inlineStr">
        <is>
          <t>dp, greedy, hashing, implementation, strings</t>
        </is>
      </c>
      <c r="K306" s="2" t="n">
        <v>40</v>
      </c>
      <c r="L306" s="2" t="n">
        <v>35</v>
      </c>
      <c r="M306" s="5" t="inlineStr">
        <is>
          <t>https://codeforces.com/problemset/problem/1451/C</t>
        </is>
      </c>
      <c r="N306" s="3" t="n"/>
    </row>
    <row r="307" ht="20.1" customHeight="1">
      <c r="A307" s="6" t="inlineStr">
        <is>
          <t>Unsolved</t>
        </is>
      </c>
      <c r="B307" s="7" t="inlineStr">
        <is>
          <t>Strings</t>
        </is>
      </c>
      <c r="C307" s="7" t="inlineStr">
        <is>
          <t>Greedy on Strings</t>
        </is>
      </c>
      <c r="D307" s="6" t="inlineStr">
        <is>
          <t>1493C</t>
        </is>
      </c>
      <c r="E307" s="6" t="n">
        <v>1493</v>
      </c>
      <c r="F307" s="6" t="inlineStr">
        <is>
          <t>C</t>
        </is>
      </c>
      <c r="G307" s="7" t="inlineStr">
        <is>
          <t>K-beautiful Strings</t>
        </is>
      </c>
      <c r="H307" s="6" t="n">
        <v>2000</v>
      </c>
      <c r="I307" s="10" t="inlineStr">
        <is>
          <t>Hard+</t>
        </is>
      </c>
      <c r="J307" s="7" t="inlineStr">
        <is>
          <t>binary search, brute force, constructive algorithms, greedy, strings</t>
        </is>
      </c>
      <c r="K307" s="6" t="n">
        <v>90</v>
      </c>
      <c r="L307" s="6" t="n">
        <v>80</v>
      </c>
      <c r="M307" s="8" t="inlineStr">
        <is>
          <t>https://codeforces.com/problemset/problem/1493/C</t>
        </is>
      </c>
      <c r="N307" s="7" t="n"/>
    </row>
    <row r="308" ht="20.1" customHeight="1">
      <c r="A308" s="2" t="inlineStr">
        <is>
          <t>Unsolved</t>
        </is>
      </c>
      <c r="B308" s="3" t="inlineStr">
        <is>
          <t>Strings</t>
        </is>
      </c>
      <c r="C308" s="3" t="inlineStr">
        <is>
          <t>Prefix Function (KMP)</t>
        </is>
      </c>
      <c r="D308" s="2" t="inlineStr">
        <is>
          <t>126B</t>
        </is>
      </c>
      <c r="E308" s="2" t="n">
        <v>126</v>
      </c>
      <c r="F308" s="2" t="inlineStr">
        <is>
          <t>B</t>
        </is>
      </c>
      <c r="G308" s="3" t="inlineStr">
        <is>
          <t>Password</t>
        </is>
      </c>
      <c r="H308" s="2" t="n">
        <v>1700</v>
      </c>
      <c r="I308" s="10" t="inlineStr">
        <is>
          <t>Hard</t>
        </is>
      </c>
      <c r="J308" s="3" t="inlineStr">
        <is>
          <t>binary search, dp, hashing, string suffix structures, strings</t>
        </is>
      </c>
      <c r="K308" s="2" t="n">
        <v>60</v>
      </c>
      <c r="L308" s="2" t="n">
        <v>55</v>
      </c>
      <c r="M308" s="5" t="inlineStr">
        <is>
          <t>https://codeforces.com/problemset/problem/126/B</t>
        </is>
      </c>
      <c r="N308" s="3" t="n"/>
    </row>
    <row r="309" ht="20.1" customHeight="1">
      <c r="A309" s="6" t="inlineStr">
        <is>
          <t>Unsolved</t>
        </is>
      </c>
      <c r="B309" s="7" t="inlineStr">
        <is>
          <t>Strings</t>
        </is>
      </c>
      <c r="C309" s="7" t="inlineStr">
        <is>
          <t>Prefix Function (KMP)</t>
        </is>
      </c>
      <c r="D309" s="6" t="inlineStr">
        <is>
          <t>432D</t>
        </is>
      </c>
      <c r="E309" s="6" t="n">
        <v>432</v>
      </c>
      <c r="F309" s="6" t="inlineStr">
        <is>
          <t>D</t>
        </is>
      </c>
      <c r="G309" s="7" t="inlineStr">
        <is>
          <t>Prefixes and Suffixes</t>
        </is>
      </c>
      <c r="H309" s="6" t="n">
        <v>2000</v>
      </c>
      <c r="I309" s="10" t="inlineStr">
        <is>
          <t>Hard+</t>
        </is>
      </c>
      <c r="J309" s="7" t="inlineStr">
        <is>
          <t>dp, string suffix structures, strings, two pointers</t>
        </is>
      </c>
      <c r="K309" s="6" t="n">
        <v>90</v>
      </c>
      <c r="L309" s="6" t="n">
        <v>80</v>
      </c>
      <c r="M309" s="8" t="inlineStr">
        <is>
          <t>https://codeforces.com/problemset/problem/432/D</t>
        </is>
      </c>
      <c r="N309" s="7" t="n"/>
    </row>
    <row r="310" ht="20.1" customHeight="1">
      <c r="A310" s="2" t="inlineStr">
        <is>
          <t>Unsolved</t>
        </is>
      </c>
      <c r="B310" s="3" t="inlineStr">
        <is>
          <t>Strings</t>
        </is>
      </c>
      <c r="C310" s="3" t="inlineStr">
        <is>
          <t>Prefix Function (KMP)</t>
        </is>
      </c>
      <c r="D310" s="2" t="inlineStr">
        <is>
          <t>471D</t>
        </is>
      </c>
      <c r="E310" s="2" t="n">
        <v>471</v>
      </c>
      <c r="F310" s="2" t="inlineStr">
        <is>
          <t>D</t>
        </is>
      </c>
      <c r="G310" s="3" t="inlineStr">
        <is>
          <t>MUH and Cube Walls</t>
        </is>
      </c>
      <c r="H310" s="2" t="n">
        <v>1800</v>
      </c>
      <c r="I310" s="10" t="inlineStr">
        <is>
          <t>Hard</t>
        </is>
      </c>
      <c r="J310" s="3" t="inlineStr">
        <is>
          <t>string suffix structures, strings</t>
        </is>
      </c>
      <c r="K310" s="2" t="n">
        <v>60</v>
      </c>
      <c r="L310" s="2" t="n">
        <v>55</v>
      </c>
      <c r="M310" s="5" t="inlineStr">
        <is>
          <t>https://codeforces.com/problemset/problem/471/D</t>
        </is>
      </c>
      <c r="N310" s="3" t="n"/>
    </row>
    <row r="311" ht="20.1" customHeight="1">
      <c r="A311" s="6" t="inlineStr">
        <is>
          <t>Unsolved</t>
        </is>
      </c>
      <c r="B311" s="7" t="inlineStr">
        <is>
          <t>Strings</t>
        </is>
      </c>
      <c r="C311" s="7" t="inlineStr">
        <is>
          <t>Prefix Function (KMP)</t>
        </is>
      </c>
      <c r="D311" s="6" t="inlineStr">
        <is>
          <t>526D</t>
        </is>
      </c>
      <c r="E311" s="6" t="n">
        <v>526</v>
      </c>
      <c r="F311" s="6" t="inlineStr">
        <is>
          <t>D</t>
        </is>
      </c>
      <c r="G311" s="7" t="inlineStr">
        <is>
          <t>Om Nom and Necklace</t>
        </is>
      </c>
      <c r="H311" s="6" t="n">
        <v>2200</v>
      </c>
      <c r="I311" s="12" t="inlineStr">
        <is>
          <t>Expert</t>
        </is>
      </c>
      <c r="J311" s="7" t="inlineStr">
        <is>
          <t>hashing, string suffix structures, strings</t>
        </is>
      </c>
      <c r="K311" s="6" t="n">
        <v>90</v>
      </c>
      <c r="L311" s="6" t="n">
        <v>80</v>
      </c>
      <c r="M311" s="8" t="inlineStr">
        <is>
          <t>https://codeforces.com/problemset/problem/526/D</t>
        </is>
      </c>
      <c r="N311" s="7" t="n"/>
    </row>
    <row r="312" ht="20.1" customHeight="1">
      <c r="A312" s="2" t="inlineStr">
        <is>
          <t>Unsolved</t>
        </is>
      </c>
      <c r="B312" s="3" t="inlineStr">
        <is>
          <t>Strings</t>
        </is>
      </c>
      <c r="C312" s="3" t="inlineStr">
        <is>
          <t>Prefix Function (KMP)</t>
        </is>
      </c>
      <c r="D312" s="2" t="inlineStr">
        <is>
          <t>808G</t>
        </is>
      </c>
      <c r="E312" s="2" t="n">
        <v>808</v>
      </c>
      <c r="F312" s="2" t="inlineStr">
        <is>
          <t>G</t>
        </is>
      </c>
      <c r="G312" s="3" t="inlineStr">
        <is>
          <t>Anthem of Berland</t>
        </is>
      </c>
      <c r="H312" s="2" t="n">
        <v>2300</v>
      </c>
      <c r="I312" s="12" t="inlineStr">
        <is>
          <t>Expert</t>
        </is>
      </c>
      <c r="J312" s="3" t="inlineStr">
        <is>
          <t>dp, strings</t>
        </is>
      </c>
      <c r="K312" s="2" t="n">
        <v>120</v>
      </c>
      <c r="L312" s="2" t="n">
        <v>110</v>
      </c>
      <c r="M312" s="5" t="inlineStr">
        <is>
          <t>https://codeforces.com/problemset/problem/808/G</t>
        </is>
      </c>
      <c r="N312" s="3" t="n"/>
    </row>
    <row r="313" ht="20.1" customHeight="1">
      <c r="A313" s="6" t="inlineStr">
        <is>
          <t>Unsolved</t>
        </is>
      </c>
      <c r="B313" s="7" t="inlineStr">
        <is>
          <t>Strings</t>
        </is>
      </c>
      <c r="C313" s="7" t="inlineStr">
        <is>
          <t>Prefix Function (KMP)</t>
        </is>
      </c>
      <c r="D313" s="6" t="inlineStr">
        <is>
          <t>1326D2</t>
        </is>
      </c>
      <c r="E313" s="6" t="n">
        <v>1326</v>
      </c>
      <c r="F313" s="6" t="inlineStr">
        <is>
          <t>D2</t>
        </is>
      </c>
      <c r="G313" s="7" t="inlineStr">
        <is>
          <t>Prefix-Suffix Palindrome (Hard version)</t>
        </is>
      </c>
      <c r="H313" s="6" t="n">
        <v>1800</v>
      </c>
      <c r="I313" s="10" t="inlineStr">
        <is>
          <t>Hard</t>
        </is>
      </c>
      <c r="J313" s="7" t="inlineStr">
        <is>
          <t>binary search, greedy, hashing, string suffix structures, strings</t>
        </is>
      </c>
      <c r="K313" s="6" t="n">
        <v>60</v>
      </c>
      <c r="L313" s="6" t="n">
        <v>55</v>
      </c>
      <c r="M313" s="8" t="inlineStr">
        <is>
          <t>https://codeforces.com/problemset/problem/1326/D2</t>
        </is>
      </c>
      <c r="N313" s="7" t="n"/>
    </row>
    <row r="314" ht="20.1" customHeight="1">
      <c r="A314" s="2" t="inlineStr">
        <is>
          <t>Unsolved</t>
        </is>
      </c>
      <c r="B314" s="3" t="inlineStr">
        <is>
          <t>Strings</t>
        </is>
      </c>
      <c r="C314" s="3" t="inlineStr">
        <is>
          <t>Prefix Function (KMP)</t>
        </is>
      </c>
      <c r="D314" s="2" t="inlineStr">
        <is>
          <t>1721E</t>
        </is>
      </c>
      <c r="E314" s="2" t="n">
        <v>1721</v>
      </c>
      <c r="F314" s="2" t="inlineStr">
        <is>
          <t>E</t>
        </is>
      </c>
      <c r="G314" s="3" t="inlineStr">
        <is>
          <t>Prefix Function Queries</t>
        </is>
      </c>
      <c r="H314" s="2" t="n">
        <v>2200</v>
      </c>
      <c r="I314" s="12" t="inlineStr">
        <is>
          <t>Expert</t>
        </is>
      </c>
      <c r="J314" s="3" t="inlineStr">
        <is>
          <t>dfs and similar, dp, hashing, string suffix structures, strings, trees</t>
        </is>
      </c>
      <c r="K314" s="2" t="n">
        <v>90</v>
      </c>
      <c r="L314" s="2" t="n">
        <v>80</v>
      </c>
      <c r="M314" s="5" t="inlineStr">
        <is>
          <t>https://codeforces.com/problemset/problem/1721/E</t>
        </is>
      </c>
      <c r="N314" s="3" t="n"/>
    </row>
    <row r="315" ht="20.1" customHeight="1">
      <c r="A315" s="6" t="inlineStr">
        <is>
          <t>Unsolved</t>
        </is>
      </c>
      <c r="B315" s="7" t="inlineStr">
        <is>
          <t>Strings</t>
        </is>
      </c>
      <c r="C315" s="7" t="inlineStr">
        <is>
          <t>Z Algorithm</t>
        </is>
      </c>
      <c r="D315" s="6" t="inlineStr">
        <is>
          <t>196B</t>
        </is>
      </c>
      <c r="E315" s="6" t="n">
        <v>196</v>
      </c>
      <c r="F315" s="6" t="inlineStr">
        <is>
          <t>B</t>
        </is>
      </c>
      <c r="G315" s="7" t="inlineStr">
        <is>
          <t>Infinite Maze</t>
        </is>
      </c>
      <c r="H315" s="6" t="n">
        <v>2000</v>
      </c>
      <c r="I315" s="10" t="inlineStr">
        <is>
          <t>Hard+</t>
        </is>
      </c>
      <c r="J315" s="7" t="inlineStr">
        <is>
          <t>dfs and similar, graphs</t>
        </is>
      </c>
      <c r="K315" s="6" t="n">
        <v>90</v>
      </c>
      <c r="L315" s="6" t="n">
        <v>80</v>
      </c>
      <c r="M315" s="8" t="inlineStr">
        <is>
          <t>https://codeforces.com/problemset/problem/196/B</t>
        </is>
      </c>
      <c r="N315" s="7" t="n"/>
    </row>
    <row r="316" ht="20.1" customHeight="1">
      <c r="A316" s="2" t="inlineStr">
        <is>
          <t>Unsolved</t>
        </is>
      </c>
      <c r="B316" s="3" t="inlineStr">
        <is>
          <t>Strings</t>
        </is>
      </c>
      <c r="C316" s="3" t="inlineStr">
        <is>
          <t>Z Algorithm</t>
        </is>
      </c>
      <c r="D316" s="2" t="inlineStr">
        <is>
          <t>535D</t>
        </is>
      </c>
      <c r="E316" s="2" t="n">
        <v>535</v>
      </c>
      <c r="F316" s="2" t="inlineStr">
        <is>
          <t>D</t>
        </is>
      </c>
      <c r="G316" s="3" t="inlineStr">
        <is>
          <t>Tavas and Malekas</t>
        </is>
      </c>
      <c r="H316" s="2" t="n">
        <v>1900</v>
      </c>
      <c r="I316" s="10" t="inlineStr">
        <is>
          <t>Hard+</t>
        </is>
      </c>
      <c r="J316" s="3" t="inlineStr">
        <is>
          <t>greedy, hashing, string suffix structures, strings</t>
        </is>
      </c>
      <c r="K316" s="2" t="n">
        <v>60</v>
      </c>
      <c r="L316" s="2" t="n">
        <v>55</v>
      </c>
      <c r="M316" s="5" t="inlineStr">
        <is>
          <t>https://codeforces.com/problemset/problem/535/D</t>
        </is>
      </c>
      <c r="N316" s="3" t="n"/>
    </row>
    <row r="317" ht="20.1" customHeight="1">
      <c r="A317" s="6" t="inlineStr">
        <is>
          <t>Unsolved</t>
        </is>
      </c>
      <c r="B317" s="7" t="inlineStr">
        <is>
          <t>Strings</t>
        </is>
      </c>
      <c r="C317" s="7" t="inlineStr">
        <is>
          <t>Z Algorithm</t>
        </is>
      </c>
      <c r="D317" s="6" t="inlineStr">
        <is>
          <t>1137B</t>
        </is>
      </c>
      <c r="E317" s="6" t="n">
        <v>1137</v>
      </c>
      <c r="F317" s="6" t="inlineStr">
        <is>
          <t>B</t>
        </is>
      </c>
      <c r="G317" s="7" t="inlineStr">
        <is>
          <t>Camp Schedule</t>
        </is>
      </c>
      <c r="H317" s="6" t="n">
        <v>1600</v>
      </c>
      <c r="I317" s="9" t="inlineStr">
        <is>
          <t>Medium+</t>
        </is>
      </c>
      <c r="J317" s="7" t="inlineStr">
        <is>
          <t>greedy, hashing, strings</t>
        </is>
      </c>
      <c r="K317" s="6" t="n">
        <v>40</v>
      </c>
      <c r="L317" s="6" t="n">
        <v>35</v>
      </c>
      <c r="M317" s="8" t="inlineStr">
        <is>
          <t>https://codeforces.com/problemset/problem/1137/B</t>
        </is>
      </c>
      <c r="N317" s="7" t="n"/>
    </row>
    <row r="318" ht="20.1" customHeight="1">
      <c r="A318" s="2" t="inlineStr">
        <is>
          <t>Unsolved</t>
        </is>
      </c>
      <c r="B318" s="3" t="inlineStr">
        <is>
          <t>Strings</t>
        </is>
      </c>
      <c r="C318" s="3" t="inlineStr">
        <is>
          <t>Z Algorithm</t>
        </is>
      </c>
      <c r="D318" s="2" t="inlineStr">
        <is>
          <t>1267L</t>
        </is>
      </c>
      <c r="E318" s="2" t="n">
        <v>1267</v>
      </c>
      <c r="F318" s="2" t="inlineStr">
        <is>
          <t>L</t>
        </is>
      </c>
      <c r="G318" s="3" t="inlineStr">
        <is>
          <t>Lexicography</t>
        </is>
      </c>
      <c r="H318" s="2" t="n">
        <v>1800</v>
      </c>
      <c r="I318" s="10" t="inlineStr">
        <is>
          <t>Hard</t>
        </is>
      </c>
      <c r="J318" s="3" t="inlineStr">
        <is>
          <t>constructive algorithms, strings</t>
        </is>
      </c>
      <c r="K318" s="2" t="n">
        <v>60</v>
      </c>
      <c r="L318" s="2" t="n">
        <v>55</v>
      </c>
      <c r="M318" s="5" t="inlineStr">
        <is>
          <t>https://codeforces.com/problemset/problem/1267/L</t>
        </is>
      </c>
      <c r="N318" s="3" t="n"/>
    </row>
    <row r="319" ht="20.1" customHeight="1">
      <c r="A319" s="6" t="inlineStr">
        <is>
          <t>Unsolved</t>
        </is>
      </c>
      <c r="B319" s="7" t="inlineStr">
        <is>
          <t>Strings</t>
        </is>
      </c>
      <c r="C319" s="7" t="inlineStr">
        <is>
          <t>Hashing</t>
        </is>
      </c>
      <c r="D319" s="6" t="inlineStr">
        <is>
          <t>271D</t>
        </is>
      </c>
      <c r="E319" s="6" t="n">
        <v>271</v>
      </c>
      <c r="F319" s="6" t="inlineStr">
        <is>
          <t>D</t>
        </is>
      </c>
      <c r="G319" s="7" t="inlineStr">
        <is>
          <t>Good Substrings</t>
        </is>
      </c>
      <c r="H319" s="6" t="n">
        <v>1800</v>
      </c>
      <c r="I319" s="10" t="inlineStr">
        <is>
          <t>Hard</t>
        </is>
      </c>
      <c r="J319" s="7" t="inlineStr">
        <is>
          <t>data structures, strings</t>
        </is>
      </c>
      <c r="K319" s="6" t="n">
        <v>60</v>
      </c>
      <c r="L319" s="6" t="n">
        <v>55</v>
      </c>
      <c r="M319" s="8" t="inlineStr">
        <is>
          <t>https://codeforces.com/problemset/problem/271/D</t>
        </is>
      </c>
      <c r="N319" s="7" t="n"/>
    </row>
    <row r="320" ht="20.1" customHeight="1">
      <c r="A320" s="2" t="inlineStr">
        <is>
          <t>Unsolved</t>
        </is>
      </c>
      <c r="B320" s="3" t="inlineStr">
        <is>
          <t>Strings</t>
        </is>
      </c>
      <c r="C320" s="3" t="inlineStr">
        <is>
          <t>Hashing</t>
        </is>
      </c>
      <c r="D320" s="2" t="inlineStr">
        <is>
          <t>514C</t>
        </is>
      </c>
      <c r="E320" s="2" t="n">
        <v>514</v>
      </c>
      <c r="F320" s="2" t="inlineStr">
        <is>
          <t>C</t>
        </is>
      </c>
      <c r="G320" s="3" t="inlineStr">
        <is>
          <t>Watto and Mechanism</t>
        </is>
      </c>
      <c r="H320" s="2" t="n">
        <v>2000</v>
      </c>
      <c r="I320" s="10" t="inlineStr">
        <is>
          <t>Hard+</t>
        </is>
      </c>
      <c r="J320" s="3" t="inlineStr">
        <is>
          <t>binary search, data structures, hashing, string suffix structures, strings</t>
        </is>
      </c>
      <c r="K320" s="2" t="n">
        <v>90</v>
      </c>
      <c r="L320" s="2" t="n">
        <v>80</v>
      </c>
      <c r="M320" s="5" t="inlineStr">
        <is>
          <t>https://codeforces.com/problemset/problem/514/C</t>
        </is>
      </c>
      <c r="N320" s="3" t="n"/>
    </row>
    <row r="321" ht="20.1" customHeight="1">
      <c r="A321" s="6" t="inlineStr">
        <is>
          <t>Unsolved</t>
        </is>
      </c>
      <c r="B321" s="7" t="inlineStr">
        <is>
          <t>Strings</t>
        </is>
      </c>
      <c r="C321" s="7" t="inlineStr">
        <is>
          <t>Hashing</t>
        </is>
      </c>
      <c r="D321" s="6" t="inlineStr">
        <is>
          <t>580E</t>
        </is>
      </c>
      <c r="E321" s="6" t="n">
        <v>580</v>
      </c>
      <c r="F321" s="6" t="inlineStr">
        <is>
          <t>E</t>
        </is>
      </c>
      <c r="G321" s="7" t="inlineStr">
        <is>
          <t>Kefa and Watch</t>
        </is>
      </c>
      <c r="H321" s="6" t="n">
        <v>2500</v>
      </c>
      <c r="I321" s="12" t="inlineStr">
        <is>
          <t>Master</t>
        </is>
      </c>
      <c r="J321" s="7" t="inlineStr">
        <is>
          <t>data structures, hashing, strings</t>
        </is>
      </c>
      <c r="K321" s="6" t="n">
        <v>120</v>
      </c>
      <c r="L321" s="6" t="n">
        <v>110</v>
      </c>
      <c r="M321" s="8" t="inlineStr">
        <is>
          <t>https://codeforces.com/problemset/problem/580/E</t>
        </is>
      </c>
      <c r="N321" s="7" t="n"/>
    </row>
    <row r="322" ht="20.1" customHeight="1">
      <c r="A322" s="2" t="inlineStr">
        <is>
          <t>Unsolved</t>
        </is>
      </c>
      <c r="B322" s="3" t="inlineStr">
        <is>
          <t>Strings</t>
        </is>
      </c>
      <c r="C322" s="3" t="inlineStr">
        <is>
          <t>Hashing</t>
        </is>
      </c>
      <c r="D322" s="2" t="inlineStr">
        <is>
          <t>835D</t>
        </is>
      </c>
      <c r="E322" s="2" t="n">
        <v>835</v>
      </c>
      <c r="F322" s="2" t="inlineStr">
        <is>
          <t>D</t>
        </is>
      </c>
      <c r="G322" s="3" t="inlineStr">
        <is>
          <t>Palindromic characteristics</t>
        </is>
      </c>
      <c r="H322" s="2" t="n">
        <v>1900</v>
      </c>
      <c r="I322" s="10" t="inlineStr">
        <is>
          <t>Hard+</t>
        </is>
      </c>
      <c r="J322" s="3" t="inlineStr">
        <is>
          <t>brute force, dp, hashing, strings</t>
        </is>
      </c>
      <c r="K322" s="2" t="n">
        <v>60</v>
      </c>
      <c r="L322" s="2" t="n">
        <v>55</v>
      </c>
      <c r="M322" s="5" t="inlineStr">
        <is>
          <t>https://codeforces.com/problemset/problem/835/D</t>
        </is>
      </c>
      <c r="N322" s="3" t="n"/>
    </row>
    <row r="323" ht="20.1" customHeight="1">
      <c r="A323" s="6" t="inlineStr">
        <is>
          <t>Unsolved</t>
        </is>
      </c>
      <c r="B323" s="7" t="inlineStr">
        <is>
          <t>Strings</t>
        </is>
      </c>
      <c r="C323" s="7" t="inlineStr">
        <is>
          <t>Hashing</t>
        </is>
      </c>
      <c r="D323" s="6" t="inlineStr">
        <is>
          <t>963D</t>
        </is>
      </c>
      <c r="E323" s="6" t="n">
        <v>963</v>
      </c>
      <c r="F323" s="6" t="inlineStr">
        <is>
          <t>D</t>
        </is>
      </c>
      <c r="G323" s="7" t="inlineStr">
        <is>
          <t>Frequency of String</t>
        </is>
      </c>
      <c r="H323" s="6" t="n">
        <v>2500</v>
      </c>
      <c r="I323" s="12" t="inlineStr">
        <is>
          <t>Master</t>
        </is>
      </c>
      <c r="J323" s="7" t="inlineStr">
        <is>
          <t>hashing, string suffix structures, strings</t>
        </is>
      </c>
      <c r="K323" s="6" t="n">
        <v>120</v>
      </c>
      <c r="L323" s="6" t="n">
        <v>110</v>
      </c>
      <c r="M323" s="8" t="inlineStr">
        <is>
          <t>https://codeforces.com/problemset/problem/963/D</t>
        </is>
      </c>
      <c r="N323" s="7" t="n"/>
    </row>
    <row r="324" ht="20.1" customHeight="1">
      <c r="A324" s="2" t="inlineStr">
        <is>
          <t>Unsolved</t>
        </is>
      </c>
      <c r="B324" s="3" t="inlineStr">
        <is>
          <t>Bit Manipulation</t>
        </is>
      </c>
      <c r="C324" s="3" t="inlineStr">
        <is>
          <t>Basic Bit Operations</t>
        </is>
      </c>
      <c r="D324" s="2" t="inlineStr">
        <is>
          <t>579A</t>
        </is>
      </c>
      <c r="E324" s="2" t="n">
        <v>579</v>
      </c>
      <c r="F324" s="2" t="inlineStr">
        <is>
          <t>A</t>
        </is>
      </c>
      <c r="G324" s="3" t="inlineStr">
        <is>
          <t>Raising Bacteria</t>
        </is>
      </c>
      <c r="H324" s="2" t="n">
        <v>1000</v>
      </c>
      <c r="I324" s="4" t="inlineStr">
        <is>
          <t>Easy+</t>
        </is>
      </c>
      <c r="J324" s="3" t="inlineStr">
        <is>
          <t>bitmasks</t>
        </is>
      </c>
      <c r="K324" s="2" t="n">
        <v>15</v>
      </c>
      <c r="L324" s="2" t="n">
        <v>10</v>
      </c>
      <c r="M324" s="5" t="inlineStr">
        <is>
          <t>https://codeforces.com/problemset/problem/579/A</t>
        </is>
      </c>
      <c r="N324" s="3" t="n"/>
    </row>
    <row r="325" ht="20.1" customHeight="1">
      <c r="A325" s="6" t="inlineStr">
        <is>
          <t>Unsolved</t>
        </is>
      </c>
      <c r="B325" s="7" t="inlineStr">
        <is>
          <t>Bit Manipulation</t>
        </is>
      </c>
      <c r="C325" s="7" t="inlineStr">
        <is>
          <t>Basic Bit Operations</t>
        </is>
      </c>
      <c r="D325" s="6" t="inlineStr">
        <is>
          <t>768A</t>
        </is>
      </c>
      <c r="E325" s="6" t="n">
        <v>768</v>
      </c>
      <c r="F325" s="6" t="inlineStr">
        <is>
          <t>A</t>
        </is>
      </c>
      <c r="G325" s="7" t="inlineStr">
        <is>
          <t>Oath of the Night's Watch</t>
        </is>
      </c>
      <c r="H325" s="6" t="n">
        <v>900</v>
      </c>
      <c r="I325" s="4" t="inlineStr">
        <is>
          <t>Easy</t>
        </is>
      </c>
      <c r="J325" s="7" t="inlineStr">
        <is>
          <t>constructive algorithms, sortings</t>
        </is>
      </c>
      <c r="K325" s="6" t="n">
        <v>15</v>
      </c>
      <c r="L325" s="6" t="n">
        <v>10</v>
      </c>
      <c r="M325" s="8" t="inlineStr">
        <is>
          <t>https://codeforces.com/problemset/problem/768/A</t>
        </is>
      </c>
      <c r="N325" s="7" t="n"/>
    </row>
    <row r="326" ht="20.1" customHeight="1">
      <c r="A326" s="2" t="inlineStr">
        <is>
          <t>Unsolved</t>
        </is>
      </c>
      <c r="B326" s="3" t="inlineStr">
        <is>
          <t>Bit Manipulation</t>
        </is>
      </c>
      <c r="C326" s="3" t="inlineStr">
        <is>
          <t>Basic Bit Operations</t>
        </is>
      </c>
      <c r="D326" s="2" t="inlineStr">
        <is>
          <t>912A</t>
        </is>
      </c>
      <c r="E326" s="2" t="n">
        <v>912</v>
      </c>
      <c r="F326" s="2" t="inlineStr">
        <is>
          <t>A</t>
        </is>
      </c>
      <c r="G326" s="3" t="inlineStr">
        <is>
          <t>Tricky Alchemy</t>
        </is>
      </c>
      <c r="H326" s="2" t="n">
        <v>800</v>
      </c>
      <c r="I326" s="4" t="inlineStr">
        <is>
          <t>Easy</t>
        </is>
      </c>
      <c r="J326" s="3" t="inlineStr">
        <is>
          <t>implementation</t>
        </is>
      </c>
      <c r="K326" s="2" t="n">
        <v>15</v>
      </c>
      <c r="L326" s="2" t="n">
        <v>10</v>
      </c>
      <c r="M326" s="5" t="inlineStr">
        <is>
          <t>https://codeforces.com/problemset/problem/912/A</t>
        </is>
      </c>
      <c r="N326" s="3" t="n"/>
    </row>
    <row r="327" ht="20.1" customHeight="1">
      <c r="A327" s="6" t="inlineStr">
        <is>
          <t>Unsolved</t>
        </is>
      </c>
      <c r="B327" s="7" t="inlineStr">
        <is>
          <t>Bit Manipulation</t>
        </is>
      </c>
      <c r="C327" s="7" t="inlineStr">
        <is>
          <t>Basic Bit Operations</t>
        </is>
      </c>
      <c r="D327" s="6" t="inlineStr">
        <is>
          <t>1151A</t>
        </is>
      </c>
      <c r="E327" s="6" t="n">
        <v>1151</v>
      </c>
      <c r="F327" s="6" t="inlineStr">
        <is>
          <t>A</t>
        </is>
      </c>
      <c r="G327" s="7" t="inlineStr">
        <is>
          <t>Maxim and Biology</t>
        </is>
      </c>
      <c r="H327" s="6" t="n">
        <v>1000</v>
      </c>
      <c r="I327" s="4" t="inlineStr">
        <is>
          <t>Easy+</t>
        </is>
      </c>
      <c r="J327" s="7" t="inlineStr">
        <is>
          <t>brute force, strings</t>
        </is>
      </c>
      <c r="K327" s="6" t="n">
        <v>15</v>
      </c>
      <c r="L327" s="6" t="n">
        <v>10</v>
      </c>
      <c r="M327" s="8" t="inlineStr">
        <is>
          <t>https://codeforces.com/problemset/problem/1151/A</t>
        </is>
      </c>
      <c r="N327" s="7" t="n"/>
    </row>
    <row r="328" ht="20.1" customHeight="1">
      <c r="A328" s="2" t="inlineStr">
        <is>
          <t>Unsolved</t>
        </is>
      </c>
      <c r="B328" s="3" t="inlineStr">
        <is>
          <t>Bit Manipulation</t>
        </is>
      </c>
      <c r="C328" s="3" t="inlineStr">
        <is>
          <t>Basic Bit Operations</t>
        </is>
      </c>
      <c r="D328" s="2" t="inlineStr">
        <is>
          <t>1299A</t>
        </is>
      </c>
      <c r="E328" s="2" t="n">
        <v>1299</v>
      </c>
      <c r="F328" s="2" t="inlineStr">
        <is>
          <t>A</t>
        </is>
      </c>
      <c r="G328" s="3" t="inlineStr">
        <is>
          <t>Anu Has a Function</t>
        </is>
      </c>
      <c r="H328" s="2" t="n">
        <v>1500</v>
      </c>
      <c r="I328" s="9" t="inlineStr">
        <is>
          <t>Medium+</t>
        </is>
      </c>
      <c r="J328" s="3" t="inlineStr">
        <is>
          <t>brute force, greedy, math</t>
        </is>
      </c>
      <c r="K328" s="2" t="n">
        <v>40</v>
      </c>
      <c r="L328" s="2" t="n">
        <v>35</v>
      </c>
      <c r="M328" s="5" t="inlineStr">
        <is>
          <t>https://codeforces.com/problemset/problem/1299/A</t>
        </is>
      </c>
      <c r="N328" s="3" t="n"/>
    </row>
    <row r="329" ht="20.1" customHeight="1">
      <c r="A329" s="6" t="inlineStr">
        <is>
          <t>Unsolved</t>
        </is>
      </c>
      <c r="B329" s="7" t="inlineStr">
        <is>
          <t>Bit Manipulation</t>
        </is>
      </c>
      <c r="C329" s="7" t="inlineStr">
        <is>
          <t>Basic Bit Operations</t>
        </is>
      </c>
      <c r="D329" s="6" t="inlineStr">
        <is>
          <t>1325B</t>
        </is>
      </c>
      <c r="E329" s="6" t="n">
        <v>1325</v>
      </c>
      <c r="F329" s="6" t="inlineStr">
        <is>
          <t>B</t>
        </is>
      </c>
      <c r="G329" s="7" t="inlineStr">
        <is>
          <t>CopyCopyCopyCopyCopy</t>
        </is>
      </c>
      <c r="H329" s="6" t="n">
        <v>800</v>
      </c>
      <c r="I329" s="4" t="inlineStr">
        <is>
          <t>Easy</t>
        </is>
      </c>
      <c r="J329" s="7" t="inlineStr">
        <is>
          <t>greedy, implementation</t>
        </is>
      </c>
      <c r="K329" s="6" t="n">
        <v>15</v>
      </c>
      <c r="L329" s="6" t="n">
        <v>10</v>
      </c>
      <c r="M329" s="8" t="inlineStr">
        <is>
          <t>https://codeforces.com/problemset/problem/1325/B</t>
        </is>
      </c>
      <c r="N329" s="7" t="n"/>
    </row>
    <row r="330" ht="20.1" customHeight="1">
      <c r="A330" s="2" t="inlineStr">
        <is>
          <t>Unsolved</t>
        </is>
      </c>
      <c r="B330" s="3" t="inlineStr">
        <is>
          <t>Bit Manipulation</t>
        </is>
      </c>
      <c r="C330" s="3" t="inlineStr">
        <is>
          <t>Basic Bit Operations</t>
        </is>
      </c>
      <c r="D330" s="2" t="inlineStr">
        <is>
          <t>1362A</t>
        </is>
      </c>
      <c r="E330" s="2" t="n">
        <v>1362</v>
      </c>
      <c r="F330" s="2" t="inlineStr">
        <is>
          <t>A</t>
        </is>
      </c>
      <c r="G330" s="3" t="inlineStr">
        <is>
          <t>Johnny and Ancient Computer</t>
        </is>
      </c>
      <c r="H330" s="2" t="n">
        <v>1000</v>
      </c>
      <c r="I330" s="4" t="inlineStr">
        <is>
          <t>Easy+</t>
        </is>
      </c>
      <c r="J330" s="3" t="inlineStr">
        <is>
          <t>implementation</t>
        </is>
      </c>
      <c r="K330" s="2" t="n">
        <v>15</v>
      </c>
      <c r="L330" s="2" t="n">
        <v>10</v>
      </c>
      <c r="M330" s="5" t="inlineStr">
        <is>
          <t>https://codeforces.com/problemset/problem/1362/A</t>
        </is>
      </c>
      <c r="N330" s="3" t="n"/>
    </row>
    <row r="331" ht="20.1" customHeight="1">
      <c r="A331" s="6" t="inlineStr">
        <is>
          <t>Unsolved</t>
        </is>
      </c>
      <c r="B331" s="7" t="inlineStr">
        <is>
          <t>Bit Manipulation</t>
        </is>
      </c>
      <c r="C331" s="7" t="inlineStr">
        <is>
          <t>Basic Bit Operations</t>
        </is>
      </c>
      <c r="D331" s="6" t="inlineStr">
        <is>
          <t>1395C</t>
        </is>
      </c>
      <c r="E331" s="6" t="n">
        <v>1395</v>
      </c>
      <c r="F331" s="6" t="inlineStr">
        <is>
          <t>C</t>
        </is>
      </c>
      <c r="G331" s="7" t="inlineStr">
        <is>
          <t>Boboniu and Bit Operations</t>
        </is>
      </c>
      <c r="H331" s="6" t="n">
        <v>1600</v>
      </c>
      <c r="I331" s="9" t="inlineStr">
        <is>
          <t>Medium+</t>
        </is>
      </c>
      <c r="J331" s="7" t="inlineStr">
        <is>
          <t>bitmasks, brute force, dp, greedy</t>
        </is>
      </c>
      <c r="K331" s="6" t="n">
        <v>40</v>
      </c>
      <c r="L331" s="6" t="n">
        <v>35</v>
      </c>
      <c r="M331" s="8" t="inlineStr">
        <is>
          <t>https://codeforces.com/problemset/problem/1395/C</t>
        </is>
      </c>
      <c r="N331" s="7" t="n"/>
    </row>
    <row r="332" ht="20.1" customHeight="1">
      <c r="A332" s="2" t="inlineStr">
        <is>
          <t>Unsolved</t>
        </is>
      </c>
      <c r="B332" s="3" t="inlineStr">
        <is>
          <t>Bit Manipulation</t>
        </is>
      </c>
      <c r="C332" s="3" t="inlineStr">
        <is>
          <t>Basic Bit Operations</t>
        </is>
      </c>
      <c r="D332" s="2" t="inlineStr">
        <is>
          <t>1421A</t>
        </is>
      </c>
      <c r="E332" s="2" t="n">
        <v>1421</v>
      </c>
      <c r="F332" s="2" t="inlineStr">
        <is>
          <t>A</t>
        </is>
      </c>
      <c r="G332" s="3" t="inlineStr">
        <is>
          <t>XORwice</t>
        </is>
      </c>
      <c r="H332" s="2" t="n">
        <v>800</v>
      </c>
      <c r="I332" s="4" t="inlineStr">
        <is>
          <t>Easy</t>
        </is>
      </c>
      <c r="J332" s="3" t="inlineStr">
        <is>
          <t>bitmasks, greedy, math</t>
        </is>
      </c>
      <c r="K332" s="2" t="n">
        <v>15</v>
      </c>
      <c r="L332" s="2" t="n">
        <v>10</v>
      </c>
      <c r="M332" s="5" t="inlineStr">
        <is>
          <t>https://codeforces.com/problemset/problem/1421/A</t>
        </is>
      </c>
      <c r="N332" s="3" t="n"/>
    </row>
    <row r="333" ht="20.1" customHeight="1">
      <c r="A333" s="6" t="inlineStr">
        <is>
          <t>Unsolved</t>
        </is>
      </c>
      <c r="B333" s="7" t="inlineStr">
        <is>
          <t>Bit Manipulation</t>
        </is>
      </c>
      <c r="C333" s="7" t="inlineStr">
        <is>
          <t>Basic Bit Operations</t>
        </is>
      </c>
      <c r="D333" s="6" t="inlineStr">
        <is>
          <t>1438A</t>
        </is>
      </c>
      <c r="E333" s="6" t="n">
        <v>1438</v>
      </c>
      <c r="F333" s="6" t="inlineStr">
        <is>
          <t>A</t>
        </is>
      </c>
      <c r="G333" s="7" t="inlineStr">
        <is>
          <t xml:space="preserve">Specific Tastes of Andre </t>
        </is>
      </c>
      <c r="H333" s="6" t="n">
        <v>800</v>
      </c>
      <c r="I333" s="4" t="inlineStr">
        <is>
          <t>Easy</t>
        </is>
      </c>
      <c r="J333" s="7" t="inlineStr">
        <is>
          <t>constructive algorithms, implementation</t>
        </is>
      </c>
      <c r="K333" s="6" t="n">
        <v>15</v>
      </c>
      <c r="L333" s="6" t="n">
        <v>10</v>
      </c>
      <c r="M333" s="8" t="inlineStr">
        <is>
          <t>https://codeforces.com/problemset/problem/1438/A</t>
        </is>
      </c>
      <c r="N333" s="7" t="n"/>
    </row>
    <row r="334" ht="20.1" customHeight="1">
      <c r="A334" s="2" t="inlineStr">
        <is>
          <t>Unsolved</t>
        </is>
      </c>
      <c r="B334" s="3" t="inlineStr">
        <is>
          <t>Bit Manipulation</t>
        </is>
      </c>
      <c r="C334" s="3" t="inlineStr">
        <is>
          <t>Basic Bit Operations</t>
        </is>
      </c>
      <c r="D334" s="2" t="inlineStr">
        <is>
          <t>1457A</t>
        </is>
      </c>
      <c r="E334" s="2" t="n">
        <v>1457</v>
      </c>
      <c r="F334" s="2" t="inlineStr">
        <is>
          <t>A</t>
        </is>
      </c>
      <c r="G334" s="3" t="inlineStr">
        <is>
          <t>UNKNOWN</t>
        </is>
      </c>
      <c r="H334" s="2" t="inlineStr">
        <is>
          <t>UNKNOWN</t>
        </is>
      </c>
      <c r="I334" s="11" t="inlineStr">
        <is>
          <t>UNKNOWN</t>
        </is>
      </c>
      <c r="J334" s="3" t="inlineStr">
        <is>
          <t>UNKNOWN</t>
        </is>
      </c>
      <c r="K334" s="2" t="n">
        <v>0</v>
      </c>
      <c r="L334" s="2" t="n">
        <v>0</v>
      </c>
      <c r="M334" s="5" t="inlineStr">
        <is>
          <t>https://codeforces.com/problemset/problem/1457/A</t>
        </is>
      </c>
      <c r="N334" s="3" t="n"/>
    </row>
    <row r="335" ht="20.1" customHeight="1">
      <c r="A335" s="6" t="inlineStr">
        <is>
          <t>Unsolved</t>
        </is>
      </c>
      <c r="B335" s="7" t="inlineStr">
        <is>
          <t>Bit Manipulation</t>
        </is>
      </c>
      <c r="C335" s="7" t="inlineStr">
        <is>
          <t>Basic Bit Operations</t>
        </is>
      </c>
      <c r="D335" s="6" t="inlineStr">
        <is>
          <t>1491A</t>
        </is>
      </c>
      <c r="E335" s="6" t="n">
        <v>1491</v>
      </c>
      <c r="F335" s="6" t="inlineStr">
        <is>
          <t>A</t>
        </is>
      </c>
      <c r="G335" s="7" t="inlineStr">
        <is>
          <t>K-th Largest Value</t>
        </is>
      </c>
      <c r="H335" s="6" t="n">
        <v>800</v>
      </c>
      <c r="I335" s="4" t="inlineStr">
        <is>
          <t>Easy</t>
        </is>
      </c>
      <c r="J335" s="7" t="inlineStr">
        <is>
          <t>brute force, greedy, implementation</t>
        </is>
      </c>
      <c r="K335" s="6" t="n">
        <v>15</v>
      </c>
      <c r="L335" s="6" t="n">
        <v>10</v>
      </c>
      <c r="M335" s="8" t="inlineStr">
        <is>
          <t>https://codeforces.com/problemset/problem/1491/A</t>
        </is>
      </c>
      <c r="N335" s="7" t="n"/>
    </row>
    <row r="336" ht="20.1" customHeight="1">
      <c r="A336" s="2" t="inlineStr">
        <is>
          <t>Unsolved</t>
        </is>
      </c>
      <c r="B336" s="3" t="inlineStr">
        <is>
          <t>Bit Manipulation</t>
        </is>
      </c>
      <c r="C336" s="3" t="inlineStr">
        <is>
          <t>Basic Bit Operations</t>
        </is>
      </c>
      <c r="D336" s="2" t="inlineStr">
        <is>
          <t>1501A</t>
        </is>
      </c>
      <c r="E336" s="2" t="n">
        <v>1501</v>
      </c>
      <c r="F336" s="2" t="inlineStr">
        <is>
          <t>A</t>
        </is>
      </c>
      <c r="G336" s="3" t="inlineStr">
        <is>
          <t>Alexey and Train</t>
        </is>
      </c>
      <c r="H336" s="2" t="n">
        <v>800</v>
      </c>
      <c r="I336" s="4" t="inlineStr">
        <is>
          <t>Easy</t>
        </is>
      </c>
      <c r="J336" s="3" t="inlineStr">
        <is>
          <t>implementation</t>
        </is>
      </c>
      <c r="K336" s="2" t="n">
        <v>15</v>
      </c>
      <c r="L336" s="2" t="n">
        <v>10</v>
      </c>
      <c r="M336" s="5" t="inlineStr">
        <is>
          <t>https://codeforces.com/problemset/problem/1501/A</t>
        </is>
      </c>
      <c r="N336" s="3" t="n"/>
    </row>
    <row r="337" ht="20.1" customHeight="1">
      <c r="A337" s="6" t="inlineStr">
        <is>
          <t>Unsolved</t>
        </is>
      </c>
      <c r="B337" s="7" t="inlineStr">
        <is>
          <t>Bit Manipulation</t>
        </is>
      </c>
      <c r="C337" s="7" t="inlineStr">
        <is>
          <t>Basic Bit Operations</t>
        </is>
      </c>
      <c r="D337" s="6" t="inlineStr">
        <is>
          <t>1525A</t>
        </is>
      </c>
      <c r="E337" s="6" t="n">
        <v>1525</v>
      </c>
      <c r="F337" s="6" t="inlineStr">
        <is>
          <t>A</t>
        </is>
      </c>
      <c r="G337" s="7" t="inlineStr">
        <is>
          <t>Potion-making</t>
        </is>
      </c>
      <c r="H337" s="6" t="n">
        <v>800</v>
      </c>
      <c r="I337" s="4" t="inlineStr">
        <is>
          <t>Easy</t>
        </is>
      </c>
      <c r="J337" s="7" t="inlineStr">
        <is>
          <t>math, number theory</t>
        </is>
      </c>
      <c r="K337" s="6" t="n">
        <v>15</v>
      </c>
      <c r="L337" s="6" t="n">
        <v>10</v>
      </c>
      <c r="M337" s="8" t="inlineStr">
        <is>
          <t>https://codeforces.com/problemset/problem/1525/A</t>
        </is>
      </c>
      <c r="N337" s="7" t="n"/>
    </row>
    <row r="338" ht="20.1" customHeight="1">
      <c r="A338" s="2" t="inlineStr">
        <is>
          <t>Unsolved</t>
        </is>
      </c>
      <c r="B338" s="3" t="inlineStr">
        <is>
          <t>Bit Manipulation</t>
        </is>
      </c>
      <c r="C338" s="3" t="inlineStr">
        <is>
          <t>XOR Properties</t>
        </is>
      </c>
      <c r="D338" s="2" t="inlineStr">
        <is>
          <t>276D</t>
        </is>
      </c>
      <c r="E338" s="2" t="n">
        <v>276</v>
      </c>
      <c r="F338" s="2" t="inlineStr">
        <is>
          <t>D</t>
        </is>
      </c>
      <c r="G338" s="3" t="inlineStr">
        <is>
          <t>Little Girl and Maximum XOR</t>
        </is>
      </c>
      <c r="H338" s="2" t="n">
        <v>1700</v>
      </c>
      <c r="I338" s="10" t="inlineStr">
        <is>
          <t>Hard</t>
        </is>
      </c>
      <c r="J338" s="3" t="inlineStr">
        <is>
          <t>bitmasks, dp, greedy, implementation, math</t>
        </is>
      </c>
      <c r="K338" s="2" t="n">
        <v>60</v>
      </c>
      <c r="L338" s="2" t="n">
        <v>55</v>
      </c>
      <c r="M338" s="5" t="inlineStr">
        <is>
          <t>https://codeforces.com/problemset/problem/276/D</t>
        </is>
      </c>
      <c r="N338" s="3" t="n"/>
    </row>
    <row r="339" ht="20.1" customHeight="1">
      <c r="A339" s="6" t="inlineStr">
        <is>
          <t>Unsolved</t>
        </is>
      </c>
      <c r="B339" s="7" t="inlineStr">
        <is>
          <t>Bit Manipulation</t>
        </is>
      </c>
      <c r="C339" s="7" t="inlineStr">
        <is>
          <t>XOR Properties</t>
        </is>
      </c>
      <c r="D339" s="6" t="inlineStr">
        <is>
          <t>282E</t>
        </is>
      </c>
      <c r="E339" s="6" t="n">
        <v>282</v>
      </c>
      <c r="F339" s="6" t="inlineStr">
        <is>
          <t>E</t>
        </is>
      </c>
      <c r="G339" s="7" t="inlineStr">
        <is>
          <t>Sausage Maximization</t>
        </is>
      </c>
      <c r="H339" s="6" t="n">
        <v>2200</v>
      </c>
      <c r="I339" s="12" t="inlineStr">
        <is>
          <t>Expert</t>
        </is>
      </c>
      <c r="J339" s="7" t="inlineStr">
        <is>
          <t>bitmasks, data structures, trees</t>
        </is>
      </c>
      <c r="K339" s="6" t="n">
        <v>90</v>
      </c>
      <c r="L339" s="6" t="n">
        <v>80</v>
      </c>
      <c r="M339" s="8" t="inlineStr">
        <is>
          <t>https://codeforces.com/problemset/problem/282/E</t>
        </is>
      </c>
      <c r="N339" s="7" t="n"/>
    </row>
    <row r="340" ht="20.1" customHeight="1">
      <c r="A340" s="2" t="inlineStr">
        <is>
          <t>Unsolved</t>
        </is>
      </c>
      <c r="B340" s="3" t="inlineStr">
        <is>
          <t>Bit Manipulation</t>
        </is>
      </c>
      <c r="C340" s="3" t="inlineStr">
        <is>
          <t>XOR Properties</t>
        </is>
      </c>
      <c r="D340" s="2" t="inlineStr">
        <is>
          <t>429A</t>
        </is>
      </c>
      <c r="E340" s="2" t="n">
        <v>429</v>
      </c>
      <c r="F340" s="2" t="inlineStr">
        <is>
          <t>A</t>
        </is>
      </c>
      <c r="G340" s="3" t="inlineStr">
        <is>
          <t>Xor-tree</t>
        </is>
      </c>
      <c r="H340" s="2" t="n">
        <v>1300</v>
      </c>
      <c r="I340" s="9" t="inlineStr">
        <is>
          <t>Medium</t>
        </is>
      </c>
      <c r="J340" s="3" t="inlineStr">
        <is>
          <t>dfs and similar, trees</t>
        </is>
      </c>
      <c r="K340" s="2" t="n">
        <v>25</v>
      </c>
      <c r="L340" s="2" t="n">
        <v>20</v>
      </c>
      <c r="M340" s="5" t="inlineStr">
        <is>
          <t>https://codeforces.com/problemset/problem/429/A</t>
        </is>
      </c>
      <c r="N340" s="3" t="n"/>
    </row>
    <row r="341" ht="20.1" customHeight="1">
      <c r="A341" s="6" t="inlineStr">
        <is>
          <t>Unsolved</t>
        </is>
      </c>
      <c r="B341" s="7" t="inlineStr">
        <is>
          <t>Bit Manipulation</t>
        </is>
      </c>
      <c r="C341" s="7" t="inlineStr">
        <is>
          <t>Bitmask Enumeration</t>
        </is>
      </c>
      <c r="D341" s="6" t="inlineStr">
        <is>
          <t>319B</t>
        </is>
      </c>
      <c r="E341" s="6" t="n">
        <v>319</v>
      </c>
      <c r="F341" s="6" t="inlineStr">
        <is>
          <t>B</t>
        </is>
      </c>
      <c r="G341" s="7" t="inlineStr">
        <is>
          <t>Psychos in a Line</t>
        </is>
      </c>
      <c r="H341" s="6" t="n">
        <v>1900</v>
      </c>
      <c r="I341" s="10" t="inlineStr">
        <is>
          <t>Hard+</t>
        </is>
      </c>
      <c r="J341" s="7" t="inlineStr">
        <is>
          <t>data structures, implementation</t>
        </is>
      </c>
      <c r="K341" s="6" t="n">
        <v>60</v>
      </c>
      <c r="L341" s="6" t="n">
        <v>55</v>
      </c>
      <c r="M341" s="8" t="inlineStr">
        <is>
          <t>https://codeforces.com/problemset/problem/319/B</t>
        </is>
      </c>
      <c r="N341" s="7" t="n"/>
    </row>
    <row r="342" ht="20.1" customHeight="1">
      <c r="A342" s="2" t="inlineStr">
        <is>
          <t>Unsolved</t>
        </is>
      </c>
      <c r="B342" s="3" t="inlineStr">
        <is>
          <t>Bit Manipulation</t>
        </is>
      </c>
      <c r="C342" s="3" t="inlineStr">
        <is>
          <t>Bitmask Enumeration</t>
        </is>
      </c>
      <c r="D342" s="2" t="inlineStr">
        <is>
          <t>580D</t>
        </is>
      </c>
      <c r="E342" s="2" t="n">
        <v>580</v>
      </c>
      <c r="F342" s="2" t="inlineStr">
        <is>
          <t>D</t>
        </is>
      </c>
      <c r="G342" s="3" t="inlineStr">
        <is>
          <t>Kefa and Dishes</t>
        </is>
      </c>
      <c r="H342" s="2" t="n">
        <v>1800</v>
      </c>
      <c r="I342" s="10" t="inlineStr">
        <is>
          <t>Hard</t>
        </is>
      </c>
      <c r="J342" s="3" t="inlineStr">
        <is>
          <t>bitmasks, dp</t>
        </is>
      </c>
      <c r="K342" s="2" t="n">
        <v>60</v>
      </c>
      <c r="L342" s="2" t="n">
        <v>55</v>
      </c>
      <c r="M342" s="5" t="inlineStr">
        <is>
          <t>https://codeforces.com/problemset/problem/580/D</t>
        </is>
      </c>
      <c r="N342" s="3" t="n"/>
    </row>
    <row r="343" ht="20.1" customHeight="1">
      <c r="A343" s="6" t="inlineStr">
        <is>
          <t>Unsolved</t>
        </is>
      </c>
      <c r="B343" s="7" t="inlineStr">
        <is>
          <t>Bit Manipulation</t>
        </is>
      </c>
      <c r="C343" s="7" t="inlineStr">
        <is>
          <t>Bitmask Enumeration</t>
        </is>
      </c>
      <c r="D343" s="6" t="inlineStr">
        <is>
          <t>839C</t>
        </is>
      </c>
      <c r="E343" s="6" t="n">
        <v>839</v>
      </c>
      <c r="F343" s="6" t="inlineStr">
        <is>
          <t>C</t>
        </is>
      </c>
      <c r="G343" s="7" t="inlineStr">
        <is>
          <t>Journey</t>
        </is>
      </c>
      <c r="H343" s="6" t="n">
        <v>1500</v>
      </c>
      <c r="I343" s="9" t="inlineStr">
        <is>
          <t>Medium+</t>
        </is>
      </c>
      <c r="J343" s="7" t="inlineStr">
        <is>
          <t>dfs and similar, dp, graphs, probabilities, trees</t>
        </is>
      </c>
      <c r="K343" s="6" t="n">
        <v>40</v>
      </c>
      <c r="L343" s="6" t="n">
        <v>35</v>
      </c>
      <c r="M343" s="8" t="inlineStr">
        <is>
          <t>https://codeforces.com/problemset/problem/839/C</t>
        </is>
      </c>
      <c r="N343" s="7" t="n"/>
    </row>
    <row r="344" ht="20.1" customHeight="1">
      <c r="A344" s="2" t="inlineStr">
        <is>
          <t>Unsolved</t>
        </is>
      </c>
      <c r="B344" s="3" t="inlineStr">
        <is>
          <t>Bit Manipulation</t>
        </is>
      </c>
      <c r="C344" s="3" t="inlineStr">
        <is>
          <t>Bitmask Enumeration</t>
        </is>
      </c>
      <c r="D344" s="2" t="inlineStr">
        <is>
          <t>1102F</t>
        </is>
      </c>
      <c r="E344" s="2" t="n">
        <v>1102</v>
      </c>
      <c r="F344" s="2" t="inlineStr">
        <is>
          <t>F</t>
        </is>
      </c>
      <c r="G344" s="3" t="inlineStr">
        <is>
          <t>Elongated Matrix</t>
        </is>
      </c>
      <c r="H344" s="2" t="n">
        <v>2000</v>
      </c>
      <c r="I344" s="10" t="inlineStr">
        <is>
          <t>Hard+</t>
        </is>
      </c>
      <c r="J344" s="3" t="inlineStr">
        <is>
          <t>binary search, bitmasks, brute force, dp, graphs</t>
        </is>
      </c>
      <c r="K344" s="2" t="n">
        <v>90</v>
      </c>
      <c r="L344" s="2" t="n">
        <v>80</v>
      </c>
      <c r="M344" s="5" t="inlineStr">
        <is>
          <t>https://codeforces.com/problemset/problem/1102/F</t>
        </is>
      </c>
      <c r="N344" s="3" t="n"/>
    </row>
    <row r="345" ht="20.1" customHeight="1">
      <c r="A345" s="6" t="inlineStr">
        <is>
          <t>Unsolved</t>
        </is>
      </c>
      <c r="B345" s="7" t="inlineStr">
        <is>
          <t>Bit Manipulation</t>
        </is>
      </c>
      <c r="C345" s="7" t="inlineStr">
        <is>
          <t>Bitmask Enumeration</t>
        </is>
      </c>
      <c r="D345" s="6" t="inlineStr">
        <is>
          <t>1316E</t>
        </is>
      </c>
      <c r="E345" s="6" t="n">
        <v>1316</v>
      </c>
      <c r="F345" s="6" t="inlineStr">
        <is>
          <t>E</t>
        </is>
      </c>
      <c r="G345" s="7" t="inlineStr">
        <is>
          <t>Team Building</t>
        </is>
      </c>
      <c r="H345" s="6" t="n">
        <v>2300</v>
      </c>
      <c r="I345" s="12" t="inlineStr">
        <is>
          <t>Expert</t>
        </is>
      </c>
      <c r="J345" s="7" t="inlineStr">
        <is>
          <t>bitmasks, dp, greedy, sortings</t>
        </is>
      </c>
      <c r="K345" s="6" t="n">
        <v>120</v>
      </c>
      <c r="L345" s="6" t="n">
        <v>110</v>
      </c>
      <c r="M345" s="8" t="inlineStr">
        <is>
          <t>https://codeforces.com/problemset/problem/1316/E</t>
        </is>
      </c>
      <c r="N345" s="7" t="n"/>
    </row>
    <row r="346" ht="20.1" customHeight="1">
      <c r="A346" s="2" t="inlineStr">
        <is>
          <t>Unsolved</t>
        </is>
      </c>
      <c r="B346" s="3" t="inlineStr">
        <is>
          <t>Bit Manipulation</t>
        </is>
      </c>
      <c r="C346" s="3" t="inlineStr">
        <is>
          <t>Bitmask Enumeration</t>
        </is>
      </c>
      <c r="D346" s="2" t="inlineStr">
        <is>
          <t>1523D</t>
        </is>
      </c>
      <c r="E346" s="2" t="n">
        <v>1523</v>
      </c>
      <c r="F346" s="2" t="inlineStr">
        <is>
          <t>D</t>
        </is>
      </c>
      <c r="G346" s="3" t="inlineStr">
        <is>
          <t>Love-Hate</t>
        </is>
      </c>
      <c r="H346" s="2" t="n">
        <v>2400</v>
      </c>
      <c r="I346" s="12" t="inlineStr">
        <is>
          <t>Master</t>
        </is>
      </c>
      <c r="J346" s="3" t="inlineStr">
        <is>
          <t>bitmasks, brute force, dp, probabilities</t>
        </is>
      </c>
      <c r="K346" s="2" t="n">
        <v>120</v>
      </c>
      <c r="L346" s="2" t="n">
        <v>110</v>
      </c>
      <c r="M346" s="5" t="inlineStr">
        <is>
          <t>https://codeforces.com/problemset/problem/1523/D</t>
        </is>
      </c>
      <c r="N346" s="3" t="n"/>
    </row>
    <row r="347" ht="20.1" customHeight="1">
      <c r="A347" s="6" t="inlineStr">
        <is>
          <t>Unsolved</t>
        </is>
      </c>
      <c r="B347" s="7" t="inlineStr">
        <is>
          <t>Bit Manipulation</t>
        </is>
      </c>
      <c r="C347" s="7" t="inlineStr">
        <is>
          <t>Trie + XOR</t>
        </is>
      </c>
      <c r="D347" s="6" t="inlineStr">
        <is>
          <t>706D</t>
        </is>
      </c>
      <c r="E347" s="6" t="n">
        <v>706</v>
      </c>
      <c r="F347" s="6" t="inlineStr">
        <is>
          <t>D</t>
        </is>
      </c>
      <c r="G347" s="7" t="inlineStr">
        <is>
          <t>Vasiliy's Multiset</t>
        </is>
      </c>
      <c r="H347" s="6" t="n">
        <v>1800</v>
      </c>
      <c r="I347" s="10" t="inlineStr">
        <is>
          <t>Hard</t>
        </is>
      </c>
      <c r="J347" s="7" t="inlineStr">
        <is>
          <t>binary search, bitmasks, data structures, trees</t>
        </is>
      </c>
      <c r="K347" s="6" t="n">
        <v>60</v>
      </c>
      <c r="L347" s="6" t="n">
        <v>55</v>
      </c>
      <c r="M347" s="8" t="inlineStr">
        <is>
          <t>https://codeforces.com/problemset/problem/706/D</t>
        </is>
      </c>
      <c r="N347" s="7" t="n"/>
    </row>
    <row r="348" ht="20.1" customHeight="1">
      <c r="A348" s="2" t="inlineStr">
        <is>
          <t>Unsolved</t>
        </is>
      </c>
      <c r="B348" s="3" t="inlineStr">
        <is>
          <t>Bit Manipulation</t>
        </is>
      </c>
      <c r="C348" s="3" t="inlineStr">
        <is>
          <t>Trie + XOR</t>
        </is>
      </c>
      <c r="D348" s="2" t="inlineStr">
        <is>
          <t>888G</t>
        </is>
      </c>
      <c r="E348" s="2" t="n">
        <v>888</v>
      </c>
      <c r="F348" s="2" t="inlineStr">
        <is>
          <t>G</t>
        </is>
      </c>
      <c r="G348" s="3" t="inlineStr">
        <is>
          <t>Xor-MST</t>
        </is>
      </c>
      <c r="H348" s="2" t="n">
        <v>2300</v>
      </c>
      <c r="I348" s="12" t="inlineStr">
        <is>
          <t>Expert</t>
        </is>
      </c>
      <c r="J348" s="3" t="inlineStr">
        <is>
          <t>bitmasks, constructive algorithms, data structures</t>
        </is>
      </c>
      <c r="K348" s="2" t="n">
        <v>120</v>
      </c>
      <c r="L348" s="2" t="n">
        <v>110</v>
      </c>
      <c r="M348" s="5" t="inlineStr">
        <is>
          <t>https://codeforces.com/problemset/problem/888/G</t>
        </is>
      </c>
      <c r="N348" s="3" t="n"/>
    </row>
    <row r="349" ht="20.1" customHeight="1">
      <c r="A349" s="6" t="inlineStr">
        <is>
          <t>Unsolved</t>
        </is>
      </c>
      <c r="B349" s="7" t="inlineStr">
        <is>
          <t>Bit Manipulation</t>
        </is>
      </c>
      <c r="C349" s="7" t="inlineStr">
        <is>
          <t>Trie + XOR</t>
        </is>
      </c>
      <c r="D349" s="6" t="inlineStr">
        <is>
          <t>923C</t>
        </is>
      </c>
      <c r="E349" s="6" t="n">
        <v>923</v>
      </c>
      <c r="F349" s="6" t="inlineStr">
        <is>
          <t>C</t>
        </is>
      </c>
      <c r="G349" s="7" t="inlineStr">
        <is>
          <t>Perfect Security</t>
        </is>
      </c>
      <c r="H349" s="6" t="n">
        <v>1800</v>
      </c>
      <c r="I349" s="10" t="inlineStr">
        <is>
          <t>Hard</t>
        </is>
      </c>
      <c r="J349" s="7" t="inlineStr">
        <is>
          <t>data structures, greedy, strings, trees</t>
        </is>
      </c>
      <c r="K349" s="6" t="n">
        <v>60</v>
      </c>
      <c r="L349" s="6" t="n">
        <v>55</v>
      </c>
      <c r="M349" s="8" t="inlineStr">
        <is>
          <t>https://codeforces.com/problemset/problem/923/C</t>
        </is>
      </c>
      <c r="N349" s="7" t="n"/>
    </row>
    <row r="350" ht="20.1" customHeight="1">
      <c r="A350" s="2" t="inlineStr">
        <is>
          <t>Unsolved</t>
        </is>
      </c>
      <c r="B350" s="3" t="inlineStr">
        <is>
          <t>Bit Manipulation</t>
        </is>
      </c>
      <c r="C350" s="3" t="inlineStr">
        <is>
          <t>Trie + XOR</t>
        </is>
      </c>
      <c r="D350" s="2" t="inlineStr">
        <is>
          <t>948D</t>
        </is>
      </c>
      <c r="E350" s="2" t="n">
        <v>948</v>
      </c>
      <c r="F350" s="2" t="inlineStr">
        <is>
          <t>D</t>
        </is>
      </c>
      <c r="G350" s="3" t="inlineStr">
        <is>
          <t>UNKNOWN</t>
        </is>
      </c>
      <c r="H350" s="2" t="inlineStr">
        <is>
          <t>UNKNOWN</t>
        </is>
      </c>
      <c r="I350" s="11" t="inlineStr">
        <is>
          <t>UNKNOWN</t>
        </is>
      </c>
      <c r="J350" s="3" t="inlineStr">
        <is>
          <t>UNKNOWN</t>
        </is>
      </c>
      <c r="K350" s="2" t="n">
        <v>0</v>
      </c>
      <c r="L350" s="2" t="n">
        <v>0</v>
      </c>
      <c r="M350" s="5" t="inlineStr">
        <is>
          <t>https://codeforces.com/problemset/problem/948/D</t>
        </is>
      </c>
      <c r="N350" s="3" t="n"/>
    </row>
    <row r="351" ht="20.1" customHeight="1">
      <c r="A351" s="6" t="inlineStr">
        <is>
          <t>Unsolved</t>
        </is>
      </c>
      <c r="B351" s="7" t="inlineStr">
        <is>
          <t>Bit Manipulation</t>
        </is>
      </c>
      <c r="C351" s="7" t="inlineStr">
        <is>
          <t>Trie + XOR</t>
        </is>
      </c>
      <c r="D351" s="6" t="inlineStr">
        <is>
          <t>1285D</t>
        </is>
      </c>
      <c r="E351" s="6" t="n">
        <v>1285</v>
      </c>
      <c r="F351" s="6" t="inlineStr">
        <is>
          <t>D</t>
        </is>
      </c>
      <c r="G351" s="7" t="inlineStr">
        <is>
          <t>Dr. Evil Underscores</t>
        </is>
      </c>
      <c r="H351" s="6" t="n">
        <v>1900</v>
      </c>
      <c r="I351" s="10" t="inlineStr">
        <is>
          <t>Hard+</t>
        </is>
      </c>
      <c r="J351" s="7" t="inlineStr">
        <is>
          <t>bitmasks, brute force, dfs and similar, divide and conquer, dp, greedy, strings, trees</t>
        </is>
      </c>
      <c r="K351" s="6" t="n">
        <v>60</v>
      </c>
      <c r="L351" s="6" t="n">
        <v>55</v>
      </c>
      <c r="M351" s="8" t="inlineStr">
        <is>
          <t>https://codeforces.com/problemset/problem/1285/D</t>
        </is>
      </c>
      <c r="N351" s="7" t="n"/>
    </row>
    <row r="352" ht="20.1" customHeight="1">
      <c r="A352" s="2" t="inlineStr">
        <is>
          <t>Unsolved</t>
        </is>
      </c>
      <c r="B352" s="3" t="inlineStr">
        <is>
          <t>Bit Manipulation</t>
        </is>
      </c>
      <c r="C352" s="3" t="inlineStr">
        <is>
          <t>Trie + XOR</t>
        </is>
      </c>
      <c r="D352" s="2" t="inlineStr">
        <is>
          <t>1447E</t>
        </is>
      </c>
      <c r="E352" s="2" t="n">
        <v>1447</v>
      </c>
      <c r="F352" s="2" t="inlineStr">
        <is>
          <t>E</t>
        </is>
      </c>
      <c r="G352" s="3" t="inlineStr">
        <is>
          <t>UNKNOWN</t>
        </is>
      </c>
      <c r="H352" s="2" t="inlineStr">
        <is>
          <t>UNKNOWN</t>
        </is>
      </c>
      <c r="I352" s="11" t="inlineStr">
        <is>
          <t>UNKNOWN</t>
        </is>
      </c>
      <c r="J352" s="3" t="inlineStr">
        <is>
          <t>UNKNOWN</t>
        </is>
      </c>
      <c r="K352" s="2" t="n">
        <v>0</v>
      </c>
      <c r="L352" s="2" t="n">
        <v>0</v>
      </c>
      <c r="M352" s="5" t="inlineStr">
        <is>
          <t>https://codeforces.com/problemset/problem/1447/E</t>
        </is>
      </c>
      <c r="N352" s="3" t="n"/>
    </row>
    <row r="353" ht="20.1" customHeight="1">
      <c r="A353" s="6" t="inlineStr">
        <is>
          <t>Unsolved</t>
        </is>
      </c>
      <c r="B353" s="7" t="inlineStr">
        <is>
          <t>Bit Manipulation</t>
        </is>
      </c>
      <c r="C353" s="7" t="inlineStr">
        <is>
          <t>Trie + XOR</t>
        </is>
      </c>
      <c r="D353" s="6" t="inlineStr">
        <is>
          <t>1658D2</t>
        </is>
      </c>
      <c r="E353" s="6" t="n">
        <v>1658</v>
      </c>
      <c r="F353" s="6" t="inlineStr">
        <is>
          <t>D2</t>
        </is>
      </c>
      <c r="G353" s="7" t="inlineStr">
        <is>
          <t>388535 (Hard Version)</t>
        </is>
      </c>
      <c r="H353" s="6" t="n">
        <v>2300</v>
      </c>
      <c r="I353" s="12" t="inlineStr">
        <is>
          <t>Expert</t>
        </is>
      </c>
      <c r="J353" s="7" t="inlineStr">
        <is>
          <t>bitmasks, brute force, data structures, math</t>
        </is>
      </c>
      <c r="K353" s="6" t="n">
        <v>120</v>
      </c>
      <c r="L353" s="6" t="n">
        <v>110</v>
      </c>
      <c r="M353" s="8" t="inlineStr">
        <is>
          <t>https://codeforces.com/problemset/problem/1658/D2</t>
        </is>
      </c>
      <c r="N353" s="7" t="n"/>
    </row>
    <row r="354" ht="20.1" customHeight="1">
      <c r="A354" s="2" t="inlineStr">
        <is>
          <t>Unsolved</t>
        </is>
      </c>
      <c r="B354" s="3" t="inlineStr">
        <is>
          <t>Mathematics &amp; Number Theory</t>
        </is>
      </c>
      <c r="C354" s="3" t="inlineStr">
        <is>
          <t>Basic Mathematics</t>
        </is>
      </c>
      <c r="D354" s="2" t="inlineStr">
        <is>
          <t>50A</t>
        </is>
      </c>
      <c r="E354" s="2" t="n">
        <v>50</v>
      </c>
      <c r="F354" s="2" t="inlineStr">
        <is>
          <t>A</t>
        </is>
      </c>
      <c r="G354" s="3" t="inlineStr">
        <is>
          <t>Domino piling</t>
        </is>
      </c>
      <c r="H354" s="2" t="n">
        <v>800</v>
      </c>
      <c r="I354" s="4" t="inlineStr">
        <is>
          <t>Easy</t>
        </is>
      </c>
      <c r="J354" s="3" t="inlineStr">
        <is>
          <t>greedy, math</t>
        </is>
      </c>
      <c r="K354" s="2" t="n">
        <v>15</v>
      </c>
      <c r="L354" s="2" t="n">
        <v>10</v>
      </c>
      <c r="M354" s="5" t="inlineStr">
        <is>
          <t>https://codeforces.com/problemset/problem/50/A</t>
        </is>
      </c>
      <c r="N354" s="3" t="n"/>
    </row>
    <row r="355" ht="20.1" customHeight="1">
      <c r="A355" s="6" t="inlineStr">
        <is>
          <t>Unsolved</t>
        </is>
      </c>
      <c r="B355" s="7" t="inlineStr">
        <is>
          <t>Mathematics &amp; Number Theory</t>
        </is>
      </c>
      <c r="C355" s="7" t="inlineStr">
        <is>
          <t>Basic Mathematics</t>
        </is>
      </c>
      <c r="D355" s="6" t="inlineStr">
        <is>
          <t>617A</t>
        </is>
      </c>
      <c r="E355" s="6" t="n">
        <v>617</v>
      </c>
      <c r="F355" s="6" t="inlineStr">
        <is>
          <t>A</t>
        </is>
      </c>
      <c r="G355" s="7" t="inlineStr">
        <is>
          <t>Elephant</t>
        </is>
      </c>
      <c r="H355" s="6" t="n">
        <v>800</v>
      </c>
      <c r="I355" s="4" t="inlineStr">
        <is>
          <t>Easy</t>
        </is>
      </c>
      <c r="J355" s="7" t="inlineStr">
        <is>
          <t>math</t>
        </is>
      </c>
      <c r="K355" s="6" t="n">
        <v>15</v>
      </c>
      <c r="L355" s="6" t="n">
        <v>10</v>
      </c>
      <c r="M355" s="8" t="inlineStr">
        <is>
          <t>https://codeforces.com/problemset/problem/617/A</t>
        </is>
      </c>
      <c r="N355" s="7" t="n"/>
    </row>
    <row r="356" ht="20.1" customHeight="1">
      <c r="A356" s="2" t="inlineStr">
        <is>
          <t>Unsolved</t>
        </is>
      </c>
      <c r="B356" s="3" t="inlineStr">
        <is>
          <t>Mathematics &amp; Number Theory</t>
        </is>
      </c>
      <c r="C356" s="3" t="inlineStr">
        <is>
          <t>Basic Mathematics</t>
        </is>
      </c>
      <c r="D356" s="2" t="inlineStr">
        <is>
          <t>630A</t>
        </is>
      </c>
      <c r="E356" s="2" t="n">
        <v>630</v>
      </c>
      <c r="F356" s="2" t="inlineStr">
        <is>
          <t>A</t>
        </is>
      </c>
      <c r="G356" s="3" t="inlineStr">
        <is>
          <t>Again Twenty Five!</t>
        </is>
      </c>
      <c r="H356" s="2" t="n">
        <v>800</v>
      </c>
      <c r="I356" s="4" t="inlineStr">
        <is>
          <t>Easy</t>
        </is>
      </c>
      <c r="J356" s="3" t="inlineStr">
        <is>
          <t>number theory</t>
        </is>
      </c>
      <c r="K356" s="2" t="n">
        <v>15</v>
      </c>
      <c r="L356" s="2" t="n">
        <v>10</v>
      </c>
      <c r="M356" s="5" t="inlineStr">
        <is>
          <t>https://codeforces.com/problemset/problem/630/A</t>
        </is>
      </c>
      <c r="N356" s="3" t="n"/>
    </row>
    <row r="357" ht="20.1" customHeight="1">
      <c r="A357" s="6" t="inlineStr">
        <is>
          <t>Unsolved</t>
        </is>
      </c>
      <c r="B357" s="7" t="inlineStr">
        <is>
          <t>Mathematics &amp; Number Theory</t>
        </is>
      </c>
      <c r="C357" s="7" t="inlineStr">
        <is>
          <t>Basic Mathematics</t>
        </is>
      </c>
      <c r="D357" s="6" t="inlineStr">
        <is>
          <t>742A</t>
        </is>
      </c>
      <c r="E357" s="6" t="n">
        <v>742</v>
      </c>
      <c r="F357" s="6" t="inlineStr">
        <is>
          <t>A</t>
        </is>
      </c>
      <c r="G357" s="7" t="inlineStr">
        <is>
          <t>Arpa’s hard exam and Mehrdad’s naive cheat</t>
        </is>
      </c>
      <c r="H357" s="6" t="n">
        <v>1000</v>
      </c>
      <c r="I357" s="4" t="inlineStr">
        <is>
          <t>Easy+</t>
        </is>
      </c>
      <c r="J357" s="7" t="inlineStr">
        <is>
          <t>implementation, math, number theory</t>
        </is>
      </c>
      <c r="K357" s="6" t="n">
        <v>15</v>
      </c>
      <c r="L357" s="6" t="n">
        <v>10</v>
      </c>
      <c r="M357" s="8" t="inlineStr">
        <is>
          <t>https://codeforces.com/problemset/problem/742/A</t>
        </is>
      </c>
      <c r="N357" s="7" t="n"/>
    </row>
    <row r="358" ht="20.1" customHeight="1">
      <c r="A358" s="2" t="inlineStr">
        <is>
          <t>Unsolved</t>
        </is>
      </c>
      <c r="B358" s="3" t="inlineStr">
        <is>
          <t>Mathematics &amp; Number Theory</t>
        </is>
      </c>
      <c r="C358" s="3" t="inlineStr">
        <is>
          <t>Basic Mathematics</t>
        </is>
      </c>
      <c r="D358" s="2" t="inlineStr">
        <is>
          <t>732A</t>
        </is>
      </c>
      <c r="E358" s="2" t="n">
        <v>732</v>
      </c>
      <c r="F358" s="2" t="inlineStr">
        <is>
          <t>A</t>
        </is>
      </c>
      <c r="G358" s="3" t="inlineStr">
        <is>
          <t>Buy a Shovel</t>
        </is>
      </c>
      <c r="H358" s="2" t="n">
        <v>800</v>
      </c>
      <c r="I358" s="4" t="inlineStr">
        <is>
          <t>Easy</t>
        </is>
      </c>
      <c r="J358" s="3" t="inlineStr">
        <is>
          <t>brute force, constructive algorithms, implementation, math</t>
        </is>
      </c>
      <c r="K358" s="2" t="n">
        <v>15</v>
      </c>
      <c r="L358" s="2" t="n">
        <v>10</v>
      </c>
      <c r="M358" s="5" t="inlineStr">
        <is>
          <t>https://codeforces.com/problemset/problem/732/A</t>
        </is>
      </c>
      <c r="N358" s="3" t="n"/>
    </row>
    <row r="359" ht="20.1" customHeight="1">
      <c r="A359" s="6" t="inlineStr">
        <is>
          <t>Unsolved</t>
        </is>
      </c>
      <c r="B359" s="7" t="inlineStr">
        <is>
          <t>Mathematics &amp; Number Theory</t>
        </is>
      </c>
      <c r="C359" s="7" t="inlineStr">
        <is>
          <t>Basic Mathematics</t>
        </is>
      </c>
      <c r="D359" s="6" t="inlineStr">
        <is>
          <t>977A</t>
        </is>
      </c>
      <c r="E359" s="6" t="n">
        <v>977</v>
      </c>
      <c r="F359" s="6" t="inlineStr">
        <is>
          <t>A</t>
        </is>
      </c>
      <c r="G359" s="7" t="inlineStr">
        <is>
          <t>Wrong Subtraction</t>
        </is>
      </c>
      <c r="H359" s="6" t="n">
        <v>800</v>
      </c>
      <c r="I359" s="4" t="inlineStr">
        <is>
          <t>Easy</t>
        </is>
      </c>
      <c r="J359" s="7" t="inlineStr">
        <is>
          <t>implementation</t>
        </is>
      </c>
      <c r="K359" s="6" t="n">
        <v>15</v>
      </c>
      <c r="L359" s="6" t="n">
        <v>10</v>
      </c>
      <c r="M359" s="8" t="inlineStr">
        <is>
          <t>https://codeforces.com/problemset/problem/977/A</t>
        </is>
      </c>
      <c r="N359" s="7" t="n"/>
    </row>
    <row r="360" ht="20.1" customHeight="1">
      <c r="A360" s="2" t="inlineStr">
        <is>
          <t>Unsolved</t>
        </is>
      </c>
      <c r="B360" s="3" t="inlineStr">
        <is>
          <t>Mathematics &amp; Number Theory</t>
        </is>
      </c>
      <c r="C360" s="3" t="inlineStr">
        <is>
          <t>Basic Mathematics</t>
        </is>
      </c>
      <c r="D360" s="2" t="inlineStr">
        <is>
          <t>1154A</t>
        </is>
      </c>
      <c r="E360" s="2" t="n">
        <v>1154</v>
      </c>
      <c r="F360" s="2" t="inlineStr">
        <is>
          <t>A</t>
        </is>
      </c>
      <c r="G360" s="3" t="inlineStr">
        <is>
          <t>Restoring Three Numbers</t>
        </is>
      </c>
      <c r="H360" s="2" t="n">
        <v>800</v>
      </c>
      <c r="I360" s="4" t="inlineStr">
        <is>
          <t>Easy</t>
        </is>
      </c>
      <c r="J360" s="3" t="inlineStr">
        <is>
          <t>math</t>
        </is>
      </c>
      <c r="K360" s="2" t="n">
        <v>15</v>
      </c>
      <c r="L360" s="2" t="n">
        <v>10</v>
      </c>
      <c r="M360" s="5" t="inlineStr">
        <is>
          <t>https://codeforces.com/problemset/problem/1154/A</t>
        </is>
      </c>
      <c r="N360" s="3" t="n"/>
    </row>
    <row r="361" ht="20.1" customHeight="1">
      <c r="A361" s="6" t="inlineStr">
        <is>
          <t>Unsolved</t>
        </is>
      </c>
      <c r="B361" s="7" t="inlineStr">
        <is>
          <t>Mathematics &amp; Number Theory</t>
        </is>
      </c>
      <c r="C361" s="7" t="inlineStr">
        <is>
          <t>Basic Mathematics</t>
        </is>
      </c>
      <c r="D361" s="6" t="inlineStr">
        <is>
          <t>119A</t>
        </is>
      </c>
      <c r="E361" s="6" t="n">
        <v>119</v>
      </c>
      <c r="F361" s="6" t="inlineStr">
        <is>
          <t>A</t>
        </is>
      </c>
      <c r="G361" s="7" t="inlineStr">
        <is>
          <t>Epic Game</t>
        </is>
      </c>
      <c r="H361" s="6" t="n">
        <v>800</v>
      </c>
      <c r="I361" s="4" t="inlineStr">
        <is>
          <t>Easy</t>
        </is>
      </c>
      <c r="J361" s="7" t="inlineStr">
        <is>
          <t>implementation</t>
        </is>
      </c>
      <c r="K361" s="6" t="n">
        <v>15</v>
      </c>
      <c r="L361" s="6" t="n">
        <v>10</v>
      </c>
      <c r="M361" s="8" t="inlineStr">
        <is>
          <t>https://codeforces.com/problemset/problem/119/A</t>
        </is>
      </c>
      <c r="N361" s="7" t="n"/>
    </row>
    <row r="362" ht="20.1" customHeight="1">
      <c r="A362" s="2" t="inlineStr">
        <is>
          <t>Unsolved</t>
        </is>
      </c>
      <c r="B362" s="3" t="inlineStr">
        <is>
          <t>Mathematics &amp; Number Theory</t>
        </is>
      </c>
      <c r="C362" s="3" t="inlineStr">
        <is>
          <t>Basic Mathematics</t>
        </is>
      </c>
      <c r="D362" s="2" t="inlineStr">
        <is>
          <t>1204A</t>
        </is>
      </c>
      <c r="E362" s="2" t="n">
        <v>1204</v>
      </c>
      <c r="F362" s="2" t="inlineStr">
        <is>
          <t>A</t>
        </is>
      </c>
      <c r="G362" s="3" t="inlineStr">
        <is>
          <t>BowWow and the Timetable</t>
        </is>
      </c>
      <c r="H362" s="2" t="n">
        <v>1000</v>
      </c>
      <c r="I362" s="4" t="inlineStr">
        <is>
          <t>Easy+</t>
        </is>
      </c>
      <c r="J362" s="3" t="inlineStr">
        <is>
          <t>math</t>
        </is>
      </c>
      <c r="K362" s="2" t="n">
        <v>15</v>
      </c>
      <c r="L362" s="2" t="n">
        <v>10</v>
      </c>
      <c r="M362" s="5" t="inlineStr">
        <is>
          <t>https://codeforces.com/problemset/problem/1204/A</t>
        </is>
      </c>
      <c r="N362" s="3" t="n"/>
    </row>
    <row r="363" ht="20.1" customHeight="1">
      <c r="A363" s="6" t="inlineStr">
        <is>
          <t>Unsolved</t>
        </is>
      </c>
      <c r="B363" s="7" t="inlineStr">
        <is>
          <t>Mathematics &amp; Number Theory</t>
        </is>
      </c>
      <c r="C363" s="7" t="inlineStr">
        <is>
          <t>Basic Mathematics</t>
        </is>
      </c>
      <c r="D363" s="6" t="inlineStr">
        <is>
          <t>1220A</t>
        </is>
      </c>
      <c r="E363" s="6" t="n">
        <v>1220</v>
      </c>
      <c r="F363" s="6" t="inlineStr">
        <is>
          <t>A</t>
        </is>
      </c>
      <c r="G363" s="7" t="inlineStr">
        <is>
          <t>Cards</t>
        </is>
      </c>
      <c r="H363" s="6" t="n">
        <v>800</v>
      </c>
      <c r="I363" s="4" t="inlineStr">
        <is>
          <t>Easy</t>
        </is>
      </c>
      <c r="J363" s="7" t="inlineStr">
        <is>
          <t>implementation, sortings, strings</t>
        </is>
      </c>
      <c r="K363" s="6" t="n">
        <v>15</v>
      </c>
      <c r="L363" s="6" t="n">
        <v>10</v>
      </c>
      <c r="M363" s="8" t="inlineStr">
        <is>
          <t>https://codeforces.com/problemset/problem/1220/A</t>
        </is>
      </c>
      <c r="N363" s="7" t="n"/>
    </row>
    <row r="364" ht="20.1" customHeight="1">
      <c r="A364" s="2" t="inlineStr">
        <is>
          <t>Unsolved</t>
        </is>
      </c>
      <c r="B364" s="3" t="inlineStr">
        <is>
          <t>Mathematics &amp; Number Theory</t>
        </is>
      </c>
      <c r="C364" s="3" t="inlineStr">
        <is>
          <t>Basic Mathematics</t>
        </is>
      </c>
      <c r="D364" s="2" t="inlineStr">
        <is>
          <t>1245A</t>
        </is>
      </c>
      <c r="E364" s="2" t="n">
        <v>1245</v>
      </c>
      <c r="F364" s="2" t="inlineStr">
        <is>
          <t>A</t>
        </is>
      </c>
      <c r="G364" s="3" t="inlineStr">
        <is>
          <t>Good ol' Numbers Coloring</t>
        </is>
      </c>
      <c r="H364" s="2" t="n">
        <v>1000</v>
      </c>
      <c r="I364" s="4" t="inlineStr">
        <is>
          <t>Easy+</t>
        </is>
      </c>
      <c r="J364" s="3" t="inlineStr">
        <is>
          <t>math, number theory</t>
        </is>
      </c>
      <c r="K364" s="2" t="n">
        <v>15</v>
      </c>
      <c r="L364" s="2" t="n">
        <v>10</v>
      </c>
      <c r="M364" s="5" t="inlineStr">
        <is>
          <t>https://codeforces.com/problemset/problem/1245/A</t>
        </is>
      </c>
      <c r="N364" s="3" t="n"/>
    </row>
    <row r="365" ht="20.1" customHeight="1">
      <c r="A365" s="6" t="inlineStr">
        <is>
          <t>Unsolved</t>
        </is>
      </c>
      <c r="B365" s="7" t="inlineStr">
        <is>
          <t>Mathematics &amp; Number Theory</t>
        </is>
      </c>
      <c r="C365" s="7" t="inlineStr">
        <is>
          <t>Basic Mathematics</t>
        </is>
      </c>
      <c r="D365" s="6" t="inlineStr">
        <is>
          <t>1285A</t>
        </is>
      </c>
      <c r="E365" s="6" t="n">
        <v>1285</v>
      </c>
      <c r="F365" s="6" t="inlineStr">
        <is>
          <t>A</t>
        </is>
      </c>
      <c r="G365" s="7" t="inlineStr">
        <is>
          <t>Mezo Playing Zoma</t>
        </is>
      </c>
      <c r="H365" s="6" t="n">
        <v>800</v>
      </c>
      <c r="I365" s="4" t="inlineStr">
        <is>
          <t>Easy</t>
        </is>
      </c>
      <c r="J365" s="7" t="inlineStr">
        <is>
          <t>math</t>
        </is>
      </c>
      <c r="K365" s="6" t="n">
        <v>15</v>
      </c>
      <c r="L365" s="6" t="n">
        <v>10</v>
      </c>
      <c r="M365" s="8" t="inlineStr">
        <is>
          <t>https://codeforces.com/problemset/problem/1285/A</t>
        </is>
      </c>
      <c r="N365" s="7" t="n"/>
    </row>
    <row r="366" ht="20.1" customHeight="1">
      <c r="A366" s="2" t="inlineStr">
        <is>
          <t>Unsolved</t>
        </is>
      </c>
      <c r="B366" s="3" t="inlineStr">
        <is>
          <t>Mathematics &amp; Number Theory</t>
        </is>
      </c>
      <c r="C366" s="3" t="inlineStr">
        <is>
          <t>Basic Mathematics</t>
        </is>
      </c>
      <c r="D366" s="2" t="inlineStr">
        <is>
          <t>1328A</t>
        </is>
      </c>
      <c r="E366" s="2" t="n">
        <v>1328</v>
      </c>
      <c r="F366" s="2" t="inlineStr">
        <is>
          <t>A</t>
        </is>
      </c>
      <c r="G366" s="3" t="inlineStr">
        <is>
          <t>Divisibility Problem</t>
        </is>
      </c>
      <c r="H366" s="2" t="n">
        <v>800</v>
      </c>
      <c r="I366" s="4" t="inlineStr">
        <is>
          <t>Easy</t>
        </is>
      </c>
      <c r="J366" s="3" t="inlineStr">
        <is>
          <t>math</t>
        </is>
      </c>
      <c r="K366" s="2" t="n">
        <v>15</v>
      </c>
      <c r="L366" s="2" t="n">
        <v>10</v>
      </c>
      <c r="M366" s="5" t="inlineStr">
        <is>
          <t>https://codeforces.com/problemset/problem/1328/A</t>
        </is>
      </c>
      <c r="N366" s="3" t="n"/>
    </row>
    <row r="367" ht="20.1" customHeight="1">
      <c r="A367" s="6" t="inlineStr">
        <is>
          <t>Unsolved</t>
        </is>
      </c>
      <c r="B367" s="7" t="inlineStr">
        <is>
          <t>Mathematics &amp; Number Theory</t>
        </is>
      </c>
      <c r="C367" s="7" t="inlineStr">
        <is>
          <t>Basic Mathematics</t>
        </is>
      </c>
      <c r="D367" s="6" t="inlineStr">
        <is>
          <t>1352C</t>
        </is>
      </c>
      <c r="E367" s="6" t="n">
        <v>1352</v>
      </c>
      <c r="F367" s="6" t="inlineStr">
        <is>
          <t>C</t>
        </is>
      </c>
      <c r="G367" s="7" t="inlineStr">
        <is>
          <t>K-th Not Divisible by n</t>
        </is>
      </c>
      <c r="H367" s="6" t="n">
        <v>1200</v>
      </c>
      <c r="I367" s="4" t="inlineStr">
        <is>
          <t>Easy+</t>
        </is>
      </c>
      <c r="J367" s="7" t="inlineStr">
        <is>
          <t>binary search, math</t>
        </is>
      </c>
      <c r="K367" s="6" t="n">
        <v>25</v>
      </c>
      <c r="L367" s="6" t="n">
        <v>20</v>
      </c>
      <c r="M367" s="8" t="inlineStr">
        <is>
          <t>https://codeforces.com/problemset/problem/1352/C</t>
        </is>
      </c>
      <c r="N367" s="7" t="n"/>
    </row>
    <row r="368" ht="20.1" customHeight="1">
      <c r="A368" s="2" t="inlineStr">
        <is>
          <t>Unsolved</t>
        </is>
      </c>
      <c r="B368" s="3" t="inlineStr">
        <is>
          <t>Mathematics &amp; Number Theory</t>
        </is>
      </c>
      <c r="C368" s="3" t="inlineStr">
        <is>
          <t>Basic Mathematics</t>
        </is>
      </c>
      <c r="D368" s="2" t="inlineStr">
        <is>
          <t>1353A</t>
        </is>
      </c>
      <c r="E368" s="2" t="n">
        <v>1353</v>
      </c>
      <c r="F368" s="2" t="inlineStr">
        <is>
          <t>A</t>
        </is>
      </c>
      <c r="G368" s="3" t="inlineStr">
        <is>
          <t>Most Unstable Array</t>
        </is>
      </c>
      <c r="H368" s="2" t="n">
        <v>800</v>
      </c>
      <c r="I368" s="4" t="inlineStr">
        <is>
          <t>Easy</t>
        </is>
      </c>
      <c r="J368" s="3" t="inlineStr">
        <is>
          <t>constructive algorithms, greedy, math</t>
        </is>
      </c>
      <c r="K368" s="2" t="n">
        <v>15</v>
      </c>
      <c r="L368" s="2" t="n">
        <v>10</v>
      </c>
      <c r="M368" s="5" t="inlineStr">
        <is>
          <t>https://codeforces.com/problemset/problem/1353/A</t>
        </is>
      </c>
      <c r="N368" s="3" t="n"/>
    </row>
    <row r="369" ht="20.1" customHeight="1">
      <c r="A369" s="6" t="inlineStr">
        <is>
          <t>Unsolved</t>
        </is>
      </c>
      <c r="B369" s="7" t="inlineStr">
        <is>
          <t>Mathematics &amp; Number Theory</t>
        </is>
      </c>
      <c r="C369" s="7" t="inlineStr">
        <is>
          <t>Basic Mathematics</t>
        </is>
      </c>
      <c r="D369" s="6" t="inlineStr">
        <is>
          <t>1370A</t>
        </is>
      </c>
      <c r="E369" s="6" t="n">
        <v>1370</v>
      </c>
      <c r="F369" s="6" t="inlineStr">
        <is>
          <t>A</t>
        </is>
      </c>
      <c r="G369" s="7" t="inlineStr">
        <is>
          <t>Maximum GCD</t>
        </is>
      </c>
      <c r="H369" s="6" t="n">
        <v>800</v>
      </c>
      <c r="I369" s="4" t="inlineStr">
        <is>
          <t>Easy</t>
        </is>
      </c>
      <c r="J369" s="7" t="inlineStr">
        <is>
          <t>greedy, implementation, math, number theory</t>
        </is>
      </c>
      <c r="K369" s="6" t="n">
        <v>15</v>
      </c>
      <c r="L369" s="6" t="n">
        <v>10</v>
      </c>
      <c r="M369" s="8" t="inlineStr">
        <is>
          <t>https://codeforces.com/problemset/problem/1370/A</t>
        </is>
      </c>
      <c r="N369" s="7" t="n"/>
    </row>
    <row r="370" ht="20.1" customHeight="1">
      <c r="A370" s="2" t="inlineStr">
        <is>
          <t>Unsolved</t>
        </is>
      </c>
      <c r="B370" s="3" t="inlineStr">
        <is>
          <t>Mathematics &amp; Number Theory</t>
        </is>
      </c>
      <c r="C370" s="3" t="inlineStr">
        <is>
          <t>Basic Mathematics</t>
        </is>
      </c>
      <c r="D370" s="2" t="inlineStr">
        <is>
          <t>1374B</t>
        </is>
      </c>
      <c r="E370" s="2" t="n">
        <v>1374</v>
      </c>
      <c r="F370" s="2" t="inlineStr">
        <is>
          <t>B</t>
        </is>
      </c>
      <c r="G370" s="3" t="inlineStr">
        <is>
          <t>Multiply by 2, divide by 6</t>
        </is>
      </c>
      <c r="H370" s="2" t="n">
        <v>900</v>
      </c>
      <c r="I370" s="4" t="inlineStr">
        <is>
          <t>Easy</t>
        </is>
      </c>
      <c r="J370" s="3" t="inlineStr">
        <is>
          <t>math</t>
        </is>
      </c>
      <c r="K370" s="2" t="n">
        <v>15</v>
      </c>
      <c r="L370" s="2" t="n">
        <v>10</v>
      </c>
      <c r="M370" s="5" t="inlineStr">
        <is>
          <t>https://codeforces.com/problemset/problem/1374/B</t>
        </is>
      </c>
      <c r="N370" s="3" t="n"/>
    </row>
    <row r="371" ht="20.1" customHeight="1">
      <c r="A371" s="6" t="inlineStr">
        <is>
          <t>Unsolved</t>
        </is>
      </c>
      <c r="B371" s="7" t="inlineStr">
        <is>
          <t>Mathematics &amp; Number Theory</t>
        </is>
      </c>
      <c r="C371" s="7" t="inlineStr">
        <is>
          <t>Basic Mathematics</t>
        </is>
      </c>
      <c r="D371" s="6" t="inlineStr">
        <is>
          <t>1422A</t>
        </is>
      </c>
      <c r="E371" s="6" t="n">
        <v>1422</v>
      </c>
      <c r="F371" s="6" t="inlineStr">
        <is>
          <t>A</t>
        </is>
      </c>
      <c r="G371" s="7" t="inlineStr">
        <is>
          <t>Fence</t>
        </is>
      </c>
      <c r="H371" s="6" t="n">
        <v>800</v>
      </c>
      <c r="I371" s="4" t="inlineStr">
        <is>
          <t>Easy</t>
        </is>
      </c>
      <c r="J371" s="7" t="inlineStr">
        <is>
          <t>geometry, math</t>
        </is>
      </c>
      <c r="K371" s="6" t="n">
        <v>15</v>
      </c>
      <c r="L371" s="6" t="n">
        <v>10</v>
      </c>
      <c r="M371" s="8" t="inlineStr">
        <is>
          <t>https://codeforces.com/problemset/problem/1422/A</t>
        </is>
      </c>
      <c r="N371" s="7" t="n"/>
    </row>
    <row r="372" ht="20.1" customHeight="1">
      <c r="A372" s="2" t="inlineStr">
        <is>
          <t>Unsolved</t>
        </is>
      </c>
      <c r="B372" s="3" t="inlineStr">
        <is>
          <t>Mathematics &amp; Number Theory</t>
        </is>
      </c>
      <c r="C372" s="3" t="inlineStr">
        <is>
          <t>Basic Mathematics</t>
        </is>
      </c>
      <c r="D372" s="2" t="inlineStr">
        <is>
          <t>1472A</t>
        </is>
      </c>
      <c r="E372" s="2" t="n">
        <v>1472</v>
      </c>
      <c r="F372" s="2" t="inlineStr">
        <is>
          <t>A</t>
        </is>
      </c>
      <c r="G372" s="3" t="inlineStr">
        <is>
          <t>Cards for Friends</t>
        </is>
      </c>
      <c r="H372" s="2" t="n">
        <v>800</v>
      </c>
      <c r="I372" s="4" t="inlineStr">
        <is>
          <t>Easy</t>
        </is>
      </c>
      <c r="J372" s="3" t="inlineStr">
        <is>
          <t>greedy, math</t>
        </is>
      </c>
      <c r="K372" s="2" t="n">
        <v>15</v>
      </c>
      <c r="L372" s="2" t="n">
        <v>10</v>
      </c>
      <c r="M372" s="5" t="inlineStr">
        <is>
          <t>https://codeforces.com/problemset/problem/1472/A</t>
        </is>
      </c>
      <c r="N372" s="3" t="n"/>
    </row>
    <row r="373" ht="20.1" customHeight="1">
      <c r="A373" s="6" t="inlineStr">
        <is>
          <t>Unsolved</t>
        </is>
      </c>
      <c r="B373" s="7" t="inlineStr">
        <is>
          <t>Mathematics &amp; Number Theory</t>
        </is>
      </c>
      <c r="C373" s="7" t="inlineStr">
        <is>
          <t>Basic Mathematics</t>
        </is>
      </c>
      <c r="D373" s="6" t="inlineStr">
        <is>
          <t>1487A</t>
        </is>
      </c>
      <c r="E373" s="6" t="n">
        <v>1487</v>
      </c>
      <c r="F373" s="6" t="inlineStr">
        <is>
          <t>A</t>
        </is>
      </c>
      <c r="G373" s="7" t="inlineStr">
        <is>
          <t>Arena</t>
        </is>
      </c>
      <c r="H373" s="6" t="n">
        <v>800</v>
      </c>
      <c r="I373" s="4" t="inlineStr">
        <is>
          <t>Easy</t>
        </is>
      </c>
      <c r="J373" s="7" t="inlineStr">
        <is>
          <t>implementation, sortings</t>
        </is>
      </c>
      <c r="K373" s="6" t="n">
        <v>15</v>
      </c>
      <c r="L373" s="6" t="n">
        <v>10</v>
      </c>
      <c r="M373" s="8" t="inlineStr">
        <is>
          <t>https://codeforces.com/problemset/problem/1487/A</t>
        </is>
      </c>
      <c r="N373" s="7" t="n"/>
    </row>
    <row r="374" ht="20.1" customHeight="1">
      <c r="A374" s="2" t="inlineStr">
        <is>
          <t>Unsolved</t>
        </is>
      </c>
      <c r="B374" s="3" t="inlineStr">
        <is>
          <t>Mathematics &amp; Number Theory</t>
        </is>
      </c>
      <c r="C374" s="3" t="inlineStr">
        <is>
          <t>Basic Mathematics</t>
        </is>
      </c>
      <c r="D374" s="2" t="inlineStr">
        <is>
          <t>1498A</t>
        </is>
      </c>
      <c r="E374" s="2" t="n">
        <v>1498</v>
      </c>
      <c r="F374" s="2" t="inlineStr">
        <is>
          <t>A</t>
        </is>
      </c>
      <c r="G374" s="3" t="inlineStr">
        <is>
          <t>GCD Sum</t>
        </is>
      </c>
      <c r="H374" s="2" t="n">
        <v>800</v>
      </c>
      <c r="I374" s="4" t="inlineStr">
        <is>
          <t>Easy</t>
        </is>
      </c>
      <c r="J374" s="3" t="inlineStr">
        <is>
          <t>brute force, math</t>
        </is>
      </c>
      <c r="K374" s="2" t="n">
        <v>15</v>
      </c>
      <c r="L374" s="2" t="n">
        <v>10</v>
      </c>
      <c r="M374" s="5" t="inlineStr">
        <is>
          <t>https://codeforces.com/problemset/problem/1498/A</t>
        </is>
      </c>
      <c r="N374" s="3" t="n"/>
    </row>
    <row r="375" ht="20.1" customHeight="1">
      <c r="A375" s="6" t="inlineStr">
        <is>
          <t>Unsolved</t>
        </is>
      </c>
      <c r="B375" s="7" t="inlineStr">
        <is>
          <t>Mathematics &amp; Number Theory</t>
        </is>
      </c>
      <c r="C375" s="7" t="inlineStr">
        <is>
          <t>GCD &amp; LCM</t>
        </is>
      </c>
      <c r="D375" s="6" t="inlineStr">
        <is>
          <t>7C</t>
        </is>
      </c>
      <c r="E375" s="6" t="n">
        <v>7</v>
      </c>
      <c r="F375" s="6" t="inlineStr">
        <is>
          <t>C</t>
        </is>
      </c>
      <c r="G375" s="7" t="inlineStr">
        <is>
          <t>Line</t>
        </is>
      </c>
      <c r="H375" s="6" t="n">
        <v>1800</v>
      </c>
      <c r="I375" s="10" t="inlineStr">
        <is>
          <t>Hard</t>
        </is>
      </c>
      <c r="J375" s="7" t="inlineStr">
        <is>
          <t>math, number theory</t>
        </is>
      </c>
      <c r="K375" s="6" t="n">
        <v>60</v>
      </c>
      <c r="L375" s="6" t="n">
        <v>55</v>
      </c>
      <c r="M375" s="8" t="inlineStr">
        <is>
          <t>https://codeforces.com/problemset/problem/7/C</t>
        </is>
      </c>
      <c r="N375" s="7" t="n"/>
    </row>
    <row r="376" ht="20.1" customHeight="1">
      <c r="A376" s="2" t="inlineStr">
        <is>
          <t>Unsolved</t>
        </is>
      </c>
      <c r="B376" s="3" t="inlineStr">
        <is>
          <t>Mathematics &amp; Number Theory</t>
        </is>
      </c>
      <c r="C376" s="3" t="inlineStr">
        <is>
          <t>GCD &amp; LCM</t>
        </is>
      </c>
      <c r="D376" s="2" t="inlineStr">
        <is>
          <t>16C</t>
        </is>
      </c>
      <c r="E376" s="2" t="n">
        <v>16</v>
      </c>
      <c r="F376" s="2" t="inlineStr">
        <is>
          <t>C</t>
        </is>
      </c>
      <c r="G376" s="3" t="inlineStr">
        <is>
          <t>Monitor</t>
        </is>
      </c>
      <c r="H376" s="2" t="n">
        <v>1800</v>
      </c>
      <c r="I376" s="10" t="inlineStr">
        <is>
          <t>Hard</t>
        </is>
      </c>
      <c r="J376" s="3" t="inlineStr">
        <is>
          <t>binary search, number theory</t>
        </is>
      </c>
      <c r="K376" s="2" t="n">
        <v>60</v>
      </c>
      <c r="L376" s="2" t="n">
        <v>55</v>
      </c>
      <c r="M376" s="5" t="inlineStr">
        <is>
          <t>https://codeforces.com/problemset/problem/16/C</t>
        </is>
      </c>
      <c r="N376" s="3" t="n"/>
    </row>
    <row r="377" ht="20.1" customHeight="1">
      <c r="A377" s="6" t="inlineStr">
        <is>
          <t>Unsolved</t>
        </is>
      </c>
      <c r="B377" s="7" t="inlineStr">
        <is>
          <t>Mathematics &amp; Number Theory</t>
        </is>
      </c>
      <c r="C377" s="7" t="inlineStr">
        <is>
          <t>GCD &amp; LCM</t>
        </is>
      </c>
      <c r="D377" s="6" t="inlineStr">
        <is>
          <t>340A</t>
        </is>
      </c>
      <c r="E377" s="6" t="n">
        <v>340</v>
      </c>
      <c r="F377" s="6" t="inlineStr">
        <is>
          <t>A</t>
        </is>
      </c>
      <c r="G377" s="7" t="inlineStr">
        <is>
          <t>The Wall</t>
        </is>
      </c>
      <c r="H377" s="6" t="n">
        <v>1200</v>
      </c>
      <c r="I377" s="4" t="inlineStr">
        <is>
          <t>Easy+</t>
        </is>
      </c>
      <c r="J377" s="7" t="inlineStr">
        <is>
          <t>math</t>
        </is>
      </c>
      <c r="K377" s="6" t="n">
        <v>25</v>
      </c>
      <c r="L377" s="6" t="n">
        <v>20</v>
      </c>
      <c r="M377" s="8" t="inlineStr">
        <is>
          <t>https://codeforces.com/problemset/problem/340/A</t>
        </is>
      </c>
      <c r="N377" s="7" t="n"/>
    </row>
    <row r="378" ht="20.1" customHeight="1">
      <c r="A378" s="2" t="inlineStr">
        <is>
          <t>Unsolved</t>
        </is>
      </c>
      <c r="B378" s="3" t="inlineStr">
        <is>
          <t>Mathematics &amp; Number Theory</t>
        </is>
      </c>
      <c r="C378" s="3" t="inlineStr">
        <is>
          <t>GCD &amp; LCM</t>
        </is>
      </c>
      <c r="D378" s="2" t="inlineStr">
        <is>
          <t>475D</t>
        </is>
      </c>
      <c r="E378" s="2" t="n">
        <v>475</v>
      </c>
      <c r="F378" s="2" t="inlineStr">
        <is>
          <t>D</t>
        </is>
      </c>
      <c r="G378" s="3" t="inlineStr">
        <is>
          <t>CGCDSSQ</t>
        </is>
      </c>
      <c r="H378" s="2" t="n">
        <v>2000</v>
      </c>
      <c r="I378" s="10" t="inlineStr">
        <is>
          <t>Hard+</t>
        </is>
      </c>
      <c r="J378" s="3" t="inlineStr">
        <is>
          <t>brute force, data structures, math</t>
        </is>
      </c>
      <c r="K378" s="2" t="n">
        <v>90</v>
      </c>
      <c r="L378" s="2" t="n">
        <v>80</v>
      </c>
      <c r="M378" s="5" t="inlineStr">
        <is>
          <t>https://codeforces.com/problemset/problem/475/D</t>
        </is>
      </c>
      <c r="N378" s="3" t="n"/>
    </row>
    <row r="379" ht="20.1" customHeight="1">
      <c r="A379" s="6" t="inlineStr">
        <is>
          <t>Unsolved</t>
        </is>
      </c>
      <c r="B379" s="7" t="inlineStr">
        <is>
          <t>Mathematics &amp; Number Theory</t>
        </is>
      </c>
      <c r="C379" s="7" t="inlineStr">
        <is>
          <t>GCD &amp; LCM</t>
        </is>
      </c>
      <c r="D379" s="6" t="inlineStr">
        <is>
          <t>510D</t>
        </is>
      </c>
      <c r="E379" s="6" t="n">
        <v>510</v>
      </c>
      <c r="F379" s="6" t="inlineStr">
        <is>
          <t>D</t>
        </is>
      </c>
      <c r="G379" s="7" t="inlineStr">
        <is>
          <t>Fox And Jumping</t>
        </is>
      </c>
      <c r="H379" s="6" t="n">
        <v>1900</v>
      </c>
      <c r="I379" s="10" t="inlineStr">
        <is>
          <t>Hard+</t>
        </is>
      </c>
      <c r="J379" s="7" t="inlineStr">
        <is>
          <t>bitmasks, brute force, dp, math</t>
        </is>
      </c>
      <c r="K379" s="6" t="n">
        <v>60</v>
      </c>
      <c r="L379" s="6" t="n">
        <v>55</v>
      </c>
      <c r="M379" s="8" t="inlineStr">
        <is>
          <t>https://codeforces.com/problemset/problem/510/D</t>
        </is>
      </c>
      <c r="N379" s="7" t="n"/>
    </row>
    <row r="380" ht="20.1" customHeight="1">
      <c r="A380" s="2" t="inlineStr">
        <is>
          <t>Unsolved</t>
        </is>
      </c>
      <c r="B380" s="3" t="inlineStr">
        <is>
          <t>Mathematics &amp; Number Theory</t>
        </is>
      </c>
      <c r="C380" s="3" t="inlineStr">
        <is>
          <t>GCD &amp; LCM</t>
        </is>
      </c>
      <c r="D380" s="2" t="inlineStr">
        <is>
          <t>803C</t>
        </is>
      </c>
      <c r="E380" s="2" t="n">
        <v>803</v>
      </c>
      <c r="F380" s="2" t="inlineStr">
        <is>
          <t>C</t>
        </is>
      </c>
      <c r="G380" s="3" t="inlineStr">
        <is>
          <t>Maximal GCD</t>
        </is>
      </c>
      <c r="H380" s="2" t="n">
        <v>1900</v>
      </c>
      <c r="I380" s="10" t="inlineStr">
        <is>
          <t>Hard+</t>
        </is>
      </c>
      <c r="J380" s="3" t="inlineStr">
        <is>
          <t>constructive algorithms, greedy, math</t>
        </is>
      </c>
      <c r="K380" s="2" t="n">
        <v>60</v>
      </c>
      <c r="L380" s="2" t="n">
        <v>55</v>
      </c>
      <c r="M380" s="5" t="inlineStr">
        <is>
          <t>https://codeforces.com/problemset/problem/803/C</t>
        </is>
      </c>
      <c r="N380" s="3" t="n"/>
    </row>
    <row r="381" ht="20.1" customHeight="1">
      <c r="A381" s="6" t="inlineStr">
        <is>
          <t>Unsolved</t>
        </is>
      </c>
      <c r="B381" s="7" t="inlineStr">
        <is>
          <t>Mathematics &amp; Number Theory</t>
        </is>
      </c>
      <c r="C381" s="7" t="inlineStr">
        <is>
          <t>GCD &amp; LCM</t>
        </is>
      </c>
      <c r="D381" s="6" t="inlineStr">
        <is>
          <t>891A</t>
        </is>
      </c>
      <c r="E381" s="6" t="n">
        <v>891</v>
      </c>
      <c r="F381" s="6" t="inlineStr">
        <is>
          <t>A</t>
        </is>
      </c>
      <c r="G381" s="7" t="inlineStr">
        <is>
          <t>Pride</t>
        </is>
      </c>
      <c r="H381" s="6" t="n">
        <v>1500</v>
      </c>
      <c r="I381" s="9" t="inlineStr">
        <is>
          <t>Medium+</t>
        </is>
      </c>
      <c r="J381" s="7" t="inlineStr">
        <is>
          <t>brute force, dp, greedy, math, number theory</t>
        </is>
      </c>
      <c r="K381" s="6" t="n">
        <v>40</v>
      </c>
      <c r="L381" s="6" t="n">
        <v>35</v>
      </c>
      <c r="M381" s="8" t="inlineStr">
        <is>
          <t>https://codeforces.com/problemset/problem/891/A</t>
        </is>
      </c>
      <c r="N381" s="7" t="n"/>
    </row>
    <row r="382" ht="20.1" customHeight="1">
      <c r="A382" s="2" t="inlineStr">
        <is>
          <t>Unsolved</t>
        </is>
      </c>
      <c r="B382" s="3" t="inlineStr">
        <is>
          <t>Mathematics &amp; Number Theory</t>
        </is>
      </c>
      <c r="C382" s="3" t="inlineStr">
        <is>
          <t>GCD &amp; LCM</t>
        </is>
      </c>
      <c r="D382" s="2" t="inlineStr">
        <is>
          <t>1025B</t>
        </is>
      </c>
      <c r="E382" s="2" t="n">
        <v>1025</v>
      </c>
      <c r="F382" s="2" t="inlineStr">
        <is>
          <t>B</t>
        </is>
      </c>
      <c r="G382" s="3" t="inlineStr">
        <is>
          <t>Weakened Common Divisor</t>
        </is>
      </c>
      <c r="H382" s="2" t="n">
        <v>1600</v>
      </c>
      <c r="I382" s="9" t="inlineStr">
        <is>
          <t>Medium+</t>
        </is>
      </c>
      <c r="J382" s="3" t="inlineStr">
        <is>
          <t>brute force, greedy, number theory</t>
        </is>
      </c>
      <c r="K382" s="2" t="n">
        <v>40</v>
      </c>
      <c r="L382" s="2" t="n">
        <v>35</v>
      </c>
      <c r="M382" s="5" t="inlineStr">
        <is>
          <t>https://codeforces.com/problemset/problem/1025/B</t>
        </is>
      </c>
      <c r="N382" s="3" t="n"/>
    </row>
    <row r="383" ht="20.1" customHeight="1">
      <c r="A383" s="6" t="inlineStr">
        <is>
          <t>Unsolved</t>
        </is>
      </c>
      <c r="B383" s="7" t="inlineStr">
        <is>
          <t>Mathematics &amp; Number Theory</t>
        </is>
      </c>
      <c r="C383" s="7" t="inlineStr">
        <is>
          <t>GCD &amp; LCM</t>
        </is>
      </c>
      <c r="D383" s="6" t="inlineStr">
        <is>
          <t>1244C</t>
        </is>
      </c>
      <c r="E383" s="6" t="n">
        <v>1244</v>
      </c>
      <c r="F383" s="6" t="inlineStr">
        <is>
          <t>C</t>
        </is>
      </c>
      <c r="G383" s="7" t="inlineStr">
        <is>
          <t>The Football Season</t>
        </is>
      </c>
      <c r="H383" s="6" t="n">
        <v>2000</v>
      </c>
      <c r="I383" s="10" t="inlineStr">
        <is>
          <t>Hard+</t>
        </is>
      </c>
      <c r="J383" s="7" t="inlineStr">
        <is>
          <t>brute force, math, number theory</t>
        </is>
      </c>
      <c r="K383" s="6" t="n">
        <v>90</v>
      </c>
      <c r="L383" s="6" t="n">
        <v>80</v>
      </c>
      <c r="M383" s="8" t="inlineStr">
        <is>
          <t>https://codeforces.com/problemset/problem/1244/C</t>
        </is>
      </c>
      <c r="N383" s="7" t="n"/>
    </row>
    <row r="384" ht="20.1" customHeight="1">
      <c r="A384" s="2" t="inlineStr">
        <is>
          <t>Unsolved</t>
        </is>
      </c>
      <c r="B384" s="3" t="inlineStr">
        <is>
          <t>Mathematics &amp; Number Theory</t>
        </is>
      </c>
      <c r="C384" s="3" t="inlineStr">
        <is>
          <t>GCD &amp; LCM</t>
        </is>
      </c>
      <c r="D384" s="2" t="inlineStr">
        <is>
          <t>1285C</t>
        </is>
      </c>
      <c r="E384" s="2" t="n">
        <v>1285</v>
      </c>
      <c r="F384" s="2" t="inlineStr">
        <is>
          <t>C</t>
        </is>
      </c>
      <c r="G384" s="3" t="inlineStr">
        <is>
          <t>Fadi and LCM</t>
        </is>
      </c>
      <c r="H384" s="2" t="n">
        <v>1400</v>
      </c>
      <c r="I384" s="9" t="inlineStr">
        <is>
          <t>Medium</t>
        </is>
      </c>
      <c r="J384" s="3" t="inlineStr">
        <is>
          <t>brute force, math, number theory</t>
        </is>
      </c>
      <c r="K384" s="2" t="n">
        <v>40</v>
      </c>
      <c r="L384" s="2" t="n">
        <v>35</v>
      </c>
      <c r="M384" s="5" t="inlineStr">
        <is>
          <t>https://codeforces.com/problemset/problem/1285/C</t>
        </is>
      </c>
      <c r="N384" s="3" t="n"/>
    </row>
    <row r="385" ht="20.1" customHeight="1">
      <c r="A385" s="6" t="inlineStr">
        <is>
          <t>Unsolved</t>
        </is>
      </c>
      <c r="B385" s="7" t="inlineStr">
        <is>
          <t>Mathematics &amp; Number Theory</t>
        </is>
      </c>
      <c r="C385" s="7" t="inlineStr">
        <is>
          <t>GCD &amp; LCM</t>
        </is>
      </c>
      <c r="D385" s="6" t="inlineStr">
        <is>
          <t>1458A</t>
        </is>
      </c>
      <c r="E385" s="6" t="n">
        <v>1458</v>
      </c>
      <c r="F385" s="6" t="inlineStr">
        <is>
          <t>A</t>
        </is>
      </c>
      <c r="G385" s="7" t="inlineStr">
        <is>
          <t>Row GCD</t>
        </is>
      </c>
      <c r="H385" s="6" t="n">
        <v>1600</v>
      </c>
      <c r="I385" s="9" t="inlineStr">
        <is>
          <t>Medium+</t>
        </is>
      </c>
      <c r="J385" s="7" t="inlineStr">
        <is>
          <t>math, number theory</t>
        </is>
      </c>
      <c r="K385" s="6" t="n">
        <v>40</v>
      </c>
      <c r="L385" s="6" t="n">
        <v>35</v>
      </c>
      <c r="M385" s="8" t="inlineStr">
        <is>
          <t>https://codeforces.com/problemset/problem/1458/A</t>
        </is>
      </c>
      <c r="N385" s="7" t="n"/>
    </row>
    <row r="386" ht="20.1" customHeight="1">
      <c r="A386" s="2" t="inlineStr">
        <is>
          <t>Unsolved</t>
        </is>
      </c>
      <c r="B386" s="3" t="inlineStr">
        <is>
          <t>Mathematics &amp; Number Theory</t>
        </is>
      </c>
      <c r="C386" s="3" t="inlineStr">
        <is>
          <t>GCD &amp; LCM</t>
        </is>
      </c>
      <c r="D386" s="2" t="inlineStr">
        <is>
          <t>1548B</t>
        </is>
      </c>
      <c r="E386" s="2" t="n">
        <v>1548</v>
      </c>
      <c r="F386" s="2" t="inlineStr">
        <is>
          <t>B</t>
        </is>
      </c>
      <c r="G386" s="3" t="inlineStr">
        <is>
          <t>Integers Have Friends</t>
        </is>
      </c>
      <c r="H386" s="2" t="n">
        <v>1800</v>
      </c>
      <c r="I386" s="10" t="inlineStr">
        <is>
          <t>Hard</t>
        </is>
      </c>
      <c r="J386" s="3" t="inlineStr">
        <is>
          <t>binary search, data structures, divide and conquer, math, number theory, two pointers</t>
        </is>
      </c>
      <c r="K386" s="2" t="n">
        <v>60</v>
      </c>
      <c r="L386" s="2" t="n">
        <v>55</v>
      </c>
      <c r="M386" s="5" t="inlineStr">
        <is>
          <t>https://codeforces.com/problemset/problem/1548/B</t>
        </is>
      </c>
      <c r="N386" s="3" t="n"/>
    </row>
    <row r="387" ht="20.1" customHeight="1">
      <c r="A387" s="6" t="inlineStr">
        <is>
          <t>Unsolved</t>
        </is>
      </c>
      <c r="B387" s="7" t="inlineStr">
        <is>
          <t>Mathematics &amp; Number Theory</t>
        </is>
      </c>
      <c r="C387" s="7" t="inlineStr">
        <is>
          <t>Prime Numbers &amp; Sieve</t>
        </is>
      </c>
      <c r="D387" s="6" t="inlineStr">
        <is>
          <t>17A</t>
        </is>
      </c>
      <c r="E387" s="6" t="n">
        <v>17</v>
      </c>
      <c r="F387" s="6" t="inlineStr">
        <is>
          <t>A</t>
        </is>
      </c>
      <c r="G387" s="7" t="inlineStr">
        <is>
          <t>Noldbach problem</t>
        </is>
      </c>
      <c r="H387" s="6" t="n">
        <v>1000</v>
      </c>
      <c r="I387" s="4" t="inlineStr">
        <is>
          <t>Easy+</t>
        </is>
      </c>
      <c r="J387" s="7" t="inlineStr">
        <is>
          <t>brute force, math, number theory</t>
        </is>
      </c>
      <c r="K387" s="6" t="n">
        <v>15</v>
      </c>
      <c r="L387" s="6" t="n">
        <v>10</v>
      </c>
      <c r="M387" s="8" t="inlineStr">
        <is>
          <t>https://codeforces.com/problemset/problem/17/A</t>
        </is>
      </c>
      <c r="N387" s="7" t="n"/>
    </row>
    <row r="388" ht="20.1" customHeight="1">
      <c r="A388" s="2" t="inlineStr">
        <is>
          <t>Unsolved</t>
        </is>
      </c>
      <c r="B388" s="3" t="inlineStr">
        <is>
          <t>Mathematics &amp; Number Theory</t>
        </is>
      </c>
      <c r="C388" s="3" t="inlineStr">
        <is>
          <t>Prime Numbers &amp; Sieve</t>
        </is>
      </c>
      <c r="D388" s="2" t="inlineStr">
        <is>
          <t>230B</t>
        </is>
      </c>
      <c r="E388" s="2" t="n">
        <v>230</v>
      </c>
      <c r="F388" s="2" t="inlineStr">
        <is>
          <t>B</t>
        </is>
      </c>
      <c r="G388" s="3" t="inlineStr">
        <is>
          <t>T-primes</t>
        </is>
      </c>
      <c r="H388" s="2" t="n">
        <v>1300</v>
      </c>
      <c r="I388" s="9" t="inlineStr">
        <is>
          <t>Medium</t>
        </is>
      </c>
      <c r="J388" s="3" t="inlineStr">
        <is>
          <t>binary search, implementation, math, number theory</t>
        </is>
      </c>
      <c r="K388" s="2" t="n">
        <v>25</v>
      </c>
      <c r="L388" s="2" t="n">
        <v>20</v>
      </c>
      <c r="M388" s="5" t="inlineStr">
        <is>
          <t>https://codeforces.com/problemset/problem/230/B</t>
        </is>
      </c>
      <c r="N388" s="3" t="n"/>
    </row>
    <row r="389" ht="20.1" customHeight="1">
      <c r="A389" s="6" t="inlineStr">
        <is>
          <t>Unsolved</t>
        </is>
      </c>
      <c r="B389" s="7" t="inlineStr">
        <is>
          <t>Mathematics &amp; Number Theory</t>
        </is>
      </c>
      <c r="C389" s="7" t="inlineStr">
        <is>
          <t>Prime Numbers &amp; Sieve</t>
        </is>
      </c>
      <c r="D389" s="6" t="inlineStr">
        <is>
          <t>385C</t>
        </is>
      </c>
      <c r="E389" s="6" t="n">
        <v>385</v>
      </c>
      <c r="F389" s="6" t="inlineStr">
        <is>
          <t>C</t>
        </is>
      </c>
      <c r="G389" s="7" t="inlineStr">
        <is>
          <t>Bear and Prime Numbers</t>
        </is>
      </c>
      <c r="H389" s="6" t="n">
        <v>1700</v>
      </c>
      <c r="I389" s="10" t="inlineStr">
        <is>
          <t>Hard</t>
        </is>
      </c>
      <c r="J389" s="7" t="inlineStr">
        <is>
          <t>binary search, brute force, data structures, dp, implementation, math, number theory</t>
        </is>
      </c>
      <c r="K389" s="6" t="n">
        <v>60</v>
      </c>
      <c r="L389" s="6" t="n">
        <v>55</v>
      </c>
      <c r="M389" s="8" t="inlineStr">
        <is>
          <t>https://codeforces.com/problemset/problem/385/C</t>
        </is>
      </c>
      <c r="N389" s="7" t="n"/>
    </row>
    <row r="390" ht="20.1" customHeight="1">
      <c r="A390" s="2" t="inlineStr">
        <is>
          <t>Unsolved</t>
        </is>
      </c>
      <c r="B390" s="3" t="inlineStr">
        <is>
          <t>Mathematics &amp; Number Theory</t>
        </is>
      </c>
      <c r="C390" s="3" t="inlineStr">
        <is>
          <t>Prime Numbers &amp; Sieve</t>
        </is>
      </c>
      <c r="D390" s="2" t="inlineStr">
        <is>
          <t>577B</t>
        </is>
      </c>
      <c r="E390" s="2" t="n">
        <v>577</v>
      </c>
      <c r="F390" s="2" t="inlineStr">
        <is>
          <t>B</t>
        </is>
      </c>
      <c r="G390" s="3" t="inlineStr">
        <is>
          <t>Modulo Sum</t>
        </is>
      </c>
      <c r="H390" s="2" t="n">
        <v>1900</v>
      </c>
      <c r="I390" s="10" t="inlineStr">
        <is>
          <t>Hard+</t>
        </is>
      </c>
      <c r="J390" s="3" t="inlineStr">
        <is>
          <t>combinatorics, data structures, dp, two pointers</t>
        </is>
      </c>
      <c r="K390" s="2" t="n">
        <v>60</v>
      </c>
      <c r="L390" s="2" t="n">
        <v>55</v>
      </c>
      <c r="M390" s="5" t="inlineStr">
        <is>
          <t>https://codeforces.com/problemset/problem/577/B</t>
        </is>
      </c>
      <c r="N390" s="3" t="n"/>
    </row>
    <row r="391" ht="20.1" customHeight="1">
      <c r="A391" s="6" t="inlineStr">
        <is>
          <t>Unsolved</t>
        </is>
      </c>
      <c r="B391" s="7" t="inlineStr">
        <is>
          <t>Mathematics &amp; Number Theory</t>
        </is>
      </c>
      <c r="C391" s="7" t="inlineStr">
        <is>
          <t>Prime Numbers &amp; Sieve</t>
        </is>
      </c>
      <c r="D391" s="6" t="inlineStr">
        <is>
          <t>776B</t>
        </is>
      </c>
      <c r="E391" s="6" t="n">
        <v>776</v>
      </c>
      <c r="F391" s="6" t="inlineStr">
        <is>
          <t>B</t>
        </is>
      </c>
      <c r="G391" s="7" t="inlineStr">
        <is>
          <t>Sherlock and his girlfriend</t>
        </is>
      </c>
      <c r="H391" s="6" t="n">
        <v>1200</v>
      </c>
      <c r="I391" s="4" t="inlineStr">
        <is>
          <t>Easy+</t>
        </is>
      </c>
      <c r="J391" s="7" t="inlineStr">
        <is>
          <t>constructive algorithms, number theory</t>
        </is>
      </c>
      <c r="K391" s="6" t="n">
        <v>25</v>
      </c>
      <c r="L391" s="6" t="n">
        <v>20</v>
      </c>
      <c r="M391" s="8" t="inlineStr">
        <is>
          <t>https://codeforces.com/problemset/problem/776/B</t>
        </is>
      </c>
      <c r="N391" s="7" t="n"/>
    </row>
    <row r="392" ht="20.1" customHeight="1">
      <c r="A392" s="2" t="inlineStr">
        <is>
          <t>Unsolved</t>
        </is>
      </c>
      <c r="B392" s="3" t="inlineStr">
        <is>
          <t>Mathematics &amp; Number Theory</t>
        </is>
      </c>
      <c r="C392" s="3" t="inlineStr">
        <is>
          <t>Prime Numbers &amp; Sieve</t>
        </is>
      </c>
      <c r="D392" s="2" t="inlineStr">
        <is>
          <t>959D</t>
        </is>
      </c>
      <c r="E392" s="2" t="n">
        <v>959</v>
      </c>
      <c r="F392" s="2" t="inlineStr">
        <is>
          <t>D</t>
        </is>
      </c>
      <c r="G392" s="3" t="inlineStr">
        <is>
          <t>Mahmoud and Ehab and another array construction task</t>
        </is>
      </c>
      <c r="H392" s="2" t="n">
        <v>1900</v>
      </c>
      <c r="I392" s="10" t="inlineStr">
        <is>
          <t>Hard+</t>
        </is>
      </c>
      <c r="J392" s="3" t="inlineStr">
        <is>
          <t>constructive algorithms, greedy, math, number theory</t>
        </is>
      </c>
      <c r="K392" s="2" t="n">
        <v>60</v>
      </c>
      <c r="L392" s="2" t="n">
        <v>55</v>
      </c>
      <c r="M392" s="5" t="inlineStr">
        <is>
          <t>https://codeforces.com/problemset/problem/959/D</t>
        </is>
      </c>
      <c r="N392" s="3" t="n"/>
    </row>
    <row r="393" ht="20.1" customHeight="1">
      <c r="A393" s="6" t="inlineStr">
        <is>
          <t>Unsolved</t>
        </is>
      </c>
      <c r="B393" s="7" t="inlineStr">
        <is>
          <t>Mathematics &amp; Number Theory</t>
        </is>
      </c>
      <c r="C393" s="7" t="inlineStr">
        <is>
          <t>Prime Numbers &amp; Sieve</t>
        </is>
      </c>
      <c r="D393" s="6" t="inlineStr">
        <is>
          <t>1033D</t>
        </is>
      </c>
      <c r="E393" s="6" t="n">
        <v>1033</v>
      </c>
      <c r="F393" s="6" t="inlineStr">
        <is>
          <t>D</t>
        </is>
      </c>
      <c r="G393" s="7" t="inlineStr">
        <is>
          <t>Divisors</t>
        </is>
      </c>
      <c r="H393" s="6" t="n">
        <v>2000</v>
      </c>
      <c r="I393" s="10" t="inlineStr">
        <is>
          <t>Hard+</t>
        </is>
      </c>
      <c r="J393" s="7" t="inlineStr">
        <is>
          <t>interactive, math, number theory</t>
        </is>
      </c>
      <c r="K393" s="6" t="n">
        <v>90</v>
      </c>
      <c r="L393" s="6" t="n">
        <v>80</v>
      </c>
      <c r="M393" s="8" t="inlineStr">
        <is>
          <t>https://codeforces.com/problemset/problem/1033/D</t>
        </is>
      </c>
      <c r="N393" s="7" t="n"/>
    </row>
    <row r="394" ht="20.1" customHeight="1">
      <c r="A394" s="2" t="inlineStr">
        <is>
          <t>Unsolved</t>
        </is>
      </c>
      <c r="B394" s="3" t="inlineStr">
        <is>
          <t>Mathematics &amp; Number Theory</t>
        </is>
      </c>
      <c r="C394" s="3" t="inlineStr">
        <is>
          <t>Prime Numbers &amp; Sieve</t>
        </is>
      </c>
      <c r="D394" s="2" t="inlineStr">
        <is>
          <t>1174C</t>
        </is>
      </c>
      <c r="E394" s="2" t="n">
        <v>1174</v>
      </c>
      <c r="F394" s="2" t="inlineStr">
        <is>
          <t>C</t>
        </is>
      </c>
      <c r="G394" s="3" t="inlineStr">
        <is>
          <t>Ehab and a Special Coloring Problem</t>
        </is>
      </c>
      <c r="H394" s="2" t="n">
        <v>1300</v>
      </c>
      <c r="I394" s="9" t="inlineStr">
        <is>
          <t>Medium</t>
        </is>
      </c>
      <c r="J394" s="3" t="inlineStr">
        <is>
          <t>constructive algorithms, number theory</t>
        </is>
      </c>
      <c r="K394" s="2" t="n">
        <v>25</v>
      </c>
      <c r="L394" s="2" t="n">
        <v>20</v>
      </c>
      <c r="M394" s="5" t="inlineStr">
        <is>
          <t>https://codeforces.com/problemset/problem/1174/C</t>
        </is>
      </c>
      <c r="N394" s="3" t="n"/>
    </row>
    <row r="395" ht="20.1" customHeight="1">
      <c r="A395" s="6" t="inlineStr">
        <is>
          <t>Unsolved</t>
        </is>
      </c>
      <c r="B395" s="7" t="inlineStr">
        <is>
          <t>Mathematics &amp; Number Theory</t>
        </is>
      </c>
      <c r="C395" s="7" t="inlineStr">
        <is>
          <t>Prime Numbers &amp; Sieve</t>
        </is>
      </c>
      <c r="D395" s="6" t="inlineStr">
        <is>
          <t>1228C</t>
        </is>
      </c>
      <c r="E395" s="6" t="n">
        <v>1228</v>
      </c>
      <c r="F395" s="6" t="inlineStr">
        <is>
          <t>C</t>
        </is>
      </c>
      <c r="G395" s="7" t="inlineStr">
        <is>
          <t>Primes and Multiplication</t>
        </is>
      </c>
      <c r="H395" s="6" t="n">
        <v>1700</v>
      </c>
      <c r="I395" s="10" t="inlineStr">
        <is>
          <t>Hard</t>
        </is>
      </c>
      <c r="J395" s="7" t="inlineStr">
        <is>
          <t>math, number theory</t>
        </is>
      </c>
      <c r="K395" s="6" t="n">
        <v>60</v>
      </c>
      <c r="L395" s="6" t="n">
        <v>55</v>
      </c>
      <c r="M395" s="8" t="inlineStr">
        <is>
          <t>https://codeforces.com/problemset/problem/1228/C</t>
        </is>
      </c>
      <c r="N395" s="7" t="n"/>
    </row>
    <row r="396" ht="20.1" customHeight="1">
      <c r="A396" s="2" t="inlineStr">
        <is>
          <t>Unsolved</t>
        </is>
      </c>
      <c r="B396" s="3" t="inlineStr">
        <is>
          <t>Mathematics &amp; Number Theory</t>
        </is>
      </c>
      <c r="C396" s="3" t="inlineStr">
        <is>
          <t>Prime Numbers &amp; Sieve</t>
        </is>
      </c>
      <c r="D396" s="2" t="inlineStr">
        <is>
          <t>1295D</t>
        </is>
      </c>
      <c r="E396" s="2" t="n">
        <v>1295</v>
      </c>
      <c r="F396" s="2" t="inlineStr">
        <is>
          <t>D</t>
        </is>
      </c>
      <c r="G396" s="3" t="inlineStr">
        <is>
          <t>Same GCDs</t>
        </is>
      </c>
      <c r="H396" s="2" t="n">
        <v>1800</v>
      </c>
      <c r="I396" s="10" t="inlineStr">
        <is>
          <t>Hard</t>
        </is>
      </c>
      <c r="J396" s="3" t="inlineStr">
        <is>
          <t>math, number theory</t>
        </is>
      </c>
      <c r="K396" s="2" t="n">
        <v>60</v>
      </c>
      <c r="L396" s="2" t="n">
        <v>55</v>
      </c>
      <c r="M396" s="5" t="inlineStr">
        <is>
          <t>https://codeforces.com/problemset/problem/1295/D</t>
        </is>
      </c>
      <c r="N396" s="3" t="n"/>
    </row>
    <row r="397" ht="20.1" customHeight="1">
      <c r="A397" s="6" t="inlineStr">
        <is>
          <t>Unsolved</t>
        </is>
      </c>
      <c r="B397" s="7" t="inlineStr">
        <is>
          <t>Mathematics &amp; Number Theory</t>
        </is>
      </c>
      <c r="C397" s="7" t="inlineStr">
        <is>
          <t>Prime Numbers &amp; Sieve</t>
        </is>
      </c>
      <c r="D397" s="6" t="inlineStr">
        <is>
          <t>1475G</t>
        </is>
      </c>
      <c r="E397" s="6" t="n">
        <v>1475</v>
      </c>
      <c r="F397" s="6" t="inlineStr">
        <is>
          <t>G</t>
        </is>
      </c>
      <c r="G397" s="7" t="inlineStr">
        <is>
          <t>Strange Beauty</t>
        </is>
      </c>
      <c r="H397" s="6" t="n">
        <v>1900</v>
      </c>
      <c r="I397" s="10" t="inlineStr">
        <is>
          <t>Hard+</t>
        </is>
      </c>
      <c r="J397" s="7" t="inlineStr">
        <is>
          <t>dp, math, number theory, sortings</t>
        </is>
      </c>
      <c r="K397" s="6" t="n">
        <v>60</v>
      </c>
      <c r="L397" s="6" t="n">
        <v>55</v>
      </c>
      <c r="M397" s="8" t="inlineStr">
        <is>
          <t>https://codeforces.com/problemset/problem/1475/G</t>
        </is>
      </c>
      <c r="N397" s="7" t="n"/>
    </row>
    <row r="398" ht="20.1" customHeight="1">
      <c r="A398" s="2" t="inlineStr">
        <is>
          <t>Unsolved</t>
        </is>
      </c>
      <c r="B398" s="3" t="inlineStr">
        <is>
          <t>Mathematics &amp; Number Theory</t>
        </is>
      </c>
      <c r="C398" s="3" t="inlineStr">
        <is>
          <t>Modular Arithmetic</t>
        </is>
      </c>
      <c r="D398" s="2" t="inlineStr">
        <is>
          <t>337C</t>
        </is>
      </c>
      <c r="E398" s="2" t="n">
        <v>337</v>
      </c>
      <c r="F398" s="2" t="inlineStr">
        <is>
          <t>C</t>
        </is>
      </c>
      <c r="G398" s="3" t="inlineStr">
        <is>
          <t>Quiz</t>
        </is>
      </c>
      <c r="H398" s="2" t="n">
        <v>1600</v>
      </c>
      <c r="I398" s="9" t="inlineStr">
        <is>
          <t>Medium+</t>
        </is>
      </c>
      <c r="J398" s="3" t="inlineStr">
        <is>
          <t>binary search, greedy, math, matrices, number theory</t>
        </is>
      </c>
      <c r="K398" s="2" t="n">
        <v>40</v>
      </c>
      <c r="L398" s="2" t="n">
        <v>35</v>
      </c>
      <c r="M398" s="5" t="inlineStr">
        <is>
          <t>https://codeforces.com/problemset/problem/337/C</t>
        </is>
      </c>
      <c r="N398" s="3" t="n"/>
    </row>
    <row r="399" ht="20.1" customHeight="1">
      <c r="A399" s="6" t="inlineStr">
        <is>
          <t>Unsolved</t>
        </is>
      </c>
      <c r="B399" s="7" t="inlineStr">
        <is>
          <t>Mathematics &amp; Number Theory</t>
        </is>
      </c>
      <c r="C399" s="7" t="inlineStr">
        <is>
          <t>Modular Arithmetic</t>
        </is>
      </c>
      <c r="D399" s="6" t="inlineStr">
        <is>
          <t>451E</t>
        </is>
      </c>
      <c r="E399" s="6" t="n">
        <v>451</v>
      </c>
      <c r="F399" s="6" t="inlineStr">
        <is>
          <t>E</t>
        </is>
      </c>
      <c r="G399" s="7" t="inlineStr">
        <is>
          <t>Devu and Flowers</t>
        </is>
      </c>
      <c r="H399" s="6" t="n">
        <v>2300</v>
      </c>
      <c r="I399" s="12" t="inlineStr">
        <is>
          <t>Expert</t>
        </is>
      </c>
      <c r="J399" s="7" t="inlineStr">
        <is>
          <t>bitmasks, combinatorics, number theory</t>
        </is>
      </c>
      <c r="K399" s="6" t="n">
        <v>120</v>
      </c>
      <c r="L399" s="6" t="n">
        <v>110</v>
      </c>
      <c r="M399" s="8" t="inlineStr">
        <is>
          <t>https://codeforces.com/problemset/problem/451/E</t>
        </is>
      </c>
      <c r="N399" s="7" t="n"/>
    </row>
    <row r="400" ht="20.1" customHeight="1">
      <c r="A400" s="2" t="inlineStr">
        <is>
          <t>Unsolved</t>
        </is>
      </c>
      <c r="B400" s="3" t="inlineStr">
        <is>
          <t>Mathematics &amp; Number Theory</t>
        </is>
      </c>
      <c r="C400" s="3" t="inlineStr">
        <is>
          <t>Modular Arithmetic</t>
        </is>
      </c>
      <c r="D400" s="2" t="inlineStr">
        <is>
          <t>584B</t>
        </is>
      </c>
      <c r="E400" s="2" t="n">
        <v>584</v>
      </c>
      <c r="F400" s="2" t="inlineStr">
        <is>
          <t>B</t>
        </is>
      </c>
      <c r="G400" s="3" t="inlineStr">
        <is>
          <t xml:space="preserve">Kolya and Tanya </t>
        </is>
      </c>
      <c r="H400" s="2" t="n">
        <v>1500</v>
      </c>
      <c r="I400" s="9" t="inlineStr">
        <is>
          <t>Medium+</t>
        </is>
      </c>
      <c r="J400" s="3" t="inlineStr">
        <is>
          <t>combinatorics</t>
        </is>
      </c>
      <c r="K400" s="2" t="n">
        <v>40</v>
      </c>
      <c r="L400" s="2" t="n">
        <v>35</v>
      </c>
      <c r="M400" s="5" t="inlineStr">
        <is>
          <t>https://codeforces.com/problemset/problem/584/B</t>
        </is>
      </c>
      <c r="N400" s="3" t="n"/>
    </row>
    <row r="401" ht="20.1" customHeight="1">
      <c r="A401" s="6" t="inlineStr">
        <is>
          <t>Unsolved</t>
        </is>
      </c>
      <c r="B401" s="7" t="inlineStr">
        <is>
          <t>Mathematics &amp; Number Theory</t>
        </is>
      </c>
      <c r="C401" s="7" t="inlineStr">
        <is>
          <t>Modular Arithmetic</t>
        </is>
      </c>
      <c r="D401" s="6" t="inlineStr">
        <is>
          <t>622F</t>
        </is>
      </c>
      <c r="E401" s="6" t="n">
        <v>622</v>
      </c>
      <c r="F401" s="6" t="inlineStr">
        <is>
          <t>F</t>
        </is>
      </c>
      <c r="G401" s="7" t="inlineStr">
        <is>
          <t>The Sum of the k-th Powers</t>
        </is>
      </c>
      <c r="H401" s="6" t="n">
        <v>2600</v>
      </c>
      <c r="I401" s="12" t="inlineStr">
        <is>
          <t>Master</t>
        </is>
      </c>
      <c r="J401" s="7" t="inlineStr">
        <is>
          <t>math</t>
        </is>
      </c>
      <c r="K401" s="6" t="n">
        <v>180</v>
      </c>
      <c r="L401" s="6" t="n">
        <v>150</v>
      </c>
      <c r="M401" s="8" t="inlineStr">
        <is>
          <t>https://codeforces.com/problemset/problem/622/F</t>
        </is>
      </c>
      <c r="N401" s="7" t="n"/>
    </row>
    <row r="402" ht="20.1" customHeight="1">
      <c r="A402" s="2" t="inlineStr">
        <is>
          <t>Unsolved</t>
        </is>
      </c>
      <c r="B402" s="3" t="inlineStr">
        <is>
          <t>Mathematics &amp; Number Theory</t>
        </is>
      </c>
      <c r="C402" s="3" t="inlineStr">
        <is>
          <t>Modular Arithmetic</t>
        </is>
      </c>
      <c r="D402" s="2" t="inlineStr">
        <is>
          <t>895C</t>
        </is>
      </c>
      <c r="E402" s="2" t="n">
        <v>895</v>
      </c>
      <c r="F402" s="2" t="inlineStr">
        <is>
          <t>C</t>
        </is>
      </c>
      <c r="G402" s="3" t="inlineStr">
        <is>
          <t>Square Subsets</t>
        </is>
      </c>
      <c r="H402" s="2" t="n">
        <v>2000</v>
      </c>
      <c r="I402" s="10" t="inlineStr">
        <is>
          <t>Hard+</t>
        </is>
      </c>
      <c r="J402" s="3" t="inlineStr">
        <is>
          <t>bitmasks, combinatorics, dp, math</t>
        </is>
      </c>
      <c r="K402" s="2" t="n">
        <v>90</v>
      </c>
      <c r="L402" s="2" t="n">
        <v>80</v>
      </c>
      <c r="M402" s="5" t="inlineStr">
        <is>
          <t>https://codeforces.com/problemset/problem/895/C</t>
        </is>
      </c>
      <c r="N402" s="3" t="n"/>
    </row>
    <row r="403" ht="20.1" customHeight="1">
      <c r="A403" s="6" t="inlineStr">
        <is>
          <t>Unsolved</t>
        </is>
      </c>
      <c r="B403" s="7" t="inlineStr">
        <is>
          <t>Mathematics &amp; Number Theory</t>
        </is>
      </c>
      <c r="C403" s="7" t="inlineStr">
        <is>
          <t>Modular Arithmetic</t>
        </is>
      </c>
      <c r="D403" s="6" t="inlineStr">
        <is>
          <t>1096D</t>
        </is>
      </c>
      <c r="E403" s="6" t="n">
        <v>1096</v>
      </c>
      <c r="F403" s="6" t="inlineStr">
        <is>
          <t>D</t>
        </is>
      </c>
      <c r="G403" s="7" t="inlineStr">
        <is>
          <t>Easy Problem</t>
        </is>
      </c>
      <c r="H403" s="6" t="n">
        <v>1800</v>
      </c>
      <c r="I403" s="10" t="inlineStr">
        <is>
          <t>Hard</t>
        </is>
      </c>
      <c r="J403" s="7" t="inlineStr">
        <is>
          <t>dp</t>
        </is>
      </c>
      <c r="K403" s="6" t="n">
        <v>60</v>
      </c>
      <c r="L403" s="6" t="n">
        <v>55</v>
      </c>
      <c r="M403" s="8" t="inlineStr">
        <is>
          <t>https://codeforces.com/problemset/problem/1096/D</t>
        </is>
      </c>
      <c r="N403" s="7" t="n"/>
    </row>
    <row r="404" ht="20.1" customHeight="1">
      <c r="A404" s="2" t="inlineStr">
        <is>
          <t>Unsolved</t>
        </is>
      </c>
      <c r="B404" s="3" t="inlineStr">
        <is>
          <t>Mathematics &amp; Number Theory</t>
        </is>
      </c>
      <c r="C404" s="3" t="inlineStr">
        <is>
          <t>Modular Arithmetic</t>
        </is>
      </c>
      <c r="D404" s="2" t="inlineStr">
        <is>
          <t>1359E</t>
        </is>
      </c>
      <c r="E404" s="2" t="n">
        <v>1359</v>
      </c>
      <c r="F404" s="2" t="inlineStr">
        <is>
          <t>E</t>
        </is>
      </c>
      <c r="G404" s="3" t="inlineStr">
        <is>
          <t>Modular Stability</t>
        </is>
      </c>
      <c r="H404" s="2" t="n">
        <v>2000</v>
      </c>
      <c r="I404" s="10" t="inlineStr">
        <is>
          <t>Hard+</t>
        </is>
      </c>
      <c r="J404" s="3" t="inlineStr">
        <is>
          <t>combinatorics, math, number theory</t>
        </is>
      </c>
      <c r="K404" s="2" t="n">
        <v>90</v>
      </c>
      <c r="L404" s="2" t="n">
        <v>80</v>
      </c>
      <c r="M404" s="5" t="inlineStr">
        <is>
          <t>https://codeforces.com/problemset/problem/1359/E</t>
        </is>
      </c>
      <c r="N404" s="3" t="n"/>
    </row>
    <row r="405" ht="20.1" customHeight="1">
      <c r="A405" s="6" t="inlineStr">
        <is>
          <t>Unsolved</t>
        </is>
      </c>
      <c r="B405" s="7" t="inlineStr">
        <is>
          <t>Mathematics &amp; Number Theory</t>
        </is>
      </c>
      <c r="C405" s="7" t="inlineStr">
        <is>
          <t>Modular Arithmetic</t>
        </is>
      </c>
      <c r="D405" s="6" t="inlineStr">
        <is>
          <t>1452D</t>
        </is>
      </c>
      <c r="E405" s="6" t="n">
        <v>1452</v>
      </c>
      <c r="F405" s="6" t="inlineStr">
        <is>
          <t>D</t>
        </is>
      </c>
      <c r="G405" s="7" t="inlineStr">
        <is>
          <t>Radio Towers</t>
        </is>
      </c>
      <c r="H405" s="6" t="n">
        <v>1600</v>
      </c>
      <c r="I405" s="9" t="inlineStr">
        <is>
          <t>Medium+</t>
        </is>
      </c>
      <c r="J405" s="7" t="inlineStr">
        <is>
          <t>combinatorics, dp, math</t>
        </is>
      </c>
      <c r="K405" s="6" t="n">
        <v>40</v>
      </c>
      <c r="L405" s="6" t="n">
        <v>35</v>
      </c>
      <c r="M405" s="8" t="inlineStr">
        <is>
          <t>https://codeforces.com/problemset/problem/1452/D</t>
        </is>
      </c>
      <c r="N405" s="7" t="n"/>
    </row>
    <row r="406" ht="20.1" customHeight="1">
      <c r="A406" s="2" t="inlineStr">
        <is>
          <t>Unsolved</t>
        </is>
      </c>
      <c r="B406" s="3" t="inlineStr">
        <is>
          <t>Mathematics &amp; Number Theory</t>
        </is>
      </c>
      <c r="C406" s="3" t="inlineStr">
        <is>
          <t>Combinatorics</t>
        </is>
      </c>
      <c r="D406" s="2" t="inlineStr">
        <is>
          <t>294C</t>
        </is>
      </c>
      <c r="E406" s="2" t="n">
        <v>294</v>
      </c>
      <c r="F406" s="2" t="inlineStr">
        <is>
          <t>C</t>
        </is>
      </c>
      <c r="G406" s="3" t="inlineStr">
        <is>
          <t>Shaass and Lights</t>
        </is>
      </c>
      <c r="H406" s="2" t="n">
        <v>1900</v>
      </c>
      <c r="I406" s="10" t="inlineStr">
        <is>
          <t>Hard+</t>
        </is>
      </c>
      <c r="J406" s="3" t="inlineStr">
        <is>
          <t>combinatorics, number theory</t>
        </is>
      </c>
      <c r="K406" s="2" t="n">
        <v>60</v>
      </c>
      <c r="L406" s="2" t="n">
        <v>55</v>
      </c>
      <c r="M406" s="5" t="inlineStr">
        <is>
          <t>https://codeforces.com/problemset/problem/294/C</t>
        </is>
      </c>
      <c r="N406" s="3" t="n"/>
    </row>
    <row r="407" ht="20.1" customHeight="1">
      <c r="A407" s="6" t="inlineStr">
        <is>
          <t>Unsolved</t>
        </is>
      </c>
      <c r="B407" s="7" t="inlineStr">
        <is>
          <t>Mathematics &amp; Number Theory</t>
        </is>
      </c>
      <c r="C407" s="7" t="inlineStr">
        <is>
          <t>Combinatorics</t>
        </is>
      </c>
      <c r="D407" s="6" t="inlineStr">
        <is>
          <t>300C</t>
        </is>
      </c>
      <c r="E407" s="6" t="n">
        <v>300</v>
      </c>
      <c r="F407" s="6" t="inlineStr">
        <is>
          <t>C</t>
        </is>
      </c>
      <c r="G407" s="7" t="inlineStr">
        <is>
          <t>Beautiful Numbers</t>
        </is>
      </c>
      <c r="H407" s="6" t="n">
        <v>1800</v>
      </c>
      <c r="I407" s="10" t="inlineStr">
        <is>
          <t>Hard</t>
        </is>
      </c>
      <c r="J407" s="7" t="inlineStr">
        <is>
          <t>brute force, combinatorics</t>
        </is>
      </c>
      <c r="K407" s="6" t="n">
        <v>60</v>
      </c>
      <c r="L407" s="6" t="n">
        <v>55</v>
      </c>
      <c r="M407" s="8" t="inlineStr">
        <is>
          <t>https://codeforces.com/problemset/problem/300/C</t>
        </is>
      </c>
      <c r="N407" s="7" t="n"/>
    </row>
    <row r="408" ht="20.1" customHeight="1">
      <c r="A408" s="2" t="inlineStr">
        <is>
          <t>Unsolved</t>
        </is>
      </c>
      <c r="B408" s="3" t="inlineStr">
        <is>
          <t>Mathematics &amp; Number Theory</t>
        </is>
      </c>
      <c r="C408" s="3" t="inlineStr">
        <is>
          <t>Combinatorics</t>
        </is>
      </c>
      <c r="D408" s="2" t="inlineStr">
        <is>
          <t>553A</t>
        </is>
      </c>
      <c r="E408" s="2" t="n">
        <v>553</v>
      </c>
      <c r="F408" s="2" t="inlineStr">
        <is>
          <t>A</t>
        </is>
      </c>
      <c r="G408" s="3" t="inlineStr">
        <is>
          <t>Kyoya and Colored Balls</t>
        </is>
      </c>
      <c r="H408" s="2" t="n">
        <v>1500</v>
      </c>
      <c r="I408" s="9" t="inlineStr">
        <is>
          <t>Medium+</t>
        </is>
      </c>
      <c r="J408" s="3" t="inlineStr">
        <is>
          <t>combinatorics, dp, math</t>
        </is>
      </c>
      <c r="K408" s="2" t="n">
        <v>40</v>
      </c>
      <c r="L408" s="2" t="n">
        <v>35</v>
      </c>
      <c r="M408" s="5" t="inlineStr">
        <is>
          <t>https://codeforces.com/problemset/problem/553/A</t>
        </is>
      </c>
      <c r="N408" s="3" t="n"/>
    </row>
    <row r="409" ht="20.1" customHeight="1">
      <c r="A409" s="6" t="inlineStr">
        <is>
          <t>Unsolved</t>
        </is>
      </c>
      <c r="B409" s="7" t="inlineStr">
        <is>
          <t>Mathematics &amp; Number Theory</t>
        </is>
      </c>
      <c r="C409" s="7" t="inlineStr">
        <is>
          <t>Combinatorics</t>
        </is>
      </c>
      <c r="D409" s="6" t="inlineStr">
        <is>
          <t>869C</t>
        </is>
      </c>
      <c r="E409" s="6" t="n">
        <v>869</v>
      </c>
      <c r="F409" s="6" t="inlineStr">
        <is>
          <t>C</t>
        </is>
      </c>
      <c r="G409" s="7" t="inlineStr">
        <is>
          <t>The Intriguing Obsession</t>
        </is>
      </c>
      <c r="H409" s="6" t="n">
        <v>1800</v>
      </c>
      <c r="I409" s="10" t="inlineStr">
        <is>
          <t>Hard</t>
        </is>
      </c>
      <c r="J409" s="7" t="inlineStr">
        <is>
          <t>combinatorics, dp, math</t>
        </is>
      </c>
      <c r="K409" s="6" t="n">
        <v>60</v>
      </c>
      <c r="L409" s="6" t="n">
        <v>55</v>
      </c>
      <c r="M409" s="8" t="inlineStr">
        <is>
          <t>https://codeforces.com/problemset/problem/869/C</t>
        </is>
      </c>
      <c r="N409" s="7" t="n"/>
    </row>
    <row r="410" ht="20.1" customHeight="1">
      <c r="A410" s="2" t="inlineStr">
        <is>
          <t>Unsolved</t>
        </is>
      </c>
      <c r="B410" s="3" t="inlineStr">
        <is>
          <t>Mathematics &amp; Number Theory</t>
        </is>
      </c>
      <c r="C410" s="3" t="inlineStr">
        <is>
          <t>Combinatorics</t>
        </is>
      </c>
      <c r="D410" s="2" t="inlineStr">
        <is>
          <t>888D</t>
        </is>
      </c>
      <c r="E410" s="2" t="n">
        <v>888</v>
      </c>
      <c r="F410" s="2" t="inlineStr">
        <is>
          <t>D</t>
        </is>
      </c>
      <c r="G410" s="3" t="inlineStr">
        <is>
          <t>Almost Identity Permutations</t>
        </is>
      </c>
      <c r="H410" s="2" t="n">
        <v>1600</v>
      </c>
      <c r="I410" s="9" t="inlineStr">
        <is>
          <t>Medium+</t>
        </is>
      </c>
      <c r="J410" s="3" t="inlineStr">
        <is>
          <t>combinatorics, dp, math</t>
        </is>
      </c>
      <c r="K410" s="2" t="n">
        <v>40</v>
      </c>
      <c r="L410" s="2" t="n">
        <v>35</v>
      </c>
      <c r="M410" s="5" t="inlineStr">
        <is>
          <t>https://codeforces.com/problemset/problem/888/D</t>
        </is>
      </c>
      <c r="N410" s="3" t="n"/>
    </row>
    <row r="411" ht="20.1" customHeight="1">
      <c r="A411" s="6" t="inlineStr">
        <is>
          <t>Unsolved</t>
        </is>
      </c>
      <c r="B411" s="7" t="inlineStr">
        <is>
          <t>Mathematics &amp; Number Theory</t>
        </is>
      </c>
      <c r="C411" s="7" t="inlineStr">
        <is>
          <t>Combinatorics</t>
        </is>
      </c>
      <c r="D411" s="6" t="inlineStr">
        <is>
          <t>1091D</t>
        </is>
      </c>
      <c r="E411" s="6" t="n">
        <v>1091</v>
      </c>
      <c r="F411" s="6" t="inlineStr">
        <is>
          <t>D</t>
        </is>
      </c>
      <c r="G411" s="7" t="inlineStr">
        <is>
          <t>New Year and the Permutation Concatenation</t>
        </is>
      </c>
      <c r="H411" s="6" t="n">
        <v>1700</v>
      </c>
      <c r="I411" s="10" t="inlineStr">
        <is>
          <t>Hard</t>
        </is>
      </c>
      <c r="J411" s="7" t="inlineStr">
        <is>
          <t>combinatorics, dp, math</t>
        </is>
      </c>
      <c r="K411" s="6" t="n">
        <v>60</v>
      </c>
      <c r="L411" s="6" t="n">
        <v>55</v>
      </c>
      <c r="M411" s="8" t="inlineStr">
        <is>
          <t>https://codeforces.com/problemset/problem/1091/D</t>
        </is>
      </c>
      <c r="N411" s="7" t="n"/>
    </row>
    <row r="412" ht="20.1" customHeight="1">
      <c r="A412" s="2" t="inlineStr">
        <is>
          <t>Unsolved</t>
        </is>
      </c>
      <c r="B412" s="3" t="inlineStr">
        <is>
          <t>Mathematics &amp; Number Theory</t>
        </is>
      </c>
      <c r="C412" s="3" t="inlineStr">
        <is>
          <t>Combinatorics</t>
        </is>
      </c>
      <c r="D412" s="2" t="inlineStr">
        <is>
          <t>1312D</t>
        </is>
      </c>
      <c r="E412" s="2" t="n">
        <v>1312</v>
      </c>
      <c r="F412" s="2" t="inlineStr">
        <is>
          <t>D</t>
        </is>
      </c>
      <c r="G412" s="3" t="inlineStr">
        <is>
          <t>Count the Arrays</t>
        </is>
      </c>
      <c r="H412" s="2" t="n">
        <v>1700</v>
      </c>
      <c r="I412" s="10" t="inlineStr">
        <is>
          <t>Hard</t>
        </is>
      </c>
      <c r="J412" s="3" t="inlineStr">
        <is>
          <t>combinatorics, math</t>
        </is>
      </c>
      <c r="K412" s="2" t="n">
        <v>60</v>
      </c>
      <c r="L412" s="2" t="n">
        <v>55</v>
      </c>
      <c r="M412" s="5" t="inlineStr">
        <is>
          <t>https://codeforces.com/problemset/problem/1312/D</t>
        </is>
      </c>
      <c r="N412" s="3" t="n"/>
    </row>
    <row r="413" ht="20.1" customHeight="1">
      <c r="A413" s="6" t="inlineStr">
        <is>
          <t>Unsolved</t>
        </is>
      </c>
      <c r="B413" s="7" t="inlineStr">
        <is>
          <t>Mathematics &amp; Number Theory</t>
        </is>
      </c>
      <c r="C413" s="7" t="inlineStr">
        <is>
          <t>Combinatorics</t>
        </is>
      </c>
      <c r="D413" s="6" t="inlineStr">
        <is>
          <t>1420D</t>
        </is>
      </c>
      <c r="E413" s="6" t="n">
        <v>1420</v>
      </c>
      <c r="F413" s="6" t="inlineStr">
        <is>
          <t>D</t>
        </is>
      </c>
      <c r="G413" s="7" t="inlineStr">
        <is>
          <t>Rescue Nibel!</t>
        </is>
      </c>
      <c r="H413" s="6" t="n">
        <v>1800</v>
      </c>
      <c r="I413" s="10" t="inlineStr">
        <is>
          <t>Hard</t>
        </is>
      </c>
      <c r="J413" s="7" t="inlineStr">
        <is>
          <t>combinatorics, data structures, sortings</t>
        </is>
      </c>
      <c r="K413" s="6" t="n">
        <v>60</v>
      </c>
      <c r="L413" s="6" t="n">
        <v>55</v>
      </c>
      <c r="M413" s="8" t="inlineStr">
        <is>
          <t>https://codeforces.com/problemset/problem/1420/D</t>
        </is>
      </c>
      <c r="N413" s="7" t="n"/>
    </row>
    <row r="414" ht="20.1" customHeight="1">
      <c r="A414" s="2" t="inlineStr">
        <is>
          <t>Unsolved</t>
        </is>
      </c>
      <c r="B414" s="3" t="inlineStr">
        <is>
          <t>Mathematics &amp; Number Theory</t>
        </is>
      </c>
      <c r="C414" s="3" t="inlineStr">
        <is>
          <t>Combinatorics</t>
        </is>
      </c>
      <c r="D414" s="2" t="inlineStr">
        <is>
          <t>1545B</t>
        </is>
      </c>
      <c r="E414" s="2" t="n">
        <v>1545</v>
      </c>
      <c r="F414" s="2" t="inlineStr">
        <is>
          <t>B</t>
        </is>
      </c>
      <c r="G414" s="3" t="inlineStr">
        <is>
          <t>AquaMoon and Chess</t>
        </is>
      </c>
      <c r="H414" s="2" t="n">
        <v>1900</v>
      </c>
      <c r="I414" s="10" t="inlineStr">
        <is>
          <t>Hard+</t>
        </is>
      </c>
      <c r="J414" s="3" t="inlineStr">
        <is>
          <t>combinatorics, math</t>
        </is>
      </c>
      <c r="K414" s="2" t="n">
        <v>60</v>
      </c>
      <c r="L414" s="2" t="n">
        <v>55</v>
      </c>
      <c r="M414" s="5" t="inlineStr">
        <is>
          <t>https://codeforces.com/problemset/problem/1545/B</t>
        </is>
      </c>
      <c r="N414" s="3" t="n"/>
    </row>
    <row r="415" ht="20.1" customHeight="1">
      <c r="A415" s="6" t="inlineStr">
        <is>
          <t>Unsolved</t>
        </is>
      </c>
      <c r="B415" s="7" t="inlineStr">
        <is>
          <t>Mathematics &amp; Number Theory</t>
        </is>
      </c>
      <c r="C415" s="7" t="inlineStr">
        <is>
          <t>Combinatorics</t>
        </is>
      </c>
      <c r="D415" s="6" t="inlineStr">
        <is>
          <t>1717D</t>
        </is>
      </c>
      <c r="E415" s="6" t="n">
        <v>1717</v>
      </c>
      <c r="F415" s="6" t="inlineStr">
        <is>
          <t>D</t>
        </is>
      </c>
      <c r="G415" s="7" t="inlineStr">
        <is>
          <t>Madoka and The Corruption Scheme</t>
        </is>
      </c>
      <c r="H415" s="6" t="n">
        <v>1900</v>
      </c>
      <c r="I415" s="10" t="inlineStr">
        <is>
          <t>Hard+</t>
        </is>
      </c>
      <c r="J415" s="7" t="inlineStr">
        <is>
          <t>combinatorics, constructive algorithms, greedy, math</t>
        </is>
      </c>
      <c r="K415" s="6" t="n">
        <v>60</v>
      </c>
      <c r="L415" s="6" t="n">
        <v>55</v>
      </c>
      <c r="M415" s="8" t="inlineStr">
        <is>
          <t>https://codeforces.com/problemset/problem/1717/D</t>
        </is>
      </c>
      <c r="N415" s="7" t="n"/>
    </row>
    <row r="416" ht="20.1" customHeight="1">
      <c r="A416" s="2" t="inlineStr">
        <is>
          <t>Unsolved</t>
        </is>
      </c>
      <c r="B416" s="3" t="inlineStr">
        <is>
          <t>Mathematics &amp; Number Theory</t>
        </is>
      </c>
      <c r="C416" s="3" t="inlineStr">
        <is>
          <t>Inclusion–Exclusion / Number Theory</t>
        </is>
      </c>
      <c r="D416" s="2" t="inlineStr">
        <is>
          <t>547C</t>
        </is>
      </c>
      <c r="E416" s="2" t="n">
        <v>547</v>
      </c>
      <c r="F416" s="2" t="inlineStr">
        <is>
          <t>C</t>
        </is>
      </c>
      <c r="G416" s="3" t="inlineStr">
        <is>
          <t>Mike and Foam</t>
        </is>
      </c>
      <c r="H416" s="2" t="n">
        <v>2300</v>
      </c>
      <c r="I416" s="12" t="inlineStr">
        <is>
          <t>Expert</t>
        </is>
      </c>
      <c r="J416" s="3" t="inlineStr">
        <is>
          <t>bitmasks, combinatorics, dp, math, number theory</t>
        </is>
      </c>
      <c r="K416" s="2" t="n">
        <v>120</v>
      </c>
      <c r="L416" s="2" t="n">
        <v>110</v>
      </c>
      <c r="M416" s="5" t="inlineStr">
        <is>
          <t>https://codeforces.com/problemset/problem/547/C</t>
        </is>
      </c>
      <c r="N416" s="3" t="n"/>
    </row>
    <row r="417" ht="20.1" customHeight="1">
      <c r="A417" s="6" t="inlineStr">
        <is>
          <t>Unsolved</t>
        </is>
      </c>
      <c r="B417" s="7" t="inlineStr">
        <is>
          <t>Mathematics &amp; Number Theory</t>
        </is>
      </c>
      <c r="C417" s="7" t="inlineStr">
        <is>
          <t>Inclusion–Exclusion / Number Theory</t>
        </is>
      </c>
      <c r="D417" s="6" t="inlineStr">
        <is>
          <t>803F</t>
        </is>
      </c>
      <c r="E417" s="6" t="n">
        <v>803</v>
      </c>
      <c r="F417" s="6" t="inlineStr">
        <is>
          <t>F</t>
        </is>
      </c>
      <c r="G417" s="7" t="inlineStr">
        <is>
          <t>Coprime Subsequences</t>
        </is>
      </c>
      <c r="H417" s="6" t="n">
        <v>2000</v>
      </c>
      <c r="I417" s="10" t="inlineStr">
        <is>
          <t>Hard+</t>
        </is>
      </c>
      <c r="J417" s="7" t="inlineStr">
        <is>
          <t>bitmasks, combinatorics, number theory</t>
        </is>
      </c>
      <c r="K417" s="6" t="n">
        <v>90</v>
      </c>
      <c r="L417" s="6" t="n">
        <v>80</v>
      </c>
      <c r="M417" s="8" t="inlineStr">
        <is>
          <t>https://codeforces.com/problemset/problem/803/F</t>
        </is>
      </c>
      <c r="N417" s="7" t="n"/>
    </row>
    <row r="418" ht="20.1" customHeight="1">
      <c r="A418" s="2" t="inlineStr">
        <is>
          <t>Unsolved</t>
        </is>
      </c>
      <c r="B418" s="3" t="inlineStr">
        <is>
          <t>Mathematics &amp; Number Theory</t>
        </is>
      </c>
      <c r="C418" s="3" t="inlineStr">
        <is>
          <t>Inclusion–Exclusion / Number Theory</t>
        </is>
      </c>
      <c r="D418" s="2" t="inlineStr">
        <is>
          <t>900D</t>
        </is>
      </c>
      <c r="E418" s="2" t="n">
        <v>900</v>
      </c>
      <c r="F418" s="2" t="inlineStr">
        <is>
          <t>D</t>
        </is>
      </c>
      <c r="G418" s="3" t="inlineStr">
        <is>
          <t>Unusual Sequences</t>
        </is>
      </c>
      <c r="H418" s="2" t="n">
        <v>2000</v>
      </c>
      <c r="I418" s="10" t="inlineStr">
        <is>
          <t>Hard+</t>
        </is>
      </c>
      <c r="J418" s="3" t="inlineStr">
        <is>
          <t>bitmasks, combinatorics, dp, math, number theory</t>
        </is>
      </c>
      <c r="K418" s="2" t="n">
        <v>90</v>
      </c>
      <c r="L418" s="2" t="n">
        <v>80</v>
      </c>
      <c r="M418" s="5" t="inlineStr">
        <is>
          <t>https://codeforces.com/problemset/problem/900/D</t>
        </is>
      </c>
      <c r="N418" s="3" t="n"/>
    </row>
    <row r="419" ht="20.1" customHeight="1">
      <c r="A419" s="6" t="inlineStr">
        <is>
          <t>Unsolved</t>
        </is>
      </c>
      <c r="B419" s="7" t="inlineStr">
        <is>
          <t>Mathematics &amp; Number Theory</t>
        </is>
      </c>
      <c r="C419" s="7" t="inlineStr">
        <is>
          <t>Inclusion–Exclusion / Number Theory</t>
        </is>
      </c>
      <c r="D419" s="6" t="inlineStr">
        <is>
          <t>915G</t>
        </is>
      </c>
      <c r="E419" s="6" t="n">
        <v>915</v>
      </c>
      <c r="F419" s="6" t="inlineStr">
        <is>
          <t>G</t>
        </is>
      </c>
      <c r="G419" s="7" t="inlineStr">
        <is>
          <t>Coprime Arrays</t>
        </is>
      </c>
      <c r="H419" s="6" t="n">
        <v>2300</v>
      </c>
      <c r="I419" s="12" t="inlineStr">
        <is>
          <t>Expert</t>
        </is>
      </c>
      <c r="J419" s="7" t="inlineStr">
        <is>
          <t>math, number theory</t>
        </is>
      </c>
      <c r="K419" s="6" t="n">
        <v>120</v>
      </c>
      <c r="L419" s="6" t="n">
        <v>110</v>
      </c>
      <c r="M419" s="8" t="inlineStr">
        <is>
          <t>https://codeforces.com/problemset/problem/915/G</t>
        </is>
      </c>
      <c r="N419" s="7" t="n"/>
    </row>
    <row r="420" ht="20.1" customHeight="1">
      <c r="A420" s="2" t="inlineStr">
        <is>
          <t>Unsolved</t>
        </is>
      </c>
      <c r="B420" s="3" t="inlineStr">
        <is>
          <t>Mathematics &amp; Number Theory</t>
        </is>
      </c>
      <c r="C420" s="3" t="inlineStr">
        <is>
          <t>Inclusion–Exclusion / Number Theory</t>
        </is>
      </c>
      <c r="D420" s="2" t="inlineStr">
        <is>
          <t>986F</t>
        </is>
      </c>
      <c r="E420" s="2" t="n">
        <v>986</v>
      </c>
      <c r="F420" s="2" t="inlineStr">
        <is>
          <t>F</t>
        </is>
      </c>
      <c r="G420" s="3" t="inlineStr">
        <is>
          <t>Oppa Funcan Style Remastered</t>
        </is>
      </c>
      <c r="H420" s="2" t="n">
        <v>3300</v>
      </c>
      <c r="I420" s="12" t="inlineStr">
        <is>
          <t>Master</t>
        </is>
      </c>
      <c r="J420" s="3" t="inlineStr">
        <is>
          <t>graphs, math, number theory, shortest paths</t>
        </is>
      </c>
      <c r="K420" s="2" t="n">
        <v>240</v>
      </c>
      <c r="L420" s="2" t="n">
        <v>220</v>
      </c>
      <c r="M420" s="5" t="inlineStr">
        <is>
          <t>https://codeforces.com/problemset/problem/986/F</t>
        </is>
      </c>
      <c r="N420" s="3" t="n"/>
    </row>
    <row r="421" ht="20.1" customHeight="1">
      <c r="A421" s="6" t="inlineStr">
        <is>
          <t>Unsolved</t>
        </is>
      </c>
      <c r="B421" s="7" t="inlineStr">
        <is>
          <t>Mathematics &amp; Number Theory</t>
        </is>
      </c>
      <c r="C421" s="7" t="inlineStr">
        <is>
          <t>Inclusion–Exclusion / Number Theory</t>
        </is>
      </c>
      <c r="D421" s="6" t="inlineStr">
        <is>
          <t>1559E</t>
        </is>
      </c>
      <c r="E421" s="6" t="n">
        <v>1559</v>
      </c>
      <c r="F421" s="6" t="inlineStr">
        <is>
          <t>E</t>
        </is>
      </c>
      <c r="G421" s="7" t="inlineStr">
        <is>
          <t>Mocha and Stars</t>
        </is>
      </c>
      <c r="H421" s="6" t="n">
        <v>2200</v>
      </c>
      <c r="I421" s="12" t="inlineStr">
        <is>
          <t>Expert</t>
        </is>
      </c>
      <c r="J421" s="7" t="inlineStr">
        <is>
          <t>combinatorics, dp, fft, math, number theory</t>
        </is>
      </c>
      <c r="K421" s="6" t="n">
        <v>90</v>
      </c>
      <c r="L421" s="6" t="n">
        <v>80</v>
      </c>
      <c r="M421" s="8" t="inlineStr">
        <is>
          <t>https://codeforces.com/problemset/problem/1559/E</t>
        </is>
      </c>
      <c r="N421" s="7" t="n"/>
    </row>
    <row r="422" ht="20.1" customHeight="1">
      <c r="A422" s="2" t="inlineStr">
        <is>
          <t>Unsolved</t>
        </is>
      </c>
      <c r="B422" s="3" t="inlineStr">
        <is>
          <t>Mathematics &amp; Number Theory</t>
        </is>
      </c>
      <c r="C422" s="3" t="inlineStr">
        <is>
          <t>Inclusion–Exclusion / Number Theory</t>
        </is>
      </c>
      <c r="D422" s="2" t="inlineStr">
        <is>
          <t>1750D</t>
        </is>
      </c>
      <c r="E422" s="2" t="n">
        <v>1750</v>
      </c>
      <c r="F422" s="2" t="inlineStr">
        <is>
          <t>D</t>
        </is>
      </c>
      <c r="G422" s="3" t="inlineStr">
        <is>
          <t>Count GCD</t>
        </is>
      </c>
      <c r="H422" s="2" t="n">
        <v>1800</v>
      </c>
      <c r="I422" s="10" t="inlineStr">
        <is>
          <t>Hard</t>
        </is>
      </c>
      <c r="J422" s="3" t="inlineStr">
        <is>
          <t>combinatorics, math, number theory</t>
        </is>
      </c>
      <c r="K422" s="2" t="n">
        <v>60</v>
      </c>
      <c r="L422" s="2" t="n">
        <v>55</v>
      </c>
      <c r="M422" s="5" t="inlineStr">
        <is>
          <t>https://codeforces.com/problemset/problem/1750/D</t>
        </is>
      </c>
      <c r="N422" s="3" t="n"/>
    </row>
    <row r="423" ht="20.1" customHeight="1">
      <c r="A423" s="6" t="inlineStr">
        <is>
          <t>Unsolved</t>
        </is>
      </c>
      <c r="B423" s="7" t="inlineStr">
        <is>
          <t>Recursion &amp; Backtracking</t>
        </is>
      </c>
      <c r="C423" s="7" t="inlineStr">
        <is>
          <t>Basic Recursion</t>
        </is>
      </c>
      <c r="D423" s="6" t="inlineStr">
        <is>
          <t>448A</t>
        </is>
      </c>
      <c r="E423" s="6" t="n">
        <v>448</v>
      </c>
      <c r="F423" s="6" t="inlineStr">
        <is>
          <t>A</t>
        </is>
      </c>
      <c r="G423" s="7" t="inlineStr">
        <is>
          <t>Rewards</t>
        </is>
      </c>
      <c r="H423" s="6" t="n">
        <v>800</v>
      </c>
      <c r="I423" s="4" t="inlineStr">
        <is>
          <t>Easy</t>
        </is>
      </c>
      <c r="J423" s="7" t="inlineStr">
        <is>
          <t>implementation</t>
        </is>
      </c>
      <c r="K423" s="6" t="n">
        <v>15</v>
      </c>
      <c r="L423" s="6" t="n">
        <v>10</v>
      </c>
      <c r="M423" s="8" t="inlineStr">
        <is>
          <t>https://codeforces.com/problemset/problem/448/A</t>
        </is>
      </c>
      <c r="N423" s="7" t="n"/>
    </row>
    <row r="424" ht="20.1" customHeight="1">
      <c r="A424" s="2" t="inlineStr">
        <is>
          <t>Unsolved</t>
        </is>
      </c>
      <c r="B424" s="3" t="inlineStr">
        <is>
          <t>Recursion &amp; Backtracking</t>
        </is>
      </c>
      <c r="C424" s="3" t="inlineStr">
        <is>
          <t>Basic Recursion</t>
        </is>
      </c>
      <c r="D424" s="2" t="inlineStr">
        <is>
          <t>448C</t>
        </is>
      </c>
      <c r="E424" s="2" t="n">
        <v>448</v>
      </c>
      <c r="F424" s="2" t="inlineStr">
        <is>
          <t>C</t>
        </is>
      </c>
      <c r="G424" s="3" t="inlineStr">
        <is>
          <t>Painting Fence</t>
        </is>
      </c>
      <c r="H424" s="2" t="n">
        <v>1900</v>
      </c>
      <c r="I424" s="10" t="inlineStr">
        <is>
          <t>Hard+</t>
        </is>
      </c>
      <c r="J424" s="3" t="inlineStr">
        <is>
          <t>divide and conquer, dp, greedy</t>
        </is>
      </c>
      <c r="K424" s="2" t="n">
        <v>60</v>
      </c>
      <c r="L424" s="2" t="n">
        <v>55</v>
      </c>
      <c r="M424" s="5" t="inlineStr">
        <is>
          <t>https://codeforces.com/problemset/problem/448/C</t>
        </is>
      </c>
      <c r="N424" s="3" t="n"/>
    </row>
    <row r="425" ht="20.1" customHeight="1">
      <c r="A425" s="6" t="inlineStr">
        <is>
          <t>Unsolved</t>
        </is>
      </c>
      <c r="B425" s="7" t="inlineStr">
        <is>
          <t>Recursion &amp; Backtracking</t>
        </is>
      </c>
      <c r="C425" s="7" t="inlineStr">
        <is>
          <t>Basic Recursion</t>
        </is>
      </c>
      <c r="D425" s="6" t="inlineStr">
        <is>
          <t>559B</t>
        </is>
      </c>
      <c r="E425" s="6" t="n">
        <v>559</v>
      </c>
      <c r="F425" s="6" t="inlineStr">
        <is>
          <t>B</t>
        </is>
      </c>
      <c r="G425" s="7" t="inlineStr">
        <is>
          <t>Equivalent Strings</t>
        </is>
      </c>
      <c r="H425" s="6" t="n">
        <v>1700</v>
      </c>
      <c r="I425" s="10" t="inlineStr">
        <is>
          <t>Hard</t>
        </is>
      </c>
      <c r="J425" s="7" t="inlineStr">
        <is>
          <t>divide and conquer, hashing, sortings, strings</t>
        </is>
      </c>
      <c r="K425" s="6" t="n">
        <v>60</v>
      </c>
      <c r="L425" s="6" t="n">
        <v>55</v>
      </c>
      <c r="M425" s="8" t="inlineStr">
        <is>
          <t>https://codeforces.com/problemset/problem/559/B</t>
        </is>
      </c>
      <c r="N425" s="7" t="n"/>
    </row>
    <row r="426" ht="20.1" customHeight="1">
      <c r="A426" s="2" t="inlineStr">
        <is>
          <t>Unsolved</t>
        </is>
      </c>
      <c r="B426" s="3" t="inlineStr">
        <is>
          <t>Recursion &amp; Backtracking</t>
        </is>
      </c>
      <c r="C426" s="3" t="inlineStr">
        <is>
          <t>Basic Recursion</t>
        </is>
      </c>
      <c r="D426" s="2" t="inlineStr">
        <is>
          <t>750C</t>
        </is>
      </c>
      <c r="E426" s="2" t="n">
        <v>750</v>
      </c>
      <c r="F426" s="2" t="inlineStr">
        <is>
          <t>C</t>
        </is>
      </c>
      <c r="G426" s="3" t="inlineStr">
        <is>
          <t>New Year and Rating</t>
        </is>
      </c>
      <c r="H426" s="2" t="n">
        <v>1600</v>
      </c>
      <c r="I426" s="9" t="inlineStr">
        <is>
          <t>Medium+</t>
        </is>
      </c>
      <c r="J426" s="3" t="inlineStr">
        <is>
          <t>binary search, greedy, math</t>
        </is>
      </c>
      <c r="K426" s="2" t="n">
        <v>40</v>
      </c>
      <c r="L426" s="2" t="n">
        <v>35</v>
      </c>
      <c r="M426" s="5" t="inlineStr">
        <is>
          <t>https://codeforces.com/problemset/problem/750/C</t>
        </is>
      </c>
      <c r="N426" s="3" t="n"/>
    </row>
    <row r="427" ht="20.1" customHeight="1">
      <c r="A427" s="6" t="inlineStr">
        <is>
          <t>Unsolved</t>
        </is>
      </c>
      <c r="B427" s="7" t="inlineStr">
        <is>
          <t>Recursion &amp; Backtracking</t>
        </is>
      </c>
      <c r="C427" s="7" t="inlineStr">
        <is>
          <t>Basic Recursion</t>
        </is>
      </c>
      <c r="D427" s="6" t="inlineStr">
        <is>
          <t>863C</t>
        </is>
      </c>
      <c r="E427" s="6" t="n">
        <v>863</v>
      </c>
      <c r="F427" s="6" t="inlineStr">
        <is>
          <t>C</t>
        </is>
      </c>
      <c r="G427" s="7" t="inlineStr">
        <is>
          <t>1-2-3</t>
        </is>
      </c>
      <c r="H427" s="6" t="n">
        <v>1800</v>
      </c>
      <c r="I427" s="10" t="inlineStr">
        <is>
          <t>Hard</t>
        </is>
      </c>
      <c r="J427" s="7" t="inlineStr">
        <is>
          <t>graphs, implementation</t>
        </is>
      </c>
      <c r="K427" s="6" t="n">
        <v>60</v>
      </c>
      <c r="L427" s="6" t="n">
        <v>55</v>
      </c>
      <c r="M427" s="8" t="inlineStr">
        <is>
          <t>https://codeforces.com/problemset/problem/863/C</t>
        </is>
      </c>
      <c r="N427" s="7" t="n"/>
    </row>
    <row r="428" ht="20.1" customHeight="1">
      <c r="A428" s="2" t="inlineStr">
        <is>
          <t>Unsolved</t>
        </is>
      </c>
      <c r="B428" s="3" t="inlineStr">
        <is>
          <t>Recursion &amp; Backtracking</t>
        </is>
      </c>
      <c r="C428" s="3" t="inlineStr">
        <is>
          <t>Basic Recursion</t>
        </is>
      </c>
      <c r="D428" s="2" t="inlineStr">
        <is>
          <t>1030C</t>
        </is>
      </c>
      <c r="E428" s="2" t="n">
        <v>1030</v>
      </c>
      <c r="F428" s="2" t="inlineStr">
        <is>
          <t>C</t>
        </is>
      </c>
      <c r="G428" s="3" t="inlineStr">
        <is>
          <t>Vasya and Golden Ticket</t>
        </is>
      </c>
      <c r="H428" s="2" t="n">
        <v>1300</v>
      </c>
      <c r="I428" s="9" t="inlineStr">
        <is>
          <t>Medium</t>
        </is>
      </c>
      <c r="J428" s="3" t="inlineStr">
        <is>
          <t>implementation</t>
        </is>
      </c>
      <c r="K428" s="2" t="n">
        <v>25</v>
      </c>
      <c r="L428" s="2" t="n">
        <v>20</v>
      </c>
      <c r="M428" s="5" t="inlineStr">
        <is>
          <t>https://codeforces.com/problemset/problem/1030/C</t>
        </is>
      </c>
      <c r="N428" s="3" t="n"/>
    </row>
    <row r="429" ht="20.1" customHeight="1">
      <c r="A429" s="6" t="inlineStr">
        <is>
          <t>Unsolved</t>
        </is>
      </c>
      <c r="B429" s="7" t="inlineStr">
        <is>
          <t>Recursion &amp; Backtracking</t>
        </is>
      </c>
      <c r="C429" s="7" t="inlineStr">
        <is>
          <t>Basic Recursion</t>
        </is>
      </c>
      <c r="D429" s="6" t="inlineStr">
        <is>
          <t>1174B</t>
        </is>
      </c>
      <c r="E429" s="6" t="n">
        <v>1174</v>
      </c>
      <c r="F429" s="6" t="inlineStr">
        <is>
          <t>B</t>
        </is>
      </c>
      <c r="G429" s="7" t="inlineStr">
        <is>
          <t>Ehab Is an Odd Person</t>
        </is>
      </c>
      <c r="H429" s="6" t="n">
        <v>1200</v>
      </c>
      <c r="I429" s="4" t="inlineStr">
        <is>
          <t>Easy+</t>
        </is>
      </c>
      <c r="J429" s="7" t="inlineStr">
        <is>
          <t>sortings</t>
        </is>
      </c>
      <c r="K429" s="6" t="n">
        <v>25</v>
      </c>
      <c r="L429" s="6" t="n">
        <v>20</v>
      </c>
      <c r="M429" s="8" t="inlineStr">
        <is>
          <t>https://codeforces.com/problemset/problem/1174/B</t>
        </is>
      </c>
      <c r="N429" s="7" t="n"/>
    </row>
    <row r="430" ht="20.1" customHeight="1">
      <c r="A430" s="2" t="inlineStr">
        <is>
          <t>Unsolved</t>
        </is>
      </c>
      <c r="B430" s="3" t="inlineStr">
        <is>
          <t>Recursion &amp; Backtracking</t>
        </is>
      </c>
      <c r="C430" s="3" t="inlineStr">
        <is>
          <t>Basic Recursion</t>
        </is>
      </c>
      <c r="D430" s="2" t="inlineStr">
        <is>
          <t>1363C</t>
        </is>
      </c>
      <c r="E430" s="2" t="n">
        <v>1363</v>
      </c>
      <c r="F430" s="2" t="inlineStr">
        <is>
          <t>C</t>
        </is>
      </c>
      <c r="G430" s="3" t="inlineStr">
        <is>
          <t>Game On Leaves</t>
        </is>
      </c>
      <c r="H430" s="2" t="n">
        <v>1600</v>
      </c>
      <c r="I430" s="9" t="inlineStr">
        <is>
          <t>Medium+</t>
        </is>
      </c>
      <c r="J430" s="3" t="inlineStr">
        <is>
          <t>games, trees</t>
        </is>
      </c>
      <c r="K430" s="2" t="n">
        <v>40</v>
      </c>
      <c r="L430" s="2" t="n">
        <v>35</v>
      </c>
      <c r="M430" s="5" t="inlineStr">
        <is>
          <t>https://codeforces.com/problemset/problem/1363/C</t>
        </is>
      </c>
      <c r="N430" s="3" t="n"/>
    </row>
    <row r="431" ht="20.1" customHeight="1">
      <c r="A431" s="6" t="inlineStr">
        <is>
          <t>Unsolved</t>
        </is>
      </c>
      <c r="B431" s="7" t="inlineStr">
        <is>
          <t>Recursion &amp; Backtracking</t>
        </is>
      </c>
      <c r="C431" s="7" t="inlineStr">
        <is>
          <t>Basic Recursion</t>
        </is>
      </c>
      <c r="D431" s="6" t="inlineStr">
        <is>
          <t>1454E</t>
        </is>
      </c>
      <c r="E431" s="6" t="n">
        <v>1454</v>
      </c>
      <c r="F431" s="6" t="inlineStr">
        <is>
          <t>E</t>
        </is>
      </c>
      <c r="G431" s="7" t="inlineStr">
        <is>
          <t>Number of Simple Paths</t>
        </is>
      </c>
      <c r="H431" s="6" t="n">
        <v>2000</v>
      </c>
      <c r="I431" s="10" t="inlineStr">
        <is>
          <t>Hard+</t>
        </is>
      </c>
      <c r="J431" s="7" t="inlineStr">
        <is>
          <t>combinatorics, dfs and similar, graphs, trees</t>
        </is>
      </c>
      <c r="K431" s="6" t="n">
        <v>90</v>
      </c>
      <c r="L431" s="6" t="n">
        <v>80</v>
      </c>
      <c r="M431" s="8" t="inlineStr">
        <is>
          <t>https://codeforces.com/problemset/problem/1454/E</t>
        </is>
      </c>
      <c r="N431" s="7" t="n"/>
    </row>
    <row r="432" ht="20.1" customHeight="1">
      <c r="A432" s="2" t="inlineStr">
        <is>
          <t>Unsolved</t>
        </is>
      </c>
      <c r="B432" s="3" t="inlineStr">
        <is>
          <t>Recursion &amp; Backtracking</t>
        </is>
      </c>
      <c r="C432" s="3" t="inlineStr">
        <is>
          <t>Brute Force with Backtracking</t>
        </is>
      </c>
      <c r="D432" s="2" t="inlineStr">
        <is>
          <t>525B</t>
        </is>
      </c>
      <c r="E432" s="2" t="n">
        <v>525</v>
      </c>
      <c r="F432" s="2" t="inlineStr">
        <is>
          <t>B</t>
        </is>
      </c>
      <c r="G432" s="3" t="inlineStr">
        <is>
          <t>Pasha and String</t>
        </is>
      </c>
      <c r="H432" s="2" t="n">
        <v>1400</v>
      </c>
      <c r="I432" s="9" t="inlineStr">
        <is>
          <t>Medium</t>
        </is>
      </c>
      <c r="J432" s="3" t="inlineStr">
        <is>
          <t>constructive algorithms, greedy, math, strings</t>
        </is>
      </c>
      <c r="K432" s="2" t="n">
        <v>40</v>
      </c>
      <c r="L432" s="2" t="n">
        <v>35</v>
      </c>
      <c r="M432" s="5" t="inlineStr">
        <is>
          <t>https://codeforces.com/problemset/problem/525/B</t>
        </is>
      </c>
      <c r="N432" s="3" t="n"/>
    </row>
    <row r="433" ht="20.1" customHeight="1">
      <c r="A433" s="6" t="inlineStr">
        <is>
          <t>Unsolved</t>
        </is>
      </c>
      <c r="B433" s="7" t="inlineStr">
        <is>
          <t>Recursion &amp; Backtracking</t>
        </is>
      </c>
      <c r="C433" s="7" t="inlineStr">
        <is>
          <t>Brute Force with Backtracking</t>
        </is>
      </c>
      <c r="D433" s="6" t="inlineStr">
        <is>
          <t>525C</t>
        </is>
      </c>
      <c r="E433" s="6" t="n">
        <v>525</v>
      </c>
      <c r="F433" s="6" t="inlineStr">
        <is>
          <t>C</t>
        </is>
      </c>
      <c r="G433" s="7" t="inlineStr">
        <is>
          <t>Ilya and Sticks</t>
        </is>
      </c>
      <c r="H433" s="6" t="n">
        <v>1600</v>
      </c>
      <c r="I433" s="9" t="inlineStr">
        <is>
          <t>Medium+</t>
        </is>
      </c>
      <c r="J433" s="7" t="inlineStr">
        <is>
          <t>greedy, math, sortings</t>
        </is>
      </c>
      <c r="K433" s="6" t="n">
        <v>40</v>
      </c>
      <c r="L433" s="6" t="n">
        <v>35</v>
      </c>
      <c r="M433" s="8" t="inlineStr">
        <is>
          <t>https://codeforces.com/problemset/problem/525/C</t>
        </is>
      </c>
      <c r="N433" s="7" t="n"/>
    </row>
    <row r="434" ht="20.1" customHeight="1">
      <c r="A434" s="2" t="inlineStr">
        <is>
          <t>Unsolved</t>
        </is>
      </c>
      <c r="B434" s="3" t="inlineStr">
        <is>
          <t>Recursion &amp; Backtracking</t>
        </is>
      </c>
      <c r="C434" s="3" t="inlineStr">
        <is>
          <t>Brute Force with Backtracking</t>
        </is>
      </c>
      <c r="D434" s="2" t="inlineStr">
        <is>
          <t>550B</t>
        </is>
      </c>
      <c r="E434" s="2" t="n">
        <v>550</v>
      </c>
      <c r="F434" s="2" t="inlineStr">
        <is>
          <t>B</t>
        </is>
      </c>
      <c r="G434" s="3" t="inlineStr">
        <is>
          <t>Preparing Olympiad</t>
        </is>
      </c>
      <c r="H434" s="2" t="n">
        <v>1400</v>
      </c>
      <c r="I434" s="9" t="inlineStr">
        <is>
          <t>Medium</t>
        </is>
      </c>
      <c r="J434" s="3" t="inlineStr">
        <is>
          <t>bitmasks, brute force</t>
        </is>
      </c>
      <c r="K434" s="2" t="n">
        <v>40</v>
      </c>
      <c r="L434" s="2" t="n">
        <v>35</v>
      </c>
      <c r="M434" s="5" t="inlineStr">
        <is>
          <t>https://codeforces.com/problemset/problem/550/B</t>
        </is>
      </c>
      <c r="N434" s="3" t="n"/>
    </row>
    <row r="435" ht="20.1" customHeight="1">
      <c r="A435" s="6" t="inlineStr">
        <is>
          <t>Unsolved</t>
        </is>
      </c>
      <c r="B435" s="7" t="inlineStr">
        <is>
          <t>Recursion &amp; Backtracking</t>
        </is>
      </c>
      <c r="C435" s="7" t="inlineStr">
        <is>
          <t>Brute Force with Backtracking</t>
        </is>
      </c>
      <c r="D435" s="6" t="inlineStr">
        <is>
          <t>580C</t>
        </is>
      </c>
      <c r="E435" s="6" t="n">
        <v>580</v>
      </c>
      <c r="F435" s="6" t="inlineStr">
        <is>
          <t>C</t>
        </is>
      </c>
      <c r="G435" s="7" t="inlineStr">
        <is>
          <t>Kefa and Park</t>
        </is>
      </c>
      <c r="H435" s="6" t="n">
        <v>1500</v>
      </c>
      <c r="I435" s="9" t="inlineStr">
        <is>
          <t>Medium+</t>
        </is>
      </c>
      <c r="J435" s="7" t="inlineStr">
        <is>
          <t>dfs and similar, graphs, trees</t>
        </is>
      </c>
      <c r="K435" s="6" t="n">
        <v>40</v>
      </c>
      <c r="L435" s="6" t="n">
        <v>35</v>
      </c>
      <c r="M435" s="8" t="inlineStr">
        <is>
          <t>https://codeforces.com/problemset/problem/580/C</t>
        </is>
      </c>
      <c r="N435" s="7" t="n"/>
    </row>
    <row r="436" ht="20.1" customHeight="1">
      <c r="A436" s="2" t="inlineStr">
        <is>
          <t>Unsolved</t>
        </is>
      </c>
      <c r="B436" s="3" t="inlineStr">
        <is>
          <t>Recursion &amp; Backtracking</t>
        </is>
      </c>
      <c r="C436" s="3" t="inlineStr">
        <is>
          <t>Brute Force with Backtracking</t>
        </is>
      </c>
      <c r="D436" s="2" t="inlineStr">
        <is>
          <t>750D</t>
        </is>
      </c>
      <c r="E436" s="2" t="n">
        <v>750</v>
      </c>
      <c r="F436" s="2" t="inlineStr">
        <is>
          <t>D</t>
        </is>
      </c>
      <c r="G436" s="3" t="inlineStr">
        <is>
          <t>New Year and Fireworks</t>
        </is>
      </c>
      <c r="H436" s="2" t="n">
        <v>1900</v>
      </c>
      <c r="I436" s="10" t="inlineStr">
        <is>
          <t>Hard+</t>
        </is>
      </c>
      <c r="J436" s="3" t="inlineStr">
        <is>
          <t>brute force, data structures, dfs and similar, dp, implementation</t>
        </is>
      </c>
      <c r="K436" s="2" t="n">
        <v>60</v>
      </c>
      <c r="L436" s="2" t="n">
        <v>55</v>
      </c>
      <c r="M436" s="5" t="inlineStr">
        <is>
          <t>https://codeforces.com/problemset/problem/750/D</t>
        </is>
      </c>
      <c r="N436" s="3" t="n"/>
    </row>
    <row r="437" ht="20.1" customHeight="1">
      <c r="A437" s="6" t="inlineStr">
        <is>
          <t>Unsolved</t>
        </is>
      </c>
      <c r="B437" s="7" t="inlineStr">
        <is>
          <t>Recursion &amp; Backtracking</t>
        </is>
      </c>
      <c r="C437" s="7" t="inlineStr">
        <is>
          <t>Brute Force with Backtracking</t>
        </is>
      </c>
      <c r="D437" s="6" t="inlineStr">
        <is>
          <t>864C</t>
        </is>
      </c>
      <c r="E437" s="6" t="n">
        <v>864</v>
      </c>
      <c r="F437" s="6" t="inlineStr">
        <is>
          <t>C</t>
        </is>
      </c>
      <c r="G437" s="7" t="inlineStr">
        <is>
          <t>Bus</t>
        </is>
      </c>
      <c r="H437" s="6" t="n">
        <v>1500</v>
      </c>
      <c r="I437" s="9" t="inlineStr">
        <is>
          <t>Medium+</t>
        </is>
      </c>
      <c r="J437" s="7" t="inlineStr">
        <is>
          <t>greedy, implementation, math</t>
        </is>
      </c>
      <c r="K437" s="6" t="n">
        <v>40</v>
      </c>
      <c r="L437" s="6" t="n">
        <v>35</v>
      </c>
      <c r="M437" s="8" t="inlineStr">
        <is>
          <t>https://codeforces.com/problemset/problem/864/C</t>
        </is>
      </c>
      <c r="N437" s="7" t="n"/>
    </row>
    <row r="438" ht="20.1" customHeight="1">
      <c r="A438" s="2" t="inlineStr">
        <is>
          <t>Unsolved</t>
        </is>
      </c>
      <c r="B438" s="3" t="inlineStr">
        <is>
          <t>Recursion &amp; Backtracking</t>
        </is>
      </c>
      <c r="C438" s="3" t="inlineStr">
        <is>
          <t>Brute Force with Backtracking</t>
        </is>
      </c>
      <c r="D438" s="2" t="inlineStr">
        <is>
          <t>903D</t>
        </is>
      </c>
      <c r="E438" s="2" t="n">
        <v>903</v>
      </c>
      <c r="F438" s="2" t="inlineStr">
        <is>
          <t>D</t>
        </is>
      </c>
      <c r="G438" s="3" t="inlineStr">
        <is>
          <t>Almost Difference</t>
        </is>
      </c>
      <c r="H438" s="2" t="n">
        <v>2200</v>
      </c>
      <c r="I438" s="12" t="inlineStr">
        <is>
          <t>Expert</t>
        </is>
      </c>
      <c r="J438" s="3" t="inlineStr">
        <is>
          <t>data structures, math</t>
        </is>
      </c>
      <c r="K438" s="2" t="n">
        <v>90</v>
      </c>
      <c r="L438" s="2" t="n">
        <v>80</v>
      </c>
      <c r="M438" s="5" t="inlineStr">
        <is>
          <t>https://codeforces.com/problemset/problem/903/D</t>
        </is>
      </c>
      <c r="N438" s="3" t="n"/>
    </row>
    <row r="439" ht="20.1" customHeight="1">
      <c r="A439" s="6" t="inlineStr">
        <is>
          <t>Unsolved</t>
        </is>
      </c>
      <c r="B439" s="7" t="inlineStr">
        <is>
          <t>Recursion &amp; Backtracking</t>
        </is>
      </c>
      <c r="C439" s="7" t="inlineStr">
        <is>
          <t>Brute Force with Backtracking</t>
        </is>
      </c>
      <c r="D439" s="6" t="inlineStr">
        <is>
          <t>996C</t>
        </is>
      </c>
      <c r="E439" s="6" t="n">
        <v>996</v>
      </c>
      <c r="F439" s="6" t="inlineStr">
        <is>
          <t>C</t>
        </is>
      </c>
      <c r="G439" s="7" t="inlineStr">
        <is>
          <t>UNKNOWN</t>
        </is>
      </c>
      <c r="H439" s="6" t="inlineStr">
        <is>
          <t>UNKNOWN</t>
        </is>
      </c>
      <c r="I439" s="11" t="inlineStr">
        <is>
          <t>UNKNOWN</t>
        </is>
      </c>
      <c r="J439" s="7" t="inlineStr">
        <is>
          <t>UNKNOWN</t>
        </is>
      </c>
      <c r="K439" s="6" t="n">
        <v>0</v>
      </c>
      <c r="L439" s="6" t="n">
        <v>0</v>
      </c>
      <c r="M439" s="8" t="inlineStr">
        <is>
          <t>https://codeforces.com/problemset/problem/996/C</t>
        </is>
      </c>
      <c r="N439" s="7" t="n"/>
    </row>
    <row r="440" ht="20.1" customHeight="1">
      <c r="A440" s="2" t="inlineStr">
        <is>
          <t>Unsolved</t>
        </is>
      </c>
      <c r="B440" s="3" t="inlineStr">
        <is>
          <t>Recursion &amp; Backtracking</t>
        </is>
      </c>
      <c r="C440" s="3" t="inlineStr">
        <is>
          <t>Brute Force with Backtracking</t>
        </is>
      </c>
      <c r="D440" s="2" t="inlineStr">
        <is>
          <t>1059B</t>
        </is>
      </c>
      <c r="E440" s="2" t="n">
        <v>1059</v>
      </c>
      <c r="F440" s="2" t="inlineStr">
        <is>
          <t>B</t>
        </is>
      </c>
      <c r="G440" s="3" t="inlineStr">
        <is>
          <t>Forgery</t>
        </is>
      </c>
      <c r="H440" s="2" t="n">
        <v>1300</v>
      </c>
      <c r="I440" s="9" t="inlineStr">
        <is>
          <t>Medium</t>
        </is>
      </c>
      <c r="J440" s="3" t="inlineStr">
        <is>
          <t>implementation</t>
        </is>
      </c>
      <c r="K440" s="2" t="n">
        <v>25</v>
      </c>
      <c r="L440" s="2" t="n">
        <v>20</v>
      </c>
      <c r="M440" s="5" t="inlineStr">
        <is>
          <t>https://codeforces.com/problemset/problem/1059/B</t>
        </is>
      </c>
      <c r="N440" s="3" t="n"/>
    </row>
    <row r="441" ht="20.1" customHeight="1">
      <c r="A441" s="6" t="inlineStr">
        <is>
          <t>Unsolved</t>
        </is>
      </c>
      <c r="B441" s="7" t="inlineStr">
        <is>
          <t>Recursion &amp; Backtracking</t>
        </is>
      </c>
      <c r="C441" s="7" t="inlineStr">
        <is>
          <t>Brute Force with Backtracking</t>
        </is>
      </c>
      <c r="D441" s="6" t="inlineStr">
        <is>
          <t>1182C</t>
        </is>
      </c>
      <c r="E441" s="6" t="n">
        <v>1182</v>
      </c>
      <c r="F441" s="6" t="inlineStr">
        <is>
          <t>C</t>
        </is>
      </c>
      <c r="G441" s="7" t="inlineStr">
        <is>
          <t>Beautiful Lyrics</t>
        </is>
      </c>
      <c r="H441" s="6" t="n">
        <v>1700</v>
      </c>
      <c r="I441" s="10" t="inlineStr">
        <is>
          <t>Hard</t>
        </is>
      </c>
      <c r="J441" s="7" t="inlineStr">
        <is>
          <t>data structures, greedy, strings</t>
        </is>
      </c>
      <c r="K441" s="6" t="n">
        <v>60</v>
      </c>
      <c r="L441" s="6" t="n">
        <v>55</v>
      </c>
      <c r="M441" s="8" t="inlineStr">
        <is>
          <t>https://codeforces.com/problemset/problem/1182/C</t>
        </is>
      </c>
      <c r="N441" s="7" t="n"/>
    </row>
    <row r="442" ht="20.1" customHeight="1">
      <c r="A442" s="2" t="inlineStr">
        <is>
          <t>Unsolved</t>
        </is>
      </c>
      <c r="B442" s="3" t="inlineStr">
        <is>
          <t>Recursion &amp; Backtracking</t>
        </is>
      </c>
      <c r="C442" s="3" t="inlineStr">
        <is>
          <t>Brute Force with Backtracking</t>
        </is>
      </c>
      <c r="D442" s="2" t="inlineStr">
        <is>
          <t>1243B2</t>
        </is>
      </c>
      <c r="E442" s="2" t="n">
        <v>1243</v>
      </c>
      <c r="F442" s="2" t="inlineStr">
        <is>
          <t>B2</t>
        </is>
      </c>
      <c r="G442" s="3" t="inlineStr">
        <is>
          <t>Character Swap (Hard Version)</t>
        </is>
      </c>
      <c r="H442" s="2" t="n">
        <v>1600</v>
      </c>
      <c r="I442" s="9" t="inlineStr">
        <is>
          <t>Medium+</t>
        </is>
      </c>
      <c r="J442" s="3" t="inlineStr">
        <is>
          <t>strings</t>
        </is>
      </c>
      <c r="K442" s="2" t="n">
        <v>40</v>
      </c>
      <c r="L442" s="2" t="n">
        <v>35</v>
      </c>
      <c r="M442" s="5" t="inlineStr">
        <is>
          <t>https://codeforces.com/problemset/problem/1243/B2</t>
        </is>
      </c>
      <c r="N442" s="3" t="n"/>
    </row>
    <row r="443" ht="20.1" customHeight="1">
      <c r="A443" s="6" t="inlineStr">
        <is>
          <t>Unsolved</t>
        </is>
      </c>
      <c r="B443" s="7" t="inlineStr">
        <is>
          <t>Recursion &amp; Backtracking</t>
        </is>
      </c>
      <c r="C443" s="7" t="inlineStr">
        <is>
          <t>Brute Force with Backtracking</t>
        </is>
      </c>
      <c r="D443" s="6" t="inlineStr">
        <is>
          <t>1301A</t>
        </is>
      </c>
      <c r="E443" s="6" t="n">
        <v>1301</v>
      </c>
      <c r="F443" s="6" t="inlineStr">
        <is>
          <t>A</t>
        </is>
      </c>
      <c r="G443" s="7" t="inlineStr">
        <is>
          <t>Three Strings</t>
        </is>
      </c>
      <c r="H443" s="6" t="n">
        <v>800</v>
      </c>
      <c r="I443" s="4" t="inlineStr">
        <is>
          <t>Easy</t>
        </is>
      </c>
      <c r="J443" s="7" t="inlineStr">
        <is>
          <t>implementation, strings</t>
        </is>
      </c>
      <c r="K443" s="6" t="n">
        <v>15</v>
      </c>
      <c r="L443" s="6" t="n">
        <v>10</v>
      </c>
      <c r="M443" s="8" t="inlineStr">
        <is>
          <t>https://codeforces.com/problemset/problem/1301/A</t>
        </is>
      </c>
      <c r="N443" s="7" t="n"/>
    </row>
    <row r="444" ht="20.1" customHeight="1">
      <c r="A444" s="2" t="inlineStr">
        <is>
          <t>Unsolved</t>
        </is>
      </c>
      <c r="B444" s="3" t="inlineStr">
        <is>
          <t>Recursion &amp; Backtracking</t>
        </is>
      </c>
      <c r="C444" s="3" t="inlineStr">
        <is>
          <t>Brute Force with Backtracking</t>
        </is>
      </c>
      <c r="D444" s="2" t="inlineStr">
        <is>
          <t>1385D</t>
        </is>
      </c>
      <c r="E444" s="2" t="n">
        <v>1385</v>
      </c>
      <c r="F444" s="2" t="inlineStr">
        <is>
          <t>D</t>
        </is>
      </c>
      <c r="G444" s="3" t="inlineStr">
        <is>
          <t>a-Good String</t>
        </is>
      </c>
      <c r="H444" s="2" t="n">
        <v>1500</v>
      </c>
      <c r="I444" s="9" t="inlineStr">
        <is>
          <t>Medium+</t>
        </is>
      </c>
      <c r="J444" s="3" t="inlineStr">
        <is>
          <t>bitmasks, brute force, divide and conquer, dp, implementation</t>
        </is>
      </c>
      <c r="K444" s="2" t="n">
        <v>40</v>
      </c>
      <c r="L444" s="2" t="n">
        <v>35</v>
      </c>
      <c r="M444" s="5" t="inlineStr">
        <is>
          <t>https://codeforces.com/problemset/problem/1385/D</t>
        </is>
      </c>
      <c r="N444" s="3" t="n"/>
    </row>
    <row r="445" ht="20.1" customHeight="1">
      <c r="A445" s="6" t="inlineStr">
        <is>
          <t>Unsolved</t>
        </is>
      </c>
      <c r="B445" s="7" t="inlineStr">
        <is>
          <t>Recursion &amp; Backtracking</t>
        </is>
      </c>
      <c r="C445" s="7" t="inlineStr">
        <is>
          <t>Brute Force with Backtracking</t>
        </is>
      </c>
      <c r="D445" s="6" t="inlineStr">
        <is>
          <t>1450B</t>
        </is>
      </c>
      <c r="E445" s="6" t="n">
        <v>1450</v>
      </c>
      <c r="F445" s="6" t="inlineStr">
        <is>
          <t>B</t>
        </is>
      </c>
      <c r="G445" s="7" t="inlineStr">
        <is>
          <t>Balls of Steel</t>
        </is>
      </c>
      <c r="H445" s="6" t="n">
        <v>1000</v>
      </c>
      <c r="I445" s="4" t="inlineStr">
        <is>
          <t>Easy+</t>
        </is>
      </c>
      <c r="J445" s="7" t="inlineStr">
        <is>
          <t>brute force, geometry, greedy</t>
        </is>
      </c>
      <c r="K445" s="6" t="n">
        <v>15</v>
      </c>
      <c r="L445" s="6" t="n">
        <v>10</v>
      </c>
      <c r="M445" s="8" t="inlineStr">
        <is>
          <t>https://codeforces.com/problemset/problem/1450/B</t>
        </is>
      </c>
      <c r="N445" s="7" t="n"/>
    </row>
    <row r="446" ht="20.1" customHeight="1">
      <c r="A446" s="2" t="inlineStr">
        <is>
          <t>Unsolved</t>
        </is>
      </c>
      <c r="B446" s="3" t="inlineStr">
        <is>
          <t>Recursion &amp; Backtracking</t>
        </is>
      </c>
      <c r="C446" s="3" t="inlineStr">
        <is>
          <t>Brute Force with Backtracking</t>
        </is>
      </c>
      <c r="D446" s="2" t="inlineStr">
        <is>
          <t>1501C</t>
        </is>
      </c>
      <c r="E446" s="2" t="n">
        <v>1501</v>
      </c>
      <c r="F446" s="2" t="inlineStr">
        <is>
          <t>C</t>
        </is>
      </c>
      <c r="G446" s="3" t="inlineStr">
        <is>
          <t>UNKNOWN</t>
        </is>
      </c>
      <c r="H446" s="2" t="inlineStr">
        <is>
          <t>UNKNOWN</t>
        </is>
      </c>
      <c r="I446" s="11" t="inlineStr">
        <is>
          <t>UNKNOWN</t>
        </is>
      </c>
      <c r="J446" s="3" t="inlineStr">
        <is>
          <t>UNKNOWN</t>
        </is>
      </c>
      <c r="K446" s="2" t="n">
        <v>0</v>
      </c>
      <c r="L446" s="2" t="n">
        <v>0</v>
      </c>
      <c r="M446" s="5" t="inlineStr">
        <is>
          <t>https://codeforces.com/problemset/problem/1501/C</t>
        </is>
      </c>
      <c r="N446" s="3" t="n"/>
    </row>
    <row r="447" ht="20.1" customHeight="1">
      <c r="A447" s="6" t="inlineStr">
        <is>
          <t>Unsolved</t>
        </is>
      </c>
      <c r="B447" s="7" t="inlineStr">
        <is>
          <t>Recursion &amp; Backtracking</t>
        </is>
      </c>
      <c r="C447" s="7" t="inlineStr">
        <is>
          <t>Generate All Possibilities</t>
        </is>
      </c>
      <c r="D447" s="6" t="inlineStr">
        <is>
          <t>1189A</t>
        </is>
      </c>
      <c r="E447" s="6" t="n">
        <v>1189</v>
      </c>
      <c r="F447" s="6" t="inlineStr">
        <is>
          <t>A</t>
        </is>
      </c>
      <c r="G447" s="7" t="inlineStr">
        <is>
          <t>Keanu Reeves</t>
        </is>
      </c>
      <c r="H447" s="6" t="n">
        <v>800</v>
      </c>
      <c r="I447" s="4" t="inlineStr">
        <is>
          <t>Easy</t>
        </is>
      </c>
      <c r="J447" s="7" t="inlineStr">
        <is>
          <t>strings</t>
        </is>
      </c>
      <c r="K447" s="6" t="n">
        <v>15</v>
      </c>
      <c r="L447" s="6" t="n">
        <v>10</v>
      </c>
      <c r="M447" s="8" t="inlineStr">
        <is>
          <t>https://codeforces.com/problemset/problem/1189/A</t>
        </is>
      </c>
      <c r="N447" s="7" t="n"/>
    </row>
    <row r="448" ht="20.1" customHeight="1">
      <c r="A448" s="2" t="inlineStr">
        <is>
          <t>Unsolved</t>
        </is>
      </c>
      <c r="B448" s="3" t="inlineStr">
        <is>
          <t>Recursion &amp; Backtracking</t>
        </is>
      </c>
      <c r="C448" s="3" t="inlineStr">
        <is>
          <t>Generate All Possibilities</t>
        </is>
      </c>
      <c r="D448" s="2" t="inlineStr">
        <is>
          <t>1225C</t>
        </is>
      </c>
      <c r="E448" s="2" t="n">
        <v>1225</v>
      </c>
      <c r="F448" s="2" t="inlineStr">
        <is>
          <t>C</t>
        </is>
      </c>
      <c r="G448" s="3" t="inlineStr">
        <is>
          <t>p-binary</t>
        </is>
      </c>
      <c r="H448" s="2" t="n">
        <v>1600</v>
      </c>
      <c r="I448" s="9" t="inlineStr">
        <is>
          <t>Medium+</t>
        </is>
      </c>
      <c r="J448" s="3" t="inlineStr">
        <is>
          <t>bitmasks, brute force, math</t>
        </is>
      </c>
      <c r="K448" s="2" t="n">
        <v>40</v>
      </c>
      <c r="L448" s="2" t="n">
        <v>35</v>
      </c>
      <c r="M448" s="5" t="inlineStr">
        <is>
          <t>https://codeforces.com/problemset/problem/1225/C</t>
        </is>
      </c>
      <c r="N448" s="3" t="n"/>
    </row>
    <row r="449" ht="20.1" customHeight="1">
      <c r="A449" s="6" t="inlineStr">
        <is>
          <t>Unsolved</t>
        </is>
      </c>
      <c r="B449" s="7" t="inlineStr">
        <is>
          <t>Recursion &amp; Backtracking</t>
        </is>
      </c>
      <c r="C449" s="7" t="inlineStr">
        <is>
          <t>Generate All Possibilities</t>
        </is>
      </c>
      <c r="D449" s="6" t="inlineStr">
        <is>
          <t>1266C</t>
        </is>
      </c>
      <c r="E449" s="6" t="n">
        <v>1266</v>
      </c>
      <c r="F449" s="6" t="inlineStr">
        <is>
          <t>C</t>
        </is>
      </c>
      <c r="G449" s="7" t="inlineStr">
        <is>
          <t>Diverse Matrix</t>
        </is>
      </c>
      <c r="H449" s="6" t="n">
        <v>1400</v>
      </c>
      <c r="I449" s="9" t="inlineStr">
        <is>
          <t>Medium</t>
        </is>
      </c>
      <c r="J449" s="7" t="inlineStr">
        <is>
          <t>constructive algorithms, greedy, math, number theory</t>
        </is>
      </c>
      <c r="K449" s="6" t="n">
        <v>40</v>
      </c>
      <c r="L449" s="6" t="n">
        <v>35</v>
      </c>
      <c r="M449" s="8" t="inlineStr">
        <is>
          <t>https://codeforces.com/problemset/problem/1266/C</t>
        </is>
      </c>
      <c r="N449" s="7" t="n"/>
    </row>
    <row r="450" ht="20.1" customHeight="1">
      <c r="A450" s="2" t="inlineStr">
        <is>
          <t>Unsolved</t>
        </is>
      </c>
      <c r="B450" s="3" t="inlineStr">
        <is>
          <t>Recursion &amp; Backtracking</t>
        </is>
      </c>
      <c r="C450" s="3" t="inlineStr">
        <is>
          <t>Generate All Possibilities</t>
        </is>
      </c>
      <c r="D450" s="2" t="inlineStr">
        <is>
          <t>1366C</t>
        </is>
      </c>
      <c r="E450" s="2" t="n">
        <v>1366</v>
      </c>
      <c r="F450" s="2" t="inlineStr">
        <is>
          <t>C</t>
        </is>
      </c>
      <c r="G450" s="3" t="inlineStr">
        <is>
          <t>Palindromic Paths</t>
        </is>
      </c>
      <c r="H450" s="2" t="n">
        <v>1500</v>
      </c>
      <c r="I450" s="9" t="inlineStr">
        <is>
          <t>Medium+</t>
        </is>
      </c>
      <c r="J450" s="3" t="inlineStr">
        <is>
          <t>greedy, math</t>
        </is>
      </c>
      <c r="K450" s="2" t="n">
        <v>40</v>
      </c>
      <c r="L450" s="2" t="n">
        <v>35</v>
      </c>
      <c r="M450" s="5" t="inlineStr">
        <is>
          <t>https://codeforces.com/problemset/problem/1366/C</t>
        </is>
      </c>
      <c r="N450" s="3" t="n"/>
    </row>
    <row r="451" ht="20.1" customHeight="1">
      <c r="A451" s="6" t="inlineStr">
        <is>
          <t>Unsolved</t>
        </is>
      </c>
      <c r="B451" s="7" t="inlineStr">
        <is>
          <t>Recursion &amp; Backtracking</t>
        </is>
      </c>
      <c r="C451" s="7" t="inlineStr">
        <is>
          <t>Generate All Possibilities</t>
        </is>
      </c>
      <c r="D451" s="6" t="inlineStr">
        <is>
          <t>1453C</t>
        </is>
      </c>
      <c r="E451" s="6" t="n">
        <v>1453</v>
      </c>
      <c r="F451" s="6" t="inlineStr">
        <is>
          <t>C</t>
        </is>
      </c>
      <c r="G451" s="7" t="inlineStr">
        <is>
          <t>Triangles</t>
        </is>
      </c>
      <c r="H451" s="6" t="n">
        <v>1700</v>
      </c>
      <c r="I451" s="10" t="inlineStr">
        <is>
          <t>Hard</t>
        </is>
      </c>
      <c r="J451" s="7" t="inlineStr">
        <is>
          <t>greedy, implementation</t>
        </is>
      </c>
      <c r="K451" s="6" t="n">
        <v>60</v>
      </c>
      <c r="L451" s="6" t="n">
        <v>55</v>
      </c>
      <c r="M451" s="8" t="inlineStr">
        <is>
          <t>https://codeforces.com/problemset/problem/1453/C</t>
        </is>
      </c>
      <c r="N451" s="7" t="n"/>
    </row>
    <row r="452" ht="20.1" customHeight="1">
      <c r="A452" s="2" t="inlineStr">
        <is>
          <t>Unsolved</t>
        </is>
      </c>
      <c r="B452" s="3" t="inlineStr">
        <is>
          <t>Recursion &amp; Backtracking</t>
        </is>
      </c>
      <c r="C452" s="3" t="inlineStr">
        <is>
          <t>Generate All Possibilities</t>
        </is>
      </c>
      <c r="D452" s="2" t="inlineStr">
        <is>
          <t>1492D</t>
        </is>
      </c>
      <c r="E452" s="2" t="n">
        <v>1492</v>
      </c>
      <c r="F452" s="2" t="inlineStr">
        <is>
          <t>D</t>
        </is>
      </c>
      <c r="G452" s="3" t="inlineStr">
        <is>
          <t>Genius's Gambit</t>
        </is>
      </c>
      <c r="H452" s="2" t="n">
        <v>1900</v>
      </c>
      <c r="I452" s="10" t="inlineStr">
        <is>
          <t>Hard+</t>
        </is>
      </c>
      <c r="J452" s="3" t="inlineStr">
        <is>
          <t>bitmasks, constructive algorithms, greedy, math</t>
        </is>
      </c>
      <c r="K452" s="2" t="n">
        <v>60</v>
      </c>
      <c r="L452" s="2" t="n">
        <v>55</v>
      </c>
      <c r="M452" s="5" t="inlineStr">
        <is>
          <t>https://codeforces.com/problemset/problem/1492/D</t>
        </is>
      </c>
      <c r="N452" s="3" t="n"/>
    </row>
    <row r="453" ht="20.1" customHeight="1">
      <c r="A453" s="6" t="inlineStr">
        <is>
          <t>Unsolved</t>
        </is>
      </c>
      <c r="B453" s="7" t="inlineStr">
        <is>
          <t>Recursion &amp; Backtracking</t>
        </is>
      </c>
      <c r="C453" s="7" t="inlineStr">
        <is>
          <t>Recursive Divide Construction</t>
        </is>
      </c>
      <c r="D453" s="6" t="inlineStr">
        <is>
          <t>873D</t>
        </is>
      </c>
      <c r="E453" s="6" t="n">
        <v>873</v>
      </c>
      <c r="F453" s="6" t="inlineStr">
        <is>
          <t>D</t>
        </is>
      </c>
      <c r="G453" s="7" t="inlineStr">
        <is>
          <t>Merge Sort</t>
        </is>
      </c>
      <c r="H453" s="6" t="n">
        <v>1800</v>
      </c>
      <c r="I453" s="10" t="inlineStr">
        <is>
          <t>Hard</t>
        </is>
      </c>
      <c r="J453" s="7" t="inlineStr">
        <is>
          <t>constructive algorithms, divide and conquer</t>
        </is>
      </c>
      <c r="K453" s="6" t="n">
        <v>60</v>
      </c>
      <c r="L453" s="6" t="n">
        <v>55</v>
      </c>
      <c r="M453" s="8" t="inlineStr">
        <is>
          <t>https://codeforces.com/problemset/problem/873/D</t>
        </is>
      </c>
      <c r="N453" s="7" t="n"/>
    </row>
    <row r="454" ht="20.1" customHeight="1">
      <c r="A454" s="2" t="inlineStr">
        <is>
          <t>Unsolved</t>
        </is>
      </c>
      <c r="B454" s="3" t="inlineStr">
        <is>
          <t>Recursion &amp; Backtracking</t>
        </is>
      </c>
      <c r="C454" s="3" t="inlineStr">
        <is>
          <t>Recursive Divide Construction</t>
        </is>
      </c>
      <c r="D454" s="2" t="inlineStr">
        <is>
          <t>1114E</t>
        </is>
      </c>
      <c r="E454" s="2" t="n">
        <v>1114</v>
      </c>
      <c r="F454" s="2" t="inlineStr">
        <is>
          <t>E</t>
        </is>
      </c>
      <c r="G454" s="3" t="inlineStr">
        <is>
          <t>Arithmetic Progression</t>
        </is>
      </c>
      <c r="H454" s="2" t="n">
        <v>2200</v>
      </c>
      <c r="I454" s="12" t="inlineStr">
        <is>
          <t>Expert</t>
        </is>
      </c>
      <c r="J454" s="3" t="inlineStr">
        <is>
          <t>binary search, interactive, number theory, probabilities</t>
        </is>
      </c>
      <c r="K454" s="2" t="n">
        <v>90</v>
      </c>
      <c r="L454" s="2" t="n">
        <v>80</v>
      </c>
      <c r="M454" s="5" t="inlineStr">
        <is>
          <t>https://codeforces.com/problemset/problem/1114/E</t>
        </is>
      </c>
      <c r="N454" s="3" t="n"/>
    </row>
    <row r="455" ht="20.1" customHeight="1">
      <c r="A455" s="6" t="inlineStr">
        <is>
          <t>Unsolved</t>
        </is>
      </c>
      <c r="B455" s="7" t="inlineStr">
        <is>
          <t>Recursion &amp; Backtracking</t>
        </is>
      </c>
      <c r="C455" s="7" t="inlineStr">
        <is>
          <t>Recursive Divide Construction</t>
        </is>
      </c>
      <c r="D455" s="6" t="inlineStr">
        <is>
          <t>1283D</t>
        </is>
      </c>
      <c r="E455" s="6" t="n">
        <v>1283</v>
      </c>
      <c r="F455" s="6" t="inlineStr">
        <is>
          <t>D</t>
        </is>
      </c>
      <c r="G455" s="7" t="inlineStr">
        <is>
          <t>Christmas Trees</t>
        </is>
      </c>
      <c r="H455" s="6" t="n">
        <v>1800</v>
      </c>
      <c r="I455" s="10" t="inlineStr">
        <is>
          <t>Hard</t>
        </is>
      </c>
      <c r="J455" s="7" t="inlineStr">
        <is>
          <t>graphs, greedy, shortest paths</t>
        </is>
      </c>
      <c r="K455" s="6" t="n">
        <v>60</v>
      </c>
      <c r="L455" s="6" t="n">
        <v>55</v>
      </c>
      <c r="M455" s="8" t="inlineStr">
        <is>
          <t>https://codeforces.com/problemset/problem/1283/D</t>
        </is>
      </c>
      <c r="N455" s="7" t="n"/>
    </row>
    <row r="456" ht="20.1" customHeight="1">
      <c r="A456" s="2" t="inlineStr">
        <is>
          <t>Unsolved</t>
        </is>
      </c>
      <c r="B456" s="3" t="inlineStr">
        <is>
          <t>Recursion &amp; Backtracking</t>
        </is>
      </c>
      <c r="C456" s="3" t="inlineStr">
        <is>
          <t>Recursive Divide Construction</t>
        </is>
      </c>
      <c r="D456" s="2" t="inlineStr">
        <is>
          <t>1408E</t>
        </is>
      </c>
      <c r="E456" s="2" t="n">
        <v>1408</v>
      </c>
      <c r="F456" s="2" t="inlineStr">
        <is>
          <t>E</t>
        </is>
      </c>
      <c r="G456" s="3" t="inlineStr">
        <is>
          <t>Avoid Rainbow Cycles</t>
        </is>
      </c>
      <c r="H456" s="2" t="n">
        <v>2400</v>
      </c>
      <c r="I456" s="12" t="inlineStr">
        <is>
          <t>Master</t>
        </is>
      </c>
      <c r="J456" s="3" t="inlineStr">
        <is>
          <t>data structures, dsu, graphs, greedy, sortings, trees</t>
        </is>
      </c>
      <c r="K456" s="2" t="n">
        <v>120</v>
      </c>
      <c r="L456" s="2" t="n">
        <v>110</v>
      </c>
      <c r="M456" s="5" t="inlineStr">
        <is>
          <t>https://codeforces.com/problemset/problem/1408/E</t>
        </is>
      </c>
      <c r="N456" s="3" t="n"/>
    </row>
    <row r="457" ht="20.1" customHeight="1">
      <c r="A457" s="6" t="inlineStr">
        <is>
          <t>Unsolved</t>
        </is>
      </c>
      <c r="B457" s="7" t="inlineStr">
        <is>
          <t>Stack &amp; Monotonic Stack</t>
        </is>
      </c>
      <c r="C457" s="7" t="inlineStr">
        <is>
          <t>Basic Stack</t>
        </is>
      </c>
      <c r="D457" s="6" t="inlineStr">
        <is>
          <t>56E</t>
        </is>
      </c>
      <c r="E457" s="6" t="n">
        <v>56</v>
      </c>
      <c r="F457" s="6" t="inlineStr">
        <is>
          <t>E</t>
        </is>
      </c>
      <c r="G457" s="7" t="inlineStr">
        <is>
          <t>Domino Principle</t>
        </is>
      </c>
      <c r="H457" s="6" t="n">
        <v>2200</v>
      </c>
      <c r="I457" s="12" t="inlineStr">
        <is>
          <t>Expert</t>
        </is>
      </c>
      <c r="J457" s="7" t="inlineStr">
        <is>
          <t>binary search, data structures, sortings</t>
        </is>
      </c>
      <c r="K457" s="6" t="n">
        <v>90</v>
      </c>
      <c r="L457" s="6" t="n">
        <v>80</v>
      </c>
      <c r="M457" s="8" t="inlineStr">
        <is>
          <t>https://codeforces.com/problemset/problem/56/E</t>
        </is>
      </c>
      <c r="N457" s="7" t="n"/>
    </row>
    <row r="458" ht="20.1" customHeight="1">
      <c r="A458" s="2" t="inlineStr">
        <is>
          <t>Unsolved</t>
        </is>
      </c>
      <c r="B458" s="3" t="inlineStr">
        <is>
          <t>Stack &amp; Monotonic Stack</t>
        </is>
      </c>
      <c r="C458" s="3" t="inlineStr">
        <is>
          <t>Basic Stack</t>
        </is>
      </c>
      <c r="D458" s="2" t="inlineStr">
        <is>
          <t>343B</t>
        </is>
      </c>
      <c r="E458" s="2" t="n">
        <v>343</v>
      </c>
      <c r="F458" s="2" t="inlineStr">
        <is>
          <t>B</t>
        </is>
      </c>
      <c r="G458" s="3" t="inlineStr">
        <is>
          <t>Alternating Current</t>
        </is>
      </c>
      <c r="H458" s="2" t="n">
        <v>1600</v>
      </c>
      <c r="I458" s="9" t="inlineStr">
        <is>
          <t>Medium+</t>
        </is>
      </c>
      <c r="J458" s="3" t="inlineStr">
        <is>
          <t>data structures, greedy, implementation</t>
        </is>
      </c>
      <c r="K458" s="2" t="n">
        <v>40</v>
      </c>
      <c r="L458" s="2" t="n">
        <v>35</v>
      </c>
      <c r="M458" s="5" t="inlineStr">
        <is>
          <t>https://codeforces.com/problemset/problem/343/B</t>
        </is>
      </c>
      <c r="N458" s="3" t="n"/>
    </row>
    <row r="459" ht="20.1" customHeight="1">
      <c r="A459" s="6" t="inlineStr">
        <is>
          <t>Unsolved</t>
        </is>
      </c>
      <c r="B459" s="7" t="inlineStr">
        <is>
          <t>Stack &amp; Monotonic Stack</t>
        </is>
      </c>
      <c r="C459" s="7" t="inlineStr">
        <is>
          <t>Basic Stack</t>
        </is>
      </c>
      <c r="D459" s="6" t="inlineStr">
        <is>
          <t>847B</t>
        </is>
      </c>
      <c r="E459" s="6" t="n">
        <v>847</v>
      </c>
      <c r="F459" s="6" t="inlineStr">
        <is>
          <t>B</t>
        </is>
      </c>
      <c r="G459" s="7" t="inlineStr">
        <is>
          <t>Preparing for Merge Sort</t>
        </is>
      </c>
      <c r="H459" s="6" t="n">
        <v>1600</v>
      </c>
      <c r="I459" s="9" t="inlineStr">
        <is>
          <t>Medium+</t>
        </is>
      </c>
      <c r="J459" s="7" t="inlineStr">
        <is>
          <t>binary search, data structures</t>
        </is>
      </c>
      <c r="K459" s="6" t="n">
        <v>40</v>
      </c>
      <c r="L459" s="6" t="n">
        <v>35</v>
      </c>
      <c r="M459" s="8" t="inlineStr">
        <is>
          <t>https://codeforces.com/problemset/problem/847/B</t>
        </is>
      </c>
      <c r="N459" s="7" t="n"/>
    </row>
    <row r="460" ht="20.1" customHeight="1">
      <c r="A460" s="2" t="inlineStr">
        <is>
          <t>Unsolved</t>
        </is>
      </c>
      <c r="B460" s="3" t="inlineStr">
        <is>
          <t>Stack &amp; Monotonic Stack</t>
        </is>
      </c>
      <c r="C460" s="3" t="inlineStr">
        <is>
          <t>Basic Stack</t>
        </is>
      </c>
      <c r="D460" s="2" t="inlineStr">
        <is>
          <t>1003A</t>
        </is>
      </c>
      <c r="E460" s="2" t="n">
        <v>1003</v>
      </c>
      <c r="F460" s="2" t="inlineStr">
        <is>
          <t>A</t>
        </is>
      </c>
      <c r="G460" s="3" t="inlineStr">
        <is>
          <t>Polycarp's Pockets</t>
        </is>
      </c>
      <c r="H460" s="2" t="n">
        <v>800</v>
      </c>
      <c r="I460" s="4" t="inlineStr">
        <is>
          <t>Easy</t>
        </is>
      </c>
      <c r="J460" s="3" t="inlineStr">
        <is>
          <t>implementation</t>
        </is>
      </c>
      <c r="K460" s="2" t="n">
        <v>15</v>
      </c>
      <c r="L460" s="2" t="n">
        <v>10</v>
      </c>
      <c r="M460" s="5" t="inlineStr">
        <is>
          <t>https://codeforces.com/problemset/problem/1003/A</t>
        </is>
      </c>
      <c r="N460" s="3" t="n"/>
    </row>
    <row r="461" ht="20.1" customHeight="1">
      <c r="A461" s="6" t="inlineStr">
        <is>
          <t>Unsolved</t>
        </is>
      </c>
      <c r="B461" s="7" t="inlineStr">
        <is>
          <t>Stack &amp; Monotonic Stack</t>
        </is>
      </c>
      <c r="C461" s="7" t="inlineStr">
        <is>
          <t>Basic Stack</t>
        </is>
      </c>
      <c r="D461" s="6" t="inlineStr">
        <is>
          <t>1073B</t>
        </is>
      </c>
      <c r="E461" s="6" t="n">
        <v>1073</v>
      </c>
      <c r="F461" s="6" t="inlineStr">
        <is>
          <t>B</t>
        </is>
      </c>
      <c r="G461" s="7" t="inlineStr">
        <is>
          <t>Vasya and Books</t>
        </is>
      </c>
      <c r="H461" s="6" t="n">
        <v>1000</v>
      </c>
      <c r="I461" s="4" t="inlineStr">
        <is>
          <t>Easy+</t>
        </is>
      </c>
      <c r="J461" s="7" t="inlineStr">
        <is>
          <t>implementation, math</t>
        </is>
      </c>
      <c r="K461" s="6" t="n">
        <v>15</v>
      </c>
      <c r="L461" s="6" t="n">
        <v>10</v>
      </c>
      <c r="M461" s="8" t="inlineStr">
        <is>
          <t>https://codeforces.com/problemset/problem/1073/B</t>
        </is>
      </c>
      <c r="N461" s="7" t="n"/>
    </row>
    <row r="462" ht="20.1" customHeight="1">
      <c r="A462" s="2" t="inlineStr">
        <is>
          <t>Unsolved</t>
        </is>
      </c>
      <c r="B462" s="3" t="inlineStr">
        <is>
          <t>Stack &amp; Monotonic Stack</t>
        </is>
      </c>
      <c r="C462" s="3" t="inlineStr">
        <is>
          <t>Basic Stack</t>
        </is>
      </c>
      <c r="D462" s="2" t="inlineStr">
        <is>
          <t>1092D1</t>
        </is>
      </c>
      <c r="E462" s="2" t="n">
        <v>1092</v>
      </c>
      <c r="F462" s="2" t="inlineStr">
        <is>
          <t>D1</t>
        </is>
      </c>
      <c r="G462" s="3" t="inlineStr">
        <is>
          <t>Great Vova Wall (Version 1)</t>
        </is>
      </c>
      <c r="H462" s="2" t="n">
        <v>2200</v>
      </c>
      <c r="I462" s="12" t="inlineStr">
        <is>
          <t>Expert</t>
        </is>
      </c>
      <c r="J462" s="3" t="inlineStr">
        <is>
          <t>greedy, implementation, math</t>
        </is>
      </c>
      <c r="K462" s="2" t="n">
        <v>90</v>
      </c>
      <c r="L462" s="2" t="n">
        <v>80</v>
      </c>
      <c r="M462" s="5" t="inlineStr">
        <is>
          <t>https://codeforces.com/problemset/problem/1092/D1</t>
        </is>
      </c>
      <c r="N462" s="3" t="n"/>
    </row>
    <row r="463" ht="20.1" customHeight="1">
      <c r="A463" s="6" t="inlineStr">
        <is>
          <t>Unsolved</t>
        </is>
      </c>
      <c r="B463" s="7" t="inlineStr">
        <is>
          <t>Stack &amp; Monotonic Stack</t>
        </is>
      </c>
      <c r="C463" s="7" t="inlineStr">
        <is>
          <t>Basic Stack</t>
        </is>
      </c>
      <c r="D463" s="6" t="inlineStr">
        <is>
          <t>1092D2</t>
        </is>
      </c>
      <c r="E463" s="6" t="n">
        <v>1092</v>
      </c>
      <c r="F463" s="6" t="inlineStr">
        <is>
          <t>D2</t>
        </is>
      </c>
      <c r="G463" s="7" t="inlineStr">
        <is>
          <t>Great Vova Wall (Version 2)</t>
        </is>
      </c>
      <c r="H463" s="6" t="n">
        <v>2200</v>
      </c>
      <c r="I463" s="12" t="inlineStr">
        <is>
          <t>Expert</t>
        </is>
      </c>
      <c r="J463" s="7" t="inlineStr">
        <is>
          <t>data structures, implementation</t>
        </is>
      </c>
      <c r="K463" s="6" t="n">
        <v>90</v>
      </c>
      <c r="L463" s="6" t="n">
        <v>80</v>
      </c>
      <c r="M463" s="8" t="inlineStr">
        <is>
          <t>https://codeforces.com/problemset/problem/1092/D2</t>
        </is>
      </c>
      <c r="N463" s="7" t="n"/>
    </row>
    <row r="464" ht="20.1" customHeight="1">
      <c r="A464" s="2" t="inlineStr">
        <is>
          <t>Unsolved</t>
        </is>
      </c>
      <c r="B464" s="3" t="inlineStr">
        <is>
          <t>Stack &amp; Monotonic Stack</t>
        </is>
      </c>
      <c r="C464" s="3" t="inlineStr">
        <is>
          <t>Basic Stack</t>
        </is>
      </c>
      <c r="D464" s="2" t="inlineStr">
        <is>
          <t>1154E</t>
        </is>
      </c>
      <c r="E464" s="2" t="n">
        <v>1154</v>
      </c>
      <c r="F464" s="2" t="inlineStr">
        <is>
          <t>E</t>
        </is>
      </c>
      <c r="G464" s="3" t="inlineStr">
        <is>
          <t>Two Teams</t>
        </is>
      </c>
      <c r="H464" s="2" t="n">
        <v>1800</v>
      </c>
      <c r="I464" s="10" t="inlineStr">
        <is>
          <t>Hard</t>
        </is>
      </c>
      <c r="J464" s="3" t="inlineStr">
        <is>
          <t>data structures, implementation, sortings</t>
        </is>
      </c>
      <c r="K464" s="2" t="n">
        <v>60</v>
      </c>
      <c r="L464" s="2" t="n">
        <v>55</v>
      </c>
      <c r="M464" s="5" t="inlineStr">
        <is>
          <t>https://codeforces.com/problemset/problem/1154/E</t>
        </is>
      </c>
      <c r="N464" s="3" t="n"/>
    </row>
    <row r="465" ht="20.1" customHeight="1">
      <c r="A465" s="6" t="inlineStr">
        <is>
          <t>Unsolved</t>
        </is>
      </c>
      <c r="B465" s="7" t="inlineStr">
        <is>
          <t>Stack &amp; Monotonic Stack</t>
        </is>
      </c>
      <c r="C465" s="7" t="inlineStr">
        <is>
          <t>Basic Stack</t>
        </is>
      </c>
      <c r="D465" s="6" t="inlineStr">
        <is>
          <t>1263C</t>
        </is>
      </c>
      <c r="E465" s="6" t="n">
        <v>1263</v>
      </c>
      <c r="F465" s="6" t="inlineStr">
        <is>
          <t>C</t>
        </is>
      </c>
      <c r="G465" s="7" t="inlineStr">
        <is>
          <t>Everyone is a Winner!</t>
        </is>
      </c>
      <c r="H465" s="6" t="n">
        <v>1400</v>
      </c>
      <c r="I465" s="9" t="inlineStr">
        <is>
          <t>Medium</t>
        </is>
      </c>
      <c r="J465" s="7" t="inlineStr">
        <is>
          <t>binary search, math, meet-in-the-middle, number theory</t>
        </is>
      </c>
      <c r="K465" s="6" t="n">
        <v>40</v>
      </c>
      <c r="L465" s="6" t="n">
        <v>35</v>
      </c>
      <c r="M465" s="8" t="inlineStr">
        <is>
          <t>https://codeforces.com/problemset/problem/1263/C</t>
        </is>
      </c>
      <c r="N465" s="7" t="n"/>
    </row>
    <row r="466" ht="20.1" customHeight="1">
      <c r="A466" s="2" t="inlineStr">
        <is>
          <t>Unsolved</t>
        </is>
      </c>
      <c r="B466" s="3" t="inlineStr">
        <is>
          <t>Stack &amp; Monotonic Stack</t>
        </is>
      </c>
      <c r="C466" s="3" t="inlineStr">
        <is>
          <t>Basic Stack</t>
        </is>
      </c>
      <c r="D466" s="2" t="inlineStr">
        <is>
          <t>1375C</t>
        </is>
      </c>
      <c r="E466" s="2" t="n">
        <v>1375</v>
      </c>
      <c r="F466" s="2" t="inlineStr">
        <is>
          <t>C</t>
        </is>
      </c>
      <c r="G466" s="3" t="inlineStr">
        <is>
          <t>Element Extermination</t>
        </is>
      </c>
      <c r="H466" s="2" t="n">
        <v>1400</v>
      </c>
      <c r="I466" s="9" t="inlineStr">
        <is>
          <t>Medium</t>
        </is>
      </c>
      <c r="J466" s="3" t="inlineStr">
        <is>
          <t>constructive algorithms, data structures, greedy</t>
        </is>
      </c>
      <c r="K466" s="2" t="n">
        <v>40</v>
      </c>
      <c r="L466" s="2" t="n">
        <v>35</v>
      </c>
      <c r="M466" s="5" t="inlineStr">
        <is>
          <t>https://codeforces.com/problemset/problem/1375/C</t>
        </is>
      </c>
      <c r="N466" s="3" t="n"/>
    </row>
    <row r="467" ht="20.1" customHeight="1">
      <c r="A467" s="6" t="inlineStr">
        <is>
          <t>Unsolved</t>
        </is>
      </c>
      <c r="B467" s="7" t="inlineStr">
        <is>
          <t>Stack &amp; Monotonic Stack</t>
        </is>
      </c>
      <c r="C467" s="7" t="inlineStr">
        <is>
          <t>Basic Stack</t>
        </is>
      </c>
      <c r="D467" s="6" t="inlineStr">
        <is>
          <t>1445A</t>
        </is>
      </c>
      <c r="E467" s="6" t="n">
        <v>1445</v>
      </c>
      <c r="F467" s="6" t="inlineStr">
        <is>
          <t>A</t>
        </is>
      </c>
      <c r="G467" s="7" t="inlineStr">
        <is>
          <t>Array Rearrangment</t>
        </is>
      </c>
      <c r="H467" s="6" t="n">
        <v>800</v>
      </c>
      <c r="I467" s="4" t="inlineStr">
        <is>
          <t>Easy</t>
        </is>
      </c>
      <c r="J467" s="7" t="inlineStr">
        <is>
          <t>greedy, sortings</t>
        </is>
      </c>
      <c r="K467" s="6" t="n">
        <v>15</v>
      </c>
      <c r="L467" s="6" t="n">
        <v>10</v>
      </c>
      <c r="M467" s="8" t="inlineStr">
        <is>
          <t>https://codeforces.com/problemset/problem/1445/A</t>
        </is>
      </c>
      <c r="N467" s="7" t="n"/>
    </row>
    <row r="468" ht="20.1" customHeight="1">
      <c r="A468" s="2" t="inlineStr">
        <is>
          <t>Unsolved</t>
        </is>
      </c>
      <c r="B468" s="3" t="inlineStr">
        <is>
          <t>Stack &amp; Monotonic Stack</t>
        </is>
      </c>
      <c r="C468" s="3" t="inlineStr">
        <is>
          <t>Basic Stack</t>
        </is>
      </c>
      <c r="D468" s="2" t="inlineStr">
        <is>
          <t>1462B</t>
        </is>
      </c>
      <c r="E468" s="2" t="n">
        <v>1462</v>
      </c>
      <c r="F468" s="2" t="inlineStr">
        <is>
          <t>B</t>
        </is>
      </c>
      <c r="G468" s="3" t="inlineStr">
        <is>
          <t>Last Year's Substring</t>
        </is>
      </c>
      <c r="H468" s="2" t="n">
        <v>800</v>
      </c>
      <c r="I468" s="4" t="inlineStr">
        <is>
          <t>Easy</t>
        </is>
      </c>
      <c r="J468" s="3" t="inlineStr">
        <is>
          <t>dp, implementation, strings</t>
        </is>
      </c>
      <c r="K468" s="2" t="n">
        <v>15</v>
      </c>
      <c r="L468" s="2" t="n">
        <v>10</v>
      </c>
      <c r="M468" s="5" t="inlineStr">
        <is>
          <t>https://codeforces.com/problemset/problem/1462/B</t>
        </is>
      </c>
      <c r="N468" s="3" t="n"/>
    </row>
    <row r="469" ht="20.1" customHeight="1">
      <c r="A469" s="6" t="inlineStr">
        <is>
          <t>Unsolved</t>
        </is>
      </c>
      <c r="B469" s="7" t="inlineStr">
        <is>
          <t>Stack &amp; Monotonic Stack</t>
        </is>
      </c>
      <c r="C469" s="7" t="inlineStr">
        <is>
          <t>Parentheses</t>
        </is>
      </c>
      <c r="D469" s="6" t="inlineStr">
        <is>
          <t>5C</t>
        </is>
      </c>
      <c r="E469" s="6" t="n">
        <v>5</v>
      </c>
      <c r="F469" s="6" t="inlineStr">
        <is>
          <t>C</t>
        </is>
      </c>
      <c r="G469" s="7" t="inlineStr">
        <is>
          <t>Longest Regular Bracket Sequence</t>
        </is>
      </c>
      <c r="H469" s="6" t="n">
        <v>1900</v>
      </c>
      <c r="I469" s="10" t="inlineStr">
        <is>
          <t>Hard+</t>
        </is>
      </c>
      <c r="J469" s="7" t="inlineStr">
        <is>
          <t>constructive algorithms, data structures, dp, greedy, sortings, strings</t>
        </is>
      </c>
      <c r="K469" s="6" t="n">
        <v>60</v>
      </c>
      <c r="L469" s="6" t="n">
        <v>55</v>
      </c>
      <c r="M469" s="8" t="inlineStr">
        <is>
          <t>https://codeforces.com/problemset/problem/5/C</t>
        </is>
      </c>
      <c r="N469" s="7" t="n"/>
    </row>
    <row r="470" ht="20.1" customHeight="1">
      <c r="A470" s="2" t="inlineStr">
        <is>
          <t>Unsolved</t>
        </is>
      </c>
      <c r="B470" s="3" t="inlineStr">
        <is>
          <t>Stack &amp; Monotonic Stack</t>
        </is>
      </c>
      <c r="C470" s="3" t="inlineStr">
        <is>
          <t>Parentheses</t>
        </is>
      </c>
      <c r="D470" s="2" t="inlineStr">
        <is>
          <t>26B</t>
        </is>
      </c>
      <c r="E470" s="2" t="n">
        <v>26</v>
      </c>
      <c r="F470" s="2" t="inlineStr">
        <is>
          <t>B</t>
        </is>
      </c>
      <c r="G470" s="3" t="inlineStr">
        <is>
          <t>Regular Bracket Sequence</t>
        </is>
      </c>
      <c r="H470" s="2" t="n">
        <v>1400</v>
      </c>
      <c r="I470" s="9" t="inlineStr">
        <is>
          <t>Medium</t>
        </is>
      </c>
      <c r="J470" s="3" t="inlineStr">
        <is>
          <t>greedy</t>
        </is>
      </c>
      <c r="K470" s="2" t="n">
        <v>40</v>
      </c>
      <c r="L470" s="2" t="n">
        <v>35</v>
      </c>
      <c r="M470" s="5" t="inlineStr">
        <is>
          <t>https://codeforces.com/problemset/problem/26/B</t>
        </is>
      </c>
      <c r="N470" s="3" t="n"/>
    </row>
    <row r="471" ht="20.1" customHeight="1">
      <c r="A471" s="6" t="inlineStr">
        <is>
          <t>Unsolved</t>
        </is>
      </c>
      <c r="B471" s="7" t="inlineStr">
        <is>
          <t>Stack &amp; Monotonic Stack</t>
        </is>
      </c>
      <c r="C471" s="7" t="inlineStr">
        <is>
          <t>Parentheses</t>
        </is>
      </c>
      <c r="D471" s="6" t="inlineStr">
        <is>
          <t>380C</t>
        </is>
      </c>
      <c r="E471" s="6" t="n">
        <v>380</v>
      </c>
      <c r="F471" s="6" t="inlineStr">
        <is>
          <t>C</t>
        </is>
      </c>
      <c r="G471" s="7" t="inlineStr">
        <is>
          <t>Sereja and Brackets</t>
        </is>
      </c>
      <c r="H471" s="6" t="n">
        <v>2000</v>
      </c>
      <c r="I471" s="10" t="inlineStr">
        <is>
          <t>Hard+</t>
        </is>
      </c>
      <c r="J471" s="7" t="inlineStr">
        <is>
          <t>data structures, schedules</t>
        </is>
      </c>
      <c r="K471" s="6" t="n">
        <v>90</v>
      </c>
      <c r="L471" s="6" t="n">
        <v>80</v>
      </c>
      <c r="M471" s="8" t="inlineStr">
        <is>
          <t>https://codeforces.com/problemset/problem/380/C</t>
        </is>
      </c>
      <c r="N471" s="7" t="n"/>
    </row>
    <row r="472" ht="20.1" customHeight="1">
      <c r="A472" s="2" t="inlineStr">
        <is>
          <t>Unsolved</t>
        </is>
      </c>
      <c r="B472" s="3" t="inlineStr">
        <is>
          <t>Stack &amp; Monotonic Stack</t>
        </is>
      </c>
      <c r="C472" s="3" t="inlineStr">
        <is>
          <t>Parentheses</t>
        </is>
      </c>
      <c r="D472" s="2" t="inlineStr">
        <is>
          <t>1095E</t>
        </is>
      </c>
      <c r="E472" s="2" t="n">
        <v>1095</v>
      </c>
      <c r="F472" s="2" t="inlineStr">
        <is>
          <t>E</t>
        </is>
      </c>
      <c r="G472" s="3" t="inlineStr">
        <is>
          <t>Almost Regular Bracket Sequence</t>
        </is>
      </c>
      <c r="H472" s="2" t="n">
        <v>1900</v>
      </c>
      <c r="I472" s="10" t="inlineStr">
        <is>
          <t>Hard+</t>
        </is>
      </c>
      <c r="J472" s="3" t="inlineStr">
        <is>
          <t>implementation</t>
        </is>
      </c>
      <c r="K472" s="2" t="n">
        <v>60</v>
      </c>
      <c r="L472" s="2" t="n">
        <v>55</v>
      </c>
      <c r="M472" s="5" t="inlineStr">
        <is>
          <t>https://codeforces.com/problemset/problem/1095/E</t>
        </is>
      </c>
      <c r="N472" s="3" t="n"/>
    </row>
    <row r="473" ht="20.1" customHeight="1">
      <c r="A473" s="6" t="inlineStr">
        <is>
          <t>Unsolved</t>
        </is>
      </c>
      <c r="B473" s="7" t="inlineStr">
        <is>
          <t>Stack &amp; Monotonic Stack</t>
        </is>
      </c>
      <c r="C473" s="7" t="inlineStr">
        <is>
          <t>Parentheses</t>
        </is>
      </c>
      <c r="D473" s="6" t="inlineStr">
        <is>
          <t>1153C</t>
        </is>
      </c>
      <c r="E473" s="6" t="n">
        <v>1153</v>
      </c>
      <c r="F473" s="6" t="inlineStr">
        <is>
          <t>C</t>
        </is>
      </c>
      <c r="G473" s="7" t="inlineStr">
        <is>
          <t>Serval and Parenthesis Sequence</t>
        </is>
      </c>
      <c r="H473" s="6" t="n">
        <v>1700</v>
      </c>
      <c r="I473" s="10" t="inlineStr">
        <is>
          <t>Hard</t>
        </is>
      </c>
      <c r="J473" s="7" t="inlineStr">
        <is>
          <t>greedy, strings</t>
        </is>
      </c>
      <c r="K473" s="6" t="n">
        <v>60</v>
      </c>
      <c r="L473" s="6" t="n">
        <v>55</v>
      </c>
      <c r="M473" s="8" t="inlineStr">
        <is>
          <t>https://codeforces.com/problemset/problem/1153/C</t>
        </is>
      </c>
      <c r="N473" s="7" t="n"/>
    </row>
    <row r="474" ht="20.1" customHeight="1">
      <c r="A474" s="2" t="inlineStr">
        <is>
          <t>Unsolved</t>
        </is>
      </c>
      <c r="B474" s="3" t="inlineStr">
        <is>
          <t>Stack &amp; Monotonic Stack</t>
        </is>
      </c>
      <c r="C474" s="3" t="inlineStr">
        <is>
          <t>Parentheses</t>
        </is>
      </c>
      <c r="D474" s="2" t="inlineStr">
        <is>
          <t>1305B</t>
        </is>
      </c>
      <c r="E474" s="2" t="n">
        <v>1305</v>
      </c>
      <c r="F474" s="2" t="inlineStr">
        <is>
          <t>B</t>
        </is>
      </c>
      <c r="G474" s="3" t="inlineStr">
        <is>
          <t>Kuroni and Simple Strings</t>
        </is>
      </c>
      <c r="H474" s="2" t="n">
        <v>1200</v>
      </c>
      <c r="I474" s="4" t="inlineStr">
        <is>
          <t>Easy+</t>
        </is>
      </c>
      <c r="J474" s="3" t="inlineStr">
        <is>
          <t>constructive algorithms, greedy, strings, two pointers</t>
        </is>
      </c>
      <c r="K474" s="2" t="n">
        <v>25</v>
      </c>
      <c r="L474" s="2" t="n">
        <v>20</v>
      </c>
      <c r="M474" s="5" t="inlineStr">
        <is>
          <t>https://codeforces.com/problemset/problem/1305/B</t>
        </is>
      </c>
      <c r="N474" s="3" t="n"/>
    </row>
    <row r="475" ht="20.1" customHeight="1">
      <c r="A475" s="6" t="inlineStr">
        <is>
          <t>Unsolved</t>
        </is>
      </c>
      <c r="B475" s="7" t="inlineStr">
        <is>
          <t>Stack &amp; Monotonic Stack</t>
        </is>
      </c>
      <c r="C475" s="7" t="inlineStr">
        <is>
          <t>Parentheses</t>
        </is>
      </c>
      <c r="D475" s="6" t="inlineStr">
        <is>
          <t>1452C</t>
        </is>
      </c>
      <c r="E475" s="6" t="n">
        <v>1452</v>
      </c>
      <c r="F475" s="6" t="inlineStr">
        <is>
          <t>C</t>
        </is>
      </c>
      <c r="G475" s="7" t="inlineStr">
        <is>
          <t>Two Brackets</t>
        </is>
      </c>
      <c r="H475" s="6" t="n">
        <v>800</v>
      </c>
      <c r="I475" s="4" t="inlineStr">
        <is>
          <t>Easy</t>
        </is>
      </c>
      <c r="J475" s="7" t="inlineStr">
        <is>
          <t>greedy</t>
        </is>
      </c>
      <c r="K475" s="6" t="n">
        <v>15</v>
      </c>
      <c r="L475" s="6" t="n">
        <v>10</v>
      </c>
      <c r="M475" s="8" t="inlineStr">
        <is>
          <t>https://codeforces.com/problemset/problem/1452/C</t>
        </is>
      </c>
      <c r="N475" s="7" t="n"/>
    </row>
    <row r="476" ht="20.1" customHeight="1">
      <c r="A476" s="2" t="inlineStr">
        <is>
          <t>Unsolved</t>
        </is>
      </c>
      <c r="B476" s="3" t="inlineStr">
        <is>
          <t>Stack &amp; Monotonic Stack</t>
        </is>
      </c>
      <c r="C476" s="3" t="inlineStr">
        <is>
          <t>Parentheses</t>
        </is>
      </c>
      <c r="D476" s="2" t="inlineStr">
        <is>
          <t>1578H</t>
        </is>
      </c>
      <c r="E476" s="2" t="n">
        <v>1578</v>
      </c>
      <c r="F476" s="2" t="inlineStr">
        <is>
          <t>H</t>
        </is>
      </c>
      <c r="G476" s="3" t="inlineStr">
        <is>
          <t>Higher Order Functions</t>
        </is>
      </c>
      <c r="H476" s="2" t="n">
        <v>1700</v>
      </c>
      <c r="I476" s="10" t="inlineStr">
        <is>
          <t>Hard</t>
        </is>
      </c>
      <c r="J476" s="3" t="inlineStr">
        <is>
          <t>implementation, strings</t>
        </is>
      </c>
      <c r="K476" s="2" t="n">
        <v>60</v>
      </c>
      <c r="L476" s="2" t="n">
        <v>55</v>
      </c>
      <c r="M476" s="5" t="inlineStr">
        <is>
          <t>https://codeforces.com/problemset/problem/1578/H</t>
        </is>
      </c>
      <c r="N476" s="3" t="n"/>
    </row>
    <row r="477" ht="20.1" customHeight="1">
      <c r="A477" s="6" t="inlineStr">
        <is>
          <t>Unsolved</t>
        </is>
      </c>
      <c r="B477" s="7" t="inlineStr">
        <is>
          <t>Stack &amp; Monotonic Stack</t>
        </is>
      </c>
      <c r="C477" s="7" t="inlineStr">
        <is>
          <t>Monotonic Stack</t>
        </is>
      </c>
      <c r="D477" s="6" t="inlineStr">
        <is>
          <t>547B</t>
        </is>
      </c>
      <c r="E477" s="6" t="n">
        <v>547</v>
      </c>
      <c r="F477" s="6" t="inlineStr">
        <is>
          <t>B</t>
        </is>
      </c>
      <c r="G477" s="7" t="inlineStr">
        <is>
          <t>Mike and Feet</t>
        </is>
      </c>
      <c r="H477" s="6" t="n">
        <v>1900</v>
      </c>
      <c r="I477" s="10" t="inlineStr">
        <is>
          <t>Hard+</t>
        </is>
      </c>
      <c r="J477" s="7" t="inlineStr">
        <is>
          <t>binary search, data structures, dp, dsu</t>
        </is>
      </c>
      <c r="K477" s="6" t="n">
        <v>60</v>
      </c>
      <c r="L477" s="6" t="n">
        <v>55</v>
      </c>
      <c r="M477" s="8" t="inlineStr">
        <is>
          <t>https://codeforces.com/problemset/problem/547/B</t>
        </is>
      </c>
      <c r="N477" s="7" t="n"/>
    </row>
    <row r="478" ht="20.1" customHeight="1">
      <c r="A478" s="2" t="inlineStr">
        <is>
          <t>Unsolved</t>
        </is>
      </c>
      <c r="B478" s="3" t="inlineStr">
        <is>
          <t>Stack &amp; Monotonic Stack</t>
        </is>
      </c>
      <c r="C478" s="3" t="inlineStr">
        <is>
          <t>Monotonic Stack</t>
        </is>
      </c>
      <c r="D478" s="2" t="inlineStr">
        <is>
          <t>817D</t>
        </is>
      </c>
      <c r="E478" s="2" t="n">
        <v>817</v>
      </c>
      <c r="F478" s="2" t="inlineStr">
        <is>
          <t>D</t>
        </is>
      </c>
      <c r="G478" s="3" t="inlineStr">
        <is>
          <t>Imbalanced Array</t>
        </is>
      </c>
      <c r="H478" s="2" t="n">
        <v>1900</v>
      </c>
      <c r="I478" s="10" t="inlineStr">
        <is>
          <t>Hard+</t>
        </is>
      </c>
      <c r="J478" s="3" t="inlineStr">
        <is>
          <t>data structures, divide and conquer, dsu, sortings</t>
        </is>
      </c>
      <c r="K478" s="2" t="n">
        <v>60</v>
      </c>
      <c r="L478" s="2" t="n">
        <v>55</v>
      </c>
      <c r="M478" s="5" t="inlineStr">
        <is>
          <t>https://codeforces.com/problemset/problem/817/D</t>
        </is>
      </c>
      <c r="N478" s="3" t="n"/>
    </row>
    <row r="479" ht="20.1" customHeight="1">
      <c r="A479" s="6" t="inlineStr">
        <is>
          <t>Unsolved</t>
        </is>
      </c>
      <c r="B479" s="7" t="inlineStr">
        <is>
          <t>Stack &amp; Monotonic Stack</t>
        </is>
      </c>
      <c r="C479" s="7" t="inlineStr">
        <is>
          <t>Monotonic Stack</t>
        </is>
      </c>
      <c r="D479" s="6" t="inlineStr">
        <is>
          <t>920F</t>
        </is>
      </c>
      <c r="E479" s="6" t="n">
        <v>920</v>
      </c>
      <c r="F479" s="6" t="inlineStr">
        <is>
          <t>F</t>
        </is>
      </c>
      <c r="G479" s="7" t="inlineStr">
        <is>
          <t>SUM and REPLACE</t>
        </is>
      </c>
      <c r="H479" s="6" t="n">
        <v>2000</v>
      </c>
      <c r="I479" s="10" t="inlineStr">
        <is>
          <t>Hard+</t>
        </is>
      </c>
      <c r="J479" s="7" t="inlineStr">
        <is>
          <t>brute force, data structures, dsu, number theory</t>
        </is>
      </c>
      <c r="K479" s="6" t="n">
        <v>90</v>
      </c>
      <c r="L479" s="6" t="n">
        <v>80</v>
      </c>
      <c r="M479" s="8" t="inlineStr">
        <is>
          <t>https://codeforces.com/problemset/problem/920/F</t>
        </is>
      </c>
      <c r="N479" s="7" t="n"/>
    </row>
    <row r="480" ht="20.1" customHeight="1">
      <c r="A480" s="2" t="inlineStr">
        <is>
          <t>Unsolved</t>
        </is>
      </c>
      <c r="B480" s="3" t="inlineStr">
        <is>
          <t>Stack &amp; Monotonic Stack</t>
        </is>
      </c>
      <c r="C480" s="3" t="inlineStr">
        <is>
          <t>Monotonic Stack</t>
        </is>
      </c>
      <c r="D480" s="2" t="inlineStr">
        <is>
          <t>1156E</t>
        </is>
      </c>
      <c r="E480" s="2" t="n">
        <v>1156</v>
      </c>
      <c r="F480" s="2" t="inlineStr">
        <is>
          <t>E</t>
        </is>
      </c>
      <c r="G480" s="3" t="inlineStr">
        <is>
          <t>Special Segments of Permutation</t>
        </is>
      </c>
      <c r="H480" s="2" t="n">
        <v>2200</v>
      </c>
      <c r="I480" s="12" t="inlineStr">
        <is>
          <t>Expert</t>
        </is>
      </c>
      <c r="J480" s="3" t="inlineStr">
        <is>
          <t>data structures, divide and conquer, dsu, two pointers</t>
        </is>
      </c>
      <c r="K480" s="2" t="n">
        <v>90</v>
      </c>
      <c r="L480" s="2" t="n">
        <v>80</v>
      </c>
      <c r="M480" s="5" t="inlineStr">
        <is>
          <t>https://codeforces.com/problemset/problem/1156/E</t>
        </is>
      </c>
      <c r="N480" s="3" t="n"/>
    </row>
    <row r="481" ht="20.1" customHeight="1">
      <c r="A481" s="6" t="inlineStr">
        <is>
          <t>Unsolved</t>
        </is>
      </c>
      <c r="B481" s="7" t="inlineStr">
        <is>
          <t>Stack &amp; Monotonic Stack</t>
        </is>
      </c>
      <c r="C481" s="7" t="inlineStr">
        <is>
          <t>Monotonic Stack</t>
        </is>
      </c>
      <c r="D481" s="6" t="inlineStr">
        <is>
          <t>1237D</t>
        </is>
      </c>
      <c r="E481" s="6" t="n">
        <v>1237</v>
      </c>
      <c r="F481" s="6" t="inlineStr">
        <is>
          <t>D</t>
        </is>
      </c>
      <c r="G481" s="7" t="inlineStr">
        <is>
          <t>Balanced Playlist</t>
        </is>
      </c>
      <c r="H481" s="6" t="n">
        <v>2000</v>
      </c>
      <c r="I481" s="10" t="inlineStr">
        <is>
          <t>Hard+</t>
        </is>
      </c>
      <c r="J481" s="7" t="inlineStr">
        <is>
          <t>binary search, data structures, implementation</t>
        </is>
      </c>
      <c r="K481" s="6" t="n">
        <v>90</v>
      </c>
      <c r="L481" s="6" t="n">
        <v>80</v>
      </c>
      <c r="M481" s="8" t="inlineStr">
        <is>
          <t>https://codeforces.com/problemset/problem/1237/D</t>
        </is>
      </c>
      <c r="N481" s="7" t="n"/>
    </row>
    <row r="482" ht="20.1" customHeight="1">
      <c r="A482" s="2" t="inlineStr">
        <is>
          <t>Unsolved</t>
        </is>
      </c>
      <c r="B482" s="3" t="inlineStr">
        <is>
          <t>Stack &amp; Monotonic Stack</t>
        </is>
      </c>
      <c r="C482" s="3" t="inlineStr">
        <is>
          <t>Monotonic Stack</t>
        </is>
      </c>
      <c r="D482" s="2" t="inlineStr">
        <is>
          <t>1313C2</t>
        </is>
      </c>
      <c r="E482" s="2" t="n">
        <v>1313</v>
      </c>
      <c r="F482" s="2" t="inlineStr">
        <is>
          <t>C2</t>
        </is>
      </c>
      <c r="G482" s="3" t="inlineStr">
        <is>
          <t>Skyscrapers (hard version)</t>
        </is>
      </c>
      <c r="H482" s="2" t="n">
        <v>1900</v>
      </c>
      <c r="I482" s="10" t="inlineStr">
        <is>
          <t>Hard+</t>
        </is>
      </c>
      <c r="J482" s="3" t="inlineStr">
        <is>
          <t>data structures, dp, greedy</t>
        </is>
      </c>
      <c r="K482" s="2" t="n">
        <v>60</v>
      </c>
      <c r="L482" s="2" t="n">
        <v>55</v>
      </c>
      <c r="M482" s="5" t="inlineStr">
        <is>
          <t>https://codeforces.com/problemset/problem/1313/C2</t>
        </is>
      </c>
      <c r="N482" s="3" t="n"/>
    </row>
    <row r="483" ht="20.1" customHeight="1">
      <c r="A483" s="6" t="inlineStr">
        <is>
          <t>Unsolved</t>
        </is>
      </c>
      <c r="B483" s="7" t="inlineStr">
        <is>
          <t>Stack &amp; Monotonic Stack</t>
        </is>
      </c>
      <c r="C483" s="7" t="inlineStr">
        <is>
          <t>Monotonic Stack</t>
        </is>
      </c>
      <c r="D483" s="6" t="inlineStr">
        <is>
          <t>1503C</t>
        </is>
      </c>
      <c r="E483" s="6" t="n">
        <v>1503</v>
      </c>
      <c r="F483" s="6" t="inlineStr">
        <is>
          <t>C</t>
        </is>
      </c>
      <c r="G483" s="7" t="inlineStr">
        <is>
          <t>Travelling Salesman Problem</t>
        </is>
      </c>
      <c r="H483" s="6" t="n">
        <v>2200</v>
      </c>
      <c r="I483" s="12" t="inlineStr">
        <is>
          <t>Expert</t>
        </is>
      </c>
      <c r="J483" s="7" t="inlineStr">
        <is>
          <t>binary search, data structures, dp, greedy, shortest paths, sortings, two pointers</t>
        </is>
      </c>
      <c r="K483" s="6" t="n">
        <v>90</v>
      </c>
      <c r="L483" s="6" t="n">
        <v>80</v>
      </c>
      <c r="M483" s="8" t="inlineStr">
        <is>
          <t>https://codeforces.com/problemset/problem/1503/C</t>
        </is>
      </c>
      <c r="N483" s="7" t="n"/>
    </row>
    <row r="484" ht="20.1" customHeight="1">
      <c r="A484" s="2" t="inlineStr">
        <is>
          <t>Unsolved</t>
        </is>
      </c>
      <c r="B484" s="3" t="inlineStr">
        <is>
          <t>Stack &amp; Monotonic Stack</t>
        </is>
      </c>
      <c r="C484" s="3" t="inlineStr">
        <is>
          <t>Monotonic Stack</t>
        </is>
      </c>
      <c r="D484" s="2" t="inlineStr">
        <is>
          <t>1795E</t>
        </is>
      </c>
      <c r="E484" s="2" t="n">
        <v>1795</v>
      </c>
      <c r="F484" s="2" t="inlineStr">
        <is>
          <t>E</t>
        </is>
      </c>
      <c r="G484" s="3" t="inlineStr">
        <is>
          <t>Explosions?</t>
        </is>
      </c>
      <c r="H484" s="2" t="n">
        <v>2200</v>
      </c>
      <c r="I484" s="12" t="inlineStr">
        <is>
          <t>Expert</t>
        </is>
      </c>
      <c r="J484" s="3" t="inlineStr">
        <is>
          <t>binary search, data structures, dp, greedy, math</t>
        </is>
      </c>
      <c r="K484" s="2" t="n">
        <v>90</v>
      </c>
      <c r="L484" s="2" t="n">
        <v>80</v>
      </c>
      <c r="M484" s="5" t="inlineStr">
        <is>
          <t>https://codeforces.com/problemset/problem/1795/E</t>
        </is>
      </c>
      <c r="N484" s="3" t="n"/>
    </row>
    <row r="485" ht="20.1" customHeight="1">
      <c r="A485" s="6" t="inlineStr">
        <is>
          <t>Unsolved</t>
        </is>
      </c>
      <c r="B485" s="7" t="inlineStr">
        <is>
          <t>Stack &amp; Monotonic Stack</t>
        </is>
      </c>
      <c r="C485" s="7" t="inlineStr">
        <is>
          <t>Stack + Greedy</t>
        </is>
      </c>
      <c r="D485" s="6" t="inlineStr">
        <is>
          <t>1239D</t>
        </is>
      </c>
      <c r="E485" s="6" t="n">
        <v>1239</v>
      </c>
      <c r="F485" s="6" t="inlineStr">
        <is>
          <t>D</t>
        </is>
      </c>
      <c r="G485" s="7" t="inlineStr">
        <is>
          <t>Catowice City</t>
        </is>
      </c>
      <c r="H485" s="6" t="n">
        <v>2400</v>
      </c>
      <c r="I485" s="12" t="inlineStr">
        <is>
          <t>Master</t>
        </is>
      </c>
      <c r="J485" s="7" t="inlineStr">
        <is>
          <t>2-sat, dfs and similar, graph matchings, graphs</t>
        </is>
      </c>
      <c r="K485" s="6" t="n">
        <v>120</v>
      </c>
      <c r="L485" s="6" t="n">
        <v>110</v>
      </c>
      <c r="M485" s="8" t="inlineStr">
        <is>
          <t>https://codeforces.com/problemset/problem/1239/D</t>
        </is>
      </c>
      <c r="N485" s="7" t="n"/>
    </row>
    <row r="486" ht="20.1" customHeight="1">
      <c r="A486" s="2" t="inlineStr">
        <is>
          <t>Unsolved</t>
        </is>
      </c>
      <c r="B486" s="3" t="inlineStr">
        <is>
          <t>Stack &amp; Monotonic Stack</t>
        </is>
      </c>
      <c r="C486" s="3" t="inlineStr">
        <is>
          <t>Stack + Greedy</t>
        </is>
      </c>
      <c r="D486" s="2" t="inlineStr">
        <is>
          <t>1381B</t>
        </is>
      </c>
      <c r="E486" s="2" t="n">
        <v>1381</v>
      </c>
      <c r="F486" s="2" t="inlineStr">
        <is>
          <t>B</t>
        </is>
      </c>
      <c r="G486" s="3" t="inlineStr">
        <is>
          <t>Unmerge</t>
        </is>
      </c>
      <c r="H486" s="2" t="n">
        <v>1800</v>
      </c>
      <c r="I486" s="10" t="inlineStr">
        <is>
          <t>Hard</t>
        </is>
      </c>
      <c r="J486" s="3" t="inlineStr">
        <is>
          <t>dp</t>
        </is>
      </c>
      <c r="K486" s="2" t="n">
        <v>60</v>
      </c>
      <c r="L486" s="2" t="n">
        <v>55</v>
      </c>
      <c r="M486" s="5" t="inlineStr">
        <is>
          <t>https://codeforces.com/problemset/problem/1381/B</t>
        </is>
      </c>
      <c r="N486" s="3" t="n"/>
    </row>
    <row r="487" ht="20.1" customHeight="1">
      <c r="A487" s="6" t="inlineStr">
        <is>
          <t>Unsolved</t>
        </is>
      </c>
      <c r="B487" s="7" t="inlineStr">
        <is>
          <t>Queue &amp; Deque</t>
        </is>
      </c>
      <c r="C487" s="7" t="inlineStr">
        <is>
          <t>Queue Simulation</t>
        </is>
      </c>
      <c r="D487" s="6" t="inlineStr">
        <is>
          <t>1238B</t>
        </is>
      </c>
      <c r="E487" s="6" t="n">
        <v>1238</v>
      </c>
      <c r="F487" s="6" t="inlineStr">
        <is>
          <t>B</t>
        </is>
      </c>
      <c r="G487" s="7" t="inlineStr">
        <is>
          <t>Kill `Em All</t>
        </is>
      </c>
      <c r="H487" s="6" t="n">
        <v>1300</v>
      </c>
      <c r="I487" s="9" t="inlineStr">
        <is>
          <t>Medium</t>
        </is>
      </c>
      <c r="J487" s="7" t="inlineStr">
        <is>
          <t>greedy, sortings</t>
        </is>
      </c>
      <c r="K487" s="6" t="n">
        <v>25</v>
      </c>
      <c r="L487" s="6" t="n">
        <v>20</v>
      </c>
      <c r="M487" s="8" t="inlineStr">
        <is>
          <t>https://codeforces.com/problemset/problem/1238/B</t>
        </is>
      </c>
      <c r="N487" s="7" t="n"/>
    </row>
    <row r="488" ht="20.1" customHeight="1">
      <c r="A488" s="2" t="inlineStr">
        <is>
          <t>Unsolved</t>
        </is>
      </c>
      <c r="B488" s="3" t="inlineStr">
        <is>
          <t>Queue &amp; Deque</t>
        </is>
      </c>
      <c r="C488" s="3" t="inlineStr">
        <is>
          <t>Queue Simulation</t>
        </is>
      </c>
      <c r="D488" s="2" t="inlineStr">
        <is>
          <t>939C</t>
        </is>
      </c>
      <c r="E488" s="2" t="n">
        <v>939</v>
      </c>
      <c r="F488" s="2" t="inlineStr">
        <is>
          <t>C</t>
        </is>
      </c>
      <c r="G488" s="3" t="inlineStr">
        <is>
          <t>Convenient For Everybody</t>
        </is>
      </c>
      <c r="H488" s="2" t="n">
        <v>1600</v>
      </c>
      <c r="I488" s="9" t="inlineStr">
        <is>
          <t>Medium+</t>
        </is>
      </c>
      <c r="J488" s="3" t="inlineStr">
        <is>
          <t>binary search, two pointers</t>
        </is>
      </c>
      <c r="K488" s="2" t="n">
        <v>40</v>
      </c>
      <c r="L488" s="2" t="n">
        <v>35</v>
      </c>
      <c r="M488" s="5" t="inlineStr">
        <is>
          <t>https://codeforces.com/problemset/problem/939/C</t>
        </is>
      </c>
      <c r="N488" s="3" t="n"/>
    </row>
    <row r="489" ht="20.1" customHeight="1">
      <c r="A489" s="6" t="inlineStr">
        <is>
          <t>Unsolved</t>
        </is>
      </c>
      <c r="B489" s="7" t="inlineStr">
        <is>
          <t>Queue &amp; Deque</t>
        </is>
      </c>
      <c r="C489" s="7" t="inlineStr">
        <is>
          <t>Queue Simulation</t>
        </is>
      </c>
      <c r="D489" s="6" t="inlineStr">
        <is>
          <t>920A</t>
        </is>
      </c>
      <c r="E489" s="6" t="n">
        <v>920</v>
      </c>
      <c r="F489" s="6" t="inlineStr">
        <is>
          <t>A</t>
        </is>
      </c>
      <c r="G489" s="7" t="inlineStr">
        <is>
          <t>Water The Garden</t>
        </is>
      </c>
      <c r="H489" s="6" t="n">
        <v>1000</v>
      </c>
      <c r="I489" s="4" t="inlineStr">
        <is>
          <t>Easy+</t>
        </is>
      </c>
      <c r="J489" s="7" t="inlineStr">
        <is>
          <t>implementation</t>
        </is>
      </c>
      <c r="K489" s="6" t="n">
        <v>15</v>
      </c>
      <c r="L489" s="6" t="n">
        <v>10</v>
      </c>
      <c r="M489" s="8" t="inlineStr">
        <is>
          <t>https://codeforces.com/problemset/problem/920/A</t>
        </is>
      </c>
      <c r="N489" s="7" t="n"/>
    </row>
    <row r="490" ht="20.1" customHeight="1">
      <c r="A490" s="2" t="inlineStr">
        <is>
          <t>Unsolved</t>
        </is>
      </c>
      <c r="B490" s="3" t="inlineStr">
        <is>
          <t>Queue &amp; Deque</t>
        </is>
      </c>
      <c r="C490" s="3" t="inlineStr">
        <is>
          <t>Queue Simulation</t>
        </is>
      </c>
      <c r="D490" s="2" t="inlineStr">
        <is>
          <t>978D</t>
        </is>
      </c>
      <c r="E490" s="2" t="n">
        <v>978</v>
      </c>
      <c r="F490" s="2" t="inlineStr">
        <is>
          <t>D</t>
        </is>
      </c>
      <c r="G490" s="3" t="inlineStr">
        <is>
          <t>Almost Arithmetic Progression</t>
        </is>
      </c>
      <c r="H490" s="2" t="n">
        <v>1500</v>
      </c>
      <c r="I490" s="9" t="inlineStr">
        <is>
          <t>Medium+</t>
        </is>
      </c>
      <c r="J490" s="3" t="inlineStr">
        <is>
          <t>brute force, implementation, math</t>
        </is>
      </c>
      <c r="K490" s="2" t="n">
        <v>40</v>
      </c>
      <c r="L490" s="2" t="n">
        <v>35</v>
      </c>
      <c r="M490" s="5" t="inlineStr">
        <is>
          <t>https://codeforces.com/problemset/problem/978/D</t>
        </is>
      </c>
      <c r="N490" s="3" t="n"/>
    </row>
    <row r="491" ht="20.1" customHeight="1">
      <c r="A491" s="6" t="inlineStr">
        <is>
          <t>Unsolved</t>
        </is>
      </c>
      <c r="B491" s="7" t="inlineStr">
        <is>
          <t>Queue &amp; Deque</t>
        </is>
      </c>
      <c r="C491" s="7" t="inlineStr">
        <is>
          <t>Queue Simulation</t>
        </is>
      </c>
      <c r="D491" s="6" t="inlineStr">
        <is>
          <t>1015C</t>
        </is>
      </c>
      <c r="E491" s="6" t="n">
        <v>1015</v>
      </c>
      <c r="F491" s="6" t="inlineStr">
        <is>
          <t>C</t>
        </is>
      </c>
      <c r="G491" s="7" t="inlineStr">
        <is>
          <t>Songs Compression</t>
        </is>
      </c>
      <c r="H491" s="6" t="n">
        <v>1100</v>
      </c>
      <c r="I491" s="4" t="inlineStr">
        <is>
          <t>Easy+</t>
        </is>
      </c>
      <c r="J491" s="7" t="inlineStr">
        <is>
          <t>sortings</t>
        </is>
      </c>
      <c r="K491" s="6" t="n">
        <v>25</v>
      </c>
      <c r="L491" s="6" t="n">
        <v>20</v>
      </c>
      <c r="M491" s="8" t="inlineStr">
        <is>
          <t>https://codeforces.com/problemset/problem/1015/C</t>
        </is>
      </c>
      <c r="N491" s="7" t="n"/>
    </row>
    <row r="492" ht="20.1" customHeight="1">
      <c r="A492" s="2" t="inlineStr">
        <is>
          <t>Unsolved</t>
        </is>
      </c>
      <c r="B492" s="3" t="inlineStr">
        <is>
          <t>Queue &amp; Deque</t>
        </is>
      </c>
      <c r="C492" s="3" t="inlineStr">
        <is>
          <t>Queue Simulation</t>
        </is>
      </c>
      <c r="D492" s="2" t="inlineStr">
        <is>
          <t>1104B</t>
        </is>
      </c>
      <c r="E492" s="2" t="n">
        <v>1104</v>
      </c>
      <c r="F492" s="2" t="inlineStr">
        <is>
          <t>B</t>
        </is>
      </c>
      <c r="G492" s="3" t="inlineStr">
        <is>
          <t>Game with string</t>
        </is>
      </c>
      <c r="H492" s="2" t="n">
        <v>1200</v>
      </c>
      <c r="I492" s="4" t="inlineStr">
        <is>
          <t>Easy+</t>
        </is>
      </c>
      <c r="J492" s="3" t="inlineStr">
        <is>
          <t>data structures, implementation, math</t>
        </is>
      </c>
      <c r="K492" s="2" t="n">
        <v>25</v>
      </c>
      <c r="L492" s="2" t="n">
        <v>20</v>
      </c>
      <c r="M492" s="5" t="inlineStr">
        <is>
          <t>https://codeforces.com/problemset/problem/1104/B</t>
        </is>
      </c>
      <c r="N492" s="3" t="n"/>
    </row>
    <row r="493" ht="20.1" customHeight="1">
      <c r="A493" s="6" t="inlineStr">
        <is>
          <t>Unsolved</t>
        </is>
      </c>
      <c r="B493" s="7" t="inlineStr">
        <is>
          <t>Queue &amp; Deque</t>
        </is>
      </c>
      <c r="C493" s="7" t="inlineStr">
        <is>
          <t>Queue Simulation</t>
        </is>
      </c>
      <c r="D493" s="6" t="inlineStr">
        <is>
          <t>1195B</t>
        </is>
      </c>
      <c r="E493" s="6" t="n">
        <v>1195</v>
      </c>
      <c r="F493" s="6" t="inlineStr">
        <is>
          <t>B</t>
        </is>
      </c>
      <c r="G493" s="7" t="inlineStr">
        <is>
          <t>Sport Mafia</t>
        </is>
      </c>
      <c r="H493" s="6" t="n">
        <v>1000</v>
      </c>
      <c r="I493" s="4" t="inlineStr">
        <is>
          <t>Easy+</t>
        </is>
      </c>
      <c r="J493" s="7" t="inlineStr">
        <is>
          <t>binary search, brute force, math</t>
        </is>
      </c>
      <c r="K493" s="6" t="n">
        <v>15</v>
      </c>
      <c r="L493" s="6" t="n">
        <v>10</v>
      </c>
      <c r="M493" s="8" t="inlineStr">
        <is>
          <t>https://codeforces.com/problemset/problem/1195/B</t>
        </is>
      </c>
      <c r="N493" s="7" t="n"/>
    </row>
    <row r="494" ht="20.1" customHeight="1">
      <c r="A494" s="2" t="inlineStr">
        <is>
          <t>Unsolved</t>
        </is>
      </c>
      <c r="B494" s="3" t="inlineStr">
        <is>
          <t>Queue &amp; Deque</t>
        </is>
      </c>
      <c r="C494" s="3" t="inlineStr">
        <is>
          <t>Queue Simulation</t>
        </is>
      </c>
      <c r="D494" s="2" t="inlineStr">
        <is>
          <t>1287A</t>
        </is>
      </c>
      <c r="E494" s="2" t="n">
        <v>1287</v>
      </c>
      <c r="F494" s="2" t="inlineStr">
        <is>
          <t>A</t>
        </is>
      </c>
      <c r="G494" s="3" t="inlineStr">
        <is>
          <t>Angry Students</t>
        </is>
      </c>
      <c r="H494" s="2" t="n">
        <v>800</v>
      </c>
      <c r="I494" s="4" t="inlineStr">
        <is>
          <t>Easy</t>
        </is>
      </c>
      <c r="J494" s="3" t="inlineStr">
        <is>
          <t>greedy, implementation</t>
        </is>
      </c>
      <c r="K494" s="2" t="n">
        <v>15</v>
      </c>
      <c r="L494" s="2" t="n">
        <v>10</v>
      </c>
      <c r="M494" s="5" t="inlineStr">
        <is>
          <t>https://codeforces.com/problemset/problem/1287/A</t>
        </is>
      </c>
      <c r="N494" s="3" t="n"/>
    </row>
    <row r="495" ht="20.1" customHeight="1">
      <c r="A495" s="6" t="inlineStr">
        <is>
          <t>Unsolved</t>
        </is>
      </c>
      <c r="B495" s="7" t="inlineStr">
        <is>
          <t>Queue &amp; Deque</t>
        </is>
      </c>
      <c r="C495" s="7" t="inlineStr">
        <is>
          <t>Queue Simulation</t>
        </is>
      </c>
      <c r="D495" s="6" t="inlineStr">
        <is>
          <t>1367B</t>
        </is>
      </c>
      <c r="E495" s="6" t="n">
        <v>1367</v>
      </c>
      <c r="F495" s="6" t="inlineStr">
        <is>
          <t>B</t>
        </is>
      </c>
      <c r="G495" s="7" t="inlineStr">
        <is>
          <t>Even Array</t>
        </is>
      </c>
      <c r="H495" s="6" t="n">
        <v>800</v>
      </c>
      <c r="I495" s="4" t="inlineStr">
        <is>
          <t>Easy</t>
        </is>
      </c>
      <c r="J495" s="7" t="inlineStr">
        <is>
          <t>greedy, math</t>
        </is>
      </c>
      <c r="K495" s="6" t="n">
        <v>15</v>
      </c>
      <c r="L495" s="6" t="n">
        <v>10</v>
      </c>
      <c r="M495" s="8" t="inlineStr">
        <is>
          <t>https://codeforces.com/problemset/problem/1367/B</t>
        </is>
      </c>
      <c r="N495" s="7" t="n"/>
    </row>
    <row r="496" ht="20.1" customHeight="1">
      <c r="A496" s="2" t="inlineStr">
        <is>
          <t>Unsolved</t>
        </is>
      </c>
      <c r="B496" s="3" t="inlineStr">
        <is>
          <t>Queue &amp; Deque</t>
        </is>
      </c>
      <c r="C496" s="3" t="inlineStr">
        <is>
          <t>Queue Simulation</t>
        </is>
      </c>
      <c r="D496" s="2" t="inlineStr">
        <is>
          <t>1511A</t>
        </is>
      </c>
      <c r="E496" s="2" t="n">
        <v>1511</v>
      </c>
      <c r="F496" s="2" t="inlineStr">
        <is>
          <t>A</t>
        </is>
      </c>
      <c r="G496" s="3" t="inlineStr">
        <is>
          <t>Review Site</t>
        </is>
      </c>
      <c r="H496" s="2" t="n">
        <v>800</v>
      </c>
      <c r="I496" s="4" t="inlineStr">
        <is>
          <t>Easy</t>
        </is>
      </c>
      <c r="J496" s="3" t="inlineStr">
        <is>
          <t>greedy</t>
        </is>
      </c>
      <c r="K496" s="2" t="n">
        <v>15</v>
      </c>
      <c r="L496" s="2" t="n">
        <v>10</v>
      </c>
      <c r="M496" s="5" t="inlineStr">
        <is>
          <t>https://codeforces.com/problemset/problem/1511/A</t>
        </is>
      </c>
      <c r="N496" s="3" t="n"/>
    </row>
    <row r="497" ht="20.1" customHeight="1">
      <c r="A497" s="6" t="inlineStr">
        <is>
          <t>Unsolved</t>
        </is>
      </c>
      <c r="B497" s="7" t="inlineStr">
        <is>
          <t>Queue &amp; Deque</t>
        </is>
      </c>
      <c r="C497" s="7" t="inlineStr">
        <is>
          <t>Deque</t>
        </is>
      </c>
      <c r="D497" s="6" t="inlineStr">
        <is>
          <t>1294D</t>
        </is>
      </c>
      <c r="E497" s="6" t="n">
        <v>1294</v>
      </c>
      <c r="F497" s="6" t="inlineStr">
        <is>
          <t>D</t>
        </is>
      </c>
      <c r="G497" s="7" t="inlineStr">
        <is>
          <t>MEX maximizing</t>
        </is>
      </c>
      <c r="H497" s="6" t="n">
        <v>1600</v>
      </c>
      <c r="I497" s="9" t="inlineStr">
        <is>
          <t>Medium+</t>
        </is>
      </c>
      <c r="J497" s="7" t="inlineStr">
        <is>
          <t>data structures, greedy, implementation, math</t>
        </is>
      </c>
      <c r="K497" s="6" t="n">
        <v>40</v>
      </c>
      <c r="L497" s="6" t="n">
        <v>35</v>
      </c>
      <c r="M497" s="8" t="inlineStr">
        <is>
          <t>https://codeforces.com/problemset/problem/1294/D</t>
        </is>
      </c>
      <c r="N497" s="7" t="n"/>
    </row>
    <row r="498" ht="20.1" customHeight="1">
      <c r="A498" s="2" t="inlineStr">
        <is>
          <t>Unsolved</t>
        </is>
      </c>
      <c r="B498" s="3" t="inlineStr">
        <is>
          <t>Queue &amp; Deque</t>
        </is>
      </c>
      <c r="C498" s="3" t="inlineStr">
        <is>
          <t>Deque</t>
        </is>
      </c>
      <c r="D498" s="2" t="inlineStr">
        <is>
          <t>1353E</t>
        </is>
      </c>
      <c r="E498" s="2" t="n">
        <v>1353</v>
      </c>
      <c r="F498" s="2" t="inlineStr">
        <is>
          <t>E</t>
        </is>
      </c>
      <c r="G498" s="3" t="inlineStr">
        <is>
          <t>K-periodic Garland</t>
        </is>
      </c>
      <c r="H498" s="2" t="n">
        <v>1900</v>
      </c>
      <c r="I498" s="10" t="inlineStr">
        <is>
          <t>Hard+</t>
        </is>
      </c>
      <c r="J498" s="3" t="inlineStr">
        <is>
          <t>brute force, dp, greedy</t>
        </is>
      </c>
      <c r="K498" s="2" t="n">
        <v>60</v>
      </c>
      <c r="L498" s="2" t="n">
        <v>55</v>
      </c>
      <c r="M498" s="5" t="inlineStr">
        <is>
          <t>https://codeforces.com/problemset/problem/1353/E</t>
        </is>
      </c>
      <c r="N498" s="3" t="n"/>
    </row>
    <row r="499" ht="20.1" customHeight="1">
      <c r="A499" s="6" t="inlineStr">
        <is>
          <t>Unsolved</t>
        </is>
      </c>
      <c r="B499" s="7" t="inlineStr">
        <is>
          <t>Queue &amp; Deque</t>
        </is>
      </c>
      <c r="C499" s="7" t="inlineStr">
        <is>
          <t>Deque</t>
        </is>
      </c>
      <c r="D499" s="6" t="inlineStr">
        <is>
          <t>1393C</t>
        </is>
      </c>
      <c r="E499" s="6" t="n">
        <v>1393</v>
      </c>
      <c r="F499" s="6" t="inlineStr">
        <is>
          <t>C</t>
        </is>
      </c>
      <c r="G499" s="7" t="inlineStr">
        <is>
          <t>Pinkie Pie Eats Patty-cakes</t>
        </is>
      </c>
      <c r="H499" s="6" t="n">
        <v>1700</v>
      </c>
      <c r="I499" s="10" t="inlineStr">
        <is>
          <t>Hard</t>
        </is>
      </c>
      <c r="J499" s="7" t="inlineStr">
        <is>
          <t>constructive algorithms, greedy, math, sortings</t>
        </is>
      </c>
      <c r="K499" s="6" t="n">
        <v>60</v>
      </c>
      <c r="L499" s="6" t="n">
        <v>55</v>
      </c>
      <c r="M499" s="8" t="inlineStr">
        <is>
          <t>https://codeforces.com/problemset/problem/1393/C</t>
        </is>
      </c>
      <c r="N499" s="7" t="n"/>
    </row>
    <row r="500" ht="20.1" customHeight="1">
      <c r="A500" s="2" t="inlineStr">
        <is>
          <t>Unsolved</t>
        </is>
      </c>
      <c r="B500" s="3" t="inlineStr">
        <is>
          <t>Queue &amp; Deque</t>
        </is>
      </c>
      <c r="C500" s="3" t="inlineStr">
        <is>
          <t>Deque</t>
        </is>
      </c>
      <c r="D500" s="2" t="inlineStr">
        <is>
          <t>1438B</t>
        </is>
      </c>
      <c r="E500" s="2" t="n">
        <v>1438</v>
      </c>
      <c r="F500" s="2" t="inlineStr">
        <is>
          <t>B</t>
        </is>
      </c>
      <c r="G500" s="3" t="inlineStr">
        <is>
          <t>Valerii Against Everyone</t>
        </is>
      </c>
      <c r="H500" s="2" t="n">
        <v>1000</v>
      </c>
      <c r="I500" s="4" t="inlineStr">
        <is>
          <t>Easy+</t>
        </is>
      </c>
      <c r="J500" s="3" t="inlineStr">
        <is>
          <t>constructive algorithms, data structures, greedy, sortings</t>
        </is>
      </c>
      <c r="K500" s="2" t="n">
        <v>15</v>
      </c>
      <c r="L500" s="2" t="n">
        <v>10</v>
      </c>
      <c r="M500" s="5" t="inlineStr">
        <is>
          <t>https://codeforces.com/problemset/problem/1438/B</t>
        </is>
      </c>
      <c r="N500" s="3" t="n"/>
    </row>
    <row r="501" ht="20.1" customHeight="1">
      <c r="A501" s="6" t="inlineStr">
        <is>
          <t>Unsolved</t>
        </is>
      </c>
      <c r="B501" s="7" t="inlineStr">
        <is>
          <t>Queue &amp; Deque</t>
        </is>
      </c>
      <c r="C501" s="7" t="inlineStr">
        <is>
          <t>Deque</t>
        </is>
      </c>
      <c r="D501" s="6" t="inlineStr">
        <is>
          <t>1469C</t>
        </is>
      </c>
      <c r="E501" s="6" t="n">
        <v>1469</v>
      </c>
      <c r="F501" s="6" t="inlineStr">
        <is>
          <t>C</t>
        </is>
      </c>
      <c r="G501" s="7" t="inlineStr">
        <is>
          <t>Building a Fence</t>
        </is>
      </c>
      <c r="H501" s="6" t="n">
        <v>1600</v>
      </c>
      <c r="I501" s="9" t="inlineStr">
        <is>
          <t>Medium+</t>
        </is>
      </c>
      <c r="J501" s="7" t="inlineStr">
        <is>
          <t>dp, greedy, implementation, two pointers</t>
        </is>
      </c>
      <c r="K501" s="6" t="n">
        <v>40</v>
      </c>
      <c r="L501" s="6" t="n">
        <v>35</v>
      </c>
      <c r="M501" s="8" t="inlineStr">
        <is>
          <t>https://codeforces.com/problemset/problem/1469/C</t>
        </is>
      </c>
      <c r="N501" s="7" t="n"/>
    </row>
    <row r="502" ht="20.1" customHeight="1">
      <c r="A502" s="2" t="inlineStr">
        <is>
          <t>Unsolved</t>
        </is>
      </c>
      <c r="B502" s="3" t="inlineStr">
        <is>
          <t>Queue &amp; Deque</t>
        </is>
      </c>
      <c r="C502" s="3" t="inlineStr">
        <is>
          <t>Deque</t>
        </is>
      </c>
      <c r="D502" s="2" t="inlineStr">
        <is>
          <t>1512C</t>
        </is>
      </c>
      <c r="E502" s="2" t="n">
        <v>1512</v>
      </c>
      <c r="F502" s="2" t="inlineStr">
        <is>
          <t>C</t>
        </is>
      </c>
      <c r="G502" s="3" t="inlineStr">
        <is>
          <t>A-B Palindrome</t>
        </is>
      </c>
      <c r="H502" s="2" t="n">
        <v>1200</v>
      </c>
      <c r="I502" s="4" t="inlineStr">
        <is>
          <t>Easy+</t>
        </is>
      </c>
      <c r="J502" s="3" t="inlineStr">
        <is>
          <t>constructive algorithms, implementation, strings</t>
        </is>
      </c>
      <c r="K502" s="2" t="n">
        <v>25</v>
      </c>
      <c r="L502" s="2" t="n">
        <v>20</v>
      </c>
      <c r="M502" s="5" t="inlineStr">
        <is>
          <t>https://codeforces.com/problemset/problem/1512/C</t>
        </is>
      </c>
      <c r="N502" s="3" t="n"/>
    </row>
    <row r="503" ht="20.1" customHeight="1">
      <c r="A503" s="6" t="inlineStr">
        <is>
          <t>Unsolved</t>
        </is>
      </c>
      <c r="B503" s="7" t="inlineStr">
        <is>
          <t>Queue &amp; Deque</t>
        </is>
      </c>
      <c r="C503" s="7" t="inlineStr">
        <is>
          <t>Deque</t>
        </is>
      </c>
      <c r="D503" s="6" t="inlineStr">
        <is>
          <t>1547D</t>
        </is>
      </c>
      <c r="E503" s="6" t="n">
        <v>1547</v>
      </c>
      <c r="F503" s="6" t="inlineStr">
        <is>
          <t>D</t>
        </is>
      </c>
      <c r="G503" s="7" t="inlineStr">
        <is>
          <t>Co-growing Sequence</t>
        </is>
      </c>
      <c r="H503" s="6" t="n">
        <v>1300</v>
      </c>
      <c r="I503" s="9" t="inlineStr">
        <is>
          <t>Medium</t>
        </is>
      </c>
      <c r="J503" s="7" t="inlineStr">
        <is>
          <t>bitmasks, constructive algorithms, greedy</t>
        </is>
      </c>
      <c r="K503" s="6" t="n">
        <v>25</v>
      </c>
      <c r="L503" s="6" t="n">
        <v>20</v>
      </c>
      <c r="M503" s="8" t="inlineStr">
        <is>
          <t>https://codeforces.com/problemset/problem/1547/D</t>
        </is>
      </c>
      <c r="N503" s="7" t="n"/>
    </row>
    <row r="504" ht="20.1" customHeight="1">
      <c r="A504" s="2" t="inlineStr">
        <is>
          <t>Unsolved</t>
        </is>
      </c>
      <c r="B504" s="3" t="inlineStr">
        <is>
          <t>Queue &amp; Deque</t>
        </is>
      </c>
      <c r="C504" s="3" t="inlineStr">
        <is>
          <t>Deque</t>
        </is>
      </c>
      <c r="D504" s="2" t="inlineStr">
        <is>
          <t>1574D</t>
        </is>
      </c>
      <c r="E504" s="2" t="n">
        <v>1574</v>
      </c>
      <c r="F504" s="2" t="inlineStr">
        <is>
          <t>D</t>
        </is>
      </c>
      <c r="G504" s="3" t="inlineStr">
        <is>
          <t>The Strongest Build</t>
        </is>
      </c>
      <c r="H504" s="2" t="n">
        <v>2000</v>
      </c>
      <c r="I504" s="10" t="inlineStr">
        <is>
          <t>Hard+</t>
        </is>
      </c>
      <c r="J504" s="3" t="inlineStr">
        <is>
          <t>binary search, brute force, data structures, dfs and similar, graphs, greedy, hashing, implementation</t>
        </is>
      </c>
      <c r="K504" s="2" t="n">
        <v>90</v>
      </c>
      <c r="L504" s="2" t="n">
        <v>80</v>
      </c>
      <c r="M504" s="5" t="inlineStr">
        <is>
          <t>https://codeforces.com/problemset/problem/1574/D</t>
        </is>
      </c>
      <c r="N504" s="3" t="n"/>
    </row>
    <row r="505" ht="20.1" customHeight="1">
      <c r="A505" s="6" t="inlineStr">
        <is>
          <t>Unsolved</t>
        </is>
      </c>
      <c r="B505" s="7" t="inlineStr">
        <is>
          <t>Queue &amp; Deque</t>
        </is>
      </c>
      <c r="C505" s="7" t="inlineStr">
        <is>
          <t>Monotonic Queue</t>
        </is>
      </c>
      <c r="D505" s="6" t="inlineStr">
        <is>
          <t>372C</t>
        </is>
      </c>
      <c r="E505" s="6" t="n">
        <v>372</v>
      </c>
      <c r="F505" s="6" t="inlineStr">
        <is>
          <t>C</t>
        </is>
      </c>
      <c r="G505" s="7" t="inlineStr">
        <is>
          <t>Watching Fireworks is Fun</t>
        </is>
      </c>
      <c r="H505" s="6" t="n">
        <v>2100</v>
      </c>
      <c r="I505" s="12" t="inlineStr">
        <is>
          <t>Expert</t>
        </is>
      </c>
      <c r="J505" s="7" t="inlineStr">
        <is>
          <t>data structures, dp, math</t>
        </is>
      </c>
      <c r="K505" s="6" t="n">
        <v>90</v>
      </c>
      <c r="L505" s="6" t="n">
        <v>80</v>
      </c>
      <c r="M505" s="8" t="inlineStr">
        <is>
          <t>https://codeforces.com/problemset/problem/372/C</t>
        </is>
      </c>
      <c r="N505" s="7" t="n"/>
    </row>
    <row r="506" ht="20.1" customHeight="1">
      <c r="A506" s="2" t="inlineStr">
        <is>
          <t>Unsolved</t>
        </is>
      </c>
      <c r="B506" s="3" t="inlineStr">
        <is>
          <t>Queue &amp; Deque</t>
        </is>
      </c>
      <c r="C506" s="3" t="inlineStr">
        <is>
          <t>Monotonic Queue</t>
        </is>
      </c>
      <c r="D506" s="2" t="inlineStr">
        <is>
          <t>445A</t>
        </is>
      </c>
      <c r="E506" s="2" t="n">
        <v>445</v>
      </c>
      <c r="F506" s="2" t="inlineStr">
        <is>
          <t>A</t>
        </is>
      </c>
      <c r="G506" s="3" t="inlineStr">
        <is>
          <t>DZY Loves Chessboard</t>
        </is>
      </c>
      <c r="H506" s="2" t="n">
        <v>1200</v>
      </c>
      <c r="I506" s="4" t="inlineStr">
        <is>
          <t>Easy+</t>
        </is>
      </c>
      <c r="J506" s="3" t="inlineStr">
        <is>
          <t>dfs and similar, implementation</t>
        </is>
      </c>
      <c r="K506" s="2" t="n">
        <v>25</v>
      </c>
      <c r="L506" s="2" t="n">
        <v>20</v>
      </c>
      <c r="M506" s="5" t="inlineStr">
        <is>
          <t>https://codeforces.com/problemset/problem/445/A</t>
        </is>
      </c>
      <c r="N506" s="3" t="n"/>
    </row>
    <row r="507" ht="20.1" customHeight="1">
      <c r="A507" s="6" t="inlineStr">
        <is>
          <t>Unsolved</t>
        </is>
      </c>
      <c r="B507" s="7" t="inlineStr">
        <is>
          <t>Queue &amp; Deque</t>
        </is>
      </c>
      <c r="C507" s="7" t="inlineStr">
        <is>
          <t>Monotonic Queue</t>
        </is>
      </c>
      <c r="D507" s="6" t="inlineStr">
        <is>
          <t>939F</t>
        </is>
      </c>
      <c r="E507" s="6" t="n">
        <v>939</v>
      </c>
      <c r="F507" s="6" t="inlineStr">
        <is>
          <t>F</t>
        </is>
      </c>
      <c r="G507" s="7" t="inlineStr">
        <is>
          <t>Cutlet</t>
        </is>
      </c>
      <c r="H507" s="6" t="n">
        <v>2400</v>
      </c>
      <c r="I507" s="12" t="inlineStr">
        <is>
          <t>Master</t>
        </is>
      </c>
      <c r="J507" s="7" t="inlineStr">
        <is>
          <t>data structures, dp</t>
        </is>
      </c>
      <c r="K507" s="6" t="n">
        <v>120</v>
      </c>
      <c r="L507" s="6" t="n">
        <v>110</v>
      </c>
      <c r="M507" s="8" t="inlineStr">
        <is>
          <t>https://codeforces.com/problemset/problem/939/F</t>
        </is>
      </c>
      <c r="N507" s="7" t="n"/>
    </row>
    <row r="508" ht="20.1" customHeight="1">
      <c r="A508" s="2" t="inlineStr">
        <is>
          <t>Unsolved</t>
        </is>
      </c>
      <c r="B508" s="3" t="inlineStr">
        <is>
          <t>Queue &amp; Deque</t>
        </is>
      </c>
      <c r="C508" s="3" t="inlineStr">
        <is>
          <t>Monotonic Queue</t>
        </is>
      </c>
      <c r="D508" s="2" t="inlineStr">
        <is>
          <t>1077F1</t>
        </is>
      </c>
      <c r="E508" s="2" t="n">
        <v>1077</v>
      </c>
      <c r="F508" s="2" t="inlineStr">
        <is>
          <t>F1</t>
        </is>
      </c>
      <c r="G508" s="3" t="inlineStr">
        <is>
          <t>Pictures with Kittens (easy version)</t>
        </is>
      </c>
      <c r="H508" s="2" t="n">
        <v>1900</v>
      </c>
      <c r="I508" s="10" t="inlineStr">
        <is>
          <t>Hard+</t>
        </is>
      </c>
      <c r="J508" s="3" t="inlineStr">
        <is>
          <t>dp</t>
        </is>
      </c>
      <c r="K508" s="2" t="n">
        <v>60</v>
      </c>
      <c r="L508" s="2" t="n">
        <v>55</v>
      </c>
      <c r="M508" s="5" t="inlineStr">
        <is>
          <t>https://codeforces.com/problemset/problem/1077/F1</t>
        </is>
      </c>
      <c r="N508" s="3" t="n"/>
    </row>
    <row r="509" ht="20.1" customHeight="1">
      <c r="A509" s="6" t="inlineStr">
        <is>
          <t>Unsolved</t>
        </is>
      </c>
      <c r="B509" s="7" t="inlineStr">
        <is>
          <t>Queue &amp; Deque</t>
        </is>
      </c>
      <c r="C509" s="7" t="inlineStr">
        <is>
          <t>Monotonic Queue</t>
        </is>
      </c>
      <c r="D509" s="6" t="inlineStr">
        <is>
          <t>1077F2</t>
        </is>
      </c>
      <c r="E509" s="6" t="n">
        <v>1077</v>
      </c>
      <c r="F509" s="6" t="inlineStr">
        <is>
          <t>F2</t>
        </is>
      </c>
      <c r="G509" s="7" t="inlineStr">
        <is>
          <t>Pictures with Kittens (hard version)</t>
        </is>
      </c>
      <c r="H509" s="6" t="n">
        <v>2100</v>
      </c>
      <c r="I509" s="12" t="inlineStr">
        <is>
          <t>Expert</t>
        </is>
      </c>
      <c r="J509" s="7" t="inlineStr">
        <is>
          <t>data structures, dp</t>
        </is>
      </c>
      <c r="K509" s="6" t="n">
        <v>90</v>
      </c>
      <c r="L509" s="6" t="n">
        <v>80</v>
      </c>
      <c r="M509" s="8" t="inlineStr">
        <is>
          <t>https://codeforces.com/problemset/problem/1077/F2</t>
        </is>
      </c>
      <c r="N509" s="7" t="n"/>
    </row>
    <row r="510" ht="20.1" customHeight="1">
      <c r="A510" s="2" t="inlineStr">
        <is>
          <t>Unsolved</t>
        </is>
      </c>
      <c r="B510" s="3" t="inlineStr">
        <is>
          <t>Queue &amp; Deque</t>
        </is>
      </c>
      <c r="C510" s="3" t="inlineStr">
        <is>
          <t>Monotonic Queue</t>
        </is>
      </c>
      <c r="D510" s="2" t="inlineStr">
        <is>
          <t>1485C</t>
        </is>
      </c>
      <c r="E510" s="2" t="n">
        <v>1485</v>
      </c>
      <c r="F510" s="2" t="inlineStr">
        <is>
          <t>C</t>
        </is>
      </c>
      <c r="G510" s="3" t="inlineStr">
        <is>
          <t>Floor and Mod</t>
        </is>
      </c>
      <c r="H510" s="2" t="n">
        <v>1700</v>
      </c>
      <c r="I510" s="10" t="inlineStr">
        <is>
          <t>Hard</t>
        </is>
      </c>
      <c r="J510" s="3" t="inlineStr">
        <is>
          <t>binary search, brute force, math, number theory</t>
        </is>
      </c>
      <c r="K510" s="2" t="n">
        <v>60</v>
      </c>
      <c r="L510" s="2" t="n">
        <v>55</v>
      </c>
      <c r="M510" s="5" t="inlineStr">
        <is>
          <t>https://codeforces.com/problemset/problem/1485/C</t>
        </is>
      </c>
      <c r="N510" s="3" t="n"/>
    </row>
    <row r="511" ht="20.1" customHeight="1">
      <c r="A511" s="6" t="inlineStr">
        <is>
          <t>Unsolved</t>
        </is>
      </c>
      <c r="B511" s="7" t="inlineStr">
        <is>
          <t>Queue &amp; Deque</t>
        </is>
      </c>
      <c r="C511" s="7" t="inlineStr">
        <is>
          <t>Queue + BFS Style</t>
        </is>
      </c>
      <c r="D511" s="6" t="inlineStr">
        <is>
          <t>796D</t>
        </is>
      </c>
      <c r="E511" s="6" t="n">
        <v>796</v>
      </c>
      <c r="F511" s="6" t="inlineStr">
        <is>
          <t>D</t>
        </is>
      </c>
      <c r="G511" s="7" t="inlineStr">
        <is>
          <t>Police Stations</t>
        </is>
      </c>
      <c r="H511" s="6" t="n">
        <v>2100</v>
      </c>
      <c r="I511" s="12" t="inlineStr">
        <is>
          <t>Expert</t>
        </is>
      </c>
      <c r="J511" s="7" t="inlineStr">
        <is>
          <t>constructive algorithms, dfs and similar, dp, graphs, shortest paths, trees</t>
        </is>
      </c>
      <c r="K511" s="6" t="n">
        <v>90</v>
      </c>
      <c r="L511" s="6" t="n">
        <v>80</v>
      </c>
      <c r="M511" s="8" t="inlineStr">
        <is>
          <t>https://codeforces.com/problemset/problem/796/D</t>
        </is>
      </c>
      <c r="N511" s="7" t="n"/>
    </row>
    <row r="512" ht="20.1" customHeight="1">
      <c r="A512" s="2" t="inlineStr">
        <is>
          <t>Unsolved</t>
        </is>
      </c>
      <c r="B512" s="3" t="inlineStr">
        <is>
          <t>Queue &amp; Deque</t>
        </is>
      </c>
      <c r="C512" s="3" t="inlineStr">
        <is>
          <t>Queue + BFS Style</t>
        </is>
      </c>
      <c r="D512" s="2" t="inlineStr">
        <is>
          <t>877D</t>
        </is>
      </c>
      <c r="E512" s="2" t="n">
        <v>877</v>
      </c>
      <c r="F512" s="2" t="inlineStr">
        <is>
          <t>D</t>
        </is>
      </c>
      <c r="G512" s="3" t="inlineStr">
        <is>
          <t>Olya and Energy Drinks</t>
        </is>
      </c>
      <c r="H512" s="2" t="n">
        <v>2100</v>
      </c>
      <c r="I512" s="12" t="inlineStr">
        <is>
          <t>Expert</t>
        </is>
      </c>
      <c r="J512" s="3" t="inlineStr">
        <is>
          <t>data structures, dfs and similar, graphs, shortest paths</t>
        </is>
      </c>
      <c r="K512" s="2" t="n">
        <v>90</v>
      </c>
      <c r="L512" s="2" t="n">
        <v>80</v>
      </c>
      <c r="M512" s="5" t="inlineStr">
        <is>
          <t>https://codeforces.com/problemset/problem/877/D</t>
        </is>
      </c>
      <c r="N512" s="3" t="n"/>
    </row>
    <row r="513" ht="20.1" customHeight="1">
      <c r="A513" s="6" t="inlineStr">
        <is>
          <t>Unsolved</t>
        </is>
      </c>
      <c r="B513" s="7" t="inlineStr">
        <is>
          <t>Queue &amp; Deque</t>
        </is>
      </c>
      <c r="C513" s="7" t="inlineStr">
        <is>
          <t>Queue + BFS Style</t>
        </is>
      </c>
      <c r="D513" s="6" t="inlineStr">
        <is>
          <t>986A</t>
        </is>
      </c>
      <c r="E513" s="6" t="n">
        <v>986</v>
      </c>
      <c r="F513" s="6" t="inlineStr">
        <is>
          <t>A</t>
        </is>
      </c>
      <c r="G513" s="7" t="inlineStr">
        <is>
          <t>Fair</t>
        </is>
      </c>
      <c r="H513" s="6" t="n">
        <v>1600</v>
      </c>
      <c r="I513" s="9" t="inlineStr">
        <is>
          <t>Medium+</t>
        </is>
      </c>
      <c r="J513" s="7" t="inlineStr">
        <is>
          <t>graphs, greedy, number theory, shortest paths</t>
        </is>
      </c>
      <c r="K513" s="6" t="n">
        <v>40</v>
      </c>
      <c r="L513" s="6" t="n">
        <v>35</v>
      </c>
      <c r="M513" s="8" t="inlineStr">
        <is>
          <t>https://codeforces.com/problemset/problem/986/A</t>
        </is>
      </c>
      <c r="N513" s="7" t="n"/>
    </row>
    <row r="514" ht="20.1" customHeight="1">
      <c r="A514" s="2" t="inlineStr">
        <is>
          <t>Unsolved</t>
        </is>
      </c>
      <c r="B514" s="3" t="inlineStr">
        <is>
          <t>Queue &amp; Deque</t>
        </is>
      </c>
      <c r="C514" s="3" t="inlineStr">
        <is>
          <t>Queue + BFS Style</t>
        </is>
      </c>
      <c r="D514" s="2" t="inlineStr">
        <is>
          <t>1272E</t>
        </is>
      </c>
      <c r="E514" s="2" t="n">
        <v>1272</v>
      </c>
      <c r="F514" s="2" t="inlineStr">
        <is>
          <t>E</t>
        </is>
      </c>
      <c r="G514" s="3" t="inlineStr">
        <is>
          <t>Nearest Opposite Parity</t>
        </is>
      </c>
      <c r="H514" s="2" t="n">
        <v>1900</v>
      </c>
      <c r="I514" s="10" t="inlineStr">
        <is>
          <t>Hard+</t>
        </is>
      </c>
      <c r="J514" s="3" t="inlineStr">
        <is>
          <t>dfs and similar, graphs, shortest paths</t>
        </is>
      </c>
      <c r="K514" s="2" t="n">
        <v>60</v>
      </c>
      <c r="L514" s="2" t="n">
        <v>55</v>
      </c>
      <c r="M514" s="5" t="inlineStr">
        <is>
          <t>https://codeforces.com/problemset/problem/1272/E</t>
        </is>
      </c>
      <c r="N514" s="3" t="n"/>
    </row>
    <row r="515" ht="20.1" customHeight="1">
      <c r="A515" s="6" t="inlineStr">
        <is>
          <t>Unsolved</t>
        </is>
      </c>
      <c r="B515" s="7" t="inlineStr">
        <is>
          <t>Queue &amp; Deque</t>
        </is>
      </c>
      <c r="C515" s="7" t="inlineStr">
        <is>
          <t>Queue + BFS Style</t>
        </is>
      </c>
      <c r="D515" s="6" t="inlineStr">
        <is>
          <t>1294F</t>
        </is>
      </c>
      <c r="E515" s="6" t="n">
        <v>1294</v>
      </c>
      <c r="F515" s="6" t="inlineStr">
        <is>
          <t>F</t>
        </is>
      </c>
      <c r="G515" s="7" t="inlineStr">
        <is>
          <t>Three Paths on a Tree</t>
        </is>
      </c>
      <c r="H515" s="6" t="n">
        <v>2000</v>
      </c>
      <c r="I515" s="10" t="inlineStr">
        <is>
          <t>Hard+</t>
        </is>
      </c>
      <c r="J515" s="7" t="inlineStr">
        <is>
          <t>dfs and similar, dp, greedy, trees</t>
        </is>
      </c>
      <c r="K515" s="6" t="n">
        <v>90</v>
      </c>
      <c r="L515" s="6" t="n">
        <v>80</v>
      </c>
      <c r="M515" s="8" t="inlineStr">
        <is>
          <t>https://codeforces.com/problemset/problem/1294/F</t>
        </is>
      </c>
      <c r="N515" s="7" t="n"/>
    </row>
    <row r="516" ht="20.1" customHeight="1">
      <c r="A516" s="2" t="inlineStr">
        <is>
          <t>Unsolved</t>
        </is>
      </c>
      <c r="B516" s="3" t="inlineStr">
        <is>
          <t>Queue &amp; Deque</t>
        </is>
      </c>
      <c r="C516" s="3" t="inlineStr">
        <is>
          <t>Queue + BFS Style</t>
        </is>
      </c>
      <c r="D516" s="2" t="inlineStr">
        <is>
          <t>1344B</t>
        </is>
      </c>
      <c r="E516" s="2" t="n">
        <v>1344</v>
      </c>
      <c r="F516" s="2" t="inlineStr">
        <is>
          <t>B</t>
        </is>
      </c>
      <c r="G516" s="3" t="inlineStr">
        <is>
          <t>Monopole Magnets</t>
        </is>
      </c>
      <c r="H516" s="2" t="n">
        <v>2000</v>
      </c>
      <c r="I516" s="10" t="inlineStr">
        <is>
          <t>Hard+</t>
        </is>
      </c>
      <c r="J516" s="3" t="inlineStr">
        <is>
          <t>constructive algorithms, dfs and similar, dsu, graphs</t>
        </is>
      </c>
      <c r="K516" s="2" t="n">
        <v>90</v>
      </c>
      <c r="L516" s="2" t="n">
        <v>80</v>
      </c>
      <c r="M516" s="5" t="inlineStr">
        <is>
          <t>https://codeforces.com/problemset/problem/1344/B</t>
        </is>
      </c>
      <c r="N516" s="3" t="n"/>
    </row>
    <row r="517" ht="20.1" customHeight="1">
      <c r="A517" s="6" t="inlineStr">
        <is>
          <t>Unsolved</t>
        </is>
      </c>
      <c r="B517" s="7" t="inlineStr">
        <is>
          <t>Queue &amp; Deque</t>
        </is>
      </c>
      <c r="C517" s="7" t="inlineStr">
        <is>
          <t>Queue + BFS Style</t>
        </is>
      </c>
      <c r="D517" s="6" t="inlineStr">
        <is>
          <t>1486E</t>
        </is>
      </c>
      <c r="E517" s="6" t="n">
        <v>1486</v>
      </c>
      <c r="F517" s="6" t="inlineStr">
        <is>
          <t>E</t>
        </is>
      </c>
      <c r="G517" s="7" t="inlineStr">
        <is>
          <t>Paired Payment</t>
        </is>
      </c>
      <c r="H517" s="6" t="n">
        <v>2200</v>
      </c>
      <c r="I517" s="12" t="inlineStr">
        <is>
          <t>Expert</t>
        </is>
      </c>
      <c r="J517" s="7" t="inlineStr">
        <is>
          <t>binary search, brute force, constructive algorithms, dp, flows, graphs, shortest paths</t>
        </is>
      </c>
      <c r="K517" s="6" t="n">
        <v>90</v>
      </c>
      <c r="L517" s="6" t="n">
        <v>80</v>
      </c>
      <c r="M517" s="8" t="inlineStr">
        <is>
          <t>https://codeforces.com/problemset/problem/1486/E</t>
        </is>
      </c>
      <c r="N517" s="7" t="n"/>
    </row>
    <row r="518" ht="20.1" customHeight="1">
      <c r="A518" s="2" t="inlineStr">
        <is>
          <t>Unsolved</t>
        </is>
      </c>
      <c r="B518" s="3" t="inlineStr">
        <is>
          <t>Linked List &amp; Simulation</t>
        </is>
      </c>
      <c r="C518" s="3" t="inlineStr">
        <is>
          <t>Simple Simulation</t>
        </is>
      </c>
      <c r="D518" s="2" t="inlineStr">
        <is>
          <t>722C</t>
        </is>
      </c>
      <c r="E518" s="2" t="n">
        <v>722</v>
      </c>
      <c r="F518" s="2" t="inlineStr">
        <is>
          <t>C</t>
        </is>
      </c>
      <c r="G518" s="3" t="inlineStr">
        <is>
          <t>Destroying Array</t>
        </is>
      </c>
      <c r="H518" s="2" t="n">
        <v>1600</v>
      </c>
      <c r="I518" s="9" t="inlineStr">
        <is>
          <t>Medium+</t>
        </is>
      </c>
      <c r="J518" s="3" t="inlineStr">
        <is>
          <t>data structures, dsu</t>
        </is>
      </c>
      <c r="K518" s="2" t="n">
        <v>40</v>
      </c>
      <c r="L518" s="2" t="n">
        <v>35</v>
      </c>
      <c r="M518" s="5" t="inlineStr">
        <is>
          <t>https://codeforces.com/problemset/problem/722/C</t>
        </is>
      </c>
      <c r="N518" s="3" t="n"/>
    </row>
    <row r="519" ht="20.1" customHeight="1">
      <c r="A519" s="6" t="inlineStr">
        <is>
          <t>Unsolved</t>
        </is>
      </c>
      <c r="B519" s="7" t="inlineStr">
        <is>
          <t>Linked List &amp; Simulation</t>
        </is>
      </c>
      <c r="C519" s="7" t="inlineStr">
        <is>
          <t>Simple Simulation</t>
        </is>
      </c>
      <c r="D519" s="6" t="inlineStr">
        <is>
          <t>863D</t>
        </is>
      </c>
      <c r="E519" s="6" t="n">
        <v>863</v>
      </c>
      <c r="F519" s="6" t="inlineStr">
        <is>
          <t>D</t>
        </is>
      </c>
      <c r="G519" s="7" t="inlineStr">
        <is>
          <t>Yet Another Array Queries Problem</t>
        </is>
      </c>
      <c r="H519" s="6" t="n">
        <v>1800</v>
      </c>
      <c r="I519" s="10" t="inlineStr">
        <is>
          <t>Hard</t>
        </is>
      </c>
      <c r="J519" s="7" t="inlineStr">
        <is>
          <t>data structures, implementation</t>
        </is>
      </c>
      <c r="K519" s="6" t="n">
        <v>60</v>
      </c>
      <c r="L519" s="6" t="n">
        <v>55</v>
      </c>
      <c r="M519" s="8" t="inlineStr">
        <is>
          <t>https://codeforces.com/problemset/problem/863/D</t>
        </is>
      </c>
      <c r="N519" s="7" t="n"/>
    </row>
    <row r="520" ht="20.1" customHeight="1">
      <c r="A520" s="2" t="inlineStr">
        <is>
          <t>Unsolved</t>
        </is>
      </c>
      <c r="B520" s="3" t="inlineStr">
        <is>
          <t>Linked List &amp; Simulation</t>
        </is>
      </c>
      <c r="C520" s="3" t="inlineStr">
        <is>
          <t>Simple Simulation</t>
        </is>
      </c>
      <c r="D520" s="2" t="inlineStr">
        <is>
          <t>1008B</t>
        </is>
      </c>
      <c r="E520" s="2" t="n">
        <v>1008</v>
      </c>
      <c r="F520" s="2" t="inlineStr">
        <is>
          <t>B</t>
        </is>
      </c>
      <c r="G520" s="3" t="inlineStr">
        <is>
          <t>Turn the Rectangles</t>
        </is>
      </c>
      <c r="H520" s="2" t="n">
        <v>1000</v>
      </c>
      <c r="I520" s="4" t="inlineStr">
        <is>
          <t>Easy+</t>
        </is>
      </c>
      <c r="J520" s="3" t="inlineStr">
        <is>
          <t>greedy, sortings</t>
        </is>
      </c>
      <c r="K520" s="2" t="n">
        <v>15</v>
      </c>
      <c r="L520" s="2" t="n">
        <v>10</v>
      </c>
      <c r="M520" s="5" t="inlineStr">
        <is>
          <t>https://codeforces.com/problemset/problem/1008/B</t>
        </is>
      </c>
      <c r="N520" s="3" t="n"/>
    </row>
    <row r="521" ht="20.1" customHeight="1">
      <c r="A521" s="6" t="inlineStr">
        <is>
          <t>Unsolved</t>
        </is>
      </c>
      <c r="B521" s="7" t="inlineStr">
        <is>
          <t>Linked List &amp; Simulation</t>
        </is>
      </c>
      <c r="C521" s="7" t="inlineStr">
        <is>
          <t>Simple Simulation</t>
        </is>
      </c>
      <c r="D521" s="6" t="inlineStr">
        <is>
          <t>1196A</t>
        </is>
      </c>
      <c r="E521" s="6" t="n">
        <v>1196</v>
      </c>
      <c r="F521" s="6" t="inlineStr">
        <is>
          <t>A</t>
        </is>
      </c>
      <c r="G521" s="7" t="inlineStr">
        <is>
          <t>Three Piles of Candies</t>
        </is>
      </c>
      <c r="H521" s="6" t="n">
        <v>800</v>
      </c>
      <c r="I521" s="4" t="inlineStr">
        <is>
          <t>Easy</t>
        </is>
      </c>
      <c r="J521" s="7" t="inlineStr">
        <is>
          <t>brute force, constructive algorithms, math</t>
        </is>
      </c>
      <c r="K521" s="6" t="n">
        <v>15</v>
      </c>
      <c r="L521" s="6" t="n">
        <v>10</v>
      </c>
      <c r="M521" s="8" t="inlineStr">
        <is>
          <t>https://codeforces.com/problemset/problem/1196/A</t>
        </is>
      </c>
      <c r="N521" s="7" t="n"/>
    </row>
    <row r="522" ht="20.1" customHeight="1">
      <c r="A522" s="2" t="inlineStr">
        <is>
          <t>Unsolved</t>
        </is>
      </c>
      <c r="B522" s="3" t="inlineStr">
        <is>
          <t>Linked List &amp; Simulation</t>
        </is>
      </c>
      <c r="C522" s="3" t="inlineStr">
        <is>
          <t>Simple Simulation</t>
        </is>
      </c>
      <c r="D522" s="2" t="inlineStr">
        <is>
          <t>1234B1</t>
        </is>
      </c>
      <c r="E522" s="2" t="n">
        <v>1234</v>
      </c>
      <c r="F522" s="2" t="inlineStr">
        <is>
          <t>B1</t>
        </is>
      </c>
      <c r="G522" s="3" t="inlineStr">
        <is>
          <t>Social Network (easy version)</t>
        </is>
      </c>
      <c r="H522" s="2" t="n">
        <v>1000</v>
      </c>
      <c r="I522" s="4" t="inlineStr">
        <is>
          <t>Easy+</t>
        </is>
      </c>
      <c r="J522" s="3" t="inlineStr">
        <is>
          <t>implementation</t>
        </is>
      </c>
      <c r="K522" s="2" t="n">
        <v>15</v>
      </c>
      <c r="L522" s="2" t="n">
        <v>10</v>
      </c>
      <c r="M522" s="5" t="inlineStr">
        <is>
          <t>https://codeforces.com/problemset/problem/1234/B1</t>
        </is>
      </c>
      <c r="N522" s="3" t="n"/>
    </row>
    <row r="523" ht="20.1" customHeight="1">
      <c r="A523" s="6" t="inlineStr">
        <is>
          <t>Unsolved</t>
        </is>
      </c>
      <c r="B523" s="7" t="inlineStr">
        <is>
          <t>Linked List &amp; Simulation</t>
        </is>
      </c>
      <c r="C523" s="7" t="inlineStr">
        <is>
          <t>Simple Simulation</t>
        </is>
      </c>
      <c r="D523" s="6" t="inlineStr">
        <is>
          <t>1234B2</t>
        </is>
      </c>
      <c r="E523" s="6" t="n">
        <v>1234</v>
      </c>
      <c r="F523" s="6" t="inlineStr">
        <is>
          <t>B2</t>
        </is>
      </c>
      <c r="G523" s="7" t="inlineStr">
        <is>
          <t>Social Network (hard version)</t>
        </is>
      </c>
      <c r="H523" s="6" t="n">
        <v>1300</v>
      </c>
      <c r="I523" s="9" t="inlineStr">
        <is>
          <t>Medium</t>
        </is>
      </c>
      <c r="J523" s="7" t="inlineStr">
        <is>
          <t>data structures, implementation</t>
        </is>
      </c>
      <c r="K523" s="6" t="n">
        <v>25</v>
      </c>
      <c r="L523" s="6" t="n">
        <v>20</v>
      </c>
      <c r="M523" s="8" t="inlineStr">
        <is>
          <t>https://codeforces.com/problemset/problem/1234/B2</t>
        </is>
      </c>
      <c r="N523" s="7" t="n"/>
    </row>
    <row r="524" ht="20.1" customHeight="1">
      <c r="A524" s="2" t="inlineStr">
        <is>
          <t>Unsolved</t>
        </is>
      </c>
      <c r="B524" s="3" t="inlineStr">
        <is>
          <t>Linked List &amp; Simulation</t>
        </is>
      </c>
      <c r="C524" s="3" t="inlineStr">
        <is>
          <t>Simple Simulation</t>
        </is>
      </c>
      <c r="D524" s="2" t="inlineStr">
        <is>
          <t>1293A</t>
        </is>
      </c>
      <c r="E524" s="2" t="n">
        <v>1293</v>
      </c>
      <c r="F524" s="2" t="inlineStr">
        <is>
          <t>A</t>
        </is>
      </c>
      <c r="G524" s="3" t="inlineStr">
        <is>
          <t>ConneR and the A.R.C. Markland-N</t>
        </is>
      </c>
      <c r="H524" s="2" t="n">
        <v>1100</v>
      </c>
      <c r="I524" s="4" t="inlineStr">
        <is>
          <t>Easy+</t>
        </is>
      </c>
      <c r="J524" s="3" t="inlineStr">
        <is>
          <t>binary search, brute force, implementation</t>
        </is>
      </c>
      <c r="K524" s="2" t="n">
        <v>25</v>
      </c>
      <c r="L524" s="2" t="n">
        <v>20</v>
      </c>
      <c r="M524" s="5" t="inlineStr">
        <is>
          <t>https://codeforces.com/problemset/problem/1293/A</t>
        </is>
      </c>
      <c r="N524" s="3" t="n"/>
    </row>
    <row r="525" ht="20.1" customHeight="1">
      <c r="A525" s="6" t="inlineStr">
        <is>
          <t>Unsolved</t>
        </is>
      </c>
      <c r="B525" s="7" t="inlineStr">
        <is>
          <t>Linked List &amp; Simulation</t>
        </is>
      </c>
      <c r="C525" s="7" t="inlineStr">
        <is>
          <t>Simple Simulation</t>
        </is>
      </c>
      <c r="D525" s="6" t="inlineStr">
        <is>
          <t>1360C</t>
        </is>
      </c>
      <c r="E525" s="6" t="n">
        <v>1360</v>
      </c>
      <c r="F525" s="6" t="inlineStr">
        <is>
          <t>C</t>
        </is>
      </c>
      <c r="G525" s="7" t="inlineStr">
        <is>
          <t>Similar Pairs</t>
        </is>
      </c>
      <c r="H525" s="6" t="n">
        <v>1100</v>
      </c>
      <c r="I525" s="4" t="inlineStr">
        <is>
          <t>Easy+</t>
        </is>
      </c>
      <c r="J525" s="7" t="inlineStr">
        <is>
          <t>constructive algorithms, graph matchings, greedy, sortings</t>
        </is>
      </c>
      <c r="K525" s="6" t="n">
        <v>25</v>
      </c>
      <c r="L525" s="6" t="n">
        <v>20</v>
      </c>
      <c r="M525" s="8" t="inlineStr">
        <is>
          <t>https://codeforces.com/problemset/problem/1360/C</t>
        </is>
      </c>
      <c r="N525" s="7" t="n"/>
    </row>
    <row r="526" ht="20.1" customHeight="1">
      <c r="A526" s="2" t="inlineStr">
        <is>
          <t>Unsolved</t>
        </is>
      </c>
      <c r="B526" s="3" t="inlineStr">
        <is>
          <t>Linked List &amp; Simulation</t>
        </is>
      </c>
      <c r="C526" s="3" t="inlineStr">
        <is>
          <t>Simple Simulation</t>
        </is>
      </c>
      <c r="D526" s="2" t="inlineStr">
        <is>
          <t>1409B</t>
        </is>
      </c>
      <c r="E526" s="2" t="n">
        <v>1409</v>
      </c>
      <c r="F526" s="2" t="inlineStr">
        <is>
          <t>B</t>
        </is>
      </c>
      <c r="G526" s="3" t="inlineStr">
        <is>
          <t>Minimum Product</t>
        </is>
      </c>
      <c r="H526" s="2" t="n">
        <v>1100</v>
      </c>
      <c r="I526" s="4" t="inlineStr">
        <is>
          <t>Easy+</t>
        </is>
      </c>
      <c r="J526" s="3" t="inlineStr">
        <is>
          <t>brute force, greedy, math</t>
        </is>
      </c>
      <c r="K526" s="2" t="n">
        <v>25</v>
      </c>
      <c r="L526" s="2" t="n">
        <v>20</v>
      </c>
      <c r="M526" s="5" t="inlineStr">
        <is>
          <t>https://codeforces.com/problemset/problem/1409/B</t>
        </is>
      </c>
      <c r="N526" s="3" t="n"/>
    </row>
    <row r="527" ht="20.1" customHeight="1">
      <c r="A527" s="6" t="inlineStr">
        <is>
          <t>Unsolved</t>
        </is>
      </c>
      <c r="B527" s="7" t="inlineStr">
        <is>
          <t>Linked List &amp; Simulation</t>
        </is>
      </c>
      <c r="C527" s="7" t="inlineStr">
        <is>
          <t>Simple Simulation</t>
        </is>
      </c>
      <c r="D527" s="6" t="inlineStr">
        <is>
          <t>1512B</t>
        </is>
      </c>
      <c r="E527" s="6" t="n">
        <v>1512</v>
      </c>
      <c r="F527" s="6" t="inlineStr">
        <is>
          <t>B</t>
        </is>
      </c>
      <c r="G527" s="7" t="inlineStr">
        <is>
          <t>Almost Rectangle</t>
        </is>
      </c>
      <c r="H527" s="6" t="n">
        <v>800</v>
      </c>
      <c r="I527" s="4" t="inlineStr">
        <is>
          <t>Easy</t>
        </is>
      </c>
      <c r="J527" s="7" t="inlineStr">
        <is>
          <t>implementation</t>
        </is>
      </c>
      <c r="K527" s="6" t="n">
        <v>15</v>
      </c>
      <c r="L527" s="6" t="n">
        <v>10</v>
      </c>
      <c r="M527" s="8" t="inlineStr">
        <is>
          <t>https://codeforces.com/problemset/problem/1512/B</t>
        </is>
      </c>
      <c r="N527" s="7" t="n"/>
    </row>
    <row r="528" ht="20.1" customHeight="1">
      <c r="A528" s="2" t="inlineStr">
        <is>
          <t>Unsolved</t>
        </is>
      </c>
      <c r="B528" s="3" t="inlineStr">
        <is>
          <t>Linked List &amp; Simulation</t>
        </is>
      </c>
      <c r="C528" s="3" t="inlineStr">
        <is>
          <t>Circular Simulation</t>
        </is>
      </c>
      <c r="D528" s="2" t="inlineStr">
        <is>
          <t>659D</t>
        </is>
      </c>
      <c r="E528" s="2" t="n">
        <v>659</v>
      </c>
      <c r="F528" s="2" t="inlineStr">
        <is>
          <t>D</t>
        </is>
      </c>
      <c r="G528" s="3" t="inlineStr">
        <is>
          <t>Bicycle Race</t>
        </is>
      </c>
      <c r="H528" s="2" t="n">
        <v>1500</v>
      </c>
      <c r="I528" s="9" t="inlineStr">
        <is>
          <t>Medium+</t>
        </is>
      </c>
      <c r="J528" s="3" t="inlineStr">
        <is>
          <t>geometry, implementation, math</t>
        </is>
      </c>
      <c r="K528" s="2" t="n">
        <v>40</v>
      </c>
      <c r="L528" s="2" t="n">
        <v>35</v>
      </c>
      <c r="M528" s="5" t="inlineStr">
        <is>
          <t>https://codeforces.com/problemset/problem/659/D</t>
        </is>
      </c>
      <c r="N528" s="3" t="n"/>
    </row>
    <row r="529" ht="20.1" customHeight="1">
      <c r="A529" s="6" t="inlineStr">
        <is>
          <t>Unsolved</t>
        </is>
      </c>
      <c r="B529" s="7" t="inlineStr">
        <is>
          <t>Linked List &amp; Simulation</t>
        </is>
      </c>
      <c r="C529" s="7" t="inlineStr">
        <is>
          <t>Circular Simulation</t>
        </is>
      </c>
      <c r="D529" s="6" t="inlineStr">
        <is>
          <t>975C</t>
        </is>
      </c>
      <c r="E529" s="6" t="n">
        <v>975</v>
      </c>
      <c r="F529" s="6" t="inlineStr">
        <is>
          <t>C</t>
        </is>
      </c>
      <c r="G529" s="7" t="inlineStr">
        <is>
          <t>Valhalla Siege</t>
        </is>
      </c>
      <c r="H529" s="6" t="n">
        <v>1400</v>
      </c>
      <c r="I529" s="9" t="inlineStr">
        <is>
          <t>Medium</t>
        </is>
      </c>
      <c r="J529" s="7" t="inlineStr">
        <is>
          <t>binary search</t>
        </is>
      </c>
      <c r="K529" s="6" t="n">
        <v>40</v>
      </c>
      <c r="L529" s="6" t="n">
        <v>35</v>
      </c>
      <c r="M529" s="8" t="inlineStr">
        <is>
          <t>https://codeforces.com/problemset/problem/975/C</t>
        </is>
      </c>
      <c r="N529" s="7" t="n"/>
    </row>
    <row r="530" ht="20.1" customHeight="1">
      <c r="A530" s="2" t="inlineStr">
        <is>
          <t>Unsolved</t>
        </is>
      </c>
      <c r="B530" s="3" t="inlineStr">
        <is>
          <t>Linked List &amp; Simulation</t>
        </is>
      </c>
      <c r="C530" s="3" t="inlineStr">
        <is>
          <t>Circular Simulation</t>
        </is>
      </c>
      <c r="D530" s="2" t="inlineStr">
        <is>
          <t>1237C1</t>
        </is>
      </c>
      <c r="E530" s="2" t="n">
        <v>1237</v>
      </c>
      <c r="F530" s="2" t="inlineStr">
        <is>
          <t>C1</t>
        </is>
      </c>
      <c r="G530" s="3" t="inlineStr">
        <is>
          <t>Balanced Removals (Easier)</t>
        </is>
      </c>
      <c r="H530" s="2" t="n">
        <v>1700</v>
      </c>
      <c r="I530" s="10" t="inlineStr">
        <is>
          <t>Hard</t>
        </is>
      </c>
      <c r="J530" s="3" t="inlineStr">
        <is>
          <t>constructive algorithms, geometry, greedy</t>
        </is>
      </c>
      <c r="K530" s="2" t="n">
        <v>60</v>
      </c>
      <c r="L530" s="2" t="n">
        <v>55</v>
      </c>
      <c r="M530" s="5" t="inlineStr">
        <is>
          <t>https://codeforces.com/problemset/problem/1237/C1</t>
        </is>
      </c>
      <c r="N530" s="3" t="n"/>
    </row>
    <row r="531" ht="20.1" customHeight="1">
      <c r="A531" s="6" t="inlineStr">
        <is>
          <t>Unsolved</t>
        </is>
      </c>
      <c r="B531" s="7" t="inlineStr">
        <is>
          <t>Linked List &amp; Simulation</t>
        </is>
      </c>
      <c r="C531" s="7" t="inlineStr">
        <is>
          <t>Circular Simulation</t>
        </is>
      </c>
      <c r="D531" s="6" t="inlineStr">
        <is>
          <t>1237C2</t>
        </is>
      </c>
      <c r="E531" s="6" t="n">
        <v>1237</v>
      </c>
      <c r="F531" s="6" t="inlineStr">
        <is>
          <t>C2</t>
        </is>
      </c>
      <c r="G531" s="7" t="inlineStr">
        <is>
          <t>Balanced Removals (Harder)</t>
        </is>
      </c>
      <c r="H531" s="6" t="n">
        <v>1900</v>
      </c>
      <c r="I531" s="10" t="inlineStr">
        <is>
          <t>Hard+</t>
        </is>
      </c>
      <c r="J531" s="7" t="inlineStr">
        <is>
          <t>binary search, constructive algorithms, divide and conquer, greedy, implementation, sortings</t>
        </is>
      </c>
      <c r="K531" s="6" t="n">
        <v>60</v>
      </c>
      <c r="L531" s="6" t="n">
        <v>55</v>
      </c>
      <c r="M531" s="8" t="inlineStr">
        <is>
          <t>https://codeforces.com/problemset/problem/1237/C2</t>
        </is>
      </c>
      <c r="N531" s="7" t="n"/>
    </row>
    <row r="532" ht="20.1" customHeight="1">
      <c r="A532" s="2" t="inlineStr">
        <is>
          <t>Unsolved</t>
        </is>
      </c>
      <c r="B532" s="3" t="inlineStr">
        <is>
          <t>Linked List &amp; Simulation</t>
        </is>
      </c>
      <c r="C532" s="3" t="inlineStr">
        <is>
          <t>Circular Simulation</t>
        </is>
      </c>
      <c r="D532" s="2" t="inlineStr">
        <is>
          <t>1352D</t>
        </is>
      </c>
      <c r="E532" s="2" t="n">
        <v>1352</v>
      </c>
      <c r="F532" s="2" t="inlineStr">
        <is>
          <t>D</t>
        </is>
      </c>
      <c r="G532" s="3" t="inlineStr">
        <is>
          <t>Alice, Bob and Candies</t>
        </is>
      </c>
      <c r="H532" s="2" t="n">
        <v>1300</v>
      </c>
      <c r="I532" s="9" t="inlineStr">
        <is>
          <t>Medium</t>
        </is>
      </c>
      <c r="J532" s="3" t="inlineStr">
        <is>
          <t>implementation</t>
        </is>
      </c>
      <c r="K532" s="2" t="n">
        <v>25</v>
      </c>
      <c r="L532" s="2" t="n">
        <v>20</v>
      </c>
      <c r="M532" s="5" t="inlineStr">
        <is>
          <t>https://codeforces.com/problemset/problem/1352/D</t>
        </is>
      </c>
      <c r="N532" s="3" t="n"/>
    </row>
    <row r="533" ht="20.1" customHeight="1">
      <c r="A533" s="6" t="inlineStr">
        <is>
          <t>Unsolved</t>
        </is>
      </c>
      <c r="B533" s="7" t="inlineStr">
        <is>
          <t>Linked List &amp; Simulation</t>
        </is>
      </c>
      <c r="C533" s="7" t="inlineStr">
        <is>
          <t>Circular Simulation</t>
        </is>
      </c>
      <c r="D533" s="6" t="inlineStr">
        <is>
          <t>1382B</t>
        </is>
      </c>
      <c r="E533" s="6" t="n">
        <v>1382</v>
      </c>
      <c r="F533" s="6" t="inlineStr">
        <is>
          <t>B</t>
        </is>
      </c>
      <c r="G533" s="7" t="inlineStr">
        <is>
          <t>Sequential Nim</t>
        </is>
      </c>
      <c r="H533" s="6" t="n">
        <v>1100</v>
      </c>
      <c r="I533" s="4" t="inlineStr">
        <is>
          <t>Easy+</t>
        </is>
      </c>
      <c r="J533" s="7" t="inlineStr">
        <is>
          <t>dp, games</t>
        </is>
      </c>
      <c r="K533" s="6" t="n">
        <v>25</v>
      </c>
      <c r="L533" s="6" t="n">
        <v>20</v>
      </c>
      <c r="M533" s="8" t="inlineStr">
        <is>
          <t>https://codeforces.com/problemset/problem/1382/B</t>
        </is>
      </c>
      <c r="N533" s="7" t="n"/>
    </row>
    <row r="534" ht="20.1" customHeight="1">
      <c r="A534" s="2" t="inlineStr">
        <is>
          <t>Unsolved</t>
        </is>
      </c>
      <c r="B534" s="3" t="inlineStr">
        <is>
          <t>Linked List &amp; Simulation</t>
        </is>
      </c>
      <c r="C534" s="3" t="inlineStr">
        <is>
          <t>Circular Simulation</t>
        </is>
      </c>
      <c r="D534" s="2" t="inlineStr">
        <is>
          <t>1468K</t>
        </is>
      </c>
      <c r="E534" s="2" t="n">
        <v>1468</v>
      </c>
      <c r="F534" s="2" t="inlineStr">
        <is>
          <t>K</t>
        </is>
      </c>
      <c r="G534" s="3" t="inlineStr">
        <is>
          <t>The Robot</t>
        </is>
      </c>
      <c r="H534" s="2" t="n">
        <v>1600</v>
      </c>
      <c r="I534" s="9" t="inlineStr">
        <is>
          <t>Medium+</t>
        </is>
      </c>
      <c r="J534" s="3" t="inlineStr">
        <is>
          <t>brute force, implementation</t>
        </is>
      </c>
      <c r="K534" s="2" t="n">
        <v>40</v>
      </c>
      <c r="L534" s="2" t="n">
        <v>35</v>
      </c>
      <c r="M534" s="5" t="inlineStr">
        <is>
          <t>https://codeforces.com/problemset/problem/1468/K</t>
        </is>
      </c>
      <c r="N534" s="3" t="n"/>
    </row>
    <row r="535" ht="20.1" customHeight="1">
      <c r="A535" s="6" t="inlineStr">
        <is>
          <t>Unsolved</t>
        </is>
      </c>
      <c r="B535" s="7" t="inlineStr">
        <is>
          <t>Linked List &amp; Simulation</t>
        </is>
      </c>
      <c r="C535" s="7" t="inlineStr">
        <is>
          <t>Circular Simulation</t>
        </is>
      </c>
      <c r="D535" s="6" t="inlineStr">
        <is>
          <t>1487B</t>
        </is>
      </c>
      <c r="E535" s="6" t="n">
        <v>1487</v>
      </c>
      <c r="F535" s="6" t="inlineStr">
        <is>
          <t>B</t>
        </is>
      </c>
      <c r="G535" s="7" t="inlineStr">
        <is>
          <t>Cat Cycle</t>
        </is>
      </c>
      <c r="H535" s="6" t="n">
        <v>1200</v>
      </c>
      <c r="I535" s="4" t="inlineStr">
        <is>
          <t>Easy+</t>
        </is>
      </c>
      <c r="J535" s="7" t="inlineStr">
        <is>
          <t>math, number theory</t>
        </is>
      </c>
      <c r="K535" s="6" t="n">
        <v>25</v>
      </c>
      <c r="L535" s="6" t="n">
        <v>20</v>
      </c>
      <c r="M535" s="8" t="inlineStr">
        <is>
          <t>https://codeforces.com/problemset/problem/1487/B</t>
        </is>
      </c>
      <c r="N535" s="7" t="n"/>
    </row>
    <row r="536" ht="20.1" customHeight="1">
      <c r="A536" s="2" t="inlineStr">
        <is>
          <t>Unsolved</t>
        </is>
      </c>
      <c r="B536" s="3" t="inlineStr">
        <is>
          <t>Linked List &amp; Simulation</t>
        </is>
      </c>
      <c r="C536" s="3" t="inlineStr">
        <is>
          <t>Circular Simulation</t>
        </is>
      </c>
      <c r="D536" s="2" t="inlineStr">
        <is>
          <t>1525B</t>
        </is>
      </c>
      <c r="E536" s="2" t="n">
        <v>1525</v>
      </c>
      <c r="F536" s="2" t="inlineStr">
        <is>
          <t>B</t>
        </is>
      </c>
      <c r="G536" s="3" t="inlineStr">
        <is>
          <t>Permutation Sort</t>
        </is>
      </c>
      <c r="H536" s="2" t="n">
        <v>900</v>
      </c>
      <c r="I536" s="4" t="inlineStr">
        <is>
          <t>Easy</t>
        </is>
      </c>
      <c r="J536" s="3" t="inlineStr">
        <is>
          <t>constructive algorithms, greedy</t>
        </is>
      </c>
      <c r="K536" s="2" t="n">
        <v>15</v>
      </c>
      <c r="L536" s="2" t="n">
        <v>10</v>
      </c>
      <c r="M536" s="5" t="inlineStr">
        <is>
          <t>https://codeforces.com/problemset/problem/1525/B</t>
        </is>
      </c>
      <c r="N536" s="3" t="n"/>
    </row>
    <row r="537" ht="20.1" customHeight="1">
      <c r="A537" s="6" t="inlineStr">
        <is>
          <t>Unsolved</t>
        </is>
      </c>
      <c r="B537" s="7" t="inlineStr">
        <is>
          <t>Linked List &amp; Simulation</t>
        </is>
      </c>
      <c r="C537" s="7" t="inlineStr">
        <is>
          <t>Simulation with Data Structures</t>
        </is>
      </c>
      <c r="D537" s="6" t="inlineStr">
        <is>
          <t>1299C</t>
        </is>
      </c>
      <c r="E537" s="6" t="n">
        <v>1299</v>
      </c>
      <c r="F537" s="6" t="inlineStr">
        <is>
          <t>C</t>
        </is>
      </c>
      <c r="G537" s="7" t="inlineStr">
        <is>
          <t>Water Balance</t>
        </is>
      </c>
      <c r="H537" s="6" t="n">
        <v>2100</v>
      </c>
      <c r="I537" s="12" t="inlineStr">
        <is>
          <t>Expert</t>
        </is>
      </c>
      <c r="J537" s="7" t="inlineStr">
        <is>
          <t>data structures, geometry, greedy</t>
        </is>
      </c>
      <c r="K537" s="6" t="n">
        <v>90</v>
      </c>
      <c r="L537" s="6" t="n">
        <v>80</v>
      </c>
      <c r="M537" s="8" t="inlineStr">
        <is>
          <t>https://codeforces.com/problemset/problem/1299/C</t>
        </is>
      </c>
      <c r="N537" s="7" t="n"/>
    </row>
    <row r="538" ht="20.1" customHeight="1">
      <c r="A538" s="2" t="inlineStr">
        <is>
          <t>Unsolved</t>
        </is>
      </c>
      <c r="B538" s="3" t="inlineStr">
        <is>
          <t>Linked List &amp; Simulation</t>
        </is>
      </c>
      <c r="C538" s="3" t="inlineStr">
        <is>
          <t>Ordered Set Simulation</t>
        </is>
      </c>
      <c r="D538" s="2" t="inlineStr">
        <is>
          <t>61E</t>
        </is>
      </c>
      <c r="E538" s="2" t="n">
        <v>61</v>
      </c>
      <c r="F538" s="2" t="inlineStr">
        <is>
          <t>E</t>
        </is>
      </c>
      <c r="G538" s="3" t="inlineStr">
        <is>
          <t>Enemy is weak</t>
        </is>
      </c>
      <c r="H538" s="2" t="n">
        <v>1900</v>
      </c>
      <c r="I538" s="10" t="inlineStr">
        <is>
          <t>Hard+</t>
        </is>
      </c>
      <c r="J538" s="3" t="inlineStr">
        <is>
          <t>data structures, trees</t>
        </is>
      </c>
      <c r="K538" s="2" t="n">
        <v>60</v>
      </c>
      <c r="L538" s="2" t="n">
        <v>55</v>
      </c>
      <c r="M538" s="5" t="inlineStr">
        <is>
          <t>https://codeforces.com/problemset/problem/61/E</t>
        </is>
      </c>
      <c r="N538" s="3" t="n"/>
    </row>
    <row r="539" ht="20.1" customHeight="1">
      <c r="A539" s="6" t="inlineStr">
        <is>
          <t>Unsolved</t>
        </is>
      </c>
      <c r="B539" s="7" t="inlineStr">
        <is>
          <t>Linked List &amp; Simulation</t>
        </is>
      </c>
      <c r="C539" s="7" t="inlineStr">
        <is>
          <t>Ordered Set Simulation</t>
        </is>
      </c>
      <c r="D539" s="6" t="inlineStr">
        <is>
          <t>220B</t>
        </is>
      </c>
      <c r="E539" s="6" t="n">
        <v>220</v>
      </c>
      <c r="F539" s="6" t="inlineStr">
        <is>
          <t>B</t>
        </is>
      </c>
      <c r="G539" s="7" t="inlineStr">
        <is>
          <t>Little Elephant and Array</t>
        </is>
      </c>
      <c r="H539" s="6" t="n">
        <v>1800</v>
      </c>
      <c r="I539" s="10" t="inlineStr">
        <is>
          <t>Hard</t>
        </is>
      </c>
      <c r="J539" s="7" t="inlineStr">
        <is>
          <t>constructive algorithms, data structures</t>
        </is>
      </c>
      <c r="K539" s="6" t="n">
        <v>60</v>
      </c>
      <c r="L539" s="6" t="n">
        <v>55</v>
      </c>
      <c r="M539" s="8" t="inlineStr">
        <is>
          <t>https://codeforces.com/problemset/problem/220/B</t>
        </is>
      </c>
      <c r="N539" s="7" t="n"/>
    </row>
    <row r="540" ht="20.1" customHeight="1">
      <c r="A540" s="2" t="inlineStr">
        <is>
          <t>Unsolved</t>
        </is>
      </c>
      <c r="B540" s="3" t="inlineStr">
        <is>
          <t>Linked List &amp; Simulation</t>
        </is>
      </c>
      <c r="C540" s="3" t="inlineStr">
        <is>
          <t>Ordered Set Simulation</t>
        </is>
      </c>
      <c r="D540" s="2" t="inlineStr">
        <is>
          <t>652D</t>
        </is>
      </c>
      <c r="E540" s="2" t="n">
        <v>652</v>
      </c>
      <c r="F540" s="2" t="inlineStr">
        <is>
          <t>D</t>
        </is>
      </c>
      <c r="G540" s="3" t="inlineStr">
        <is>
          <t>Nested Segments</t>
        </is>
      </c>
      <c r="H540" s="2" t="n">
        <v>1800</v>
      </c>
      <c r="I540" s="10" t="inlineStr">
        <is>
          <t>Hard</t>
        </is>
      </c>
      <c r="J540" s="3" t="inlineStr">
        <is>
          <t>data structures, sortings</t>
        </is>
      </c>
      <c r="K540" s="2" t="n">
        <v>60</v>
      </c>
      <c r="L540" s="2" t="n">
        <v>55</v>
      </c>
      <c r="M540" s="5" t="inlineStr">
        <is>
          <t>https://codeforces.com/problemset/problem/652/D</t>
        </is>
      </c>
      <c r="N540" s="3" t="n"/>
    </row>
    <row r="541" ht="20.1" customHeight="1">
      <c r="A541" s="6" t="inlineStr">
        <is>
          <t>Unsolved</t>
        </is>
      </c>
      <c r="B541" s="7" t="inlineStr">
        <is>
          <t>Linked List &amp; Simulation</t>
        </is>
      </c>
      <c r="C541" s="7" t="inlineStr">
        <is>
          <t>Ordered Set Simulation</t>
        </is>
      </c>
      <c r="D541" s="6" t="inlineStr">
        <is>
          <t>847E</t>
        </is>
      </c>
      <c r="E541" s="6" t="n">
        <v>847</v>
      </c>
      <c r="F541" s="6" t="inlineStr">
        <is>
          <t>E</t>
        </is>
      </c>
      <c r="G541" s="7" t="inlineStr">
        <is>
          <t>Packmen</t>
        </is>
      </c>
      <c r="H541" s="6" t="n">
        <v>1800</v>
      </c>
      <c r="I541" s="10" t="inlineStr">
        <is>
          <t>Hard</t>
        </is>
      </c>
      <c r="J541" s="7" t="inlineStr">
        <is>
          <t>binary search, dp</t>
        </is>
      </c>
      <c r="K541" s="6" t="n">
        <v>60</v>
      </c>
      <c r="L541" s="6" t="n">
        <v>55</v>
      </c>
      <c r="M541" s="8" t="inlineStr">
        <is>
          <t>https://codeforces.com/problemset/problem/847/E</t>
        </is>
      </c>
      <c r="N541" s="7" t="n"/>
    </row>
    <row r="542" ht="20.1" customHeight="1">
      <c r="A542" s="2" t="inlineStr">
        <is>
          <t>Unsolved</t>
        </is>
      </c>
      <c r="B542" s="3" t="inlineStr">
        <is>
          <t>Linked List &amp; Simulation</t>
        </is>
      </c>
      <c r="C542" s="3" t="inlineStr">
        <is>
          <t>Ordered Set Simulation</t>
        </is>
      </c>
      <c r="D542" s="2" t="inlineStr">
        <is>
          <t>1354D</t>
        </is>
      </c>
      <c r="E542" s="2" t="n">
        <v>1354</v>
      </c>
      <c r="F542" s="2" t="inlineStr">
        <is>
          <t>D</t>
        </is>
      </c>
      <c r="G542" s="3" t="inlineStr">
        <is>
          <t>Multiset</t>
        </is>
      </c>
      <c r="H542" s="2" t="n">
        <v>1900</v>
      </c>
      <c r="I542" s="10" t="inlineStr">
        <is>
          <t>Hard+</t>
        </is>
      </c>
      <c r="J542" s="3" t="inlineStr">
        <is>
          <t>binary search, data structures</t>
        </is>
      </c>
      <c r="K542" s="2" t="n">
        <v>60</v>
      </c>
      <c r="L542" s="2" t="n">
        <v>55</v>
      </c>
      <c r="M542" s="5" t="inlineStr">
        <is>
          <t>https://codeforces.com/problemset/problem/1354/D</t>
        </is>
      </c>
      <c r="N542" s="3" t="n"/>
    </row>
    <row r="543" ht="20.1" customHeight="1">
      <c r="A543" s="6" t="inlineStr">
        <is>
          <t>Unsolved</t>
        </is>
      </c>
      <c r="B543" s="7" t="inlineStr">
        <is>
          <t>Linked List &amp; Simulation</t>
        </is>
      </c>
      <c r="C543" s="7" t="inlineStr">
        <is>
          <t>Ordered Set Simulation</t>
        </is>
      </c>
      <c r="D543" s="6" t="inlineStr">
        <is>
          <t>1430F</t>
        </is>
      </c>
      <c r="E543" s="6" t="n">
        <v>1430</v>
      </c>
      <c r="F543" s="6" t="inlineStr">
        <is>
          <t>F</t>
        </is>
      </c>
      <c r="G543" s="7" t="inlineStr">
        <is>
          <t>Realistic Gameplay</t>
        </is>
      </c>
      <c r="H543" s="6" t="n">
        <v>2600</v>
      </c>
      <c r="I543" s="12" t="inlineStr">
        <is>
          <t>Master</t>
        </is>
      </c>
      <c r="J543" s="7" t="inlineStr">
        <is>
          <t>dp, greedy</t>
        </is>
      </c>
      <c r="K543" s="6" t="n">
        <v>180</v>
      </c>
      <c r="L543" s="6" t="n">
        <v>150</v>
      </c>
      <c r="M543" s="8" t="inlineStr">
        <is>
          <t>https://codeforces.com/problemset/problem/1430/F</t>
        </is>
      </c>
      <c r="N543" s="7" t="n"/>
    </row>
    <row r="544" ht="20.1" customHeight="1">
      <c r="A544" s="2" t="inlineStr">
        <is>
          <t>Unsolved</t>
        </is>
      </c>
      <c r="B544" s="3" t="inlineStr">
        <is>
          <t>Linked List &amp; Simulation</t>
        </is>
      </c>
      <c r="C544" s="3" t="inlineStr">
        <is>
          <t>Ordered Set Simulation</t>
        </is>
      </c>
      <c r="D544" s="2" t="inlineStr">
        <is>
          <t>1579E1</t>
        </is>
      </c>
      <c r="E544" s="2" t="n">
        <v>1579</v>
      </c>
      <c r="F544" s="2" t="inlineStr">
        <is>
          <t>E1</t>
        </is>
      </c>
      <c r="G544" s="3" t="inlineStr">
        <is>
          <t>Permutation Minimization by Deque</t>
        </is>
      </c>
      <c r="H544" s="2" t="n">
        <v>1000</v>
      </c>
      <c r="I544" s="4" t="inlineStr">
        <is>
          <t>Easy+</t>
        </is>
      </c>
      <c r="J544" s="3" t="inlineStr">
        <is>
          <t>constructive algorithms, greedy, math</t>
        </is>
      </c>
      <c r="K544" s="2" t="n">
        <v>15</v>
      </c>
      <c r="L544" s="2" t="n">
        <v>10</v>
      </c>
      <c r="M544" s="5" t="inlineStr">
        <is>
          <t>https://codeforces.com/problemset/problem/1579/E1</t>
        </is>
      </c>
      <c r="N544" s="3" t="n"/>
    </row>
    <row r="545" ht="20.1" customHeight="1">
      <c r="A545" s="6" t="inlineStr">
        <is>
          <t>Unsolved</t>
        </is>
      </c>
      <c r="B545" s="7" t="inlineStr">
        <is>
          <t>Linked List &amp; Simulation</t>
        </is>
      </c>
      <c r="C545" s="7" t="inlineStr">
        <is>
          <t>Ordered Set Simulation</t>
        </is>
      </c>
      <c r="D545" s="6" t="inlineStr">
        <is>
          <t>1579E2</t>
        </is>
      </c>
      <c r="E545" s="6" t="n">
        <v>1579</v>
      </c>
      <c r="F545" s="6" t="inlineStr">
        <is>
          <t>E2</t>
        </is>
      </c>
      <c r="G545" s="7" t="inlineStr">
        <is>
          <t>Array Optimization by Deque</t>
        </is>
      </c>
      <c r="H545" s="6" t="n">
        <v>1700</v>
      </c>
      <c r="I545" s="10" t="inlineStr">
        <is>
          <t>Hard</t>
        </is>
      </c>
      <c r="J545" s="7" t="inlineStr">
        <is>
          <t>data structures, greedy</t>
        </is>
      </c>
      <c r="K545" s="6" t="n">
        <v>60</v>
      </c>
      <c r="L545" s="6" t="n">
        <v>55</v>
      </c>
      <c r="M545" s="8" t="inlineStr">
        <is>
          <t>https://codeforces.com/problemset/problem/1579/E2</t>
        </is>
      </c>
      <c r="N545" s="7" t="n"/>
    </row>
    <row r="546" ht="20.1" customHeight="1">
      <c r="A546" s="2" t="inlineStr">
        <is>
          <t>Unsolved</t>
        </is>
      </c>
      <c r="B546" s="3" t="inlineStr">
        <is>
          <t>Trees</t>
        </is>
      </c>
      <c r="C546" s="3" t="inlineStr">
        <is>
          <t>Basic Tree DFS</t>
        </is>
      </c>
      <c r="D546" s="2" t="inlineStr">
        <is>
          <t>219D</t>
        </is>
      </c>
      <c r="E546" s="2" t="n">
        <v>219</v>
      </c>
      <c r="F546" s="2" t="inlineStr">
        <is>
          <t>D</t>
        </is>
      </c>
      <c r="G546" s="3" t="inlineStr">
        <is>
          <t>Choosing Capital for Treeland</t>
        </is>
      </c>
      <c r="H546" s="2" t="n">
        <v>1700</v>
      </c>
      <c r="I546" s="10" t="inlineStr">
        <is>
          <t>Hard</t>
        </is>
      </c>
      <c r="J546" s="3" t="inlineStr">
        <is>
          <t>dfs and similar, dp, graphs, trees</t>
        </is>
      </c>
      <c r="K546" s="2" t="n">
        <v>60</v>
      </c>
      <c r="L546" s="2" t="n">
        <v>55</v>
      </c>
      <c r="M546" s="5" t="inlineStr">
        <is>
          <t>https://codeforces.com/problemset/problem/219/D</t>
        </is>
      </c>
      <c r="N546" s="3" t="n"/>
    </row>
    <row r="547" ht="20.1" customHeight="1">
      <c r="A547" s="6" t="inlineStr">
        <is>
          <t>Unsolved</t>
        </is>
      </c>
      <c r="B547" s="7" t="inlineStr">
        <is>
          <t>Trees</t>
        </is>
      </c>
      <c r="C547" s="7" t="inlineStr">
        <is>
          <t>Basic Tree DFS</t>
        </is>
      </c>
      <c r="D547" s="6" t="inlineStr">
        <is>
          <t>337A</t>
        </is>
      </c>
      <c r="E547" s="6" t="n">
        <v>337</v>
      </c>
      <c r="F547" s="6" t="inlineStr">
        <is>
          <t>A</t>
        </is>
      </c>
      <c r="G547" s="7" t="inlineStr">
        <is>
          <t>Puzzles</t>
        </is>
      </c>
      <c r="H547" s="6" t="n">
        <v>900</v>
      </c>
      <c r="I547" s="4" t="inlineStr">
        <is>
          <t>Easy</t>
        </is>
      </c>
      <c r="J547" s="7" t="inlineStr">
        <is>
          <t>greedy</t>
        </is>
      </c>
      <c r="K547" s="6" t="n">
        <v>15</v>
      </c>
      <c r="L547" s="6" t="n">
        <v>10</v>
      </c>
      <c r="M547" s="8" t="inlineStr">
        <is>
          <t>https://codeforces.com/problemset/problem/337/A</t>
        </is>
      </c>
      <c r="N547" s="7" t="n"/>
    </row>
    <row r="548" ht="20.1" customHeight="1">
      <c r="A548" s="2" t="inlineStr">
        <is>
          <t>Unsolved</t>
        </is>
      </c>
      <c r="B548" s="3" t="inlineStr">
        <is>
          <t>Trees</t>
        </is>
      </c>
      <c r="C548" s="3" t="inlineStr">
        <is>
          <t>Basic Tree DFS</t>
        </is>
      </c>
      <c r="D548" s="2" t="inlineStr">
        <is>
          <t>337D</t>
        </is>
      </c>
      <c r="E548" s="2" t="n">
        <v>337</v>
      </c>
      <c r="F548" s="2" t="inlineStr">
        <is>
          <t>D</t>
        </is>
      </c>
      <c r="G548" s="3" t="inlineStr">
        <is>
          <t>Book of Evil</t>
        </is>
      </c>
      <c r="H548" s="2" t="n">
        <v>2000</v>
      </c>
      <c r="I548" s="10" t="inlineStr">
        <is>
          <t>Hard+</t>
        </is>
      </c>
      <c r="J548" s="3" t="inlineStr">
        <is>
          <t>dfs and similar, divide and conquer, dp, trees</t>
        </is>
      </c>
      <c r="K548" s="2" t="n">
        <v>90</v>
      </c>
      <c r="L548" s="2" t="n">
        <v>80</v>
      </c>
      <c r="M548" s="5" t="inlineStr">
        <is>
          <t>https://codeforces.com/problemset/problem/337/D</t>
        </is>
      </c>
      <c r="N548" s="3" t="n"/>
    </row>
    <row r="549" ht="20.1" customHeight="1">
      <c r="A549" s="6" t="inlineStr">
        <is>
          <t>Unsolved</t>
        </is>
      </c>
      <c r="B549" s="7" t="inlineStr">
        <is>
          <t>Trees</t>
        </is>
      </c>
      <c r="C549" s="7" t="inlineStr">
        <is>
          <t>Basic Tree DFS</t>
        </is>
      </c>
      <c r="D549" s="6" t="inlineStr">
        <is>
          <t>545C</t>
        </is>
      </c>
      <c r="E549" s="6" t="n">
        <v>545</v>
      </c>
      <c r="F549" s="6" t="inlineStr">
        <is>
          <t>C</t>
        </is>
      </c>
      <c r="G549" s="7" t="inlineStr">
        <is>
          <t>Woodcutters</t>
        </is>
      </c>
      <c r="H549" s="6" t="n">
        <v>1500</v>
      </c>
      <c r="I549" s="9" t="inlineStr">
        <is>
          <t>Medium+</t>
        </is>
      </c>
      <c r="J549" s="7" t="inlineStr">
        <is>
          <t>dp, greedy</t>
        </is>
      </c>
      <c r="K549" s="6" t="n">
        <v>40</v>
      </c>
      <c r="L549" s="6" t="n">
        <v>35</v>
      </c>
      <c r="M549" s="8" t="inlineStr">
        <is>
          <t>https://codeforces.com/problemset/problem/545/C</t>
        </is>
      </c>
      <c r="N549" s="7" t="n"/>
    </row>
    <row r="550" ht="20.1" customHeight="1">
      <c r="A550" s="2" t="inlineStr">
        <is>
          <t>Unsolved</t>
        </is>
      </c>
      <c r="B550" s="3" t="inlineStr">
        <is>
          <t>Trees</t>
        </is>
      </c>
      <c r="C550" s="3" t="inlineStr">
        <is>
          <t>Basic Tree DFS</t>
        </is>
      </c>
      <c r="D550" s="2" t="inlineStr">
        <is>
          <t>763A</t>
        </is>
      </c>
      <c r="E550" s="2" t="n">
        <v>763</v>
      </c>
      <c r="F550" s="2" t="inlineStr">
        <is>
          <t>A</t>
        </is>
      </c>
      <c r="G550" s="3" t="inlineStr">
        <is>
          <t>Timofey and a tree</t>
        </is>
      </c>
      <c r="H550" s="2" t="n">
        <v>1600</v>
      </c>
      <c r="I550" s="9" t="inlineStr">
        <is>
          <t>Medium+</t>
        </is>
      </c>
      <c r="J550" s="3" t="inlineStr">
        <is>
          <t>dfs and similar, dp, dsu, graphs, implementation, trees</t>
        </is>
      </c>
      <c r="K550" s="2" t="n">
        <v>40</v>
      </c>
      <c r="L550" s="2" t="n">
        <v>35</v>
      </c>
      <c r="M550" s="5" t="inlineStr">
        <is>
          <t>https://codeforces.com/problemset/problem/763/A</t>
        </is>
      </c>
      <c r="N550" s="3" t="n"/>
    </row>
    <row r="551" ht="20.1" customHeight="1">
      <c r="A551" s="6" t="inlineStr">
        <is>
          <t>Unsolved</t>
        </is>
      </c>
      <c r="B551" s="7" t="inlineStr">
        <is>
          <t>Trees</t>
        </is>
      </c>
      <c r="C551" s="7" t="inlineStr">
        <is>
          <t>Basic Tree DFS</t>
        </is>
      </c>
      <c r="D551" s="6" t="inlineStr">
        <is>
          <t>893C</t>
        </is>
      </c>
      <c r="E551" s="6" t="n">
        <v>893</v>
      </c>
      <c r="F551" s="6" t="inlineStr">
        <is>
          <t>C</t>
        </is>
      </c>
      <c r="G551" s="7" t="inlineStr">
        <is>
          <t>Rumor</t>
        </is>
      </c>
      <c r="H551" s="6" t="n">
        <v>1300</v>
      </c>
      <c r="I551" s="9" t="inlineStr">
        <is>
          <t>Medium</t>
        </is>
      </c>
      <c r="J551" s="7" t="inlineStr">
        <is>
          <t>dfs and similar, graphs, greedy</t>
        </is>
      </c>
      <c r="K551" s="6" t="n">
        <v>25</v>
      </c>
      <c r="L551" s="6" t="n">
        <v>20</v>
      </c>
      <c r="M551" s="8" t="inlineStr">
        <is>
          <t>https://codeforces.com/problemset/problem/893/C</t>
        </is>
      </c>
      <c r="N551" s="7" t="n"/>
    </row>
    <row r="552" ht="20.1" customHeight="1">
      <c r="A552" s="2" t="inlineStr">
        <is>
          <t>Unsolved</t>
        </is>
      </c>
      <c r="B552" s="3" t="inlineStr">
        <is>
          <t>Trees</t>
        </is>
      </c>
      <c r="C552" s="3" t="inlineStr">
        <is>
          <t>Basic Tree DFS</t>
        </is>
      </c>
      <c r="D552" s="2" t="inlineStr">
        <is>
          <t>920E</t>
        </is>
      </c>
      <c r="E552" s="2" t="n">
        <v>920</v>
      </c>
      <c r="F552" s="2" t="inlineStr">
        <is>
          <t>E</t>
        </is>
      </c>
      <c r="G552" s="3" t="inlineStr">
        <is>
          <t>Connected Components?</t>
        </is>
      </c>
      <c r="H552" s="2" t="n">
        <v>2100</v>
      </c>
      <c r="I552" s="12" t="inlineStr">
        <is>
          <t>Expert</t>
        </is>
      </c>
      <c r="J552" s="3" t="inlineStr">
        <is>
          <t>data structures, dfs and similar, dsu, graphs</t>
        </is>
      </c>
      <c r="K552" s="2" t="n">
        <v>90</v>
      </c>
      <c r="L552" s="2" t="n">
        <v>80</v>
      </c>
      <c r="M552" s="5" t="inlineStr">
        <is>
          <t>https://codeforces.com/problemset/problem/920/E</t>
        </is>
      </c>
      <c r="N552" s="3" t="n"/>
    </row>
    <row r="553" ht="20.1" customHeight="1">
      <c r="A553" s="6" t="inlineStr">
        <is>
          <t>Unsolved</t>
        </is>
      </c>
      <c r="B553" s="7" t="inlineStr">
        <is>
          <t>Trees</t>
        </is>
      </c>
      <c r="C553" s="7" t="inlineStr">
        <is>
          <t>Basic Tree DFS</t>
        </is>
      </c>
      <c r="D553" s="6" t="inlineStr">
        <is>
          <t>987D</t>
        </is>
      </c>
      <c r="E553" s="6" t="n">
        <v>987</v>
      </c>
      <c r="F553" s="6" t="inlineStr">
        <is>
          <t>D</t>
        </is>
      </c>
      <c r="G553" s="7" t="inlineStr">
        <is>
          <t>UNKNOWN</t>
        </is>
      </c>
      <c r="H553" s="6" t="inlineStr">
        <is>
          <t>UNKNOWN</t>
        </is>
      </c>
      <c r="I553" s="11" t="inlineStr">
        <is>
          <t>UNKNOWN</t>
        </is>
      </c>
      <c r="J553" s="7" t="inlineStr">
        <is>
          <t>UNKNOWN</t>
        </is>
      </c>
      <c r="K553" s="6" t="n">
        <v>0</v>
      </c>
      <c r="L553" s="6" t="n">
        <v>0</v>
      </c>
      <c r="M553" s="8" t="inlineStr">
        <is>
          <t>https://codeforces.com/problemset/problem/987/D</t>
        </is>
      </c>
      <c r="N553" s="7" t="n"/>
    </row>
    <row r="554" ht="20.1" customHeight="1">
      <c r="A554" s="2" t="inlineStr">
        <is>
          <t>Unsolved</t>
        </is>
      </c>
      <c r="B554" s="3" t="inlineStr">
        <is>
          <t>Trees</t>
        </is>
      </c>
      <c r="C554" s="3" t="inlineStr">
        <is>
          <t>Basic Tree DFS</t>
        </is>
      </c>
      <c r="D554" s="2" t="inlineStr">
        <is>
          <t>1029E</t>
        </is>
      </c>
      <c r="E554" s="2" t="n">
        <v>1029</v>
      </c>
      <c r="F554" s="2" t="inlineStr">
        <is>
          <t>E</t>
        </is>
      </c>
      <c r="G554" s="3" t="inlineStr">
        <is>
          <t>Tree with Small Distances</t>
        </is>
      </c>
      <c r="H554" s="2" t="n">
        <v>2100</v>
      </c>
      <c r="I554" s="12" t="inlineStr">
        <is>
          <t>Expert</t>
        </is>
      </c>
      <c r="J554" s="3" t="inlineStr">
        <is>
          <t>dp, graphs, greedy</t>
        </is>
      </c>
      <c r="K554" s="2" t="n">
        <v>90</v>
      </c>
      <c r="L554" s="2" t="n">
        <v>80</v>
      </c>
      <c r="M554" s="5" t="inlineStr">
        <is>
          <t>https://codeforces.com/problemset/problem/1029/E</t>
        </is>
      </c>
      <c r="N554" s="3" t="n"/>
    </row>
    <row r="555" ht="20.1" customHeight="1">
      <c r="A555" s="6" t="inlineStr">
        <is>
          <t>Unsolved</t>
        </is>
      </c>
      <c r="B555" s="7" t="inlineStr">
        <is>
          <t>Trees</t>
        </is>
      </c>
      <c r="C555" s="7" t="inlineStr">
        <is>
          <t>Basic Tree DFS</t>
        </is>
      </c>
      <c r="D555" s="6" t="inlineStr">
        <is>
          <t>1118F1</t>
        </is>
      </c>
      <c r="E555" s="6" t="n">
        <v>1118</v>
      </c>
      <c r="F555" s="6" t="inlineStr">
        <is>
          <t>F1</t>
        </is>
      </c>
      <c r="G555" s="7" t="inlineStr">
        <is>
          <t>Tree Cutting (Easy Version)</t>
        </is>
      </c>
      <c r="H555" s="6" t="n">
        <v>1800</v>
      </c>
      <c r="I555" s="10" t="inlineStr">
        <is>
          <t>Hard</t>
        </is>
      </c>
      <c r="J555" s="7" t="inlineStr">
        <is>
          <t>dfs and similar, trees</t>
        </is>
      </c>
      <c r="K555" s="6" t="n">
        <v>60</v>
      </c>
      <c r="L555" s="6" t="n">
        <v>55</v>
      </c>
      <c r="M555" s="8" t="inlineStr">
        <is>
          <t>https://codeforces.com/problemset/problem/1118/F1</t>
        </is>
      </c>
      <c r="N555" s="7" t="n"/>
    </row>
    <row r="556" ht="20.1" customHeight="1">
      <c r="A556" s="2" t="inlineStr">
        <is>
          <t>Unsolved</t>
        </is>
      </c>
      <c r="B556" s="3" t="inlineStr">
        <is>
          <t>Trees</t>
        </is>
      </c>
      <c r="C556" s="3" t="inlineStr">
        <is>
          <t>Basic Tree DFS</t>
        </is>
      </c>
      <c r="D556" s="2" t="inlineStr">
        <is>
          <t>1139C</t>
        </is>
      </c>
      <c r="E556" s="2" t="n">
        <v>1139</v>
      </c>
      <c r="F556" s="2" t="inlineStr">
        <is>
          <t>C</t>
        </is>
      </c>
      <c r="G556" s="3" t="inlineStr">
        <is>
          <t>Edgy Trees</t>
        </is>
      </c>
      <c r="H556" s="2" t="n">
        <v>1500</v>
      </c>
      <c r="I556" s="9" t="inlineStr">
        <is>
          <t>Medium+</t>
        </is>
      </c>
      <c r="J556" s="3" t="inlineStr">
        <is>
          <t>dfs and similar, dsu, graphs, math, trees</t>
        </is>
      </c>
      <c r="K556" s="2" t="n">
        <v>40</v>
      </c>
      <c r="L556" s="2" t="n">
        <v>35</v>
      </c>
      <c r="M556" s="5" t="inlineStr">
        <is>
          <t>https://codeforces.com/problemset/problem/1139/C</t>
        </is>
      </c>
      <c r="N556" s="3" t="n"/>
    </row>
    <row r="557" ht="20.1" customHeight="1">
      <c r="A557" s="6" t="inlineStr">
        <is>
          <t>Unsolved</t>
        </is>
      </c>
      <c r="B557" s="7" t="inlineStr">
        <is>
          <t>Trees</t>
        </is>
      </c>
      <c r="C557" s="7" t="inlineStr">
        <is>
          <t>Basic Tree DFS</t>
        </is>
      </c>
      <c r="D557" s="6" t="inlineStr">
        <is>
          <t>1187E</t>
        </is>
      </c>
      <c r="E557" s="6" t="n">
        <v>1187</v>
      </c>
      <c r="F557" s="6" t="inlineStr">
        <is>
          <t>E</t>
        </is>
      </c>
      <c r="G557" s="7" t="inlineStr">
        <is>
          <t>Tree Painting</t>
        </is>
      </c>
      <c r="H557" s="6" t="n">
        <v>2100</v>
      </c>
      <c r="I557" s="12" t="inlineStr">
        <is>
          <t>Expert</t>
        </is>
      </c>
      <c r="J557" s="7" t="inlineStr">
        <is>
          <t>dfs and similar, dp, trees</t>
        </is>
      </c>
      <c r="K557" s="6" t="n">
        <v>90</v>
      </c>
      <c r="L557" s="6" t="n">
        <v>80</v>
      </c>
      <c r="M557" s="8" t="inlineStr">
        <is>
          <t>https://codeforces.com/problemset/problem/1187/E</t>
        </is>
      </c>
      <c r="N557" s="7" t="n"/>
    </row>
    <row r="558" ht="20.1" customHeight="1">
      <c r="A558" s="2" t="inlineStr">
        <is>
          <t>Unsolved</t>
        </is>
      </c>
      <c r="B558" s="3" t="inlineStr">
        <is>
          <t>Trees</t>
        </is>
      </c>
      <c r="C558" s="3" t="inlineStr">
        <is>
          <t>Tree Traversal</t>
        </is>
      </c>
      <c r="D558" s="2" t="inlineStr">
        <is>
          <t>682C</t>
        </is>
      </c>
      <c r="E558" s="2" t="n">
        <v>682</v>
      </c>
      <c r="F558" s="2" t="inlineStr">
        <is>
          <t>C</t>
        </is>
      </c>
      <c r="G558" s="3" t="inlineStr">
        <is>
          <t>Alyona and the Tree</t>
        </is>
      </c>
      <c r="H558" s="2" t="n">
        <v>1600</v>
      </c>
      <c r="I558" s="9" t="inlineStr">
        <is>
          <t>Medium+</t>
        </is>
      </c>
      <c r="J558" s="3" t="inlineStr">
        <is>
          <t>dfs and similar, dp, graphs, trees</t>
        </is>
      </c>
      <c r="K558" s="2" t="n">
        <v>40</v>
      </c>
      <c r="L558" s="2" t="n">
        <v>35</v>
      </c>
      <c r="M558" s="5" t="inlineStr">
        <is>
          <t>https://codeforces.com/problemset/problem/682/C</t>
        </is>
      </c>
      <c r="N558" s="3" t="n"/>
    </row>
    <row r="559" ht="20.1" customHeight="1">
      <c r="A559" s="6" t="inlineStr">
        <is>
          <t>Unsolved</t>
        </is>
      </c>
      <c r="B559" s="7" t="inlineStr">
        <is>
          <t>Trees</t>
        </is>
      </c>
      <c r="C559" s="7" t="inlineStr">
        <is>
          <t>Tree Traversal</t>
        </is>
      </c>
      <c r="D559" s="6" t="inlineStr">
        <is>
          <t>734E</t>
        </is>
      </c>
      <c r="E559" s="6" t="n">
        <v>734</v>
      </c>
      <c r="F559" s="6" t="inlineStr">
        <is>
          <t>E</t>
        </is>
      </c>
      <c r="G559" s="7" t="inlineStr">
        <is>
          <t>Anton and Tree</t>
        </is>
      </c>
      <c r="H559" s="6" t="n">
        <v>2100</v>
      </c>
      <c r="I559" s="12" t="inlineStr">
        <is>
          <t>Expert</t>
        </is>
      </c>
      <c r="J559" s="7" t="inlineStr">
        <is>
          <t>dfs and similar, dp, trees</t>
        </is>
      </c>
      <c r="K559" s="6" t="n">
        <v>90</v>
      </c>
      <c r="L559" s="6" t="n">
        <v>80</v>
      </c>
      <c r="M559" s="8" t="inlineStr">
        <is>
          <t>https://codeforces.com/problemset/problem/734/E</t>
        </is>
      </c>
      <c r="N559" s="7" t="n"/>
    </row>
    <row r="560" ht="20.1" customHeight="1">
      <c r="A560" s="2" t="inlineStr">
        <is>
          <t>Unsolved</t>
        </is>
      </c>
      <c r="B560" s="3" t="inlineStr">
        <is>
          <t>Trees</t>
        </is>
      </c>
      <c r="C560" s="3" t="inlineStr">
        <is>
          <t>Tree Traversal</t>
        </is>
      </c>
      <c r="D560" s="2" t="inlineStr">
        <is>
          <t>980E</t>
        </is>
      </c>
      <c r="E560" s="2" t="n">
        <v>980</v>
      </c>
      <c r="F560" s="2" t="inlineStr">
        <is>
          <t>E</t>
        </is>
      </c>
      <c r="G560" s="3" t="inlineStr">
        <is>
          <t>The Number Games</t>
        </is>
      </c>
      <c r="H560" s="2" t="n">
        <v>2200</v>
      </c>
      <c r="I560" s="12" t="inlineStr">
        <is>
          <t>Expert</t>
        </is>
      </c>
      <c r="J560" s="3" t="inlineStr">
        <is>
          <t>data structures, greedy, trees</t>
        </is>
      </c>
      <c r="K560" s="2" t="n">
        <v>90</v>
      </c>
      <c r="L560" s="2" t="n">
        <v>80</v>
      </c>
      <c r="M560" s="5" t="inlineStr">
        <is>
          <t>https://codeforces.com/problemset/problem/980/E</t>
        </is>
      </c>
      <c r="N560" s="3" t="n"/>
    </row>
    <row r="561" ht="20.1" customHeight="1">
      <c r="A561" s="6" t="inlineStr">
        <is>
          <t>Unsolved</t>
        </is>
      </c>
      <c r="B561" s="7" t="inlineStr">
        <is>
          <t>Trees</t>
        </is>
      </c>
      <c r="C561" s="7" t="inlineStr">
        <is>
          <t>Tree Traversal</t>
        </is>
      </c>
      <c r="D561" s="6" t="inlineStr">
        <is>
          <t>1286B</t>
        </is>
      </c>
      <c r="E561" s="6" t="n">
        <v>1286</v>
      </c>
      <c r="F561" s="6" t="inlineStr">
        <is>
          <t>B</t>
        </is>
      </c>
      <c r="G561" s="7" t="inlineStr">
        <is>
          <t>Numbers on Tree</t>
        </is>
      </c>
      <c r="H561" s="6" t="n">
        <v>1800</v>
      </c>
      <c r="I561" s="10" t="inlineStr">
        <is>
          <t>Hard</t>
        </is>
      </c>
      <c r="J561" s="7" t="inlineStr">
        <is>
          <t>constructive algorithms, data structures, dfs and similar, graphs, greedy, trees</t>
        </is>
      </c>
      <c r="K561" s="6" t="n">
        <v>60</v>
      </c>
      <c r="L561" s="6" t="n">
        <v>55</v>
      </c>
      <c r="M561" s="8" t="inlineStr">
        <is>
          <t>https://codeforces.com/problemset/problem/1286/B</t>
        </is>
      </c>
      <c r="N561" s="7" t="n"/>
    </row>
    <row r="562" ht="20.1" customHeight="1">
      <c r="A562" s="2" t="inlineStr">
        <is>
          <t>Unsolved</t>
        </is>
      </c>
      <c r="B562" s="3" t="inlineStr">
        <is>
          <t>Trees</t>
        </is>
      </c>
      <c r="C562" s="3" t="inlineStr">
        <is>
          <t>Tree Traversal</t>
        </is>
      </c>
      <c r="D562" s="2" t="inlineStr">
        <is>
          <t>1328E</t>
        </is>
      </c>
      <c r="E562" s="2" t="n">
        <v>1328</v>
      </c>
      <c r="F562" s="2" t="inlineStr">
        <is>
          <t>E</t>
        </is>
      </c>
      <c r="G562" s="3" t="inlineStr">
        <is>
          <t>Tree Queries</t>
        </is>
      </c>
      <c r="H562" s="2" t="n">
        <v>1900</v>
      </c>
      <c r="I562" s="10" t="inlineStr">
        <is>
          <t>Hard+</t>
        </is>
      </c>
      <c r="J562" s="3" t="inlineStr">
        <is>
          <t>dfs and similar, graphs, trees</t>
        </is>
      </c>
      <c r="K562" s="2" t="n">
        <v>60</v>
      </c>
      <c r="L562" s="2" t="n">
        <v>55</v>
      </c>
      <c r="M562" s="5" t="inlineStr">
        <is>
          <t>https://codeforces.com/problemset/problem/1328/E</t>
        </is>
      </c>
      <c r="N562" s="3" t="n"/>
    </row>
    <row r="563" ht="20.1" customHeight="1">
      <c r="A563" s="6" t="inlineStr">
        <is>
          <t>Unsolved</t>
        </is>
      </c>
      <c r="B563" s="7" t="inlineStr">
        <is>
          <t>Trees</t>
        </is>
      </c>
      <c r="C563" s="7" t="inlineStr">
        <is>
          <t>Tree Traversal</t>
        </is>
      </c>
      <c r="D563" s="6" t="inlineStr">
        <is>
          <t>1363E</t>
        </is>
      </c>
      <c r="E563" s="6" t="n">
        <v>1363</v>
      </c>
      <c r="F563" s="6" t="inlineStr">
        <is>
          <t>E</t>
        </is>
      </c>
      <c r="G563" s="7" t="inlineStr">
        <is>
          <t>Tree Shuffling</t>
        </is>
      </c>
      <c r="H563" s="6" t="n">
        <v>2000</v>
      </c>
      <c r="I563" s="10" t="inlineStr">
        <is>
          <t>Hard+</t>
        </is>
      </c>
      <c r="J563" s="7" t="inlineStr">
        <is>
          <t>dfs and similar, dp, greedy, trees</t>
        </is>
      </c>
      <c r="K563" s="6" t="n">
        <v>90</v>
      </c>
      <c r="L563" s="6" t="n">
        <v>80</v>
      </c>
      <c r="M563" s="8" t="inlineStr">
        <is>
          <t>https://codeforces.com/problemset/problem/1363/E</t>
        </is>
      </c>
      <c r="N563" s="7" t="n"/>
    </row>
    <row r="564" ht="20.1" customHeight="1">
      <c r="A564" s="2" t="inlineStr">
        <is>
          <t>Unsolved</t>
        </is>
      </c>
      <c r="B564" s="3" t="inlineStr">
        <is>
          <t>Trees</t>
        </is>
      </c>
      <c r="C564" s="3" t="inlineStr">
        <is>
          <t>Tree Traversal</t>
        </is>
      </c>
      <c r="D564" s="2" t="inlineStr">
        <is>
          <t>1385F</t>
        </is>
      </c>
      <c r="E564" s="2" t="n">
        <v>1385</v>
      </c>
      <c r="F564" s="2" t="inlineStr">
        <is>
          <t>F</t>
        </is>
      </c>
      <c r="G564" s="3" t="inlineStr">
        <is>
          <t>Removing Leaves</t>
        </is>
      </c>
      <c r="H564" s="2" t="n">
        <v>2300</v>
      </c>
      <c r="I564" s="12" t="inlineStr">
        <is>
          <t>Expert</t>
        </is>
      </c>
      <c r="J564" s="3" t="inlineStr">
        <is>
          <t>data structures, greedy, implementation, trees</t>
        </is>
      </c>
      <c r="K564" s="2" t="n">
        <v>120</v>
      </c>
      <c r="L564" s="2" t="n">
        <v>110</v>
      </c>
      <c r="M564" s="5" t="inlineStr">
        <is>
          <t>https://codeforces.com/problemset/problem/1385/F</t>
        </is>
      </c>
      <c r="N564" s="3" t="n"/>
    </row>
    <row r="565" ht="20.1" customHeight="1">
      <c r="A565" s="6" t="inlineStr">
        <is>
          <t>Unsolved</t>
        </is>
      </c>
      <c r="B565" s="7" t="inlineStr">
        <is>
          <t>Trees</t>
        </is>
      </c>
      <c r="C565" s="7" t="inlineStr">
        <is>
          <t>Tree DP</t>
        </is>
      </c>
      <c r="D565" s="6" t="inlineStr">
        <is>
          <t>274B</t>
        </is>
      </c>
      <c r="E565" s="6" t="n">
        <v>274</v>
      </c>
      <c r="F565" s="6" t="inlineStr">
        <is>
          <t>B</t>
        </is>
      </c>
      <c r="G565" s="7" t="inlineStr">
        <is>
          <t>Zero Tree</t>
        </is>
      </c>
      <c r="H565" s="6" t="n">
        <v>1800</v>
      </c>
      <c r="I565" s="10" t="inlineStr">
        <is>
          <t>Hard</t>
        </is>
      </c>
      <c r="J565" s="7" t="inlineStr">
        <is>
          <t>dfs and similar, dp, greedy, trees</t>
        </is>
      </c>
      <c r="K565" s="6" t="n">
        <v>60</v>
      </c>
      <c r="L565" s="6" t="n">
        <v>55</v>
      </c>
      <c r="M565" s="8" t="inlineStr">
        <is>
          <t>https://codeforces.com/problemset/problem/274/B</t>
        </is>
      </c>
      <c r="N565" s="7" t="n"/>
    </row>
    <row r="566" ht="20.1" customHeight="1">
      <c r="A566" s="2" t="inlineStr">
        <is>
          <t>Unsolved</t>
        </is>
      </c>
      <c r="B566" s="3" t="inlineStr">
        <is>
          <t>Trees</t>
        </is>
      </c>
      <c r="C566" s="3" t="inlineStr">
        <is>
          <t>Tree DP</t>
        </is>
      </c>
      <c r="D566" s="2" t="inlineStr">
        <is>
          <t>543D</t>
        </is>
      </c>
      <c r="E566" s="2" t="n">
        <v>543</v>
      </c>
      <c r="F566" s="2" t="inlineStr">
        <is>
          <t>D</t>
        </is>
      </c>
      <c r="G566" s="3" t="inlineStr">
        <is>
          <t>Road Improvement</t>
        </is>
      </c>
      <c r="H566" s="2" t="n">
        <v>2300</v>
      </c>
      <c r="I566" s="12" t="inlineStr">
        <is>
          <t>Expert</t>
        </is>
      </c>
      <c r="J566" s="3" t="inlineStr">
        <is>
          <t>dp, trees</t>
        </is>
      </c>
      <c r="K566" s="2" t="n">
        <v>120</v>
      </c>
      <c r="L566" s="2" t="n">
        <v>110</v>
      </c>
      <c r="M566" s="5" t="inlineStr">
        <is>
          <t>https://codeforces.com/problemset/problem/543/D</t>
        </is>
      </c>
      <c r="N566" s="3" t="n"/>
    </row>
    <row r="567" ht="20.1" customHeight="1">
      <c r="A567" s="6" t="inlineStr">
        <is>
          <t>Unsolved</t>
        </is>
      </c>
      <c r="B567" s="7" t="inlineStr">
        <is>
          <t>Trees</t>
        </is>
      </c>
      <c r="C567" s="7" t="inlineStr">
        <is>
          <t>Tree DP</t>
        </is>
      </c>
      <c r="D567" s="6" t="inlineStr">
        <is>
          <t>960E</t>
        </is>
      </c>
      <c r="E567" s="6" t="n">
        <v>960</v>
      </c>
      <c r="F567" s="6" t="inlineStr">
        <is>
          <t>E</t>
        </is>
      </c>
      <c r="G567" s="7" t="inlineStr">
        <is>
          <t>Alternating Tree</t>
        </is>
      </c>
      <c r="H567" s="6" t="n">
        <v>2300</v>
      </c>
      <c r="I567" s="12" t="inlineStr">
        <is>
          <t>Expert</t>
        </is>
      </c>
      <c r="J567" s="7" t="inlineStr">
        <is>
          <t>combinatorics, dfs and similar, divide and conquer, dp, probabilities, trees</t>
        </is>
      </c>
      <c r="K567" s="6" t="n">
        <v>120</v>
      </c>
      <c r="L567" s="6" t="n">
        <v>110</v>
      </c>
      <c r="M567" s="8" t="inlineStr">
        <is>
          <t>https://codeforces.com/problemset/problem/960/E</t>
        </is>
      </c>
      <c r="N567" s="7" t="n"/>
    </row>
    <row r="568" ht="20.1" customHeight="1">
      <c r="A568" s="2" t="inlineStr">
        <is>
          <t>Unsolved</t>
        </is>
      </c>
      <c r="B568" s="3" t="inlineStr">
        <is>
          <t>Trees</t>
        </is>
      </c>
      <c r="C568" s="3" t="inlineStr">
        <is>
          <t>Tree DP</t>
        </is>
      </c>
      <c r="D568" s="2" t="inlineStr">
        <is>
          <t>1099F</t>
        </is>
      </c>
      <c r="E568" s="2" t="n">
        <v>1099</v>
      </c>
      <c r="F568" s="2" t="inlineStr">
        <is>
          <t>F</t>
        </is>
      </c>
      <c r="G568" s="3" t="inlineStr">
        <is>
          <t>Cookies</t>
        </is>
      </c>
      <c r="H568" s="2" t="n">
        <v>2400</v>
      </c>
      <c r="I568" s="12" t="inlineStr">
        <is>
          <t>Master</t>
        </is>
      </c>
      <c r="J568" s="3" t="inlineStr">
        <is>
          <t>binary search, data structures, dfs and similar, dp, games, trees</t>
        </is>
      </c>
      <c r="K568" s="2" t="n">
        <v>120</v>
      </c>
      <c r="L568" s="2" t="n">
        <v>110</v>
      </c>
      <c r="M568" s="5" t="inlineStr">
        <is>
          <t>https://codeforces.com/problemset/problem/1099/F</t>
        </is>
      </c>
      <c r="N568" s="3" t="n"/>
    </row>
    <row r="569" ht="20.1" customHeight="1">
      <c r="A569" s="6" t="inlineStr">
        <is>
          <t>Unsolved</t>
        </is>
      </c>
      <c r="B569" s="7" t="inlineStr">
        <is>
          <t>Trees</t>
        </is>
      </c>
      <c r="C569" s="7" t="inlineStr">
        <is>
          <t>Tree DP</t>
        </is>
      </c>
      <c r="D569" s="6" t="inlineStr">
        <is>
          <t>1118F2</t>
        </is>
      </c>
      <c r="E569" s="6" t="n">
        <v>1118</v>
      </c>
      <c r="F569" s="6" t="inlineStr">
        <is>
          <t>F2</t>
        </is>
      </c>
      <c r="G569" s="7" t="inlineStr">
        <is>
          <t>Tree Cutting (Hard Version)</t>
        </is>
      </c>
      <c r="H569" s="6" t="n">
        <v>2700</v>
      </c>
      <c r="I569" s="12" t="inlineStr">
        <is>
          <t>Master</t>
        </is>
      </c>
      <c r="J569" s="7" t="inlineStr">
        <is>
          <t>combinatorics, dfs and similar, dp, trees</t>
        </is>
      </c>
      <c r="K569" s="6" t="n">
        <v>180</v>
      </c>
      <c r="L569" s="6" t="n">
        <v>150</v>
      </c>
      <c r="M569" s="8" t="inlineStr">
        <is>
          <t>https://codeforces.com/problemset/problem/1118/F2</t>
        </is>
      </c>
      <c r="N569" s="7" t="n"/>
    </row>
    <row r="570" ht="20.1" customHeight="1">
      <c r="A570" s="2" t="inlineStr">
        <is>
          <t>Unsolved</t>
        </is>
      </c>
      <c r="B570" s="3" t="inlineStr">
        <is>
          <t>Trees</t>
        </is>
      </c>
      <c r="C570" s="3" t="inlineStr">
        <is>
          <t>Tree DP</t>
        </is>
      </c>
      <c r="D570" s="2" t="inlineStr">
        <is>
          <t>1131F</t>
        </is>
      </c>
      <c r="E570" s="2" t="n">
        <v>1131</v>
      </c>
      <c r="F570" s="2" t="inlineStr">
        <is>
          <t>F</t>
        </is>
      </c>
      <c r="G570" s="3" t="inlineStr">
        <is>
          <t>Asya And Kittens</t>
        </is>
      </c>
      <c r="H570" s="2" t="n">
        <v>1700</v>
      </c>
      <c r="I570" s="10" t="inlineStr">
        <is>
          <t>Hard</t>
        </is>
      </c>
      <c r="J570" s="3" t="inlineStr">
        <is>
          <t>constructive algorithms, dsu</t>
        </is>
      </c>
      <c r="K570" s="2" t="n">
        <v>60</v>
      </c>
      <c r="L570" s="2" t="n">
        <v>55</v>
      </c>
      <c r="M570" s="5" t="inlineStr">
        <is>
          <t>https://codeforces.com/problemset/problem/1131/F</t>
        </is>
      </c>
      <c r="N570" s="3" t="n"/>
    </row>
    <row r="571" ht="20.1" customHeight="1">
      <c r="A571" s="6" t="inlineStr">
        <is>
          <t>Unsolved</t>
        </is>
      </c>
      <c r="B571" s="7" t="inlineStr">
        <is>
          <t>Trees</t>
        </is>
      </c>
      <c r="C571" s="7" t="inlineStr">
        <is>
          <t>Tree DP</t>
        </is>
      </c>
      <c r="D571" s="6" t="inlineStr">
        <is>
          <t>1280C</t>
        </is>
      </c>
      <c r="E571" s="6" t="n">
        <v>1280</v>
      </c>
      <c r="F571" s="6" t="inlineStr">
        <is>
          <t>C</t>
        </is>
      </c>
      <c r="G571" s="7" t="inlineStr">
        <is>
          <t>Jeremy Bearimy</t>
        </is>
      </c>
      <c r="H571" s="6" t="n">
        <v>2000</v>
      </c>
      <c r="I571" s="10" t="inlineStr">
        <is>
          <t>Hard+</t>
        </is>
      </c>
      <c r="J571" s="7" t="inlineStr">
        <is>
          <t>dfs and similar, graphs, greedy, trees</t>
        </is>
      </c>
      <c r="K571" s="6" t="n">
        <v>90</v>
      </c>
      <c r="L571" s="6" t="n">
        <v>80</v>
      </c>
      <c r="M571" s="8" t="inlineStr">
        <is>
          <t>https://codeforces.com/problemset/problem/1280/C</t>
        </is>
      </c>
      <c r="N571" s="7" t="n"/>
    </row>
    <row r="572" ht="20.1" customHeight="1">
      <c r="A572" s="2" t="inlineStr">
        <is>
          <t>Unsolved</t>
        </is>
      </c>
      <c r="B572" s="3" t="inlineStr">
        <is>
          <t>Trees</t>
        </is>
      </c>
      <c r="C572" s="3" t="inlineStr">
        <is>
          <t>Tree DP</t>
        </is>
      </c>
      <c r="D572" s="2" t="inlineStr">
        <is>
          <t>1324F</t>
        </is>
      </c>
      <c r="E572" s="2" t="n">
        <v>1324</v>
      </c>
      <c r="F572" s="2" t="inlineStr">
        <is>
          <t>F</t>
        </is>
      </c>
      <c r="G572" s="3" t="inlineStr">
        <is>
          <t>Maximum White Subtree</t>
        </is>
      </c>
      <c r="H572" s="2" t="n">
        <v>1800</v>
      </c>
      <c r="I572" s="10" t="inlineStr">
        <is>
          <t>Hard</t>
        </is>
      </c>
      <c r="J572" s="3" t="inlineStr">
        <is>
          <t>dfs and similar, dp, graphs, trees</t>
        </is>
      </c>
      <c r="K572" s="2" t="n">
        <v>60</v>
      </c>
      <c r="L572" s="2" t="n">
        <v>55</v>
      </c>
      <c r="M572" s="5" t="inlineStr">
        <is>
          <t>https://codeforces.com/problemset/problem/1324/F</t>
        </is>
      </c>
      <c r="N572" s="3" t="n"/>
    </row>
    <row r="573" ht="20.1" customHeight="1">
      <c r="A573" s="6" t="inlineStr">
        <is>
          <t>Unsolved</t>
        </is>
      </c>
      <c r="B573" s="7" t="inlineStr">
        <is>
          <t>Trees</t>
        </is>
      </c>
      <c r="C573" s="7" t="inlineStr">
        <is>
          <t>Tree DP</t>
        </is>
      </c>
      <c r="D573" s="6" t="inlineStr">
        <is>
          <t>1528A</t>
        </is>
      </c>
      <c r="E573" s="6" t="n">
        <v>1528</v>
      </c>
      <c r="F573" s="6" t="inlineStr">
        <is>
          <t>A</t>
        </is>
      </c>
      <c r="G573" s="7" t="inlineStr">
        <is>
          <t>Parsa's Humongous Tree</t>
        </is>
      </c>
      <c r="H573" s="6" t="n">
        <v>1600</v>
      </c>
      <c r="I573" s="9" t="inlineStr">
        <is>
          <t>Medium+</t>
        </is>
      </c>
      <c r="J573" s="7" t="inlineStr">
        <is>
          <t>dfs and similar, divide and conquer, dp, greedy, trees</t>
        </is>
      </c>
      <c r="K573" s="6" t="n">
        <v>40</v>
      </c>
      <c r="L573" s="6" t="n">
        <v>35</v>
      </c>
      <c r="M573" s="8" t="inlineStr">
        <is>
          <t>https://codeforces.com/problemset/problem/1528/A</t>
        </is>
      </c>
      <c r="N573" s="7" t="n"/>
    </row>
    <row r="574" ht="20.1" customHeight="1">
      <c r="A574" s="2" t="inlineStr">
        <is>
          <t>Unsolved</t>
        </is>
      </c>
      <c r="B574" s="3" t="inlineStr">
        <is>
          <t>Trees</t>
        </is>
      </c>
      <c r="C574" s="3" t="inlineStr">
        <is>
          <t>Tree DP</t>
        </is>
      </c>
      <c r="D574" s="2" t="inlineStr">
        <is>
          <t>1593E</t>
        </is>
      </c>
      <c r="E574" s="2" t="n">
        <v>1593</v>
      </c>
      <c r="F574" s="2" t="inlineStr">
        <is>
          <t>E</t>
        </is>
      </c>
      <c r="G574" s="3" t="inlineStr">
        <is>
          <t>Gardener and Tree</t>
        </is>
      </c>
      <c r="H574" s="2" t="n">
        <v>1600</v>
      </c>
      <c r="I574" s="9" t="inlineStr">
        <is>
          <t>Medium+</t>
        </is>
      </c>
      <c r="J574" s="3" t="inlineStr">
        <is>
          <t>brute force, data structures, dfs and similar, greedy, implementation, trees</t>
        </is>
      </c>
      <c r="K574" s="2" t="n">
        <v>40</v>
      </c>
      <c r="L574" s="2" t="n">
        <v>35</v>
      </c>
      <c r="M574" s="5" t="inlineStr">
        <is>
          <t>https://codeforces.com/problemset/problem/1593/E</t>
        </is>
      </c>
      <c r="N574" s="3" t="n"/>
    </row>
    <row r="575" ht="20.1" customHeight="1">
      <c r="A575" s="6" t="inlineStr">
        <is>
          <t>Unsolved</t>
        </is>
      </c>
      <c r="B575" s="7" t="inlineStr">
        <is>
          <t>Trees</t>
        </is>
      </c>
      <c r="C575" s="7" t="inlineStr">
        <is>
          <t>Binary Lifting (LCA)</t>
        </is>
      </c>
      <c r="D575" s="6" t="inlineStr">
        <is>
          <t>208E</t>
        </is>
      </c>
      <c r="E575" s="6" t="n">
        <v>208</v>
      </c>
      <c r="F575" s="6" t="inlineStr">
        <is>
          <t>E</t>
        </is>
      </c>
      <c r="G575" s="7" t="inlineStr">
        <is>
          <t>Blood Cousins</t>
        </is>
      </c>
      <c r="H575" s="6" t="n">
        <v>2100</v>
      </c>
      <c r="I575" s="12" t="inlineStr">
        <is>
          <t>Expert</t>
        </is>
      </c>
      <c r="J575" s="7" t="inlineStr">
        <is>
          <t>binary search, data structures, dfs and similar, trees</t>
        </is>
      </c>
      <c r="K575" s="6" t="n">
        <v>90</v>
      </c>
      <c r="L575" s="6" t="n">
        <v>80</v>
      </c>
      <c r="M575" s="8" t="inlineStr">
        <is>
          <t>https://codeforces.com/problemset/problem/208/E</t>
        </is>
      </c>
      <c r="N575" s="7" t="n"/>
    </row>
    <row r="576" ht="20.1" customHeight="1">
      <c r="A576" s="2" t="inlineStr">
        <is>
          <t>Unsolved</t>
        </is>
      </c>
      <c r="B576" s="3" t="inlineStr">
        <is>
          <t>Trees</t>
        </is>
      </c>
      <c r="C576" s="3" t="inlineStr">
        <is>
          <t>Binary Lifting (LCA)</t>
        </is>
      </c>
      <c r="D576" s="2" t="inlineStr">
        <is>
          <t>519E</t>
        </is>
      </c>
      <c r="E576" s="2" t="n">
        <v>519</v>
      </c>
      <c r="F576" s="2" t="inlineStr">
        <is>
          <t>E</t>
        </is>
      </c>
      <c r="G576" s="3" t="inlineStr">
        <is>
          <t>A and B and Lecture Rooms</t>
        </is>
      </c>
      <c r="H576" s="2" t="n">
        <v>2100</v>
      </c>
      <c r="I576" s="12" t="inlineStr">
        <is>
          <t>Expert</t>
        </is>
      </c>
      <c r="J576" s="3" t="inlineStr">
        <is>
          <t>binary search, data structures, dfs and similar, dp, trees</t>
        </is>
      </c>
      <c r="K576" s="2" t="n">
        <v>90</v>
      </c>
      <c r="L576" s="2" t="n">
        <v>80</v>
      </c>
      <c r="M576" s="5" t="inlineStr">
        <is>
          <t>https://codeforces.com/problemset/problem/519/E</t>
        </is>
      </c>
      <c r="N576" s="3" t="n"/>
    </row>
    <row r="577" ht="20.1" customHeight="1">
      <c r="A577" s="6" t="inlineStr">
        <is>
          <t>Unsolved</t>
        </is>
      </c>
      <c r="B577" s="7" t="inlineStr">
        <is>
          <t>Trees</t>
        </is>
      </c>
      <c r="C577" s="7" t="inlineStr">
        <is>
          <t>Binary Lifting (LCA)</t>
        </is>
      </c>
      <c r="D577" s="6" t="inlineStr">
        <is>
          <t>587C</t>
        </is>
      </c>
      <c r="E577" s="6" t="n">
        <v>587</v>
      </c>
      <c r="F577" s="6" t="inlineStr">
        <is>
          <t>C</t>
        </is>
      </c>
      <c r="G577" s="7" t="inlineStr">
        <is>
          <t>Duff in the Army</t>
        </is>
      </c>
      <c r="H577" s="6" t="n">
        <v>2200</v>
      </c>
      <c r="I577" s="12" t="inlineStr">
        <is>
          <t>Expert</t>
        </is>
      </c>
      <c r="J577" s="7" t="inlineStr">
        <is>
          <t>data structures, trees</t>
        </is>
      </c>
      <c r="K577" s="6" t="n">
        <v>90</v>
      </c>
      <c r="L577" s="6" t="n">
        <v>80</v>
      </c>
      <c r="M577" s="8" t="inlineStr">
        <is>
          <t>https://codeforces.com/problemset/problem/587/C</t>
        </is>
      </c>
      <c r="N577" s="7" t="n"/>
    </row>
    <row r="578" ht="20.1" customHeight="1">
      <c r="A578" s="2" t="inlineStr">
        <is>
          <t>Unsolved</t>
        </is>
      </c>
      <c r="B578" s="3" t="inlineStr">
        <is>
          <t>Trees</t>
        </is>
      </c>
      <c r="C578" s="3" t="inlineStr">
        <is>
          <t>Binary Lifting (LCA)</t>
        </is>
      </c>
      <c r="D578" s="2" t="inlineStr">
        <is>
          <t>609E</t>
        </is>
      </c>
      <c r="E578" s="2" t="n">
        <v>609</v>
      </c>
      <c r="F578" s="2" t="inlineStr">
        <is>
          <t>E</t>
        </is>
      </c>
      <c r="G578" s="3" t="inlineStr">
        <is>
          <t>Minimum spanning tree for each edge</t>
        </is>
      </c>
      <c r="H578" s="2" t="n">
        <v>2100</v>
      </c>
      <c r="I578" s="12" t="inlineStr">
        <is>
          <t>Expert</t>
        </is>
      </c>
      <c r="J578" s="3" t="inlineStr">
        <is>
          <t>data structures, dfs and similar, dsu, graphs, trees</t>
        </is>
      </c>
      <c r="K578" s="2" t="n">
        <v>90</v>
      </c>
      <c r="L578" s="2" t="n">
        <v>80</v>
      </c>
      <c r="M578" s="5" t="inlineStr">
        <is>
          <t>https://codeforces.com/problemset/problem/609/E</t>
        </is>
      </c>
      <c r="N578" s="3" t="n"/>
    </row>
    <row r="579" ht="20.1" customHeight="1">
      <c r="A579" s="6" t="inlineStr">
        <is>
          <t>Unsolved</t>
        </is>
      </c>
      <c r="B579" s="7" t="inlineStr">
        <is>
          <t>Trees</t>
        </is>
      </c>
      <c r="C579" s="7" t="inlineStr">
        <is>
          <t>Binary Lifting (LCA)</t>
        </is>
      </c>
      <c r="D579" s="6" t="inlineStr">
        <is>
          <t>832D</t>
        </is>
      </c>
      <c r="E579" s="6" t="n">
        <v>832</v>
      </c>
      <c r="F579" s="6" t="inlineStr">
        <is>
          <t>D</t>
        </is>
      </c>
      <c r="G579" s="7" t="inlineStr">
        <is>
          <t>Misha, Grisha and Underground</t>
        </is>
      </c>
      <c r="H579" s="6" t="n">
        <v>1900</v>
      </c>
      <c r="I579" s="10" t="inlineStr">
        <is>
          <t>Hard+</t>
        </is>
      </c>
      <c r="J579" s="7" t="inlineStr">
        <is>
          <t>dfs and similar, graphs, trees</t>
        </is>
      </c>
      <c r="K579" s="6" t="n">
        <v>60</v>
      </c>
      <c r="L579" s="6" t="n">
        <v>55</v>
      </c>
      <c r="M579" s="8" t="inlineStr">
        <is>
          <t>https://codeforces.com/problemset/problem/832/D</t>
        </is>
      </c>
      <c r="N579" s="7" t="n"/>
    </row>
    <row r="580" ht="20.1" customHeight="1">
      <c r="A580" s="2" t="inlineStr">
        <is>
          <t>Unsolved</t>
        </is>
      </c>
      <c r="B580" s="3" t="inlineStr">
        <is>
          <t>Trees</t>
        </is>
      </c>
      <c r="C580" s="3" t="inlineStr">
        <is>
          <t>Binary Lifting (LCA)</t>
        </is>
      </c>
      <c r="D580" s="2" t="inlineStr">
        <is>
          <t>916E</t>
        </is>
      </c>
      <c r="E580" s="2" t="n">
        <v>916</v>
      </c>
      <c r="F580" s="2" t="inlineStr">
        <is>
          <t>E</t>
        </is>
      </c>
      <c r="G580" s="3" t="inlineStr">
        <is>
          <t>Jamie and Tree</t>
        </is>
      </c>
      <c r="H580" s="2" t="n">
        <v>2400</v>
      </c>
      <c r="I580" s="12" t="inlineStr">
        <is>
          <t>Master</t>
        </is>
      </c>
      <c r="J580" s="3" t="inlineStr">
        <is>
          <t>data structures, trees</t>
        </is>
      </c>
      <c r="K580" s="2" t="n">
        <v>120</v>
      </c>
      <c r="L580" s="2" t="n">
        <v>110</v>
      </c>
      <c r="M580" s="5" t="inlineStr">
        <is>
          <t>https://codeforces.com/problemset/problem/916/E</t>
        </is>
      </c>
      <c r="N580" s="3" t="n"/>
    </row>
    <row r="581" ht="20.1" customHeight="1">
      <c r="A581" s="6" t="inlineStr">
        <is>
          <t>Unsolved</t>
        </is>
      </c>
      <c r="B581" s="7" t="inlineStr">
        <is>
          <t>Trees</t>
        </is>
      </c>
      <c r="C581" s="7" t="inlineStr">
        <is>
          <t>Binary Lifting (LCA)</t>
        </is>
      </c>
      <c r="D581" s="6" t="inlineStr">
        <is>
          <t>1304E</t>
        </is>
      </c>
      <c r="E581" s="6" t="n">
        <v>1304</v>
      </c>
      <c r="F581" s="6" t="inlineStr">
        <is>
          <t>E</t>
        </is>
      </c>
      <c r="G581" s="7" t="inlineStr">
        <is>
          <t>1-Trees and Queries</t>
        </is>
      </c>
      <c r="H581" s="6" t="n">
        <v>2000</v>
      </c>
      <c r="I581" s="10" t="inlineStr">
        <is>
          <t>Hard+</t>
        </is>
      </c>
      <c r="J581" s="7" t="inlineStr">
        <is>
          <t>data structures, dfs and similar, shortest paths, trees</t>
        </is>
      </c>
      <c r="K581" s="6" t="n">
        <v>90</v>
      </c>
      <c r="L581" s="6" t="n">
        <v>80</v>
      </c>
      <c r="M581" s="8" t="inlineStr">
        <is>
          <t>https://codeforces.com/problemset/problem/1304/E</t>
        </is>
      </c>
      <c r="N581" s="7" t="n"/>
    </row>
    <row r="582" ht="20.1" customHeight="1">
      <c r="A582" s="2" t="inlineStr">
        <is>
          <t>Unsolved</t>
        </is>
      </c>
      <c r="B582" s="3" t="inlineStr">
        <is>
          <t>Trees</t>
        </is>
      </c>
      <c r="C582" s="3" t="inlineStr">
        <is>
          <t>Binary Lifting (LCA)</t>
        </is>
      </c>
      <c r="D582" s="2" t="inlineStr">
        <is>
          <t>1702G1</t>
        </is>
      </c>
      <c r="E582" s="2" t="n">
        <v>1702</v>
      </c>
      <c r="F582" s="2" t="inlineStr">
        <is>
          <t>G1</t>
        </is>
      </c>
      <c r="G582" s="3" t="inlineStr">
        <is>
          <t>Passable Paths (easy version)</t>
        </is>
      </c>
      <c r="H582" s="2" t="n">
        <v>1900</v>
      </c>
      <c r="I582" s="10" t="inlineStr">
        <is>
          <t>Hard+</t>
        </is>
      </c>
      <c r="J582" s="3" t="inlineStr">
        <is>
          <t>dfs and similar, trees</t>
        </is>
      </c>
      <c r="K582" s="2" t="n">
        <v>60</v>
      </c>
      <c r="L582" s="2" t="n">
        <v>55</v>
      </c>
      <c r="M582" s="5" t="inlineStr">
        <is>
          <t>https://codeforces.com/problemset/problem/1702/G1</t>
        </is>
      </c>
      <c r="N582" s="3" t="n"/>
    </row>
    <row r="583" ht="20.1" customHeight="1">
      <c r="A583" s="6" t="inlineStr">
        <is>
          <t>Unsolved</t>
        </is>
      </c>
      <c r="B583" s="7" t="inlineStr">
        <is>
          <t>Trees</t>
        </is>
      </c>
      <c r="C583" s="7" t="inlineStr">
        <is>
          <t>Binary Lifting (LCA)</t>
        </is>
      </c>
      <c r="D583" s="6" t="inlineStr">
        <is>
          <t>1702G2</t>
        </is>
      </c>
      <c r="E583" s="6" t="n">
        <v>1702</v>
      </c>
      <c r="F583" s="6" t="inlineStr">
        <is>
          <t>G2</t>
        </is>
      </c>
      <c r="G583" s="7" t="inlineStr">
        <is>
          <t>Passable Paths (hard version)</t>
        </is>
      </c>
      <c r="H583" s="6" t="n">
        <v>2000</v>
      </c>
      <c r="I583" s="10" t="inlineStr">
        <is>
          <t>Hard+</t>
        </is>
      </c>
      <c r="J583" s="7" t="inlineStr">
        <is>
          <t>data structures, dfs and similar, trees</t>
        </is>
      </c>
      <c r="K583" s="6" t="n">
        <v>90</v>
      </c>
      <c r="L583" s="6" t="n">
        <v>80</v>
      </c>
      <c r="M583" s="8" t="inlineStr">
        <is>
          <t>https://codeforces.com/problemset/problem/1702/G2</t>
        </is>
      </c>
      <c r="N583" s="7" t="n"/>
    </row>
    <row r="584" ht="20.1" customHeight="1">
      <c r="A584" s="2" t="inlineStr">
        <is>
          <t>Unsolved</t>
        </is>
      </c>
      <c r="B584" s="3" t="inlineStr">
        <is>
          <t>Trees</t>
        </is>
      </c>
      <c r="C584" s="3" t="inlineStr">
        <is>
          <t>Rerooting DP</t>
        </is>
      </c>
      <c r="D584" s="2" t="inlineStr">
        <is>
          <t>1092F</t>
        </is>
      </c>
      <c r="E584" s="2" t="n">
        <v>1092</v>
      </c>
      <c r="F584" s="2" t="inlineStr">
        <is>
          <t>F</t>
        </is>
      </c>
      <c r="G584" s="3" t="inlineStr">
        <is>
          <t>Tree with Maximum Cost</t>
        </is>
      </c>
      <c r="H584" s="2" t="n">
        <v>1900</v>
      </c>
      <c r="I584" s="10" t="inlineStr">
        <is>
          <t>Hard+</t>
        </is>
      </c>
      <c r="J584" s="3" t="inlineStr">
        <is>
          <t>dfs and similar, dp, trees</t>
        </is>
      </c>
      <c r="K584" s="2" t="n">
        <v>60</v>
      </c>
      <c r="L584" s="2" t="n">
        <v>55</v>
      </c>
      <c r="M584" s="5" t="inlineStr">
        <is>
          <t>https://codeforces.com/problemset/problem/1092/F</t>
        </is>
      </c>
      <c r="N584" s="3" t="n"/>
    </row>
    <row r="585" ht="20.1" customHeight="1">
      <c r="A585" s="6" t="inlineStr">
        <is>
          <t>Unsolved</t>
        </is>
      </c>
      <c r="B585" s="7" t="inlineStr">
        <is>
          <t>Trees</t>
        </is>
      </c>
      <c r="C585" s="7" t="inlineStr">
        <is>
          <t>Rerooting DP</t>
        </is>
      </c>
      <c r="D585" s="6" t="inlineStr">
        <is>
          <t>1388C</t>
        </is>
      </c>
      <c r="E585" s="6" t="n">
        <v>1388</v>
      </c>
      <c r="F585" s="6" t="inlineStr">
        <is>
          <t>C</t>
        </is>
      </c>
      <c r="G585" s="7" t="inlineStr">
        <is>
          <t>Uncle Bogdan and Country Happiness</t>
        </is>
      </c>
      <c r="H585" s="6" t="n">
        <v>1800</v>
      </c>
      <c r="I585" s="10" t="inlineStr">
        <is>
          <t>Hard</t>
        </is>
      </c>
      <c r="J585" s="7" t="inlineStr">
        <is>
          <t>dfs and similar, greedy, math, trees</t>
        </is>
      </c>
      <c r="K585" s="6" t="n">
        <v>60</v>
      </c>
      <c r="L585" s="6" t="n">
        <v>55</v>
      </c>
      <c r="M585" s="8" t="inlineStr">
        <is>
          <t>https://codeforces.com/problemset/problem/1388/C</t>
        </is>
      </c>
      <c r="N585" s="7" t="n"/>
    </row>
    <row r="586" ht="20.1" customHeight="1">
      <c r="A586" s="2" t="inlineStr">
        <is>
          <t>Unsolved</t>
        </is>
      </c>
      <c r="B586" s="3" t="inlineStr">
        <is>
          <t>Trees</t>
        </is>
      </c>
      <c r="C586" s="3" t="inlineStr">
        <is>
          <t>Rerooting DP</t>
        </is>
      </c>
      <c r="D586" s="2" t="inlineStr">
        <is>
          <t>1485E</t>
        </is>
      </c>
      <c r="E586" s="2" t="n">
        <v>1485</v>
      </c>
      <c r="F586" s="2" t="inlineStr">
        <is>
          <t>E</t>
        </is>
      </c>
      <c r="G586" s="3" t="inlineStr">
        <is>
          <t>Move and Swap</t>
        </is>
      </c>
      <c r="H586" s="2" t="n">
        <v>2500</v>
      </c>
      <c r="I586" s="12" t="inlineStr">
        <is>
          <t>Master</t>
        </is>
      </c>
      <c r="J586" s="3" t="inlineStr">
        <is>
          <t>dfs and similar, dp, greedy, trees</t>
        </is>
      </c>
      <c r="K586" s="2" t="n">
        <v>120</v>
      </c>
      <c r="L586" s="2" t="n">
        <v>110</v>
      </c>
      <c r="M586" s="5" t="inlineStr">
        <is>
          <t>https://codeforces.com/problemset/problem/1485/E</t>
        </is>
      </c>
      <c r="N586" s="3" t="n"/>
    </row>
    <row r="587" ht="20.1" customHeight="1">
      <c r="A587" s="6" t="inlineStr">
        <is>
          <t>Unsolved</t>
        </is>
      </c>
      <c r="B587" s="7" t="inlineStr">
        <is>
          <t>Trees</t>
        </is>
      </c>
      <c r="C587" s="7" t="inlineStr">
        <is>
          <t>Euler Tour</t>
        </is>
      </c>
      <c r="D587" s="6" t="inlineStr">
        <is>
          <t>570D</t>
        </is>
      </c>
      <c r="E587" s="6" t="n">
        <v>570</v>
      </c>
      <c r="F587" s="6" t="inlineStr">
        <is>
          <t>D</t>
        </is>
      </c>
      <c r="G587" s="7" t="inlineStr">
        <is>
          <t>Tree Requests</t>
        </is>
      </c>
      <c r="H587" s="6" t="n">
        <v>2200</v>
      </c>
      <c r="I587" s="12" t="inlineStr">
        <is>
          <t>Expert</t>
        </is>
      </c>
      <c r="J587" s="7" t="inlineStr">
        <is>
          <t>binary search, bitmasks, constructive algorithms, dfs and similar, graphs, trees</t>
        </is>
      </c>
      <c r="K587" s="6" t="n">
        <v>90</v>
      </c>
      <c r="L587" s="6" t="n">
        <v>80</v>
      </c>
      <c r="M587" s="8" t="inlineStr">
        <is>
          <t>https://codeforces.com/problemset/problem/570/D</t>
        </is>
      </c>
      <c r="N587" s="7" t="n"/>
    </row>
    <row r="588" ht="20.1" customHeight="1">
      <c r="A588" s="2" t="inlineStr">
        <is>
          <t>Unsolved</t>
        </is>
      </c>
      <c r="B588" s="3" t="inlineStr">
        <is>
          <t>Trees</t>
        </is>
      </c>
      <c r="C588" s="3" t="inlineStr">
        <is>
          <t>Euler Tour</t>
        </is>
      </c>
      <c r="D588" s="2" t="inlineStr">
        <is>
          <t>620E</t>
        </is>
      </c>
      <c r="E588" s="2" t="n">
        <v>620</v>
      </c>
      <c r="F588" s="2" t="inlineStr">
        <is>
          <t>E</t>
        </is>
      </c>
      <c r="G588" s="3" t="inlineStr">
        <is>
          <t>New Year Tree</t>
        </is>
      </c>
      <c r="H588" s="2" t="n">
        <v>2100</v>
      </c>
      <c r="I588" s="12" t="inlineStr">
        <is>
          <t>Expert</t>
        </is>
      </c>
      <c r="J588" s="3" t="inlineStr">
        <is>
          <t>bitmasks, data structures, trees</t>
        </is>
      </c>
      <c r="K588" s="2" t="n">
        <v>90</v>
      </c>
      <c r="L588" s="2" t="n">
        <v>80</v>
      </c>
      <c r="M588" s="5" t="inlineStr">
        <is>
          <t>https://codeforces.com/problemset/problem/620/E</t>
        </is>
      </c>
      <c r="N588" s="3" t="n"/>
    </row>
    <row r="589" ht="20.1" customHeight="1">
      <c r="A589" s="6" t="inlineStr">
        <is>
          <t>Unsolved</t>
        </is>
      </c>
      <c r="B589" s="7" t="inlineStr">
        <is>
          <t>Trees</t>
        </is>
      </c>
      <c r="C589" s="7" t="inlineStr">
        <is>
          <t>Euler Tour</t>
        </is>
      </c>
      <c r="D589" s="6" t="inlineStr">
        <is>
          <t>877E</t>
        </is>
      </c>
      <c r="E589" s="6" t="n">
        <v>877</v>
      </c>
      <c r="F589" s="6" t="inlineStr">
        <is>
          <t>E</t>
        </is>
      </c>
      <c r="G589" s="7" t="inlineStr">
        <is>
          <t>Danil and a Part-time Job</t>
        </is>
      </c>
      <c r="H589" s="6" t="n">
        <v>2000</v>
      </c>
      <c r="I589" s="10" t="inlineStr">
        <is>
          <t>Hard+</t>
        </is>
      </c>
      <c r="J589" s="7" t="inlineStr">
        <is>
          <t>bitmasks, data structures, trees</t>
        </is>
      </c>
      <c r="K589" s="6" t="n">
        <v>90</v>
      </c>
      <c r="L589" s="6" t="n">
        <v>80</v>
      </c>
      <c r="M589" s="8" t="inlineStr">
        <is>
          <t>https://codeforces.com/problemset/problem/877/E</t>
        </is>
      </c>
      <c r="N589" s="7" t="n"/>
    </row>
    <row r="590" ht="20.1" customHeight="1">
      <c r="A590" s="2" t="inlineStr">
        <is>
          <t>Unsolved</t>
        </is>
      </c>
      <c r="B590" s="3" t="inlineStr">
        <is>
          <t>Trees</t>
        </is>
      </c>
      <c r="C590" s="3" t="inlineStr">
        <is>
          <t>Euler Tour</t>
        </is>
      </c>
      <c r="D590" s="2" t="inlineStr">
        <is>
          <t>1000E</t>
        </is>
      </c>
      <c r="E590" s="2" t="n">
        <v>1000</v>
      </c>
      <c r="F590" s="2" t="inlineStr">
        <is>
          <t>E</t>
        </is>
      </c>
      <c r="G590" s="3" t="inlineStr">
        <is>
          <t>We Need More Bosses</t>
        </is>
      </c>
      <c r="H590" s="2" t="n">
        <v>2100</v>
      </c>
      <c r="I590" s="12" t="inlineStr">
        <is>
          <t>Expert</t>
        </is>
      </c>
      <c r="J590" s="3" t="inlineStr">
        <is>
          <t>dfs and similar, graphs, trees</t>
        </is>
      </c>
      <c r="K590" s="2" t="n">
        <v>90</v>
      </c>
      <c r="L590" s="2" t="n">
        <v>80</v>
      </c>
      <c r="M590" s="5" t="inlineStr">
        <is>
          <t>https://codeforces.com/problemset/problem/1000/E</t>
        </is>
      </c>
      <c r="N590" s="3" t="n"/>
    </row>
    <row r="591" ht="20.1" customHeight="1">
      <c r="A591" s="6" t="inlineStr">
        <is>
          <t>Unsolved</t>
        </is>
      </c>
      <c r="B591" s="7" t="inlineStr">
        <is>
          <t>Trees</t>
        </is>
      </c>
      <c r="C591" s="7" t="inlineStr">
        <is>
          <t>Euler Tour</t>
        </is>
      </c>
      <c r="D591" s="6" t="inlineStr">
        <is>
          <t>1110F</t>
        </is>
      </c>
      <c r="E591" s="6" t="n">
        <v>1110</v>
      </c>
      <c r="F591" s="6" t="inlineStr">
        <is>
          <t>F</t>
        </is>
      </c>
      <c r="G591" s="7" t="inlineStr">
        <is>
          <t>Nearest Leaf</t>
        </is>
      </c>
      <c r="H591" s="6" t="n">
        <v>2600</v>
      </c>
      <c r="I591" s="12" t="inlineStr">
        <is>
          <t>Master</t>
        </is>
      </c>
      <c r="J591" s="7" t="inlineStr">
        <is>
          <t>data structures, trees</t>
        </is>
      </c>
      <c r="K591" s="6" t="n">
        <v>180</v>
      </c>
      <c r="L591" s="6" t="n">
        <v>150</v>
      </c>
      <c r="M591" s="8" t="inlineStr">
        <is>
          <t>https://codeforces.com/problemset/problem/1110/F</t>
        </is>
      </c>
      <c r="N591" s="7" t="n"/>
    </row>
    <row r="592" ht="20.1" customHeight="1">
      <c r="A592" s="2" t="inlineStr">
        <is>
          <t>Unsolved</t>
        </is>
      </c>
      <c r="B592" s="3" t="inlineStr">
        <is>
          <t>Graph Traversal (DFS &amp; BFS)</t>
        </is>
      </c>
      <c r="C592" s="3" t="inlineStr">
        <is>
          <t>Connected Components</t>
        </is>
      </c>
      <c r="D592" s="2" t="inlineStr">
        <is>
          <t>217A</t>
        </is>
      </c>
      <c r="E592" s="2" t="n">
        <v>217</v>
      </c>
      <c r="F592" s="2" t="inlineStr">
        <is>
          <t>A</t>
        </is>
      </c>
      <c r="G592" s="3" t="inlineStr">
        <is>
          <t>Ice Skating</t>
        </is>
      </c>
      <c r="H592" s="2" t="n">
        <v>1200</v>
      </c>
      <c r="I592" s="4" t="inlineStr">
        <is>
          <t>Easy+</t>
        </is>
      </c>
      <c r="J592" s="3" t="inlineStr">
        <is>
          <t>brute force, dfs and similar, dsu, graphs</t>
        </is>
      </c>
      <c r="K592" s="2" t="n">
        <v>25</v>
      </c>
      <c r="L592" s="2" t="n">
        <v>20</v>
      </c>
      <c r="M592" s="5" t="inlineStr">
        <is>
          <t>https://codeforces.com/problemset/problem/217/A</t>
        </is>
      </c>
      <c r="N592" s="3" t="n"/>
    </row>
    <row r="593" ht="20.1" customHeight="1">
      <c r="A593" s="6" t="inlineStr">
        <is>
          <t>Unsolved</t>
        </is>
      </c>
      <c r="B593" s="7" t="inlineStr">
        <is>
          <t>Graph Traversal (DFS &amp; BFS)</t>
        </is>
      </c>
      <c r="C593" s="7" t="inlineStr">
        <is>
          <t>Connected Components</t>
        </is>
      </c>
      <c r="D593" s="6" t="inlineStr">
        <is>
          <t>445B</t>
        </is>
      </c>
      <c r="E593" s="6" t="n">
        <v>445</v>
      </c>
      <c r="F593" s="6" t="inlineStr">
        <is>
          <t>B</t>
        </is>
      </c>
      <c r="G593" s="7" t="inlineStr">
        <is>
          <t>DZY Loves Chemistry</t>
        </is>
      </c>
      <c r="H593" s="6" t="n">
        <v>1400</v>
      </c>
      <c r="I593" s="9" t="inlineStr">
        <is>
          <t>Medium</t>
        </is>
      </c>
      <c r="J593" s="7" t="inlineStr">
        <is>
          <t>dfs and similar, dsu, greedy</t>
        </is>
      </c>
      <c r="K593" s="6" t="n">
        <v>40</v>
      </c>
      <c r="L593" s="6" t="n">
        <v>35</v>
      </c>
      <c r="M593" s="8" t="inlineStr">
        <is>
          <t>https://codeforces.com/problemset/problem/445/B</t>
        </is>
      </c>
      <c r="N593" s="7" t="n"/>
    </row>
    <row r="594" ht="20.1" customHeight="1">
      <c r="A594" s="2" t="inlineStr">
        <is>
          <t>Unsolved</t>
        </is>
      </c>
      <c r="B594" s="3" t="inlineStr">
        <is>
          <t>Graph Traversal (DFS &amp; BFS)</t>
        </is>
      </c>
      <c r="C594" s="3" t="inlineStr">
        <is>
          <t>Connected Components</t>
        </is>
      </c>
      <c r="D594" s="2" t="inlineStr">
        <is>
          <t>510B</t>
        </is>
      </c>
      <c r="E594" s="2" t="n">
        <v>510</v>
      </c>
      <c r="F594" s="2" t="inlineStr">
        <is>
          <t>B</t>
        </is>
      </c>
      <c r="G594" s="3" t="inlineStr">
        <is>
          <t>Fox And Two Dots</t>
        </is>
      </c>
      <c r="H594" s="2" t="n">
        <v>1500</v>
      </c>
      <c r="I594" s="9" t="inlineStr">
        <is>
          <t>Medium+</t>
        </is>
      </c>
      <c r="J594" s="3" t="inlineStr">
        <is>
          <t>dfs and similar</t>
        </is>
      </c>
      <c r="K594" s="2" t="n">
        <v>40</v>
      </c>
      <c r="L594" s="2" t="n">
        <v>35</v>
      </c>
      <c r="M594" s="5" t="inlineStr">
        <is>
          <t>https://codeforces.com/problemset/problem/510/B</t>
        </is>
      </c>
      <c r="N594" s="3" t="n"/>
    </row>
    <row r="595" ht="20.1" customHeight="1">
      <c r="A595" s="6" t="inlineStr">
        <is>
          <t>Unsolved</t>
        </is>
      </c>
      <c r="B595" s="7" t="inlineStr">
        <is>
          <t>Graph Traversal (DFS &amp; BFS)</t>
        </is>
      </c>
      <c r="C595" s="7" t="inlineStr">
        <is>
          <t>Connected Components</t>
        </is>
      </c>
      <c r="D595" s="6" t="inlineStr">
        <is>
          <t>659E</t>
        </is>
      </c>
      <c r="E595" s="6" t="n">
        <v>659</v>
      </c>
      <c r="F595" s="6" t="inlineStr">
        <is>
          <t>E</t>
        </is>
      </c>
      <c r="G595" s="7" t="inlineStr">
        <is>
          <t>New Reform</t>
        </is>
      </c>
      <c r="H595" s="6" t="n">
        <v>1600</v>
      </c>
      <c r="I595" s="9" t="inlineStr">
        <is>
          <t>Medium+</t>
        </is>
      </c>
      <c r="J595" s="7" t="inlineStr">
        <is>
          <t>data structures, dfs and similar, dsu, graphs, greedy</t>
        </is>
      </c>
      <c r="K595" s="6" t="n">
        <v>40</v>
      </c>
      <c r="L595" s="6" t="n">
        <v>35</v>
      </c>
      <c r="M595" s="8" t="inlineStr">
        <is>
          <t>https://codeforces.com/problemset/problem/659/E</t>
        </is>
      </c>
      <c r="N595" s="7" t="n"/>
    </row>
    <row r="596" ht="20.1" customHeight="1">
      <c r="A596" s="2" t="inlineStr">
        <is>
          <t>Unsolved</t>
        </is>
      </c>
      <c r="B596" s="3" t="inlineStr">
        <is>
          <t>Graph Traversal (DFS &amp; BFS)</t>
        </is>
      </c>
      <c r="C596" s="3" t="inlineStr">
        <is>
          <t>Connected Components</t>
        </is>
      </c>
      <c r="D596" s="2" t="inlineStr">
        <is>
          <t>755C</t>
        </is>
      </c>
      <c r="E596" s="2" t="n">
        <v>755</v>
      </c>
      <c r="F596" s="2" t="inlineStr">
        <is>
          <t>C</t>
        </is>
      </c>
      <c r="G596" s="3" t="inlineStr">
        <is>
          <t>PolandBall and Forest</t>
        </is>
      </c>
      <c r="H596" s="2" t="n">
        <v>1300</v>
      </c>
      <c r="I596" s="9" t="inlineStr">
        <is>
          <t>Medium</t>
        </is>
      </c>
      <c r="J596" s="3" t="inlineStr">
        <is>
          <t>dfs and similar, dsu, graphs, interactive, trees</t>
        </is>
      </c>
      <c r="K596" s="2" t="n">
        <v>25</v>
      </c>
      <c r="L596" s="2" t="n">
        <v>20</v>
      </c>
      <c r="M596" s="5" t="inlineStr">
        <is>
          <t>https://codeforces.com/problemset/problem/755/C</t>
        </is>
      </c>
      <c r="N596" s="3" t="n"/>
    </row>
    <row r="597" ht="20.1" customHeight="1">
      <c r="A597" s="6" t="inlineStr">
        <is>
          <t>Unsolved</t>
        </is>
      </c>
      <c r="B597" s="7" t="inlineStr">
        <is>
          <t>Graph Traversal (DFS &amp; BFS)</t>
        </is>
      </c>
      <c r="C597" s="7" t="inlineStr">
        <is>
          <t>Connected Components</t>
        </is>
      </c>
      <c r="D597" s="6" t="inlineStr">
        <is>
          <t>999E</t>
        </is>
      </c>
      <c r="E597" s="6" t="n">
        <v>999</v>
      </c>
      <c r="F597" s="6" t="inlineStr">
        <is>
          <t>E</t>
        </is>
      </c>
      <c r="G597" s="7" t="inlineStr">
        <is>
          <t>Reachability from the Capital</t>
        </is>
      </c>
      <c r="H597" s="6" t="n">
        <v>2000</v>
      </c>
      <c r="I597" s="10" t="inlineStr">
        <is>
          <t>Hard+</t>
        </is>
      </c>
      <c r="J597" s="7" t="inlineStr">
        <is>
          <t>dfs and similar, graphs, greedy</t>
        </is>
      </c>
      <c r="K597" s="6" t="n">
        <v>90</v>
      </c>
      <c r="L597" s="6" t="n">
        <v>80</v>
      </c>
      <c r="M597" s="8" t="inlineStr">
        <is>
          <t>https://codeforces.com/problemset/problem/999/E</t>
        </is>
      </c>
      <c r="N597" s="7" t="n"/>
    </row>
    <row r="598" ht="20.1" customHeight="1">
      <c r="A598" s="2" t="inlineStr">
        <is>
          <t>Unsolved</t>
        </is>
      </c>
      <c r="B598" s="3" t="inlineStr">
        <is>
          <t>Graph Traversal (DFS &amp; BFS)</t>
        </is>
      </c>
      <c r="C598" s="3" t="inlineStr">
        <is>
          <t>Connected Components</t>
        </is>
      </c>
      <c r="D598" s="2" t="inlineStr">
        <is>
          <t>103B</t>
        </is>
      </c>
      <c r="E598" s="2" t="n">
        <v>103</v>
      </c>
      <c r="F598" s="2" t="inlineStr">
        <is>
          <t>B</t>
        </is>
      </c>
      <c r="G598" s="3" t="inlineStr">
        <is>
          <t>Cthulhu</t>
        </is>
      </c>
      <c r="H598" s="2" t="n">
        <v>1500</v>
      </c>
      <c r="I598" s="9" t="inlineStr">
        <is>
          <t>Medium+</t>
        </is>
      </c>
      <c r="J598" s="3" t="inlineStr">
        <is>
          <t>dfs and similar, dsu, graphs</t>
        </is>
      </c>
      <c r="K598" s="2" t="n">
        <v>40</v>
      </c>
      <c r="L598" s="2" t="n">
        <v>35</v>
      </c>
      <c r="M598" s="5" t="inlineStr">
        <is>
          <t>https://codeforces.com/problemset/problem/103/B</t>
        </is>
      </c>
      <c r="N598" s="3" t="n"/>
    </row>
    <row r="599" ht="20.1" customHeight="1">
      <c r="A599" s="6" t="inlineStr">
        <is>
          <t>Unsolved</t>
        </is>
      </c>
      <c r="B599" s="7" t="inlineStr">
        <is>
          <t>Graph Traversal (DFS &amp; BFS)</t>
        </is>
      </c>
      <c r="C599" s="7" t="inlineStr">
        <is>
          <t>Connected Components</t>
        </is>
      </c>
      <c r="D599" s="6" t="inlineStr">
        <is>
          <t>1243D</t>
        </is>
      </c>
      <c r="E599" s="6" t="n">
        <v>1243</v>
      </c>
      <c r="F599" s="6" t="inlineStr">
        <is>
          <t>D</t>
        </is>
      </c>
      <c r="G599" s="7" t="inlineStr">
        <is>
          <t>UNKNOWN</t>
        </is>
      </c>
      <c r="H599" s="6" t="inlineStr">
        <is>
          <t>UNKNOWN</t>
        </is>
      </c>
      <c r="I599" s="11" t="inlineStr">
        <is>
          <t>UNKNOWN</t>
        </is>
      </c>
      <c r="J599" s="7" t="inlineStr">
        <is>
          <t>UNKNOWN</t>
        </is>
      </c>
      <c r="K599" s="6" t="n">
        <v>0</v>
      </c>
      <c r="L599" s="6" t="n">
        <v>0</v>
      </c>
      <c r="M599" s="8" t="inlineStr">
        <is>
          <t>https://codeforces.com/problemset/problem/1243/D</t>
        </is>
      </c>
      <c r="N599" s="7" t="n"/>
    </row>
    <row r="600" ht="20.1" customHeight="1">
      <c r="A600" s="2" t="inlineStr">
        <is>
          <t>Unsolved</t>
        </is>
      </c>
      <c r="B600" s="3" t="inlineStr">
        <is>
          <t>Graph Traversal (DFS &amp; BFS)</t>
        </is>
      </c>
      <c r="C600" s="3" t="inlineStr">
        <is>
          <t>DFS</t>
        </is>
      </c>
      <c r="D600" s="2" t="inlineStr">
        <is>
          <t>1027D</t>
        </is>
      </c>
      <c r="E600" s="2" t="n">
        <v>1027</v>
      </c>
      <c r="F600" s="2" t="inlineStr">
        <is>
          <t>D</t>
        </is>
      </c>
      <c r="G600" s="3" t="inlineStr">
        <is>
          <t>Mouse Hunt</t>
        </is>
      </c>
      <c r="H600" s="2" t="n">
        <v>1700</v>
      </c>
      <c r="I600" s="10" t="inlineStr">
        <is>
          <t>Hard</t>
        </is>
      </c>
      <c r="J600" s="3" t="inlineStr">
        <is>
          <t>dfs and similar, graphs</t>
        </is>
      </c>
      <c r="K600" s="2" t="n">
        <v>60</v>
      </c>
      <c r="L600" s="2" t="n">
        <v>55</v>
      </c>
      <c r="M600" s="5" t="inlineStr">
        <is>
          <t>https://codeforces.com/problemset/problem/1027/D</t>
        </is>
      </c>
      <c r="N600" s="3" t="n"/>
    </row>
    <row r="601" ht="20.1" customHeight="1">
      <c r="A601" s="6" t="inlineStr">
        <is>
          <t>Unsolved</t>
        </is>
      </c>
      <c r="B601" s="7" t="inlineStr">
        <is>
          <t>Graph Traversal (DFS &amp; BFS)</t>
        </is>
      </c>
      <c r="C601" s="7" t="inlineStr">
        <is>
          <t>DFS</t>
        </is>
      </c>
      <c r="D601" s="6" t="inlineStr">
        <is>
          <t>1481D</t>
        </is>
      </c>
      <c r="E601" s="6" t="n">
        <v>1481</v>
      </c>
      <c r="F601" s="6" t="inlineStr">
        <is>
          <t>D</t>
        </is>
      </c>
      <c r="G601" s="7" t="inlineStr">
        <is>
          <t>AB Graph</t>
        </is>
      </c>
      <c r="H601" s="6" t="n">
        <v>2000</v>
      </c>
      <c r="I601" s="10" t="inlineStr">
        <is>
          <t>Hard+</t>
        </is>
      </c>
      <c r="J601" s="7" t="inlineStr">
        <is>
          <t>brute force, constructive algorithms, graphs, greedy, implementation</t>
        </is>
      </c>
      <c r="K601" s="6" t="n">
        <v>90</v>
      </c>
      <c r="L601" s="6" t="n">
        <v>80</v>
      </c>
      <c r="M601" s="8" t="inlineStr">
        <is>
          <t>https://codeforces.com/problemset/problem/1481/D</t>
        </is>
      </c>
      <c r="N601" s="7" t="n"/>
    </row>
    <row r="602" ht="20.1" customHeight="1">
      <c r="A602" s="2" t="inlineStr">
        <is>
          <t>Unsolved</t>
        </is>
      </c>
      <c r="B602" s="3" t="inlineStr">
        <is>
          <t>Graph Traversal (DFS &amp; BFS)</t>
        </is>
      </c>
      <c r="C602" s="3" t="inlineStr">
        <is>
          <t>Topological Sort</t>
        </is>
      </c>
      <c r="D602" s="2" t="inlineStr">
        <is>
          <t>510C</t>
        </is>
      </c>
      <c r="E602" s="2" t="n">
        <v>510</v>
      </c>
      <c r="F602" s="2" t="inlineStr">
        <is>
          <t>C</t>
        </is>
      </c>
      <c r="G602" s="3" t="inlineStr">
        <is>
          <t>Fox And Names</t>
        </is>
      </c>
      <c r="H602" s="2" t="n">
        <v>1600</v>
      </c>
      <c r="I602" s="9" t="inlineStr">
        <is>
          <t>Medium+</t>
        </is>
      </c>
      <c r="J602" s="3" t="inlineStr">
        <is>
          <t>dfs and similar, graphs, sortings</t>
        </is>
      </c>
      <c r="K602" s="2" t="n">
        <v>40</v>
      </c>
      <c r="L602" s="2" t="n">
        <v>35</v>
      </c>
      <c r="M602" s="5" t="inlineStr">
        <is>
          <t>https://codeforces.com/problemset/problem/510/C</t>
        </is>
      </c>
      <c r="N602" s="3" t="n"/>
    </row>
    <row r="603" ht="20.1" customHeight="1">
      <c r="A603" s="6" t="inlineStr">
        <is>
          <t>Unsolved</t>
        </is>
      </c>
      <c r="B603" s="7" t="inlineStr">
        <is>
          <t>Graph Traversal (DFS &amp; BFS)</t>
        </is>
      </c>
      <c r="C603" s="7" t="inlineStr">
        <is>
          <t>Topological Sort</t>
        </is>
      </c>
      <c r="D603" s="6" t="inlineStr">
        <is>
          <t>769C</t>
        </is>
      </c>
      <c r="E603" s="6" t="n">
        <v>769</v>
      </c>
      <c r="F603" s="6" t="inlineStr">
        <is>
          <t>C</t>
        </is>
      </c>
      <c r="G603" s="7" t="inlineStr">
        <is>
          <t>Cycle In Maze</t>
        </is>
      </c>
      <c r="H603" s="6" t="n">
        <v>1700</v>
      </c>
      <c r="I603" s="10" t="inlineStr">
        <is>
          <t>Hard</t>
        </is>
      </c>
      <c r="J603" s="7" t="inlineStr">
        <is>
          <t>*special, dfs and similar, graphs, greedy, shortest paths</t>
        </is>
      </c>
      <c r="K603" s="6" t="n">
        <v>60</v>
      </c>
      <c r="L603" s="6" t="n">
        <v>55</v>
      </c>
      <c r="M603" s="8" t="inlineStr">
        <is>
          <t>https://codeforces.com/problemset/problem/769/C</t>
        </is>
      </c>
      <c r="N603" s="7" t="n"/>
    </row>
    <row r="604" ht="20.1" customHeight="1">
      <c r="A604" s="2" t="inlineStr">
        <is>
          <t>Unsolved</t>
        </is>
      </c>
      <c r="B604" s="3" t="inlineStr">
        <is>
          <t>Graph Traversal (DFS &amp; BFS)</t>
        </is>
      </c>
      <c r="C604" s="3" t="inlineStr">
        <is>
          <t>Topological Sort</t>
        </is>
      </c>
      <c r="D604" s="2" t="inlineStr">
        <is>
          <t>915D</t>
        </is>
      </c>
      <c r="E604" s="2" t="n">
        <v>915</v>
      </c>
      <c r="F604" s="2" t="inlineStr">
        <is>
          <t>D</t>
        </is>
      </c>
      <c r="G604" s="3" t="inlineStr">
        <is>
          <t>Almost Acyclic Graph</t>
        </is>
      </c>
      <c r="H604" s="2" t="n">
        <v>2200</v>
      </c>
      <c r="I604" s="12" t="inlineStr">
        <is>
          <t>Expert</t>
        </is>
      </c>
      <c r="J604" s="3" t="inlineStr">
        <is>
          <t>dfs and similar, graphs</t>
        </is>
      </c>
      <c r="K604" s="2" t="n">
        <v>90</v>
      </c>
      <c r="L604" s="2" t="n">
        <v>80</v>
      </c>
      <c r="M604" s="5" t="inlineStr">
        <is>
          <t>https://codeforces.com/problemset/problem/915/D</t>
        </is>
      </c>
      <c r="N604" s="3" t="n"/>
    </row>
    <row r="605" ht="20.1" customHeight="1">
      <c r="A605" s="6" t="inlineStr">
        <is>
          <t>Unsolved</t>
        </is>
      </c>
      <c r="B605" s="7" t="inlineStr">
        <is>
          <t>Graph Traversal (DFS &amp; BFS)</t>
        </is>
      </c>
      <c r="C605" s="7" t="inlineStr">
        <is>
          <t>Topological Sort</t>
        </is>
      </c>
      <c r="D605" s="6" t="inlineStr">
        <is>
          <t>1037D</t>
        </is>
      </c>
      <c r="E605" s="6" t="n">
        <v>1037</v>
      </c>
      <c r="F605" s="6" t="inlineStr">
        <is>
          <t>D</t>
        </is>
      </c>
      <c r="G605" s="7" t="inlineStr">
        <is>
          <t>Valid BFS?</t>
        </is>
      </c>
      <c r="H605" s="6" t="n">
        <v>1700</v>
      </c>
      <c r="I605" s="10" t="inlineStr">
        <is>
          <t>Hard</t>
        </is>
      </c>
      <c r="J605" s="7" t="inlineStr">
        <is>
          <t>dfs and similar, graphs, shortest paths, trees</t>
        </is>
      </c>
      <c r="K605" s="6" t="n">
        <v>60</v>
      </c>
      <c r="L605" s="6" t="n">
        <v>55</v>
      </c>
      <c r="M605" s="8" t="inlineStr">
        <is>
          <t>https://codeforces.com/problemset/problem/1037/D</t>
        </is>
      </c>
      <c r="N605" s="7" t="n"/>
    </row>
    <row r="606" ht="20.1" customHeight="1">
      <c r="A606" s="2" t="inlineStr">
        <is>
          <t>Unsolved</t>
        </is>
      </c>
      <c r="B606" s="3" t="inlineStr">
        <is>
          <t>Graph Traversal (DFS &amp; BFS)</t>
        </is>
      </c>
      <c r="C606" s="3" t="inlineStr">
        <is>
          <t>Topological Sort</t>
        </is>
      </c>
      <c r="D606" s="2" t="inlineStr">
        <is>
          <t>1063B</t>
        </is>
      </c>
      <c r="E606" s="2" t="n">
        <v>1063</v>
      </c>
      <c r="F606" s="2" t="inlineStr">
        <is>
          <t>B</t>
        </is>
      </c>
      <c r="G606" s="3" t="inlineStr">
        <is>
          <t>Labyrinth</t>
        </is>
      </c>
      <c r="H606" s="2" t="n">
        <v>1800</v>
      </c>
      <c r="I606" s="10" t="inlineStr">
        <is>
          <t>Hard</t>
        </is>
      </c>
      <c r="J606" s="3" t="inlineStr">
        <is>
          <t>graphs, shortest paths</t>
        </is>
      </c>
      <c r="K606" s="2" t="n">
        <v>60</v>
      </c>
      <c r="L606" s="2" t="n">
        <v>55</v>
      </c>
      <c r="M606" s="5" t="inlineStr">
        <is>
          <t>https://codeforces.com/problemset/problem/1063/B</t>
        </is>
      </c>
      <c r="N606" s="3" t="n"/>
    </row>
    <row r="607" ht="20.1" customHeight="1">
      <c r="A607" s="6" t="inlineStr">
        <is>
          <t>Unsolved</t>
        </is>
      </c>
      <c r="B607" s="7" t="inlineStr">
        <is>
          <t>Graph Traversal (DFS &amp; BFS)</t>
        </is>
      </c>
      <c r="C607" s="7" t="inlineStr">
        <is>
          <t>Topological Sort</t>
        </is>
      </c>
      <c r="D607" s="6" t="inlineStr">
        <is>
          <t>1100E</t>
        </is>
      </c>
      <c r="E607" s="6" t="n">
        <v>1100</v>
      </c>
      <c r="F607" s="6" t="inlineStr">
        <is>
          <t>E</t>
        </is>
      </c>
      <c r="G607" s="7" t="inlineStr">
        <is>
          <t>Andrew and Taxi</t>
        </is>
      </c>
      <c r="H607" s="6" t="n">
        <v>2200</v>
      </c>
      <c r="I607" s="12" t="inlineStr">
        <is>
          <t>Expert</t>
        </is>
      </c>
      <c r="J607" s="7" t="inlineStr">
        <is>
          <t>binary search, dfs and similar, graphs</t>
        </is>
      </c>
      <c r="K607" s="6" t="n">
        <v>90</v>
      </c>
      <c r="L607" s="6" t="n">
        <v>80</v>
      </c>
      <c r="M607" s="8" t="inlineStr">
        <is>
          <t>https://codeforces.com/problemset/problem/1100/E</t>
        </is>
      </c>
      <c r="N607" s="7" t="n"/>
    </row>
    <row r="608" ht="20.1" customHeight="1">
      <c r="A608" s="2" t="inlineStr">
        <is>
          <t>Unsolved</t>
        </is>
      </c>
      <c r="B608" s="3" t="inlineStr">
        <is>
          <t>Graph Traversal (DFS &amp; BFS)</t>
        </is>
      </c>
      <c r="C608" s="3" t="inlineStr">
        <is>
          <t>Topological Sort</t>
        </is>
      </c>
      <c r="D608" s="2" t="inlineStr">
        <is>
          <t>1385E</t>
        </is>
      </c>
      <c r="E608" s="2" t="n">
        <v>1385</v>
      </c>
      <c r="F608" s="2" t="inlineStr">
        <is>
          <t>E</t>
        </is>
      </c>
      <c r="G608" s="3" t="inlineStr">
        <is>
          <t>Directing Edges</t>
        </is>
      </c>
      <c r="H608" s="2" t="n">
        <v>2000</v>
      </c>
      <c r="I608" s="10" t="inlineStr">
        <is>
          <t>Hard+</t>
        </is>
      </c>
      <c r="J608" s="3" t="inlineStr">
        <is>
          <t>constructive algorithms, dfs and similar, graphs</t>
        </is>
      </c>
      <c r="K608" s="2" t="n">
        <v>90</v>
      </c>
      <c r="L608" s="2" t="n">
        <v>80</v>
      </c>
      <c r="M608" s="5" t="inlineStr">
        <is>
          <t>https://codeforces.com/problemset/problem/1385/E</t>
        </is>
      </c>
      <c r="N608" s="3" t="n"/>
    </row>
    <row r="609" ht="20.1" customHeight="1">
      <c r="A609" s="6" t="inlineStr">
        <is>
          <t>Unsolved</t>
        </is>
      </c>
      <c r="B609" s="7" t="inlineStr">
        <is>
          <t>Graph Traversal (DFS &amp; BFS)</t>
        </is>
      </c>
      <c r="C609" s="7" t="inlineStr">
        <is>
          <t>Cycle Detection</t>
        </is>
      </c>
      <c r="D609" s="6" t="inlineStr">
        <is>
          <t>1364D</t>
        </is>
      </c>
      <c r="E609" s="6" t="n">
        <v>1364</v>
      </c>
      <c r="F609" s="6" t="inlineStr">
        <is>
          <t>D</t>
        </is>
      </c>
      <c r="G609" s="7" t="inlineStr">
        <is>
          <t>Ehab's Last Corollary</t>
        </is>
      </c>
      <c r="H609" s="6" t="n">
        <v>2100</v>
      </c>
      <c r="I609" s="12" t="inlineStr">
        <is>
          <t>Expert</t>
        </is>
      </c>
      <c r="J609" s="7" t="inlineStr">
        <is>
          <t>constructive algorithms, dfs and similar, graphs, greedy, implementation, trees</t>
        </is>
      </c>
      <c r="K609" s="6" t="n">
        <v>90</v>
      </c>
      <c r="L609" s="6" t="n">
        <v>80</v>
      </c>
      <c r="M609" s="8" t="inlineStr">
        <is>
          <t>https://codeforces.com/problemset/problem/1364/D</t>
        </is>
      </c>
      <c r="N609" s="7" t="n"/>
    </row>
    <row r="610" ht="20.1" customHeight="1">
      <c r="A610" s="2" t="inlineStr">
        <is>
          <t>Unsolved</t>
        </is>
      </c>
      <c r="B610" s="3" t="inlineStr">
        <is>
          <t>Graph Traversal (DFS &amp; BFS)</t>
        </is>
      </c>
      <c r="C610" s="3" t="inlineStr">
        <is>
          <t>Cycle Detection</t>
        </is>
      </c>
      <c r="D610" s="2" t="inlineStr">
        <is>
          <t>1679D</t>
        </is>
      </c>
      <c r="E610" s="2" t="n">
        <v>1679</v>
      </c>
      <c r="F610" s="2" t="inlineStr">
        <is>
          <t>D</t>
        </is>
      </c>
      <c r="G610" s="3" t="inlineStr">
        <is>
          <t>Toss a Coin to Your Graph...</t>
        </is>
      </c>
      <c r="H610" s="2" t="n">
        <v>1900</v>
      </c>
      <c r="I610" s="10" t="inlineStr">
        <is>
          <t>Hard+</t>
        </is>
      </c>
      <c r="J610" s="3" t="inlineStr">
        <is>
          <t>binary search, dfs and similar, dp, graphs</t>
        </is>
      </c>
      <c r="K610" s="2" t="n">
        <v>60</v>
      </c>
      <c r="L610" s="2" t="n">
        <v>55</v>
      </c>
      <c r="M610" s="5" t="inlineStr">
        <is>
          <t>https://codeforces.com/problemset/problem/1679/D</t>
        </is>
      </c>
      <c r="N610" s="3" t="n"/>
    </row>
    <row r="611" ht="20.1" customHeight="1">
      <c r="A611" s="6" t="inlineStr">
        <is>
          <t>Unsolved</t>
        </is>
      </c>
      <c r="B611" s="7" t="inlineStr">
        <is>
          <t>Graph Traversal (DFS &amp; BFS)</t>
        </is>
      </c>
      <c r="C611" s="7" t="inlineStr">
        <is>
          <t>Bipartite Graph</t>
        </is>
      </c>
      <c r="D611" s="6" t="inlineStr">
        <is>
          <t>687A</t>
        </is>
      </c>
      <c r="E611" s="6" t="n">
        <v>687</v>
      </c>
      <c r="F611" s="6" t="inlineStr">
        <is>
          <t>A</t>
        </is>
      </c>
      <c r="G611" s="7" t="inlineStr">
        <is>
          <t>NP-Hard Problem</t>
        </is>
      </c>
      <c r="H611" s="6" t="n">
        <v>1500</v>
      </c>
      <c r="I611" s="9" t="inlineStr">
        <is>
          <t>Medium+</t>
        </is>
      </c>
      <c r="J611" s="7" t="inlineStr">
        <is>
          <t>dfs and similar, graphs</t>
        </is>
      </c>
      <c r="K611" s="6" t="n">
        <v>40</v>
      </c>
      <c r="L611" s="6" t="n">
        <v>35</v>
      </c>
      <c r="M611" s="8" t="inlineStr">
        <is>
          <t>https://codeforces.com/problemset/problem/687/A</t>
        </is>
      </c>
      <c r="N611" s="7" t="n"/>
    </row>
    <row r="612" ht="20.1" customHeight="1">
      <c r="A612" s="2" t="inlineStr">
        <is>
          <t>Unsolved</t>
        </is>
      </c>
      <c r="B612" s="3" t="inlineStr">
        <is>
          <t>Graph Traversal (DFS &amp; BFS)</t>
        </is>
      </c>
      <c r="C612" s="3" t="inlineStr">
        <is>
          <t>Bipartite Graph</t>
        </is>
      </c>
      <c r="D612" s="2" t="inlineStr">
        <is>
          <t>741C</t>
        </is>
      </c>
      <c r="E612" s="2" t="n">
        <v>741</v>
      </c>
      <c r="F612" s="2" t="inlineStr">
        <is>
          <t>C</t>
        </is>
      </c>
      <c r="G612" s="3" t="inlineStr">
        <is>
          <t>Arpa’s overnight party and Mehrdad’s silent entering</t>
        </is>
      </c>
      <c r="H612" s="2" t="n">
        <v>2600</v>
      </c>
      <c r="I612" s="12" t="inlineStr">
        <is>
          <t>Master</t>
        </is>
      </c>
      <c r="J612" s="3" t="inlineStr">
        <is>
          <t>constructive algorithms, dfs and similar, graphs</t>
        </is>
      </c>
      <c r="K612" s="2" t="n">
        <v>180</v>
      </c>
      <c r="L612" s="2" t="n">
        <v>150</v>
      </c>
      <c r="M612" s="5" t="inlineStr">
        <is>
          <t>https://codeforces.com/problemset/problem/741/C</t>
        </is>
      </c>
      <c r="N612" s="3" t="n"/>
    </row>
    <row r="613" ht="20.1" customHeight="1">
      <c r="A613" s="6" t="inlineStr">
        <is>
          <t>Unsolved</t>
        </is>
      </c>
      <c r="B613" s="7" t="inlineStr">
        <is>
          <t>Graph Traversal (DFS &amp; BFS)</t>
        </is>
      </c>
      <c r="C613" s="7" t="inlineStr">
        <is>
          <t>Bipartite Graph</t>
        </is>
      </c>
      <c r="D613" s="6" t="inlineStr">
        <is>
          <t>1144F</t>
        </is>
      </c>
      <c r="E613" s="6" t="n">
        <v>1144</v>
      </c>
      <c r="F613" s="6" t="inlineStr">
        <is>
          <t>F</t>
        </is>
      </c>
      <c r="G613" s="7" t="inlineStr">
        <is>
          <t>Graph Without Long Directed Paths</t>
        </is>
      </c>
      <c r="H613" s="6" t="n">
        <v>1700</v>
      </c>
      <c r="I613" s="10" t="inlineStr">
        <is>
          <t>Hard</t>
        </is>
      </c>
      <c r="J613" s="7" t="inlineStr">
        <is>
          <t>dfs and similar, graphs</t>
        </is>
      </c>
      <c r="K613" s="6" t="n">
        <v>60</v>
      </c>
      <c r="L613" s="6" t="n">
        <v>55</v>
      </c>
      <c r="M613" s="8" t="inlineStr">
        <is>
          <t>https://codeforces.com/problemset/problem/1144/F</t>
        </is>
      </c>
      <c r="N613" s="7" t="n"/>
    </row>
    <row r="614" ht="20.1" customHeight="1">
      <c r="A614" s="2" t="inlineStr">
        <is>
          <t>Unsolved</t>
        </is>
      </c>
      <c r="B614" s="3" t="inlineStr">
        <is>
          <t>Graph Traversal (DFS &amp; BFS)</t>
        </is>
      </c>
      <c r="C614" s="3" t="inlineStr">
        <is>
          <t>Bipartite Graph</t>
        </is>
      </c>
      <c r="D614" s="2" t="inlineStr">
        <is>
          <t>1354E</t>
        </is>
      </c>
      <c r="E614" s="2" t="n">
        <v>1354</v>
      </c>
      <c r="F614" s="2" t="inlineStr">
        <is>
          <t>E</t>
        </is>
      </c>
      <c r="G614" s="3" t="inlineStr">
        <is>
          <t>Graph Coloring</t>
        </is>
      </c>
      <c r="H614" s="2" t="n">
        <v>2100</v>
      </c>
      <c r="I614" s="12" t="inlineStr">
        <is>
          <t>Expert</t>
        </is>
      </c>
      <c r="J614" s="3" t="inlineStr">
        <is>
          <t>dfs and similar, dp, graphs</t>
        </is>
      </c>
      <c r="K614" s="2" t="n">
        <v>90</v>
      </c>
      <c r="L614" s="2" t="n">
        <v>80</v>
      </c>
      <c r="M614" s="5" t="inlineStr">
        <is>
          <t>https://codeforces.com/problemset/problem/1354/E</t>
        </is>
      </c>
      <c r="N614" s="3" t="n"/>
    </row>
    <row r="615" ht="20.1" customHeight="1">
      <c r="A615" s="6" t="inlineStr">
        <is>
          <t>Unsolved</t>
        </is>
      </c>
      <c r="B615" s="7" t="inlineStr">
        <is>
          <t>Graph Traversal (DFS &amp; BFS)</t>
        </is>
      </c>
      <c r="C615" s="7" t="inlineStr">
        <is>
          <t>Bipartite Graph</t>
        </is>
      </c>
      <c r="D615" s="6" t="inlineStr">
        <is>
          <t>1702E</t>
        </is>
      </c>
      <c r="E615" s="6" t="n">
        <v>1702</v>
      </c>
      <c r="F615" s="6" t="inlineStr">
        <is>
          <t>E</t>
        </is>
      </c>
      <c r="G615" s="7" t="inlineStr">
        <is>
          <t>Split Into Two Sets</t>
        </is>
      </c>
      <c r="H615" s="6" t="n">
        <v>1600</v>
      </c>
      <c r="I615" s="9" t="inlineStr">
        <is>
          <t>Medium+</t>
        </is>
      </c>
      <c r="J615" s="7" t="inlineStr">
        <is>
          <t>dfs and similar, dsu, graphs</t>
        </is>
      </c>
      <c r="K615" s="6" t="n">
        <v>40</v>
      </c>
      <c r="L615" s="6" t="n">
        <v>35</v>
      </c>
      <c r="M615" s="8" t="inlineStr">
        <is>
          <t>https://codeforces.com/problemset/problem/1702/E</t>
        </is>
      </c>
      <c r="N615" s="7" t="n"/>
    </row>
    <row r="616" ht="20.1" customHeight="1">
      <c r="A616" s="2" t="inlineStr">
        <is>
          <t>Unsolved</t>
        </is>
      </c>
      <c r="B616" s="3" t="inlineStr">
        <is>
          <t>Shortest Paths</t>
        </is>
      </c>
      <c r="C616" s="3" t="inlineStr">
        <is>
          <t>Standard Dijkstra</t>
        </is>
      </c>
      <c r="D616" s="2" t="inlineStr">
        <is>
          <t>20C</t>
        </is>
      </c>
      <c r="E616" s="2" t="n">
        <v>20</v>
      </c>
      <c r="F616" s="2" t="inlineStr">
        <is>
          <t>C</t>
        </is>
      </c>
      <c r="G616" s="3" t="inlineStr">
        <is>
          <t>Dijkstra?</t>
        </is>
      </c>
      <c r="H616" s="2" t="n">
        <v>1900</v>
      </c>
      <c r="I616" s="10" t="inlineStr">
        <is>
          <t>Hard+</t>
        </is>
      </c>
      <c r="J616" s="3" t="inlineStr">
        <is>
          <t>graphs, shortest paths</t>
        </is>
      </c>
      <c r="K616" s="2" t="n">
        <v>60</v>
      </c>
      <c r="L616" s="2" t="n">
        <v>55</v>
      </c>
      <c r="M616" s="5" t="inlineStr">
        <is>
          <t>https://codeforces.com/problemset/problem/20/C</t>
        </is>
      </c>
      <c r="N616" s="3" t="n"/>
    </row>
    <row r="617" ht="20.1" customHeight="1">
      <c r="A617" s="6" t="inlineStr">
        <is>
          <t>Unsolved</t>
        </is>
      </c>
      <c r="B617" s="7" t="inlineStr">
        <is>
          <t>Shortest Paths</t>
        </is>
      </c>
      <c r="C617" s="7" t="inlineStr">
        <is>
          <t>Standard Dijkstra</t>
        </is>
      </c>
      <c r="D617" s="6" t="inlineStr">
        <is>
          <t>229B</t>
        </is>
      </c>
      <c r="E617" s="6" t="n">
        <v>229</v>
      </c>
      <c r="F617" s="6" t="inlineStr">
        <is>
          <t>B</t>
        </is>
      </c>
      <c r="G617" s="7" t="inlineStr">
        <is>
          <t>Planets</t>
        </is>
      </c>
      <c r="H617" s="6" t="n">
        <v>1700</v>
      </c>
      <c r="I617" s="10" t="inlineStr">
        <is>
          <t>Hard</t>
        </is>
      </c>
      <c r="J617" s="7" t="inlineStr">
        <is>
          <t>binary search, data structures, graphs, shortest paths</t>
        </is>
      </c>
      <c r="K617" s="6" t="n">
        <v>60</v>
      </c>
      <c r="L617" s="6" t="n">
        <v>55</v>
      </c>
      <c r="M617" s="8" t="inlineStr">
        <is>
          <t>https://codeforces.com/problemset/problem/229/B</t>
        </is>
      </c>
      <c r="N617" s="7" t="n"/>
    </row>
    <row r="618" ht="20.1" customHeight="1">
      <c r="A618" s="2" t="inlineStr">
        <is>
          <t>Unsolved</t>
        </is>
      </c>
      <c r="B618" s="3" t="inlineStr">
        <is>
          <t>Shortest Paths</t>
        </is>
      </c>
      <c r="C618" s="3" t="inlineStr">
        <is>
          <t>Standard Dijkstra</t>
        </is>
      </c>
      <c r="D618" s="2" t="inlineStr">
        <is>
          <t>449B</t>
        </is>
      </c>
      <c r="E618" s="2" t="n">
        <v>449</v>
      </c>
      <c r="F618" s="2" t="inlineStr">
        <is>
          <t>B</t>
        </is>
      </c>
      <c r="G618" s="3" t="inlineStr">
        <is>
          <t>Jzzhu and Cities</t>
        </is>
      </c>
      <c r="H618" s="2" t="n">
        <v>2000</v>
      </c>
      <c r="I618" s="10" t="inlineStr">
        <is>
          <t>Hard+</t>
        </is>
      </c>
      <c r="J618" s="3" t="inlineStr">
        <is>
          <t>graphs, greedy, shortest paths</t>
        </is>
      </c>
      <c r="K618" s="2" t="n">
        <v>90</v>
      </c>
      <c r="L618" s="2" t="n">
        <v>80</v>
      </c>
      <c r="M618" s="5" t="inlineStr">
        <is>
          <t>https://codeforces.com/problemset/problem/449/B</t>
        </is>
      </c>
      <c r="N618" s="3" t="n"/>
    </row>
    <row r="619" ht="20.1" customHeight="1">
      <c r="A619" s="6" t="inlineStr">
        <is>
          <t>Unsolved</t>
        </is>
      </c>
      <c r="B619" s="7" t="inlineStr">
        <is>
          <t>Shortest Paths</t>
        </is>
      </c>
      <c r="C619" s="7" t="inlineStr">
        <is>
          <t>Standard Dijkstra</t>
        </is>
      </c>
      <c r="D619" s="6" t="inlineStr">
        <is>
          <t>545E</t>
        </is>
      </c>
      <c r="E619" s="6" t="n">
        <v>545</v>
      </c>
      <c r="F619" s="6" t="inlineStr">
        <is>
          <t>E</t>
        </is>
      </c>
      <c r="G619" s="7" t="inlineStr">
        <is>
          <t>Paths and Trees</t>
        </is>
      </c>
      <c r="H619" s="6" t="n">
        <v>2000</v>
      </c>
      <c r="I619" s="10" t="inlineStr">
        <is>
          <t>Hard+</t>
        </is>
      </c>
      <c r="J619" s="7" t="inlineStr">
        <is>
          <t>graphs, greedy, shortest paths</t>
        </is>
      </c>
      <c r="K619" s="6" t="n">
        <v>90</v>
      </c>
      <c r="L619" s="6" t="n">
        <v>80</v>
      </c>
      <c r="M619" s="8" t="inlineStr">
        <is>
          <t>https://codeforces.com/problemset/problem/545/E</t>
        </is>
      </c>
      <c r="N619" s="7" t="n"/>
    </row>
    <row r="620" ht="20.1" customHeight="1">
      <c r="A620" s="2" t="inlineStr">
        <is>
          <t>Unsolved</t>
        </is>
      </c>
      <c r="B620" s="3" t="inlineStr">
        <is>
          <t>Shortest Paths</t>
        </is>
      </c>
      <c r="C620" s="3" t="inlineStr">
        <is>
          <t>Standard Dijkstra</t>
        </is>
      </c>
      <c r="D620" s="2" t="inlineStr">
        <is>
          <t>938D</t>
        </is>
      </c>
      <c r="E620" s="2" t="n">
        <v>938</v>
      </c>
      <c r="F620" s="2" t="inlineStr">
        <is>
          <t>D</t>
        </is>
      </c>
      <c r="G620" s="3" t="inlineStr">
        <is>
          <t>Buy a Ticket</t>
        </is>
      </c>
      <c r="H620" s="2" t="n">
        <v>2000</v>
      </c>
      <c r="I620" s="10" t="inlineStr">
        <is>
          <t>Hard+</t>
        </is>
      </c>
      <c r="J620" s="3" t="inlineStr">
        <is>
          <t>data structures, graphs, shortest paths</t>
        </is>
      </c>
      <c r="K620" s="2" t="n">
        <v>90</v>
      </c>
      <c r="L620" s="2" t="n">
        <v>80</v>
      </c>
      <c r="M620" s="5" t="inlineStr">
        <is>
          <t>https://codeforces.com/problemset/problem/938/D</t>
        </is>
      </c>
      <c r="N620" s="3" t="n"/>
    </row>
    <row r="621" ht="20.1" customHeight="1">
      <c r="A621" s="6" t="inlineStr">
        <is>
          <t>Unsolved</t>
        </is>
      </c>
      <c r="B621" s="7" t="inlineStr">
        <is>
          <t>Shortest Paths</t>
        </is>
      </c>
      <c r="C621" s="7" t="inlineStr">
        <is>
          <t>Standard Dijkstra</t>
        </is>
      </c>
      <c r="D621" s="6" t="inlineStr">
        <is>
          <t>1076D</t>
        </is>
      </c>
      <c r="E621" s="6" t="n">
        <v>1076</v>
      </c>
      <c r="F621" s="6" t="inlineStr">
        <is>
          <t>D</t>
        </is>
      </c>
      <c r="G621" s="7" t="inlineStr">
        <is>
          <t>Edge Deletion</t>
        </is>
      </c>
      <c r="H621" s="6" t="n">
        <v>1800</v>
      </c>
      <c r="I621" s="10" t="inlineStr">
        <is>
          <t>Hard</t>
        </is>
      </c>
      <c r="J621" s="7" t="inlineStr">
        <is>
          <t>graphs, greedy, shortest paths</t>
        </is>
      </c>
      <c r="K621" s="6" t="n">
        <v>60</v>
      </c>
      <c r="L621" s="6" t="n">
        <v>55</v>
      </c>
      <c r="M621" s="8" t="inlineStr">
        <is>
          <t>https://codeforces.com/problemset/problem/1076/D</t>
        </is>
      </c>
      <c r="N621" s="7" t="n"/>
    </row>
    <row r="622" ht="20.1" customHeight="1">
      <c r="A622" s="2" t="inlineStr">
        <is>
          <t>Unsolved</t>
        </is>
      </c>
      <c r="B622" s="3" t="inlineStr">
        <is>
          <t>Shortest Paths</t>
        </is>
      </c>
      <c r="C622" s="3" t="inlineStr">
        <is>
          <t>Standard Dijkstra</t>
        </is>
      </c>
      <c r="D622" s="2" t="inlineStr">
        <is>
          <t>1422D</t>
        </is>
      </c>
      <c r="E622" s="2" t="n">
        <v>1422</v>
      </c>
      <c r="F622" s="2" t="inlineStr">
        <is>
          <t>D</t>
        </is>
      </c>
      <c r="G622" s="3" t="inlineStr">
        <is>
          <t>Returning Home</t>
        </is>
      </c>
      <c r="H622" s="2" t="n">
        <v>2300</v>
      </c>
      <c r="I622" s="12" t="inlineStr">
        <is>
          <t>Expert</t>
        </is>
      </c>
      <c r="J622" s="3" t="inlineStr">
        <is>
          <t>graphs, shortest paths, sortings</t>
        </is>
      </c>
      <c r="K622" s="2" t="n">
        <v>120</v>
      </c>
      <c r="L622" s="2" t="n">
        <v>110</v>
      </c>
      <c r="M622" s="5" t="inlineStr">
        <is>
          <t>https://codeforces.com/problemset/problem/1422/D</t>
        </is>
      </c>
      <c r="N622" s="3" t="n"/>
    </row>
    <row r="623" ht="20.1" customHeight="1">
      <c r="A623" s="6" t="inlineStr">
        <is>
          <t>Unsolved</t>
        </is>
      </c>
      <c r="B623" s="7" t="inlineStr">
        <is>
          <t>Shortest Paths</t>
        </is>
      </c>
      <c r="C623" s="7" t="inlineStr">
        <is>
          <t>0-1 BFS</t>
        </is>
      </c>
      <c r="D623" s="6" t="inlineStr">
        <is>
          <t>1433G</t>
        </is>
      </c>
      <c r="E623" s="6" t="n">
        <v>1433</v>
      </c>
      <c r="F623" s="6" t="inlineStr">
        <is>
          <t>G</t>
        </is>
      </c>
      <c r="G623" s="7" t="inlineStr">
        <is>
          <t>Reducing Delivery Cost</t>
        </is>
      </c>
      <c r="H623" s="6" t="n">
        <v>2100</v>
      </c>
      <c r="I623" s="12" t="inlineStr">
        <is>
          <t>Expert</t>
        </is>
      </c>
      <c r="J623" s="7" t="inlineStr">
        <is>
          <t>brute force, graphs, shortest paths</t>
        </is>
      </c>
      <c r="K623" s="6" t="n">
        <v>90</v>
      </c>
      <c r="L623" s="6" t="n">
        <v>80</v>
      </c>
      <c r="M623" s="8" t="inlineStr">
        <is>
          <t>https://codeforces.com/problemset/problem/1433/G</t>
        </is>
      </c>
      <c r="N623" s="7" t="n"/>
    </row>
    <row r="624" ht="20.1" customHeight="1">
      <c r="A624" s="2" t="inlineStr">
        <is>
          <t>Unsolved</t>
        </is>
      </c>
      <c r="B624" s="3" t="inlineStr">
        <is>
          <t>Shortest Paths</t>
        </is>
      </c>
      <c r="C624" s="3" t="inlineStr">
        <is>
          <t>0-1 BFS</t>
        </is>
      </c>
      <c r="D624" s="2" t="inlineStr">
        <is>
          <t>1705E</t>
        </is>
      </c>
      <c r="E624" s="2" t="n">
        <v>1705</v>
      </c>
      <c r="F624" s="2" t="inlineStr">
        <is>
          <t>E</t>
        </is>
      </c>
      <c r="G624" s="3" t="inlineStr">
        <is>
          <t>Mark and Professor Koro</t>
        </is>
      </c>
      <c r="H624" s="2" t="n">
        <v>2300</v>
      </c>
      <c r="I624" s="12" t="inlineStr">
        <is>
          <t>Expert</t>
        </is>
      </c>
      <c r="J624" s="3" t="inlineStr">
        <is>
          <t>binary search, bitmasks, brute force, combinatorics, data structures, greedy</t>
        </is>
      </c>
      <c r="K624" s="2" t="n">
        <v>120</v>
      </c>
      <c r="L624" s="2" t="n">
        <v>110</v>
      </c>
      <c r="M624" s="5" t="inlineStr">
        <is>
          <t>https://codeforces.com/problemset/problem/1705/E</t>
        </is>
      </c>
      <c r="N624" s="3" t="n"/>
    </row>
    <row r="625" ht="20.1" customHeight="1">
      <c r="A625" s="6" t="inlineStr">
        <is>
          <t>Unsolved</t>
        </is>
      </c>
      <c r="B625" s="7" t="inlineStr">
        <is>
          <t>Shortest Paths</t>
        </is>
      </c>
      <c r="C625" s="7" t="inlineStr">
        <is>
          <t>Bellman-Ford / Negative Edges</t>
        </is>
      </c>
      <c r="D625" s="6" t="inlineStr">
        <is>
          <t>59E</t>
        </is>
      </c>
      <c r="E625" s="6" t="n">
        <v>59</v>
      </c>
      <c r="F625" s="6" t="inlineStr">
        <is>
          <t>E</t>
        </is>
      </c>
      <c r="G625" s="7" t="inlineStr">
        <is>
          <t>Shortest Path</t>
        </is>
      </c>
      <c r="H625" s="6" t="n">
        <v>2000</v>
      </c>
      <c r="I625" s="10" t="inlineStr">
        <is>
          <t>Hard+</t>
        </is>
      </c>
      <c r="J625" s="7" t="inlineStr">
        <is>
          <t>graphs, shortest paths</t>
        </is>
      </c>
      <c r="K625" s="6" t="n">
        <v>90</v>
      </c>
      <c r="L625" s="6" t="n">
        <v>80</v>
      </c>
      <c r="M625" s="8" t="inlineStr">
        <is>
          <t>https://codeforces.com/problemset/problem/59/E</t>
        </is>
      </c>
      <c r="N625" s="7" t="n"/>
    </row>
    <row r="626" ht="20.1" customHeight="1">
      <c r="A626" s="2" t="inlineStr">
        <is>
          <t>Unsolved</t>
        </is>
      </c>
      <c r="B626" s="3" t="inlineStr">
        <is>
          <t>Shortest Paths</t>
        </is>
      </c>
      <c r="C626" s="3" t="inlineStr">
        <is>
          <t>Bellman-Ford / Negative Edges</t>
        </is>
      </c>
      <c r="D626" s="2" t="inlineStr">
        <is>
          <t>567E</t>
        </is>
      </c>
      <c r="E626" s="2" t="n">
        <v>567</v>
      </c>
      <c r="F626" s="2" t="inlineStr">
        <is>
          <t>E</t>
        </is>
      </c>
      <c r="G626" s="3" t="inlineStr">
        <is>
          <t>President and Roads</t>
        </is>
      </c>
      <c r="H626" s="2" t="n">
        <v>2200</v>
      </c>
      <c r="I626" s="12" t="inlineStr">
        <is>
          <t>Expert</t>
        </is>
      </c>
      <c r="J626" s="3" t="inlineStr">
        <is>
          <t>dfs and similar, graphs, hashing, shortest paths</t>
        </is>
      </c>
      <c r="K626" s="2" t="n">
        <v>90</v>
      </c>
      <c r="L626" s="2" t="n">
        <v>80</v>
      </c>
      <c r="M626" s="5" t="inlineStr">
        <is>
          <t>https://codeforces.com/problemset/problem/567/E</t>
        </is>
      </c>
      <c r="N626" s="3" t="n"/>
    </row>
    <row r="627" ht="20.1" customHeight="1">
      <c r="A627" s="6" t="inlineStr">
        <is>
          <t>Unsolved</t>
        </is>
      </c>
      <c r="B627" s="7" t="inlineStr">
        <is>
          <t>Shortest Paths</t>
        </is>
      </c>
      <c r="C627" s="7" t="inlineStr">
        <is>
          <t>Bellman-Ford / Negative Edges</t>
        </is>
      </c>
      <c r="D627" s="6" t="inlineStr">
        <is>
          <t>1074D</t>
        </is>
      </c>
      <c r="E627" s="6" t="n">
        <v>1074</v>
      </c>
      <c r="F627" s="6" t="inlineStr">
        <is>
          <t>D</t>
        </is>
      </c>
      <c r="G627" s="7" t="inlineStr">
        <is>
          <t>UNKNOWN</t>
        </is>
      </c>
      <c r="H627" s="6" t="inlineStr">
        <is>
          <t>UNKNOWN</t>
        </is>
      </c>
      <c r="I627" s="11" t="inlineStr">
        <is>
          <t>UNKNOWN</t>
        </is>
      </c>
      <c r="J627" s="7" t="inlineStr">
        <is>
          <t>UNKNOWN</t>
        </is>
      </c>
      <c r="K627" s="6" t="n">
        <v>0</v>
      </c>
      <c r="L627" s="6" t="n">
        <v>0</v>
      </c>
      <c r="M627" s="8" t="inlineStr">
        <is>
          <t>https://codeforces.com/problemset/problem/1074/D</t>
        </is>
      </c>
      <c r="N627" s="7" t="n"/>
    </row>
    <row r="628" ht="20.1" customHeight="1">
      <c r="A628" s="2" t="inlineStr">
        <is>
          <t>Unsolved</t>
        </is>
      </c>
      <c r="B628" s="3" t="inlineStr">
        <is>
          <t>Shortest Paths</t>
        </is>
      </c>
      <c r="C628" s="3" t="inlineStr">
        <is>
          <t>Bellman-Ford / Negative Edges</t>
        </is>
      </c>
      <c r="D628" s="2" t="inlineStr">
        <is>
          <t>1209F</t>
        </is>
      </c>
      <c r="E628" s="2" t="n">
        <v>1209</v>
      </c>
      <c r="F628" s="2" t="inlineStr">
        <is>
          <t>F</t>
        </is>
      </c>
      <c r="G628" s="3" t="inlineStr">
        <is>
          <t>Koala and Notebook</t>
        </is>
      </c>
      <c r="H628" s="2" t="n">
        <v>2600</v>
      </c>
      <c r="I628" s="12" t="inlineStr">
        <is>
          <t>Master</t>
        </is>
      </c>
      <c r="J628" s="3" t="inlineStr">
        <is>
          <t>data structures, dfs and similar, graphs, shortest paths, strings, trees</t>
        </is>
      </c>
      <c r="K628" s="2" t="n">
        <v>180</v>
      </c>
      <c r="L628" s="2" t="n">
        <v>150</v>
      </c>
      <c r="M628" s="5" t="inlineStr">
        <is>
          <t>https://codeforces.com/problemset/problem/1209/F</t>
        </is>
      </c>
      <c r="N628" s="3" t="n"/>
    </row>
    <row r="629" ht="20.1" customHeight="1">
      <c r="A629" s="6" t="inlineStr">
        <is>
          <t>Unsolved</t>
        </is>
      </c>
      <c r="B629" s="7" t="inlineStr">
        <is>
          <t>Shortest Paths</t>
        </is>
      </c>
      <c r="C629" s="7" t="inlineStr">
        <is>
          <t>Bellman-Ford / Negative Edges</t>
        </is>
      </c>
      <c r="D629" s="6" t="inlineStr">
        <is>
          <t>1394A</t>
        </is>
      </c>
      <c r="E629" s="6" t="n">
        <v>1394</v>
      </c>
      <c r="F629" s="6" t="inlineStr">
        <is>
          <t>A</t>
        </is>
      </c>
      <c r="G629" s="7" t="inlineStr">
        <is>
          <t>Boboniu Chats with Du</t>
        </is>
      </c>
      <c r="H629" s="6" t="n">
        <v>1800</v>
      </c>
      <c r="I629" s="10" t="inlineStr">
        <is>
          <t>Hard</t>
        </is>
      </c>
      <c r="J629" s="7" t="inlineStr">
        <is>
          <t>dp, greedy, sortings, two pointers</t>
        </is>
      </c>
      <c r="K629" s="6" t="n">
        <v>60</v>
      </c>
      <c r="L629" s="6" t="n">
        <v>55</v>
      </c>
      <c r="M629" s="8" t="inlineStr">
        <is>
          <t>https://codeforces.com/problemset/problem/1394/A</t>
        </is>
      </c>
      <c r="N629" s="7" t="n"/>
    </row>
    <row r="630" ht="20.1" customHeight="1">
      <c r="A630" s="2" t="inlineStr">
        <is>
          <t>Unsolved</t>
        </is>
      </c>
      <c r="B630" s="3" t="inlineStr">
        <is>
          <t>Shortest Paths</t>
        </is>
      </c>
      <c r="C630" s="3" t="inlineStr">
        <is>
          <t>Floyd Warshall</t>
        </is>
      </c>
      <c r="D630" s="2" t="inlineStr">
        <is>
          <t>295B</t>
        </is>
      </c>
      <c r="E630" s="2" t="n">
        <v>295</v>
      </c>
      <c r="F630" s="2" t="inlineStr">
        <is>
          <t>B</t>
        </is>
      </c>
      <c r="G630" s="3" t="inlineStr">
        <is>
          <t>Greg and Graph</t>
        </is>
      </c>
      <c r="H630" s="2" t="n">
        <v>1700</v>
      </c>
      <c r="I630" s="10" t="inlineStr">
        <is>
          <t>Hard</t>
        </is>
      </c>
      <c r="J630" s="3" t="inlineStr">
        <is>
          <t>dp, graphs, shortest paths</t>
        </is>
      </c>
      <c r="K630" s="2" t="n">
        <v>60</v>
      </c>
      <c r="L630" s="2" t="n">
        <v>55</v>
      </c>
      <c r="M630" s="5" t="inlineStr">
        <is>
          <t>https://codeforces.com/problemset/problem/295/B</t>
        </is>
      </c>
      <c r="N630" s="3" t="n"/>
    </row>
    <row r="631" ht="20.1" customHeight="1">
      <c r="A631" s="6" t="inlineStr">
        <is>
          <t>Unsolved</t>
        </is>
      </c>
      <c r="B631" s="7" t="inlineStr">
        <is>
          <t>Shortest Paths</t>
        </is>
      </c>
      <c r="C631" s="7" t="inlineStr">
        <is>
          <t>Floyd Warshall</t>
        </is>
      </c>
      <c r="D631" s="6" t="inlineStr">
        <is>
          <t>400D</t>
        </is>
      </c>
      <c r="E631" s="6" t="n">
        <v>400</v>
      </c>
      <c r="F631" s="6" t="inlineStr">
        <is>
          <t>D</t>
        </is>
      </c>
      <c r="G631" s="7" t="inlineStr">
        <is>
          <t>Dima and Bacteria</t>
        </is>
      </c>
      <c r="H631" s="6" t="n">
        <v>2000</v>
      </c>
      <c r="I631" s="10" t="inlineStr">
        <is>
          <t>Hard+</t>
        </is>
      </c>
      <c r="J631" s="7" t="inlineStr">
        <is>
          <t>dsu, graphs, shortest paths</t>
        </is>
      </c>
      <c r="K631" s="6" t="n">
        <v>90</v>
      </c>
      <c r="L631" s="6" t="n">
        <v>80</v>
      </c>
      <c r="M631" s="8" t="inlineStr">
        <is>
          <t>https://codeforces.com/problemset/problem/400/D</t>
        </is>
      </c>
      <c r="N631" s="7" t="n"/>
    </row>
    <row r="632" ht="20.1" customHeight="1">
      <c r="A632" s="2" t="inlineStr">
        <is>
          <t>Unsolved</t>
        </is>
      </c>
      <c r="B632" s="3" t="inlineStr">
        <is>
          <t>Shortest Paths</t>
        </is>
      </c>
      <c r="C632" s="3" t="inlineStr">
        <is>
          <t>Floyd Warshall</t>
        </is>
      </c>
      <c r="D632" s="2" t="inlineStr">
        <is>
          <t>1205B</t>
        </is>
      </c>
      <c r="E632" s="2" t="n">
        <v>1205</v>
      </c>
      <c r="F632" s="2" t="inlineStr">
        <is>
          <t>B</t>
        </is>
      </c>
      <c r="G632" s="3" t="inlineStr">
        <is>
          <t>Shortest Cycle</t>
        </is>
      </c>
      <c r="H632" s="2" t="n">
        <v>1900</v>
      </c>
      <c r="I632" s="10" t="inlineStr">
        <is>
          <t>Hard+</t>
        </is>
      </c>
      <c r="J632" s="3" t="inlineStr">
        <is>
          <t>bitmasks, brute force, graphs, shortest paths</t>
        </is>
      </c>
      <c r="K632" s="2" t="n">
        <v>60</v>
      </c>
      <c r="L632" s="2" t="n">
        <v>55</v>
      </c>
      <c r="M632" s="5" t="inlineStr">
        <is>
          <t>https://codeforces.com/problemset/problem/1205/B</t>
        </is>
      </c>
      <c r="N632" s="3" t="n"/>
    </row>
    <row r="633" ht="20.1" customHeight="1">
      <c r="A633" s="6" t="inlineStr">
        <is>
          <t>Unsolved</t>
        </is>
      </c>
      <c r="B633" s="7" t="inlineStr">
        <is>
          <t>DSU &amp; Minimum Spanning Tree</t>
        </is>
      </c>
      <c r="C633" s="7" t="inlineStr">
        <is>
          <t>Basic DSU</t>
        </is>
      </c>
      <c r="D633" s="6" t="inlineStr">
        <is>
          <t>939D</t>
        </is>
      </c>
      <c r="E633" s="6" t="n">
        <v>939</v>
      </c>
      <c r="F633" s="6" t="inlineStr">
        <is>
          <t>D</t>
        </is>
      </c>
      <c r="G633" s="7" t="inlineStr">
        <is>
          <t>Love Rescue</t>
        </is>
      </c>
      <c r="H633" s="6" t="n">
        <v>1600</v>
      </c>
      <c r="I633" s="9" t="inlineStr">
        <is>
          <t>Medium+</t>
        </is>
      </c>
      <c r="J633" s="7" t="inlineStr">
        <is>
          <t>dfs and similar, dsu, graphs, greedy, strings</t>
        </is>
      </c>
      <c r="K633" s="6" t="n">
        <v>40</v>
      </c>
      <c r="L633" s="6" t="n">
        <v>35</v>
      </c>
      <c r="M633" s="8" t="inlineStr">
        <is>
          <t>https://codeforces.com/problemset/problem/939/D</t>
        </is>
      </c>
      <c r="N633" s="7" t="n"/>
    </row>
    <row r="634" ht="20.1" customHeight="1">
      <c r="A634" s="2" t="inlineStr">
        <is>
          <t>Unsolved</t>
        </is>
      </c>
      <c r="B634" s="3" t="inlineStr">
        <is>
          <t>DSU &amp; Minimum Spanning Tree</t>
        </is>
      </c>
      <c r="C634" s="3" t="inlineStr">
        <is>
          <t>Basic DSU</t>
        </is>
      </c>
      <c r="D634" s="2" t="inlineStr">
        <is>
          <t>1167C</t>
        </is>
      </c>
      <c r="E634" s="2" t="n">
        <v>1167</v>
      </c>
      <c r="F634" s="2" t="inlineStr">
        <is>
          <t>C</t>
        </is>
      </c>
      <c r="G634" s="3" t="inlineStr">
        <is>
          <t>News Distribution</t>
        </is>
      </c>
      <c r="H634" s="2" t="n">
        <v>1400</v>
      </c>
      <c r="I634" s="9" t="inlineStr">
        <is>
          <t>Medium</t>
        </is>
      </c>
      <c r="J634" s="3" t="inlineStr">
        <is>
          <t>dfs and similar, dsu, graphs</t>
        </is>
      </c>
      <c r="K634" s="2" t="n">
        <v>40</v>
      </c>
      <c r="L634" s="2" t="n">
        <v>35</v>
      </c>
      <c r="M634" s="5" t="inlineStr">
        <is>
          <t>https://codeforces.com/problemset/problem/1167/C</t>
        </is>
      </c>
      <c r="N634" s="3" t="n"/>
    </row>
    <row r="635" ht="20.1" customHeight="1">
      <c r="A635" s="6" t="inlineStr">
        <is>
          <t>Unsolved</t>
        </is>
      </c>
      <c r="B635" s="7" t="inlineStr">
        <is>
          <t>DSU &amp; Minimum Spanning Tree</t>
        </is>
      </c>
      <c r="C635" s="7" t="inlineStr">
        <is>
          <t>Basic DSU</t>
        </is>
      </c>
      <c r="D635" s="6" t="inlineStr">
        <is>
          <t>1249B1</t>
        </is>
      </c>
      <c r="E635" s="6" t="n">
        <v>1249</v>
      </c>
      <c r="F635" s="6" t="inlineStr">
        <is>
          <t>B1</t>
        </is>
      </c>
      <c r="G635" s="7" t="inlineStr">
        <is>
          <t>Books Exchange (easy version)</t>
        </is>
      </c>
      <c r="H635" s="6" t="n">
        <v>1000</v>
      </c>
      <c r="I635" s="4" t="inlineStr">
        <is>
          <t>Easy+</t>
        </is>
      </c>
      <c r="J635" s="7" t="inlineStr">
        <is>
          <t>dsu, math</t>
        </is>
      </c>
      <c r="K635" s="6" t="n">
        <v>15</v>
      </c>
      <c r="L635" s="6" t="n">
        <v>10</v>
      </c>
      <c r="M635" s="8" t="inlineStr">
        <is>
          <t>https://codeforces.com/problemset/problem/1249/B1</t>
        </is>
      </c>
      <c r="N635" s="7" t="n"/>
    </row>
    <row r="636" ht="20.1" customHeight="1">
      <c r="A636" s="2" t="inlineStr">
        <is>
          <t>Unsolved</t>
        </is>
      </c>
      <c r="B636" s="3" t="inlineStr">
        <is>
          <t>DSU &amp; Minimum Spanning Tree</t>
        </is>
      </c>
      <c r="C636" s="3" t="inlineStr">
        <is>
          <t>Basic DSU</t>
        </is>
      </c>
      <c r="D636" s="2" t="inlineStr">
        <is>
          <t>1249B2</t>
        </is>
      </c>
      <c r="E636" s="2" t="n">
        <v>1249</v>
      </c>
      <c r="F636" s="2" t="inlineStr">
        <is>
          <t>B2</t>
        </is>
      </c>
      <c r="G636" s="3" t="inlineStr">
        <is>
          <t>Books Exchange (hard version)</t>
        </is>
      </c>
      <c r="H636" s="2" t="n">
        <v>1300</v>
      </c>
      <c r="I636" s="9" t="inlineStr">
        <is>
          <t>Medium</t>
        </is>
      </c>
      <c r="J636" s="3" t="inlineStr">
        <is>
          <t>dfs and similar, dsu, math</t>
        </is>
      </c>
      <c r="K636" s="2" t="n">
        <v>25</v>
      </c>
      <c r="L636" s="2" t="n">
        <v>20</v>
      </c>
      <c r="M636" s="5" t="inlineStr">
        <is>
          <t>https://codeforces.com/problemset/problem/1249/B2</t>
        </is>
      </c>
      <c r="N636" s="3" t="n"/>
    </row>
    <row r="637" ht="20.1" customHeight="1">
      <c r="A637" s="6" t="inlineStr">
        <is>
          <t>Unsolved</t>
        </is>
      </c>
      <c r="B637" s="7" t="inlineStr">
        <is>
          <t>DSU &amp; Minimum Spanning Tree</t>
        </is>
      </c>
      <c r="C637" s="7" t="inlineStr">
        <is>
          <t>Basic DSU</t>
        </is>
      </c>
      <c r="D637" s="6" t="inlineStr">
        <is>
          <t>1263D</t>
        </is>
      </c>
      <c r="E637" s="6" t="n">
        <v>1263</v>
      </c>
      <c r="F637" s="6" t="inlineStr">
        <is>
          <t>D</t>
        </is>
      </c>
      <c r="G637" s="7" t="inlineStr">
        <is>
          <t>Secret Passwords</t>
        </is>
      </c>
      <c r="H637" s="6" t="n">
        <v>1500</v>
      </c>
      <c r="I637" s="9" t="inlineStr">
        <is>
          <t>Medium+</t>
        </is>
      </c>
      <c r="J637" s="7" t="inlineStr">
        <is>
          <t>dfs and similar, dsu, graphs</t>
        </is>
      </c>
      <c r="K637" s="6" t="n">
        <v>40</v>
      </c>
      <c r="L637" s="6" t="n">
        <v>35</v>
      </c>
      <c r="M637" s="8" t="inlineStr">
        <is>
          <t>https://codeforces.com/problemset/problem/1263/D</t>
        </is>
      </c>
      <c r="N637" s="7" t="n"/>
    </row>
    <row r="638" ht="20.1" customHeight="1">
      <c r="A638" s="2" t="inlineStr">
        <is>
          <t>Unsolved</t>
        </is>
      </c>
      <c r="B638" s="3" t="inlineStr">
        <is>
          <t>DSU &amp; Minimum Spanning Tree</t>
        </is>
      </c>
      <c r="C638" s="3" t="inlineStr">
        <is>
          <t>Basic DSU</t>
        </is>
      </c>
      <c r="D638" s="2" t="inlineStr">
        <is>
          <t>1383A</t>
        </is>
      </c>
      <c r="E638" s="2" t="n">
        <v>1383</v>
      </c>
      <c r="F638" s="2" t="inlineStr">
        <is>
          <t>A</t>
        </is>
      </c>
      <c r="G638" s="3" t="inlineStr">
        <is>
          <t>String Transformation 1</t>
        </is>
      </c>
      <c r="H638" s="2" t="n">
        <v>1700</v>
      </c>
      <c r="I638" s="10" t="inlineStr">
        <is>
          <t>Hard</t>
        </is>
      </c>
      <c r="J638" s="3" t="inlineStr">
        <is>
          <t>dsu, graphs, greedy, sortings, strings, trees, two pointers</t>
        </is>
      </c>
      <c r="K638" s="2" t="n">
        <v>60</v>
      </c>
      <c r="L638" s="2" t="n">
        <v>55</v>
      </c>
      <c r="M638" s="5" t="inlineStr">
        <is>
          <t>https://codeforces.com/problemset/problem/1383/A</t>
        </is>
      </c>
      <c r="N638" s="3" t="n"/>
    </row>
    <row r="639" ht="20.1" customHeight="1">
      <c r="A639" s="6" t="inlineStr">
        <is>
          <t>Unsolved</t>
        </is>
      </c>
      <c r="B639" s="7" t="inlineStr">
        <is>
          <t>DSU &amp; Minimum Spanning Tree</t>
        </is>
      </c>
      <c r="C639" s="7" t="inlineStr">
        <is>
          <t>Basic DSU</t>
        </is>
      </c>
      <c r="D639" s="6" t="inlineStr">
        <is>
          <t>1609D</t>
        </is>
      </c>
      <c r="E639" s="6" t="n">
        <v>1609</v>
      </c>
      <c r="F639" s="6" t="inlineStr">
        <is>
          <t>D</t>
        </is>
      </c>
      <c r="G639" s="7" t="inlineStr">
        <is>
          <t>Social Network</t>
        </is>
      </c>
      <c r="H639" s="6" t="n">
        <v>1600</v>
      </c>
      <c r="I639" s="9" t="inlineStr">
        <is>
          <t>Medium+</t>
        </is>
      </c>
      <c r="J639" s="7" t="inlineStr">
        <is>
          <t>dsu, graphs, greedy, implementation, trees</t>
        </is>
      </c>
      <c r="K639" s="6" t="n">
        <v>40</v>
      </c>
      <c r="L639" s="6" t="n">
        <v>35</v>
      </c>
      <c r="M639" s="8" t="inlineStr">
        <is>
          <t>https://codeforces.com/problemset/problem/1609/D</t>
        </is>
      </c>
      <c r="N639" s="7" t="n"/>
    </row>
    <row r="640" ht="20.1" customHeight="1">
      <c r="A640" s="2" t="inlineStr">
        <is>
          <t>Unsolved</t>
        </is>
      </c>
      <c r="B640" s="3" t="inlineStr">
        <is>
          <t>DSU &amp; Minimum Spanning Tree</t>
        </is>
      </c>
      <c r="C640" s="3" t="inlineStr">
        <is>
          <t>Union Find Applications</t>
        </is>
      </c>
      <c r="D640" s="2" t="inlineStr">
        <is>
          <t>25D</t>
        </is>
      </c>
      <c r="E640" s="2" t="n">
        <v>25</v>
      </c>
      <c r="F640" s="2" t="inlineStr">
        <is>
          <t>D</t>
        </is>
      </c>
      <c r="G640" s="3" t="inlineStr">
        <is>
          <t>Roads not only in Berland</t>
        </is>
      </c>
      <c r="H640" s="2" t="n">
        <v>1900</v>
      </c>
      <c r="I640" s="10" t="inlineStr">
        <is>
          <t>Hard+</t>
        </is>
      </c>
      <c r="J640" s="3" t="inlineStr">
        <is>
          <t>dsu, graphs, trees</t>
        </is>
      </c>
      <c r="K640" s="2" t="n">
        <v>60</v>
      </c>
      <c r="L640" s="2" t="n">
        <v>55</v>
      </c>
      <c r="M640" s="5" t="inlineStr">
        <is>
          <t>https://codeforces.com/problemset/problem/25/D</t>
        </is>
      </c>
      <c r="N640" s="3" t="n"/>
    </row>
    <row r="641" ht="20.1" customHeight="1">
      <c r="A641" s="6" t="inlineStr">
        <is>
          <t>Unsolved</t>
        </is>
      </c>
      <c r="B641" s="7" t="inlineStr">
        <is>
          <t>DSU &amp; Minimum Spanning Tree</t>
        </is>
      </c>
      <c r="C641" s="7" t="inlineStr">
        <is>
          <t>Union Find Applications</t>
        </is>
      </c>
      <c r="D641" s="6" t="inlineStr">
        <is>
          <t>277A</t>
        </is>
      </c>
      <c r="E641" s="6" t="n">
        <v>277</v>
      </c>
      <c r="F641" s="6" t="inlineStr">
        <is>
          <t>A</t>
        </is>
      </c>
      <c r="G641" s="7" t="inlineStr">
        <is>
          <t>Learning Languages</t>
        </is>
      </c>
      <c r="H641" s="6" t="n">
        <v>1400</v>
      </c>
      <c r="I641" s="9" t="inlineStr">
        <is>
          <t>Medium</t>
        </is>
      </c>
      <c r="J641" s="7" t="inlineStr">
        <is>
          <t>dfs and similar, dsu</t>
        </is>
      </c>
      <c r="K641" s="6" t="n">
        <v>40</v>
      </c>
      <c r="L641" s="6" t="n">
        <v>35</v>
      </c>
      <c r="M641" s="8" t="inlineStr">
        <is>
          <t>https://codeforces.com/problemset/problem/277/A</t>
        </is>
      </c>
      <c r="N641" s="7" t="n"/>
    </row>
    <row r="642" ht="20.1" customHeight="1">
      <c r="A642" s="2" t="inlineStr">
        <is>
          <t>Unsolved</t>
        </is>
      </c>
      <c r="B642" s="3" t="inlineStr">
        <is>
          <t>DSU &amp; Minimum Spanning Tree</t>
        </is>
      </c>
      <c r="C642" s="3" t="inlineStr">
        <is>
          <t>Union Find Applications</t>
        </is>
      </c>
      <c r="D642" s="2" t="inlineStr">
        <is>
          <t>500B</t>
        </is>
      </c>
      <c r="E642" s="2" t="n">
        <v>500</v>
      </c>
      <c r="F642" s="2" t="inlineStr">
        <is>
          <t>B</t>
        </is>
      </c>
      <c r="G642" s="3" t="inlineStr">
        <is>
          <t>New Year Permutation</t>
        </is>
      </c>
      <c r="H642" s="2" t="n">
        <v>1600</v>
      </c>
      <c r="I642" s="9" t="inlineStr">
        <is>
          <t>Medium+</t>
        </is>
      </c>
      <c r="J642" s="3" t="inlineStr">
        <is>
          <t>dfs and similar, dsu, graphs, greedy, math, sortings</t>
        </is>
      </c>
      <c r="K642" s="2" t="n">
        <v>40</v>
      </c>
      <c r="L642" s="2" t="n">
        <v>35</v>
      </c>
      <c r="M642" s="5" t="inlineStr">
        <is>
          <t>https://codeforces.com/problemset/problem/500/B</t>
        </is>
      </c>
      <c r="N642" s="3" t="n"/>
    </row>
    <row r="643" ht="20.1" customHeight="1">
      <c r="A643" s="6" t="inlineStr">
        <is>
          <t>Unsolved</t>
        </is>
      </c>
      <c r="B643" s="7" t="inlineStr">
        <is>
          <t>DSU &amp; Minimum Spanning Tree</t>
        </is>
      </c>
      <c r="C643" s="7" t="inlineStr">
        <is>
          <t>Union Find Applications</t>
        </is>
      </c>
      <c r="D643" s="6" t="inlineStr">
        <is>
          <t>653D</t>
        </is>
      </c>
      <c r="E643" s="6" t="n">
        <v>653</v>
      </c>
      <c r="F643" s="6" t="inlineStr">
        <is>
          <t>D</t>
        </is>
      </c>
      <c r="G643" s="7" t="inlineStr">
        <is>
          <t>Delivery Bears</t>
        </is>
      </c>
      <c r="H643" s="6" t="n">
        <v>2200</v>
      </c>
      <c r="I643" s="12" t="inlineStr">
        <is>
          <t>Expert</t>
        </is>
      </c>
      <c r="J643" s="7" t="inlineStr">
        <is>
          <t>binary search, flows, graphs</t>
        </is>
      </c>
      <c r="K643" s="6" t="n">
        <v>90</v>
      </c>
      <c r="L643" s="6" t="n">
        <v>80</v>
      </c>
      <c r="M643" s="8" t="inlineStr">
        <is>
          <t>https://codeforces.com/problemset/problem/653/D</t>
        </is>
      </c>
      <c r="N643" s="7" t="n"/>
    </row>
    <row r="644" ht="20.1" customHeight="1">
      <c r="A644" s="2" t="inlineStr">
        <is>
          <t>Unsolved</t>
        </is>
      </c>
      <c r="B644" s="3" t="inlineStr">
        <is>
          <t>DSU &amp; Minimum Spanning Tree</t>
        </is>
      </c>
      <c r="C644" s="3" t="inlineStr">
        <is>
          <t>Union Find Applications</t>
        </is>
      </c>
      <c r="D644" s="2" t="inlineStr">
        <is>
          <t>891C</t>
        </is>
      </c>
      <c r="E644" s="2" t="n">
        <v>891</v>
      </c>
      <c r="F644" s="2" t="inlineStr">
        <is>
          <t>C</t>
        </is>
      </c>
      <c r="G644" s="3" t="inlineStr">
        <is>
          <t>Envy</t>
        </is>
      </c>
      <c r="H644" s="2" t="n">
        <v>2300</v>
      </c>
      <c r="I644" s="12" t="inlineStr">
        <is>
          <t>Expert</t>
        </is>
      </c>
      <c r="J644" s="3" t="inlineStr">
        <is>
          <t>data structures, dsu, graphs</t>
        </is>
      </c>
      <c r="K644" s="2" t="n">
        <v>120</v>
      </c>
      <c r="L644" s="2" t="n">
        <v>110</v>
      </c>
      <c r="M644" s="5" t="inlineStr">
        <is>
          <t>https://codeforces.com/problemset/problem/891/C</t>
        </is>
      </c>
      <c r="N644" s="3" t="n"/>
    </row>
    <row r="645" ht="20.1" customHeight="1">
      <c r="A645" s="6" t="inlineStr">
        <is>
          <t>Unsolved</t>
        </is>
      </c>
      <c r="B645" s="7" t="inlineStr">
        <is>
          <t>DSU &amp; Minimum Spanning Tree</t>
        </is>
      </c>
      <c r="C645" s="7" t="inlineStr">
        <is>
          <t>Union Find Applications</t>
        </is>
      </c>
      <c r="D645" s="6" t="inlineStr">
        <is>
          <t>1131D</t>
        </is>
      </c>
      <c r="E645" s="6" t="n">
        <v>1131</v>
      </c>
      <c r="F645" s="6" t="inlineStr">
        <is>
          <t>D</t>
        </is>
      </c>
      <c r="G645" s="7" t="inlineStr">
        <is>
          <t>Gourmet choice</t>
        </is>
      </c>
      <c r="H645" s="6" t="n">
        <v>2000</v>
      </c>
      <c r="I645" s="10" t="inlineStr">
        <is>
          <t>Hard+</t>
        </is>
      </c>
      <c r="J645" s="7" t="inlineStr">
        <is>
          <t>dfs and similar, dp, dsu, graphs, greedy</t>
        </is>
      </c>
      <c r="K645" s="6" t="n">
        <v>90</v>
      </c>
      <c r="L645" s="6" t="n">
        <v>80</v>
      </c>
      <c r="M645" s="8" t="inlineStr">
        <is>
          <t>https://codeforces.com/problemset/problem/1131/D</t>
        </is>
      </c>
      <c r="N645" s="7" t="n"/>
    </row>
    <row r="646" ht="20.1" customHeight="1">
      <c r="A646" s="2" t="inlineStr">
        <is>
          <t>Unsolved</t>
        </is>
      </c>
      <c r="B646" s="3" t="inlineStr">
        <is>
          <t>DSU &amp; Minimum Spanning Tree</t>
        </is>
      </c>
      <c r="C646" s="3" t="inlineStr">
        <is>
          <t>Union Find Applications</t>
        </is>
      </c>
      <c r="D646" s="2" t="inlineStr">
        <is>
          <t>1253D</t>
        </is>
      </c>
      <c r="E646" s="2" t="n">
        <v>1253</v>
      </c>
      <c r="F646" s="2" t="inlineStr">
        <is>
          <t>D</t>
        </is>
      </c>
      <c r="G646" s="3" t="inlineStr">
        <is>
          <t>Harmonious Graph</t>
        </is>
      </c>
      <c r="H646" s="2" t="n">
        <v>1700</v>
      </c>
      <c r="I646" s="10" t="inlineStr">
        <is>
          <t>Hard</t>
        </is>
      </c>
      <c r="J646" s="3" t="inlineStr">
        <is>
          <t>constructive algorithms, dfs and similar, dsu, graphs, greedy, sortings</t>
        </is>
      </c>
      <c r="K646" s="2" t="n">
        <v>60</v>
      </c>
      <c r="L646" s="2" t="n">
        <v>55</v>
      </c>
      <c r="M646" s="5" t="inlineStr">
        <is>
          <t>https://codeforces.com/problemset/problem/1253/D</t>
        </is>
      </c>
      <c r="N646" s="3" t="n"/>
    </row>
    <row r="647" ht="20.1" customHeight="1">
      <c r="A647" s="6" t="inlineStr">
        <is>
          <t>Unsolved</t>
        </is>
      </c>
      <c r="B647" s="7" t="inlineStr">
        <is>
          <t>DSU &amp; Minimum Spanning Tree</t>
        </is>
      </c>
      <c r="C647" s="7" t="inlineStr">
        <is>
          <t>Union Find Applications</t>
        </is>
      </c>
      <c r="D647" s="6" t="inlineStr">
        <is>
          <t>1466F</t>
        </is>
      </c>
      <c r="E647" s="6" t="n">
        <v>1466</v>
      </c>
      <c r="F647" s="6" t="inlineStr">
        <is>
          <t>F</t>
        </is>
      </c>
      <c r="G647" s="7" t="inlineStr">
        <is>
          <t>Euclid's nightmare</t>
        </is>
      </c>
      <c r="H647" s="6" t="n">
        <v>2100</v>
      </c>
      <c r="I647" s="12" t="inlineStr">
        <is>
          <t>Expert</t>
        </is>
      </c>
      <c r="J647" s="7" t="inlineStr">
        <is>
          <t>bitmasks, dfs and similar, dsu, graphs, greedy, math, sortings</t>
        </is>
      </c>
      <c r="K647" s="6" t="n">
        <v>90</v>
      </c>
      <c r="L647" s="6" t="n">
        <v>80</v>
      </c>
      <c r="M647" s="8" t="inlineStr">
        <is>
          <t>https://codeforces.com/problemset/problem/1466/F</t>
        </is>
      </c>
      <c r="N647" s="7" t="n"/>
    </row>
    <row r="648" ht="20.1" customHeight="1">
      <c r="A648" s="2" t="inlineStr">
        <is>
          <t>Unsolved</t>
        </is>
      </c>
      <c r="B648" s="3" t="inlineStr">
        <is>
          <t>DSU &amp; Minimum Spanning Tree</t>
        </is>
      </c>
      <c r="C648" s="3" t="inlineStr">
        <is>
          <t>Kruskal's MST</t>
        </is>
      </c>
      <c r="D648" s="2" t="inlineStr">
        <is>
          <t>1095F</t>
        </is>
      </c>
      <c r="E648" s="2" t="n">
        <v>1095</v>
      </c>
      <c r="F648" s="2" t="inlineStr">
        <is>
          <t>F</t>
        </is>
      </c>
      <c r="G648" s="3" t="inlineStr">
        <is>
          <t>Make It Connected</t>
        </is>
      </c>
      <c r="H648" s="2" t="n">
        <v>1900</v>
      </c>
      <c r="I648" s="10" t="inlineStr">
        <is>
          <t>Hard+</t>
        </is>
      </c>
      <c r="J648" s="3" t="inlineStr">
        <is>
          <t>dsu, graphs, greedy</t>
        </is>
      </c>
      <c r="K648" s="2" t="n">
        <v>60</v>
      </c>
      <c r="L648" s="2" t="n">
        <v>55</v>
      </c>
      <c r="M648" s="5" t="inlineStr">
        <is>
          <t>https://codeforces.com/problemset/problem/1095/F</t>
        </is>
      </c>
      <c r="N648" s="3" t="n"/>
    </row>
    <row r="649" ht="20.1" customHeight="1">
      <c r="A649" s="6" t="inlineStr">
        <is>
          <t>Unsolved</t>
        </is>
      </c>
      <c r="B649" s="7" t="inlineStr">
        <is>
          <t>DSU &amp; Minimum Spanning Tree</t>
        </is>
      </c>
      <c r="C649" s="7" t="inlineStr">
        <is>
          <t>Kruskal's MST</t>
        </is>
      </c>
      <c r="D649" s="6" t="inlineStr">
        <is>
          <t>1245D</t>
        </is>
      </c>
      <c r="E649" s="6" t="n">
        <v>1245</v>
      </c>
      <c r="F649" s="6" t="inlineStr">
        <is>
          <t>D</t>
        </is>
      </c>
      <c r="G649" s="7" t="inlineStr">
        <is>
          <t>Shichikuji and Power Grid</t>
        </is>
      </c>
      <c r="H649" s="6" t="n">
        <v>1900</v>
      </c>
      <c r="I649" s="10" t="inlineStr">
        <is>
          <t>Hard+</t>
        </is>
      </c>
      <c r="J649" s="7" t="inlineStr">
        <is>
          <t>dsu, graphs, greedy, shortest paths, trees</t>
        </is>
      </c>
      <c r="K649" s="6" t="n">
        <v>60</v>
      </c>
      <c r="L649" s="6" t="n">
        <v>55</v>
      </c>
      <c r="M649" s="8" t="inlineStr">
        <is>
          <t>https://codeforces.com/problemset/problem/1245/D</t>
        </is>
      </c>
      <c r="N649" s="7" t="n"/>
    </row>
    <row r="650" ht="20.1" customHeight="1">
      <c r="A650" s="2" t="inlineStr">
        <is>
          <t>Unsolved</t>
        </is>
      </c>
      <c r="B650" s="3" t="inlineStr">
        <is>
          <t>DSU &amp; Minimum Spanning Tree</t>
        </is>
      </c>
      <c r="C650" s="3" t="inlineStr">
        <is>
          <t>Kruskal's MST</t>
        </is>
      </c>
      <c r="D650" s="2" t="inlineStr">
        <is>
          <t>1468J</t>
        </is>
      </c>
      <c r="E650" s="2" t="n">
        <v>1468</v>
      </c>
      <c r="F650" s="2" t="inlineStr">
        <is>
          <t>J</t>
        </is>
      </c>
      <c r="G650" s="3" t="inlineStr">
        <is>
          <t>Road Reform</t>
        </is>
      </c>
      <c r="H650" s="2" t="n">
        <v>1800</v>
      </c>
      <c r="I650" s="10" t="inlineStr">
        <is>
          <t>Hard</t>
        </is>
      </c>
      <c r="J650" s="3" t="inlineStr">
        <is>
          <t>dsu, graphs, greedy</t>
        </is>
      </c>
      <c r="K650" s="2" t="n">
        <v>60</v>
      </c>
      <c r="L650" s="2" t="n">
        <v>55</v>
      </c>
      <c r="M650" s="5" t="inlineStr">
        <is>
          <t>https://codeforces.com/problemset/problem/1468/J</t>
        </is>
      </c>
      <c r="N650" s="3" t="n"/>
    </row>
    <row r="651" ht="20.1" customHeight="1">
      <c r="A651" s="6" t="inlineStr">
        <is>
          <t>Unsolved</t>
        </is>
      </c>
      <c r="B651" s="7" t="inlineStr">
        <is>
          <t>DSU &amp; Minimum Spanning Tree</t>
        </is>
      </c>
      <c r="C651" s="7" t="inlineStr">
        <is>
          <t>Kruskal's MST</t>
        </is>
      </c>
      <c r="D651" s="6" t="inlineStr">
        <is>
          <t>160D</t>
        </is>
      </c>
      <c r="E651" s="6" t="n">
        <v>160</v>
      </c>
      <c r="F651" s="6" t="inlineStr">
        <is>
          <t>D</t>
        </is>
      </c>
      <c r="G651" s="7" t="inlineStr">
        <is>
          <t>Edges in MST</t>
        </is>
      </c>
      <c r="H651" s="6" t="n">
        <v>2300</v>
      </c>
      <c r="I651" s="12" t="inlineStr">
        <is>
          <t>Expert</t>
        </is>
      </c>
      <c r="J651" s="7" t="inlineStr">
        <is>
          <t>dfs and similar, dsu, graphs, sortings</t>
        </is>
      </c>
      <c r="K651" s="6" t="n">
        <v>120</v>
      </c>
      <c r="L651" s="6" t="n">
        <v>110</v>
      </c>
      <c r="M651" s="8" t="inlineStr">
        <is>
          <t>https://codeforces.com/problemset/problem/160/D</t>
        </is>
      </c>
      <c r="N651" s="7" t="n"/>
    </row>
    <row r="652" ht="20.1" customHeight="1">
      <c r="A652" s="2" t="inlineStr">
        <is>
          <t>Unsolved</t>
        </is>
      </c>
      <c r="B652" s="3" t="inlineStr">
        <is>
          <t>DSU &amp; Minimum Spanning Tree</t>
        </is>
      </c>
      <c r="C652" s="3" t="inlineStr">
        <is>
          <t>Offline DSU</t>
        </is>
      </c>
      <c r="D652" s="2" t="inlineStr">
        <is>
          <t>1416D</t>
        </is>
      </c>
      <c r="E652" s="2" t="n">
        <v>1416</v>
      </c>
      <c r="F652" s="2" t="inlineStr">
        <is>
          <t>D</t>
        </is>
      </c>
      <c r="G652" s="3" t="inlineStr">
        <is>
          <t>Graph and Queries</t>
        </is>
      </c>
      <c r="H652" s="2" t="n">
        <v>2600</v>
      </c>
      <c r="I652" s="12" t="inlineStr">
        <is>
          <t>Master</t>
        </is>
      </c>
      <c r="J652" s="3" t="inlineStr">
        <is>
          <t>data structures, dsu, graphs, implementation, trees</t>
        </is>
      </c>
      <c r="K652" s="2" t="n">
        <v>180</v>
      </c>
      <c r="L652" s="2" t="n">
        <v>150</v>
      </c>
      <c r="M652" s="5" t="inlineStr">
        <is>
          <t>https://codeforces.com/problemset/problem/1416/D</t>
        </is>
      </c>
      <c r="N652" s="3" t="n"/>
    </row>
    <row r="653" ht="20.1" customHeight="1">
      <c r="A653" s="6" t="inlineStr">
        <is>
          <t>Unsolved</t>
        </is>
      </c>
      <c r="B653" s="7" t="inlineStr">
        <is>
          <t>DSU &amp; Minimum Spanning Tree</t>
        </is>
      </c>
      <c r="C653" s="7" t="inlineStr">
        <is>
          <t>Offline DSU</t>
        </is>
      </c>
      <c r="D653" s="6" t="inlineStr">
        <is>
          <t>1559D1</t>
        </is>
      </c>
      <c r="E653" s="6" t="n">
        <v>1559</v>
      </c>
      <c r="F653" s="6" t="inlineStr">
        <is>
          <t>D1</t>
        </is>
      </c>
      <c r="G653" s="7" t="inlineStr">
        <is>
          <t>Mocha and Diana (Easy Version)</t>
        </is>
      </c>
      <c r="H653" s="6" t="n">
        <v>1400</v>
      </c>
      <c r="I653" s="9" t="inlineStr">
        <is>
          <t>Medium</t>
        </is>
      </c>
      <c r="J653" s="7" t="inlineStr">
        <is>
          <t>brute force, constructive algorithms, dsu, graphs, greedy, trees</t>
        </is>
      </c>
      <c r="K653" s="6" t="n">
        <v>40</v>
      </c>
      <c r="L653" s="6" t="n">
        <v>35</v>
      </c>
      <c r="M653" s="8" t="inlineStr">
        <is>
          <t>https://codeforces.com/problemset/problem/1559/D1</t>
        </is>
      </c>
      <c r="N653" s="7" t="n"/>
    </row>
    <row r="654" ht="20.1" customHeight="1">
      <c r="A654" s="2" t="inlineStr">
        <is>
          <t>Unsolved</t>
        </is>
      </c>
      <c r="B654" s="3" t="inlineStr">
        <is>
          <t>DSU &amp; Minimum Spanning Tree</t>
        </is>
      </c>
      <c r="C654" s="3" t="inlineStr">
        <is>
          <t>Offline DSU</t>
        </is>
      </c>
      <c r="D654" s="2" t="inlineStr">
        <is>
          <t>1559D2</t>
        </is>
      </c>
      <c r="E654" s="2" t="n">
        <v>1559</v>
      </c>
      <c r="F654" s="2" t="inlineStr">
        <is>
          <t>D2</t>
        </is>
      </c>
      <c r="G654" s="3" t="inlineStr">
        <is>
          <t>Mocha and Diana (Hard Version)</t>
        </is>
      </c>
      <c r="H654" s="2" t="n">
        <v>2500</v>
      </c>
      <c r="I654" s="12" t="inlineStr">
        <is>
          <t>Master</t>
        </is>
      </c>
      <c r="J654" s="3" t="inlineStr">
        <is>
          <t>brute force, constructive algorithms, dfs and similar, dsu, graphs, greedy, trees, two pointers</t>
        </is>
      </c>
      <c r="K654" s="2" t="n">
        <v>120</v>
      </c>
      <c r="L654" s="2" t="n">
        <v>110</v>
      </c>
      <c r="M654" s="5" t="inlineStr">
        <is>
          <t>https://codeforces.com/problemset/problem/1559/D2</t>
        </is>
      </c>
      <c r="N654" s="3" t="n"/>
    </row>
    <row r="655" ht="20.1" customHeight="1">
      <c r="A655" s="6" t="inlineStr">
        <is>
          <t>Unsolved</t>
        </is>
      </c>
      <c r="B655" s="7" t="inlineStr">
        <is>
          <t>Dynamic Programming</t>
        </is>
      </c>
      <c r="C655" s="7" t="inlineStr">
        <is>
          <t>Introduction to DP (1D DP)</t>
        </is>
      </c>
      <c r="D655" s="6" t="inlineStr">
        <is>
          <t>189A</t>
        </is>
      </c>
      <c r="E655" s="6" t="n">
        <v>189</v>
      </c>
      <c r="F655" s="6" t="inlineStr">
        <is>
          <t>A</t>
        </is>
      </c>
      <c r="G655" s="7" t="inlineStr">
        <is>
          <t>Cut Ribbon</t>
        </is>
      </c>
      <c r="H655" s="6" t="n">
        <v>1300</v>
      </c>
      <c r="I655" s="9" t="inlineStr">
        <is>
          <t>Medium</t>
        </is>
      </c>
      <c r="J655" s="7" t="inlineStr">
        <is>
          <t>brute force, dp</t>
        </is>
      </c>
      <c r="K655" s="6" t="n">
        <v>25</v>
      </c>
      <c r="L655" s="6" t="n">
        <v>20</v>
      </c>
      <c r="M655" s="8" t="inlineStr">
        <is>
          <t>https://codeforces.com/problemset/problem/189/A</t>
        </is>
      </c>
      <c r="N655" s="7" t="n"/>
    </row>
    <row r="656" ht="20.1" customHeight="1">
      <c r="A656" s="2" t="inlineStr">
        <is>
          <t>Unsolved</t>
        </is>
      </c>
      <c r="B656" s="3" t="inlineStr">
        <is>
          <t>Dynamic Programming</t>
        </is>
      </c>
      <c r="C656" s="3" t="inlineStr">
        <is>
          <t>Introduction to DP (1D DP)</t>
        </is>
      </c>
      <c r="D656" s="2" t="inlineStr">
        <is>
          <t>455A</t>
        </is>
      </c>
      <c r="E656" s="2" t="n">
        <v>455</v>
      </c>
      <c r="F656" s="2" t="inlineStr">
        <is>
          <t>A</t>
        </is>
      </c>
      <c r="G656" s="3" t="inlineStr">
        <is>
          <t>Boredom</t>
        </is>
      </c>
      <c r="H656" s="2" t="n">
        <v>1500</v>
      </c>
      <c r="I656" s="9" t="inlineStr">
        <is>
          <t>Medium+</t>
        </is>
      </c>
      <c r="J656" s="3" t="inlineStr">
        <is>
          <t>dp</t>
        </is>
      </c>
      <c r="K656" s="2" t="n">
        <v>40</v>
      </c>
      <c r="L656" s="2" t="n">
        <v>35</v>
      </c>
      <c r="M656" s="5" t="inlineStr">
        <is>
          <t>https://codeforces.com/problemset/problem/455/A</t>
        </is>
      </c>
      <c r="N656" s="3" t="n"/>
    </row>
    <row r="657" ht="20.1" customHeight="1">
      <c r="A657" s="6" t="inlineStr">
        <is>
          <t>Unsolved</t>
        </is>
      </c>
      <c r="B657" s="7" t="inlineStr">
        <is>
          <t>Dynamic Programming</t>
        </is>
      </c>
      <c r="C657" s="7" t="inlineStr">
        <is>
          <t>Introduction to DP (1D DP)</t>
        </is>
      </c>
      <c r="D657" s="6" t="inlineStr">
        <is>
          <t>474D</t>
        </is>
      </c>
      <c r="E657" s="6" t="n">
        <v>474</v>
      </c>
      <c r="F657" s="6" t="inlineStr">
        <is>
          <t>D</t>
        </is>
      </c>
      <c r="G657" s="7" t="inlineStr">
        <is>
          <t>Flowers</t>
        </is>
      </c>
      <c r="H657" s="6" t="n">
        <v>1700</v>
      </c>
      <c r="I657" s="10" t="inlineStr">
        <is>
          <t>Hard</t>
        </is>
      </c>
      <c r="J657" s="7" t="inlineStr">
        <is>
          <t>dp</t>
        </is>
      </c>
      <c r="K657" s="6" t="n">
        <v>60</v>
      </c>
      <c r="L657" s="6" t="n">
        <v>55</v>
      </c>
      <c r="M657" s="8" t="inlineStr">
        <is>
          <t>https://codeforces.com/problemset/problem/474/D</t>
        </is>
      </c>
      <c r="N657" s="7" t="n"/>
    </row>
    <row r="658" ht="20.1" customHeight="1">
      <c r="A658" s="2" t="inlineStr">
        <is>
          <t>Unsolved</t>
        </is>
      </c>
      <c r="B658" s="3" t="inlineStr">
        <is>
          <t>Dynamic Programming</t>
        </is>
      </c>
      <c r="C658" s="3" t="inlineStr">
        <is>
          <t>Introduction to DP (1D DP)</t>
        </is>
      </c>
      <c r="D658" s="2" t="inlineStr">
        <is>
          <t>698A</t>
        </is>
      </c>
      <c r="E658" s="2" t="n">
        <v>698</v>
      </c>
      <c r="F658" s="2" t="inlineStr">
        <is>
          <t>A</t>
        </is>
      </c>
      <c r="G658" s="3" t="inlineStr">
        <is>
          <t>Vacations</t>
        </is>
      </c>
      <c r="H658" s="2" t="n">
        <v>1400</v>
      </c>
      <c r="I658" s="9" t="inlineStr">
        <is>
          <t>Medium</t>
        </is>
      </c>
      <c r="J658" s="3" t="inlineStr">
        <is>
          <t>dp</t>
        </is>
      </c>
      <c r="K658" s="2" t="n">
        <v>40</v>
      </c>
      <c r="L658" s="2" t="n">
        <v>35</v>
      </c>
      <c r="M658" s="5" t="inlineStr">
        <is>
          <t>https://codeforces.com/problemset/problem/698/A</t>
        </is>
      </c>
      <c r="N658" s="3" t="n"/>
    </row>
    <row r="659" ht="20.1" customHeight="1">
      <c r="A659" s="6" t="inlineStr">
        <is>
          <t>Unsolved</t>
        </is>
      </c>
      <c r="B659" s="7" t="inlineStr">
        <is>
          <t>Dynamic Programming</t>
        </is>
      </c>
      <c r="C659" s="7" t="inlineStr">
        <is>
          <t>Introduction to DP (1D DP)</t>
        </is>
      </c>
      <c r="D659" s="6" t="inlineStr">
        <is>
          <t>706C</t>
        </is>
      </c>
      <c r="E659" s="6" t="n">
        <v>706</v>
      </c>
      <c r="F659" s="6" t="inlineStr">
        <is>
          <t>C</t>
        </is>
      </c>
      <c r="G659" s="7" t="inlineStr">
        <is>
          <t>Hard problem</t>
        </is>
      </c>
      <c r="H659" s="6" t="n">
        <v>1600</v>
      </c>
      <c r="I659" s="9" t="inlineStr">
        <is>
          <t>Medium+</t>
        </is>
      </c>
      <c r="J659" s="7" t="inlineStr">
        <is>
          <t>dp, strings</t>
        </is>
      </c>
      <c r="K659" s="6" t="n">
        <v>40</v>
      </c>
      <c r="L659" s="6" t="n">
        <v>35</v>
      </c>
      <c r="M659" s="8" t="inlineStr">
        <is>
          <t>https://codeforces.com/problemset/problem/706/C</t>
        </is>
      </c>
      <c r="N659" s="7" t="n"/>
    </row>
    <row r="660" ht="20.1" customHeight="1">
      <c r="A660" s="2" t="inlineStr">
        <is>
          <t>Unsolved</t>
        </is>
      </c>
      <c r="B660" s="3" t="inlineStr">
        <is>
          <t>Dynamic Programming</t>
        </is>
      </c>
      <c r="C660" s="3" t="inlineStr">
        <is>
          <t>Introduction to DP (1D DP)</t>
        </is>
      </c>
      <c r="D660" s="2" t="inlineStr">
        <is>
          <t>1249E</t>
        </is>
      </c>
      <c r="E660" s="2" t="n">
        <v>1249</v>
      </c>
      <c r="F660" s="2" t="inlineStr">
        <is>
          <t>E</t>
        </is>
      </c>
      <c r="G660" s="3" t="inlineStr">
        <is>
          <t>By Elevator or Stairs?</t>
        </is>
      </c>
      <c r="H660" s="2" t="n">
        <v>1700</v>
      </c>
      <c r="I660" s="10" t="inlineStr">
        <is>
          <t>Hard</t>
        </is>
      </c>
      <c r="J660" s="3" t="inlineStr">
        <is>
          <t>dp, shortest paths</t>
        </is>
      </c>
      <c r="K660" s="2" t="n">
        <v>60</v>
      </c>
      <c r="L660" s="2" t="n">
        <v>55</v>
      </c>
      <c r="M660" s="5" t="inlineStr">
        <is>
          <t>https://codeforces.com/problemset/problem/1249/E</t>
        </is>
      </c>
      <c r="N660" s="3" t="n"/>
    </row>
    <row r="661" ht="20.1" customHeight="1">
      <c r="A661" s="6" t="inlineStr">
        <is>
          <t>Unsolved</t>
        </is>
      </c>
      <c r="B661" s="7" t="inlineStr">
        <is>
          <t>Dynamic Programming</t>
        </is>
      </c>
      <c r="C661" s="7" t="inlineStr">
        <is>
          <t>Introduction to DP (1D DP)</t>
        </is>
      </c>
      <c r="D661" s="6" t="inlineStr">
        <is>
          <t>1282B2</t>
        </is>
      </c>
      <c r="E661" s="6" t="n">
        <v>1282</v>
      </c>
      <c r="F661" s="6" t="inlineStr">
        <is>
          <t>B2</t>
        </is>
      </c>
      <c r="G661" s="7" t="inlineStr">
        <is>
          <t>K for the Price of One (Hard Version)</t>
        </is>
      </c>
      <c r="H661" s="6" t="n">
        <v>1600</v>
      </c>
      <c r="I661" s="9" t="inlineStr">
        <is>
          <t>Medium+</t>
        </is>
      </c>
      <c r="J661" s="7" t="inlineStr">
        <is>
          <t>dp, greedy, sortings</t>
        </is>
      </c>
      <c r="K661" s="6" t="n">
        <v>40</v>
      </c>
      <c r="L661" s="6" t="n">
        <v>35</v>
      </c>
      <c r="M661" s="8" t="inlineStr">
        <is>
          <t>https://codeforces.com/problemset/problem/1282/B2</t>
        </is>
      </c>
      <c r="N661" s="7" t="n"/>
    </row>
    <row r="662" ht="20.1" customHeight="1">
      <c r="A662" s="2" t="inlineStr">
        <is>
          <t>Unsolved</t>
        </is>
      </c>
      <c r="B662" s="3" t="inlineStr">
        <is>
          <t>Dynamic Programming</t>
        </is>
      </c>
      <c r="C662" s="3" t="inlineStr">
        <is>
          <t>Introduction to DP (1D DP)</t>
        </is>
      </c>
      <c r="D662" s="2" t="inlineStr">
        <is>
          <t>1355A</t>
        </is>
      </c>
      <c r="E662" s="2" t="n">
        <v>1355</v>
      </c>
      <c r="F662" s="2" t="inlineStr">
        <is>
          <t>A</t>
        </is>
      </c>
      <c r="G662" s="3" t="inlineStr">
        <is>
          <t>Sequence with Digits</t>
        </is>
      </c>
      <c r="H662" s="2" t="n">
        <v>1200</v>
      </c>
      <c r="I662" s="4" t="inlineStr">
        <is>
          <t>Easy+</t>
        </is>
      </c>
      <c r="J662" s="3" t="inlineStr">
        <is>
          <t>brute force, implementation, math</t>
        </is>
      </c>
      <c r="K662" s="2" t="n">
        <v>25</v>
      </c>
      <c r="L662" s="2" t="n">
        <v>20</v>
      </c>
      <c r="M662" s="5" t="inlineStr">
        <is>
          <t>https://codeforces.com/problemset/problem/1355/A</t>
        </is>
      </c>
      <c r="N662" s="3" t="n"/>
    </row>
    <row r="663" ht="20.1" customHeight="1">
      <c r="A663" s="6" t="inlineStr">
        <is>
          <t>Unsolved</t>
        </is>
      </c>
      <c r="B663" s="7" t="inlineStr">
        <is>
          <t>Dynamic Programming</t>
        </is>
      </c>
      <c r="C663" s="7" t="inlineStr">
        <is>
          <t>Introduction to DP (1D DP)</t>
        </is>
      </c>
      <c r="D663" s="6" t="inlineStr">
        <is>
          <t>1359C</t>
        </is>
      </c>
      <c r="E663" s="6" t="n">
        <v>1359</v>
      </c>
      <c r="F663" s="6" t="inlineStr">
        <is>
          <t>C</t>
        </is>
      </c>
      <c r="G663" s="7" t="inlineStr">
        <is>
          <t>Mixing Water</t>
        </is>
      </c>
      <c r="H663" s="6" t="n">
        <v>1700</v>
      </c>
      <c r="I663" s="10" t="inlineStr">
        <is>
          <t>Hard</t>
        </is>
      </c>
      <c r="J663" s="7" t="inlineStr">
        <is>
          <t>binary search, math</t>
        </is>
      </c>
      <c r="K663" s="6" t="n">
        <v>60</v>
      </c>
      <c r="L663" s="6" t="n">
        <v>55</v>
      </c>
      <c r="M663" s="8" t="inlineStr">
        <is>
          <t>https://codeforces.com/problemset/problem/1359/C</t>
        </is>
      </c>
      <c r="N663" s="7" t="n"/>
    </row>
    <row r="664" ht="20.1" customHeight="1">
      <c r="A664" s="2" t="inlineStr">
        <is>
          <t>Unsolved</t>
        </is>
      </c>
      <c r="B664" s="3" t="inlineStr">
        <is>
          <t>Dynamic Programming</t>
        </is>
      </c>
      <c r="C664" s="3" t="inlineStr">
        <is>
          <t>Introduction to DP (1D DP)</t>
        </is>
      </c>
      <c r="D664" s="2" t="inlineStr">
        <is>
          <t>1455D</t>
        </is>
      </c>
      <c r="E664" s="2" t="n">
        <v>1455</v>
      </c>
      <c r="F664" s="2" t="inlineStr">
        <is>
          <t>D</t>
        </is>
      </c>
      <c r="G664" s="3" t="inlineStr">
        <is>
          <t>Sequence and Swaps</t>
        </is>
      </c>
      <c r="H664" s="2" t="n">
        <v>1600</v>
      </c>
      <c r="I664" s="9" t="inlineStr">
        <is>
          <t>Medium+</t>
        </is>
      </c>
      <c r="J664" s="3" t="inlineStr">
        <is>
          <t>dp, greedy, sortings</t>
        </is>
      </c>
      <c r="K664" s="2" t="n">
        <v>40</v>
      </c>
      <c r="L664" s="2" t="n">
        <v>35</v>
      </c>
      <c r="M664" s="5" t="inlineStr">
        <is>
          <t>https://codeforces.com/problemset/problem/1455/D</t>
        </is>
      </c>
      <c r="N664" s="3" t="n"/>
    </row>
    <row r="665" ht="20.1" customHeight="1">
      <c r="A665" s="6" t="inlineStr">
        <is>
          <t>Unsolved</t>
        </is>
      </c>
      <c r="B665" s="7" t="inlineStr">
        <is>
          <t>Dynamic Programming</t>
        </is>
      </c>
      <c r="C665" s="7" t="inlineStr">
        <is>
          <t>Introduction to DP (1D DP)</t>
        </is>
      </c>
      <c r="D665" s="6" t="inlineStr">
        <is>
          <t>1467C</t>
        </is>
      </c>
      <c r="E665" s="6" t="n">
        <v>1467</v>
      </c>
      <c r="F665" s="6" t="inlineStr">
        <is>
          <t>C</t>
        </is>
      </c>
      <c r="G665" s="7" t="inlineStr">
        <is>
          <t>Three Bags</t>
        </is>
      </c>
      <c r="H665" s="6" t="n">
        <v>1900</v>
      </c>
      <c r="I665" s="10" t="inlineStr">
        <is>
          <t>Hard+</t>
        </is>
      </c>
      <c r="J665" s="7" t="inlineStr">
        <is>
          <t>constructive algorithms, greedy</t>
        </is>
      </c>
      <c r="K665" s="6" t="n">
        <v>60</v>
      </c>
      <c r="L665" s="6" t="n">
        <v>55</v>
      </c>
      <c r="M665" s="8" t="inlineStr">
        <is>
          <t>https://codeforces.com/problemset/problem/1467/C</t>
        </is>
      </c>
      <c r="N665" s="7" t="n"/>
    </row>
    <row r="666" ht="20.1" customHeight="1">
      <c r="A666" s="2" t="inlineStr">
        <is>
          <t>Unsolved</t>
        </is>
      </c>
      <c r="B666" s="3" t="inlineStr">
        <is>
          <t>Dynamic Programming</t>
        </is>
      </c>
      <c r="C666" s="3" t="inlineStr">
        <is>
          <t>Introduction to DP (1D DP)</t>
        </is>
      </c>
      <c r="D666" s="2" t="inlineStr">
        <is>
          <t>1472C</t>
        </is>
      </c>
      <c r="E666" s="2" t="n">
        <v>1472</v>
      </c>
      <c r="F666" s="2" t="inlineStr">
        <is>
          <t>C</t>
        </is>
      </c>
      <c r="G666" s="3" t="inlineStr">
        <is>
          <t>Long Jumps</t>
        </is>
      </c>
      <c r="H666" s="2" t="n">
        <v>1100</v>
      </c>
      <c r="I666" s="4" t="inlineStr">
        <is>
          <t>Easy+</t>
        </is>
      </c>
      <c r="J666" s="3" t="inlineStr">
        <is>
          <t>dp, graphs</t>
        </is>
      </c>
      <c r="K666" s="2" t="n">
        <v>25</v>
      </c>
      <c r="L666" s="2" t="n">
        <v>20</v>
      </c>
      <c r="M666" s="5" t="inlineStr">
        <is>
          <t>https://codeforces.com/problemset/problem/1472/C</t>
        </is>
      </c>
      <c r="N666" s="3" t="n"/>
    </row>
    <row r="667" ht="20.1" customHeight="1">
      <c r="A667" s="6" t="inlineStr">
        <is>
          <t>Unsolved</t>
        </is>
      </c>
      <c r="B667" s="7" t="inlineStr">
        <is>
          <t>Dynamic Programming</t>
        </is>
      </c>
      <c r="C667" s="7" t="inlineStr">
        <is>
          <t>Introduction to DP (1D DP)</t>
        </is>
      </c>
      <c r="D667" s="6" t="inlineStr">
        <is>
          <t>1525D</t>
        </is>
      </c>
      <c r="E667" s="6" t="n">
        <v>1525</v>
      </c>
      <c r="F667" s="6" t="inlineStr">
        <is>
          <t>D</t>
        </is>
      </c>
      <c r="G667" s="7" t="inlineStr">
        <is>
          <t>Armchairs</t>
        </is>
      </c>
      <c r="H667" s="6" t="n">
        <v>1800</v>
      </c>
      <c r="I667" s="10" t="inlineStr">
        <is>
          <t>Hard</t>
        </is>
      </c>
      <c r="J667" s="7" t="inlineStr">
        <is>
          <t>dp, flows, graph matchings, greedy</t>
        </is>
      </c>
      <c r="K667" s="6" t="n">
        <v>60</v>
      </c>
      <c r="L667" s="6" t="n">
        <v>55</v>
      </c>
      <c r="M667" s="8" t="inlineStr">
        <is>
          <t>https://codeforces.com/problemset/problem/1525/D</t>
        </is>
      </c>
      <c r="N667" s="7" t="n"/>
    </row>
    <row r="668" ht="20.1" customHeight="1">
      <c r="A668" s="2" t="inlineStr">
        <is>
          <t>Unsolved</t>
        </is>
      </c>
      <c r="B668" s="3" t="inlineStr">
        <is>
          <t>Dynamic Programming</t>
        </is>
      </c>
      <c r="C668" s="3" t="inlineStr">
        <is>
          <t>Knapsack DP</t>
        </is>
      </c>
      <c r="D668" s="2" t="inlineStr">
        <is>
          <t>366C</t>
        </is>
      </c>
      <c r="E668" s="2" t="n">
        <v>366</v>
      </c>
      <c r="F668" s="2" t="inlineStr">
        <is>
          <t>C</t>
        </is>
      </c>
      <c r="G668" s="3" t="inlineStr">
        <is>
          <t>Dima and Salad</t>
        </is>
      </c>
      <c r="H668" s="2" t="n">
        <v>1900</v>
      </c>
      <c r="I668" s="10" t="inlineStr">
        <is>
          <t>Hard+</t>
        </is>
      </c>
      <c r="J668" s="3" t="inlineStr">
        <is>
          <t>dp</t>
        </is>
      </c>
      <c r="K668" s="2" t="n">
        <v>60</v>
      </c>
      <c r="L668" s="2" t="n">
        <v>55</v>
      </c>
      <c r="M668" s="5" t="inlineStr">
        <is>
          <t>https://codeforces.com/problemset/problem/366/C</t>
        </is>
      </c>
      <c r="N668" s="3" t="n"/>
    </row>
    <row r="669" ht="20.1" customHeight="1">
      <c r="A669" s="6" t="inlineStr">
        <is>
          <t>Unsolved</t>
        </is>
      </c>
      <c r="B669" s="7" t="inlineStr">
        <is>
          <t>Dynamic Programming</t>
        </is>
      </c>
      <c r="C669" s="7" t="inlineStr">
        <is>
          <t>Knapsack DP</t>
        </is>
      </c>
      <c r="D669" s="6" t="inlineStr">
        <is>
          <t>543A</t>
        </is>
      </c>
      <c r="E669" s="6" t="n">
        <v>543</v>
      </c>
      <c r="F669" s="6" t="inlineStr">
        <is>
          <t>A</t>
        </is>
      </c>
      <c r="G669" s="7" t="inlineStr">
        <is>
          <t>Writing Code</t>
        </is>
      </c>
      <c r="H669" s="6" t="n">
        <v>1800</v>
      </c>
      <c r="I669" s="10" t="inlineStr">
        <is>
          <t>Hard</t>
        </is>
      </c>
      <c r="J669" s="7" t="inlineStr">
        <is>
          <t>dp</t>
        </is>
      </c>
      <c r="K669" s="6" t="n">
        <v>60</v>
      </c>
      <c r="L669" s="6" t="n">
        <v>55</v>
      </c>
      <c r="M669" s="8" t="inlineStr">
        <is>
          <t>https://codeforces.com/problemset/problem/543/A</t>
        </is>
      </c>
      <c r="N669" s="7" t="n"/>
    </row>
    <row r="670" ht="20.1" customHeight="1">
      <c r="A670" s="2" t="inlineStr">
        <is>
          <t>Unsolved</t>
        </is>
      </c>
      <c r="B670" s="3" t="inlineStr">
        <is>
          <t>Dynamic Programming</t>
        </is>
      </c>
      <c r="C670" s="3" t="inlineStr">
        <is>
          <t>Knapsack DP</t>
        </is>
      </c>
      <c r="D670" s="2" t="inlineStr">
        <is>
          <t>837D</t>
        </is>
      </c>
      <c r="E670" s="2" t="n">
        <v>837</v>
      </c>
      <c r="F670" s="2" t="inlineStr">
        <is>
          <t>D</t>
        </is>
      </c>
      <c r="G670" s="3" t="inlineStr">
        <is>
          <t>Round Subset</t>
        </is>
      </c>
      <c r="H670" s="2" t="n">
        <v>2100</v>
      </c>
      <c r="I670" s="12" t="inlineStr">
        <is>
          <t>Expert</t>
        </is>
      </c>
      <c r="J670" s="3" t="inlineStr">
        <is>
          <t>dp, math</t>
        </is>
      </c>
      <c r="K670" s="2" t="n">
        <v>90</v>
      </c>
      <c r="L670" s="2" t="n">
        <v>80</v>
      </c>
      <c r="M670" s="5" t="inlineStr">
        <is>
          <t>https://codeforces.com/problemset/problem/837/D</t>
        </is>
      </c>
      <c r="N670" s="3" t="n"/>
    </row>
    <row r="671" ht="20.1" customHeight="1">
      <c r="A671" s="6" t="inlineStr">
        <is>
          <t>Unsolved</t>
        </is>
      </c>
      <c r="B671" s="7" t="inlineStr">
        <is>
          <t>Dynamic Programming</t>
        </is>
      </c>
      <c r="C671" s="7" t="inlineStr">
        <is>
          <t>Knapsack DP</t>
        </is>
      </c>
      <c r="D671" s="6" t="inlineStr">
        <is>
          <t>1155D</t>
        </is>
      </c>
      <c r="E671" s="6" t="n">
        <v>1155</v>
      </c>
      <c r="F671" s="6" t="inlineStr">
        <is>
          <t>D</t>
        </is>
      </c>
      <c r="G671" s="7" t="inlineStr">
        <is>
          <t>Beautiful Array</t>
        </is>
      </c>
      <c r="H671" s="6" t="n">
        <v>1900</v>
      </c>
      <c r="I671" s="10" t="inlineStr">
        <is>
          <t>Hard+</t>
        </is>
      </c>
      <c r="J671" s="7" t="inlineStr">
        <is>
          <t>brute force, data structures, divide and conquer, dp, greedy</t>
        </is>
      </c>
      <c r="K671" s="6" t="n">
        <v>60</v>
      </c>
      <c r="L671" s="6" t="n">
        <v>55</v>
      </c>
      <c r="M671" s="8" t="inlineStr">
        <is>
          <t>https://codeforces.com/problemset/problem/1155/D</t>
        </is>
      </c>
      <c r="N671" s="7" t="n"/>
    </row>
    <row r="672" ht="20.1" customHeight="1">
      <c r="A672" s="2" t="inlineStr">
        <is>
          <t>Unsolved</t>
        </is>
      </c>
      <c r="B672" s="3" t="inlineStr">
        <is>
          <t>Dynamic Programming</t>
        </is>
      </c>
      <c r="C672" s="3" t="inlineStr">
        <is>
          <t>Knapsack DP</t>
        </is>
      </c>
      <c r="D672" s="2" t="inlineStr">
        <is>
          <t>1433F</t>
        </is>
      </c>
      <c r="E672" s="2" t="n">
        <v>1433</v>
      </c>
      <c r="F672" s="2" t="inlineStr">
        <is>
          <t>F</t>
        </is>
      </c>
      <c r="G672" s="3" t="inlineStr">
        <is>
          <t xml:space="preserve">Zero Remainder Sum </t>
        </is>
      </c>
      <c r="H672" s="2" t="n">
        <v>2100</v>
      </c>
      <c r="I672" s="12" t="inlineStr">
        <is>
          <t>Expert</t>
        </is>
      </c>
      <c r="J672" s="3" t="inlineStr">
        <is>
          <t>dp</t>
        </is>
      </c>
      <c r="K672" s="2" t="n">
        <v>90</v>
      </c>
      <c r="L672" s="2" t="n">
        <v>80</v>
      </c>
      <c r="M672" s="5" t="inlineStr">
        <is>
          <t>https://codeforces.com/problemset/problem/1433/F</t>
        </is>
      </c>
      <c r="N672" s="3" t="n"/>
    </row>
    <row r="673" ht="20.1" customHeight="1">
      <c r="A673" s="6" t="inlineStr">
        <is>
          <t>Unsolved</t>
        </is>
      </c>
      <c r="B673" s="7" t="inlineStr">
        <is>
          <t>Dynamic Programming</t>
        </is>
      </c>
      <c r="C673" s="7" t="inlineStr">
        <is>
          <t>Knapsack DP</t>
        </is>
      </c>
      <c r="D673" s="6" t="inlineStr">
        <is>
          <t>1458B</t>
        </is>
      </c>
      <c r="E673" s="6" t="n">
        <v>1458</v>
      </c>
      <c r="F673" s="6" t="inlineStr">
        <is>
          <t>B</t>
        </is>
      </c>
      <c r="G673" s="7" t="inlineStr">
        <is>
          <t>Glass Half Spilled</t>
        </is>
      </c>
      <c r="H673" s="6" t="n">
        <v>2000</v>
      </c>
      <c r="I673" s="10" t="inlineStr">
        <is>
          <t>Hard+</t>
        </is>
      </c>
      <c r="J673" s="7" t="inlineStr">
        <is>
          <t>dp</t>
        </is>
      </c>
      <c r="K673" s="6" t="n">
        <v>90</v>
      </c>
      <c r="L673" s="6" t="n">
        <v>80</v>
      </c>
      <c r="M673" s="8" t="inlineStr">
        <is>
          <t>https://codeforces.com/problemset/problem/1458/B</t>
        </is>
      </c>
      <c r="N673" s="7" t="n"/>
    </row>
    <row r="674" ht="20.1" customHeight="1">
      <c r="A674" s="2" t="inlineStr">
        <is>
          <t>Unsolved</t>
        </is>
      </c>
      <c r="B674" s="3" t="inlineStr">
        <is>
          <t>Dynamic Programming</t>
        </is>
      </c>
      <c r="C674" s="3" t="inlineStr">
        <is>
          <t>Knapsack DP</t>
        </is>
      </c>
      <c r="D674" s="2" t="inlineStr">
        <is>
          <t>148E</t>
        </is>
      </c>
      <c r="E674" s="2" t="n">
        <v>148</v>
      </c>
      <c r="F674" s="2" t="inlineStr">
        <is>
          <t>E</t>
        </is>
      </c>
      <c r="G674" s="3" t="inlineStr">
        <is>
          <t>Porcelain</t>
        </is>
      </c>
      <c r="H674" s="2" t="n">
        <v>1900</v>
      </c>
      <c r="I674" s="10" t="inlineStr">
        <is>
          <t>Hard+</t>
        </is>
      </c>
      <c r="J674" s="3" t="inlineStr">
        <is>
          <t>dp</t>
        </is>
      </c>
      <c r="K674" s="2" t="n">
        <v>60</v>
      </c>
      <c r="L674" s="2" t="n">
        <v>55</v>
      </c>
      <c r="M674" s="5" t="inlineStr">
        <is>
          <t>https://codeforces.com/problemset/problem/148/E</t>
        </is>
      </c>
      <c r="N674" s="3" t="n"/>
    </row>
    <row r="675" ht="20.1" customHeight="1">
      <c r="A675" s="6" t="inlineStr">
        <is>
          <t>Unsolved</t>
        </is>
      </c>
      <c r="B675" s="7" t="inlineStr">
        <is>
          <t>Dynamic Programming</t>
        </is>
      </c>
      <c r="C675" s="7" t="inlineStr">
        <is>
          <t>Knapsack DP</t>
        </is>
      </c>
      <c r="D675" s="6" t="inlineStr">
        <is>
          <t>1633D</t>
        </is>
      </c>
      <c r="E675" s="6" t="n">
        <v>1633</v>
      </c>
      <c r="F675" s="6" t="inlineStr">
        <is>
          <t>D</t>
        </is>
      </c>
      <c r="G675" s="7" t="inlineStr">
        <is>
          <t>Make Them Equal</t>
        </is>
      </c>
      <c r="H675" s="6" t="n">
        <v>1600</v>
      </c>
      <c r="I675" s="9" t="inlineStr">
        <is>
          <t>Medium+</t>
        </is>
      </c>
      <c r="J675" s="7" t="inlineStr">
        <is>
          <t>dp, greedy</t>
        </is>
      </c>
      <c r="K675" s="6" t="n">
        <v>40</v>
      </c>
      <c r="L675" s="6" t="n">
        <v>35</v>
      </c>
      <c r="M675" s="8" t="inlineStr">
        <is>
          <t>https://codeforces.com/problemset/problem/1633/D</t>
        </is>
      </c>
      <c r="N675" s="7" t="n"/>
    </row>
    <row r="676" ht="20.1" customHeight="1">
      <c r="A676" s="2" t="inlineStr">
        <is>
          <t>Unsolved</t>
        </is>
      </c>
      <c r="B676" s="3" t="inlineStr">
        <is>
          <t>Dynamic Programming</t>
        </is>
      </c>
      <c r="C676" s="3" t="inlineStr">
        <is>
          <t>Grid DP</t>
        </is>
      </c>
      <c r="D676" s="2" t="inlineStr">
        <is>
          <t>2B</t>
        </is>
      </c>
      <c r="E676" s="2" t="n">
        <v>2</v>
      </c>
      <c r="F676" s="2" t="inlineStr">
        <is>
          <t>B</t>
        </is>
      </c>
      <c r="G676" s="3" t="inlineStr">
        <is>
          <t>The least round way</t>
        </is>
      </c>
      <c r="H676" s="2" t="n">
        <v>2000</v>
      </c>
      <c r="I676" s="10" t="inlineStr">
        <is>
          <t>Hard+</t>
        </is>
      </c>
      <c r="J676" s="3" t="inlineStr">
        <is>
          <t>dp, math</t>
        </is>
      </c>
      <c r="K676" s="2" t="n">
        <v>90</v>
      </c>
      <c r="L676" s="2" t="n">
        <v>80</v>
      </c>
      <c r="M676" s="5" t="inlineStr">
        <is>
          <t>https://codeforces.com/problemset/problem/2/B</t>
        </is>
      </c>
      <c r="N676" s="3" t="n"/>
    </row>
    <row r="677" ht="20.1" customHeight="1">
      <c r="A677" s="6" t="inlineStr">
        <is>
          <t>Unsolved</t>
        </is>
      </c>
      <c r="B677" s="7" t="inlineStr">
        <is>
          <t>Dynamic Programming</t>
        </is>
      </c>
      <c r="C677" s="7" t="inlineStr">
        <is>
          <t>Grid DP</t>
        </is>
      </c>
      <c r="D677" s="6" t="inlineStr">
        <is>
          <t>429B</t>
        </is>
      </c>
      <c r="E677" s="6" t="n">
        <v>429</v>
      </c>
      <c r="F677" s="6" t="inlineStr">
        <is>
          <t>B</t>
        </is>
      </c>
      <c r="G677" s="7" t="inlineStr">
        <is>
          <t>Working out</t>
        </is>
      </c>
      <c r="H677" s="6" t="n">
        <v>1600</v>
      </c>
      <c r="I677" s="9" t="inlineStr">
        <is>
          <t>Medium+</t>
        </is>
      </c>
      <c r="J677" s="7" t="inlineStr">
        <is>
          <t>dp</t>
        </is>
      </c>
      <c r="K677" s="6" t="n">
        <v>40</v>
      </c>
      <c r="L677" s="6" t="n">
        <v>35</v>
      </c>
      <c r="M677" s="8" t="inlineStr">
        <is>
          <t>https://codeforces.com/problemset/problem/429/B</t>
        </is>
      </c>
      <c r="N677" s="7" t="n"/>
    </row>
    <row r="678" ht="20.1" customHeight="1">
      <c r="A678" s="2" t="inlineStr">
        <is>
          <t>Unsolved</t>
        </is>
      </c>
      <c r="B678" s="3" t="inlineStr">
        <is>
          <t>Dynamic Programming</t>
        </is>
      </c>
      <c r="C678" s="3" t="inlineStr">
        <is>
          <t>Grid DP</t>
        </is>
      </c>
      <c r="D678" s="2" t="inlineStr">
        <is>
          <t>677D</t>
        </is>
      </c>
      <c r="E678" s="2" t="n">
        <v>677</v>
      </c>
      <c r="F678" s="2" t="inlineStr">
        <is>
          <t>D</t>
        </is>
      </c>
      <c r="G678" s="3" t="inlineStr">
        <is>
          <t>Vanya and Treasure</t>
        </is>
      </c>
      <c r="H678" s="2" t="n">
        <v>2300</v>
      </c>
      <c r="I678" s="12" t="inlineStr">
        <is>
          <t>Expert</t>
        </is>
      </c>
      <c r="J678" s="3" t="inlineStr">
        <is>
          <t>data structures, dp, graphs, shortest paths</t>
        </is>
      </c>
      <c r="K678" s="2" t="n">
        <v>120</v>
      </c>
      <c r="L678" s="2" t="n">
        <v>110</v>
      </c>
      <c r="M678" s="5" t="inlineStr">
        <is>
          <t>https://codeforces.com/problemset/problem/677/D</t>
        </is>
      </c>
      <c r="N678" s="3" t="n"/>
    </row>
    <row r="679" ht="20.1" customHeight="1">
      <c r="A679" s="6" t="inlineStr">
        <is>
          <t>Unsolved</t>
        </is>
      </c>
      <c r="B679" s="7" t="inlineStr">
        <is>
          <t>Dynamic Programming</t>
        </is>
      </c>
      <c r="C679" s="7" t="inlineStr">
        <is>
          <t>Grid DP</t>
        </is>
      </c>
      <c r="D679" s="6" t="inlineStr">
        <is>
          <t>864E</t>
        </is>
      </c>
      <c r="E679" s="6" t="n">
        <v>864</v>
      </c>
      <c r="F679" s="6" t="inlineStr">
        <is>
          <t>E</t>
        </is>
      </c>
      <c r="G679" s="7" t="inlineStr">
        <is>
          <t>Fire</t>
        </is>
      </c>
      <c r="H679" s="6" t="n">
        <v>2000</v>
      </c>
      <c r="I679" s="10" t="inlineStr">
        <is>
          <t>Hard+</t>
        </is>
      </c>
      <c r="J679" s="7" t="inlineStr">
        <is>
          <t>dp, sortings</t>
        </is>
      </c>
      <c r="K679" s="6" t="n">
        <v>90</v>
      </c>
      <c r="L679" s="6" t="n">
        <v>80</v>
      </c>
      <c r="M679" s="8" t="inlineStr">
        <is>
          <t>https://codeforces.com/problemset/problem/864/E</t>
        </is>
      </c>
      <c r="N679" s="7" t="n"/>
    </row>
    <row r="680" ht="20.1" customHeight="1">
      <c r="A680" s="2" t="inlineStr">
        <is>
          <t>Unsolved</t>
        </is>
      </c>
      <c r="B680" s="3" t="inlineStr">
        <is>
          <t>Dynamic Programming</t>
        </is>
      </c>
      <c r="C680" s="3" t="inlineStr">
        <is>
          <t>Grid DP</t>
        </is>
      </c>
      <c r="D680" s="2" t="inlineStr">
        <is>
          <t>954F</t>
        </is>
      </c>
      <c r="E680" s="2" t="n">
        <v>954</v>
      </c>
      <c r="F680" s="2" t="inlineStr">
        <is>
          <t>F</t>
        </is>
      </c>
      <c r="G680" s="3" t="inlineStr">
        <is>
          <t>Runner's Problem</t>
        </is>
      </c>
      <c r="H680" s="2" t="n">
        <v>2100</v>
      </c>
      <c r="I680" s="12" t="inlineStr">
        <is>
          <t>Expert</t>
        </is>
      </c>
      <c r="J680" s="3" t="inlineStr">
        <is>
          <t>dp, matrices, sortings</t>
        </is>
      </c>
      <c r="K680" s="2" t="n">
        <v>90</v>
      </c>
      <c r="L680" s="2" t="n">
        <v>80</v>
      </c>
      <c r="M680" s="5" t="inlineStr">
        <is>
          <t>https://codeforces.com/problemset/problem/954/F</t>
        </is>
      </c>
      <c r="N680" s="3" t="n"/>
    </row>
    <row r="681" ht="20.1" customHeight="1">
      <c r="A681" s="6" t="inlineStr">
        <is>
          <t>Unsolved</t>
        </is>
      </c>
      <c r="B681" s="7" t="inlineStr">
        <is>
          <t>Dynamic Programming</t>
        </is>
      </c>
      <c r="C681" s="7" t="inlineStr">
        <is>
          <t>Grid DP</t>
        </is>
      </c>
      <c r="D681" s="6" t="inlineStr">
        <is>
          <t>1246C</t>
        </is>
      </c>
      <c r="E681" s="6" t="n">
        <v>1246</v>
      </c>
      <c r="F681" s="6" t="inlineStr">
        <is>
          <t>C</t>
        </is>
      </c>
      <c r="G681" s="7" t="inlineStr">
        <is>
          <t>UNKNOWN</t>
        </is>
      </c>
      <c r="H681" s="6" t="inlineStr">
        <is>
          <t>UNKNOWN</t>
        </is>
      </c>
      <c r="I681" s="11" t="inlineStr">
        <is>
          <t>UNKNOWN</t>
        </is>
      </c>
      <c r="J681" s="7" t="inlineStr">
        <is>
          <t>UNKNOWN</t>
        </is>
      </c>
      <c r="K681" s="6" t="n">
        <v>0</v>
      </c>
      <c r="L681" s="6" t="n">
        <v>0</v>
      </c>
      <c r="M681" s="8" t="inlineStr">
        <is>
          <t>https://codeforces.com/problemset/problem/1246/C</t>
        </is>
      </c>
      <c r="N681" s="7" t="n"/>
    </row>
    <row r="682" ht="20.1" customHeight="1">
      <c r="A682" s="2" t="inlineStr">
        <is>
          <t>Unsolved</t>
        </is>
      </c>
      <c r="B682" s="3" t="inlineStr">
        <is>
          <t>Dynamic Programming</t>
        </is>
      </c>
      <c r="C682" s="3" t="inlineStr">
        <is>
          <t>Grid DP</t>
        </is>
      </c>
      <c r="D682" s="2" t="inlineStr">
        <is>
          <t>1353F</t>
        </is>
      </c>
      <c r="E682" s="2" t="n">
        <v>1353</v>
      </c>
      <c r="F682" s="2" t="inlineStr">
        <is>
          <t>F</t>
        </is>
      </c>
      <c r="G682" s="3" t="inlineStr">
        <is>
          <t>Decreasing Heights</t>
        </is>
      </c>
      <c r="H682" s="2" t="n">
        <v>2200</v>
      </c>
      <c r="I682" s="12" t="inlineStr">
        <is>
          <t>Expert</t>
        </is>
      </c>
      <c r="J682" s="3" t="inlineStr">
        <is>
          <t>brute force, dp</t>
        </is>
      </c>
      <c r="K682" s="2" t="n">
        <v>90</v>
      </c>
      <c r="L682" s="2" t="n">
        <v>80</v>
      </c>
      <c r="M682" s="5" t="inlineStr">
        <is>
          <t>https://codeforces.com/problemset/problem/1353/F</t>
        </is>
      </c>
      <c r="N682" s="3" t="n"/>
    </row>
    <row r="683" ht="20.1" customHeight="1">
      <c r="A683" s="6" t="inlineStr">
        <is>
          <t>Unsolved</t>
        </is>
      </c>
      <c r="B683" s="7" t="inlineStr">
        <is>
          <t>Dynamic Programming</t>
        </is>
      </c>
      <c r="C683" s="7" t="inlineStr">
        <is>
          <t>Grid DP</t>
        </is>
      </c>
      <c r="D683" s="6" t="inlineStr">
        <is>
          <t>1391D</t>
        </is>
      </c>
      <c r="E683" s="6" t="n">
        <v>1391</v>
      </c>
      <c r="F683" s="6" t="inlineStr">
        <is>
          <t>D</t>
        </is>
      </c>
      <c r="G683" s="7" t="inlineStr">
        <is>
          <t>505</t>
        </is>
      </c>
      <c r="H683" s="6" t="n">
        <v>2000</v>
      </c>
      <c r="I683" s="10" t="inlineStr">
        <is>
          <t>Hard+</t>
        </is>
      </c>
      <c r="J683" s="7" t="inlineStr">
        <is>
          <t>bitmasks, brute force, constructive algorithms, dp, greedy, implementation</t>
        </is>
      </c>
      <c r="K683" s="6" t="n">
        <v>90</v>
      </c>
      <c r="L683" s="6" t="n">
        <v>80</v>
      </c>
      <c r="M683" s="8" t="inlineStr">
        <is>
          <t>https://codeforces.com/problemset/problem/1391/D</t>
        </is>
      </c>
      <c r="N683" s="7" t="n"/>
    </row>
    <row r="684" ht="20.1" customHeight="1">
      <c r="A684" s="2" t="inlineStr">
        <is>
          <t>Unsolved</t>
        </is>
      </c>
      <c r="B684" s="3" t="inlineStr">
        <is>
          <t>Dynamic Programming</t>
        </is>
      </c>
      <c r="C684" s="3" t="inlineStr">
        <is>
          <t>Grid DP</t>
        </is>
      </c>
      <c r="D684" s="2" t="inlineStr">
        <is>
          <t>1525E</t>
        </is>
      </c>
      <c r="E684" s="2" t="n">
        <v>1525</v>
      </c>
      <c r="F684" s="2" t="inlineStr">
        <is>
          <t>E</t>
        </is>
      </c>
      <c r="G684" s="3" t="inlineStr">
        <is>
          <t>Assimilation IV</t>
        </is>
      </c>
      <c r="H684" s="2" t="n">
        <v>2100</v>
      </c>
      <c r="I684" s="12" t="inlineStr">
        <is>
          <t>Expert</t>
        </is>
      </c>
      <c r="J684" s="3" t="inlineStr">
        <is>
          <t>combinatorics, dp, math, probabilities, two pointers</t>
        </is>
      </c>
      <c r="K684" s="2" t="n">
        <v>90</v>
      </c>
      <c r="L684" s="2" t="n">
        <v>80</v>
      </c>
      <c r="M684" s="5" t="inlineStr">
        <is>
          <t>https://codeforces.com/problemset/problem/1525/E</t>
        </is>
      </c>
      <c r="N684" s="3" t="n"/>
    </row>
    <row r="685" ht="20.1" customHeight="1">
      <c r="A685" s="6" t="inlineStr">
        <is>
          <t>Unsolved</t>
        </is>
      </c>
      <c r="B685" s="7" t="inlineStr">
        <is>
          <t>Dynamic Programming</t>
        </is>
      </c>
      <c r="C685" s="7" t="inlineStr">
        <is>
          <t>Interval DP</t>
        </is>
      </c>
      <c r="D685" s="6" t="inlineStr">
        <is>
          <t>607B</t>
        </is>
      </c>
      <c r="E685" s="6" t="n">
        <v>607</v>
      </c>
      <c r="F685" s="6" t="inlineStr">
        <is>
          <t>B</t>
        </is>
      </c>
      <c r="G685" s="7" t="inlineStr">
        <is>
          <t>Zuma</t>
        </is>
      </c>
      <c r="H685" s="6" t="n">
        <v>1900</v>
      </c>
      <c r="I685" s="10" t="inlineStr">
        <is>
          <t>Hard+</t>
        </is>
      </c>
      <c r="J685" s="7" t="inlineStr">
        <is>
          <t>dp</t>
        </is>
      </c>
      <c r="K685" s="6" t="n">
        <v>60</v>
      </c>
      <c r="L685" s="6" t="n">
        <v>55</v>
      </c>
      <c r="M685" s="8" t="inlineStr">
        <is>
          <t>https://codeforces.com/problemset/problem/607/B</t>
        </is>
      </c>
      <c r="N685" s="7" t="n"/>
    </row>
    <row r="686" ht="20.1" customHeight="1">
      <c r="A686" s="2" t="inlineStr">
        <is>
          <t>Unsolved</t>
        </is>
      </c>
      <c r="B686" s="3" t="inlineStr">
        <is>
          <t>Dynamic Programming</t>
        </is>
      </c>
      <c r="C686" s="3" t="inlineStr">
        <is>
          <t>Interval DP</t>
        </is>
      </c>
      <c r="D686" s="2" t="inlineStr">
        <is>
          <t>1132C</t>
        </is>
      </c>
      <c r="E686" s="2" t="n">
        <v>1132</v>
      </c>
      <c r="F686" s="2" t="inlineStr">
        <is>
          <t>C</t>
        </is>
      </c>
      <c r="G686" s="3" t="inlineStr">
        <is>
          <t>Painting the Fence</t>
        </is>
      </c>
      <c r="H686" s="2" t="n">
        <v>1700</v>
      </c>
      <c r="I686" s="10" t="inlineStr">
        <is>
          <t>Hard</t>
        </is>
      </c>
      <c r="J686" s="3" t="inlineStr">
        <is>
          <t>brute force</t>
        </is>
      </c>
      <c r="K686" s="2" t="n">
        <v>60</v>
      </c>
      <c r="L686" s="2" t="n">
        <v>55</v>
      </c>
      <c r="M686" s="5" t="inlineStr">
        <is>
          <t>https://codeforces.com/problemset/problem/1132/C</t>
        </is>
      </c>
      <c r="N686" s="3" t="n"/>
    </row>
    <row r="687" ht="20.1" customHeight="1">
      <c r="A687" s="6" t="inlineStr">
        <is>
          <t>Unsolved</t>
        </is>
      </c>
      <c r="B687" s="7" t="inlineStr">
        <is>
          <t>Dynamic Programming</t>
        </is>
      </c>
      <c r="C687" s="7" t="inlineStr">
        <is>
          <t>Interval DP</t>
        </is>
      </c>
      <c r="D687" s="6" t="inlineStr">
        <is>
          <t>1312E</t>
        </is>
      </c>
      <c r="E687" s="6" t="n">
        <v>1312</v>
      </c>
      <c r="F687" s="6" t="inlineStr">
        <is>
          <t>E</t>
        </is>
      </c>
      <c r="G687" s="7" t="inlineStr">
        <is>
          <t>Array Shrinking</t>
        </is>
      </c>
      <c r="H687" s="6" t="n">
        <v>2100</v>
      </c>
      <c r="I687" s="12" t="inlineStr">
        <is>
          <t>Expert</t>
        </is>
      </c>
      <c r="J687" s="7" t="inlineStr">
        <is>
          <t>dp, greedy</t>
        </is>
      </c>
      <c r="K687" s="6" t="n">
        <v>90</v>
      </c>
      <c r="L687" s="6" t="n">
        <v>80</v>
      </c>
      <c r="M687" s="8" t="inlineStr">
        <is>
          <t>https://codeforces.com/problemset/problem/1312/E</t>
        </is>
      </c>
      <c r="N687" s="7" t="n"/>
    </row>
    <row r="688" ht="20.1" customHeight="1">
      <c r="A688" s="2" t="inlineStr">
        <is>
          <t>Unsolved</t>
        </is>
      </c>
      <c r="B688" s="3" t="inlineStr">
        <is>
          <t>Dynamic Programming</t>
        </is>
      </c>
      <c r="C688" s="3" t="inlineStr">
        <is>
          <t>Interval DP</t>
        </is>
      </c>
      <c r="D688" s="2" t="inlineStr">
        <is>
          <t>1509C</t>
        </is>
      </c>
      <c r="E688" s="2" t="n">
        <v>1509</v>
      </c>
      <c r="F688" s="2" t="inlineStr">
        <is>
          <t>C</t>
        </is>
      </c>
      <c r="G688" s="3" t="inlineStr">
        <is>
          <t>The Sports Festival</t>
        </is>
      </c>
      <c r="H688" s="2" t="n">
        <v>1800</v>
      </c>
      <c r="I688" s="10" t="inlineStr">
        <is>
          <t>Hard</t>
        </is>
      </c>
      <c r="J688" s="3" t="inlineStr">
        <is>
          <t>dp, greedy</t>
        </is>
      </c>
      <c r="K688" s="2" t="n">
        <v>60</v>
      </c>
      <c r="L688" s="2" t="n">
        <v>55</v>
      </c>
      <c r="M688" s="5" t="inlineStr">
        <is>
          <t>https://codeforces.com/problemset/problem/1509/C</t>
        </is>
      </c>
      <c r="N688" s="3" t="n"/>
    </row>
    <row r="689" ht="20.1" customHeight="1">
      <c r="A689" s="6" t="inlineStr">
        <is>
          <t>Unsolved</t>
        </is>
      </c>
      <c r="B689" s="7" t="inlineStr">
        <is>
          <t>Dynamic Programming</t>
        </is>
      </c>
      <c r="C689" s="7" t="inlineStr">
        <is>
          <t>Interval DP</t>
        </is>
      </c>
      <c r="D689" s="6" t="inlineStr">
        <is>
          <t>1527E</t>
        </is>
      </c>
      <c r="E689" s="6" t="n">
        <v>1527</v>
      </c>
      <c r="F689" s="6" t="inlineStr">
        <is>
          <t>E</t>
        </is>
      </c>
      <c r="G689" s="7" t="inlineStr">
        <is>
          <t>Partition Game</t>
        </is>
      </c>
      <c r="H689" s="6" t="n">
        <v>2500</v>
      </c>
      <c r="I689" s="12" t="inlineStr">
        <is>
          <t>Master</t>
        </is>
      </c>
      <c r="J689" s="7" t="inlineStr">
        <is>
          <t>binary search, data structures, divide and conquer, dp</t>
        </is>
      </c>
      <c r="K689" s="6" t="n">
        <v>120</v>
      </c>
      <c r="L689" s="6" t="n">
        <v>110</v>
      </c>
      <c r="M689" s="8" t="inlineStr">
        <is>
          <t>https://codeforces.com/problemset/problem/1527/E</t>
        </is>
      </c>
      <c r="N689" s="7" t="n"/>
    </row>
    <row r="690" ht="20.1" customHeight="1">
      <c r="A690" s="2" t="inlineStr">
        <is>
          <t>Unsolved</t>
        </is>
      </c>
      <c r="B690" s="3" t="inlineStr">
        <is>
          <t>Dynamic Programming</t>
        </is>
      </c>
      <c r="C690" s="3" t="inlineStr">
        <is>
          <t>Interval DP</t>
        </is>
      </c>
      <c r="D690" s="2" t="inlineStr">
        <is>
          <t>1771D</t>
        </is>
      </c>
      <c r="E690" s="2" t="n">
        <v>1771</v>
      </c>
      <c r="F690" s="2" t="inlineStr">
        <is>
          <t>D</t>
        </is>
      </c>
      <c r="G690" s="3" t="inlineStr">
        <is>
          <t>Hossam and (sub-)palindromic tree</t>
        </is>
      </c>
      <c r="H690" s="2" t="n">
        <v>2100</v>
      </c>
      <c r="I690" s="12" t="inlineStr">
        <is>
          <t>Expert</t>
        </is>
      </c>
      <c r="J690" s="3" t="inlineStr">
        <is>
          <t>brute force, data structures, dfs and similar, dp, strings, trees</t>
        </is>
      </c>
      <c r="K690" s="2" t="n">
        <v>90</v>
      </c>
      <c r="L690" s="2" t="n">
        <v>80</v>
      </c>
      <c r="M690" s="5" t="inlineStr">
        <is>
          <t>https://codeforces.com/problemset/problem/1771/D</t>
        </is>
      </c>
      <c r="N690" s="3" t="n"/>
    </row>
    <row r="691" ht="20.1" customHeight="1">
      <c r="A691" s="6" t="inlineStr">
        <is>
          <t>Unsolved</t>
        </is>
      </c>
      <c r="B691" s="7" t="inlineStr">
        <is>
          <t>Dynamic Programming</t>
        </is>
      </c>
      <c r="C691" s="7" t="inlineStr">
        <is>
          <t>Digit DP</t>
        </is>
      </c>
      <c r="D691" s="6" t="inlineStr">
        <is>
          <t>55D</t>
        </is>
      </c>
      <c r="E691" s="6" t="n">
        <v>55</v>
      </c>
      <c r="F691" s="6" t="inlineStr">
        <is>
          <t>D</t>
        </is>
      </c>
      <c r="G691" s="7" t="inlineStr">
        <is>
          <t>Beautiful numbers</t>
        </is>
      </c>
      <c r="H691" s="6" t="n">
        <v>2500</v>
      </c>
      <c r="I691" s="12" t="inlineStr">
        <is>
          <t>Master</t>
        </is>
      </c>
      <c r="J691" s="7" t="inlineStr">
        <is>
          <t>dp, number theory</t>
        </is>
      </c>
      <c r="K691" s="6" t="n">
        <v>120</v>
      </c>
      <c r="L691" s="6" t="n">
        <v>110</v>
      </c>
      <c r="M691" s="8" t="inlineStr">
        <is>
          <t>https://codeforces.com/problemset/problem/55/D</t>
        </is>
      </c>
      <c r="N691" s="7" t="n"/>
    </row>
    <row r="692" ht="20.1" customHeight="1">
      <c r="A692" s="2" t="inlineStr">
        <is>
          <t>Unsolved</t>
        </is>
      </c>
      <c r="B692" s="3" t="inlineStr">
        <is>
          <t>Dynamic Programming</t>
        </is>
      </c>
      <c r="C692" s="3" t="inlineStr">
        <is>
          <t>Digit DP</t>
        </is>
      </c>
      <c r="D692" s="2" t="inlineStr">
        <is>
          <t>1036C</t>
        </is>
      </c>
      <c r="E692" s="2" t="n">
        <v>1036</v>
      </c>
      <c r="F692" s="2" t="inlineStr">
        <is>
          <t>C</t>
        </is>
      </c>
      <c r="G692" s="3" t="inlineStr">
        <is>
          <t>Classy Numbers</t>
        </is>
      </c>
      <c r="H692" s="2" t="n">
        <v>1900</v>
      </c>
      <c r="I692" s="10" t="inlineStr">
        <is>
          <t>Hard+</t>
        </is>
      </c>
      <c r="J692" s="3" t="inlineStr">
        <is>
          <t>combinatorics, dp</t>
        </is>
      </c>
      <c r="K692" s="2" t="n">
        <v>60</v>
      </c>
      <c r="L692" s="2" t="n">
        <v>55</v>
      </c>
      <c r="M692" s="5" t="inlineStr">
        <is>
          <t>https://codeforces.com/problemset/problem/1036/C</t>
        </is>
      </c>
      <c r="N692" s="3" t="n"/>
    </row>
    <row r="693" ht="20.1" customHeight="1">
      <c r="A693" s="6" t="inlineStr">
        <is>
          <t>Unsolved</t>
        </is>
      </c>
      <c r="B693" s="7" t="inlineStr">
        <is>
          <t>Dynamic Programming</t>
        </is>
      </c>
      <c r="C693" s="7" t="inlineStr">
        <is>
          <t>Digit DP</t>
        </is>
      </c>
      <c r="D693" s="6" t="inlineStr">
        <is>
          <t>431D</t>
        </is>
      </c>
      <c r="E693" s="6" t="n">
        <v>431</v>
      </c>
      <c r="F693" s="6" t="inlineStr">
        <is>
          <t>D</t>
        </is>
      </c>
      <c r="G693" s="7" t="inlineStr">
        <is>
          <t>Random Task</t>
        </is>
      </c>
      <c r="H693" s="6" t="n">
        <v>2100</v>
      </c>
      <c r="I693" s="12" t="inlineStr">
        <is>
          <t>Expert</t>
        </is>
      </c>
      <c r="J693" s="7" t="inlineStr">
        <is>
          <t>binary search, bitmasks, combinatorics, dp, math</t>
        </is>
      </c>
      <c r="K693" s="6" t="n">
        <v>90</v>
      </c>
      <c r="L693" s="6" t="n">
        <v>80</v>
      </c>
      <c r="M693" s="8" t="inlineStr">
        <is>
          <t>https://codeforces.com/problemset/problem/431/D</t>
        </is>
      </c>
      <c r="N693" s="7" t="n"/>
    </row>
    <row r="694" ht="20.1" customHeight="1">
      <c r="A694" s="2" t="inlineStr">
        <is>
          <t>Unsolved</t>
        </is>
      </c>
      <c r="B694" s="3" t="inlineStr">
        <is>
          <t>Dynamic Programming</t>
        </is>
      </c>
      <c r="C694" s="3" t="inlineStr">
        <is>
          <t>Digit DP</t>
        </is>
      </c>
      <c r="D694" s="2" t="inlineStr">
        <is>
          <t>628D</t>
        </is>
      </c>
      <c r="E694" s="2" t="n">
        <v>628</v>
      </c>
      <c r="F694" s="2" t="inlineStr">
        <is>
          <t>D</t>
        </is>
      </c>
      <c r="G694" s="3" t="inlineStr">
        <is>
          <t>Magic Numbers</t>
        </is>
      </c>
      <c r="H694" s="2" t="n">
        <v>2200</v>
      </c>
      <c r="I694" s="12" t="inlineStr">
        <is>
          <t>Expert</t>
        </is>
      </c>
      <c r="J694" s="3" t="inlineStr">
        <is>
          <t>dp</t>
        </is>
      </c>
      <c r="K694" s="2" t="n">
        <v>90</v>
      </c>
      <c r="L694" s="2" t="n">
        <v>80</v>
      </c>
      <c r="M694" s="5" t="inlineStr">
        <is>
          <t>https://codeforces.com/problemset/problem/628/D</t>
        </is>
      </c>
      <c r="N694" s="3" t="n"/>
    </row>
    <row r="695" ht="20.1" customHeight="1">
      <c r="A695" s="6" t="inlineStr">
        <is>
          <t>Unsolved</t>
        </is>
      </c>
      <c r="B695" s="7" t="inlineStr">
        <is>
          <t>Dynamic Programming</t>
        </is>
      </c>
      <c r="C695" s="7" t="inlineStr">
        <is>
          <t>Digit DP</t>
        </is>
      </c>
      <c r="D695" s="6" t="inlineStr">
        <is>
          <t>855E</t>
        </is>
      </c>
      <c r="E695" s="6" t="n">
        <v>855</v>
      </c>
      <c r="F695" s="6" t="inlineStr">
        <is>
          <t>E</t>
        </is>
      </c>
      <c r="G695" s="7" t="inlineStr">
        <is>
          <t>Salazar Slytherin's Locket</t>
        </is>
      </c>
      <c r="H695" s="6" t="n">
        <v>2200</v>
      </c>
      <c r="I695" s="12" t="inlineStr">
        <is>
          <t>Expert</t>
        </is>
      </c>
      <c r="J695" s="7" t="inlineStr">
        <is>
          <t>bitmasks, dp</t>
        </is>
      </c>
      <c r="K695" s="6" t="n">
        <v>90</v>
      </c>
      <c r="L695" s="6" t="n">
        <v>80</v>
      </c>
      <c r="M695" s="8" t="inlineStr">
        <is>
          <t>https://codeforces.com/problemset/problem/855/E</t>
        </is>
      </c>
      <c r="N695" s="7" t="n"/>
    </row>
    <row r="696" ht="20.1" customHeight="1">
      <c r="A696" s="2" t="inlineStr">
        <is>
          <t>Unsolved</t>
        </is>
      </c>
      <c r="B696" s="3" t="inlineStr">
        <is>
          <t>Dynamic Programming</t>
        </is>
      </c>
      <c r="C696" s="3" t="inlineStr">
        <is>
          <t>Digit DP</t>
        </is>
      </c>
      <c r="D696" s="2" t="inlineStr">
        <is>
          <t>914C</t>
        </is>
      </c>
      <c r="E696" s="2" t="n">
        <v>914</v>
      </c>
      <c r="F696" s="2" t="inlineStr">
        <is>
          <t>C</t>
        </is>
      </c>
      <c r="G696" s="3" t="inlineStr">
        <is>
          <t>Travelling Salesman and Special Numbers</t>
        </is>
      </c>
      <c r="H696" s="2" t="n">
        <v>1800</v>
      </c>
      <c r="I696" s="10" t="inlineStr">
        <is>
          <t>Hard</t>
        </is>
      </c>
      <c r="J696" s="3" t="inlineStr">
        <is>
          <t>brute force, combinatorics, dp</t>
        </is>
      </c>
      <c r="K696" s="2" t="n">
        <v>60</v>
      </c>
      <c r="L696" s="2" t="n">
        <v>55</v>
      </c>
      <c r="M696" s="5" t="inlineStr">
        <is>
          <t>https://codeforces.com/problemset/problem/914/C</t>
        </is>
      </c>
      <c r="N696" s="3" t="n"/>
    </row>
    <row r="697" ht="20.1" customHeight="1">
      <c r="A697" s="6" t="inlineStr">
        <is>
          <t>Unsolved</t>
        </is>
      </c>
      <c r="B697" s="7" t="inlineStr">
        <is>
          <t>Dynamic Programming</t>
        </is>
      </c>
      <c r="C697" s="7" t="inlineStr">
        <is>
          <t>Digit DP</t>
        </is>
      </c>
      <c r="D697" s="6" t="inlineStr">
        <is>
          <t>1225D</t>
        </is>
      </c>
      <c r="E697" s="6" t="n">
        <v>1225</v>
      </c>
      <c r="F697" s="6" t="inlineStr">
        <is>
          <t>D</t>
        </is>
      </c>
      <c r="G697" s="7" t="inlineStr">
        <is>
          <t>Power Products</t>
        </is>
      </c>
      <c r="H697" s="6" t="n">
        <v>1800</v>
      </c>
      <c r="I697" s="10" t="inlineStr">
        <is>
          <t>Hard</t>
        </is>
      </c>
      <c r="J697" s="7" t="inlineStr">
        <is>
          <t>hashing, math, number theory</t>
        </is>
      </c>
      <c r="K697" s="6" t="n">
        <v>60</v>
      </c>
      <c r="L697" s="6" t="n">
        <v>55</v>
      </c>
      <c r="M697" s="8" t="inlineStr">
        <is>
          <t>https://codeforces.com/problemset/problem/1225/D</t>
        </is>
      </c>
      <c r="N697" s="7" t="n"/>
    </row>
    <row r="698" ht="20.1" customHeight="1">
      <c r="A698" s="2" t="inlineStr">
        <is>
          <t>Unsolved</t>
        </is>
      </c>
      <c r="B698" s="3" t="inlineStr">
        <is>
          <t>Dynamic Programming</t>
        </is>
      </c>
      <c r="C698" s="3" t="inlineStr">
        <is>
          <t>Bitmask DP</t>
        </is>
      </c>
      <c r="D698" s="2" t="inlineStr">
        <is>
          <t>8C</t>
        </is>
      </c>
      <c r="E698" s="2" t="n">
        <v>8</v>
      </c>
      <c r="F698" s="2" t="inlineStr">
        <is>
          <t>C</t>
        </is>
      </c>
      <c r="G698" s="3" t="inlineStr">
        <is>
          <t>Looking for Order</t>
        </is>
      </c>
      <c r="H698" s="2" t="n">
        <v>2000</v>
      </c>
      <c r="I698" s="10" t="inlineStr">
        <is>
          <t>Hard+</t>
        </is>
      </c>
      <c r="J698" s="3" t="inlineStr">
        <is>
          <t>bitmasks, dp</t>
        </is>
      </c>
      <c r="K698" s="2" t="n">
        <v>90</v>
      </c>
      <c r="L698" s="2" t="n">
        <v>80</v>
      </c>
      <c r="M698" s="5" t="inlineStr">
        <is>
          <t>https://codeforces.com/problemset/problem/8/C</t>
        </is>
      </c>
      <c r="N698" s="3" t="n"/>
    </row>
    <row r="699" ht="20.1" customHeight="1">
      <c r="A699" s="6" t="inlineStr">
        <is>
          <t>Unsolved</t>
        </is>
      </c>
      <c r="B699" s="7" t="inlineStr">
        <is>
          <t>Dynamic Programming</t>
        </is>
      </c>
      <c r="C699" s="7" t="inlineStr">
        <is>
          <t>Bitmask DP</t>
        </is>
      </c>
      <c r="D699" s="6" t="inlineStr">
        <is>
          <t>11D</t>
        </is>
      </c>
      <c r="E699" s="6" t="n">
        <v>11</v>
      </c>
      <c r="F699" s="6" t="inlineStr">
        <is>
          <t>D</t>
        </is>
      </c>
      <c r="G699" s="7" t="inlineStr">
        <is>
          <t>A Simple Task</t>
        </is>
      </c>
      <c r="H699" s="6" t="n">
        <v>2200</v>
      </c>
      <c r="I699" s="12" t="inlineStr">
        <is>
          <t>Expert</t>
        </is>
      </c>
      <c r="J699" s="7" t="inlineStr">
        <is>
          <t>bitmasks, dp, graphs</t>
        </is>
      </c>
      <c r="K699" s="6" t="n">
        <v>90</v>
      </c>
      <c r="L699" s="6" t="n">
        <v>80</v>
      </c>
      <c r="M699" s="8" t="inlineStr">
        <is>
          <t>https://codeforces.com/problemset/problem/11/D</t>
        </is>
      </c>
      <c r="N699" s="7" t="n"/>
    </row>
    <row r="700" ht="20.1" customHeight="1">
      <c r="A700" s="2" t="inlineStr">
        <is>
          <t>Unsolved</t>
        </is>
      </c>
      <c r="B700" s="3" t="inlineStr">
        <is>
          <t>Dynamic Programming</t>
        </is>
      </c>
      <c r="C700" s="3" t="inlineStr">
        <is>
          <t>Bitmask DP</t>
        </is>
      </c>
      <c r="D700" s="2" t="inlineStr">
        <is>
          <t>16E</t>
        </is>
      </c>
      <c r="E700" s="2" t="n">
        <v>16</v>
      </c>
      <c r="F700" s="2" t="inlineStr">
        <is>
          <t>E</t>
        </is>
      </c>
      <c r="G700" s="3" t="inlineStr">
        <is>
          <t>Fish</t>
        </is>
      </c>
      <c r="H700" s="2" t="n">
        <v>1900</v>
      </c>
      <c r="I700" s="10" t="inlineStr">
        <is>
          <t>Hard+</t>
        </is>
      </c>
      <c r="J700" s="3" t="inlineStr">
        <is>
          <t>bitmasks, dp, probabilities</t>
        </is>
      </c>
      <c r="K700" s="2" t="n">
        <v>60</v>
      </c>
      <c r="L700" s="2" t="n">
        <v>55</v>
      </c>
      <c r="M700" s="5" t="inlineStr">
        <is>
          <t>https://codeforces.com/problemset/problem/16/E</t>
        </is>
      </c>
      <c r="N700" s="3" t="n"/>
    </row>
    <row r="701" ht="20.1" customHeight="1">
      <c r="A701" s="6" t="inlineStr">
        <is>
          <t>Unsolved</t>
        </is>
      </c>
      <c r="B701" s="7" t="inlineStr">
        <is>
          <t>Dynamic Programming</t>
        </is>
      </c>
      <c r="C701" s="7" t="inlineStr">
        <is>
          <t>Bitmask DP</t>
        </is>
      </c>
      <c r="D701" s="6" t="inlineStr">
        <is>
          <t>41D</t>
        </is>
      </c>
      <c r="E701" s="6" t="n">
        <v>41</v>
      </c>
      <c r="F701" s="6" t="inlineStr">
        <is>
          <t>D</t>
        </is>
      </c>
      <c r="G701" s="7" t="inlineStr">
        <is>
          <t>Pawn</t>
        </is>
      </c>
      <c r="H701" s="6" t="n">
        <v>1900</v>
      </c>
      <c r="I701" s="10" t="inlineStr">
        <is>
          <t>Hard+</t>
        </is>
      </c>
      <c r="J701" s="7" t="inlineStr">
        <is>
          <t>dp</t>
        </is>
      </c>
      <c r="K701" s="6" t="n">
        <v>60</v>
      </c>
      <c r="L701" s="6" t="n">
        <v>55</v>
      </c>
      <c r="M701" s="8" t="inlineStr">
        <is>
          <t>https://codeforces.com/problemset/problem/41/D</t>
        </is>
      </c>
      <c r="N701" s="7" t="n"/>
    </row>
    <row r="702" ht="20.1" customHeight="1">
      <c r="A702" s="2" t="inlineStr">
        <is>
          <t>Unsolved</t>
        </is>
      </c>
      <c r="B702" s="3" t="inlineStr">
        <is>
          <t>Dynamic Programming</t>
        </is>
      </c>
      <c r="C702" s="3" t="inlineStr">
        <is>
          <t>Bitmask DP</t>
        </is>
      </c>
      <c r="D702" s="2" t="inlineStr">
        <is>
          <t>321E</t>
        </is>
      </c>
      <c r="E702" s="2" t="n">
        <v>321</v>
      </c>
      <c r="F702" s="2" t="inlineStr">
        <is>
          <t>E</t>
        </is>
      </c>
      <c r="G702" s="3" t="inlineStr">
        <is>
          <t>Ciel and Gondolas</t>
        </is>
      </c>
      <c r="H702" s="2" t="n">
        <v>2600</v>
      </c>
      <c r="I702" s="12" t="inlineStr">
        <is>
          <t>Master</t>
        </is>
      </c>
      <c r="J702" s="3" t="inlineStr">
        <is>
          <t>data structures, divide and conquer, dp</t>
        </is>
      </c>
      <c r="K702" s="2" t="n">
        <v>180</v>
      </c>
      <c r="L702" s="2" t="n">
        <v>150</v>
      </c>
      <c r="M702" s="5" t="inlineStr">
        <is>
          <t>https://codeforces.com/problemset/problem/321/E</t>
        </is>
      </c>
      <c r="N702" s="3" t="n"/>
    </row>
    <row r="703" ht="20.1" customHeight="1">
      <c r="A703" s="6" t="inlineStr">
        <is>
          <t>Unsolved</t>
        </is>
      </c>
      <c r="B703" s="7" t="inlineStr">
        <is>
          <t>Dynamic Programming</t>
        </is>
      </c>
      <c r="C703" s="7" t="inlineStr">
        <is>
          <t>DP on DAG</t>
        </is>
      </c>
      <c r="D703" s="6" t="inlineStr">
        <is>
          <t>721C</t>
        </is>
      </c>
      <c r="E703" s="6" t="n">
        <v>721</v>
      </c>
      <c r="F703" s="6" t="inlineStr">
        <is>
          <t>C</t>
        </is>
      </c>
      <c r="G703" s="7" t="inlineStr">
        <is>
          <t>Journey</t>
        </is>
      </c>
      <c r="H703" s="6" t="n">
        <v>1800</v>
      </c>
      <c r="I703" s="10" t="inlineStr">
        <is>
          <t>Hard</t>
        </is>
      </c>
      <c r="J703" s="7" t="inlineStr">
        <is>
          <t>dp, graphs</t>
        </is>
      </c>
      <c r="K703" s="6" t="n">
        <v>60</v>
      </c>
      <c r="L703" s="6" t="n">
        <v>55</v>
      </c>
      <c r="M703" s="8" t="inlineStr">
        <is>
          <t>https://codeforces.com/problemset/problem/721/C</t>
        </is>
      </c>
      <c r="N703" s="7" t="n"/>
    </row>
    <row r="704" ht="20.1" customHeight="1">
      <c r="A704" s="2" t="inlineStr">
        <is>
          <t>Unsolved</t>
        </is>
      </c>
      <c r="B704" s="3" t="inlineStr">
        <is>
          <t>Dynamic Programming</t>
        </is>
      </c>
      <c r="C704" s="3" t="inlineStr">
        <is>
          <t>DP on DAG</t>
        </is>
      </c>
      <c r="D704" s="2" t="inlineStr">
        <is>
          <t>919D</t>
        </is>
      </c>
      <c r="E704" s="2" t="n">
        <v>919</v>
      </c>
      <c r="F704" s="2" t="inlineStr">
        <is>
          <t>D</t>
        </is>
      </c>
      <c r="G704" s="3" t="inlineStr">
        <is>
          <t>Substring</t>
        </is>
      </c>
      <c r="H704" s="2" t="n">
        <v>1700</v>
      </c>
      <c r="I704" s="10" t="inlineStr">
        <is>
          <t>Hard</t>
        </is>
      </c>
      <c r="J704" s="3" t="inlineStr">
        <is>
          <t>dfs and similar, dp, graphs</t>
        </is>
      </c>
      <c r="K704" s="2" t="n">
        <v>60</v>
      </c>
      <c r="L704" s="2" t="n">
        <v>55</v>
      </c>
      <c r="M704" s="5" t="inlineStr">
        <is>
          <t>https://codeforces.com/problemset/problem/919/D</t>
        </is>
      </c>
      <c r="N704" s="3" t="n"/>
    </row>
    <row r="705" ht="20.1" customHeight="1">
      <c r="A705" s="6" t="inlineStr">
        <is>
          <t>Unsolved</t>
        </is>
      </c>
      <c r="B705" s="7" t="inlineStr">
        <is>
          <t>Dynamic Programming</t>
        </is>
      </c>
      <c r="C705" s="7" t="inlineStr">
        <is>
          <t>DP on DAG</t>
        </is>
      </c>
      <c r="D705" s="6" t="inlineStr">
        <is>
          <t>981C</t>
        </is>
      </c>
      <c r="E705" s="6" t="n">
        <v>981</v>
      </c>
      <c r="F705" s="6" t="inlineStr">
        <is>
          <t>C</t>
        </is>
      </c>
      <c r="G705" s="7" t="inlineStr">
        <is>
          <t>Useful Decomposition</t>
        </is>
      </c>
      <c r="H705" s="6" t="n">
        <v>1400</v>
      </c>
      <c r="I705" s="9" t="inlineStr">
        <is>
          <t>Medium</t>
        </is>
      </c>
      <c r="J705" s="7" t="inlineStr">
        <is>
          <t>implementation, trees</t>
        </is>
      </c>
      <c r="K705" s="6" t="n">
        <v>40</v>
      </c>
      <c r="L705" s="6" t="n">
        <v>35</v>
      </c>
      <c r="M705" s="8" t="inlineStr">
        <is>
          <t>https://codeforces.com/problemset/problem/981/C</t>
        </is>
      </c>
      <c r="N705" s="7" t="n"/>
    </row>
    <row r="706" ht="20.1" customHeight="1">
      <c r="A706" s="2" t="inlineStr">
        <is>
          <t>Unsolved</t>
        </is>
      </c>
      <c r="B706" s="3" t="inlineStr">
        <is>
          <t>Dynamic Programming</t>
        </is>
      </c>
      <c r="C706" s="3" t="inlineStr">
        <is>
          <t>Probability DP</t>
        </is>
      </c>
      <c r="D706" s="2" t="inlineStr">
        <is>
          <t>148D</t>
        </is>
      </c>
      <c r="E706" s="2" t="n">
        <v>148</v>
      </c>
      <c r="F706" s="2" t="inlineStr">
        <is>
          <t>D</t>
        </is>
      </c>
      <c r="G706" s="3" t="inlineStr">
        <is>
          <t>Bag of mice</t>
        </is>
      </c>
      <c r="H706" s="2" t="n">
        <v>1800</v>
      </c>
      <c r="I706" s="10" t="inlineStr">
        <is>
          <t>Hard</t>
        </is>
      </c>
      <c r="J706" s="3" t="inlineStr">
        <is>
          <t>dp, games, math, probabilities</t>
        </is>
      </c>
      <c r="K706" s="2" t="n">
        <v>60</v>
      </c>
      <c r="L706" s="2" t="n">
        <v>55</v>
      </c>
      <c r="M706" s="5" t="inlineStr">
        <is>
          <t>https://codeforces.com/problemset/problem/148/D</t>
        </is>
      </c>
      <c r="N706" s="3" t="n"/>
    </row>
    <row r="707" ht="20.1" customHeight="1">
      <c r="A707" s="6" t="inlineStr">
        <is>
          <t>Unsolved</t>
        </is>
      </c>
      <c r="B707" s="7" t="inlineStr">
        <is>
          <t>Dynamic Programming</t>
        </is>
      </c>
      <c r="C707" s="7" t="inlineStr">
        <is>
          <t>Probability DP</t>
        </is>
      </c>
      <c r="D707" s="6" t="inlineStr">
        <is>
          <t>235B</t>
        </is>
      </c>
      <c r="E707" s="6" t="n">
        <v>235</v>
      </c>
      <c r="F707" s="6" t="inlineStr">
        <is>
          <t>B</t>
        </is>
      </c>
      <c r="G707" s="7" t="inlineStr">
        <is>
          <t>Let's Play Osu!</t>
        </is>
      </c>
      <c r="H707" s="6" t="n">
        <v>2000</v>
      </c>
      <c r="I707" s="10" t="inlineStr">
        <is>
          <t>Hard+</t>
        </is>
      </c>
      <c r="J707" s="7" t="inlineStr">
        <is>
          <t>dp, math, probabilities</t>
        </is>
      </c>
      <c r="K707" s="6" t="n">
        <v>90</v>
      </c>
      <c r="L707" s="6" t="n">
        <v>80</v>
      </c>
      <c r="M707" s="8" t="inlineStr">
        <is>
          <t>https://codeforces.com/problemset/problem/235/B</t>
        </is>
      </c>
      <c r="N707" s="7" t="n"/>
    </row>
    <row r="708" ht="20.1" customHeight="1">
      <c r="A708" s="2" t="inlineStr">
        <is>
          <t>Unsolved</t>
        </is>
      </c>
      <c r="B708" s="3" t="inlineStr">
        <is>
          <t>Dynamic Programming</t>
        </is>
      </c>
      <c r="C708" s="3" t="inlineStr">
        <is>
          <t>Probability DP</t>
        </is>
      </c>
      <c r="D708" s="2" t="inlineStr">
        <is>
          <t>540D</t>
        </is>
      </c>
      <c r="E708" s="2" t="n">
        <v>540</v>
      </c>
      <c r="F708" s="2" t="inlineStr">
        <is>
          <t>D</t>
        </is>
      </c>
      <c r="G708" s="3" t="inlineStr">
        <is>
          <t>Bad Luck Island</t>
        </is>
      </c>
      <c r="H708" s="2" t="n">
        <v>1900</v>
      </c>
      <c r="I708" s="10" t="inlineStr">
        <is>
          <t>Hard+</t>
        </is>
      </c>
      <c r="J708" s="3" t="inlineStr">
        <is>
          <t>dp, probabilities</t>
        </is>
      </c>
      <c r="K708" s="2" t="n">
        <v>60</v>
      </c>
      <c r="L708" s="2" t="n">
        <v>55</v>
      </c>
      <c r="M708" s="5" t="inlineStr">
        <is>
          <t>https://codeforces.com/problemset/problem/540/D</t>
        </is>
      </c>
      <c r="N708" s="3" t="n"/>
    </row>
    <row r="709" ht="20.1" customHeight="1">
      <c r="A709" s="6" t="inlineStr">
        <is>
          <t>Unsolved</t>
        </is>
      </c>
      <c r="B709" s="7" t="inlineStr">
        <is>
          <t>Dynamic Programming</t>
        </is>
      </c>
      <c r="C709" s="7" t="inlineStr">
        <is>
          <t>Probability DP</t>
        </is>
      </c>
      <c r="D709" s="6" t="inlineStr">
        <is>
          <t>908D</t>
        </is>
      </c>
      <c r="E709" s="6" t="n">
        <v>908</v>
      </c>
      <c r="F709" s="6" t="inlineStr">
        <is>
          <t>D</t>
        </is>
      </c>
      <c r="G709" s="7" t="inlineStr">
        <is>
          <t>New Year and Arbitrary Arrangement</t>
        </is>
      </c>
      <c r="H709" s="6" t="n">
        <v>2200</v>
      </c>
      <c r="I709" s="12" t="inlineStr">
        <is>
          <t>Expert</t>
        </is>
      </c>
      <c r="J709" s="7" t="inlineStr">
        <is>
          <t>dp, math, probabilities</t>
        </is>
      </c>
      <c r="K709" s="6" t="n">
        <v>90</v>
      </c>
      <c r="L709" s="6" t="n">
        <v>80</v>
      </c>
      <c r="M709" s="8" t="inlineStr">
        <is>
          <t>https://codeforces.com/problemset/problem/908/D</t>
        </is>
      </c>
      <c r="N709" s="7" t="n"/>
    </row>
    <row r="710" ht="20.1" customHeight="1">
      <c r="A710" s="2" t="inlineStr">
        <is>
          <t>Unsolved</t>
        </is>
      </c>
      <c r="B710" s="3" t="inlineStr">
        <is>
          <t>Dynamic Programming</t>
        </is>
      </c>
      <c r="C710" s="3" t="inlineStr">
        <is>
          <t>Probability DP</t>
        </is>
      </c>
      <c r="D710" s="2" t="inlineStr">
        <is>
          <t>1265E</t>
        </is>
      </c>
      <c r="E710" s="2" t="n">
        <v>1265</v>
      </c>
      <c r="F710" s="2" t="inlineStr">
        <is>
          <t>E</t>
        </is>
      </c>
      <c r="G710" s="3" t="inlineStr">
        <is>
          <t>Beautiful Mirrors</t>
        </is>
      </c>
      <c r="H710" s="2" t="n">
        <v>2100</v>
      </c>
      <c r="I710" s="12" t="inlineStr">
        <is>
          <t>Expert</t>
        </is>
      </c>
      <c r="J710" s="3" t="inlineStr">
        <is>
          <t>data structures, dp, math, probabilities</t>
        </is>
      </c>
      <c r="K710" s="2" t="n">
        <v>90</v>
      </c>
      <c r="L710" s="2" t="n">
        <v>80</v>
      </c>
      <c r="M710" s="5" t="inlineStr">
        <is>
          <t>https://codeforces.com/problemset/problem/1265/E</t>
        </is>
      </c>
      <c r="N710" s="3" t="n"/>
    </row>
    <row r="711" ht="20.1" customHeight="1">
      <c r="A711" s="6" t="inlineStr">
        <is>
          <t>Unsolved</t>
        </is>
      </c>
      <c r="B711" s="7" t="inlineStr">
        <is>
          <t>Dynamic Programming</t>
        </is>
      </c>
      <c r="C711" s="7" t="inlineStr">
        <is>
          <t>Probability DP</t>
        </is>
      </c>
      <c r="D711" s="6" t="inlineStr">
        <is>
          <t>1279D</t>
        </is>
      </c>
      <c r="E711" s="6" t="n">
        <v>1279</v>
      </c>
      <c r="F711" s="6" t="inlineStr">
        <is>
          <t>D</t>
        </is>
      </c>
      <c r="G711" s="7" t="inlineStr">
        <is>
          <t>Santa's Bot</t>
        </is>
      </c>
      <c r="H711" s="6" t="n">
        <v>1700</v>
      </c>
      <c r="I711" s="10" t="inlineStr">
        <is>
          <t>Hard</t>
        </is>
      </c>
      <c r="J711" s="7" t="inlineStr">
        <is>
          <t>combinatorics, math, probabilities</t>
        </is>
      </c>
      <c r="K711" s="6" t="n">
        <v>60</v>
      </c>
      <c r="L711" s="6" t="n">
        <v>55</v>
      </c>
      <c r="M711" s="8" t="inlineStr">
        <is>
          <t>https://codeforces.com/problemset/problem/1279/D</t>
        </is>
      </c>
      <c r="N711" s="7" t="n"/>
    </row>
    <row r="712" ht="20.1" customHeight="1">
      <c r="A712" s="2" t="inlineStr">
        <is>
          <t>Unsolved</t>
        </is>
      </c>
      <c r="B712" s="3" t="inlineStr">
        <is>
          <t>Dynamic Programming</t>
        </is>
      </c>
      <c r="C712" s="3" t="inlineStr">
        <is>
          <t>Prefix/Suffix DP</t>
        </is>
      </c>
      <c r="D712" s="2" t="inlineStr">
        <is>
          <t>607A</t>
        </is>
      </c>
      <c r="E712" s="2" t="n">
        <v>607</v>
      </c>
      <c r="F712" s="2" t="inlineStr">
        <is>
          <t>A</t>
        </is>
      </c>
      <c r="G712" s="3" t="inlineStr">
        <is>
          <t>Chain Reaction</t>
        </is>
      </c>
      <c r="H712" s="2" t="n">
        <v>1600</v>
      </c>
      <c r="I712" s="9" t="inlineStr">
        <is>
          <t>Medium+</t>
        </is>
      </c>
      <c r="J712" s="3" t="inlineStr">
        <is>
          <t>binary search, dp</t>
        </is>
      </c>
      <c r="K712" s="2" t="n">
        <v>40</v>
      </c>
      <c r="L712" s="2" t="n">
        <v>35</v>
      </c>
      <c r="M712" s="5" t="inlineStr">
        <is>
          <t>https://codeforces.com/problemset/problem/607/A</t>
        </is>
      </c>
      <c r="N712" s="3" t="n"/>
    </row>
    <row r="713" ht="20.1" customHeight="1">
      <c r="A713" s="6" t="inlineStr">
        <is>
          <t>Unsolved</t>
        </is>
      </c>
      <c r="B713" s="7" t="inlineStr">
        <is>
          <t>Dynamic Programming</t>
        </is>
      </c>
      <c r="C713" s="7" t="inlineStr">
        <is>
          <t>Prefix/Suffix DP</t>
        </is>
      </c>
      <c r="D713" s="6" t="inlineStr">
        <is>
          <t>1510D</t>
        </is>
      </c>
      <c r="E713" s="6" t="n">
        <v>1510</v>
      </c>
      <c r="F713" s="6" t="inlineStr">
        <is>
          <t>D</t>
        </is>
      </c>
      <c r="G713" s="7" t="inlineStr">
        <is>
          <t>Digits</t>
        </is>
      </c>
      <c r="H713" s="6" t="n">
        <v>2100</v>
      </c>
      <c r="I713" s="12" t="inlineStr">
        <is>
          <t>Expert</t>
        </is>
      </c>
      <c r="J713" s="7" t="inlineStr">
        <is>
          <t>dp, math, number theory</t>
        </is>
      </c>
      <c r="K713" s="6" t="n">
        <v>90</v>
      </c>
      <c r="L713" s="6" t="n">
        <v>80</v>
      </c>
      <c r="M713" s="8" t="inlineStr">
        <is>
          <t>https://codeforces.com/problemset/problem/1510/D</t>
        </is>
      </c>
      <c r="N713" s="7" t="n"/>
    </row>
    <row r="714" ht="20.1" customHeight="1">
      <c r="A714" s="2" t="inlineStr">
        <is>
          <t>Unsolved</t>
        </is>
      </c>
      <c r="B714" s="3" t="inlineStr">
        <is>
          <t>Dynamic Programming</t>
        </is>
      </c>
      <c r="C714" s="3" t="inlineStr">
        <is>
          <t>Optimization DP</t>
        </is>
      </c>
      <c r="D714" s="2" t="inlineStr">
        <is>
          <t>319C</t>
        </is>
      </c>
      <c r="E714" s="2" t="n">
        <v>319</v>
      </c>
      <c r="F714" s="2" t="inlineStr">
        <is>
          <t>C</t>
        </is>
      </c>
      <c r="G714" s="3" t="inlineStr">
        <is>
          <t>Kalila and Dimna in the Logging Industry</t>
        </is>
      </c>
      <c r="H714" s="2" t="n">
        <v>2100</v>
      </c>
      <c r="I714" s="12" t="inlineStr">
        <is>
          <t>Expert</t>
        </is>
      </c>
      <c r="J714" s="3" t="inlineStr">
        <is>
          <t>dp, geometry</t>
        </is>
      </c>
      <c r="K714" s="2" t="n">
        <v>90</v>
      </c>
      <c r="L714" s="2" t="n">
        <v>80</v>
      </c>
      <c r="M714" s="5" t="inlineStr">
        <is>
          <t>https://codeforces.com/problemset/problem/319/C</t>
        </is>
      </c>
      <c r="N714" s="3" t="n"/>
    </row>
    <row r="715" ht="20.1" customHeight="1">
      <c r="A715" s="6" t="inlineStr">
        <is>
          <t>Unsolved</t>
        </is>
      </c>
      <c r="B715" s="7" t="inlineStr">
        <is>
          <t>Dynamic Programming</t>
        </is>
      </c>
      <c r="C715" s="7" t="inlineStr">
        <is>
          <t>Optimization DP</t>
        </is>
      </c>
      <c r="D715" s="6" t="inlineStr">
        <is>
          <t>631E</t>
        </is>
      </c>
      <c r="E715" s="6" t="n">
        <v>631</v>
      </c>
      <c r="F715" s="6" t="inlineStr">
        <is>
          <t>E</t>
        </is>
      </c>
      <c r="G715" s="7" t="inlineStr">
        <is>
          <t>Product Sum</t>
        </is>
      </c>
      <c r="H715" s="6" t="n">
        <v>2600</v>
      </c>
      <c r="I715" s="12" t="inlineStr">
        <is>
          <t>Master</t>
        </is>
      </c>
      <c r="J715" s="7" t="inlineStr">
        <is>
          <t>data structures, dp, geometry</t>
        </is>
      </c>
      <c r="K715" s="6" t="n">
        <v>180</v>
      </c>
      <c r="L715" s="6" t="n">
        <v>150</v>
      </c>
      <c r="M715" s="8" t="inlineStr">
        <is>
          <t>https://codeforces.com/problemset/problem/631/E</t>
        </is>
      </c>
      <c r="N715" s="7" t="n"/>
    </row>
    <row r="716" ht="20.1" customHeight="1">
      <c r="A716" s="2" t="inlineStr">
        <is>
          <t>Unsolved</t>
        </is>
      </c>
      <c r="B716" s="3" t="inlineStr">
        <is>
          <t>Dynamic Programming</t>
        </is>
      </c>
      <c r="C716" s="3" t="inlineStr">
        <is>
          <t>Optimization DP</t>
        </is>
      </c>
      <c r="D716" s="2" t="inlineStr">
        <is>
          <t>868F</t>
        </is>
      </c>
      <c r="E716" s="2" t="n">
        <v>868</v>
      </c>
      <c r="F716" s="2" t="inlineStr">
        <is>
          <t>F</t>
        </is>
      </c>
      <c r="G716" s="3" t="inlineStr">
        <is>
          <t>Yet Another Minimization Problem</t>
        </is>
      </c>
      <c r="H716" s="2" t="n">
        <v>2500</v>
      </c>
      <c r="I716" s="12" t="inlineStr">
        <is>
          <t>Master</t>
        </is>
      </c>
      <c r="J716" s="3" t="inlineStr">
        <is>
          <t>divide and conquer, dp</t>
        </is>
      </c>
      <c r="K716" s="2" t="n">
        <v>120</v>
      </c>
      <c r="L716" s="2" t="n">
        <v>110</v>
      </c>
      <c r="M716" s="5" t="inlineStr">
        <is>
          <t>https://codeforces.com/problemset/problem/868/F</t>
        </is>
      </c>
      <c r="N716" s="3" t="n"/>
    </row>
    <row r="717" ht="20.1" customHeight="1">
      <c r="A717" s="6" t="inlineStr">
        <is>
          <t>Unsolved</t>
        </is>
      </c>
      <c r="B717" s="7" t="inlineStr">
        <is>
          <t>Dynamic Programming</t>
        </is>
      </c>
      <c r="C717" s="7" t="inlineStr">
        <is>
          <t>Optimization DP</t>
        </is>
      </c>
      <c r="D717" s="6" t="inlineStr">
        <is>
          <t>1012E</t>
        </is>
      </c>
      <c r="E717" s="6" t="n">
        <v>1012</v>
      </c>
      <c r="F717" s="6" t="inlineStr">
        <is>
          <t>E</t>
        </is>
      </c>
      <c r="G717" s="7" t="inlineStr">
        <is>
          <t>Cycle sort</t>
        </is>
      </c>
      <c r="H717" s="6" t="n">
        <v>3100</v>
      </c>
      <c r="I717" s="12" t="inlineStr">
        <is>
          <t>Master</t>
        </is>
      </c>
      <c r="J717" s="7" t="inlineStr">
        <is>
          <t>dsu, math</t>
        </is>
      </c>
      <c r="K717" s="6" t="n">
        <v>240</v>
      </c>
      <c r="L717" s="6" t="n">
        <v>220</v>
      </c>
      <c r="M717" s="8" t="inlineStr">
        <is>
          <t>https://codeforces.com/problemset/problem/1012/E</t>
        </is>
      </c>
      <c r="N717" s="7" t="n"/>
    </row>
    <row r="718" ht="20.1" customHeight="1">
      <c r="A718" s="2" t="inlineStr">
        <is>
          <t>Unsolved</t>
        </is>
      </c>
      <c r="B718" s="3" t="inlineStr">
        <is>
          <t>Dynamic Programming</t>
        </is>
      </c>
      <c r="C718" s="3" t="inlineStr">
        <is>
          <t>Optimization DP</t>
        </is>
      </c>
      <c r="D718" s="2" t="inlineStr">
        <is>
          <t>1073E</t>
        </is>
      </c>
      <c r="E718" s="2" t="n">
        <v>1073</v>
      </c>
      <c r="F718" s="2" t="inlineStr">
        <is>
          <t>E</t>
        </is>
      </c>
      <c r="G718" s="3" t="inlineStr">
        <is>
          <t>Segment Sum</t>
        </is>
      </c>
      <c r="H718" s="2" t="n">
        <v>2300</v>
      </c>
      <c r="I718" s="12" t="inlineStr">
        <is>
          <t>Expert</t>
        </is>
      </c>
      <c r="J718" s="3" t="inlineStr">
        <is>
          <t>bitmasks, combinatorics, dp, math</t>
        </is>
      </c>
      <c r="K718" s="2" t="n">
        <v>120</v>
      </c>
      <c r="L718" s="2" t="n">
        <v>110</v>
      </c>
      <c r="M718" s="5" t="inlineStr">
        <is>
          <t>https://codeforces.com/problemset/problem/1073/E</t>
        </is>
      </c>
      <c r="N718" s="3" t="n"/>
    </row>
    <row r="719" ht="20.1" customHeight="1">
      <c r="A719" s="6" t="inlineStr">
        <is>
          <t>Unsolved</t>
        </is>
      </c>
      <c r="B719" s="7" t="inlineStr">
        <is>
          <t>Divide &amp; Conquer</t>
        </is>
      </c>
      <c r="C719" s="7" t="inlineStr">
        <is>
          <t>Merge Sort Applications</t>
        </is>
      </c>
      <c r="D719" s="6" t="inlineStr">
        <is>
          <t>986B</t>
        </is>
      </c>
      <c r="E719" s="6" t="n">
        <v>986</v>
      </c>
      <c r="F719" s="6" t="inlineStr">
        <is>
          <t>B</t>
        </is>
      </c>
      <c r="G719" s="7" t="inlineStr">
        <is>
          <t>Petr and Permutations</t>
        </is>
      </c>
      <c r="H719" s="6" t="n">
        <v>1800</v>
      </c>
      <c r="I719" s="10" t="inlineStr">
        <is>
          <t>Hard</t>
        </is>
      </c>
      <c r="J719" s="7" t="inlineStr">
        <is>
          <t>combinatorics, math</t>
        </is>
      </c>
      <c r="K719" s="6" t="n">
        <v>60</v>
      </c>
      <c r="L719" s="6" t="n">
        <v>55</v>
      </c>
      <c r="M719" s="8" t="inlineStr">
        <is>
          <t>https://codeforces.com/problemset/problem/986/B</t>
        </is>
      </c>
      <c r="N719" s="7" t="n"/>
    </row>
    <row r="720" ht="20.1" customHeight="1">
      <c r="A720" s="2" t="inlineStr">
        <is>
          <t>Unsolved</t>
        </is>
      </c>
      <c r="B720" s="3" t="inlineStr">
        <is>
          <t>Divide &amp; Conquer</t>
        </is>
      </c>
      <c r="C720" s="3" t="inlineStr">
        <is>
          <t>Divide &amp; Conquer on Arrays</t>
        </is>
      </c>
      <c r="D720" s="2" t="inlineStr">
        <is>
          <t>1455E</t>
        </is>
      </c>
      <c r="E720" s="2" t="n">
        <v>1455</v>
      </c>
      <c r="F720" s="2" t="inlineStr">
        <is>
          <t>E</t>
        </is>
      </c>
      <c r="G720" s="3" t="inlineStr">
        <is>
          <t>Four Points</t>
        </is>
      </c>
      <c r="H720" s="2" t="n">
        <v>2400</v>
      </c>
      <c r="I720" s="12" t="inlineStr">
        <is>
          <t>Master</t>
        </is>
      </c>
      <c r="J720" s="3" t="inlineStr">
        <is>
          <t>brute force, constructive algorithms, flows, geometry, greedy, implementation, math, ternary search</t>
        </is>
      </c>
      <c r="K720" s="2" t="n">
        <v>120</v>
      </c>
      <c r="L720" s="2" t="n">
        <v>110</v>
      </c>
      <c r="M720" s="5" t="inlineStr">
        <is>
          <t>https://codeforces.com/problemset/problem/1455/E</t>
        </is>
      </c>
      <c r="N720" s="3" t="n"/>
    </row>
    <row r="721" ht="20.1" customHeight="1">
      <c r="A721" s="6" t="inlineStr">
        <is>
          <t>Unsolved</t>
        </is>
      </c>
      <c r="B721" s="7" t="inlineStr">
        <is>
          <t>Divide &amp; Conquer</t>
        </is>
      </c>
      <c r="C721" s="7" t="inlineStr">
        <is>
          <t>CDQ Divide &amp; Conquer</t>
        </is>
      </c>
      <c r="D721" s="6" t="inlineStr">
        <is>
          <t>1093E</t>
        </is>
      </c>
      <c r="E721" s="6" t="n">
        <v>1093</v>
      </c>
      <c r="F721" s="6" t="inlineStr">
        <is>
          <t>E</t>
        </is>
      </c>
      <c r="G721" s="7" t="inlineStr">
        <is>
          <t>Intersection of Permutations</t>
        </is>
      </c>
      <c r="H721" s="6" t="n">
        <v>2400</v>
      </c>
      <c r="I721" s="12" t="inlineStr">
        <is>
          <t>Master</t>
        </is>
      </c>
      <c r="J721" s="7" t="inlineStr">
        <is>
          <t>data structures</t>
        </is>
      </c>
      <c r="K721" s="6" t="n">
        <v>120</v>
      </c>
      <c r="L721" s="6" t="n">
        <v>110</v>
      </c>
      <c r="M721" s="8" t="inlineStr">
        <is>
          <t>https://codeforces.com/problemset/problem/1093/E</t>
        </is>
      </c>
      <c r="N721" s="7" t="n"/>
    </row>
    <row r="722" ht="20.1" customHeight="1">
      <c r="A722" s="2" t="inlineStr">
        <is>
          <t>Unsolved</t>
        </is>
      </c>
      <c r="B722" s="3" t="inlineStr">
        <is>
          <t>Divide &amp; Conquer</t>
        </is>
      </c>
      <c r="C722" s="3" t="inlineStr">
        <is>
          <t>CDQ Divide &amp; Conquer</t>
        </is>
      </c>
      <c r="D722" s="2" t="inlineStr">
        <is>
          <t>1260F</t>
        </is>
      </c>
      <c r="E722" s="2" t="n">
        <v>1260</v>
      </c>
      <c r="F722" s="2" t="inlineStr">
        <is>
          <t>F</t>
        </is>
      </c>
      <c r="G722" s="3" t="inlineStr">
        <is>
          <t>Colored Tree</t>
        </is>
      </c>
      <c r="H722" s="2" t="n">
        <v>2700</v>
      </c>
      <c r="I722" s="12" t="inlineStr">
        <is>
          <t>Master</t>
        </is>
      </c>
      <c r="J722" s="3" t="inlineStr">
        <is>
          <t>data structures, trees</t>
        </is>
      </c>
      <c r="K722" s="2" t="n">
        <v>180</v>
      </c>
      <c r="L722" s="2" t="n">
        <v>150</v>
      </c>
      <c r="M722" s="5" t="inlineStr">
        <is>
          <t>https://codeforces.com/problemset/problem/1260/F</t>
        </is>
      </c>
      <c r="N722" s="3" t="n"/>
    </row>
    <row r="723" ht="20.1" customHeight="1">
      <c r="A723" s="6" t="inlineStr">
        <is>
          <t>Unsolved</t>
        </is>
      </c>
      <c r="B723" s="7" t="inlineStr">
        <is>
          <t>Divide &amp; Conquer</t>
        </is>
      </c>
      <c r="C723" s="7" t="inlineStr">
        <is>
          <t>CDQ Divide &amp; Conquer</t>
        </is>
      </c>
      <c r="D723" s="6" t="inlineStr">
        <is>
          <t>1404C</t>
        </is>
      </c>
      <c r="E723" s="6" t="n">
        <v>1404</v>
      </c>
      <c r="F723" s="6" t="inlineStr">
        <is>
          <t>C</t>
        </is>
      </c>
      <c r="G723" s="7" t="inlineStr">
        <is>
          <t>Fixed Point Removal</t>
        </is>
      </c>
      <c r="H723" s="6" t="n">
        <v>2300</v>
      </c>
      <c r="I723" s="12" t="inlineStr">
        <is>
          <t>Expert</t>
        </is>
      </c>
      <c r="J723" s="7" t="inlineStr">
        <is>
          <t>binary search, constructive algorithms, data structures, greedy, two pointers</t>
        </is>
      </c>
      <c r="K723" s="6" t="n">
        <v>120</v>
      </c>
      <c r="L723" s="6" t="n">
        <v>110</v>
      </c>
      <c r="M723" s="8" t="inlineStr">
        <is>
          <t>https://codeforces.com/problemset/problem/1404/C</t>
        </is>
      </c>
      <c r="N723" s="7" t="n"/>
    </row>
    <row r="724" ht="20.1" customHeight="1">
      <c r="A724" s="2" t="inlineStr">
        <is>
          <t>Unsolved</t>
        </is>
      </c>
      <c r="B724" s="3" t="inlineStr">
        <is>
          <t>Divide &amp; Conquer</t>
        </is>
      </c>
      <c r="C724" s="3" t="inlineStr">
        <is>
          <t>CDQ Divide &amp; Conquer</t>
        </is>
      </c>
      <c r="D724" s="2" t="inlineStr">
        <is>
          <t>1553F</t>
        </is>
      </c>
      <c r="E724" s="2" t="n">
        <v>1553</v>
      </c>
      <c r="F724" s="2" t="inlineStr">
        <is>
          <t>F</t>
        </is>
      </c>
      <c r="G724" s="3" t="inlineStr">
        <is>
          <t>Pairwise Modulo</t>
        </is>
      </c>
      <c r="H724" s="2" t="n">
        <v>2300</v>
      </c>
      <c r="I724" s="12" t="inlineStr">
        <is>
          <t>Expert</t>
        </is>
      </c>
      <c r="J724" s="3" t="inlineStr">
        <is>
          <t>data structures, math</t>
        </is>
      </c>
      <c r="K724" s="2" t="n">
        <v>120</v>
      </c>
      <c r="L724" s="2" t="n">
        <v>110</v>
      </c>
      <c r="M724" s="5" t="inlineStr">
        <is>
          <t>https://codeforces.com/problemset/problem/1553/F</t>
        </is>
      </c>
      <c r="N724" s="3" t="n"/>
    </row>
    <row r="725" ht="20.1" customHeight="1">
      <c r="A725" s="6" t="inlineStr">
        <is>
          <t>Unsolved</t>
        </is>
      </c>
      <c r="B725" s="7" t="inlineStr">
        <is>
          <t>Divide &amp; Conquer</t>
        </is>
      </c>
      <c r="C725" s="7" t="inlineStr">
        <is>
          <t>CDQ Divide &amp; Conquer</t>
        </is>
      </c>
      <c r="D725" s="6" t="inlineStr">
        <is>
          <t>1603C</t>
        </is>
      </c>
      <c r="E725" s="6" t="n">
        <v>1603</v>
      </c>
      <c r="F725" s="6" t="inlineStr">
        <is>
          <t>C</t>
        </is>
      </c>
      <c r="G725" s="7" t="inlineStr">
        <is>
          <t>Extreme Extension</t>
        </is>
      </c>
      <c r="H725" s="6" t="n">
        <v>2300</v>
      </c>
      <c r="I725" s="12" t="inlineStr">
        <is>
          <t>Expert</t>
        </is>
      </c>
      <c r="J725" s="7" t="inlineStr">
        <is>
          <t>dp, greedy, math, number theory</t>
        </is>
      </c>
      <c r="K725" s="6" t="n">
        <v>120</v>
      </c>
      <c r="L725" s="6" t="n">
        <v>110</v>
      </c>
      <c r="M725" s="8" t="inlineStr">
        <is>
          <t>https://codeforces.com/problemset/problem/1603/C</t>
        </is>
      </c>
      <c r="N725" s="7" t="n"/>
    </row>
    <row r="726" ht="20.1" customHeight="1">
      <c r="A726" s="2" t="inlineStr">
        <is>
          <t>Unsolved</t>
        </is>
      </c>
      <c r="B726" s="3" t="inlineStr">
        <is>
          <t>Segment Trees</t>
        </is>
      </c>
      <c r="C726" s="3" t="inlineStr">
        <is>
          <t>Basic Segment Tree</t>
        </is>
      </c>
      <c r="D726" s="2" t="inlineStr">
        <is>
          <t>339D</t>
        </is>
      </c>
      <c r="E726" s="2" t="n">
        <v>339</v>
      </c>
      <c r="F726" s="2" t="inlineStr">
        <is>
          <t>D</t>
        </is>
      </c>
      <c r="G726" s="3" t="inlineStr">
        <is>
          <t>Xenia and Bit Operations</t>
        </is>
      </c>
      <c r="H726" s="2" t="n">
        <v>1700</v>
      </c>
      <c r="I726" s="10" t="inlineStr">
        <is>
          <t>Hard</t>
        </is>
      </c>
      <c r="J726" s="3" t="inlineStr">
        <is>
          <t>data structures, trees</t>
        </is>
      </c>
      <c r="K726" s="2" t="n">
        <v>60</v>
      </c>
      <c r="L726" s="2" t="n">
        <v>55</v>
      </c>
      <c r="M726" s="5" t="inlineStr">
        <is>
          <t>https://codeforces.com/problemset/problem/339/D</t>
        </is>
      </c>
      <c r="N726" s="3" t="n"/>
    </row>
    <row r="727" ht="20.1" customHeight="1">
      <c r="A727" s="6" t="inlineStr">
        <is>
          <t>Unsolved</t>
        </is>
      </c>
      <c r="B727" s="7" t="inlineStr">
        <is>
          <t>Segment Trees</t>
        </is>
      </c>
      <c r="C727" s="7" t="inlineStr">
        <is>
          <t>Basic Segment Tree</t>
        </is>
      </c>
      <c r="D727" s="6" t="inlineStr">
        <is>
          <t>52C</t>
        </is>
      </c>
      <c r="E727" s="6" t="n">
        <v>52</v>
      </c>
      <c r="F727" s="6" t="inlineStr">
        <is>
          <t>C</t>
        </is>
      </c>
      <c r="G727" s="7" t="inlineStr">
        <is>
          <t>Circular RMQ</t>
        </is>
      </c>
      <c r="H727" s="6" t="n">
        <v>2200</v>
      </c>
      <c r="I727" s="12" t="inlineStr">
        <is>
          <t>Expert</t>
        </is>
      </c>
      <c r="J727" s="7" t="inlineStr">
        <is>
          <t>data structures</t>
        </is>
      </c>
      <c r="K727" s="6" t="n">
        <v>90</v>
      </c>
      <c r="L727" s="6" t="n">
        <v>80</v>
      </c>
      <c r="M727" s="8" t="inlineStr">
        <is>
          <t>https://codeforces.com/problemset/problem/52/C</t>
        </is>
      </c>
      <c r="N727" s="7" t="n"/>
    </row>
    <row r="728" ht="20.1" customHeight="1">
      <c r="A728" s="2" t="inlineStr">
        <is>
          <t>Unsolved</t>
        </is>
      </c>
      <c r="B728" s="3" t="inlineStr">
        <is>
          <t>Segment Trees</t>
        </is>
      </c>
      <c r="C728" s="3" t="inlineStr">
        <is>
          <t>Basic Segment Tree</t>
        </is>
      </c>
      <c r="D728" s="2" t="inlineStr">
        <is>
          <t>474E</t>
        </is>
      </c>
      <c r="E728" s="2" t="n">
        <v>474</v>
      </c>
      <c r="F728" s="2" t="inlineStr">
        <is>
          <t>E</t>
        </is>
      </c>
      <c r="G728" s="3" t="inlineStr">
        <is>
          <t>Pillars</t>
        </is>
      </c>
      <c r="H728" s="2" t="n">
        <v>2000</v>
      </c>
      <c r="I728" s="10" t="inlineStr">
        <is>
          <t>Hard+</t>
        </is>
      </c>
      <c r="J728" s="3" t="inlineStr">
        <is>
          <t>binary search, data structures, dp, sortings, trees</t>
        </is>
      </c>
      <c r="K728" s="2" t="n">
        <v>90</v>
      </c>
      <c r="L728" s="2" t="n">
        <v>80</v>
      </c>
      <c r="M728" s="5" t="inlineStr">
        <is>
          <t>https://codeforces.com/problemset/problem/474/E</t>
        </is>
      </c>
      <c r="N728" s="3" t="n"/>
    </row>
    <row r="729" ht="20.1" customHeight="1">
      <c r="A729" s="6" t="inlineStr">
        <is>
          <t>Unsolved</t>
        </is>
      </c>
      <c r="B729" s="7" t="inlineStr">
        <is>
          <t>Segment Trees</t>
        </is>
      </c>
      <c r="C729" s="7" t="inlineStr">
        <is>
          <t>Basic Segment Tree</t>
        </is>
      </c>
      <c r="D729" s="6" t="inlineStr">
        <is>
          <t>558E</t>
        </is>
      </c>
      <c r="E729" s="6" t="n">
        <v>558</v>
      </c>
      <c r="F729" s="6" t="inlineStr">
        <is>
          <t>E</t>
        </is>
      </c>
      <c r="G729" s="7" t="inlineStr">
        <is>
          <t>A Simple Task</t>
        </is>
      </c>
      <c r="H729" s="6" t="n">
        <v>2300</v>
      </c>
      <c r="I729" s="12" t="inlineStr">
        <is>
          <t>Expert</t>
        </is>
      </c>
      <c r="J729" s="7" t="inlineStr">
        <is>
          <t>data structures, sortings, strings</t>
        </is>
      </c>
      <c r="K729" s="6" t="n">
        <v>120</v>
      </c>
      <c r="L729" s="6" t="n">
        <v>110</v>
      </c>
      <c r="M729" s="8" t="inlineStr">
        <is>
          <t>https://codeforces.com/problemset/problem/558/E</t>
        </is>
      </c>
      <c r="N729" s="7" t="n"/>
    </row>
    <row r="730" ht="20.1" customHeight="1">
      <c r="A730" s="2" t="inlineStr">
        <is>
          <t>Unsolved</t>
        </is>
      </c>
      <c r="B730" s="3" t="inlineStr">
        <is>
          <t>Segment Trees</t>
        </is>
      </c>
      <c r="C730" s="3" t="inlineStr">
        <is>
          <t>Basic Segment Tree</t>
        </is>
      </c>
      <c r="D730" s="2" t="inlineStr">
        <is>
          <t>863E</t>
        </is>
      </c>
      <c r="E730" s="2" t="n">
        <v>863</v>
      </c>
      <c r="F730" s="2" t="inlineStr">
        <is>
          <t>E</t>
        </is>
      </c>
      <c r="G730" s="3" t="inlineStr">
        <is>
          <t>Turn Off The TV</t>
        </is>
      </c>
      <c r="H730" s="2" t="n">
        <v>2000</v>
      </c>
      <c r="I730" s="10" t="inlineStr">
        <is>
          <t>Hard+</t>
        </is>
      </c>
      <c r="J730" s="3" t="inlineStr">
        <is>
          <t>data structures, sortings</t>
        </is>
      </c>
      <c r="K730" s="2" t="n">
        <v>90</v>
      </c>
      <c r="L730" s="2" t="n">
        <v>80</v>
      </c>
      <c r="M730" s="5" t="inlineStr">
        <is>
          <t>https://codeforces.com/problemset/problem/863/E</t>
        </is>
      </c>
      <c r="N730" s="3" t="n"/>
    </row>
    <row r="731" ht="20.1" customHeight="1">
      <c r="A731" s="6" t="inlineStr">
        <is>
          <t>Unsolved</t>
        </is>
      </c>
      <c r="B731" s="7" t="inlineStr">
        <is>
          <t>Segment Trees</t>
        </is>
      </c>
      <c r="C731" s="7" t="inlineStr">
        <is>
          <t>Basic Segment Tree</t>
        </is>
      </c>
      <c r="D731" s="6" t="inlineStr">
        <is>
          <t>1114F</t>
        </is>
      </c>
      <c r="E731" s="6" t="n">
        <v>1114</v>
      </c>
      <c r="F731" s="6" t="inlineStr">
        <is>
          <t>F</t>
        </is>
      </c>
      <c r="G731" s="7" t="inlineStr">
        <is>
          <t>Please, another Queries on Array?</t>
        </is>
      </c>
      <c r="H731" s="6" t="n">
        <v>2400</v>
      </c>
      <c r="I731" s="12" t="inlineStr">
        <is>
          <t>Master</t>
        </is>
      </c>
      <c r="J731" s="7" t="inlineStr">
        <is>
          <t>bitmasks, data structures, divide and conquer, math, number theory</t>
        </is>
      </c>
      <c r="K731" s="6" t="n">
        <v>120</v>
      </c>
      <c r="L731" s="6" t="n">
        <v>110</v>
      </c>
      <c r="M731" s="8" t="inlineStr">
        <is>
          <t>https://codeforces.com/problemset/problem/1114/F</t>
        </is>
      </c>
      <c r="N731" s="7" t="n"/>
    </row>
    <row r="732" ht="20.1" customHeight="1">
      <c r="A732" s="2" t="inlineStr">
        <is>
          <t>Unsolved</t>
        </is>
      </c>
      <c r="B732" s="3" t="inlineStr">
        <is>
          <t>Segment Trees</t>
        </is>
      </c>
      <c r="C732" s="3" t="inlineStr">
        <is>
          <t>Basic Segment Tree</t>
        </is>
      </c>
      <c r="D732" s="2" t="inlineStr">
        <is>
          <t>1136E</t>
        </is>
      </c>
      <c r="E732" s="2" t="n">
        <v>1136</v>
      </c>
      <c r="F732" s="2" t="inlineStr">
        <is>
          <t>E</t>
        </is>
      </c>
      <c r="G732" s="3" t="inlineStr">
        <is>
          <t>Nastya Hasn't Written a Legend</t>
        </is>
      </c>
      <c r="H732" s="2" t="n">
        <v>2200</v>
      </c>
      <c r="I732" s="12" t="inlineStr">
        <is>
          <t>Expert</t>
        </is>
      </c>
      <c r="J732" s="3" t="inlineStr">
        <is>
          <t>binary search, data structures</t>
        </is>
      </c>
      <c r="K732" s="2" t="n">
        <v>90</v>
      </c>
      <c r="L732" s="2" t="n">
        <v>80</v>
      </c>
      <c r="M732" s="5" t="inlineStr">
        <is>
          <t>https://codeforces.com/problemset/problem/1136/E</t>
        </is>
      </c>
      <c r="N732" s="3" t="n"/>
    </row>
    <row r="733" ht="20.1" customHeight="1">
      <c r="A733" s="6" t="inlineStr">
        <is>
          <t>Unsolved</t>
        </is>
      </c>
      <c r="B733" s="7" t="inlineStr">
        <is>
          <t>Segment Trees</t>
        </is>
      </c>
      <c r="C733" s="7" t="inlineStr">
        <is>
          <t>Basic Segment Tree</t>
        </is>
      </c>
      <c r="D733" s="6" t="inlineStr">
        <is>
          <t>1252G</t>
        </is>
      </c>
      <c r="E733" s="6" t="n">
        <v>1252</v>
      </c>
      <c r="F733" s="6" t="inlineStr">
        <is>
          <t>G</t>
        </is>
      </c>
      <c r="G733" s="7" t="inlineStr">
        <is>
          <t>Performance Review</t>
        </is>
      </c>
      <c r="H733" s="6" t="n">
        <v>2100</v>
      </c>
      <c r="I733" s="12" t="inlineStr">
        <is>
          <t>Expert</t>
        </is>
      </c>
      <c r="J733" s="7" t="inlineStr">
        <is>
          <t>data structures</t>
        </is>
      </c>
      <c r="K733" s="6" t="n">
        <v>90</v>
      </c>
      <c r="L733" s="6" t="n">
        <v>80</v>
      </c>
      <c r="M733" s="8" t="inlineStr">
        <is>
          <t>https://codeforces.com/problemset/problem/1252/G</t>
        </is>
      </c>
      <c r="N733" s="7" t="n"/>
    </row>
    <row r="734" ht="20.1" customHeight="1">
      <c r="A734" s="2" t="inlineStr">
        <is>
          <t>Unsolved</t>
        </is>
      </c>
      <c r="B734" s="3" t="inlineStr">
        <is>
          <t>Segment Trees</t>
        </is>
      </c>
      <c r="C734" s="3" t="inlineStr">
        <is>
          <t>Basic Segment Tree</t>
        </is>
      </c>
      <c r="D734" s="2" t="inlineStr">
        <is>
          <t>1278E</t>
        </is>
      </c>
      <c r="E734" s="2" t="n">
        <v>1278</v>
      </c>
      <c r="F734" s="2" t="inlineStr">
        <is>
          <t>E</t>
        </is>
      </c>
      <c r="G734" s="3" t="inlineStr">
        <is>
          <t>Tests for problem D</t>
        </is>
      </c>
      <c r="H734" s="2" t="n">
        <v>2200</v>
      </c>
      <c r="I734" s="12" t="inlineStr">
        <is>
          <t>Expert</t>
        </is>
      </c>
      <c r="J734" s="3" t="inlineStr">
        <is>
          <t>constructive algorithms, dfs and similar, divide and conquer, trees</t>
        </is>
      </c>
      <c r="K734" s="2" t="n">
        <v>90</v>
      </c>
      <c r="L734" s="2" t="n">
        <v>80</v>
      </c>
      <c r="M734" s="5" t="inlineStr">
        <is>
          <t>https://codeforces.com/problemset/problem/1278/E</t>
        </is>
      </c>
      <c r="N734" s="3" t="n"/>
    </row>
    <row r="735" ht="20.1" customHeight="1">
      <c r="A735" s="6" t="inlineStr">
        <is>
          <t>Unsolved</t>
        </is>
      </c>
      <c r="B735" s="7" t="inlineStr">
        <is>
          <t>Segment Trees</t>
        </is>
      </c>
      <c r="C735" s="7" t="inlineStr">
        <is>
          <t>Range Query + Point Update</t>
        </is>
      </c>
      <c r="D735" s="6" t="inlineStr">
        <is>
          <t>145E</t>
        </is>
      </c>
      <c r="E735" s="6" t="n">
        <v>145</v>
      </c>
      <c r="F735" s="6" t="inlineStr">
        <is>
          <t>E</t>
        </is>
      </c>
      <c r="G735" s="7" t="inlineStr">
        <is>
          <t>Lucky Queries</t>
        </is>
      </c>
      <c r="H735" s="6" t="n">
        <v>2400</v>
      </c>
      <c r="I735" s="12" t="inlineStr">
        <is>
          <t>Master</t>
        </is>
      </c>
      <c r="J735" s="7" t="inlineStr">
        <is>
          <t>data structures</t>
        </is>
      </c>
      <c r="K735" s="6" t="n">
        <v>120</v>
      </c>
      <c r="L735" s="6" t="n">
        <v>110</v>
      </c>
      <c r="M735" s="8" t="inlineStr">
        <is>
          <t>https://codeforces.com/problemset/problem/145/E</t>
        </is>
      </c>
      <c r="N735" s="7" t="n"/>
    </row>
    <row r="736" ht="20.1" customHeight="1">
      <c r="A736" s="2" t="inlineStr">
        <is>
          <t>Unsolved</t>
        </is>
      </c>
      <c r="B736" s="3" t="inlineStr">
        <is>
          <t>Segment Trees</t>
        </is>
      </c>
      <c r="C736" s="3" t="inlineStr">
        <is>
          <t>Range Query + Point Update</t>
        </is>
      </c>
      <c r="D736" s="2" t="inlineStr">
        <is>
          <t>1555E</t>
        </is>
      </c>
      <c r="E736" s="2" t="n">
        <v>1555</v>
      </c>
      <c r="F736" s="2" t="inlineStr">
        <is>
          <t>E</t>
        </is>
      </c>
      <c r="G736" s="3" t="inlineStr">
        <is>
          <t>Boring Segments</t>
        </is>
      </c>
      <c r="H736" s="2" t="n">
        <v>2100</v>
      </c>
      <c r="I736" s="12" t="inlineStr">
        <is>
          <t>Expert</t>
        </is>
      </c>
      <c r="J736" s="3" t="inlineStr">
        <is>
          <t>data structures, sortings, trees, two pointers</t>
        </is>
      </c>
      <c r="K736" s="2" t="n">
        <v>90</v>
      </c>
      <c r="L736" s="2" t="n">
        <v>80</v>
      </c>
      <c r="M736" s="5" t="inlineStr">
        <is>
          <t>https://codeforces.com/problemset/problem/1555/E</t>
        </is>
      </c>
      <c r="N736" s="3" t="n"/>
    </row>
    <row r="737" ht="20.1" customHeight="1">
      <c r="A737" s="6" t="inlineStr">
        <is>
          <t>Unsolved</t>
        </is>
      </c>
      <c r="B737" s="7" t="inlineStr">
        <is>
          <t>Segment Trees</t>
        </is>
      </c>
      <c r="C737" s="7" t="inlineStr">
        <is>
          <t>Lazy Propagation</t>
        </is>
      </c>
      <c r="D737" s="6" t="inlineStr">
        <is>
          <t>438D</t>
        </is>
      </c>
      <c r="E737" s="6" t="n">
        <v>438</v>
      </c>
      <c r="F737" s="6" t="inlineStr">
        <is>
          <t>D</t>
        </is>
      </c>
      <c r="G737" s="7" t="inlineStr">
        <is>
          <t>The Child and Sequence</t>
        </is>
      </c>
      <c r="H737" s="6" t="n">
        <v>2300</v>
      </c>
      <c r="I737" s="12" t="inlineStr">
        <is>
          <t>Expert</t>
        </is>
      </c>
      <c r="J737" s="7" t="inlineStr">
        <is>
          <t>data structures, math</t>
        </is>
      </c>
      <c r="K737" s="6" t="n">
        <v>120</v>
      </c>
      <c r="L737" s="6" t="n">
        <v>110</v>
      </c>
      <c r="M737" s="8" t="inlineStr">
        <is>
          <t>https://codeforces.com/problemset/problem/438/D</t>
        </is>
      </c>
      <c r="N737" s="7" t="n"/>
    </row>
    <row r="738" ht="20.1" customHeight="1">
      <c r="A738" s="2" t="inlineStr">
        <is>
          <t>Unsolved</t>
        </is>
      </c>
      <c r="B738" s="3" t="inlineStr">
        <is>
          <t>Segment Trees</t>
        </is>
      </c>
      <c r="C738" s="3" t="inlineStr">
        <is>
          <t>Lazy Propagation</t>
        </is>
      </c>
      <c r="D738" s="2" t="inlineStr">
        <is>
          <t>446C</t>
        </is>
      </c>
      <c r="E738" s="2" t="n">
        <v>446</v>
      </c>
      <c r="F738" s="2" t="inlineStr">
        <is>
          <t>C</t>
        </is>
      </c>
      <c r="G738" s="3" t="inlineStr">
        <is>
          <t>DZY Loves Fibonacci Numbers</t>
        </is>
      </c>
      <c r="H738" s="2" t="n">
        <v>2400</v>
      </c>
      <c r="I738" s="12" t="inlineStr">
        <is>
          <t>Master</t>
        </is>
      </c>
      <c r="J738" s="3" t="inlineStr">
        <is>
          <t>data structures, math, number theory</t>
        </is>
      </c>
      <c r="K738" s="2" t="n">
        <v>120</v>
      </c>
      <c r="L738" s="2" t="n">
        <v>110</v>
      </c>
      <c r="M738" s="5" t="inlineStr">
        <is>
          <t>https://codeforces.com/problemset/problem/446/C</t>
        </is>
      </c>
      <c r="N738" s="3" t="n"/>
    </row>
    <row r="739" ht="20.1" customHeight="1">
      <c r="A739" s="6" t="inlineStr">
        <is>
          <t>Unsolved</t>
        </is>
      </c>
      <c r="B739" s="7" t="inlineStr">
        <is>
          <t>Segment Trees</t>
        </is>
      </c>
      <c r="C739" s="7" t="inlineStr">
        <is>
          <t>Lazy Propagation</t>
        </is>
      </c>
      <c r="D739" s="6" t="inlineStr">
        <is>
          <t>915E</t>
        </is>
      </c>
      <c r="E739" s="6" t="n">
        <v>915</v>
      </c>
      <c r="F739" s="6" t="inlineStr">
        <is>
          <t>E</t>
        </is>
      </c>
      <c r="G739" s="7" t="inlineStr">
        <is>
          <t>Physical Education Lessons</t>
        </is>
      </c>
      <c r="H739" s="6" t="n">
        <v>2300</v>
      </c>
      <c r="I739" s="12" t="inlineStr">
        <is>
          <t>Expert</t>
        </is>
      </c>
      <c r="J739" s="7" t="inlineStr">
        <is>
          <t>data structures, implementation, sortings</t>
        </is>
      </c>
      <c r="K739" s="6" t="n">
        <v>120</v>
      </c>
      <c r="L739" s="6" t="n">
        <v>110</v>
      </c>
      <c r="M739" s="8" t="inlineStr">
        <is>
          <t>https://codeforces.com/problemset/problem/915/E</t>
        </is>
      </c>
      <c r="N739" s="7" t="n"/>
    </row>
    <row r="740" ht="20.1" customHeight="1">
      <c r="A740" s="2" t="inlineStr">
        <is>
          <t>Unsolved</t>
        </is>
      </c>
      <c r="B740" s="3" t="inlineStr">
        <is>
          <t>Segment Trees</t>
        </is>
      </c>
      <c r="C740" s="3" t="inlineStr">
        <is>
          <t>Merge Sort Tree</t>
        </is>
      </c>
      <c r="D740" s="2" t="inlineStr">
        <is>
          <t>459D</t>
        </is>
      </c>
      <c r="E740" s="2" t="n">
        <v>459</v>
      </c>
      <c r="F740" s="2" t="inlineStr">
        <is>
          <t>D</t>
        </is>
      </c>
      <c r="G740" s="3" t="inlineStr">
        <is>
          <t>Pashmak and Parmida's problem</t>
        </is>
      </c>
      <c r="H740" s="2" t="n">
        <v>1800</v>
      </c>
      <c r="I740" s="10" t="inlineStr">
        <is>
          <t>Hard</t>
        </is>
      </c>
      <c r="J740" s="3" t="inlineStr">
        <is>
          <t>data structures, divide and conquer, sortings</t>
        </is>
      </c>
      <c r="K740" s="2" t="n">
        <v>60</v>
      </c>
      <c r="L740" s="2" t="n">
        <v>55</v>
      </c>
      <c r="M740" s="5" t="inlineStr">
        <is>
          <t>https://codeforces.com/problemset/problem/459/D</t>
        </is>
      </c>
      <c r="N740" s="3" t="n"/>
    </row>
    <row r="741" ht="20.1" customHeight="1">
      <c r="A741" s="6" t="inlineStr">
        <is>
          <t>Unsolved</t>
        </is>
      </c>
      <c r="B741" s="7" t="inlineStr">
        <is>
          <t>Segment Trees</t>
        </is>
      </c>
      <c r="C741" s="7" t="inlineStr">
        <is>
          <t>Merge Sort Tree</t>
        </is>
      </c>
      <c r="D741" s="6" t="inlineStr">
        <is>
          <t>600E</t>
        </is>
      </c>
      <c r="E741" s="6" t="n">
        <v>600</v>
      </c>
      <c r="F741" s="6" t="inlineStr">
        <is>
          <t>E</t>
        </is>
      </c>
      <c r="G741" s="7" t="inlineStr">
        <is>
          <t>Lomsat gelral</t>
        </is>
      </c>
      <c r="H741" s="6" t="n">
        <v>2300</v>
      </c>
      <c r="I741" s="12" t="inlineStr">
        <is>
          <t>Expert</t>
        </is>
      </c>
      <c r="J741" s="7" t="inlineStr">
        <is>
          <t>data structures, dfs and similar, dsu, trees</t>
        </is>
      </c>
      <c r="K741" s="6" t="n">
        <v>120</v>
      </c>
      <c r="L741" s="6" t="n">
        <v>110</v>
      </c>
      <c r="M741" s="8" t="inlineStr">
        <is>
          <t>https://codeforces.com/problemset/problem/600/E</t>
        </is>
      </c>
      <c r="N741" s="7" t="n"/>
    </row>
    <row r="742" ht="20.1" customHeight="1">
      <c r="A742" s="2" t="inlineStr">
        <is>
          <t>Unsolved</t>
        </is>
      </c>
      <c r="B742" s="3" t="inlineStr">
        <is>
          <t>Segment Trees</t>
        </is>
      </c>
      <c r="C742" s="3" t="inlineStr">
        <is>
          <t>Merge Sort Tree</t>
        </is>
      </c>
      <c r="D742" s="2" t="inlineStr">
        <is>
          <t>803G</t>
        </is>
      </c>
      <c r="E742" s="2" t="n">
        <v>803</v>
      </c>
      <c r="F742" s="2" t="inlineStr">
        <is>
          <t>G</t>
        </is>
      </c>
      <c r="G742" s="3" t="inlineStr">
        <is>
          <t>Periodic RMQ Problem</t>
        </is>
      </c>
      <c r="H742" s="2" t="n">
        <v>2300</v>
      </c>
      <c r="I742" s="12" t="inlineStr">
        <is>
          <t>Expert</t>
        </is>
      </c>
      <c r="J742" s="3" t="inlineStr">
        <is>
          <t>data structures</t>
        </is>
      </c>
      <c r="K742" s="2" t="n">
        <v>120</v>
      </c>
      <c r="L742" s="2" t="n">
        <v>110</v>
      </c>
      <c r="M742" s="5" t="inlineStr">
        <is>
          <t>https://codeforces.com/problemset/problem/803/G</t>
        </is>
      </c>
      <c r="N742" s="3" t="n"/>
    </row>
    <row r="743" ht="20.1" customHeight="1">
      <c r="A743" s="6" t="inlineStr">
        <is>
          <t>Unsolved</t>
        </is>
      </c>
      <c r="B743" s="7" t="inlineStr">
        <is>
          <t>Segment Trees</t>
        </is>
      </c>
      <c r="C743" s="7" t="inlineStr">
        <is>
          <t>Merge Sort Tree</t>
        </is>
      </c>
      <c r="D743" s="6" t="inlineStr">
        <is>
          <t>1093G</t>
        </is>
      </c>
      <c r="E743" s="6" t="n">
        <v>1093</v>
      </c>
      <c r="F743" s="6" t="inlineStr">
        <is>
          <t>G</t>
        </is>
      </c>
      <c r="G743" s="7" t="inlineStr">
        <is>
          <t>Multidimensional Queries</t>
        </is>
      </c>
      <c r="H743" s="6" t="n">
        <v>2300</v>
      </c>
      <c r="I743" s="12" t="inlineStr">
        <is>
          <t>Expert</t>
        </is>
      </c>
      <c r="J743" s="7" t="inlineStr">
        <is>
          <t>bitmasks, data structures</t>
        </is>
      </c>
      <c r="K743" s="6" t="n">
        <v>120</v>
      </c>
      <c r="L743" s="6" t="n">
        <v>110</v>
      </c>
      <c r="M743" s="8" t="inlineStr">
        <is>
          <t>https://codeforces.com/problemset/problem/1093/G</t>
        </is>
      </c>
      <c r="N743" s="7" t="n"/>
    </row>
    <row r="744" ht="20.1" customHeight="1">
      <c r="A744" s="2" t="inlineStr">
        <is>
          <t>Unsolved</t>
        </is>
      </c>
      <c r="B744" s="3" t="inlineStr">
        <is>
          <t>Segment Trees</t>
        </is>
      </c>
      <c r="C744" s="3" t="inlineStr">
        <is>
          <t>Persistent Segment Tree</t>
        </is>
      </c>
      <c r="D744" s="2" t="inlineStr">
        <is>
          <t>484E</t>
        </is>
      </c>
      <c r="E744" s="2" t="n">
        <v>484</v>
      </c>
      <c r="F744" s="2" t="inlineStr">
        <is>
          <t>E</t>
        </is>
      </c>
      <c r="G744" s="3" t="inlineStr">
        <is>
          <t>Sign on Fence</t>
        </is>
      </c>
      <c r="H744" s="2" t="n">
        <v>2500</v>
      </c>
      <c r="I744" s="12" t="inlineStr">
        <is>
          <t>Master</t>
        </is>
      </c>
      <c r="J744" s="3" t="inlineStr">
        <is>
          <t>binary search, constructive algorithms, data structures</t>
        </is>
      </c>
      <c r="K744" s="2" t="n">
        <v>120</v>
      </c>
      <c r="L744" s="2" t="n">
        <v>110</v>
      </c>
      <c r="M744" s="5" t="inlineStr">
        <is>
          <t>https://codeforces.com/problemset/problem/484/E</t>
        </is>
      </c>
      <c r="N744" s="3" t="n"/>
    </row>
    <row r="745" ht="20.1" customHeight="1">
      <c r="A745" s="6" t="inlineStr">
        <is>
          <t>Unsolved</t>
        </is>
      </c>
      <c r="B745" s="7" t="inlineStr">
        <is>
          <t>Segment Trees</t>
        </is>
      </c>
      <c r="C745" s="7" t="inlineStr">
        <is>
          <t>Persistent Segment Tree</t>
        </is>
      </c>
      <c r="D745" s="6" t="inlineStr">
        <is>
          <t>786C</t>
        </is>
      </c>
      <c r="E745" s="6" t="n">
        <v>786</v>
      </c>
      <c r="F745" s="6" t="inlineStr">
        <is>
          <t>C</t>
        </is>
      </c>
      <c r="G745" s="7" t="inlineStr">
        <is>
          <t>Till I Collapse</t>
        </is>
      </c>
      <c r="H745" s="6" t="n">
        <v>2400</v>
      </c>
      <c r="I745" s="12" t="inlineStr">
        <is>
          <t>Master</t>
        </is>
      </c>
      <c r="J745" s="7" t="inlineStr">
        <is>
          <t>data structures, divide and conquer</t>
        </is>
      </c>
      <c r="K745" s="6" t="n">
        <v>120</v>
      </c>
      <c r="L745" s="6" t="n">
        <v>110</v>
      </c>
      <c r="M745" s="8" t="inlineStr">
        <is>
          <t>https://codeforces.com/problemset/problem/786/C</t>
        </is>
      </c>
      <c r="N745" s="7" t="n"/>
    </row>
    <row r="746" ht="20.1" customHeight="1">
      <c r="A746" s="2" t="inlineStr">
        <is>
          <t>Unsolved</t>
        </is>
      </c>
      <c r="B746" s="3" t="inlineStr">
        <is>
          <t>Segment Trees</t>
        </is>
      </c>
      <c r="C746" s="3" t="inlineStr">
        <is>
          <t>Persistent Segment Tree</t>
        </is>
      </c>
      <c r="D746" s="2" t="inlineStr">
        <is>
          <t>893F</t>
        </is>
      </c>
      <c r="E746" s="2" t="n">
        <v>893</v>
      </c>
      <c r="F746" s="2" t="inlineStr">
        <is>
          <t>F</t>
        </is>
      </c>
      <c r="G746" s="3" t="inlineStr">
        <is>
          <t>Subtree Minimum Query</t>
        </is>
      </c>
      <c r="H746" s="2" t="n">
        <v>2300</v>
      </c>
      <c r="I746" s="12" t="inlineStr">
        <is>
          <t>Expert</t>
        </is>
      </c>
      <c r="J746" s="3" t="inlineStr">
        <is>
          <t>data structures, trees</t>
        </is>
      </c>
      <c r="K746" s="2" t="n">
        <v>120</v>
      </c>
      <c r="L746" s="2" t="n">
        <v>110</v>
      </c>
      <c r="M746" s="5" t="inlineStr">
        <is>
          <t>https://codeforces.com/problemset/problem/893/F</t>
        </is>
      </c>
      <c r="N746" s="3" t="n"/>
    </row>
    <row r="747" ht="20.1" customHeight="1">
      <c r="A747" s="6" t="inlineStr">
        <is>
          <t>Unsolved</t>
        </is>
      </c>
      <c r="B747" s="7" t="inlineStr">
        <is>
          <t>Segment Trees</t>
        </is>
      </c>
      <c r="C747" s="7" t="inlineStr">
        <is>
          <t>Persistent Segment Tree</t>
        </is>
      </c>
      <c r="D747" s="6" t="inlineStr">
        <is>
          <t>1262D2</t>
        </is>
      </c>
      <c r="E747" s="6" t="n">
        <v>1262</v>
      </c>
      <c r="F747" s="6" t="inlineStr">
        <is>
          <t>D2</t>
        </is>
      </c>
      <c r="G747" s="7" t="inlineStr">
        <is>
          <t>UNKNOWN</t>
        </is>
      </c>
      <c r="H747" s="6" t="inlineStr">
        <is>
          <t>UNKNOWN</t>
        </is>
      </c>
      <c r="I747" s="11" t="inlineStr">
        <is>
          <t>UNKNOWN</t>
        </is>
      </c>
      <c r="J747" s="7" t="inlineStr">
        <is>
          <t>UNKNOWN</t>
        </is>
      </c>
      <c r="K747" s="6" t="n">
        <v>0</v>
      </c>
      <c r="L747" s="6" t="n">
        <v>0</v>
      </c>
      <c r="M747" s="8" t="inlineStr">
        <is>
          <t>https://codeforces.com/problemset/problem/1262/D2</t>
        </is>
      </c>
      <c r="N747" s="7" t="n"/>
    </row>
    <row r="748" ht="20.1" customHeight="1">
      <c r="A748" s="2" t="inlineStr">
        <is>
          <t>Unsolved</t>
        </is>
      </c>
      <c r="B748" s="3" t="inlineStr">
        <is>
          <t>Segment Trees</t>
        </is>
      </c>
      <c r="C748" s="3" t="inlineStr">
        <is>
          <t>Persistent Segment Tree</t>
        </is>
      </c>
      <c r="D748" s="2" t="inlineStr">
        <is>
          <t>1479D</t>
        </is>
      </c>
      <c r="E748" s="2" t="n">
        <v>1479</v>
      </c>
      <c r="F748" s="2" t="inlineStr">
        <is>
          <t>D</t>
        </is>
      </c>
      <c r="G748" s="3" t="inlineStr">
        <is>
          <t>Odd Mineral Resource</t>
        </is>
      </c>
      <c r="H748" s="2" t="n">
        <v>2900</v>
      </c>
      <c r="I748" s="12" t="inlineStr">
        <is>
          <t>Master</t>
        </is>
      </c>
      <c r="J748" s="3" t="inlineStr">
        <is>
          <t>binary search, bitmasks, brute force, data structures, probabilities, trees</t>
        </is>
      </c>
      <c r="K748" s="2" t="n">
        <v>180</v>
      </c>
      <c r="L748" s="2" t="n">
        <v>150</v>
      </c>
      <c r="M748" s="5" t="inlineStr">
        <is>
          <t>https://codeforces.com/problemset/problem/1479/D</t>
        </is>
      </c>
      <c r="N748" s="3" t="n"/>
    </row>
    <row r="749" ht="20.1" customHeight="1">
      <c r="A749" s="6" t="inlineStr">
        <is>
          <t>Unsolved</t>
        </is>
      </c>
      <c r="B749" s="7" t="inlineStr">
        <is>
          <t>Segment Trees</t>
        </is>
      </c>
      <c r="C749" s="7" t="inlineStr">
        <is>
          <t>Dynamic Segment Tree</t>
        </is>
      </c>
      <c r="D749" s="6" t="inlineStr">
        <is>
          <t>1557D</t>
        </is>
      </c>
      <c r="E749" s="6" t="n">
        <v>1557</v>
      </c>
      <c r="F749" s="6" t="inlineStr">
        <is>
          <t>D</t>
        </is>
      </c>
      <c r="G749" s="7" t="inlineStr">
        <is>
          <t>Ezzat and Grid</t>
        </is>
      </c>
      <c r="H749" s="6" t="n">
        <v>2200</v>
      </c>
      <c r="I749" s="12" t="inlineStr">
        <is>
          <t>Expert</t>
        </is>
      </c>
      <c r="J749" s="7" t="inlineStr">
        <is>
          <t>data structures, dp, greedy</t>
        </is>
      </c>
      <c r="K749" s="6" t="n">
        <v>90</v>
      </c>
      <c r="L749" s="6" t="n">
        <v>80</v>
      </c>
      <c r="M749" s="8" t="inlineStr">
        <is>
          <t>https://codeforces.com/problemset/problem/1557/D</t>
        </is>
      </c>
      <c r="N749" s="7" t="n"/>
    </row>
    <row r="750" ht="20.1" customHeight="1">
      <c r="A750" s="2" t="inlineStr">
        <is>
          <t>Unsolved</t>
        </is>
      </c>
      <c r="B750" s="3" t="inlineStr">
        <is>
          <t>Segment Trees</t>
        </is>
      </c>
      <c r="C750" s="3" t="inlineStr">
        <is>
          <t>Dynamic Segment Tree</t>
        </is>
      </c>
      <c r="D750" s="2" t="inlineStr">
        <is>
          <t>1779D</t>
        </is>
      </c>
      <c r="E750" s="2" t="n">
        <v>1779</v>
      </c>
      <c r="F750" s="2" t="inlineStr">
        <is>
          <t>D</t>
        </is>
      </c>
      <c r="G750" s="3" t="inlineStr">
        <is>
          <t>Boris and His Amazing Haircut</t>
        </is>
      </c>
      <c r="H750" s="2" t="n">
        <v>1700</v>
      </c>
      <c r="I750" s="10" t="inlineStr">
        <is>
          <t>Hard</t>
        </is>
      </c>
      <c r="J750" s="3" t="inlineStr">
        <is>
          <t>constructive algorithms, data structures, dp, dsu, greedy, sortings</t>
        </is>
      </c>
      <c r="K750" s="2" t="n">
        <v>60</v>
      </c>
      <c r="L750" s="2" t="n">
        <v>55</v>
      </c>
      <c r="M750" s="5" t="inlineStr">
        <is>
          <t>https://codeforces.com/problemset/problem/1779/D</t>
        </is>
      </c>
      <c r="N750" s="3" t="n"/>
    </row>
    <row r="751" ht="20.1" customHeight="1">
      <c r="A751" s="6" t="inlineStr">
        <is>
          <t>Unsolved</t>
        </is>
      </c>
      <c r="B751" s="7" t="inlineStr">
        <is>
          <t>Fenwick Tree (BIT)</t>
        </is>
      </c>
      <c r="C751" s="7" t="inlineStr">
        <is>
          <t>Basic BIT</t>
        </is>
      </c>
      <c r="D751" s="6" t="inlineStr">
        <is>
          <t>597C</t>
        </is>
      </c>
      <c r="E751" s="6" t="n">
        <v>597</v>
      </c>
      <c r="F751" s="6" t="inlineStr">
        <is>
          <t>C</t>
        </is>
      </c>
      <c r="G751" s="7" t="inlineStr">
        <is>
          <t>Subsequences</t>
        </is>
      </c>
      <c r="H751" s="6" t="n">
        <v>1900</v>
      </c>
      <c r="I751" s="10" t="inlineStr">
        <is>
          <t>Hard+</t>
        </is>
      </c>
      <c r="J751" s="7" t="inlineStr">
        <is>
          <t>data structures, dp</t>
        </is>
      </c>
      <c r="K751" s="6" t="n">
        <v>60</v>
      </c>
      <c r="L751" s="6" t="n">
        <v>55</v>
      </c>
      <c r="M751" s="8" t="inlineStr">
        <is>
          <t>https://codeforces.com/problemset/problem/597/C</t>
        </is>
      </c>
      <c r="N751" s="7" t="n"/>
    </row>
    <row r="752" ht="20.1" customHeight="1">
      <c r="A752" s="2" t="inlineStr">
        <is>
          <t>Unsolved</t>
        </is>
      </c>
      <c r="B752" s="3" t="inlineStr">
        <is>
          <t>Fenwick Tree (BIT)</t>
        </is>
      </c>
      <c r="C752" s="3" t="inlineStr">
        <is>
          <t>Prefix Sum BIT</t>
        </is>
      </c>
      <c r="D752" s="2" t="inlineStr">
        <is>
          <t>1076E</t>
        </is>
      </c>
      <c r="E752" s="2" t="n">
        <v>1076</v>
      </c>
      <c r="F752" s="2" t="inlineStr">
        <is>
          <t>E</t>
        </is>
      </c>
      <c r="G752" s="3" t="inlineStr">
        <is>
          <t>Vasya and a Tree</t>
        </is>
      </c>
      <c r="H752" s="2" t="n">
        <v>1900</v>
      </c>
      <c r="I752" s="10" t="inlineStr">
        <is>
          <t>Hard+</t>
        </is>
      </c>
      <c r="J752" s="3" t="inlineStr">
        <is>
          <t>data structures, trees</t>
        </is>
      </c>
      <c r="K752" s="2" t="n">
        <v>60</v>
      </c>
      <c r="L752" s="2" t="n">
        <v>55</v>
      </c>
      <c r="M752" s="5" t="inlineStr">
        <is>
          <t>https://codeforces.com/problemset/problem/1076/E</t>
        </is>
      </c>
      <c r="N752" s="3" t="n"/>
    </row>
    <row r="753" ht="20.1" customHeight="1">
      <c r="A753" s="6" t="inlineStr">
        <is>
          <t>Unsolved</t>
        </is>
      </c>
      <c r="B753" s="7" t="inlineStr">
        <is>
          <t>Fenwick Tree (BIT)</t>
        </is>
      </c>
      <c r="C753" s="7" t="inlineStr">
        <is>
          <t>BIT + Coordinate Compression</t>
        </is>
      </c>
      <c r="D753" s="6" t="inlineStr">
        <is>
          <t>961E</t>
        </is>
      </c>
      <c r="E753" s="6" t="n">
        <v>961</v>
      </c>
      <c r="F753" s="6" t="inlineStr">
        <is>
          <t>E</t>
        </is>
      </c>
      <c r="G753" s="7" t="inlineStr">
        <is>
          <t>Tufurama</t>
        </is>
      </c>
      <c r="H753" s="6" t="n">
        <v>1900</v>
      </c>
      <c r="I753" s="10" t="inlineStr">
        <is>
          <t>Hard+</t>
        </is>
      </c>
      <c r="J753" s="7" t="inlineStr">
        <is>
          <t>data structures</t>
        </is>
      </c>
      <c r="K753" s="6" t="n">
        <v>60</v>
      </c>
      <c r="L753" s="6" t="n">
        <v>55</v>
      </c>
      <c r="M753" s="8" t="inlineStr">
        <is>
          <t>https://codeforces.com/problemset/problem/961/E</t>
        </is>
      </c>
      <c r="N753" s="7" t="n"/>
    </row>
    <row r="754" ht="20.1" customHeight="1">
      <c r="A754" s="2" t="inlineStr">
        <is>
          <t>Unsolved</t>
        </is>
      </c>
      <c r="B754" s="3" t="inlineStr">
        <is>
          <t>Fenwick Tree (BIT)</t>
        </is>
      </c>
      <c r="C754" s="3" t="inlineStr">
        <is>
          <t>Offline Queries with BIT</t>
        </is>
      </c>
      <c r="D754" s="2" t="inlineStr">
        <is>
          <t>301D</t>
        </is>
      </c>
      <c r="E754" s="2" t="n">
        <v>301</v>
      </c>
      <c r="F754" s="2" t="inlineStr">
        <is>
          <t>D</t>
        </is>
      </c>
      <c r="G754" s="3" t="inlineStr">
        <is>
          <t>Yaroslav and Divisors</t>
        </is>
      </c>
      <c r="H754" s="2" t="n">
        <v>2200</v>
      </c>
      <c r="I754" s="12" t="inlineStr">
        <is>
          <t>Expert</t>
        </is>
      </c>
      <c r="J754" s="3" t="inlineStr">
        <is>
          <t>data structures</t>
        </is>
      </c>
      <c r="K754" s="2" t="n">
        <v>90</v>
      </c>
      <c r="L754" s="2" t="n">
        <v>80</v>
      </c>
      <c r="M754" s="5" t="inlineStr">
        <is>
          <t>https://codeforces.com/problemset/problem/301/D</t>
        </is>
      </c>
      <c r="N754" s="3" t="n"/>
    </row>
    <row r="755" ht="20.1" customHeight="1">
      <c r="A755" s="6" t="inlineStr">
        <is>
          <t>Unsolved</t>
        </is>
      </c>
      <c r="B755" s="7" t="inlineStr">
        <is>
          <t>Fenwick Tree (BIT)</t>
        </is>
      </c>
      <c r="C755" s="7" t="inlineStr">
        <is>
          <t>Offline Queries with BIT</t>
        </is>
      </c>
      <c r="D755" s="6" t="inlineStr">
        <is>
          <t>369E</t>
        </is>
      </c>
      <c r="E755" s="6" t="n">
        <v>369</v>
      </c>
      <c r="F755" s="6" t="inlineStr">
        <is>
          <t>E</t>
        </is>
      </c>
      <c r="G755" s="7" t="inlineStr">
        <is>
          <t>Valera and Queries</t>
        </is>
      </c>
      <c r="H755" s="6" t="n">
        <v>2200</v>
      </c>
      <c r="I755" s="12" t="inlineStr">
        <is>
          <t>Expert</t>
        </is>
      </c>
      <c r="J755" s="7" t="inlineStr">
        <is>
          <t>binary search, data structures</t>
        </is>
      </c>
      <c r="K755" s="6" t="n">
        <v>90</v>
      </c>
      <c r="L755" s="6" t="n">
        <v>80</v>
      </c>
      <c r="M755" s="8" t="inlineStr">
        <is>
          <t>https://codeforces.com/problemset/problem/369/E</t>
        </is>
      </c>
      <c r="N755" s="7" t="n"/>
    </row>
    <row r="756" ht="20.1" customHeight="1">
      <c r="A756" s="2" t="inlineStr">
        <is>
          <t>Unsolved</t>
        </is>
      </c>
      <c r="B756" s="3" t="inlineStr">
        <is>
          <t>Fenwick Tree (BIT)</t>
        </is>
      </c>
      <c r="C756" s="3" t="inlineStr">
        <is>
          <t>Greedy Construction</t>
        </is>
      </c>
      <c r="D756" s="2" t="inlineStr">
        <is>
          <t>1450C1</t>
        </is>
      </c>
      <c r="E756" s="2" t="n">
        <v>1450</v>
      </c>
      <c r="F756" s="2" t="inlineStr">
        <is>
          <t>C1</t>
        </is>
      </c>
      <c r="G756" s="3" t="inlineStr">
        <is>
          <t>Errich-Tac-Toe (Easy Version)</t>
        </is>
      </c>
      <c r="H756" s="2" t="n">
        <v>2100</v>
      </c>
      <c r="I756" s="12" t="inlineStr">
        <is>
          <t>Expert</t>
        </is>
      </c>
      <c r="J756" s="3" t="inlineStr">
        <is>
          <t>constructive algorithms, math</t>
        </is>
      </c>
      <c r="K756" s="2" t="n">
        <v>90</v>
      </c>
      <c r="L756" s="2" t="n">
        <v>80</v>
      </c>
      <c r="M756" s="5" t="inlineStr">
        <is>
          <t>https://codeforces.com/problemset/problem/1450/C1</t>
        </is>
      </c>
      <c r="N756" s="3" t="n"/>
    </row>
    <row r="757" ht="20.1" customHeight="1">
      <c r="A757" s="6" t="inlineStr">
        <is>
          <t>Unsolved</t>
        </is>
      </c>
      <c r="B757" s="7" t="inlineStr">
        <is>
          <t>Fenwick Tree (BIT)</t>
        </is>
      </c>
      <c r="C757" s="7" t="inlineStr">
        <is>
          <t>Greedy Construction</t>
        </is>
      </c>
      <c r="D757" s="6" t="inlineStr">
        <is>
          <t>1450C2</t>
        </is>
      </c>
      <c r="E757" s="6" t="n">
        <v>1450</v>
      </c>
      <c r="F757" s="6" t="inlineStr">
        <is>
          <t>C2</t>
        </is>
      </c>
      <c r="G757" s="7" t="inlineStr">
        <is>
          <t>Errich-Tac-Toe (Hard Version)</t>
        </is>
      </c>
      <c r="H757" s="6" t="n">
        <v>2300</v>
      </c>
      <c r="I757" s="12" t="inlineStr">
        <is>
          <t>Expert</t>
        </is>
      </c>
      <c r="J757" s="7" t="inlineStr">
        <is>
          <t>constructive algorithms, math</t>
        </is>
      </c>
      <c r="K757" s="6" t="n">
        <v>120</v>
      </c>
      <c r="L757" s="6" t="n">
        <v>110</v>
      </c>
      <c r="M757" s="8" t="inlineStr">
        <is>
          <t>https://codeforces.com/problemset/problem/1450/C2</t>
        </is>
      </c>
      <c r="N757" s="7" t="n"/>
    </row>
    <row r="758" ht="20.1" customHeight="1">
      <c r="A758" s="2" t="inlineStr">
        <is>
          <t>Unsolved</t>
        </is>
      </c>
      <c r="B758" s="3" t="inlineStr">
        <is>
          <t>Fenwick Tree (BIT)</t>
        </is>
      </c>
      <c r="C758" s="3" t="inlineStr">
        <is>
          <t>Constructive Mathematics</t>
        </is>
      </c>
      <c r="D758" s="2" t="inlineStr">
        <is>
          <t>1091C</t>
        </is>
      </c>
      <c r="E758" s="2" t="n">
        <v>1091</v>
      </c>
      <c r="F758" s="2" t="inlineStr">
        <is>
          <t>C</t>
        </is>
      </c>
      <c r="G758" s="3" t="inlineStr">
        <is>
          <t>New Year and the Sphere Transmission</t>
        </is>
      </c>
      <c r="H758" s="2" t="n">
        <v>1400</v>
      </c>
      <c r="I758" s="9" t="inlineStr">
        <is>
          <t>Medium</t>
        </is>
      </c>
      <c r="J758" s="3" t="inlineStr">
        <is>
          <t>math, number theory</t>
        </is>
      </c>
      <c r="K758" s="2" t="n">
        <v>40</v>
      </c>
      <c r="L758" s="2" t="n">
        <v>35</v>
      </c>
      <c r="M758" s="5" t="inlineStr">
        <is>
          <t>https://codeforces.com/problemset/problem/1091/C</t>
        </is>
      </c>
      <c r="N758" s="3" t="n"/>
    </row>
    <row r="759" ht="20.1" customHeight="1">
      <c r="A759" s="6" t="inlineStr">
        <is>
          <t>Unsolved</t>
        </is>
      </c>
      <c r="B759" s="7" t="inlineStr">
        <is>
          <t>Fenwick Tree (BIT)</t>
        </is>
      </c>
      <c r="C759" s="7" t="inlineStr">
        <is>
          <t>Constructive Mathematics</t>
        </is>
      </c>
      <c r="D759" s="6" t="inlineStr">
        <is>
          <t>1220D</t>
        </is>
      </c>
      <c r="E759" s="6" t="n">
        <v>1220</v>
      </c>
      <c r="F759" s="6" t="inlineStr">
        <is>
          <t>D</t>
        </is>
      </c>
      <c r="G759" s="7" t="inlineStr">
        <is>
          <t>Alex and Julian</t>
        </is>
      </c>
      <c r="H759" s="6" t="n">
        <v>1900</v>
      </c>
      <c r="I759" s="10" t="inlineStr">
        <is>
          <t>Hard+</t>
        </is>
      </c>
      <c r="J759" s="7" t="inlineStr">
        <is>
          <t>bitmasks, math, number theory</t>
        </is>
      </c>
      <c r="K759" s="6" t="n">
        <v>60</v>
      </c>
      <c r="L759" s="6" t="n">
        <v>55</v>
      </c>
      <c r="M759" s="8" t="inlineStr">
        <is>
          <t>https://codeforces.com/problemset/problem/1220/D</t>
        </is>
      </c>
      <c r="N759" s="7" t="n"/>
    </row>
    <row r="760" ht="20.1" customHeight="1">
      <c r="A760" s="2" t="inlineStr">
        <is>
          <t>Unsolved</t>
        </is>
      </c>
      <c r="B760" s="3" t="inlineStr">
        <is>
          <t>Fenwick Tree (BIT)</t>
        </is>
      </c>
      <c r="C760" s="3" t="inlineStr">
        <is>
          <t>Permutation Construction</t>
        </is>
      </c>
      <c r="D760" s="2" t="inlineStr">
        <is>
          <t>1208D</t>
        </is>
      </c>
      <c r="E760" s="2" t="n">
        <v>1208</v>
      </c>
      <c r="F760" s="2" t="inlineStr">
        <is>
          <t>D</t>
        </is>
      </c>
      <c r="G760" s="3" t="inlineStr">
        <is>
          <t>Restore Permutation</t>
        </is>
      </c>
      <c r="H760" s="2" t="n">
        <v>1900</v>
      </c>
      <c r="I760" s="10" t="inlineStr">
        <is>
          <t>Hard+</t>
        </is>
      </c>
      <c r="J760" s="3" t="inlineStr">
        <is>
          <t>binary search, data structures, greedy, implementation</t>
        </is>
      </c>
      <c r="K760" s="2" t="n">
        <v>60</v>
      </c>
      <c r="L760" s="2" t="n">
        <v>55</v>
      </c>
      <c r="M760" s="5" t="inlineStr">
        <is>
          <t>https://codeforces.com/problemset/problem/1208/D</t>
        </is>
      </c>
      <c r="N760" s="3" t="n"/>
    </row>
    <row r="761" ht="20.1" customHeight="1">
      <c r="A761" s="6" t="inlineStr">
        <is>
          <t>Unsolved</t>
        </is>
      </c>
      <c r="B761" s="7" t="inlineStr">
        <is>
          <t>Fenwick Tree (BIT)</t>
        </is>
      </c>
      <c r="C761" s="7" t="inlineStr">
        <is>
          <t>Permutation Construction</t>
        </is>
      </c>
      <c r="D761" s="6" t="inlineStr">
        <is>
          <t>1265C</t>
        </is>
      </c>
      <c r="E761" s="6" t="n">
        <v>1265</v>
      </c>
      <c r="F761" s="6" t="inlineStr">
        <is>
          <t>C</t>
        </is>
      </c>
      <c r="G761" s="7" t="inlineStr">
        <is>
          <t>UNKNOWN</t>
        </is>
      </c>
      <c r="H761" s="6" t="inlineStr">
        <is>
          <t>UNKNOWN</t>
        </is>
      </c>
      <c r="I761" s="11" t="inlineStr">
        <is>
          <t>UNKNOWN</t>
        </is>
      </c>
      <c r="J761" s="7" t="inlineStr">
        <is>
          <t>UNKNOWN</t>
        </is>
      </c>
      <c r="K761" s="6" t="n">
        <v>0</v>
      </c>
      <c r="L761" s="6" t="n">
        <v>0</v>
      </c>
      <c r="M761" s="8" t="inlineStr">
        <is>
          <t>https://codeforces.com/problemset/problem/1265/C</t>
        </is>
      </c>
      <c r="N761" s="7" t="n"/>
    </row>
    <row r="762" ht="20.1" customHeight="1">
      <c r="A762" s="2" t="inlineStr">
        <is>
          <t>Unsolved</t>
        </is>
      </c>
      <c r="B762" s="3" t="inlineStr">
        <is>
          <t>Fenwick Tree (BIT)</t>
        </is>
      </c>
      <c r="C762" s="3" t="inlineStr">
        <is>
          <t>Permutation Construction</t>
        </is>
      </c>
      <c r="D762" s="2" t="inlineStr">
        <is>
          <t>1340A</t>
        </is>
      </c>
      <c r="E762" s="2" t="n">
        <v>1340</v>
      </c>
      <c r="F762" s="2" t="inlineStr">
        <is>
          <t>A</t>
        </is>
      </c>
      <c r="G762" s="3" t="inlineStr">
        <is>
          <t>Nastya and Strange Generator</t>
        </is>
      </c>
      <c r="H762" s="2" t="n">
        <v>1500</v>
      </c>
      <c r="I762" s="9" t="inlineStr">
        <is>
          <t>Medium+</t>
        </is>
      </c>
      <c r="J762" s="3" t="inlineStr">
        <is>
          <t>brute force, data structures, greedy, implementation</t>
        </is>
      </c>
      <c r="K762" s="2" t="n">
        <v>40</v>
      </c>
      <c r="L762" s="2" t="n">
        <v>35</v>
      </c>
      <c r="M762" s="5" t="inlineStr">
        <is>
          <t>https://codeforces.com/problemset/problem/1340/A</t>
        </is>
      </c>
      <c r="N762" s="3" t="n"/>
    </row>
    <row r="763" ht="20.1" customHeight="1">
      <c r="A763" s="6" t="inlineStr">
        <is>
          <t>Unsolved</t>
        </is>
      </c>
      <c r="B763" s="7" t="inlineStr">
        <is>
          <t>Fenwick Tree (BIT)</t>
        </is>
      </c>
      <c r="C763" s="7" t="inlineStr">
        <is>
          <t>Permutation Construction</t>
        </is>
      </c>
      <c r="D763" s="6" t="inlineStr">
        <is>
          <t>1530D</t>
        </is>
      </c>
      <c r="E763" s="6" t="n">
        <v>1530</v>
      </c>
      <c r="F763" s="6" t="inlineStr">
        <is>
          <t>D</t>
        </is>
      </c>
      <c r="G763" s="7" t="inlineStr">
        <is>
          <t>Secret Santa</t>
        </is>
      </c>
      <c r="H763" s="6" t="n">
        <v>1600</v>
      </c>
      <c r="I763" s="9" t="inlineStr">
        <is>
          <t>Medium+</t>
        </is>
      </c>
      <c r="J763" s="7" t="inlineStr">
        <is>
          <t>constructive algorithms, flows, graphs, greedy, math</t>
        </is>
      </c>
      <c r="K763" s="6" t="n">
        <v>40</v>
      </c>
      <c r="L763" s="6" t="n">
        <v>35</v>
      </c>
      <c r="M763" s="8" t="inlineStr">
        <is>
          <t>https://codeforces.com/problemset/problem/1530/D</t>
        </is>
      </c>
      <c r="N763" s="7" t="n"/>
    </row>
    <row r="764" ht="20.1" customHeight="1">
      <c r="A764" s="2" t="inlineStr">
        <is>
          <t>Unsolved</t>
        </is>
      </c>
      <c r="B764" s="3" t="inlineStr">
        <is>
          <t>Fenwick Tree (BIT)</t>
        </is>
      </c>
      <c r="C764" s="3" t="inlineStr">
        <is>
          <t>Permutation Construction</t>
        </is>
      </c>
      <c r="D764" s="2" t="inlineStr">
        <is>
          <t>1612B</t>
        </is>
      </c>
      <c r="E764" s="2" t="n">
        <v>1612</v>
      </c>
      <c r="F764" s="2" t="inlineStr">
        <is>
          <t>B</t>
        </is>
      </c>
      <c r="G764" s="3" t="inlineStr">
        <is>
          <t>Special Permutation</t>
        </is>
      </c>
      <c r="H764" s="2" t="n">
        <v>900</v>
      </c>
      <c r="I764" s="4" t="inlineStr">
        <is>
          <t>Easy</t>
        </is>
      </c>
      <c r="J764" s="3" t="inlineStr">
        <is>
          <t>constructive algorithms, greedy</t>
        </is>
      </c>
      <c r="K764" s="2" t="n">
        <v>15</v>
      </c>
      <c r="L764" s="2" t="n">
        <v>10</v>
      </c>
      <c r="M764" s="5" t="inlineStr">
        <is>
          <t>https://codeforces.com/problemset/problem/1612/B</t>
        </is>
      </c>
      <c r="N764" s="3" t="n"/>
    </row>
    <row r="765" ht="20.1" customHeight="1">
      <c r="A765" s="6" t="inlineStr">
        <is>
          <t>Unsolved</t>
        </is>
      </c>
      <c r="B765" s="7" t="inlineStr">
        <is>
          <t>Fenwick Tree (BIT)</t>
        </is>
      </c>
      <c r="C765" s="7" t="inlineStr">
        <is>
          <t>Interactive Construction Ideas</t>
        </is>
      </c>
      <c r="D765" s="6" t="inlineStr">
        <is>
          <t>1270D</t>
        </is>
      </c>
      <c r="E765" s="6" t="n">
        <v>1270</v>
      </c>
      <c r="F765" s="6" t="inlineStr">
        <is>
          <t>D</t>
        </is>
      </c>
      <c r="G765" s="7" t="inlineStr">
        <is>
          <t>Strange Device</t>
        </is>
      </c>
      <c r="H765" s="6" t="n">
        <v>1900</v>
      </c>
      <c r="I765" s="10" t="inlineStr">
        <is>
          <t>Hard+</t>
        </is>
      </c>
      <c r="J765" s="7" t="inlineStr">
        <is>
          <t>constructive algorithms, interactive, math, sortings</t>
        </is>
      </c>
      <c r="K765" s="6" t="n">
        <v>60</v>
      </c>
      <c r="L765" s="6" t="n">
        <v>55</v>
      </c>
      <c r="M765" s="8" t="inlineStr">
        <is>
          <t>https://codeforces.com/problemset/problem/1270/D</t>
        </is>
      </c>
      <c r="N765" s="7" t="n"/>
    </row>
    <row r="766" ht="20.1" customHeight="1">
      <c r="A766" s="2" t="inlineStr">
        <is>
          <t>Unsolved</t>
        </is>
      </c>
      <c r="B766" s="3" t="inlineStr">
        <is>
          <t>Fenwick Tree (BIT)</t>
        </is>
      </c>
      <c r="C766" s="3" t="inlineStr">
        <is>
          <t>Interactive Construction Ideas</t>
        </is>
      </c>
      <c r="D766" s="2" t="inlineStr">
        <is>
          <t>1451E1</t>
        </is>
      </c>
      <c r="E766" s="2" t="n">
        <v>1451</v>
      </c>
      <c r="F766" s="2" t="inlineStr">
        <is>
          <t>E1</t>
        </is>
      </c>
      <c r="G766" s="3" t="inlineStr">
        <is>
          <t>Bitwise Queries (Easy Version)</t>
        </is>
      </c>
      <c r="H766" s="2" t="n">
        <v>2000</v>
      </c>
      <c r="I766" s="10" t="inlineStr">
        <is>
          <t>Hard+</t>
        </is>
      </c>
      <c r="J766" s="3" t="inlineStr">
        <is>
          <t>bitmasks, constructive algorithms, interactive, math</t>
        </is>
      </c>
      <c r="K766" s="2" t="n">
        <v>90</v>
      </c>
      <c r="L766" s="2" t="n">
        <v>80</v>
      </c>
      <c r="M766" s="5" t="inlineStr">
        <is>
          <t>https://codeforces.com/problemset/problem/1451/E1</t>
        </is>
      </c>
      <c r="N766" s="3" t="n"/>
    </row>
    <row r="767" ht="20.1" customHeight="1">
      <c r="A767" s="6" t="inlineStr">
        <is>
          <t>Unsolved</t>
        </is>
      </c>
      <c r="B767" s="7" t="inlineStr">
        <is>
          <t>Fenwick Tree (BIT)</t>
        </is>
      </c>
      <c r="C767" s="7" t="inlineStr">
        <is>
          <t>Interactive Construction Ideas</t>
        </is>
      </c>
      <c r="D767" s="6" t="inlineStr">
        <is>
          <t>1451E2</t>
        </is>
      </c>
      <c r="E767" s="6" t="n">
        <v>1451</v>
      </c>
      <c r="F767" s="6" t="inlineStr">
        <is>
          <t>E2</t>
        </is>
      </c>
      <c r="G767" s="7" t="inlineStr">
        <is>
          <t>Bitwise Queries (Hard Version)</t>
        </is>
      </c>
      <c r="H767" s="6" t="n">
        <v>2300</v>
      </c>
      <c r="I767" s="12" t="inlineStr">
        <is>
          <t>Expert</t>
        </is>
      </c>
      <c r="J767" s="7" t="inlineStr">
        <is>
          <t>bitmasks, constructive algorithms, interactive, math</t>
        </is>
      </c>
      <c r="K767" s="6" t="n">
        <v>120</v>
      </c>
      <c r="L767" s="6" t="n">
        <v>110</v>
      </c>
      <c r="M767" s="8" t="inlineStr">
        <is>
          <t>https://codeforces.com/problemset/problem/1451/E2</t>
        </is>
      </c>
      <c r="N767" s="7" t="n"/>
    </row>
    <row r="768" ht="20.1" customHeight="1">
      <c r="A768" s="2" t="inlineStr">
        <is>
          <t>Unsolved</t>
        </is>
      </c>
      <c r="B768" s="3" t="inlineStr">
        <is>
          <t>Fenwick Tree (BIT)</t>
        </is>
      </c>
      <c r="C768" s="3" t="inlineStr">
        <is>
          <t>Interactive Construction Ideas</t>
        </is>
      </c>
      <c r="D768" s="2" t="inlineStr">
        <is>
          <t>1592D</t>
        </is>
      </c>
      <c r="E768" s="2" t="n">
        <v>1592</v>
      </c>
      <c r="F768" s="2" t="inlineStr">
        <is>
          <t>D</t>
        </is>
      </c>
      <c r="G768" s="3" t="inlineStr">
        <is>
          <t>Hemose in ICPC ?</t>
        </is>
      </c>
      <c r="H768" s="2" t="n">
        <v>2300</v>
      </c>
      <c r="I768" s="12" t="inlineStr">
        <is>
          <t>Expert</t>
        </is>
      </c>
      <c r="J768" s="3" t="inlineStr">
        <is>
          <t>binary search, dfs and similar, implementation, interactive, math, number theory, trees</t>
        </is>
      </c>
      <c r="K768" s="2" t="n">
        <v>120</v>
      </c>
      <c r="L768" s="2" t="n">
        <v>110</v>
      </c>
      <c r="M768" s="5" t="inlineStr">
        <is>
          <t>https://codeforces.com/problemset/problem/1592/D</t>
        </is>
      </c>
      <c r="N768" s="3" t="n"/>
    </row>
    <row r="769" ht="20.1" customHeight="1">
      <c r="A769" s="6" t="inlineStr">
        <is>
          <t>Unsolved</t>
        </is>
      </c>
      <c r="B769" s="7" t="inlineStr">
        <is>
          <t>Advanced Topics</t>
        </is>
      </c>
      <c r="C769" s="7" t="inlineStr">
        <is>
          <t>Computational Geometry</t>
        </is>
      </c>
      <c r="D769" s="6" t="inlineStr">
        <is>
          <t>166B</t>
        </is>
      </c>
      <c r="E769" s="6" t="n">
        <v>166</v>
      </c>
      <c r="F769" s="6" t="inlineStr">
        <is>
          <t>B</t>
        </is>
      </c>
      <c r="G769" s="7" t="inlineStr">
        <is>
          <t>Polygons</t>
        </is>
      </c>
      <c r="H769" s="6" t="n">
        <v>2100</v>
      </c>
      <c r="I769" s="12" t="inlineStr">
        <is>
          <t>Expert</t>
        </is>
      </c>
      <c r="J769" s="7" t="inlineStr">
        <is>
          <t>geometry, sortings</t>
        </is>
      </c>
      <c r="K769" s="6" t="n">
        <v>90</v>
      </c>
      <c r="L769" s="6" t="n">
        <v>80</v>
      </c>
      <c r="M769" s="8" t="inlineStr">
        <is>
          <t>https://codeforces.com/problemset/problem/166/B</t>
        </is>
      </c>
      <c r="N769" s="7" t="n"/>
    </row>
    <row r="770" ht="20.1" customHeight="1">
      <c r="A770" s="2" t="inlineStr">
        <is>
          <t>Unsolved</t>
        </is>
      </c>
      <c r="B770" s="3" t="inlineStr">
        <is>
          <t>Advanced Topics</t>
        </is>
      </c>
      <c r="C770" s="3" t="inlineStr">
        <is>
          <t>Computational Geometry</t>
        </is>
      </c>
      <c r="D770" s="2" t="inlineStr">
        <is>
          <t>598C</t>
        </is>
      </c>
      <c r="E770" s="2" t="n">
        <v>598</v>
      </c>
      <c r="F770" s="2" t="inlineStr">
        <is>
          <t>C</t>
        </is>
      </c>
      <c r="G770" s="3" t="inlineStr">
        <is>
          <t>Nearest vectors</t>
        </is>
      </c>
      <c r="H770" s="2" t="n">
        <v>2300</v>
      </c>
      <c r="I770" s="12" t="inlineStr">
        <is>
          <t>Expert</t>
        </is>
      </c>
      <c r="J770" s="3" t="inlineStr">
        <is>
          <t>geometry, sortings</t>
        </is>
      </c>
      <c r="K770" s="2" t="n">
        <v>120</v>
      </c>
      <c r="L770" s="2" t="n">
        <v>110</v>
      </c>
      <c r="M770" s="5" t="inlineStr">
        <is>
          <t>https://codeforces.com/problemset/problem/598/C</t>
        </is>
      </c>
      <c r="N770" s="3" t="n"/>
    </row>
    <row r="771" ht="20.1" customHeight="1">
      <c r="A771" s="6" t="inlineStr">
        <is>
          <t>Unsolved</t>
        </is>
      </c>
      <c r="B771" s="7" t="inlineStr">
        <is>
          <t>Advanced Topics</t>
        </is>
      </c>
      <c r="C771" s="7" t="inlineStr">
        <is>
          <t>Computational Geometry</t>
        </is>
      </c>
      <c r="D771" s="6" t="inlineStr">
        <is>
          <t>613A</t>
        </is>
      </c>
      <c r="E771" s="6" t="n">
        <v>613</v>
      </c>
      <c r="F771" s="6" t="inlineStr">
        <is>
          <t>A</t>
        </is>
      </c>
      <c r="G771" s="7" t="inlineStr">
        <is>
          <t>Peter and Snow Blower</t>
        </is>
      </c>
      <c r="H771" s="6" t="n">
        <v>1900</v>
      </c>
      <c r="I771" s="10" t="inlineStr">
        <is>
          <t>Hard+</t>
        </is>
      </c>
      <c r="J771" s="7" t="inlineStr">
        <is>
          <t>binary search, geometry, ternary search</t>
        </is>
      </c>
      <c r="K771" s="6" t="n">
        <v>60</v>
      </c>
      <c r="L771" s="6" t="n">
        <v>55</v>
      </c>
      <c r="M771" s="8" t="inlineStr">
        <is>
          <t>https://codeforces.com/problemset/problem/613/A</t>
        </is>
      </c>
      <c r="N771" s="7" t="n"/>
    </row>
    <row r="772" ht="20.1" customHeight="1">
      <c r="A772" s="2" t="inlineStr">
        <is>
          <t>Unsolved</t>
        </is>
      </c>
      <c r="B772" s="3" t="inlineStr">
        <is>
          <t>Advanced Topics</t>
        </is>
      </c>
      <c r="C772" s="3" t="inlineStr">
        <is>
          <t>Computational Geometry</t>
        </is>
      </c>
      <c r="D772" s="2" t="inlineStr">
        <is>
          <t>961D</t>
        </is>
      </c>
      <c r="E772" s="2" t="n">
        <v>961</v>
      </c>
      <c r="F772" s="2" t="inlineStr">
        <is>
          <t>D</t>
        </is>
      </c>
      <c r="G772" s="3" t="inlineStr">
        <is>
          <t>Pair Of Lines</t>
        </is>
      </c>
      <c r="H772" s="2" t="n">
        <v>2000</v>
      </c>
      <c r="I772" s="10" t="inlineStr">
        <is>
          <t>Hard+</t>
        </is>
      </c>
      <c r="J772" s="3" t="inlineStr">
        <is>
          <t>geometry</t>
        </is>
      </c>
      <c r="K772" s="2" t="n">
        <v>90</v>
      </c>
      <c r="L772" s="2" t="n">
        <v>80</v>
      </c>
      <c r="M772" s="5" t="inlineStr">
        <is>
          <t>https://codeforces.com/problemset/problem/961/D</t>
        </is>
      </c>
      <c r="N772" s="3" t="n"/>
    </row>
    <row r="773" ht="20.1" customHeight="1">
      <c r="A773" s="6" t="inlineStr">
        <is>
          <t>Unsolved</t>
        </is>
      </c>
      <c r="B773" s="7" t="inlineStr">
        <is>
          <t>Advanced Topics</t>
        </is>
      </c>
      <c r="C773" s="7" t="inlineStr">
        <is>
          <t>Computational Geometry</t>
        </is>
      </c>
      <c r="D773" s="6" t="inlineStr">
        <is>
          <t>1299B</t>
        </is>
      </c>
      <c r="E773" s="6" t="n">
        <v>1299</v>
      </c>
      <c r="F773" s="6" t="inlineStr">
        <is>
          <t>B</t>
        </is>
      </c>
      <c r="G773" s="7" t="inlineStr">
        <is>
          <t>Aerodynamic</t>
        </is>
      </c>
      <c r="H773" s="6" t="n">
        <v>1800</v>
      </c>
      <c r="I773" s="10" t="inlineStr">
        <is>
          <t>Hard</t>
        </is>
      </c>
      <c r="J773" s="7" t="inlineStr">
        <is>
          <t>geometry</t>
        </is>
      </c>
      <c r="K773" s="6" t="n">
        <v>60</v>
      </c>
      <c r="L773" s="6" t="n">
        <v>55</v>
      </c>
      <c r="M773" s="8" t="inlineStr">
        <is>
          <t>https://codeforces.com/problemset/problem/1299/B</t>
        </is>
      </c>
      <c r="N773" s="7" t="n"/>
    </row>
    <row r="774" ht="20.1" customHeight="1">
      <c r="A774" s="2" t="inlineStr">
        <is>
          <t>Unsolved</t>
        </is>
      </c>
      <c r="B774" s="3" t="inlineStr">
        <is>
          <t>Advanced Topics</t>
        </is>
      </c>
      <c r="C774" s="3" t="inlineStr">
        <is>
          <t>Computational Geometry</t>
        </is>
      </c>
      <c r="D774" s="2" t="inlineStr">
        <is>
          <t>1359F</t>
        </is>
      </c>
      <c r="E774" s="2" t="n">
        <v>1359</v>
      </c>
      <c r="F774" s="2" t="inlineStr">
        <is>
          <t>F</t>
        </is>
      </c>
      <c r="G774" s="3" t="inlineStr">
        <is>
          <t>RC Kaboom Show</t>
        </is>
      </c>
      <c r="H774" s="2" t="n">
        <v>2900</v>
      </c>
      <c r="I774" s="12" t="inlineStr">
        <is>
          <t>Master</t>
        </is>
      </c>
      <c r="J774" s="3" t="inlineStr">
        <is>
          <t>binary search, brute force, data structures, geometry, math</t>
        </is>
      </c>
      <c r="K774" s="2" t="n">
        <v>180</v>
      </c>
      <c r="L774" s="2" t="n">
        <v>150</v>
      </c>
      <c r="M774" s="5" t="inlineStr">
        <is>
          <t>https://codeforces.com/problemset/problem/1359/F</t>
        </is>
      </c>
      <c r="N774" s="3" t="n"/>
    </row>
    <row r="775" ht="20.1" customHeight="1">
      <c r="A775" s="6" t="inlineStr">
        <is>
          <t>Unsolved</t>
        </is>
      </c>
      <c r="B775" s="7" t="inlineStr">
        <is>
          <t>Advanced Topics</t>
        </is>
      </c>
      <c r="C775" s="7" t="inlineStr">
        <is>
          <t>Coordinate Geometry</t>
        </is>
      </c>
      <c r="D775" s="6" t="inlineStr">
        <is>
          <t>166A</t>
        </is>
      </c>
      <c r="E775" s="6" t="n">
        <v>166</v>
      </c>
      <c r="F775" s="6" t="inlineStr">
        <is>
          <t>A</t>
        </is>
      </c>
      <c r="G775" s="7" t="inlineStr">
        <is>
          <t>Rank List</t>
        </is>
      </c>
      <c r="H775" s="6" t="n">
        <v>1100</v>
      </c>
      <c r="I775" s="4" t="inlineStr">
        <is>
          <t>Easy+</t>
        </is>
      </c>
      <c r="J775" s="7" t="inlineStr">
        <is>
          <t>binary search, implementation, sortings</t>
        </is>
      </c>
      <c r="K775" s="6" t="n">
        <v>25</v>
      </c>
      <c r="L775" s="6" t="n">
        <v>20</v>
      </c>
      <c r="M775" s="8" t="inlineStr">
        <is>
          <t>https://codeforces.com/problemset/problem/166/A</t>
        </is>
      </c>
      <c r="N775" s="7" t="n"/>
    </row>
    <row r="776" ht="20.1" customHeight="1">
      <c r="A776" s="2" t="inlineStr">
        <is>
          <t>Unsolved</t>
        </is>
      </c>
      <c r="B776" s="3" t="inlineStr">
        <is>
          <t>Advanced Topics</t>
        </is>
      </c>
      <c r="C776" s="3" t="inlineStr">
        <is>
          <t>Coordinate Geometry</t>
        </is>
      </c>
      <c r="D776" s="2" t="inlineStr">
        <is>
          <t>617D</t>
        </is>
      </c>
      <c r="E776" s="2" t="n">
        <v>617</v>
      </c>
      <c r="F776" s="2" t="inlineStr">
        <is>
          <t>D</t>
        </is>
      </c>
      <c r="G776" s="3" t="inlineStr">
        <is>
          <t>Polyline</t>
        </is>
      </c>
      <c r="H776" s="2" t="n">
        <v>1700</v>
      </c>
      <c r="I776" s="10" t="inlineStr">
        <is>
          <t>Hard</t>
        </is>
      </c>
      <c r="J776" s="3" t="inlineStr">
        <is>
          <t>constructive algorithms, implementation</t>
        </is>
      </c>
      <c r="K776" s="2" t="n">
        <v>60</v>
      </c>
      <c r="L776" s="2" t="n">
        <v>55</v>
      </c>
      <c r="M776" s="5" t="inlineStr">
        <is>
          <t>https://codeforces.com/problemset/problem/617/D</t>
        </is>
      </c>
      <c r="N776" s="3" t="n"/>
    </row>
    <row r="777" ht="20.1" customHeight="1">
      <c r="A777" s="6" t="inlineStr">
        <is>
          <t>Unsolved</t>
        </is>
      </c>
      <c r="B777" s="7" t="inlineStr">
        <is>
          <t>Advanced Topics</t>
        </is>
      </c>
      <c r="C777" s="7" t="inlineStr">
        <is>
          <t>Coordinate Geometry</t>
        </is>
      </c>
      <c r="D777" s="6" t="inlineStr">
        <is>
          <t>1195C</t>
        </is>
      </c>
      <c r="E777" s="6" t="n">
        <v>1195</v>
      </c>
      <c r="F777" s="6" t="inlineStr">
        <is>
          <t>C</t>
        </is>
      </c>
      <c r="G777" s="7" t="inlineStr">
        <is>
          <t>Basketball Exercise</t>
        </is>
      </c>
      <c r="H777" s="6" t="n">
        <v>1400</v>
      </c>
      <c r="I777" s="9" t="inlineStr">
        <is>
          <t>Medium</t>
        </is>
      </c>
      <c r="J777" s="7" t="inlineStr">
        <is>
          <t>dp</t>
        </is>
      </c>
      <c r="K777" s="6" t="n">
        <v>40</v>
      </c>
      <c r="L777" s="6" t="n">
        <v>35</v>
      </c>
      <c r="M777" s="8" t="inlineStr">
        <is>
          <t>https://codeforces.com/problemset/problem/1195/C</t>
        </is>
      </c>
      <c r="N777" s="7" t="n"/>
    </row>
    <row r="778" ht="20.1" customHeight="1">
      <c r="A778" s="2" t="inlineStr">
        <is>
          <t>Unsolved</t>
        </is>
      </c>
      <c r="B778" s="3" t="inlineStr">
        <is>
          <t>Advanced Topics</t>
        </is>
      </c>
      <c r="C778" s="3" t="inlineStr">
        <is>
          <t>Interactive Problems</t>
        </is>
      </c>
      <c r="D778" s="2" t="inlineStr">
        <is>
          <t>843B</t>
        </is>
      </c>
      <c r="E778" s="2" t="n">
        <v>843</v>
      </c>
      <c r="F778" s="2" t="inlineStr">
        <is>
          <t>B</t>
        </is>
      </c>
      <c r="G778" s="3" t="inlineStr">
        <is>
          <t>Interactive LowerBound</t>
        </is>
      </c>
      <c r="H778" s="2" t="n">
        <v>2000</v>
      </c>
      <c r="I778" s="10" t="inlineStr">
        <is>
          <t>Hard+</t>
        </is>
      </c>
      <c r="J778" s="3" t="inlineStr">
        <is>
          <t>brute force, interactive, probabilities</t>
        </is>
      </c>
      <c r="K778" s="2" t="n">
        <v>90</v>
      </c>
      <c r="L778" s="2" t="n">
        <v>80</v>
      </c>
      <c r="M778" s="5" t="inlineStr">
        <is>
          <t>https://codeforces.com/problemset/problem/843/B</t>
        </is>
      </c>
      <c r="N778" s="3" t="n"/>
    </row>
    <row r="779" ht="20.1" customHeight="1">
      <c r="A779" s="6" t="inlineStr">
        <is>
          <t>Unsolved</t>
        </is>
      </c>
      <c r="B779" s="7" t="inlineStr">
        <is>
          <t>Advanced Topics</t>
        </is>
      </c>
      <c r="C779" s="7" t="inlineStr">
        <is>
          <t>Interactive Problems</t>
        </is>
      </c>
      <c r="D779" s="6" t="inlineStr">
        <is>
          <t>1016D</t>
        </is>
      </c>
      <c r="E779" s="6" t="n">
        <v>1016</v>
      </c>
      <c r="F779" s="6" t="inlineStr">
        <is>
          <t>D</t>
        </is>
      </c>
      <c r="G779" s="7" t="inlineStr">
        <is>
          <t>Vasya And The Matrix</t>
        </is>
      </c>
      <c r="H779" s="6" t="n">
        <v>1800</v>
      </c>
      <c r="I779" s="10" t="inlineStr">
        <is>
          <t>Hard</t>
        </is>
      </c>
      <c r="J779" s="7" t="inlineStr">
        <is>
          <t>constructive algorithms, flows, math</t>
        </is>
      </c>
      <c r="K779" s="6" t="n">
        <v>60</v>
      </c>
      <c r="L779" s="6" t="n">
        <v>55</v>
      </c>
      <c r="M779" s="8" t="inlineStr">
        <is>
          <t>https://codeforces.com/problemset/problem/1016/D</t>
        </is>
      </c>
      <c r="N779" s="7" t="n"/>
    </row>
    <row r="780" ht="20.1" customHeight="1">
      <c r="A780" s="2" t="inlineStr">
        <is>
          <t>Unsolved</t>
        </is>
      </c>
      <c r="B780" s="3" t="inlineStr">
        <is>
          <t>Advanced Topics</t>
        </is>
      </c>
      <c r="C780" s="3" t="inlineStr">
        <is>
          <t>Interactive Problems</t>
        </is>
      </c>
      <c r="D780" s="2" t="inlineStr">
        <is>
          <t>1698D</t>
        </is>
      </c>
      <c r="E780" s="2" t="n">
        <v>1698</v>
      </c>
      <c r="F780" s="2" t="inlineStr">
        <is>
          <t>D</t>
        </is>
      </c>
      <c r="G780" s="3" t="inlineStr">
        <is>
          <t>Fixed Point Guessing</t>
        </is>
      </c>
      <c r="H780" s="2" t="n">
        <v>1600</v>
      </c>
      <c r="I780" s="9" t="inlineStr">
        <is>
          <t>Medium+</t>
        </is>
      </c>
      <c r="J780" s="3" t="inlineStr">
        <is>
          <t>binary search, constructive algorithms, interactive</t>
        </is>
      </c>
      <c r="K780" s="2" t="n">
        <v>40</v>
      </c>
      <c r="L780" s="2" t="n">
        <v>35</v>
      </c>
      <c r="M780" s="5" t="inlineStr">
        <is>
          <t>https://codeforces.com/problemset/problem/1698/D</t>
        </is>
      </c>
      <c r="N780" s="3" t="n"/>
    </row>
    <row r="781" ht="20.1" customHeight="1">
      <c r="A781" s="6" t="inlineStr">
        <is>
          <t>Unsolved</t>
        </is>
      </c>
      <c r="B781" s="7" t="inlineStr">
        <is>
          <t>Advanced Topics</t>
        </is>
      </c>
      <c r="C781" s="7" t="inlineStr">
        <is>
          <t>Ad-hoc / Observation</t>
        </is>
      </c>
      <c r="D781" s="6" t="inlineStr">
        <is>
          <t>1185C</t>
        </is>
      </c>
      <c r="E781" s="6" t="n">
        <v>1185</v>
      </c>
      <c r="F781" s="6" t="inlineStr">
        <is>
          <t>C</t>
        </is>
      </c>
      <c r="G781" s="7" t="inlineStr">
        <is>
          <t>UNKNOWN</t>
        </is>
      </c>
      <c r="H781" s="6" t="inlineStr">
        <is>
          <t>UNKNOWN</t>
        </is>
      </c>
      <c r="I781" s="11" t="inlineStr">
        <is>
          <t>UNKNOWN</t>
        </is>
      </c>
      <c r="J781" s="7" t="inlineStr">
        <is>
          <t>UNKNOWN</t>
        </is>
      </c>
      <c r="K781" s="6" t="n">
        <v>0</v>
      </c>
      <c r="L781" s="6" t="n">
        <v>0</v>
      </c>
      <c r="M781" s="8" t="inlineStr">
        <is>
          <t>https://codeforces.com/problemset/problem/1185/C</t>
        </is>
      </c>
      <c r="N781" s="7" t="n"/>
    </row>
    <row r="782" ht="20.1" customHeight="1">
      <c r="A782" s="2" t="inlineStr">
        <is>
          <t>Unsolved</t>
        </is>
      </c>
      <c r="B782" s="3" t="inlineStr">
        <is>
          <t>Advanced Topics</t>
        </is>
      </c>
      <c r="C782" s="3" t="inlineStr">
        <is>
          <t>Ad-hoc / Observation</t>
        </is>
      </c>
      <c r="D782" s="2" t="inlineStr">
        <is>
          <t>1485A</t>
        </is>
      </c>
      <c r="E782" s="2" t="n">
        <v>1485</v>
      </c>
      <c r="F782" s="2" t="inlineStr">
        <is>
          <t>A</t>
        </is>
      </c>
      <c r="G782" s="3" t="inlineStr">
        <is>
          <t>Add and Divide</t>
        </is>
      </c>
      <c r="H782" s="2" t="n">
        <v>1000</v>
      </c>
      <c r="I782" s="4" t="inlineStr">
        <is>
          <t>Easy+</t>
        </is>
      </c>
      <c r="J782" s="3" t="inlineStr">
        <is>
          <t>brute force, greedy, math, number theory</t>
        </is>
      </c>
      <c r="K782" s="2" t="n">
        <v>15</v>
      </c>
      <c r="L782" s="2" t="n">
        <v>10</v>
      </c>
      <c r="M782" s="5" t="inlineStr">
        <is>
          <t>https://codeforces.com/problemset/problem/1485/A</t>
        </is>
      </c>
      <c r="N782" s="3" t="n"/>
    </row>
    <row r="783" ht="20.1" customHeight="1">
      <c r="A783" s="6" t="inlineStr">
        <is>
          <t>Unsolved</t>
        </is>
      </c>
      <c r="B783" s="7" t="inlineStr">
        <is>
          <t>Advanced Topics</t>
        </is>
      </c>
      <c r="C783" s="7" t="inlineStr">
        <is>
          <t>Ad-hoc / Observation</t>
        </is>
      </c>
      <c r="D783" s="6" t="inlineStr">
        <is>
          <t>1520B</t>
        </is>
      </c>
      <c r="E783" s="6" t="n">
        <v>1520</v>
      </c>
      <c r="F783" s="6" t="inlineStr">
        <is>
          <t>B</t>
        </is>
      </c>
      <c r="G783" s="7" t="inlineStr">
        <is>
          <t>Ordinary Numbers</t>
        </is>
      </c>
      <c r="H783" s="6" t="n">
        <v>800</v>
      </c>
      <c r="I783" s="4" t="inlineStr">
        <is>
          <t>Easy</t>
        </is>
      </c>
      <c r="J783" s="7" t="inlineStr">
        <is>
          <t>brute force, math, number theory</t>
        </is>
      </c>
      <c r="K783" s="6" t="n">
        <v>15</v>
      </c>
      <c r="L783" s="6" t="n">
        <v>10</v>
      </c>
      <c r="M783" s="8" t="inlineStr">
        <is>
          <t>https://codeforces.com/problemset/problem/1520/B</t>
        </is>
      </c>
      <c r="N783" s="7" t="n"/>
    </row>
    <row r="784" ht="20.1" customHeight="1">
      <c r="A784" s="2" t="inlineStr">
        <is>
          <t>Unsolved</t>
        </is>
      </c>
      <c r="B784" s="3" t="inlineStr">
        <is>
          <t>Advanced Topics</t>
        </is>
      </c>
      <c r="C784" s="3" t="inlineStr">
        <is>
          <t>Ad-hoc / Observation</t>
        </is>
      </c>
      <c r="D784" s="2" t="inlineStr">
        <is>
          <t>1562B</t>
        </is>
      </c>
      <c r="E784" s="2" t="n">
        <v>1562</v>
      </c>
      <c r="F784" s="2" t="inlineStr">
        <is>
          <t>B</t>
        </is>
      </c>
      <c r="G784" s="3" t="inlineStr">
        <is>
          <t>Scenes From a Memory</t>
        </is>
      </c>
      <c r="H784" s="2" t="n">
        <v>1000</v>
      </c>
      <c r="I784" s="4" t="inlineStr">
        <is>
          <t>Easy+</t>
        </is>
      </c>
      <c r="J784" s="3" t="inlineStr">
        <is>
          <t>brute force, constructive algorithms, implementation, math, number theory</t>
        </is>
      </c>
      <c r="K784" s="2" t="n">
        <v>15</v>
      </c>
      <c r="L784" s="2" t="n">
        <v>10</v>
      </c>
      <c r="M784" s="5" t="inlineStr">
        <is>
          <t>https://codeforces.com/problemset/problem/1562/B</t>
        </is>
      </c>
      <c r="N784" s="3" t="n"/>
    </row>
    <row r="785" ht="20.1" customHeight="1">
      <c r="A785" s="6" t="inlineStr">
        <is>
          <t>Unsolved</t>
        </is>
      </c>
      <c r="B785" s="7" t="inlineStr">
        <is>
          <t>Advanced Topics</t>
        </is>
      </c>
      <c r="C785" s="7" t="inlineStr">
        <is>
          <t>Mixed Expert Problems</t>
        </is>
      </c>
      <c r="D785" s="6" t="inlineStr">
        <is>
          <t>487B</t>
        </is>
      </c>
      <c r="E785" s="6" t="n">
        <v>487</v>
      </c>
      <c r="F785" s="6" t="inlineStr">
        <is>
          <t>B</t>
        </is>
      </c>
      <c r="G785" s="7" t="inlineStr">
        <is>
          <t>Strip</t>
        </is>
      </c>
      <c r="H785" s="6" t="n">
        <v>2000</v>
      </c>
      <c r="I785" s="10" t="inlineStr">
        <is>
          <t>Hard+</t>
        </is>
      </c>
      <c r="J785" s="7" t="inlineStr">
        <is>
          <t>binary search, data structures, dp, two pointers</t>
        </is>
      </c>
      <c r="K785" s="6" t="n">
        <v>90</v>
      </c>
      <c r="L785" s="6" t="n">
        <v>80</v>
      </c>
      <c r="M785" s="8" t="inlineStr">
        <is>
          <t>https://codeforces.com/problemset/problem/487/B</t>
        </is>
      </c>
      <c r="N785" s="7" t="n"/>
    </row>
    <row r="786" ht="20.1" customHeight="1">
      <c r="A786" s="2" t="inlineStr">
        <is>
          <t>Unsolved</t>
        </is>
      </c>
      <c r="B786" s="3" t="inlineStr">
        <is>
          <t>Advanced Topics</t>
        </is>
      </c>
      <c r="C786" s="3" t="inlineStr">
        <is>
          <t>Mixed Expert Problems</t>
        </is>
      </c>
      <c r="D786" s="2" t="inlineStr">
        <is>
          <t>730I</t>
        </is>
      </c>
      <c r="E786" s="2" t="n">
        <v>730</v>
      </c>
      <c r="F786" s="2" t="inlineStr">
        <is>
          <t>I</t>
        </is>
      </c>
      <c r="G786" s="3" t="inlineStr">
        <is>
          <t>Olympiad in Programming and Sports</t>
        </is>
      </c>
      <c r="H786" s="2" t="n">
        <v>2000</v>
      </c>
      <c r="I786" s="10" t="inlineStr">
        <is>
          <t>Hard+</t>
        </is>
      </c>
      <c r="J786" s="3" t="inlineStr">
        <is>
          <t>dp, flows, graphs, greedy</t>
        </is>
      </c>
      <c r="K786" s="2" t="n">
        <v>90</v>
      </c>
      <c r="L786" s="2" t="n">
        <v>80</v>
      </c>
      <c r="M786" s="5" t="inlineStr">
        <is>
          <t>https://codeforces.com/problemset/problem/730/I</t>
        </is>
      </c>
      <c r="N786" s="3" t="n"/>
    </row>
    <row r="787" ht="20.1" customHeight="1">
      <c r="A787" s="6" t="inlineStr">
        <is>
          <t>Unsolved</t>
        </is>
      </c>
      <c r="B787" s="7" t="inlineStr">
        <is>
          <t>Advanced Topics</t>
        </is>
      </c>
      <c r="C787" s="7" t="inlineStr">
        <is>
          <t>Mixed Expert Problems</t>
        </is>
      </c>
      <c r="D787" s="6" t="inlineStr">
        <is>
          <t>1039D</t>
        </is>
      </c>
      <c r="E787" s="6" t="n">
        <v>1039</v>
      </c>
      <c r="F787" s="6" t="inlineStr">
        <is>
          <t>D</t>
        </is>
      </c>
      <c r="G787" s="7" t="inlineStr">
        <is>
          <t>You Are Given a Tree</t>
        </is>
      </c>
      <c r="H787" s="6" t="n">
        <v>2800</v>
      </c>
      <c r="I787" s="12" t="inlineStr">
        <is>
          <t>Master</t>
        </is>
      </c>
      <c r="J787" s="7" t="inlineStr">
        <is>
          <t>data structures, dp, trees</t>
        </is>
      </c>
      <c r="K787" s="6" t="n">
        <v>180</v>
      </c>
      <c r="L787" s="6" t="n">
        <v>150</v>
      </c>
      <c r="M787" s="8" t="inlineStr">
        <is>
          <t>https://codeforces.com/problemset/problem/1039/D</t>
        </is>
      </c>
      <c r="N787" s="7" t="n"/>
    </row>
    <row r="788" ht="20.1" customHeight="1">
      <c r="A788" s="2" t="inlineStr">
        <is>
          <t>Unsolved</t>
        </is>
      </c>
      <c r="B788" s="3" t="inlineStr">
        <is>
          <t>Advanced Topics</t>
        </is>
      </c>
      <c r="C788" s="3" t="inlineStr">
        <is>
          <t>Mixed Expert Problems</t>
        </is>
      </c>
      <c r="D788" s="2" t="inlineStr">
        <is>
          <t>1187G</t>
        </is>
      </c>
      <c r="E788" s="2" t="n">
        <v>1187</v>
      </c>
      <c r="F788" s="2" t="inlineStr">
        <is>
          <t>G</t>
        </is>
      </c>
      <c r="G788" s="3" t="inlineStr">
        <is>
          <t>Gang Up</t>
        </is>
      </c>
      <c r="H788" s="2" t="n">
        <v>2500</v>
      </c>
      <c r="I788" s="12" t="inlineStr">
        <is>
          <t>Master</t>
        </is>
      </c>
      <c r="J788" s="3" t="inlineStr">
        <is>
          <t>flows, graphs</t>
        </is>
      </c>
      <c r="K788" s="2" t="n">
        <v>120</v>
      </c>
      <c r="L788" s="2" t="n">
        <v>110</v>
      </c>
      <c r="M788" s="5" t="inlineStr">
        <is>
          <t>https://codeforces.com/problemset/problem/1187/G</t>
        </is>
      </c>
      <c r="N788" s="3" t="n"/>
    </row>
    <row r="789" ht="20.1" customHeight="1">
      <c r="A789" s="6" t="inlineStr">
        <is>
          <t>Unsolved</t>
        </is>
      </c>
      <c r="B789" s="7" t="inlineStr">
        <is>
          <t>Advanced Topics</t>
        </is>
      </c>
      <c r="C789" s="7" t="inlineStr">
        <is>
          <t>Mixed Expert Problems</t>
        </is>
      </c>
      <c r="D789" s="6" t="inlineStr">
        <is>
          <t>1388D</t>
        </is>
      </c>
      <c r="E789" s="6" t="n">
        <v>1388</v>
      </c>
      <c r="F789" s="6" t="inlineStr">
        <is>
          <t>D</t>
        </is>
      </c>
      <c r="G789" s="7" t="inlineStr">
        <is>
          <t>Captain Flint and Treasure</t>
        </is>
      </c>
      <c r="H789" s="6" t="n">
        <v>2000</v>
      </c>
      <c r="I789" s="10" t="inlineStr">
        <is>
          <t>Hard+</t>
        </is>
      </c>
      <c r="J789" s="7" t="inlineStr">
        <is>
          <t>data structures, dfs and similar, graphs, greedy, implementation, trees</t>
        </is>
      </c>
      <c r="K789" s="6" t="n">
        <v>90</v>
      </c>
      <c r="L789" s="6" t="n">
        <v>80</v>
      </c>
      <c r="M789" s="8" t="inlineStr">
        <is>
          <t>https://codeforces.com/problemset/problem/1388/D</t>
        </is>
      </c>
      <c r="N789" s="7" t="n"/>
    </row>
    <row r="790" ht="20.1" customHeight="1">
      <c r="A790" s="2" t="inlineStr">
        <is>
          <t>Unsolved</t>
        </is>
      </c>
      <c r="B790" s="3" t="inlineStr">
        <is>
          <t>Advanced Topics</t>
        </is>
      </c>
      <c r="C790" s="3" t="inlineStr">
        <is>
          <t>Mixed Expert Problems</t>
        </is>
      </c>
      <c r="D790" s="2" t="inlineStr">
        <is>
          <t>1601C</t>
        </is>
      </c>
      <c r="E790" s="2" t="n">
        <v>1601</v>
      </c>
      <c r="F790" s="2" t="inlineStr">
        <is>
          <t>C</t>
        </is>
      </c>
      <c r="G790" s="3" t="inlineStr">
        <is>
          <t>Optimal Insertion</t>
        </is>
      </c>
      <c r="H790" s="2" t="n">
        <v>2300</v>
      </c>
      <c r="I790" s="12" t="inlineStr">
        <is>
          <t>Expert</t>
        </is>
      </c>
      <c r="J790" s="3" t="inlineStr">
        <is>
          <t>data structures, divide and conquer, dp, greedy, sortings</t>
        </is>
      </c>
      <c r="K790" s="2" t="n">
        <v>120</v>
      </c>
      <c r="L790" s="2" t="n">
        <v>110</v>
      </c>
      <c r="M790" s="5" t="inlineStr">
        <is>
          <t>https://codeforces.com/problemset/problem/1601/C</t>
        </is>
      </c>
      <c r="N790" s="3" t="n"/>
    </row>
    <row r="791" ht="20.1" customHeight="1">
      <c r="A791" s="6" t="inlineStr">
        <is>
          <t>Unsolved</t>
        </is>
      </c>
      <c r="B791" s="7" t="inlineStr">
        <is>
          <t>Advanced Topics</t>
        </is>
      </c>
      <c r="C791" s="7" t="inlineStr">
        <is>
          <t>Mixed Expert Problems</t>
        </is>
      </c>
      <c r="D791" s="6" t="inlineStr">
        <is>
          <t>1731E</t>
        </is>
      </c>
      <c r="E791" s="6" t="n">
        <v>1731</v>
      </c>
      <c r="F791" s="6" t="inlineStr">
        <is>
          <t>E</t>
        </is>
      </c>
      <c r="G791" s="7" t="inlineStr">
        <is>
          <t>Graph Cost</t>
        </is>
      </c>
      <c r="H791" s="6" t="n">
        <v>2000</v>
      </c>
      <c r="I791" s="10" t="inlineStr">
        <is>
          <t>Hard+</t>
        </is>
      </c>
      <c r="J791" s="7" t="inlineStr">
        <is>
          <t>dp, greedy, math, number theory</t>
        </is>
      </c>
      <c r="K791" s="6" t="n">
        <v>90</v>
      </c>
      <c r="L791" s="6" t="n">
        <v>80</v>
      </c>
      <c r="M791" s="8" t="inlineStr">
        <is>
          <t>https://codeforces.com/problemset/problem/1731/E</t>
        </is>
      </c>
      <c r="N791" s="7" t="n"/>
    </row>
    <row r="792" ht="20.1" customHeight="1">
      <c r="A792" s="2" t="inlineStr">
        <is>
          <t>Unsolved</t>
        </is>
      </c>
      <c r="B792" s="3" t="inlineStr">
        <is>
          <t>Advanced Topics</t>
        </is>
      </c>
      <c r="C792" s="3" t="inlineStr">
        <is>
          <t>Mixed Expert Problems</t>
        </is>
      </c>
      <c r="D792" s="2" t="inlineStr">
        <is>
          <t>1842E</t>
        </is>
      </c>
      <c r="E792" s="2" t="n">
        <v>1842</v>
      </c>
      <c r="F792" s="2" t="inlineStr">
        <is>
          <t>E</t>
        </is>
      </c>
      <c r="G792" s="3" t="inlineStr">
        <is>
          <t>Tenzing and Triangle</t>
        </is>
      </c>
      <c r="H792" s="2" t="n">
        <v>2300</v>
      </c>
      <c r="I792" s="12" t="inlineStr">
        <is>
          <t>Expert</t>
        </is>
      </c>
      <c r="J792" s="3" t="inlineStr">
        <is>
          <t>data structures, dp, geometry, greedy, math</t>
        </is>
      </c>
      <c r="K792" s="2" t="n">
        <v>120</v>
      </c>
      <c r="L792" s="2" t="n">
        <v>110</v>
      </c>
      <c r="M792" s="5" t="inlineStr">
        <is>
          <t>https://codeforces.com/problemset/problem/1842/E</t>
        </is>
      </c>
      <c r="N792" s="3" t="n"/>
    </row>
    <row r="793" ht="20.1" customHeight="1">
      <c r="A793" s="6" t="inlineStr">
        <is>
          <t>Unsolved</t>
        </is>
      </c>
      <c r="B793" s="7" t="inlineStr">
        <is>
          <t>Advanced Topics</t>
        </is>
      </c>
      <c r="C793" s="7" t="inlineStr">
        <is>
          <t>Mixed Expert Problems</t>
        </is>
      </c>
      <c r="D793" s="6" t="inlineStr">
        <is>
          <t>1900E</t>
        </is>
      </c>
      <c r="E793" s="6" t="n">
        <v>1900</v>
      </c>
      <c r="F793" s="6" t="inlineStr">
        <is>
          <t>E</t>
        </is>
      </c>
      <c r="G793" s="7" t="inlineStr">
        <is>
          <t>Transitive Graph</t>
        </is>
      </c>
      <c r="H793" s="6" t="n">
        <v>2100</v>
      </c>
      <c r="I793" s="12" t="inlineStr">
        <is>
          <t>Expert</t>
        </is>
      </c>
      <c r="J793" s="7" t="inlineStr">
        <is>
          <t>dfs and similar, dp, dsu, graphs, implementation</t>
        </is>
      </c>
      <c r="K793" s="6" t="n">
        <v>90</v>
      </c>
      <c r="L793" s="6" t="n">
        <v>80</v>
      </c>
      <c r="M793" s="8" t="inlineStr">
        <is>
          <t>https://codeforces.com/problemset/problem/1900/E</t>
        </is>
      </c>
      <c r="N793" s="7" t="n"/>
    </row>
  </sheetData>
  <autoFilter ref="A1:N79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8" customWidth="1" min="3" max="3"/>
    <col width="21" customWidth="1" min="4" max="4"/>
    <col width="12" customWidth="1" min="5" max="5"/>
    <col width="16" customWidth="1" min="6" max="6"/>
    <col width="12" customWidth="1" min="7" max="7"/>
    <col width="18" customWidth="1" min="8" max="8"/>
  </cols>
  <sheetData>
    <row r="1" ht="24.95" customHeight="1">
      <c r="A1" s="1" t="inlineStr">
        <is>
          <t>Kingdom</t>
        </is>
      </c>
      <c r="B1" s="1" t="inlineStr">
        <is>
          <t>Patterns</t>
        </is>
      </c>
      <c r="C1" s="1" t="inlineStr">
        <is>
          <t>Total Problems</t>
        </is>
      </c>
      <c r="D1" s="1" t="inlineStr">
        <is>
          <t>Verified Problems</t>
        </is>
      </c>
      <c r="E1" s="1" t="inlineStr">
        <is>
          <t>Solved</t>
        </is>
      </c>
      <c r="F1" s="1" t="inlineStr">
        <is>
          <t>Completion %</t>
        </is>
      </c>
      <c r="G1" s="1" t="inlineStr">
        <is>
          <t>Total XP</t>
        </is>
      </c>
      <c r="H1" s="1" t="inlineStr">
        <is>
          <t>Average Rating</t>
        </is>
      </c>
    </row>
    <row r="2" ht="20.1" customHeight="1">
      <c r="A2" s="3" t="inlineStr">
        <is>
          <t>Arrays</t>
        </is>
      </c>
      <c r="B2" s="2" t="n">
        <v>6</v>
      </c>
      <c r="C2" s="2">
        <f>COUNTIF(Problems!$B:$B, A2)</f>
        <v/>
      </c>
      <c r="D2" s="2">
        <f>COUNTIFS(Problems!$B:$B, A2, Problems!$G:$G, "&lt;&gt;UNKNOWN")</f>
        <v/>
      </c>
      <c r="E2" s="2">
        <f>COUNTIFS(Problems!$B:$B, A2, Problems!$A:$A, "Solved")</f>
        <v/>
      </c>
      <c r="F2" s="13">
        <f>IF(C2&gt;0, E2/C2, 0)</f>
        <v/>
      </c>
      <c r="G2" s="2">
        <f>SUMIF(Problems!$B:$B, A2, Problems!$L:$L)</f>
        <v/>
      </c>
      <c r="H2" s="14">
        <f>AVERAGEIF(Problems!$B:$B, A2, Problems!$H:$H)</f>
        <v/>
      </c>
    </row>
    <row r="3" ht="20.1" customHeight="1">
      <c r="A3" s="7" t="inlineStr">
        <is>
          <t>Prefix Sums</t>
        </is>
      </c>
      <c r="B3" s="6" t="n">
        <v>4</v>
      </c>
      <c r="C3" s="6">
        <f>COUNTIF(Problems!$B:$B, A3)</f>
        <v/>
      </c>
      <c r="D3" s="6">
        <f>COUNTIFS(Problems!$B:$B, A3, Problems!$G:$G, "&lt;&gt;UNKNOWN")</f>
        <v/>
      </c>
      <c r="E3" s="6">
        <f>COUNTIFS(Problems!$B:$B, A3, Problems!$A:$A, "Solved")</f>
        <v/>
      </c>
      <c r="F3" s="15">
        <f>IF(C3&gt;0, E3/C3, 0)</f>
        <v/>
      </c>
      <c r="G3" s="6">
        <f>SUMIF(Problems!$B:$B, A3, Problems!$L:$L)</f>
        <v/>
      </c>
      <c r="H3" s="16">
        <f>AVERAGEIF(Problems!$B:$B, A3, Problems!$H:$H)</f>
        <v/>
      </c>
    </row>
    <row r="4" ht="20.1" customHeight="1">
      <c r="A4" s="3" t="inlineStr">
        <is>
          <t>Two Pointers</t>
        </is>
      </c>
      <c r="B4" s="2" t="n">
        <v>4</v>
      </c>
      <c r="C4" s="2">
        <f>COUNTIF(Problems!$B:$B, A4)</f>
        <v/>
      </c>
      <c r="D4" s="2">
        <f>COUNTIFS(Problems!$B:$B, A4, Problems!$G:$G, "&lt;&gt;UNKNOWN")</f>
        <v/>
      </c>
      <c r="E4" s="2">
        <f>COUNTIFS(Problems!$B:$B, A4, Problems!$A:$A, "Solved")</f>
        <v/>
      </c>
      <c r="F4" s="13">
        <f>IF(C4&gt;0, E4/C4, 0)</f>
        <v/>
      </c>
      <c r="G4" s="2">
        <f>SUMIF(Problems!$B:$B, A4, Problems!$L:$L)</f>
        <v/>
      </c>
      <c r="H4" s="14">
        <f>AVERAGEIF(Problems!$B:$B, A4, Problems!$H:$H)</f>
        <v/>
      </c>
    </row>
    <row r="5" ht="20.1" customHeight="1">
      <c r="A5" s="7" t="inlineStr">
        <is>
          <t>Binary Search</t>
        </is>
      </c>
      <c r="B5" s="6" t="n">
        <v>4</v>
      </c>
      <c r="C5" s="6">
        <f>COUNTIF(Problems!$B:$B, A5)</f>
        <v/>
      </c>
      <c r="D5" s="6">
        <f>COUNTIFS(Problems!$B:$B, A5, Problems!$G:$G, "&lt;&gt;UNKNOWN")</f>
        <v/>
      </c>
      <c r="E5" s="6">
        <f>COUNTIFS(Problems!$B:$B, A5, Problems!$A:$A, "Solved")</f>
        <v/>
      </c>
      <c r="F5" s="15">
        <f>IF(C5&gt;0, E5/C5, 0)</f>
        <v/>
      </c>
      <c r="G5" s="6">
        <f>SUMIF(Problems!$B:$B, A5, Problems!$L:$L)</f>
        <v/>
      </c>
      <c r="H5" s="16">
        <f>AVERAGEIF(Problems!$B:$B, A5, Problems!$H:$H)</f>
        <v/>
      </c>
    </row>
    <row r="6" ht="20.1" customHeight="1">
      <c r="A6" s="3" t="inlineStr">
        <is>
          <t>Sorting &amp; Greedy</t>
        </is>
      </c>
      <c r="B6" s="2" t="n">
        <v>5</v>
      </c>
      <c r="C6" s="2">
        <f>COUNTIF(Problems!$B:$B, A6)</f>
        <v/>
      </c>
      <c r="D6" s="2">
        <f>COUNTIFS(Problems!$B:$B, A6, Problems!$G:$G, "&lt;&gt;UNKNOWN")</f>
        <v/>
      </c>
      <c r="E6" s="2">
        <f>COUNTIFS(Problems!$B:$B, A6, Problems!$A:$A, "Solved")</f>
        <v/>
      </c>
      <c r="F6" s="13">
        <f>IF(C6&gt;0, E6/C6, 0)</f>
        <v/>
      </c>
      <c r="G6" s="2">
        <f>SUMIF(Problems!$B:$B, A6, Problems!$L:$L)</f>
        <v/>
      </c>
      <c r="H6" s="14">
        <f>AVERAGEIF(Problems!$B:$B, A6, Problems!$H:$H)</f>
        <v/>
      </c>
    </row>
    <row r="7" ht="20.1" customHeight="1">
      <c r="A7" s="7" t="inlineStr">
        <is>
          <t>Strings</t>
        </is>
      </c>
      <c r="B7" s="6" t="n">
        <v>6</v>
      </c>
      <c r="C7" s="6">
        <f>COUNTIF(Problems!$B:$B, A7)</f>
        <v/>
      </c>
      <c r="D7" s="6">
        <f>COUNTIFS(Problems!$B:$B, A7, Problems!$G:$G, "&lt;&gt;UNKNOWN")</f>
        <v/>
      </c>
      <c r="E7" s="6">
        <f>COUNTIFS(Problems!$B:$B, A7, Problems!$A:$A, "Solved")</f>
        <v/>
      </c>
      <c r="F7" s="15">
        <f>IF(C7&gt;0, E7/C7, 0)</f>
        <v/>
      </c>
      <c r="G7" s="6">
        <f>SUMIF(Problems!$B:$B, A7, Problems!$L:$L)</f>
        <v/>
      </c>
      <c r="H7" s="16">
        <f>AVERAGEIF(Problems!$B:$B, A7, Problems!$H:$H)</f>
        <v/>
      </c>
    </row>
    <row r="8" ht="20.1" customHeight="1">
      <c r="A8" s="3" t="inlineStr">
        <is>
          <t>Bit Manipulation</t>
        </is>
      </c>
      <c r="B8" s="2" t="n">
        <v>4</v>
      </c>
      <c r="C8" s="2">
        <f>COUNTIF(Problems!$B:$B, A8)</f>
        <v/>
      </c>
      <c r="D8" s="2">
        <f>COUNTIFS(Problems!$B:$B, A8, Problems!$G:$G, "&lt;&gt;UNKNOWN")</f>
        <v/>
      </c>
      <c r="E8" s="2">
        <f>COUNTIFS(Problems!$B:$B, A8, Problems!$A:$A, "Solved")</f>
        <v/>
      </c>
      <c r="F8" s="13">
        <f>IF(C8&gt;0, E8/C8, 0)</f>
        <v/>
      </c>
      <c r="G8" s="2">
        <f>SUMIF(Problems!$B:$B, A8, Problems!$L:$L)</f>
        <v/>
      </c>
      <c r="H8" s="14">
        <f>AVERAGEIF(Problems!$B:$B, A8, Problems!$H:$H)</f>
        <v/>
      </c>
    </row>
    <row r="9" ht="20.1" customHeight="1">
      <c r="A9" s="7" t="inlineStr">
        <is>
          <t>Mathematics &amp; Number Theory</t>
        </is>
      </c>
      <c r="B9" s="6" t="n">
        <v>6</v>
      </c>
      <c r="C9" s="6">
        <f>COUNTIF(Problems!$B:$B, A9)</f>
        <v/>
      </c>
      <c r="D9" s="6">
        <f>COUNTIFS(Problems!$B:$B, A9, Problems!$G:$G, "&lt;&gt;UNKNOWN")</f>
        <v/>
      </c>
      <c r="E9" s="6">
        <f>COUNTIFS(Problems!$B:$B, A9, Problems!$A:$A, "Solved")</f>
        <v/>
      </c>
      <c r="F9" s="15">
        <f>IF(C9&gt;0, E9/C9, 0)</f>
        <v/>
      </c>
      <c r="G9" s="6">
        <f>SUMIF(Problems!$B:$B, A9, Problems!$L:$L)</f>
        <v/>
      </c>
      <c r="H9" s="16">
        <f>AVERAGEIF(Problems!$B:$B, A9, Problems!$H:$H)</f>
        <v/>
      </c>
    </row>
    <row r="10" ht="20.1" customHeight="1">
      <c r="A10" s="3" t="inlineStr">
        <is>
          <t>Recursion &amp; Backtracking</t>
        </is>
      </c>
      <c r="B10" s="2" t="n">
        <v>4</v>
      </c>
      <c r="C10" s="2">
        <f>COUNTIF(Problems!$B:$B, A10)</f>
        <v/>
      </c>
      <c r="D10" s="2">
        <f>COUNTIFS(Problems!$B:$B, A10, Problems!$G:$G, "&lt;&gt;UNKNOWN")</f>
        <v/>
      </c>
      <c r="E10" s="2">
        <f>COUNTIFS(Problems!$B:$B, A10, Problems!$A:$A, "Solved")</f>
        <v/>
      </c>
      <c r="F10" s="13">
        <f>IF(C10&gt;0, E10/C10, 0)</f>
        <v/>
      </c>
      <c r="G10" s="2">
        <f>SUMIF(Problems!$B:$B, A10, Problems!$L:$L)</f>
        <v/>
      </c>
      <c r="H10" s="14">
        <f>AVERAGEIF(Problems!$B:$B, A10, Problems!$H:$H)</f>
        <v/>
      </c>
    </row>
    <row r="11" ht="20.1" customHeight="1">
      <c r="A11" s="7" t="inlineStr">
        <is>
          <t>Stack &amp; Monotonic Stack</t>
        </is>
      </c>
      <c r="B11" s="6" t="n">
        <v>4</v>
      </c>
      <c r="C11" s="6">
        <f>COUNTIF(Problems!$B:$B, A11)</f>
        <v/>
      </c>
      <c r="D11" s="6">
        <f>COUNTIFS(Problems!$B:$B, A11, Problems!$G:$G, "&lt;&gt;UNKNOWN")</f>
        <v/>
      </c>
      <c r="E11" s="6">
        <f>COUNTIFS(Problems!$B:$B, A11, Problems!$A:$A, "Solved")</f>
        <v/>
      </c>
      <c r="F11" s="15">
        <f>IF(C11&gt;0, E11/C11, 0)</f>
        <v/>
      </c>
      <c r="G11" s="6">
        <f>SUMIF(Problems!$B:$B, A11, Problems!$L:$L)</f>
        <v/>
      </c>
      <c r="H11" s="16">
        <f>AVERAGEIF(Problems!$B:$B, A11, Problems!$H:$H)</f>
        <v/>
      </c>
    </row>
    <row r="12" ht="20.1" customHeight="1">
      <c r="A12" s="3" t="inlineStr">
        <is>
          <t>Queue &amp; Deque</t>
        </is>
      </c>
      <c r="B12" s="2" t="n">
        <v>4</v>
      </c>
      <c r="C12" s="2">
        <f>COUNTIF(Problems!$B:$B, A12)</f>
        <v/>
      </c>
      <c r="D12" s="2">
        <f>COUNTIFS(Problems!$B:$B, A12, Problems!$G:$G, "&lt;&gt;UNKNOWN")</f>
        <v/>
      </c>
      <c r="E12" s="2">
        <f>COUNTIFS(Problems!$B:$B, A12, Problems!$A:$A, "Solved")</f>
        <v/>
      </c>
      <c r="F12" s="13">
        <f>IF(C12&gt;0, E12/C12, 0)</f>
        <v/>
      </c>
      <c r="G12" s="2">
        <f>SUMIF(Problems!$B:$B, A12, Problems!$L:$L)</f>
        <v/>
      </c>
      <c r="H12" s="14">
        <f>AVERAGEIF(Problems!$B:$B, A12, Problems!$H:$H)</f>
        <v/>
      </c>
    </row>
    <row r="13" ht="20.1" customHeight="1">
      <c r="A13" s="7" t="inlineStr">
        <is>
          <t>Linked List &amp; Simulation</t>
        </is>
      </c>
      <c r="B13" s="6" t="n">
        <v>4</v>
      </c>
      <c r="C13" s="6">
        <f>COUNTIF(Problems!$B:$B, A13)</f>
        <v/>
      </c>
      <c r="D13" s="6">
        <f>COUNTIFS(Problems!$B:$B, A13, Problems!$G:$G, "&lt;&gt;UNKNOWN")</f>
        <v/>
      </c>
      <c r="E13" s="6">
        <f>COUNTIFS(Problems!$B:$B, A13, Problems!$A:$A, "Solved")</f>
        <v/>
      </c>
      <c r="F13" s="15">
        <f>IF(C13&gt;0, E13/C13, 0)</f>
        <v/>
      </c>
      <c r="G13" s="6">
        <f>SUMIF(Problems!$B:$B, A13, Problems!$L:$L)</f>
        <v/>
      </c>
      <c r="H13" s="16">
        <f>AVERAGEIF(Problems!$B:$B, A13, Problems!$H:$H)</f>
        <v/>
      </c>
    </row>
    <row r="14" ht="20.1" customHeight="1">
      <c r="A14" s="3" t="inlineStr">
        <is>
          <t>Trees</t>
        </is>
      </c>
      <c r="B14" s="2" t="n">
        <v>6</v>
      </c>
      <c r="C14" s="2">
        <f>COUNTIF(Problems!$B:$B, A14)</f>
        <v/>
      </c>
      <c r="D14" s="2">
        <f>COUNTIFS(Problems!$B:$B, A14, Problems!$G:$G, "&lt;&gt;UNKNOWN")</f>
        <v/>
      </c>
      <c r="E14" s="2">
        <f>COUNTIFS(Problems!$B:$B, A14, Problems!$A:$A, "Solved")</f>
        <v/>
      </c>
      <c r="F14" s="13">
        <f>IF(C14&gt;0, E14/C14, 0)</f>
        <v/>
      </c>
      <c r="G14" s="2">
        <f>SUMIF(Problems!$B:$B, A14, Problems!$L:$L)</f>
        <v/>
      </c>
      <c r="H14" s="14">
        <f>AVERAGEIF(Problems!$B:$B, A14, Problems!$H:$H)</f>
        <v/>
      </c>
    </row>
    <row r="15" ht="20.1" customHeight="1">
      <c r="A15" s="7" t="inlineStr">
        <is>
          <t>Graph Traversal (DFS &amp; BFS)</t>
        </is>
      </c>
      <c r="B15" s="6" t="n">
        <v>5</v>
      </c>
      <c r="C15" s="6">
        <f>COUNTIF(Problems!$B:$B, A15)</f>
        <v/>
      </c>
      <c r="D15" s="6">
        <f>COUNTIFS(Problems!$B:$B, A15, Problems!$G:$G, "&lt;&gt;UNKNOWN")</f>
        <v/>
      </c>
      <c r="E15" s="6">
        <f>COUNTIFS(Problems!$B:$B, A15, Problems!$A:$A, "Solved")</f>
        <v/>
      </c>
      <c r="F15" s="15">
        <f>IF(C15&gt;0, E15/C15, 0)</f>
        <v/>
      </c>
      <c r="G15" s="6">
        <f>SUMIF(Problems!$B:$B, A15, Problems!$L:$L)</f>
        <v/>
      </c>
      <c r="H15" s="16">
        <f>AVERAGEIF(Problems!$B:$B, A15, Problems!$H:$H)</f>
        <v/>
      </c>
    </row>
    <row r="16" ht="20.1" customHeight="1">
      <c r="A16" s="3" t="inlineStr">
        <is>
          <t>Shortest Paths</t>
        </is>
      </c>
      <c r="B16" s="2" t="n">
        <v>4</v>
      </c>
      <c r="C16" s="2">
        <f>COUNTIF(Problems!$B:$B, A16)</f>
        <v/>
      </c>
      <c r="D16" s="2">
        <f>COUNTIFS(Problems!$B:$B, A16, Problems!$G:$G, "&lt;&gt;UNKNOWN")</f>
        <v/>
      </c>
      <c r="E16" s="2">
        <f>COUNTIFS(Problems!$B:$B, A16, Problems!$A:$A, "Solved")</f>
        <v/>
      </c>
      <c r="F16" s="13">
        <f>IF(C16&gt;0, E16/C16, 0)</f>
        <v/>
      </c>
      <c r="G16" s="2">
        <f>SUMIF(Problems!$B:$B, A16, Problems!$L:$L)</f>
        <v/>
      </c>
      <c r="H16" s="14">
        <f>AVERAGEIF(Problems!$B:$B, A16, Problems!$H:$H)</f>
        <v/>
      </c>
    </row>
    <row r="17" ht="20.1" customHeight="1">
      <c r="A17" s="7" t="inlineStr">
        <is>
          <t>DSU &amp; Minimum Spanning Tree</t>
        </is>
      </c>
      <c r="B17" s="6" t="n">
        <v>4</v>
      </c>
      <c r="C17" s="6">
        <f>COUNTIF(Problems!$B:$B, A17)</f>
        <v/>
      </c>
      <c r="D17" s="6">
        <f>COUNTIFS(Problems!$B:$B, A17, Problems!$G:$G, "&lt;&gt;UNKNOWN")</f>
        <v/>
      </c>
      <c r="E17" s="6">
        <f>COUNTIFS(Problems!$B:$B, A17, Problems!$A:$A, "Solved")</f>
        <v/>
      </c>
      <c r="F17" s="15">
        <f>IF(C17&gt;0, E17/C17, 0)</f>
        <v/>
      </c>
      <c r="G17" s="6">
        <f>SUMIF(Problems!$B:$B, A17, Problems!$L:$L)</f>
        <v/>
      </c>
      <c r="H17" s="16">
        <f>AVERAGEIF(Problems!$B:$B, A17, Problems!$H:$H)</f>
        <v/>
      </c>
    </row>
    <row r="18" ht="20.1" customHeight="1">
      <c r="A18" s="3" t="inlineStr">
        <is>
          <t>Dynamic Programming</t>
        </is>
      </c>
      <c r="B18" s="2" t="n">
        <v>10</v>
      </c>
      <c r="C18" s="2">
        <f>COUNTIF(Problems!$B:$B, A18)</f>
        <v/>
      </c>
      <c r="D18" s="2">
        <f>COUNTIFS(Problems!$B:$B, A18, Problems!$G:$G, "&lt;&gt;UNKNOWN")</f>
        <v/>
      </c>
      <c r="E18" s="2">
        <f>COUNTIFS(Problems!$B:$B, A18, Problems!$A:$A, "Solved")</f>
        <v/>
      </c>
      <c r="F18" s="13">
        <f>IF(C18&gt;0, E18/C18, 0)</f>
        <v/>
      </c>
      <c r="G18" s="2">
        <f>SUMIF(Problems!$B:$B, A18, Problems!$L:$L)</f>
        <v/>
      </c>
      <c r="H18" s="14">
        <f>AVERAGEIF(Problems!$B:$B, A18, Problems!$H:$H)</f>
        <v/>
      </c>
    </row>
    <row r="19" ht="20.1" customHeight="1">
      <c r="A19" s="7" t="inlineStr">
        <is>
          <t>Divide &amp; Conquer</t>
        </is>
      </c>
      <c r="B19" s="6" t="n">
        <v>3</v>
      </c>
      <c r="C19" s="6">
        <f>COUNTIF(Problems!$B:$B, A19)</f>
        <v/>
      </c>
      <c r="D19" s="6">
        <f>COUNTIFS(Problems!$B:$B, A19, Problems!$G:$G, "&lt;&gt;UNKNOWN")</f>
        <v/>
      </c>
      <c r="E19" s="6">
        <f>COUNTIFS(Problems!$B:$B, A19, Problems!$A:$A, "Solved")</f>
        <v/>
      </c>
      <c r="F19" s="15">
        <f>IF(C19&gt;0, E19/C19, 0)</f>
        <v/>
      </c>
      <c r="G19" s="6">
        <f>SUMIF(Problems!$B:$B, A19, Problems!$L:$L)</f>
        <v/>
      </c>
      <c r="H19" s="16">
        <f>AVERAGEIF(Problems!$B:$B, A19, Problems!$H:$H)</f>
        <v/>
      </c>
    </row>
    <row r="20" ht="20.1" customHeight="1">
      <c r="A20" s="3" t="inlineStr">
        <is>
          <t>Segment Trees</t>
        </is>
      </c>
      <c r="B20" s="2" t="n">
        <v>6</v>
      </c>
      <c r="C20" s="2">
        <f>COUNTIF(Problems!$B:$B, A20)</f>
        <v/>
      </c>
      <c r="D20" s="2">
        <f>COUNTIFS(Problems!$B:$B, A20, Problems!$G:$G, "&lt;&gt;UNKNOWN")</f>
        <v/>
      </c>
      <c r="E20" s="2">
        <f>COUNTIFS(Problems!$B:$B, A20, Problems!$A:$A, "Solved")</f>
        <v/>
      </c>
      <c r="F20" s="13">
        <f>IF(C20&gt;0, E20/C20, 0)</f>
        <v/>
      </c>
      <c r="G20" s="2">
        <f>SUMIF(Problems!$B:$B, A20, Problems!$L:$L)</f>
        <v/>
      </c>
      <c r="H20" s="14">
        <f>AVERAGEIF(Problems!$B:$B, A20, Problems!$H:$H)</f>
        <v/>
      </c>
    </row>
    <row r="21" ht="20.1" customHeight="1">
      <c r="A21" s="7" t="inlineStr">
        <is>
          <t>Fenwick Tree (BIT)</t>
        </is>
      </c>
      <c r="B21" s="6" t="n">
        <v>8</v>
      </c>
      <c r="C21" s="6">
        <f>COUNTIF(Problems!$B:$B, A21)</f>
        <v/>
      </c>
      <c r="D21" s="6">
        <f>COUNTIFS(Problems!$B:$B, A21, Problems!$G:$G, "&lt;&gt;UNKNOWN")</f>
        <v/>
      </c>
      <c r="E21" s="6">
        <f>COUNTIFS(Problems!$B:$B, A21, Problems!$A:$A, "Solved")</f>
        <v/>
      </c>
      <c r="F21" s="15">
        <f>IF(C21&gt;0, E21/C21, 0)</f>
        <v/>
      </c>
      <c r="G21" s="6">
        <f>SUMIF(Problems!$B:$B, A21, Problems!$L:$L)</f>
        <v/>
      </c>
      <c r="H21" s="16">
        <f>AVERAGEIF(Problems!$B:$B, A21, Problems!$H:$H)</f>
        <v/>
      </c>
    </row>
    <row r="22" ht="20.1" customHeight="1">
      <c r="A22" s="3" t="inlineStr">
        <is>
          <t>Advanced Topics</t>
        </is>
      </c>
      <c r="B22" s="2" t="n">
        <v>5</v>
      </c>
      <c r="C22" s="2">
        <f>COUNTIF(Problems!$B:$B, A22)</f>
        <v/>
      </c>
      <c r="D22" s="2">
        <f>COUNTIFS(Problems!$B:$B, A22, Problems!$G:$G, "&lt;&gt;UNKNOWN")</f>
        <v/>
      </c>
      <c r="E22" s="2">
        <f>COUNTIFS(Problems!$B:$B, A22, Problems!$A:$A, "Solved")</f>
        <v/>
      </c>
      <c r="F22" s="13">
        <f>IF(C22&gt;0, E22/C22, 0)</f>
        <v/>
      </c>
      <c r="G22" s="2">
        <f>SUMIF(Problems!$B:$B, A22, Problems!$L:$L)</f>
        <v/>
      </c>
      <c r="H22" s="14">
        <f>AVERAGEIF(Problems!$B:$B, A22, Problems!$H:$H)</f>
        <v/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18" customWidth="1" min="3" max="3"/>
    <col width="12" customWidth="1" min="4" max="4"/>
    <col width="12" customWidth="1" min="5" max="5"/>
    <col width="16" customWidth="1" min="6" max="6"/>
    <col width="18" customWidth="1" min="7" max="7"/>
  </cols>
  <sheetData>
    <row r="1" ht="24.95" customHeight="1">
      <c r="A1" s="1" t="inlineStr">
        <is>
          <t>Kingdom</t>
        </is>
      </c>
      <c r="B1" s="1" t="inlineStr">
        <is>
          <t>Pattern</t>
        </is>
      </c>
      <c r="C1" s="1" t="inlineStr">
        <is>
          <t>Total Problems</t>
        </is>
      </c>
      <c r="D1" s="1" t="inlineStr">
        <is>
          <t>Verified</t>
        </is>
      </c>
      <c r="E1" s="1" t="inlineStr">
        <is>
          <t>Solved</t>
        </is>
      </c>
      <c r="F1" s="1" t="inlineStr">
        <is>
          <t>Completion %</t>
        </is>
      </c>
      <c r="G1" s="1" t="inlineStr">
        <is>
          <t>Average Rating</t>
        </is>
      </c>
    </row>
    <row r="2" ht="20.1" customHeight="1">
      <c r="A2" s="3" t="inlineStr">
        <is>
          <t>Arrays</t>
        </is>
      </c>
      <c r="B2" s="3" t="inlineStr">
        <is>
          <t>Basic Array Traversal</t>
        </is>
      </c>
      <c r="C2" s="2">
        <f>COUNTIF(Problems!$C:$C, B2)</f>
        <v/>
      </c>
      <c r="D2" s="2">
        <f>COUNTIFS(Problems!$C:$C, B2, Problems!$G:$G, "&lt;&gt;UNKNOWN")</f>
        <v/>
      </c>
      <c r="E2" s="2">
        <f>COUNTIFS(Problems!$C:$C, B2, Problems!$A:$A, "Solved")</f>
        <v/>
      </c>
      <c r="F2" s="13">
        <f>IF(C2&gt;0, E2/C2, 0)</f>
        <v/>
      </c>
      <c r="G2" s="14">
        <f>AVERAGEIF(Problems!$C:$C, B2, Problems!$H:$H)</f>
        <v/>
      </c>
    </row>
    <row r="3" ht="20.1" customHeight="1">
      <c r="A3" s="7" t="inlineStr">
        <is>
          <t>Arrays</t>
        </is>
      </c>
      <c r="B3" s="7" t="inlineStr">
        <is>
          <t>Frequency Counting</t>
        </is>
      </c>
      <c r="C3" s="6">
        <f>COUNTIF(Problems!$C:$C, B3)</f>
        <v/>
      </c>
      <c r="D3" s="6">
        <f>COUNTIFS(Problems!$C:$C, B3, Problems!$G:$G, "&lt;&gt;UNKNOWN")</f>
        <v/>
      </c>
      <c r="E3" s="6">
        <f>COUNTIFS(Problems!$C:$C, B3, Problems!$A:$A, "Solved")</f>
        <v/>
      </c>
      <c r="F3" s="15">
        <f>IF(C3&gt;0, E3/C3, 0)</f>
        <v/>
      </c>
      <c r="G3" s="16">
        <f>AVERAGEIF(Problems!$C:$C, B3, Problems!$H:$H)</f>
        <v/>
      </c>
    </row>
    <row r="4" ht="20.1" customHeight="1">
      <c r="A4" s="3" t="inlineStr">
        <is>
          <t>Arrays</t>
        </is>
      </c>
      <c r="B4" s="3" t="inlineStr">
        <is>
          <t>Simulation on Arrays</t>
        </is>
      </c>
      <c r="C4" s="2">
        <f>COUNTIF(Problems!$C:$C, B4)</f>
        <v/>
      </c>
      <c r="D4" s="2">
        <f>COUNTIFS(Problems!$C:$C, B4, Problems!$G:$G, "&lt;&gt;UNKNOWN")</f>
        <v/>
      </c>
      <c r="E4" s="2">
        <f>COUNTIFS(Problems!$C:$C, B4, Problems!$A:$A, "Solved")</f>
        <v/>
      </c>
      <c r="F4" s="13">
        <f>IF(C4&gt;0, E4/C4, 0)</f>
        <v/>
      </c>
      <c r="G4" s="14">
        <f>AVERAGEIF(Problems!$C:$C, B4, Problems!$H:$H)</f>
        <v/>
      </c>
    </row>
    <row r="5" ht="20.1" customHeight="1">
      <c r="A5" s="7" t="inlineStr">
        <is>
          <t>Arrays</t>
        </is>
      </c>
      <c r="B5" s="7" t="inlineStr">
        <is>
          <t>Sorting Based Arrays</t>
        </is>
      </c>
      <c r="C5" s="6">
        <f>COUNTIF(Problems!$C:$C, B5)</f>
        <v/>
      </c>
      <c r="D5" s="6">
        <f>COUNTIFS(Problems!$C:$C, B5, Problems!$G:$G, "&lt;&gt;UNKNOWN")</f>
        <v/>
      </c>
      <c r="E5" s="6">
        <f>COUNTIFS(Problems!$C:$C, B5, Problems!$A:$A, "Solved")</f>
        <v/>
      </c>
      <c r="F5" s="15">
        <f>IF(C5&gt;0, E5/C5, 0)</f>
        <v/>
      </c>
      <c r="G5" s="16">
        <f>AVERAGEIF(Problems!$C:$C, B5, Problems!$H:$H)</f>
        <v/>
      </c>
    </row>
    <row r="6" ht="20.1" customHeight="1">
      <c r="A6" s="3" t="inlineStr">
        <is>
          <t>Arrays</t>
        </is>
      </c>
      <c r="B6" s="3" t="inlineStr">
        <is>
          <t>Coordinate Compression</t>
        </is>
      </c>
      <c r="C6" s="2">
        <f>COUNTIF(Problems!$C:$C, B6)</f>
        <v/>
      </c>
      <c r="D6" s="2">
        <f>COUNTIFS(Problems!$C:$C, B6, Problems!$G:$G, "&lt;&gt;UNKNOWN")</f>
        <v/>
      </c>
      <c r="E6" s="2">
        <f>COUNTIFS(Problems!$C:$C, B6, Problems!$A:$A, "Solved")</f>
        <v/>
      </c>
      <c r="F6" s="13">
        <f>IF(C6&gt;0, E6/C6, 0)</f>
        <v/>
      </c>
      <c r="G6" s="14">
        <f>AVERAGEIF(Problems!$C:$C, B6, Problems!$H:$H)</f>
        <v/>
      </c>
    </row>
    <row r="7" ht="20.1" customHeight="1">
      <c r="A7" s="7" t="inlineStr">
        <is>
          <t>Arrays</t>
        </is>
      </c>
      <c r="B7" s="7" t="inlineStr">
        <is>
          <t>Constructive Arrays</t>
        </is>
      </c>
      <c r="C7" s="6">
        <f>COUNTIF(Problems!$C:$C, B7)</f>
        <v/>
      </c>
      <c r="D7" s="6">
        <f>COUNTIFS(Problems!$C:$C, B7, Problems!$G:$G, "&lt;&gt;UNKNOWN")</f>
        <v/>
      </c>
      <c r="E7" s="6">
        <f>COUNTIFS(Problems!$C:$C, B7, Problems!$A:$A, "Solved")</f>
        <v/>
      </c>
      <c r="F7" s="15">
        <f>IF(C7&gt;0, E7/C7, 0)</f>
        <v/>
      </c>
      <c r="G7" s="16">
        <f>AVERAGEIF(Problems!$C:$C, B7, Problems!$H:$H)</f>
        <v/>
      </c>
    </row>
    <row r="8" ht="20.1" customHeight="1">
      <c r="A8" s="3" t="inlineStr">
        <is>
          <t>Prefix Sums</t>
        </is>
      </c>
      <c r="B8" s="3" t="inlineStr">
        <is>
          <t>1D Prefix Sum</t>
        </is>
      </c>
      <c r="C8" s="2">
        <f>COUNTIF(Problems!$C:$C, B8)</f>
        <v/>
      </c>
      <c r="D8" s="2">
        <f>COUNTIFS(Problems!$C:$C, B8, Problems!$G:$G, "&lt;&gt;UNKNOWN")</f>
        <v/>
      </c>
      <c r="E8" s="2">
        <f>COUNTIFS(Problems!$C:$C, B8, Problems!$A:$A, "Solved")</f>
        <v/>
      </c>
      <c r="F8" s="13">
        <f>IF(C8&gt;0, E8/C8, 0)</f>
        <v/>
      </c>
      <c r="G8" s="14">
        <f>AVERAGEIF(Problems!$C:$C, B8, Problems!$H:$H)</f>
        <v/>
      </c>
    </row>
    <row r="9" ht="20.1" customHeight="1">
      <c r="A9" s="7" t="inlineStr">
        <is>
          <t>Prefix Sums</t>
        </is>
      </c>
      <c r="B9" s="7" t="inlineStr">
        <is>
          <t>Prefix Frequency</t>
        </is>
      </c>
      <c r="C9" s="6">
        <f>COUNTIF(Problems!$C:$C, B9)</f>
        <v/>
      </c>
      <c r="D9" s="6">
        <f>COUNTIFS(Problems!$C:$C, B9, Problems!$G:$G, "&lt;&gt;UNKNOWN")</f>
        <v/>
      </c>
      <c r="E9" s="6">
        <f>COUNTIFS(Problems!$C:$C, B9, Problems!$A:$A, "Solved")</f>
        <v/>
      </c>
      <c r="F9" s="15">
        <f>IF(C9&gt;0, E9/C9, 0)</f>
        <v/>
      </c>
      <c r="G9" s="16">
        <f>AVERAGEIF(Problems!$C:$C, B9, Problems!$H:$H)</f>
        <v/>
      </c>
    </row>
    <row r="10" ht="20.1" customHeight="1">
      <c r="A10" s="3" t="inlineStr">
        <is>
          <t>Prefix Sums</t>
        </is>
      </c>
      <c r="B10" s="3" t="inlineStr">
        <is>
          <t>Difference Array</t>
        </is>
      </c>
      <c r="C10" s="2">
        <f>COUNTIF(Problems!$C:$C, B10)</f>
        <v/>
      </c>
      <c r="D10" s="2">
        <f>COUNTIFS(Problems!$C:$C, B10, Problems!$G:$G, "&lt;&gt;UNKNOWN")</f>
        <v/>
      </c>
      <c r="E10" s="2">
        <f>COUNTIFS(Problems!$C:$C, B10, Problems!$A:$A, "Solved")</f>
        <v/>
      </c>
      <c r="F10" s="13">
        <f>IF(C10&gt;0, E10/C10, 0)</f>
        <v/>
      </c>
      <c r="G10" s="14">
        <f>AVERAGEIF(Problems!$C:$C, B10, Problems!$H:$H)</f>
        <v/>
      </c>
    </row>
    <row r="11" ht="20.1" customHeight="1">
      <c r="A11" s="7" t="inlineStr">
        <is>
          <t>Prefix Sums</t>
        </is>
      </c>
      <c r="B11" s="7" t="inlineStr">
        <is>
          <t>Prefix XOR</t>
        </is>
      </c>
      <c r="C11" s="6">
        <f>COUNTIF(Problems!$C:$C, B11)</f>
        <v/>
      </c>
      <c r="D11" s="6">
        <f>COUNTIFS(Problems!$C:$C, B11, Problems!$G:$G, "&lt;&gt;UNKNOWN")</f>
        <v/>
      </c>
      <c r="E11" s="6">
        <f>COUNTIFS(Problems!$C:$C, B11, Problems!$A:$A, "Solved")</f>
        <v/>
      </c>
      <c r="F11" s="15">
        <f>IF(C11&gt;0, E11/C11, 0)</f>
        <v/>
      </c>
      <c r="G11" s="16">
        <f>AVERAGEIF(Problems!$C:$C, B11, Problems!$H:$H)</f>
        <v/>
      </c>
    </row>
    <row r="12" ht="20.1" customHeight="1">
      <c r="A12" s="3" t="inlineStr">
        <is>
          <t>Two Pointers</t>
        </is>
      </c>
      <c r="B12" s="3" t="inlineStr">
        <is>
          <t>Classic Two Pointers</t>
        </is>
      </c>
      <c r="C12" s="2">
        <f>COUNTIF(Problems!$C:$C, B12)</f>
        <v/>
      </c>
      <c r="D12" s="2">
        <f>COUNTIFS(Problems!$C:$C, B12, Problems!$G:$G, "&lt;&gt;UNKNOWN")</f>
        <v/>
      </c>
      <c r="E12" s="2">
        <f>COUNTIFS(Problems!$C:$C, B12, Problems!$A:$A, "Solved")</f>
        <v/>
      </c>
      <c r="F12" s="13">
        <f>IF(C12&gt;0, E12/C12, 0)</f>
        <v/>
      </c>
      <c r="G12" s="14">
        <f>AVERAGEIF(Problems!$C:$C, B12, Problems!$H:$H)</f>
        <v/>
      </c>
    </row>
    <row r="13" ht="20.1" customHeight="1">
      <c r="A13" s="7" t="inlineStr">
        <is>
          <t>Two Pointers</t>
        </is>
      </c>
      <c r="B13" s="7" t="inlineStr">
        <is>
          <t>Opposite Direction Pointers</t>
        </is>
      </c>
      <c r="C13" s="6">
        <f>COUNTIF(Problems!$C:$C, B13)</f>
        <v/>
      </c>
      <c r="D13" s="6">
        <f>COUNTIFS(Problems!$C:$C, B13, Problems!$G:$G, "&lt;&gt;UNKNOWN")</f>
        <v/>
      </c>
      <c r="E13" s="6">
        <f>COUNTIFS(Problems!$C:$C, B13, Problems!$A:$A, "Solved")</f>
        <v/>
      </c>
      <c r="F13" s="15">
        <f>IF(C13&gt;0, E13/C13, 0)</f>
        <v/>
      </c>
      <c r="G13" s="16">
        <f>AVERAGEIF(Problems!$C:$C, B13, Problems!$H:$H)</f>
        <v/>
      </c>
    </row>
    <row r="14" ht="20.1" customHeight="1">
      <c r="A14" s="3" t="inlineStr">
        <is>
          <t>Two Pointers</t>
        </is>
      </c>
      <c r="B14" s="3" t="inlineStr">
        <is>
          <t>Sliding Window</t>
        </is>
      </c>
      <c r="C14" s="2">
        <f>COUNTIF(Problems!$C:$C, B14)</f>
        <v/>
      </c>
      <c r="D14" s="2">
        <f>COUNTIFS(Problems!$C:$C, B14, Problems!$G:$G, "&lt;&gt;UNKNOWN")</f>
        <v/>
      </c>
      <c r="E14" s="2">
        <f>COUNTIFS(Problems!$C:$C, B14, Problems!$A:$A, "Solved")</f>
        <v/>
      </c>
      <c r="F14" s="13">
        <f>IF(C14&gt;0, E14/C14, 0)</f>
        <v/>
      </c>
      <c r="G14" s="14">
        <f>AVERAGEIF(Problems!$C:$C, B14, Problems!$H:$H)</f>
        <v/>
      </c>
    </row>
    <row r="15" ht="20.1" customHeight="1">
      <c r="A15" s="7" t="inlineStr">
        <is>
          <t>Two Pointers</t>
        </is>
      </c>
      <c r="B15" s="7" t="inlineStr">
        <is>
          <t>Meet in the Middle Style</t>
        </is>
      </c>
      <c r="C15" s="6">
        <f>COUNTIF(Problems!$C:$C, B15)</f>
        <v/>
      </c>
      <c r="D15" s="6">
        <f>COUNTIFS(Problems!$C:$C, B15, Problems!$G:$G, "&lt;&gt;UNKNOWN")</f>
        <v/>
      </c>
      <c r="E15" s="6">
        <f>COUNTIFS(Problems!$C:$C, B15, Problems!$A:$A, "Solved")</f>
        <v/>
      </c>
      <c r="F15" s="15">
        <f>IF(C15&gt;0, E15/C15, 0)</f>
        <v/>
      </c>
      <c r="G15" s="16">
        <f>AVERAGEIF(Problems!$C:$C, B15, Problems!$H:$H)</f>
        <v/>
      </c>
    </row>
    <row r="16" ht="20.1" customHeight="1">
      <c r="A16" s="3" t="inlineStr">
        <is>
          <t>Binary Search</t>
        </is>
      </c>
      <c r="B16" s="3" t="inlineStr">
        <is>
          <t>Classic Binary Search</t>
        </is>
      </c>
      <c r="C16" s="2">
        <f>COUNTIF(Problems!$C:$C, B16)</f>
        <v/>
      </c>
      <c r="D16" s="2">
        <f>COUNTIFS(Problems!$C:$C, B16, Problems!$G:$G, "&lt;&gt;UNKNOWN")</f>
        <v/>
      </c>
      <c r="E16" s="2">
        <f>COUNTIFS(Problems!$C:$C, B16, Problems!$A:$A, "Solved")</f>
        <v/>
      </c>
      <c r="F16" s="13">
        <f>IF(C16&gt;0, E16/C16, 0)</f>
        <v/>
      </c>
      <c r="G16" s="14">
        <f>AVERAGEIF(Problems!$C:$C, B16, Problems!$H:$H)</f>
        <v/>
      </c>
    </row>
    <row r="17" ht="20.1" customHeight="1">
      <c r="A17" s="7" t="inlineStr">
        <is>
          <t>Binary Search</t>
        </is>
      </c>
      <c r="B17" s="7" t="inlineStr">
        <is>
          <t>Binary Search on Answer</t>
        </is>
      </c>
      <c r="C17" s="6">
        <f>COUNTIF(Problems!$C:$C, B17)</f>
        <v/>
      </c>
      <c r="D17" s="6">
        <f>COUNTIFS(Problems!$C:$C, B17, Problems!$G:$G, "&lt;&gt;UNKNOWN")</f>
        <v/>
      </c>
      <c r="E17" s="6">
        <f>COUNTIFS(Problems!$C:$C, B17, Problems!$A:$A, "Solved")</f>
        <v/>
      </c>
      <c r="F17" s="15">
        <f>IF(C17&gt;0, E17/C17, 0)</f>
        <v/>
      </c>
      <c r="G17" s="16">
        <f>AVERAGEIF(Problems!$C:$C, B17, Problems!$H:$H)</f>
        <v/>
      </c>
    </row>
    <row r="18" ht="20.1" customHeight="1">
      <c r="A18" s="3" t="inlineStr">
        <is>
          <t>Binary Search</t>
        </is>
      </c>
      <c r="B18" s="3" t="inlineStr">
        <is>
          <t>Parametric Search</t>
        </is>
      </c>
      <c r="C18" s="2">
        <f>COUNTIF(Problems!$C:$C, B18)</f>
        <v/>
      </c>
      <c r="D18" s="2">
        <f>COUNTIFS(Problems!$C:$C, B18, Problems!$G:$G, "&lt;&gt;UNKNOWN")</f>
        <v/>
      </c>
      <c r="E18" s="2">
        <f>COUNTIFS(Problems!$C:$C, B18, Problems!$A:$A, "Solved")</f>
        <v/>
      </c>
      <c r="F18" s="13">
        <f>IF(C18&gt;0, E18/C18, 0)</f>
        <v/>
      </c>
      <c r="G18" s="14">
        <f>AVERAGEIF(Problems!$C:$C, B18, Problems!$H:$H)</f>
        <v/>
      </c>
    </row>
    <row r="19" ht="20.1" customHeight="1">
      <c r="A19" s="7" t="inlineStr">
        <is>
          <t>Binary Search</t>
        </is>
      </c>
      <c r="B19" s="7" t="inlineStr">
        <is>
          <t>Continuous Binary Search</t>
        </is>
      </c>
      <c r="C19" s="6">
        <f>COUNTIF(Problems!$C:$C, B19)</f>
        <v/>
      </c>
      <c r="D19" s="6">
        <f>COUNTIFS(Problems!$C:$C, B19, Problems!$G:$G, "&lt;&gt;UNKNOWN")</f>
        <v/>
      </c>
      <c r="E19" s="6">
        <f>COUNTIFS(Problems!$C:$C, B19, Problems!$A:$A, "Solved")</f>
        <v/>
      </c>
      <c r="F19" s="15">
        <f>IF(C19&gt;0, E19/C19, 0)</f>
        <v/>
      </c>
      <c r="G19" s="16">
        <f>AVERAGEIF(Problems!$C:$C, B19, Problems!$H:$H)</f>
        <v/>
      </c>
    </row>
    <row r="20" ht="20.1" customHeight="1">
      <c r="A20" s="3" t="inlineStr">
        <is>
          <t>Sorting &amp; Greedy</t>
        </is>
      </c>
      <c r="B20" s="3" t="inlineStr">
        <is>
          <t>Basic Greedy</t>
        </is>
      </c>
      <c r="C20" s="2">
        <f>COUNTIF(Problems!$C:$C, B20)</f>
        <v/>
      </c>
      <c r="D20" s="2">
        <f>COUNTIFS(Problems!$C:$C, B20, Problems!$G:$G, "&lt;&gt;UNKNOWN")</f>
        <v/>
      </c>
      <c r="E20" s="2">
        <f>COUNTIFS(Problems!$C:$C, B20, Problems!$A:$A, "Solved")</f>
        <v/>
      </c>
      <c r="F20" s="13">
        <f>IF(C20&gt;0, E20/C20, 0)</f>
        <v/>
      </c>
      <c r="G20" s="14">
        <f>AVERAGEIF(Problems!$C:$C, B20, Problems!$H:$H)</f>
        <v/>
      </c>
    </row>
    <row r="21" ht="20.1" customHeight="1">
      <c r="A21" s="7" t="inlineStr">
        <is>
          <t>Sorting &amp; Greedy</t>
        </is>
      </c>
      <c r="B21" s="7" t="inlineStr">
        <is>
          <t>Greedy with Sorting</t>
        </is>
      </c>
      <c r="C21" s="6">
        <f>COUNTIF(Problems!$C:$C, B21)</f>
        <v/>
      </c>
      <c r="D21" s="6">
        <f>COUNTIFS(Problems!$C:$C, B21, Problems!$G:$G, "&lt;&gt;UNKNOWN")</f>
        <v/>
      </c>
      <c r="E21" s="6">
        <f>COUNTIFS(Problems!$C:$C, B21, Problems!$A:$A, "Solved")</f>
        <v/>
      </c>
      <c r="F21" s="15">
        <f>IF(C21&gt;0, E21/C21, 0)</f>
        <v/>
      </c>
      <c r="G21" s="16">
        <f>AVERAGEIF(Problems!$C:$C, B21, Problems!$H:$H)</f>
        <v/>
      </c>
    </row>
    <row r="22" ht="20.1" customHeight="1">
      <c r="A22" s="3" t="inlineStr">
        <is>
          <t>Sorting &amp; Greedy</t>
        </is>
      </c>
      <c r="B22" s="3" t="inlineStr">
        <is>
          <t>Interval Greedy</t>
        </is>
      </c>
      <c r="C22" s="2">
        <f>COUNTIF(Problems!$C:$C, B22)</f>
        <v/>
      </c>
      <c r="D22" s="2">
        <f>COUNTIFS(Problems!$C:$C, B22, Problems!$G:$G, "&lt;&gt;UNKNOWN")</f>
        <v/>
      </c>
      <c r="E22" s="2">
        <f>COUNTIFS(Problems!$C:$C, B22, Problems!$A:$A, "Solved")</f>
        <v/>
      </c>
      <c r="F22" s="13">
        <f>IF(C22&gt;0, E22/C22, 0)</f>
        <v/>
      </c>
      <c r="G22" s="14">
        <f>AVERAGEIF(Problems!$C:$C, B22, Problems!$H:$H)</f>
        <v/>
      </c>
    </row>
    <row r="23" ht="20.1" customHeight="1">
      <c r="A23" s="7" t="inlineStr">
        <is>
          <t>Sorting &amp; Greedy</t>
        </is>
      </c>
      <c r="B23" s="7" t="inlineStr">
        <is>
          <t>Greedy + Priority Queue</t>
        </is>
      </c>
      <c r="C23" s="6">
        <f>COUNTIF(Problems!$C:$C, B23)</f>
        <v/>
      </c>
      <c r="D23" s="6">
        <f>COUNTIFS(Problems!$C:$C, B23, Problems!$G:$G, "&lt;&gt;UNKNOWN")</f>
        <v/>
      </c>
      <c r="E23" s="6">
        <f>COUNTIFS(Problems!$C:$C, B23, Problems!$A:$A, "Solved")</f>
        <v/>
      </c>
      <c r="F23" s="15">
        <f>IF(C23&gt;0, E23/C23, 0)</f>
        <v/>
      </c>
      <c r="G23" s="16">
        <f>AVERAGEIF(Problems!$C:$C, B23, Problems!$H:$H)</f>
        <v/>
      </c>
    </row>
    <row r="24" ht="20.1" customHeight="1">
      <c r="A24" s="3" t="inlineStr">
        <is>
          <t>Sorting &amp; Greedy</t>
        </is>
      </c>
      <c r="B24" s="3" t="inlineStr">
        <is>
          <t>Constructive Greedy</t>
        </is>
      </c>
      <c r="C24" s="2">
        <f>COUNTIF(Problems!$C:$C, B24)</f>
        <v/>
      </c>
      <c r="D24" s="2">
        <f>COUNTIFS(Problems!$C:$C, B24, Problems!$G:$G, "&lt;&gt;UNKNOWN")</f>
        <v/>
      </c>
      <c r="E24" s="2">
        <f>COUNTIFS(Problems!$C:$C, B24, Problems!$A:$A, "Solved")</f>
        <v/>
      </c>
      <c r="F24" s="13">
        <f>IF(C24&gt;0, E24/C24, 0)</f>
        <v/>
      </c>
      <c r="G24" s="14">
        <f>AVERAGEIF(Problems!$C:$C, B24, Problems!$H:$H)</f>
        <v/>
      </c>
    </row>
    <row r="25" ht="20.1" customHeight="1">
      <c r="A25" s="7" t="inlineStr">
        <is>
          <t>Strings</t>
        </is>
      </c>
      <c r="B25" s="7" t="inlineStr">
        <is>
          <t>Basic String Processing</t>
        </is>
      </c>
      <c r="C25" s="6">
        <f>COUNTIF(Problems!$C:$C, B25)</f>
        <v/>
      </c>
      <c r="D25" s="6">
        <f>COUNTIFS(Problems!$C:$C, B25, Problems!$G:$G, "&lt;&gt;UNKNOWN")</f>
        <v/>
      </c>
      <c r="E25" s="6">
        <f>COUNTIFS(Problems!$C:$C, B25, Problems!$A:$A, "Solved")</f>
        <v/>
      </c>
      <c r="F25" s="15">
        <f>IF(C25&gt;0, E25/C25, 0)</f>
        <v/>
      </c>
      <c r="G25" s="16">
        <f>AVERAGEIF(Problems!$C:$C, B25, Problems!$H:$H)</f>
        <v/>
      </c>
    </row>
    <row r="26" ht="20.1" customHeight="1">
      <c r="A26" s="3" t="inlineStr">
        <is>
          <t>Strings</t>
        </is>
      </c>
      <c r="B26" s="3" t="inlineStr">
        <is>
          <t>Character Frequency</t>
        </is>
      </c>
      <c r="C26" s="2">
        <f>COUNTIF(Problems!$C:$C, B26)</f>
        <v/>
      </c>
      <c r="D26" s="2">
        <f>COUNTIFS(Problems!$C:$C, B26, Problems!$G:$G, "&lt;&gt;UNKNOWN")</f>
        <v/>
      </c>
      <c r="E26" s="2">
        <f>COUNTIFS(Problems!$C:$C, B26, Problems!$A:$A, "Solved")</f>
        <v/>
      </c>
      <c r="F26" s="13">
        <f>IF(C26&gt;0, E26/C26, 0)</f>
        <v/>
      </c>
      <c r="G26" s="14">
        <f>AVERAGEIF(Problems!$C:$C, B26, Problems!$H:$H)</f>
        <v/>
      </c>
    </row>
    <row r="27" ht="20.1" customHeight="1">
      <c r="A27" s="7" t="inlineStr">
        <is>
          <t>Strings</t>
        </is>
      </c>
      <c r="B27" s="7" t="inlineStr">
        <is>
          <t>Greedy on Strings</t>
        </is>
      </c>
      <c r="C27" s="6">
        <f>COUNTIF(Problems!$C:$C, B27)</f>
        <v/>
      </c>
      <c r="D27" s="6">
        <f>COUNTIFS(Problems!$C:$C, B27, Problems!$G:$G, "&lt;&gt;UNKNOWN")</f>
        <v/>
      </c>
      <c r="E27" s="6">
        <f>COUNTIFS(Problems!$C:$C, B27, Problems!$A:$A, "Solved")</f>
        <v/>
      </c>
      <c r="F27" s="15">
        <f>IF(C27&gt;0, E27/C27, 0)</f>
        <v/>
      </c>
      <c r="G27" s="16">
        <f>AVERAGEIF(Problems!$C:$C, B27, Problems!$H:$H)</f>
        <v/>
      </c>
    </row>
    <row r="28" ht="20.1" customHeight="1">
      <c r="A28" s="3" t="inlineStr">
        <is>
          <t>Strings</t>
        </is>
      </c>
      <c r="B28" s="3" t="inlineStr">
        <is>
          <t>Prefix Function (KMP)</t>
        </is>
      </c>
      <c r="C28" s="2">
        <f>COUNTIF(Problems!$C:$C, B28)</f>
        <v/>
      </c>
      <c r="D28" s="2">
        <f>COUNTIFS(Problems!$C:$C, B28, Problems!$G:$G, "&lt;&gt;UNKNOWN")</f>
        <v/>
      </c>
      <c r="E28" s="2">
        <f>COUNTIFS(Problems!$C:$C, B28, Problems!$A:$A, "Solved")</f>
        <v/>
      </c>
      <c r="F28" s="13">
        <f>IF(C28&gt;0, E28/C28, 0)</f>
        <v/>
      </c>
      <c r="G28" s="14">
        <f>AVERAGEIF(Problems!$C:$C, B28, Problems!$H:$H)</f>
        <v/>
      </c>
    </row>
    <row r="29" ht="20.1" customHeight="1">
      <c r="A29" s="7" t="inlineStr">
        <is>
          <t>Strings</t>
        </is>
      </c>
      <c r="B29" s="7" t="inlineStr">
        <is>
          <t>Z Algorithm</t>
        </is>
      </c>
      <c r="C29" s="6">
        <f>COUNTIF(Problems!$C:$C, B29)</f>
        <v/>
      </c>
      <c r="D29" s="6">
        <f>COUNTIFS(Problems!$C:$C, B29, Problems!$G:$G, "&lt;&gt;UNKNOWN")</f>
        <v/>
      </c>
      <c r="E29" s="6">
        <f>COUNTIFS(Problems!$C:$C, B29, Problems!$A:$A, "Solved")</f>
        <v/>
      </c>
      <c r="F29" s="15">
        <f>IF(C29&gt;0, E29/C29, 0)</f>
        <v/>
      </c>
      <c r="G29" s="16">
        <f>AVERAGEIF(Problems!$C:$C, B29, Problems!$H:$H)</f>
        <v/>
      </c>
    </row>
    <row r="30" ht="20.1" customHeight="1">
      <c r="A30" s="3" t="inlineStr">
        <is>
          <t>Strings</t>
        </is>
      </c>
      <c r="B30" s="3" t="inlineStr">
        <is>
          <t>Hashing</t>
        </is>
      </c>
      <c r="C30" s="2">
        <f>COUNTIF(Problems!$C:$C, B30)</f>
        <v/>
      </c>
      <c r="D30" s="2">
        <f>COUNTIFS(Problems!$C:$C, B30, Problems!$G:$G, "&lt;&gt;UNKNOWN")</f>
        <v/>
      </c>
      <c r="E30" s="2">
        <f>COUNTIFS(Problems!$C:$C, B30, Problems!$A:$A, "Solved")</f>
        <v/>
      </c>
      <c r="F30" s="13">
        <f>IF(C30&gt;0, E30/C30, 0)</f>
        <v/>
      </c>
      <c r="G30" s="14">
        <f>AVERAGEIF(Problems!$C:$C, B30, Problems!$H:$H)</f>
        <v/>
      </c>
    </row>
    <row r="31" ht="20.1" customHeight="1">
      <c r="A31" s="7" t="inlineStr">
        <is>
          <t>Bit Manipulation</t>
        </is>
      </c>
      <c r="B31" s="7" t="inlineStr">
        <is>
          <t>Basic Bit Operations</t>
        </is>
      </c>
      <c r="C31" s="6">
        <f>COUNTIF(Problems!$C:$C, B31)</f>
        <v/>
      </c>
      <c r="D31" s="6">
        <f>COUNTIFS(Problems!$C:$C, B31, Problems!$G:$G, "&lt;&gt;UNKNOWN")</f>
        <v/>
      </c>
      <c r="E31" s="6">
        <f>COUNTIFS(Problems!$C:$C, B31, Problems!$A:$A, "Solved")</f>
        <v/>
      </c>
      <c r="F31" s="15">
        <f>IF(C31&gt;0, E31/C31, 0)</f>
        <v/>
      </c>
      <c r="G31" s="16">
        <f>AVERAGEIF(Problems!$C:$C, B31, Problems!$H:$H)</f>
        <v/>
      </c>
    </row>
    <row r="32" ht="20.1" customHeight="1">
      <c r="A32" s="3" t="inlineStr">
        <is>
          <t>Bit Manipulation</t>
        </is>
      </c>
      <c r="B32" s="3" t="inlineStr">
        <is>
          <t>XOR Properties</t>
        </is>
      </c>
      <c r="C32" s="2">
        <f>COUNTIF(Problems!$C:$C, B32)</f>
        <v/>
      </c>
      <c r="D32" s="2">
        <f>COUNTIFS(Problems!$C:$C, B32, Problems!$G:$G, "&lt;&gt;UNKNOWN")</f>
        <v/>
      </c>
      <c r="E32" s="2">
        <f>COUNTIFS(Problems!$C:$C, B32, Problems!$A:$A, "Solved")</f>
        <v/>
      </c>
      <c r="F32" s="13">
        <f>IF(C32&gt;0, E32/C32, 0)</f>
        <v/>
      </c>
      <c r="G32" s="14">
        <f>AVERAGEIF(Problems!$C:$C, B32, Problems!$H:$H)</f>
        <v/>
      </c>
    </row>
    <row r="33" ht="20.1" customHeight="1">
      <c r="A33" s="7" t="inlineStr">
        <is>
          <t>Bit Manipulation</t>
        </is>
      </c>
      <c r="B33" s="7" t="inlineStr">
        <is>
          <t>Bitmask Enumeration</t>
        </is>
      </c>
      <c r="C33" s="6">
        <f>COUNTIF(Problems!$C:$C, B33)</f>
        <v/>
      </c>
      <c r="D33" s="6">
        <f>COUNTIFS(Problems!$C:$C, B33, Problems!$G:$G, "&lt;&gt;UNKNOWN")</f>
        <v/>
      </c>
      <c r="E33" s="6">
        <f>COUNTIFS(Problems!$C:$C, B33, Problems!$A:$A, "Solved")</f>
        <v/>
      </c>
      <c r="F33" s="15">
        <f>IF(C33&gt;0, E33/C33, 0)</f>
        <v/>
      </c>
      <c r="G33" s="16">
        <f>AVERAGEIF(Problems!$C:$C, B33, Problems!$H:$H)</f>
        <v/>
      </c>
    </row>
    <row r="34" ht="20.1" customHeight="1">
      <c r="A34" s="3" t="inlineStr">
        <is>
          <t>Bit Manipulation</t>
        </is>
      </c>
      <c r="B34" s="3" t="inlineStr">
        <is>
          <t>Trie + XOR</t>
        </is>
      </c>
      <c r="C34" s="2">
        <f>COUNTIF(Problems!$C:$C, B34)</f>
        <v/>
      </c>
      <c r="D34" s="2">
        <f>COUNTIFS(Problems!$C:$C, B34, Problems!$G:$G, "&lt;&gt;UNKNOWN")</f>
        <v/>
      </c>
      <c r="E34" s="2">
        <f>COUNTIFS(Problems!$C:$C, B34, Problems!$A:$A, "Solved")</f>
        <v/>
      </c>
      <c r="F34" s="13">
        <f>IF(C34&gt;0, E34/C34, 0)</f>
        <v/>
      </c>
      <c r="G34" s="14">
        <f>AVERAGEIF(Problems!$C:$C, B34, Problems!$H:$H)</f>
        <v/>
      </c>
    </row>
    <row r="35" ht="20.1" customHeight="1">
      <c r="A35" s="7" t="inlineStr">
        <is>
          <t>Mathematics &amp; Number Theory</t>
        </is>
      </c>
      <c r="B35" s="7" t="inlineStr">
        <is>
          <t>Basic Mathematics</t>
        </is>
      </c>
      <c r="C35" s="6">
        <f>COUNTIF(Problems!$C:$C, B35)</f>
        <v/>
      </c>
      <c r="D35" s="6">
        <f>COUNTIFS(Problems!$C:$C, B35, Problems!$G:$G, "&lt;&gt;UNKNOWN")</f>
        <v/>
      </c>
      <c r="E35" s="6">
        <f>COUNTIFS(Problems!$C:$C, B35, Problems!$A:$A, "Solved")</f>
        <v/>
      </c>
      <c r="F35" s="15">
        <f>IF(C35&gt;0, E35/C35, 0)</f>
        <v/>
      </c>
      <c r="G35" s="16">
        <f>AVERAGEIF(Problems!$C:$C, B35, Problems!$H:$H)</f>
        <v/>
      </c>
    </row>
    <row r="36" ht="20.1" customHeight="1">
      <c r="A36" s="3" t="inlineStr">
        <is>
          <t>Mathematics &amp; Number Theory</t>
        </is>
      </c>
      <c r="B36" s="3" t="inlineStr">
        <is>
          <t>GCD &amp; LCM</t>
        </is>
      </c>
      <c r="C36" s="2">
        <f>COUNTIF(Problems!$C:$C, B36)</f>
        <v/>
      </c>
      <c r="D36" s="2">
        <f>COUNTIFS(Problems!$C:$C, B36, Problems!$G:$G, "&lt;&gt;UNKNOWN")</f>
        <v/>
      </c>
      <c r="E36" s="2">
        <f>COUNTIFS(Problems!$C:$C, B36, Problems!$A:$A, "Solved")</f>
        <v/>
      </c>
      <c r="F36" s="13">
        <f>IF(C36&gt;0, E36/C36, 0)</f>
        <v/>
      </c>
      <c r="G36" s="14">
        <f>AVERAGEIF(Problems!$C:$C, B36, Problems!$H:$H)</f>
        <v/>
      </c>
    </row>
    <row r="37" ht="20.1" customHeight="1">
      <c r="A37" s="7" t="inlineStr">
        <is>
          <t>Mathematics &amp; Number Theory</t>
        </is>
      </c>
      <c r="B37" s="7" t="inlineStr">
        <is>
          <t>Prime Numbers &amp; Sieve</t>
        </is>
      </c>
      <c r="C37" s="6">
        <f>COUNTIF(Problems!$C:$C, B37)</f>
        <v/>
      </c>
      <c r="D37" s="6">
        <f>COUNTIFS(Problems!$C:$C, B37, Problems!$G:$G, "&lt;&gt;UNKNOWN")</f>
        <v/>
      </c>
      <c r="E37" s="6">
        <f>COUNTIFS(Problems!$C:$C, B37, Problems!$A:$A, "Solved")</f>
        <v/>
      </c>
      <c r="F37" s="15">
        <f>IF(C37&gt;0, E37/C37, 0)</f>
        <v/>
      </c>
      <c r="G37" s="16">
        <f>AVERAGEIF(Problems!$C:$C, B37, Problems!$H:$H)</f>
        <v/>
      </c>
    </row>
    <row r="38" ht="20.1" customHeight="1">
      <c r="A38" s="3" t="inlineStr">
        <is>
          <t>Mathematics &amp; Number Theory</t>
        </is>
      </c>
      <c r="B38" s="3" t="inlineStr">
        <is>
          <t>Modular Arithmetic</t>
        </is>
      </c>
      <c r="C38" s="2">
        <f>COUNTIF(Problems!$C:$C, B38)</f>
        <v/>
      </c>
      <c r="D38" s="2">
        <f>COUNTIFS(Problems!$C:$C, B38, Problems!$G:$G, "&lt;&gt;UNKNOWN")</f>
        <v/>
      </c>
      <c r="E38" s="2">
        <f>COUNTIFS(Problems!$C:$C, B38, Problems!$A:$A, "Solved")</f>
        <v/>
      </c>
      <c r="F38" s="13">
        <f>IF(C38&gt;0, E38/C38, 0)</f>
        <v/>
      </c>
      <c r="G38" s="14">
        <f>AVERAGEIF(Problems!$C:$C, B38, Problems!$H:$H)</f>
        <v/>
      </c>
    </row>
    <row r="39" ht="20.1" customHeight="1">
      <c r="A39" s="7" t="inlineStr">
        <is>
          <t>Mathematics &amp; Number Theory</t>
        </is>
      </c>
      <c r="B39" s="7" t="inlineStr">
        <is>
          <t>Combinatorics</t>
        </is>
      </c>
      <c r="C39" s="6">
        <f>COUNTIF(Problems!$C:$C, B39)</f>
        <v/>
      </c>
      <c r="D39" s="6">
        <f>COUNTIFS(Problems!$C:$C, B39, Problems!$G:$G, "&lt;&gt;UNKNOWN")</f>
        <v/>
      </c>
      <c r="E39" s="6">
        <f>COUNTIFS(Problems!$C:$C, B39, Problems!$A:$A, "Solved")</f>
        <v/>
      </c>
      <c r="F39" s="15">
        <f>IF(C39&gt;0, E39/C39, 0)</f>
        <v/>
      </c>
      <c r="G39" s="16">
        <f>AVERAGEIF(Problems!$C:$C, B39, Problems!$H:$H)</f>
        <v/>
      </c>
    </row>
    <row r="40" ht="20.1" customHeight="1">
      <c r="A40" s="3" t="inlineStr">
        <is>
          <t>Mathematics &amp; Number Theory</t>
        </is>
      </c>
      <c r="B40" s="3" t="inlineStr">
        <is>
          <t>Inclusion–Exclusion / Number Theory</t>
        </is>
      </c>
      <c r="C40" s="2">
        <f>COUNTIF(Problems!$C:$C, B40)</f>
        <v/>
      </c>
      <c r="D40" s="2">
        <f>COUNTIFS(Problems!$C:$C, B40, Problems!$G:$G, "&lt;&gt;UNKNOWN")</f>
        <v/>
      </c>
      <c r="E40" s="2">
        <f>COUNTIFS(Problems!$C:$C, B40, Problems!$A:$A, "Solved")</f>
        <v/>
      </c>
      <c r="F40" s="13">
        <f>IF(C40&gt;0, E40/C40, 0)</f>
        <v/>
      </c>
      <c r="G40" s="14">
        <f>AVERAGEIF(Problems!$C:$C, B40, Problems!$H:$H)</f>
        <v/>
      </c>
    </row>
    <row r="41" ht="20.1" customHeight="1">
      <c r="A41" s="7" t="inlineStr">
        <is>
          <t>Recursion &amp; Backtracking</t>
        </is>
      </c>
      <c r="B41" s="7" t="inlineStr">
        <is>
          <t>Basic Recursion</t>
        </is>
      </c>
      <c r="C41" s="6">
        <f>COUNTIF(Problems!$C:$C, B41)</f>
        <v/>
      </c>
      <c r="D41" s="6">
        <f>COUNTIFS(Problems!$C:$C, B41, Problems!$G:$G, "&lt;&gt;UNKNOWN")</f>
        <v/>
      </c>
      <c r="E41" s="6">
        <f>COUNTIFS(Problems!$C:$C, B41, Problems!$A:$A, "Solved")</f>
        <v/>
      </c>
      <c r="F41" s="15">
        <f>IF(C41&gt;0, E41/C41, 0)</f>
        <v/>
      </c>
      <c r="G41" s="16">
        <f>AVERAGEIF(Problems!$C:$C, B41, Problems!$H:$H)</f>
        <v/>
      </c>
    </row>
    <row r="42" ht="20.1" customHeight="1">
      <c r="A42" s="3" t="inlineStr">
        <is>
          <t>Recursion &amp; Backtracking</t>
        </is>
      </c>
      <c r="B42" s="3" t="inlineStr">
        <is>
          <t>Brute Force with Backtracking</t>
        </is>
      </c>
      <c r="C42" s="2">
        <f>COUNTIF(Problems!$C:$C, B42)</f>
        <v/>
      </c>
      <c r="D42" s="2">
        <f>COUNTIFS(Problems!$C:$C, B42, Problems!$G:$G, "&lt;&gt;UNKNOWN")</f>
        <v/>
      </c>
      <c r="E42" s="2">
        <f>COUNTIFS(Problems!$C:$C, B42, Problems!$A:$A, "Solved")</f>
        <v/>
      </c>
      <c r="F42" s="13">
        <f>IF(C42&gt;0, E42/C42, 0)</f>
        <v/>
      </c>
      <c r="G42" s="14">
        <f>AVERAGEIF(Problems!$C:$C, B42, Problems!$H:$H)</f>
        <v/>
      </c>
    </row>
    <row r="43" ht="20.1" customHeight="1">
      <c r="A43" s="7" t="inlineStr">
        <is>
          <t>Recursion &amp; Backtracking</t>
        </is>
      </c>
      <c r="B43" s="7" t="inlineStr">
        <is>
          <t>Generate All Possibilities</t>
        </is>
      </c>
      <c r="C43" s="6">
        <f>COUNTIF(Problems!$C:$C, B43)</f>
        <v/>
      </c>
      <c r="D43" s="6">
        <f>COUNTIFS(Problems!$C:$C, B43, Problems!$G:$G, "&lt;&gt;UNKNOWN")</f>
        <v/>
      </c>
      <c r="E43" s="6">
        <f>COUNTIFS(Problems!$C:$C, B43, Problems!$A:$A, "Solved")</f>
        <v/>
      </c>
      <c r="F43" s="15">
        <f>IF(C43&gt;0, E43/C43, 0)</f>
        <v/>
      </c>
      <c r="G43" s="16">
        <f>AVERAGEIF(Problems!$C:$C, B43, Problems!$H:$H)</f>
        <v/>
      </c>
    </row>
    <row r="44" ht="20.1" customHeight="1">
      <c r="A44" s="3" t="inlineStr">
        <is>
          <t>Recursion &amp; Backtracking</t>
        </is>
      </c>
      <c r="B44" s="3" t="inlineStr">
        <is>
          <t>Recursive Divide Construction</t>
        </is>
      </c>
      <c r="C44" s="2">
        <f>COUNTIF(Problems!$C:$C, B44)</f>
        <v/>
      </c>
      <c r="D44" s="2">
        <f>COUNTIFS(Problems!$C:$C, B44, Problems!$G:$G, "&lt;&gt;UNKNOWN")</f>
        <v/>
      </c>
      <c r="E44" s="2">
        <f>COUNTIFS(Problems!$C:$C, B44, Problems!$A:$A, "Solved")</f>
        <v/>
      </c>
      <c r="F44" s="13">
        <f>IF(C44&gt;0, E44/C44, 0)</f>
        <v/>
      </c>
      <c r="G44" s="14">
        <f>AVERAGEIF(Problems!$C:$C, B44, Problems!$H:$H)</f>
        <v/>
      </c>
    </row>
    <row r="45" ht="20.1" customHeight="1">
      <c r="A45" s="7" t="inlineStr">
        <is>
          <t>Stack &amp; Monotonic Stack</t>
        </is>
      </c>
      <c r="B45" s="7" t="inlineStr">
        <is>
          <t>Basic Stack</t>
        </is>
      </c>
      <c r="C45" s="6">
        <f>COUNTIF(Problems!$C:$C, B45)</f>
        <v/>
      </c>
      <c r="D45" s="6">
        <f>COUNTIFS(Problems!$C:$C, B45, Problems!$G:$G, "&lt;&gt;UNKNOWN")</f>
        <v/>
      </c>
      <c r="E45" s="6">
        <f>COUNTIFS(Problems!$C:$C, B45, Problems!$A:$A, "Solved")</f>
        <v/>
      </c>
      <c r="F45" s="15">
        <f>IF(C45&gt;0, E45/C45, 0)</f>
        <v/>
      </c>
      <c r="G45" s="16">
        <f>AVERAGEIF(Problems!$C:$C, B45, Problems!$H:$H)</f>
        <v/>
      </c>
    </row>
    <row r="46" ht="20.1" customHeight="1">
      <c r="A46" s="3" t="inlineStr">
        <is>
          <t>Stack &amp; Monotonic Stack</t>
        </is>
      </c>
      <c r="B46" s="3" t="inlineStr">
        <is>
          <t>Parentheses</t>
        </is>
      </c>
      <c r="C46" s="2">
        <f>COUNTIF(Problems!$C:$C, B46)</f>
        <v/>
      </c>
      <c r="D46" s="2">
        <f>COUNTIFS(Problems!$C:$C, B46, Problems!$G:$G, "&lt;&gt;UNKNOWN")</f>
        <v/>
      </c>
      <c r="E46" s="2">
        <f>COUNTIFS(Problems!$C:$C, B46, Problems!$A:$A, "Solved")</f>
        <v/>
      </c>
      <c r="F46" s="13">
        <f>IF(C46&gt;0, E46/C46, 0)</f>
        <v/>
      </c>
      <c r="G46" s="14">
        <f>AVERAGEIF(Problems!$C:$C, B46, Problems!$H:$H)</f>
        <v/>
      </c>
    </row>
    <row r="47" ht="20.1" customHeight="1">
      <c r="A47" s="7" t="inlineStr">
        <is>
          <t>Stack &amp; Monotonic Stack</t>
        </is>
      </c>
      <c r="B47" s="7" t="inlineStr">
        <is>
          <t>Monotonic Stack</t>
        </is>
      </c>
      <c r="C47" s="6">
        <f>COUNTIF(Problems!$C:$C, B47)</f>
        <v/>
      </c>
      <c r="D47" s="6">
        <f>COUNTIFS(Problems!$C:$C, B47, Problems!$G:$G, "&lt;&gt;UNKNOWN")</f>
        <v/>
      </c>
      <c r="E47" s="6">
        <f>COUNTIFS(Problems!$C:$C, B47, Problems!$A:$A, "Solved")</f>
        <v/>
      </c>
      <c r="F47" s="15">
        <f>IF(C47&gt;0, E47/C47, 0)</f>
        <v/>
      </c>
      <c r="G47" s="16">
        <f>AVERAGEIF(Problems!$C:$C, B47, Problems!$H:$H)</f>
        <v/>
      </c>
    </row>
    <row r="48" ht="20.1" customHeight="1">
      <c r="A48" s="3" t="inlineStr">
        <is>
          <t>Stack &amp; Monotonic Stack</t>
        </is>
      </c>
      <c r="B48" s="3" t="inlineStr">
        <is>
          <t>Stack + Greedy</t>
        </is>
      </c>
      <c r="C48" s="2">
        <f>COUNTIF(Problems!$C:$C, B48)</f>
        <v/>
      </c>
      <c r="D48" s="2">
        <f>COUNTIFS(Problems!$C:$C, B48, Problems!$G:$G, "&lt;&gt;UNKNOWN")</f>
        <v/>
      </c>
      <c r="E48" s="2">
        <f>COUNTIFS(Problems!$C:$C, B48, Problems!$A:$A, "Solved")</f>
        <v/>
      </c>
      <c r="F48" s="13">
        <f>IF(C48&gt;0, E48/C48, 0)</f>
        <v/>
      </c>
      <c r="G48" s="14">
        <f>AVERAGEIF(Problems!$C:$C, B48, Problems!$H:$H)</f>
        <v/>
      </c>
    </row>
    <row r="49" ht="20.1" customHeight="1">
      <c r="A49" s="7" t="inlineStr">
        <is>
          <t>Queue &amp; Deque</t>
        </is>
      </c>
      <c r="B49" s="7" t="inlineStr">
        <is>
          <t>Queue Simulation</t>
        </is>
      </c>
      <c r="C49" s="6">
        <f>COUNTIF(Problems!$C:$C, B49)</f>
        <v/>
      </c>
      <c r="D49" s="6">
        <f>COUNTIFS(Problems!$C:$C, B49, Problems!$G:$G, "&lt;&gt;UNKNOWN")</f>
        <v/>
      </c>
      <c r="E49" s="6">
        <f>COUNTIFS(Problems!$C:$C, B49, Problems!$A:$A, "Solved")</f>
        <v/>
      </c>
      <c r="F49" s="15">
        <f>IF(C49&gt;0, E49/C49, 0)</f>
        <v/>
      </c>
      <c r="G49" s="16">
        <f>AVERAGEIF(Problems!$C:$C, B49, Problems!$H:$H)</f>
        <v/>
      </c>
    </row>
    <row r="50" ht="20.1" customHeight="1">
      <c r="A50" s="3" t="inlineStr">
        <is>
          <t>Queue &amp; Deque</t>
        </is>
      </c>
      <c r="B50" s="3" t="inlineStr">
        <is>
          <t>Deque</t>
        </is>
      </c>
      <c r="C50" s="2">
        <f>COUNTIF(Problems!$C:$C, B50)</f>
        <v/>
      </c>
      <c r="D50" s="2">
        <f>COUNTIFS(Problems!$C:$C, B50, Problems!$G:$G, "&lt;&gt;UNKNOWN")</f>
        <v/>
      </c>
      <c r="E50" s="2">
        <f>COUNTIFS(Problems!$C:$C, B50, Problems!$A:$A, "Solved")</f>
        <v/>
      </c>
      <c r="F50" s="13">
        <f>IF(C50&gt;0, E50/C50, 0)</f>
        <v/>
      </c>
      <c r="G50" s="14">
        <f>AVERAGEIF(Problems!$C:$C, B50, Problems!$H:$H)</f>
        <v/>
      </c>
    </row>
    <row r="51" ht="20.1" customHeight="1">
      <c r="A51" s="7" t="inlineStr">
        <is>
          <t>Queue &amp; Deque</t>
        </is>
      </c>
      <c r="B51" s="7" t="inlineStr">
        <is>
          <t>Monotonic Queue</t>
        </is>
      </c>
      <c r="C51" s="6">
        <f>COUNTIF(Problems!$C:$C, B51)</f>
        <v/>
      </c>
      <c r="D51" s="6">
        <f>COUNTIFS(Problems!$C:$C, B51, Problems!$G:$G, "&lt;&gt;UNKNOWN")</f>
        <v/>
      </c>
      <c r="E51" s="6">
        <f>COUNTIFS(Problems!$C:$C, B51, Problems!$A:$A, "Solved")</f>
        <v/>
      </c>
      <c r="F51" s="15">
        <f>IF(C51&gt;0, E51/C51, 0)</f>
        <v/>
      </c>
      <c r="G51" s="16">
        <f>AVERAGEIF(Problems!$C:$C, B51, Problems!$H:$H)</f>
        <v/>
      </c>
    </row>
    <row r="52" ht="20.1" customHeight="1">
      <c r="A52" s="3" t="inlineStr">
        <is>
          <t>Queue &amp; Deque</t>
        </is>
      </c>
      <c r="B52" s="3" t="inlineStr">
        <is>
          <t>Queue + BFS Style</t>
        </is>
      </c>
      <c r="C52" s="2">
        <f>COUNTIF(Problems!$C:$C, B52)</f>
        <v/>
      </c>
      <c r="D52" s="2">
        <f>COUNTIFS(Problems!$C:$C, B52, Problems!$G:$G, "&lt;&gt;UNKNOWN")</f>
        <v/>
      </c>
      <c r="E52" s="2">
        <f>COUNTIFS(Problems!$C:$C, B52, Problems!$A:$A, "Solved")</f>
        <v/>
      </c>
      <c r="F52" s="13">
        <f>IF(C52&gt;0, E52/C52, 0)</f>
        <v/>
      </c>
      <c r="G52" s="14">
        <f>AVERAGEIF(Problems!$C:$C, B52, Problems!$H:$H)</f>
        <v/>
      </c>
    </row>
    <row r="53" ht="20.1" customHeight="1">
      <c r="A53" s="7" t="inlineStr">
        <is>
          <t>Linked List &amp; Simulation</t>
        </is>
      </c>
      <c r="B53" s="7" t="inlineStr">
        <is>
          <t>Simple Simulation</t>
        </is>
      </c>
      <c r="C53" s="6">
        <f>COUNTIF(Problems!$C:$C, B53)</f>
        <v/>
      </c>
      <c r="D53" s="6">
        <f>COUNTIFS(Problems!$C:$C, B53, Problems!$G:$G, "&lt;&gt;UNKNOWN")</f>
        <v/>
      </c>
      <c r="E53" s="6">
        <f>COUNTIFS(Problems!$C:$C, B53, Problems!$A:$A, "Solved")</f>
        <v/>
      </c>
      <c r="F53" s="15">
        <f>IF(C53&gt;0, E53/C53, 0)</f>
        <v/>
      </c>
      <c r="G53" s="16">
        <f>AVERAGEIF(Problems!$C:$C, B53, Problems!$H:$H)</f>
        <v/>
      </c>
    </row>
    <row r="54" ht="20.1" customHeight="1">
      <c r="A54" s="3" t="inlineStr">
        <is>
          <t>Linked List &amp; Simulation</t>
        </is>
      </c>
      <c r="B54" s="3" t="inlineStr">
        <is>
          <t>Circular Simulation</t>
        </is>
      </c>
      <c r="C54" s="2">
        <f>COUNTIF(Problems!$C:$C, B54)</f>
        <v/>
      </c>
      <c r="D54" s="2">
        <f>COUNTIFS(Problems!$C:$C, B54, Problems!$G:$G, "&lt;&gt;UNKNOWN")</f>
        <v/>
      </c>
      <c r="E54" s="2">
        <f>COUNTIFS(Problems!$C:$C, B54, Problems!$A:$A, "Solved")</f>
        <v/>
      </c>
      <c r="F54" s="13">
        <f>IF(C54&gt;0, E54/C54, 0)</f>
        <v/>
      </c>
      <c r="G54" s="14">
        <f>AVERAGEIF(Problems!$C:$C, B54, Problems!$H:$H)</f>
        <v/>
      </c>
    </row>
    <row r="55" ht="20.1" customHeight="1">
      <c r="A55" s="7" t="inlineStr">
        <is>
          <t>Linked List &amp; Simulation</t>
        </is>
      </c>
      <c r="B55" s="7" t="inlineStr">
        <is>
          <t>Simulation with Data Structures</t>
        </is>
      </c>
      <c r="C55" s="6">
        <f>COUNTIF(Problems!$C:$C, B55)</f>
        <v/>
      </c>
      <c r="D55" s="6">
        <f>COUNTIFS(Problems!$C:$C, B55, Problems!$G:$G, "&lt;&gt;UNKNOWN")</f>
        <v/>
      </c>
      <c r="E55" s="6">
        <f>COUNTIFS(Problems!$C:$C, B55, Problems!$A:$A, "Solved")</f>
        <v/>
      </c>
      <c r="F55" s="15">
        <f>IF(C55&gt;0, E55/C55, 0)</f>
        <v/>
      </c>
      <c r="G55" s="16">
        <f>AVERAGEIF(Problems!$C:$C, B55, Problems!$H:$H)</f>
        <v/>
      </c>
    </row>
    <row r="56" ht="20.1" customHeight="1">
      <c r="A56" s="3" t="inlineStr">
        <is>
          <t>Linked List &amp; Simulation</t>
        </is>
      </c>
      <c r="B56" s="3" t="inlineStr">
        <is>
          <t>Ordered Set Simulation</t>
        </is>
      </c>
      <c r="C56" s="2">
        <f>COUNTIF(Problems!$C:$C, B56)</f>
        <v/>
      </c>
      <c r="D56" s="2">
        <f>COUNTIFS(Problems!$C:$C, B56, Problems!$G:$G, "&lt;&gt;UNKNOWN")</f>
        <v/>
      </c>
      <c r="E56" s="2">
        <f>COUNTIFS(Problems!$C:$C, B56, Problems!$A:$A, "Solved")</f>
        <v/>
      </c>
      <c r="F56" s="13">
        <f>IF(C56&gt;0, E56/C56, 0)</f>
        <v/>
      </c>
      <c r="G56" s="14">
        <f>AVERAGEIF(Problems!$C:$C, B56, Problems!$H:$H)</f>
        <v/>
      </c>
    </row>
    <row r="57" ht="20.1" customHeight="1">
      <c r="A57" s="7" t="inlineStr">
        <is>
          <t>Trees</t>
        </is>
      </c>
      <c r="B57" s="7" t="inlineStr">
        <is>
          <t>Basic Tree DFS</t>
        </is>
      </c>
      <c r="C57" s="6">
        <f>COUNTIF(Problems!$C:$C, B57)</f>
        <v/>
      </c>
      <c r="D57" s="6">
        <f>COUNTIFS(Problems!$C:$C, B57, Problems!$G:$G, "&lt;&gt;UNKNOWN")</f>
        <v/>
      </c>
      <c r="E57" s="6">
        <f>COUNTIFS(Problems!$C:$C, B57, Problems!$A:$A, "Solved")</f>
        <v/>
      </c>
      <c r="F57" s="15">
        <f>IF(C57&gt;0, E57/C57, 0)</f>
        <v/>
      </c>
      <c r="G57" s="16">
        <f>AVERAGEIF(Problems!$C:$C, B57, Problems!$H:$H)</f>
        <v/>
      </c>
    </row>
    <row r="58" ht="20.1" customHeight="1">
      <c r="A58" s="3" t="inlineStr">
        <is>
          <t>Trees</t>
        </is>
      </c>
      <c r="B58" s="3" t="inlineStr">
        <is>
          <t>Tree Traversal</t>
        </is>
      </c>
      <c r="C58" s="2">
        <f>COUNTIF(Problems!$C:$C, B58)</f>
        <v/>
      </c>
      <c r="D58" s="2">
        <f>COUNTIFS(Problems!$C:$C, B58, Problems!$G:$G, "&lt;&gt;UNKNOWN")</f>
        <v/>
      </c>
      <c r="E58" s="2">
        <f>COUNTIFS(Problems!$C:$C, B58, Problems!$A:$A, "Solved")</f>
        <v/>
      </c>
      <c r="F58" s="13">
        <f>IF(C58&gt;0, E58/C58, 0)</f>
        <v/>
      </c>
      <c r="G58" s="14">
        <f>AVERAGEIF(Problems!$C:$C, B58, Problems!$H:$H)</f>
        <v/>
      </c>
    </row>
    <row r="59" ht="20.1" customHeight="1">
      <c r="A59" s="7" t="inlineStr">
        <is>
          <t>Trees</t>
        </is>
      </c>
      <c r="B59" s="7" t="inlineStr">
        <is>
          <t>Tree DP</t>
        </is>
      </c>
      <c r="C59" s="6">
        <f>COUNTIF(Problems!$C:$C, B59)</f>
        <v/>
      </c>
      <c r="D59" s="6">
        <f>COUNTIFS(Problems!$C:$C, B59, Problems!$G:$G, "&lt;&gt;UNKNOWN")</f>
        <v/>
      </c>
      <c r="E59" s="6">
        <f>COUNTIFS(Problems!$C:$C, B59, Problems!$A:$A, "Solved")</f>
        <v/>
      </c>
      <c r="F59" s="15">
        <f>IF(C59&gt;0, E59/C59, 0)</f>
        <v/>
      </c>
      <c r="G59" s="16">
        <f>AVERAGEIF(Problems!$C:$C, B59, Problems!$H:$H)</f>
        <v/>
      </c>
    </row>
    <row r="60" ht="20.1" customHeight="1">
      <c r="A60" s="3" t="inlineStr">
        <is>
          <t>Trees</t>
        </is>
      </c>
      <c r="B60" s="3" t="inlineStr">
        <is>
          <t>Binary Lifting (LCA)</t>
        </is>
      </c>
      <c r="C60" s="2">
        <f>COUNTIF(Problems!$C:$C, B60)</f>
        <v/>
      </c>
      <c r="D60" s="2">
        <f>COUNTIFS(Problems!$C:$C, B60, Problems!$G:$G, "&lt;&gt;UNKNOWN")</f>
        <v/>
      </c>
      <c r="E60" s="2">
        <f>COUNTIFS(Problems!$C:$C, B60, Problems!$A:$A, "Solved")</f>
        <v/>
      </c>
      <c r="F60" s="13">
        <f>IF(C60&gt;0, E60/C60, 0)</f>
        <v/>
      </c>
      <c r="G60" s="14">
        <f>AVERAGEIF(Problems!$C:$C, B60, Problems!$H:$H)</f>
        <v/>
      </c>
    </row>
    <row r="61" ht="20.1" customHeight="1">
      <c r="A61" s="7" t="inlineStr">
        <is>
          <t>Trees</t>
        </is>
      </c>
      <c r="B61" s="7" t="inlineStr">
        <is>
          <t>Rerooting DP</t>
        </is>
      </c>
      <c r="C61" s="6">
        <f>COUNTIF(Problems!$C:$C, B61)</f>
        <v/>
      </c>
      <c r="D61" s="6">
        <f>COUNTIFS(Problems!$C:$C, B61, Problems!$G:$G, "&lt;&gt;UNKNOWN")</f>
        <v/>
      </c>
      <c r="E61" s="6">
        <f>COUNTIFS(Problems!$C:$C, B61, Problems!$A:$A, "Solved")</f>
        <v/>
      </c>
      <c r="F61" s="15">
        <f>IF(C61&gt;0, E61/C61, 0)</f>
        <v/>
      </c>
      <c r="G61" s="16">
        <f>AVERAGEIF(Problems!$C:$C, B61, Problems!$H:$H)</f>
        <v/>
      </c>
    </row>
    <row r="62" ht="20.1" customHeight="1">
      <c r="A62" s="3" t="inlineStr">
        <is>
          <t>Trees</t>
        </is>
      </c>
      <c r="B62" s="3" t="inlineStr">
        <is>
          <t>Euler Tour</t>
        </is>
      </c>
      <c r="C62" s="2">
        <f>COUNTIF(Problems!$C:$C, B62)</f>
        <v/>
      </c>
      <c r="D62" s="2">
        <f>COUNTIFS(Problems!$C:$C, B62, Problems!$G:$G, "&lt;&gt;UNKNOWN")</f>
        <v/>
      </c>
      <c r="E62" s="2">
        <f>COUNTIFS(Problems!$C:$C, B62, Problems!$A:$A, "Solved")</f>
        <v/>
      </c>
      <c r="F62" s="13">
        <f>IF(C62&gt;0, E62/C62, 0)</f>
        <v/>
      </c>
      <c r="G62" s="14">
        <f>AVERAGEIF(Problems!$C:$C, B62, Problems!$H:$H)</f>
        <v/>
      </c>
    </row>
    <row r="63" ht="20.1" customHeight="1">
      <c r="A63" s="7" t="inlineStr">
        <is>
          <t>Graph Traversal (DFS &amp; BFS)</t>
        </is>
      </c>
      <c r="B63" s="7" t="inlineStr">
        <is>
          <t>Connected Components</t>
        </is>
      </c>
      <c r="C63" s="6">
        <f>COUNTIF(Problems!$C:$C, B63)</f>
        <v/>
      </c>
      <c r="D63" s="6">
        <f>COUNTIFS(Problems!$C:$C, B63, Problems!$G:$G, "&lt;&gt;UNKNOWN")</f>
        <v/>
      </c>
      <c r="E63" s="6">
        <f>COUNTIFS(Problems!$C:$C, B63, Problems!$A:$A, "Solved")</f>
        <v/>
      </c>
      <c r="F63" s="15">
        <f>IF(C63&gt;0, E63/C63, 0)</f>
        <v/>
      </c>
      <c r="G63" s="16">
        <f>AVERAGEIF(Problems!$C:$C, B63, Problems!$H:$H)</f>
        <v/>
      </c>
    </row>
    <row r="64" ht="20.1" customHeight="1">
      <c r="A64" s="3" t="inlineStr">
        <is>
          <t>Graph Traversal (DFS &amp; BFS)</t>
        </is>
      </c>
      <c r="B64" s="3" t="inlineStr">
        <is>
          <t>DFS</t>
        </is>
      </c>
      <c r="C64" s="2">
        <f>COUNTIF(Problems!$C:$C, B64)</f>
        <v/>
      </c>
      <c r="D64" s="2">
        <f>COUNTIFS(Problems!$C:$C, B64, Problems!$G:$G, "&lt;&gt;UNKNOWN")</f>
        <v/>
      </c>
      <c r="E64" s="2">
        <f>COUNTIFS(Problems!$C:$C, B64, Problems!$A:$A, "Solved")</f>
        <v/>
      </c>
      <c r="F64" s="13">
        <f>IF(C64&gt;0, E64/C64, 0)</f>
        <v/>
      </c>
      <c r="G64" s="14">
        <f>AVERAGEIF(Problems!$C:$C, B64, Problems!$H:$H)</f>
        <v/>
      </c>
    </row>
    <row r="65" ht="20.1" customHeight="1">
      <c r="A65" s="7" t="inlineStr">
        <is>
          <t>Graph Traversal (DFS &amp; BFS)</t>
        </is>
      </c>
      <c r="B65" s="7" t="inlineStr">
        <is>
          <t>Topological Sort</t>
        </is>
      </c>
      <c r="C65" s="6">
        <f>COUNTIF(Problems!$C:$C, B65)</f>
        <v/>
      </c>
      <c r="D65" s="6">
        <f>COUNTIFS(Problems!$C:$C, B65, Problems!$G:$G, "&lt;&gt;UNKNOWN")</f>
        <v/>
      </c>
      <c r="E65" s="6">
        <f>COUNTIFS(Problems!$C:$C, B65, Problems!$A:$A, "Solved")</f>
        <v/>
      </c>
      <c r="F65" s="15">
        <f>IF(C65&gt;0, E65/C65, 0)</f>
        <v/>
      </c>
      <c r="G65" s="16">
        <f>AVERAGEIF(Problems!$C:$C, B65, Problems!$H:$H)</f>
        <v/>
      </c>
    </row>
    <row r="66" ht="20.1" customHeight="1">
      <c r="A66" s="3" t="inlineStr">
        <is>
          <t>Graph Traversal (DFS &amp; BFS)</t>
        </is>
      </c>
      <c r="B66" s="3" t="inlineStr">
        <is>
          <t>Cycle Detection</t>
        </is>
      </c>
      <c r="C66" s="2">
        <f>COUNTIF(Problems!$C:$C, B66)</f>
        <v/>
      </c>
      <c r="D66" s="2">
        <f>COUNTIFS(Problems!$C:$C, B66, Problems!$G:$G, "&lt;&gt;UNKNOWN")</f>
        <v/>
      </c>
      <c r="E66" s="2">
        <f>COUNTIFS(Problems!$C:$C, B66, Problems!$A:$A, "Solved")</f>
        <v/>
      </c>
      <c r="F66" s="13">
        <f>IF(C66&gt;0, E66/C66, 0)</f>
        <v/>
      </c>
      <c r="G66" s="14">
        <f>AVERAGEIF(Problems!$C:$C, B66, Problems!$H:$H)</f>
        <v/>
      </c>
    </row>
    <row r="67" ht="20.1" customHeight="1">
      <c r="A67" s="7" t="inlineStr">
        <is>
          <t>Graph Traversal (DFS &amp; BFS)</t>
        </is>
      </c>
      <c r="B67" s="7" t="inlineStr">
        <is>
          <t>Bipartite Graph</t>
        </is>
      </c>
      <c r="C67" s="6">
        <f>COUNTIF(Problems!$C:$C, B67)</f>
        <v/>
      </c>
      <c r="D67" s="6">
        <f>COUNTIFS(Problems!$C:$C, B67, Problems!$G:$G, "&lt;&gt;UNKNOWN")</f>
        <v/>
      </c>
      <c r="E67" s="6">
        <f>COUNTIFS(Problems!$C:$C, B67, Problems!$A:$A, "Solved")</f>
        <v/>
      </c>
      <c r="F67" s="15">
        <f>IF(C67&gt;0, E67/C67, 0)</f>
        <v/>
      </c>
      <c r="G67" s="16">
        <f>AVERAGEIF(Problems!$C:$C, B67, Problems!$H:$H)</f>
        <v/>
      </c>
    </row>
    <row r="68" ht="20.1" customHeight="1">
      <c r="A68" s="3" t="inlineStr">
        <is>
          <t>Shortest Paths</t>
        </is>
      </c>
      <c r="B68" s="3" t="inlineStr">
        <is>
          <t>Standard Dijkstra</t>
        </is>
      </c>
      <c r="C68" s="2">
        <f>COUNTIF(Problems!$C:$C, B68)</f>
        <v/>
      </c>
      <c r="D68" s="2">
        <f>COUNTIFS(Problems!$C:$C, B68, Problems!$G:$G, "&lt;&gt;UNKNOWN")</f>
        <v/>
      </c>
      <c r="E68" s="2">
        <f>COUNTIFS(Problems!$C:$C, B68, Problems!$A:$A, "Solved")</f>
        <v/>
      </c>
      <c r="F68" s="13">
        <f>IF(C68&gt;0, E68/C68, 0)</f>
        <v/>
      </c>
      <c r="G68" s="14">
        <f>AVERAGEIF(Problems!$C:$C, B68, Problems!$H:$H)</f>
        <v/>
      </c>
    </row>
    <row r="69" ht="20.1" customHeight="1">
      <c r="A69" s="7" t="inlineStr">
        <is>
          <t>Shortest Paths</t>
        </is>
      </c>
      <c r="B69" s="7" t="inlineStr">
        <is>
          <t>0-1 BFS</t>
        </is>
      </c>
      <c r="C69" s="6">
        <f>COUNTIF(Problems!$C:$C, B69)</f>
        <v/>
      </c>
      <c r="D69" s="6">
        <f>COUNTIFS(Problems!$C:$C, B69, Problems!$G:$G, "&lt;&gt;UNKNOWN")</f>
        <v/>
      </c>
      <c r="E69" s="6">
        <f>COUNTIFS(Problems!$C:$C, B69, Problems!$A:$A, "Solved")</f>
        <v/>
      </c>
      <c r="F69" s="15">
        <f>IF(C69&gt;0, E69/C69, 0)</f>
        <v/>
      </c>
      <c r="G69" s="16">
        <f>AVERAGEIF(Problems!$C:$C, B69, Problems!$H:$H)</f>
        <v/>
      </c>
    </row>
    <row r="70" ht="20.1" customHeight="1">
      <c r="A70" s="3" t="inlineStr">
        <is>
          <t>Shortest Paths</t>
        </is>
      </c>
      <c r="B70" s="3" t="inlineStr">
        <is>
          <t>Bellman-Ford / Negative Edges</t>
        </is>
      </c>
      <c r="C70" s="2">
        <f>COUNTIF(Problems!$C:$C, B70)</f>
        <v/>
      </c>
      <c r="D70" s="2">
        <f>COUNTIFS(Problems!$C:$C, B70, Problems!$G:$G, "&lt;&gt;UNKNOWN")</f>
        <v/>
      </c>
      <c r="E70" s="2">
        <f>COUNTIFS(Problems!$C:$C, B70, Problems!$A:$A, "Solved")</f>
        <v/>
      </c>
      <c r="F70" s="13">
        <f>IF(C70&gt;0, E70/C70, 0)</f>
        <v/>
      </c>
      <c r="G70" s="14">
        <f>AVERAGEIF(Problems!$C:$C, B70, Problems!$H:$H)</f>
        <v/>
      </c>
    </row>
    <row r="71" ht="20.1" customHeight="1">
      <c r="A71" s="7" t="inlineStr">
        <is>
          <t>Shortest Paths</t>
        </is>
      </c>
      <c r="B71" s="7" t="inlineStr">
        <is>
          <t>Floyd Warshall</t>
        </is>
      </c>
      <c r="C71" s="6">
        <f>COUNTIF(Problems!$C:$C, B71)</f>
        <v/>
      </c>
      <c r="D71" s="6">
        <f>COUNTIFS(Problems!$C:$C, B71, Problems!$G:$G, "&lt;&gt;UNKNOWN")</f>
        <v/>
      </c>
      <c r="E71" s="6">
        <f>COUNTIFS(Problems!$C:$C, B71, Problems!$A:$A, "Solved")</f>
        <v/>
      </c>
      <c r="F71" s="15">
        <f>IF(C71&gt;0, E71/C71, 0)</f>
        <v/>
      </c>
      <c r="G71" s="16">
        <f>AVERAGEIF(Problems!$C:$C, B71, Problems!$H:$H)</f>
        <v/>
      </c>
    </row>
    <row r="72" ht="20.1" customHeight="1">
      <c r="A72" s="3" t="inlineStr">
        <is>
          <t>DSU &amp; Minimum Spanning Tree</t>
        </is>
      </c>
      <c r="B72" s="3" t="inlineStr">
        <is>
          <t>Basic DSU</t>
        </is>
      </c>
      <c r="C72" s="2">
        <f>COUNTIF(Problems!$C:$C, B72)</f>
        <v/>
      </c>
      <c r="D72" s="2">
        <f>COUNTIFS(Problems!$C:$C, B72, Problems!$G:$G, "&lt;&gt;UNKNOWN")</f>
        <v/>
      </c>
      <c r="E72" s="2">
        <f>COUNTIFS(Problems!$C:$C, B72, Problems!$A:$A, "Solved")</f>
        <v/>
      </c>
      <c r="F72" s="13">
        <f>IF(C72&gt;0, E72/C72, 0)</f>
        <v/>
      </c>
      <c r="G72" s="14">
        <f>AVERAGEIF(Problems!$C:$C, B72, Problems!$H:$H)</f>
        <v/>
      </c>
    </row>
    <row r="73" ht="20.1" customHeight="1">
      <c r="A73" s="7" t="inlineStr">
        <is>
          <t>DSU &amp; Minimum Spanning Tree</t>
        </is>
      </c>
      <c r="B73" s="7" t="inlineStr">
        <is>
          <t>Union Find Applications</t>
        </is>
      </c>
      <c r="C73" s="6">
        <f>COUNTIF(Problems!$C:$C, B73)</f>
        <v/>
      </c>
      <c r="D73" s="6">
        <f>COUNTIFS(Problems!$C:$C, B73, Problems!$G:$G, "&lt;&gt;UNKNOWN")</f>
        <v/>
      </c>
      <c r="E73" s="6">
        <f>COUNTIFS(Problems!$C:$C, B73, Problems!$A:$A, "Solved")</f>
        <v/>
      </c>
      <c r="F73" s="15">
        <f>IF(C73&gt;0, E73/C73, 0)</f>
        <v/>
      </c>
      <c r="G73" s="16">
        <f>AVERAGEIF(Problems!$C:$C, B73, Problems!$H:$H)</f>
        <v/>
      </c>
    </row>
    <row r="74" ht="20.1" customHeight="1">
      <c r="A74" s="3" t="inlineStr">
        <is>
          <t>DSU &amp; Minimum Spanning Tree</t>
        </is>
      </c>
      <c r="B74" s="3" t="inlineStr">
        <is>
          <t>Kruskal's MST</t>
        </is>
      </c>
      <c r="C74" s="2">
        <f>COUNTIF(Problems!$C:$C, B74)</f>
        <v/>
      </c>
      <c r="D74" s="2">
        <f>COUNTIFS(Problems!$C:$C, B74, Problems!$G:$G, "&lt;&gt;UNKNOWN")</f>
        <v/>
      </c>
      <c r="E74" s="2">
        <f>COUNTIFS(Problems!$C:$C, B74, Problems!$A:$A, "Solved")</f>
        <v/>
      </c>
      <c r="F74" s="13">
        <f>IF(C74&gt;0, E74/C74, 0)</f>
        <v/>
      </c>
      <c r="G74" s="14">
        <f>AVERAGEIF(Problems!$C:$C, B74, Problems!$H:$H)</f>
        <v/>
      </c>
    </row>
    <row r="75" ht="20.1" customHeight="1">
      <c r="A75" s="7" t="inlineStr">
        <is>
          <t>DSU &amp; Minimum Spanning Tree</t>
        </is>
      </c>
      <c r="B75" s="7" t="inlineStr">
        <is>
          <t>Offline DSU</t>
        </is>
      </c>
      <c r="C75" s="6">
        <f>COUNTIF(Problems!$C:$C, B75)</f>
        <v/>
      </c>
      <c r="D75" s="6">
        <f>COUNTIFS(Problems!$C:$C, B75, Problems!$G:$G, "&lt;&gt;UNKNOWN")</f>
        <v/>
      </c>
      <c r="E75" s="6">
        <f>COUNTIFS(Problems!$C:$C, B75, Problems!$A:$A, "Solved")</f>
        <v/>
      </c>
      <c r="F75" s="15">
        <f>IF(C75&gt;0, E75/C75, 0)</f>
        <v/>
      </c>
      <c r="G75" s="16">
        <f>AVERAGEIF(Problems!$C:$C, B75, Problems!$H:$H)</f>
        <v/>
      </c>
    </row>
    <row r="76" ht="20.1" customHeight="1">
      <c r="A76" s="3" t="inlineStr">
        <is>
          <t>Dynamic Programming</t>
        </is>
      </c>
      <c r="B76" s="3" t="inlineStr">
        <is>
          <t>Introduction to DP (1D DP)</t>
        </is>
      </c>
      <c r="C76" s="2">
        <f>COUNTIF(Problems!$C:$C, B76)</f>
        <v/>
      </c>
      <c r="D76" s="2">
        <f>COUNTIFS(Problems!$C:$C, B76, Problems!$G:$G, "&lt;&gt;UNKNOWN")</f>
        <v/>
      </c>
      <c r="E76" s="2">
        <f>COUNTIFS(Problems!$C:$C, B76, Problems!$A:$A, "Solved")</f>
        <v/>
      </c>
      <c r="F76" s="13">
        <f>IF(C76&gt;0, E76/C76, 0)</f>
        <v/>
      </c>
      <c r="G76" s="14">
        <f>AVERAGEIF(Problems!$C:$C, B76, Problems!$H:$H)</f>
        <v/>
      </c>
    </row>
    <row r="77" ht="20.1" customHeight="1">
      <c r="A77" s="7" t="inlineStr">
        <is>
          <t>Dynamic Programming</t>
        </is>
      </c>
      <c r="B77" s="7" t="inlineStr">
        <is>
          <t>Knapsack DP</t>
        </is>
      </c>
      <c r="C77" s="6">
        <f>COUNTIF(Problems!$C:$C, B77)</f>
        <v/>
      </c>
      <c r="D77" s="6">
        <f>COUNTIFS(Problems!$C:$C, B77, Problems!$G:$G, "&lt;&gt;UNKNOWN")</f>
        <v/>
      </c>
      <c r="E77" s="6">
        <f>COUNTIFS(Problems!$C:$C, B77, Problems!$A:$A, "Solved")</f>
        <v/>
      </c>
      <c r="F77" s="15">
        <f>IF(C77&gt;0, E77/C77, 0)</f>
        <v/>
      </c>
      <c r="G77" s="16">
        <f>AVERAGEIF(Problems!$C:$C, B77, Problems!$H:$H)</f>
        <v/>
      </c>
    </row>
    <row r="78" ht="20.1" customHeight="1">
      <c r="A78" s="3" t="inlineStr">
        <is>
          <t>Dynamic Programming</t>
        </is>
      </c>
      <c r="B78" s="3" t="inlineStr">
        <is>
          <t>Grid DP</t>
        </is>
      </c>
      <c r="C78" s="2">
        <f>COUNTIF(Problems!$C:$C, B78)</f>
        <v/>
      </c>
      <c r="D78" s="2">
        <f>COUNTIFS(Problems!$C:$C, B78, Problems!$G:$G, "&lt;&gt;UNKNOWN")</f>
        <v/>
      </c>
      <c r="E78" s="2">
        <f>COUNTIFS(Problems!$C:$C, B78, Problems!$A:$A, "Solved")</f>
        <v/>
      </c>
      <c r="F78" s="13">
        <f>IF(C78&gt;0, E78/C78, 0)</f>
        <v/>
      </c>
      <c r="G78" s="14">
        <f>AVERAGEIF(Problems!$C:$C, B78, Problems!$H:$H)</f>
        <v/>
      </c>
    </row>
    <row r="79" ht="20.1" customHeight="1">
      <c r="A79" s="7" t="inlineStr">
        <is>
          <t>Dynamic Programming</t>
        </is>
      </c>
      <c r="B79" s="7" t="inlineStr">
        <is>
          <t>Interval DP</t>
        </is>
      </c>
      <c r="C79" s="6">
        <f>COUNTIF(Problems!$C:$C, B79)</f>
        <v/>
      </c>
      <c r="D79" s="6">
        <f>COUNTIFS(Problems!$C:$C, B79, Problems!$G:$G, "&lt;&gt;UNKNOWN")</f>
        <v/>
      </c>
      <c r="E79" s="6">
        <f>COUNTIFS(Problems!$C:$C, B79, Problems!$A:$A, "Solved")</f>
        <v/>
      </c>
      <c r="F79" s="15">
        <f>IF(C79&gt;0, E79/C79, 0)</f>
        <v/>
      </c>
      <c r="G79" s="16">
        <f>AVERAGEIF(Problems!$C:$C, B79, Problems!$H:$H)</f>
        <v/>
      </c>
    </row>
    <row r="80" ht="20.1" customHeight="1">
      <c r="A80" s="3" t="inlineStr">
        <is>
          <t>Dynamic Programming</t>
        </is>
      </c>
      <c r="B80" s="3" t="inlineStr">
        <is>
          <t>Digit DP</t>
        </is>
      </c>
      <c r="C80" s="2">
        <f>COUNTIF(Problems!$C:$C, B80)</f>
        <v/>
      </c>
      <c r="D80" s="2">
        <f>COUNTIFS(Problems!$C:$C, B80, Problems!$G:$G, "&lt;&gt;UNKNOWN")</f>
        <v/>
      </c>
      <c r="E80" s="2">
        <f>COUNTIFS(Problems!$C:$C, B80, Problems!$A:$A, "Solved")</f>
        <v/>
      </c>
      <c r="F80" s="13">
        <f>IF(C80&gt;0, E80/C80, 0)</f>
        <v/>
      </c>
      <c r="G80" s="14">
        <f>AVERAGEIF(Problems!$C:$C, B80, Problems!$H:$H)</f>
        <v/>
      </c>
    </row>
    <row r="81" ht="20.1" customHeight="1">
      <c r="A81" s="7" t="inlineStr">
        <is>
          <t>Dynamic Programming</t>
        </is>
      </c>
      <c r="B81" s="7" t="inlineStr">
        <is>
          <t>Bitmask DP</t>
        </is>
      </c>
      <c r="C81" s="6">
        <f>COUNTIF(Problems!$C:$C, B81)</f>
        <v/>
      </c>
      <c r="D81" s="6">
        <f>COUNTIFS(Problems!$C:$C, B81, Problems!$G:$G, "&lt;&gt;UNKNOWN")</f>
        <v/>
      </c>
      <c r="E81" s="6">
        <f>COUNTIFS(Problems!$C:$C, B81, Problems!$A:$A, "Solved")</f>
        <v/>
      </c>
      <c r="F81" s="15">
        <f>IF(C81&gt;0, E81/C81, 0)</f>
        <v/>
      </c>
      <c r="G81" s="16">
        <f>AVERAGEIF(Problems!$C:$C, B81, Problems!$H:$H)</f>
        <v/>
      </c>
    </row>
    <row r="82" ht="20.1" customHeight="1">
      <c r="A82" s="3" t="inlineStr">
        <is>
          <t>Dynamic Programming</t>
        </is>
      </c>
      <c r="B82" s="3" t="inlineStr">
        <is>
          <t>DP on DAG</t>
        </is>
      </c>
      <c r="C82" s="2">
        <f>COUNTIF(Problems!$C:$C, B82)</f>
        <v/>
      </c>
      <c r="D82" s="2">
        <f>COUNTIFS(Problems!$C:$C, B82, Problems!$G:$G, "&lt;&gt;UNKNOWN")</f>
        <v/>
      </c>
      <c r="E82" s="2">
        <f>COUNTIFS(Problems!$C:$C, B82, Problems!$A:$A, "Solved")</f>
        <v/>
      </c>
      <c r="F82" s="13">
        <f>IF(C82&gt;0, E82/C82, 0)</f>
        <v/>
      </c>
      <c r="G82" s="14">
        <f>AVERAGEIF(Problems!$C:$C, B82, Problems!$H:$H)</f>
        <v/>
      </c>
    </row>
    <row r="83" ht="20.1" customHeight="1">
      <c r="A83" s="7" t="inlineStr">
        <is>
          <t>Dynamic Programming</t>
        </is>
      </c>
      <c r="B83" s="7" t="inlineStr">
        <is>
          <t>Probability DP</t>
        </is>
      </c>
      <c r="C83" s="6">
        <f>COUNTIF(Problems!$C:$C, B83)</f>
        <v/>
      </c>
      <c r="D83" s="6">
        <f>COUNTIFS(Problems!$C:$C, B83, Problems!$G:$G, "&lt;&gt;UNKNOWN")</f>
        <v/>
      </c>
      <c r="E83" s="6">
        <f>COUNTIFS(Problems!$C:$C, B83, Problems!$A:$A, "Solved")</f>
        <v/>
      </c>
      <c r="F83" s="15">
        <f>IF(C83&gt;0, E83/C83, 0)</f>
        <v/>
      </c>
      <c r="G83" s="16">
        <f>AVERAGEIF(Problems!$C:$C, B83, Problems!$H:$H)</f>
        <v/>
      </c>
    </row>
    <row r="84" ht="20.1" customHeight="1">
      <c r="A84" s="3" t="inlineStr">
        <is>
          <t>Dynamic Programming</t>
        </is>
      </c>
      <c r="B84" s="3" t="inlineStr">
        <is>
          <t>Prefix/Suffix DP</t>
        </is>
      </c>
      <c r="C84" s="2">
        <f>COUNTIF(Problems!$C:$C, B84)</f>
        <v/>
      </c>
      <c r="D84" s="2">
        <f>COUNTIFS(Problems!$C:$C, B84, Problems!$G:$G, "&lt;&gt;UNKNOWN")</f>
        <v/>
      </c>
      <c r="E84" s="2">
        <f>COUNTIFS(Problems!$C:$C, B84, Problems!$A:$A, "Solved")</f>
        <v/>
      </c>
      <c r="F84" s="13">
        <f>IF(C84&gt;0, E84/C84, 0)</f>
        <v/>
      </c>
      <c r="G84" s="14">
        <f>AVERAGEIF(Problems!$C:$C, B84, Problems!$H:$H)</f>
        <v/>
      </c>
    </row>
    <row r="85" ht="20.1" customHeight="1">
      <c r="A85" s="7" t="inlineStr">
        <is>
          <t>Dynamic Programming</t>
        </is>
      </c>
      <c r="B85" s="7" t="inlineStr">
        <is>
          <t>Optimization DP</t>
        </is>
      </c>
      <c r="C85" s="6">
        <f>COUNTIF(Problems!$C:$C, B85)</f>
        <v/>
      </c>
      <c r="D85" s="6">
        <f>COUNTIFS(Problems!$C:$C, B85, Problems!$G:$G, "&lt;&gt;UNKNOWN")</f>
        <v/>
      </c>
      <c r="E85" s="6">
        <f>COUNTIFS(Problems!$C:$C, B85, Problems!$A:$A, "Solved")</f>
        <v/>
      </c>
      <c r="F85" s="15">
        <f>IF(C85&gt;0, E85/C85, 0)</f>
        <v/>
      </c>
      <c r="G85" s="16">
        <f>AVERAGEIF(Problems!$C:$C, B85, Problems!$H:$H)</f>
        <v/>
      </c>
    </row>
    <row r="86" ht="20.1" customHeight="1">
      <c r="A86" s="3" t="inlineStr">
        <is>
          <t>Divide &amp; Conquer</t>
        </is>
      </c>
      <c r="B86" s="3" t="inlineStr">
        <is>
          <t>Merge Sort Applications</t>
        </is>
      </c>
      <c r="C86" s="2">
        <f>COUNTIF(Problems!$C:$C, B86)</f>
        <v/>
      </c>
      <c r="D86" s="2">
        <f>COUNTIFS(Problems!$C:$C, B86, Problems!$G:$G, "&lt;&gt;UNKNOWN")</f>
        <v/>
      </c>
      <c r="E86" s="2">
        <f>COUNTIFS(Problems!$C:$C, B86, Problems!$A:$A, "Solved")</f>
        <v/>
      </c>
      <c r="F86" s="13">
        <f>IF(C86&gt;0, E86/C86, 0)</f>
        <v/>
      </c>
      <c r="G86" s="14">
        <f>AVERAGEIF(Problems!$C:$C, B86, Problems!$H:$H)</f>
        <v/>
      </c>
    </row>
    <row r="87" ht="20.1" customHeight="1">
      <c r="A87" s="7" t="inlineStr">
        <is>
          <t>Divide &amp; Conquer</t>
        </is>
      </c>
      <c r="B87" s="7" t="inlineStr">
        <is>
          <t>Divide &amp; Conquer on Arrays</t>
        </is>
      </c>
      <c r="C87" s="6">
        <f>COUNTIF(Problems!$C:$C, B87)</f>
        <v/>
      </c>
      <c r="D87" s="6">
        <f>COUNTIFS(Problems!$C:$C, B87, Problems!$G:$G, "&lt;&gt;UNKNOWN")</f>
        <v/>
      </c>
      <c r="E87" s="6">
        <f>COUNTIFS(Problems!$C:$C, B87, Problems!$A:$A, "Solved")</f>
        <v/>
      </c>
      <c r="F87" s="15">
        <f>IF(C87&gt;0, E87/C87, 0)</f>
        <v/>
      </c>
      <c r="G87" s="16">
        <f>AVERAGEIF(Problems!$C:$C, B87, Problems!$H:$H)</f>
        <v/>
      </c>
    </row>
    <row r="88" ht="20.1" customHeight="1">
      <c r="A88" s="3" t="inlineStr">
        <is>
          <t>Divide &amp; Conquer</t>
        </is>
      </c>
      <c r="B88" s="3" t="inlineStr">
        <is>
          <t>CDQ Divide &amp; Conquer</t>
        </is>
      </c>
      <c r="C88" s="2">
        <f>COUNTIF(Problems!$C:$C, B88)</f>
        <v/>
      </c>
      <c r="D88" s="2">
        <f>COUNTIFS(Problems!$C:$C, B88, Problems!$G:$G, "&lt;&gt;UNKNOWN")</f>
        <v/>
      </c>
      <c r="E88" s="2">
        <f>COUNTIFS(Problems!$C:$C, B88, Problems!$A:$A, "Solved")</f>
        <v/>
      </c>
      <c r="F88" s="13">
        <f>IF(C88&gt;0, E88/C88, 0)</f>
        <v/>
      </c>
      <c r="G88" s="14">
        <f>AVERAGEIF(Problems!$C:$C, B88, Problems!$H:$H)</f>
        <v/>
      </c>
    </row>
    <row r="89" ht="20.1" customHeight="1">
      <c r="A89" s="7" t="inlineStr">
        <is>
          <t>Segment Trees</t>
        </is>
      </c>
      <c r="B89" s="7" t="inlineStr">
        <is>
          <t>Basic Segment Tree</t>
        </is>
      </c>
      <c r="C89" s="6">
        <f>COUNTIF(Problems!$C:$C, B89)</f>
        <v/>
      </c>
      <c r="D89" s="6">
        <f>COUNTIFS(Problems!$C:$C, B89, Problems!$G:$G, "&lt;&gt;UNKNOWN")</f>
        <v/>
      </c>
      <c r="E89" s="6">
        <f>COUNTIFS(Problems!$C:$C, B89, Problems!$A:$A, "Solved")</f>
        <v/>
      </c>
      <c r="F89" s="15">
        <f>IF(C89&gt;0, E89/C89, 0)</f>
        <v/>
      </c>
      <c r="G89" s="16">
        <f>AVERAGEIF(Problems!$C:$C, B89, Problems!$H:$H)</f>
        <v/>
      </c>
    </row>
    <row r="90" ht="20.1" customHeight="1">
      <c r="A90" s="3" t="inlineStr">
        <is>
          <t>Segment Trees</t>
        </is>
      </c>
      <c r="B90" s="3" t="inlineStr">
        <is>
          <t>Range Query + Point Update</t>
        </is>
      </c>
      <c r="C90" s="2">
        <f>COUNTIF(Problems!$C:$C, B90)</f>
        <v/>
      </c>
      <c r="D90" s="2">
        <f>COUNTIFS(Problems!$C:$C, B90, Problems!$G:$G, "&lt;&gt;UNKNOWN")</f>
        <v/>
      </c>
      <c r="E90" s="2">
        <f>COUNTIFS(Problems!$C:$C, B90, Problems!$A:$A, "Solved")</f>
        <v/>
      </c>
      <c r="F90" s="13">
        <f>IF(C90&gt;0, E90/C90, 0)</f>
        <v/>
      </c>
      <c r="G90" s="14">
        <f>AVERAGEIF(Problems!$C:$C, B90, Problems!$H:$H)</f>
        <v/>
      </c>
    </row>
    <row r="91" ht="20.1" customHeight="1">
      <c r="A91" s="7" t="inlineStr">
        <is>
          <t>Segment Trees</t>
        </is>
      </c>
      <c r="B91" s="7" t="inlineStr">
        <is>
          <t>Lazy Propagation</t>
        </is>
      </c>
      <c r="C91" s="6">
        <f>COUNTIF(Problems!$C:$C, B91)</f>
        <v/>
      </c>
      <c r="D91" s="6">
        <f>COUNTIFS(Problems!$C:$C, B91, Problems!$G:$G, "&lt;&gt;UNKNOWN")</f>
        <v/>
      </c>
      <c r="E91" s="6">
        <f>COUNTIFS(Problems!$C:$C, B91, Problems!$A:$A, "Solved")</f>
        <v/>
      </c>
      <c r="F91" s="15">
        <f>IF(C91&gt;0, E91/C91, 0)</f>
        <v/>
      </c>
      <c r="G91" s="16">
        <f>AVERAGEIF(Problems!$C:$C, B91, Problems!$H:$H)</f>
        <v/>
      </c>
    </row>
    <row r="92" ht="20.1" customHeight="1">
      <c r="A92" s="3" t="inlineStr">
        <is>
          <t>Segment Trees</t>
        </is>
      </c>
      <c r="B92" s="3" t="inlineStr">
        <is>
          <t>Merge Sort Tree</t>
        </is>
      </c>
      <c r="C92" s="2">
        <f>COUNTIF(Problems!$C:$C, B92)</f>
        <v/>
      </c>
      <c r="D92" s="2">
        <f>COUNTIFS(Problems!$C:$C, B92, Problems!$G:$G, "&lt;&gt;UNKNOWN")</f>
        <v/>
      </c>
      <c r="E92" s="2">
        <f>COUNTIFS(Problems!$C:$C, B92, Problems!$A:$A, "Solved")</f>
        <v/>
      </c>
      <c r="F92" s="13">
        <f>IF(C92&gt;0, E92/C92, 0)</f>
        <v/>
      </c>
      <c r="G92" s="14">
        <f>AVERAGEIF(Problems!$C:$C, B92, Problems!$H:$H)</f>
        <v/>
      </c>
    </row>
    <row r="93" ht="20.1" customHeight="1">
      <c r="A93" s="7" t="inlineStr">
        <is>
          <t>Segment Trees</t>
        </is>
      </c>
      <c r="B93" s="7" t="inlineStr">
        <is>
          <t>Persistent Segment Tree</t>
        </is>
      </c>
      <c r="C93" s="6">
        <f>COUNTIF(Problems!$C:$C, B93)</f>
        <v/>
      </c>
      <c r="D93" s="6">
        <f>COUNTIFS(Problems!$C:$C, B93, Problems!$G:$G, "&lt;&gt;UNKNOWN")</f>
        <v/>
      </c>
      <c r="E93" s="6">
        <f>COUNTIFS(Problems!$C:$C, B93, Problems!$A:$A, "Solved")</f>
        <v/>
      </c>
      <c r="F93" s="15">
        <f>IF(C93&gt;0, E93/C93, 0)</f>
        <v/>
      </c>
      <c r="G93" s="16">
        <f>AVERAGEIF(Problems!$C:$C, B93, Problems!$H:$H)</f>
        <v/>
      </c>
    </row>
    <row r="94" ht="20.1" customHeight="1">
      <c r="A94" s="3" t="inlineStr">
        <is>
          <t>Segment Trees</t>
        </is>
      </c>
      <c r="B94" s="3" t="inlineStr">
        <is>
          <t>Dynamic Segment Tree</t>
        </is>
      </c>
      <c r="C94" s="2">
        <f>COUNTIF(Problems!$C:$C, B94)</f>
        <v/>
      </c>
      <c r="D94" s="2">
        <f>COUNTIFS(Problems!$C:$C, B94, Problems!$G:$G, "&lt;&gt;UNKNOWN")</f>
        <v/>
      </c>
      <c r="E94" s="2">
        <f>COUNTIFS(Problems!$C:$C, B94, Problems!$A:$A, "Solved")</f>
        <v/>
      </c>
      <c r="F94" s="13">
        <f>IF(C94&gt;0, E94/C94, 0)</f>
        <v/>
      </c>
      <c r="G94" s="14">
        <f>AVERAGEIF(Problems!$C:$C, B94, Problems!$H:$H)</f>
        <v/>
      </c>
    </row>
    <row r="95" ht="20.1" customHeight="1">
      <c r="A95" s="7" t="inlineStr">
        <is>
          <t>Fenwick Tree (BIT)</t>
        </is>
      </c>
      <c r="B95" s="7" t="inlineStr">
        <is>
          <t>Basic BIT</t>
        </is>
      </c>
      <c r="C95" s="6">
        <f>COUNTIF(Problems!$C:$C, B95)</f>
        <v/>
      </c>
      <c r="D95" s="6">
        <f>COUNTIFS(Problems!$C:$C, B95, Problems!$G:$G, "&lt;&gt;UNKNOWN")</f>
        <v/>
      </c>
      <c r="E95" s="6">
        <f>COUNTIFS(Problems!$C:$C, B95, Problems!$A:$A, "Solved")</f>
        <v/>
      </c>
      <c r="F95" s="15">
        <f>IF(C95&gt;0, E95/C95, 0)</f>
        <v/>
      </c>
      <c r="G95" s="16">
        <f>AVERAGEIF(Problems!$C:$C, B95, Problems!$H:$H)</f>
        <v/>
      </c>
    </row>
    <row r="96" ht="20.1" customHeight="1">
      <c r="A96" s="3" t="inlineStr">
        <is>
          <t>Fenwick Tree (BIT)</t>
        </is>
      </c>
      <c r="B96" s="3" t="inlineStr">
        <is>
          <t>Prefix Sum BIT</t>
        </is>
      </c>
      <c r="C96" s="2">
        <f>COUNTIF(Problems!$C:$C, B96)</f>
        <v/>
      </c>
      <c r="D96" s="2">
        <f>COUNTIFS(Problems!$C:$C, B96, Problems!$G:$G, "&lt;&gt;UNKNOWN")</f>
        <v/>
      </c>
      <c r="E96" s="2">
        <f>COUNTIFS(Problems!$C:$C, B96, Problems!$A:$A, "Solved")</f>
        <v/>
      </c>
      <c r="F96" s="13">
        <f>IF(C96&gt;0, E96/C96, 0)</f>
        <v/>
      </c>
      <c r="G96" s="14">
        <f>AVERAGEIF(Problems!$C:$C, B96, Problems!$H:$H)</f>
        <v/>
      </c>
    </row>
    <row r="97" ht="20.1" customHeight="1">
      <c r="A97" s="7" t="inlineStr">
        <is>
          <t>Fenwick Tree (BIT)</t>
        </is>
      </c>
      <c r="B97" s="7" t="inlineStr">
        <is>
          <t>BIT + Coordinate Compression</t>
        </is>
      </c>
      <c r="C97" s="6">
        <f>COUNTIF(Problems!$C:$C, B97)</f>
        <v/>
      </c>
      <c r="D97" s="6">
        <f>COUNTIFS(Problems!$C:$C, B97, Problems!$G:$G, "&lt;&gt;UNKNOWN")</f>
        <v/>
      </c>
      <c r="E97" s="6">
        <f>COUNTIFS(Problems!$C:$C, B97, Problems!$A:$A, "Solved")</f>
        <v/>
      </c>
      <c r="F97" s="15">
        <f>IF(C97&gt;0, E97/C97, 0)</f>
        <v/>
      </c>
      <c r="G97" s="16">
        <f>AVERAGEIF(Problems!$C:$C, B97, Problems!$H:$H)</f>
        <v/>
      </c>
    </row>
    <row r="98" ht="20.1" customHeight="1">
      <c r="A98" s="3" t="inlineStr">
        <is>
          <t>Fenwick Tree (BIT)</t>
        </is>
      </c>
      <c r="B98" s="3" t="inlineStr">
        <is>
          <t>Offline Queries with BIT</t>
        </is>
      </c>
      <c r="C98" s="2">
        <f>COUNTIF(Problems!$C:$C, B98)</f>
        <v/>
      </c>
      <c r="D98" s="2">
        <f>COUNTIFS(Problems!$C:$C, B98, Problems!$G:$G, "&lt;&gt;UNKNOWN")</f>
        <v/>
      </c>
      <c r="E98" s="2">
        <f>COUNTIFS(Problems!$C:$C, B98, Problems!$A:$A, "Solved")</f>
        <v/>
      </c>
      <c r="F98" s="13">
        <f>IF(C98&gt;0, E98/C98, 0)</f>
        <v/>
      </c>
      <c r="G98" s="14">
        <f>AVERAGEIF(Problems!$C:$C, B98, Problems!$H:$H)</f>
        <v/>
      </c>
    </row>
    <row r="99" ht="20.1" customHeight="1">
      <c r="A99" s="7" t="inlineStr">
        <is>
          <t>Fenwick Tree (BIT)</t>
        </is>
      </c>
      <c r="B99" s="7" t="inlineStr">
        <is>
          <t>Greedy Construction</t>
        </is>
      </c>
      <c r="C99" s="6">
        <f>COUNTIF(Problems!$C:$C, B99)</f>
        <v/>
      </c>
      <c r="D99" s="6">
        <f>COUNTIFS(Problems!$C:$C, B99, Problems!$G:$G, "&lt;&gt;UNKNOWN")</f>
        <v/>
      </c>
      <c r="E99" s="6">
        <f>COUNTIFS(Problems!$C:$C, B99, Problems!$A:$A, "Solved")</f>
        <v/>
      </c>
      <c r="F99" s="15">
        <f>IF(C99&gt;0, E99/C99, 0)</f>
        <v/>
      </c>
      <c r="G99" s="16">
        <f>AVERAGEIF(Problems!$C:$C, B99, Problems!$H:$H)</f>
        <v/>
      </c>
    </row>
    <row r="100" ht="20.1" customHeight="1">
      <c r="A100" s="3" t="inlineStr">
        <is>
          <t>Fenwick Tree (BIT)</t>
        </is>
      </c>
      <c r="B100" s="3" t="inlineStr">
        <is>
          <t>Constructive Mathematics</t>
        </is>
      </c>
      <c r="C100" s="2">
        <f>COUNTIF(Problems!$C:$C, B100)</f>
        <v/>
      </c>
      <c r="D100" s="2">
        <f>COUNTIFS(Problems!$C:$C, B100, Problems!$G:$G, "&lt;&gt;UNKNOWN")</f>
        <v/>
      </c>
      <c r="E100" s="2">
        <f>COUNTIFS(Problems!$C:$C, B100, Problems!$A:$A, "Solved")</f>
        <v/>
      </c>
      <c r="F100" s="13">
        <f>IF(C100&gt;0, E100/C100, 0)</f>
        <v/>
      </c>
      <c r="G100" s="14">
        <f>AVERAGEIF(Problems!$C:$C, B100, Problems!$H:$H)</f>
        <v/>
      </c>
    </row>
    <row r="101" ht="20.1" customHeight="1">
      <c r="A101" s="7" t="inlineStr">
        <is>
          <t>Fenwick Tree (BIT)</t>
        </is>
      </c>
      <c r="B101" s="7" t="inlineStr">
        <is>
          <t>Permutation Construction</t>
        </is>
      </c>
      <c r="C101" s="6">
        <f>COUNTIF(Problems!$C:$C, B101)</f>
        <v/>
      </c>
      <c r="D101" s="6">
        <f>COUNTIFS(Problems!$C:$C, B101, Problems!$G:$G, "&lt;&gt;UNKNOWN")</f>
        <v/>
      </c>
      <c r="E101" s="6">
        <f>COUNTIFS(Problems!$C:$C, B101, Problems!$A:$A, "Solved")</f>
        <v/>
      </c>
      <c r="F101" s="15">
        <f>IF(C101&gt;0, E101/C101, 0)</f>
        <v/>
      </c>
      <c r="G101" s="16">
        <f>AVERAGEIF(Problems!$C:$C, B101, Problems!$H:$H)</f>
        <v/>
      </c>
    </row>
    <row r="102" ht="20.1" customHeight="1">
      <c r="A102" s="3" t="inlineStr">
        <is>
          <t>Fenwick Tree (BIT)</t>
        </is>
      </c>
      <c r="B102" s="3" t="inlineStr">
        <is>
          <t>Interactive Construction Ideas</t>
        </is>
      </c>
      <c r="C102" s="2">
        <f>COUNTIF(Problems!$C:$C, B102)</f>
        <v/>
      </c>
      <c r="D102" s="2">
        <f>COUNTIFS(Problems!$C:$C, B102, Problems!$G:$G, "&lt;&gt;UNKNOWN")</f>
        <v/>
      </c>
      <c r="E102" s="2">
        <f>COUNTIFS(Problems!$C:$C, B102, Problems!$A:$A, "Solved")</f>
        <v/>
      </c>
      <c r="F102" s="13">
        <f>IF(C102&gt;0, E102/C102, 0)</f>
        <v/>
      </c>
      <c r="G102" s="14">
        <f>AVERAGEIF(Problems!$C:$C, B102, Problems!$H:$H)</f>
        <v/>
      </c>
    </row>
    <row r="103" ht="20.1" customHeight="1">
      <c r="A103" s="7" t="inlineStr">
        <is>
          <t>Advanced Topics</t>
        </is>
      </c>
      <c r="B103" s="7" t="inlineStr">
        <is>
          <t>Computational Geometry</t>
        </is>
      </c>
      <c r="C103" s="6">
        <f>COUNTIF(Problems!$C:$C, B103)</f>
        <v/>
      </c>
      <c r="D103" s="6">
        <f>COUNTIFS(Problems!$C:$C, B103, Problems!$G:$G, "&lt;&gt;UNKNOWN")</f>
        <v/>
      </c>
      <c r="E103" s="6">
        <f>COUNTIFS(Problems!$C:$C, B103, Problems!$A:$A, "Solved")</f>
        <v/>
      </c>
      <c r="F103" s="15">
        <f>IF(C103&gt;0, E103/C103, 0)</f>
        <v/>
      </c>
      <c r="G103" s="16">
        <f>AVERAGEIF(Problems!$C:$C, B103, Problems!$H:$H)</f>
        <v/>
      </c>
    </row>
    <row r="104" ht="20.1" customHeight="1">
      <c r="A104" s="3" t="inlineStr">
        <is>
          <t>Advanced Topics</t>
        </is>
      </c>
      <c r="B104" s="3" t="inlineStr">
        <is>
          <t>Coordinate Geometry</t>
        </is>
      </c>
      <c r="C104" s="2">
        <f>COUNTIF(Problems!$C:$C, B104)</f>
        <v/>
      </c>
      <c r="D104" s="2">
        <f>COUNTIFS(Problems!$C:$C, B104, Problems!$G:$G, "&lt;&gt;UNKNOWN")</f>
        <v/>
      </c>
      <c r="E104" s="2">
        <f>COUNTIFS(Problems!$C:$C, B104, Problems!$A:$A, "Solved")</f>
        <v/>
      </c>
      <c r="F104" s="13">
        <f>IF(C104&gt;0, E104/C104, 0)</f>
        <v/>
      </c>
      <c r="G104" s="14">
        <f>AVERAGEIF(Problems!$C:$C, B104, Problems!$H:$H)</f>
        <v/>
      </c>
    </row>
    <row r="105" ht="20.1" customHeight="1">
      <c r="A105" s="7" t="inlineStr">
        <is>
          <t>Advanced Topics</t>
        </is>
      </c>
      <c r="B105" s="7" t="inlineStr">
        <is>
          <t>Interactive Problems</t>
        </is>
      </c>
      <c r="C105" s="6">
        <f>COUNTIF(Problems!$C:$C, B105)</f>
        <v/>
      </c>
      <c r="D105" s="6">
        <f>COUNTIFS(Problems!$C:$C, B105, Problems!$G:$G, "&lt;&gt;UNKNOWN")</f>
        <v/>
      </c>
      <c r="E105" s="6">
        <f>COUNTIFS(Problems!$C:$C, B105, Problems!$A:$A, "Solved")</f>
        <v/>
      </c>
      <c r="F105" s="15">
        <f>IF(C105&gt;0, E105/C105, 0)</f>
        <v/>
      </c>
      <c r="G105" s="16">
        <f>AVERAGEIF(Problems!$C:$C, B105, Problems!$H:$H)</f>
        <v/>
      </c>
    </row>
    <row r="106" ht="20.1" customHeight="1">
      <c r="A106" s="3" t="inlineStr">
        <is>
          <t>Advanced Topics</t>
        </is>
      </c>
      <c r="B106" s="3" t="inlineStr">
        <is>
          <t>Ad-hoc / Observation</t>
        </is>
      </c>
      <c r="C106" s="2">
        <f>COUNTIF(Problems!$C:$C, B106)</f>
        <v/>
      </c>
      <c r="D106" s="2">
        <f>COUNTIFS(Problems!$C:$C, B106, Problems!$G:$G, "&lt;&gt;UNKNOWN")</f>
        <v/>
      </c>
      <c r="E106" s="2">
        <f>COUNTIFS(Problems!$C:$C, B106, Problems!$A:$A, "Solved")</f>
        <v/>
      </c>
      <c r="F106" s="13">
        <f>IF(C106&gt;0, E106/C106, 0)</f>
        <v/>
      </c>
      <c r="G106" s="14">
        <f>AVERAGEIF(Problems!$C:$C, B106, Problems!$H:$H)</f>
        <v/>
      </c>
    </row>
    <row r="107" ht="20.1" customHeight="1">
      <c r="A107" s="7" t="inlineStr">
        <is>
          <t>Advanced Topics</t>
        </is>
      </c>
      <c r="B107" s="7" t="inlineStr">
        <is>
          <t>Mixed Expert Problems</t>
        </is>
      </c>
      <c r="C107" s="6">
        <f>COUNTIF(Problems!$C:$C, B107)</f>
        <v/>
      </c>
      <c r="D107" s="6">
        <f>COUNTIFS(Problems!$C:$C, B107, Problems!$G:$G, "&lt;&gt;UNKNOWN")</f>
        <v/>
      </c>
      <c r="E107" s="6">
        <f>COUNTIFS(Problems!$C:$C, B107, Problems!$A:$A, "Solved")</f>
        <v/>
      </c>
      <c r="F107" s="15">
        <f>IF(C107&gt;0, E107/C107, 0)</f>
        <v/>
      </c>
      <c r="G107" s="16">
        <f>AVERAGEIF(Problems!$C:$C, B107, Problems!$H:$H)</f>
        <v/>
      </c>
    </row>
  </sheetData>
  <autoFilter ref="A1:G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1" customWidth="1" min="3" max="3"/>
  </cols>
  <sheetData>
    <row r="1" ht="30" customHeight="1">
      <c r="A1" s="17" t="inlineStr">
        <is>
          <t>Codeforces Master Dataset - Platform Analytics</t>
        </is>
      </c>
    </row>
    <row r="2"/>
    <row r="3" ht="24.95" customHeight="1">
      <c r="A3" s="1" t="inlineStr">
        <is>
          <t>Metric</t>
        </is>
      </c>
      <c r="B3" s="1" t="inlineStr">
        <is>
          <t>Formula / Value</t>
        </is>
      </c>
      <c r="C3" s="1" t="inlineStr">
        <is>
          <t>Description</t>
        </is>
      </c>
    </row>
    <row r="4" ht="21.95" customHeight="1">
      <c r="A4" s="18" t="inlineStr">
        <is>
          <t>Total Problems</t>
        </is>
      </c>
      <c r="B4" s="19">
        <f>COUNTA(Problems!D2:D10000)</f>
        <v/>
      </c>
      <c r="C4" s="20" t="inlineStr">
        <is>
          <t>Total unique Codeforces problems in curriculum</t>
        </is>
      </c>
    </row>
    <row r="5" ht="21.95" customHeight="1">
      <c r="A5" s="21" t="inlineStr">
        <is>
          <t>Verified Problems</t>
        </is>
      </c>
      <c r="B5" s="22">
        <f>COUNTIF(Problems!G2:G10000, "&lt;&gt;UNKNOWN")</f>
        <v/>
      </c>
      <c r="C5" s="23" t="inlineStr">
        <is>
          <t>Problems verified with official Codeforces API</t>
        </is>
      </c>
    </row>
    <row r="6" ht="21.95" customHeight="1">
      <c r="A6" s="18" t="inlineStr">
        <is>
          <t>Solved Problems</t>
        </is>
      </c>
      <c r="B6" s="19">
        <f>COUNTIF(Problems!A2:A10000, "Solved")</f>
        <v/>
      </c>
      <c r="C6" s="20" t="inlineStr">
        <is>
          <t>Number of problems marked as Solved</t>
        </is>
      </c>
    </row>
    <row r="7" ht="21.95" customHeight="1">
      <c r="A7" s="21" t="inlineStr">
        <is>
          <t>Remaining Problems</t>
        </is>
      </c>
      <c r="B7" s="22">
        <f>B4-B6</f>
        <v/>
      </c>
      <c r="C7" s="23" t="inlineStr">
        <is>
          <t>Unsolved problems remaining in learning roadmap</t>
        </is>
      </c>
    </row>
    <row r="8" ht="21.95" customHeight="1">
      <c r="A8" s="18" t="inlineStr">
        <is>
          <t>Total XP Available</t>
        </is>
      </c>
      <c r="B8" s="19">
        <f>SUM(Problems!L2:L10000)</f>
        <v/>
      </c>
      <c r="C8" s="20" t="inlineStr">
        <is>
          <t>Total XP points across all verified problems</t>
        </is>
      </c>
    </row>
    <row r="9" ht="21.95" customHeight="1">
      <c r="A9" s="21" t="inlineStr">
        <is>
          <t>Average Problem Rating</t>
        </is>
      </c>
      <c r="B9" s="24">
        <f>AVERAGE(Problems!H2:H10000)</f>
        <v/>
      </c>
      <c r="C9" s="23" t="inlineStr">
        <is>
          <t>Mean Codeforces rating across verified problems</t>
        </is>
      </c>
    </row>
    <row r="10" ht="21.95" customHeight="1">
      <c r="A10" s="18" t="inlineStr">
        <is>
          <t>Highest Rating</t>
        </is>
      </c>
      <c r="B10" s="25">
        <f>MAX(Problems!H2:H10000)</f>
        <v/>
      </c>
      <c r="C10" s="20" t="inlineStr">
        <is>
          <t>Maximum difficulty rating in dataset</t>
        </is>
      </c>
    </row>
    <row r="11" ht="21.95" customHeight="1">
      <c r="A11" s="21" t="inlineStr">
        <is>
          <t>Lowest Rating</t>
        </is>
      </c>
      <c r="B11" s="24">
        <f>MIN(Problems!H2:H10000)</f>
        <v/>
      </c>
      <c r="C11" s="23" t="inlineStr">
        <is>
          <t>Minimum difficulty rating in dataset</t>
        </is>
      </c>
    </row>
    <row r="12" ht="21.95" customHeight="1">
      <c r="A12" s="18" t="inlineStr">
        <is>
          <t>Average Estimated Time (mins)</t>
        </is>
      </c>
      <c r="B12" s="25">
        <f>AVERAGE(Problems!K2:K10000)</f>
        <v/>
      </c>
      <c r="C12" s="20" t="inlineStr">
        <is>
          <t>Average expected solving duration per problem</t>
        </is>
      </c>
    </row>
    <row r="13" ht="21.95" customHeight="1">
      <c r="A13" s="21" t="inlineStr">
        <is>
          <t>Kingdom Completion Rate</t>
        </is>
      </c>
      <c r="B13" s="26">
        <f>AVERAGE('Kingdom Summary'!F2:F100)</f>
        <v/>
      </c>
      <c r="C13" s="23" t="inlineStr">
        <is>
          <t>Average completion % across all kingdoms</t>
        </is>
      </c>
    </row>
    <row r="14" ht="21.95" customHeight="1">
      <c r="A14" s="18" t="inlineStr">
        <is>
          <t>Pattern Completion Rate</t>
        </is>
      </c>
      <c r="B14" s="27">
        <f>AVERAGE('Pattern Summary'!F2:F500)</f>
        <v/>
      </c>
      <c r="C14" s="20" t="inlineStr">
        <is>
          <t>Average completion % across all patterns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69" customWidth="1" min="1" max="2"/>
    <col width="69" customWidth="1" min="2" max="2"/>
    <col width="25" customWidth="1" min="3" max="3"/>
    <col width="13" customWidth="1" min="4" max="4"/>
  </cols>
  <sheetData>
    <row r="1" ht="30" customHeight="1">
      <c r="A1" s="17" t="inlineStr">
        <is>
          <t>System Metadata &amp; Mapping Standards</t>
        </is>
      </c>
    </row>
    <row r="2"/>
    <row r="3">
      <c r="A3" s="28" t="inlineStr">
        <is>
          <t>Generation Date:</t>
        </is>
      </c>
      <c r="B3" s="29" t="inlineStr">
        <is>
          <t>2026-07-29 21:52:34</t>
        </is>
      </c>
    </row>
    <row r="4">
      <c r="A4" s="28" t="inlineStr">
        <is>
          <t>Last Updated:</t>
        </is>
      </c>
      <c r="B4" s="29" t="inlineStr">
        <is>
          <t>2026-07-29 21:52:34</t>
        </is>
      </c>
    </row>
    <row r="5"/>
    <row r="6">
      <c r="A6" s="30" t="inlineStr">
        <is>
          <t>Rating Range</t>
        </is>
      </c>
      <c r="B6" s="30" t="inlineStr">
        <is>
          <t>Difficulty Tier</t>
        </is>
      </c>
      <c r="C6" s="30" t="inlineStr">
        <is>
          <t>Estimated Time (mins)</t>
        </is>
      </c>
      <c r="D6" s="30" t="inlineStr">
        <is>
          <t>XP Points</t>
        </is>
      </c>
    </row>
    <row r="7">
      <c r="A7" s="31" t="inlineStr">
        <is>
          <t>800-1000</t>
        </is>
      </c>
      <c r="B7" s="31" t="inlineStr">
        <is>
          <t>Easy</t>
        </is>
      </c>
      <c r="C7" s="31" t="n">
        <v>15</v>
      </c>
      <c r="D7" s="31" t="n">
        <v>10</v>
      </c>
    </row>
    <row r="8">
      <c r="A8" s="32" t="inlineStr">
        <is>
          <t>1100-1300</t>
        </is>
      </c>
      <c r="B8" s="32" t="inlineStr">
        <is>
          <t>Easy+</t>
        </is>
      </c>
      <c r="C8" s="32" t="n">
        <v>25</v>
      </c>
      <c r="D8" s="32" t="n">
        <v>20</v>
      </c>
    </row>
    <row r="9">
      <c r="A9" s="31" t="inlineStr">
        <is>
          <t>1400-1600</t>
        </is>
      </c>
      <c r="B9" s="31" t="inlineStr">
        <is>
          <t>Medium</t>
        </is>
      </c>
      <c r="C9" s="31" t="n">
        <v>40</v>
      </c>
      <c r="D9" s="31" t="n">
        <v>35</v>
      </c>
    </row>
    <row r="10">
      <c r="A10" s="32" t="inlineStr">
        <is>
          <t>1700-1900</t>
        </is>
      </c>
      <c r="B10" s="32" t="inlineStr">
        <is>
          <t>Hard</t>
        </is>
      </c>
      <c r="C10" s="32" t="n">
        <v>60</v>
      </c>
      <c r="D10" s="32" t="n">
        <v>55</v>
      </c>
    </row>
    <row r="11">
      <c r="A11" s="31" t="inlineStr">
        <is>
          <t>2000-2200</t>
        </is>
      </c>
      <c r="B11" s="31" t="inlineStr">
        <is>
          <t>Hard+</t>
        </is>
      </c>
      <c r="C11" s="31" t="n">
        <v>90</v>
      </c>
      <c r="D11" s="31" t="n">
        <v>80</v>
      </c>
    </row>
    <row r="12">
      <c r="A12" s="32" t="inlineStr">
        <is>
          <t>2300-2500</t>
        </is>
      </c>
      <c r="B12" s="32" t="inlineStr">
        <is>
          <t>Expert</t>
        </is>
      </c>
      <c r="C12" s="32" t="n">
        <v>120</v>
      </c>
      <c r="D12" s="32" t="n">
        <v>110</v>
      </c>
    </row>
    <row r="13">
      <c r="A13" s="31" t="inlineStr">
        <is>
          <t>2600-3000</t>
        </is>
      </c>
      <c r="B13" s="31" t="inlineStr">
        <is>
          <t>Master</t>
        </is>
      </c>
      <c r="C13" s="31" t="n">
        <v>180</v>
      </c>
      <c r="D13" s="31" t="n">
        <v>150</v>
      </c>
    </row>
    <row r="14">
      <c r="A14" s="32" t="inlineStr">
        <is>
          <t>3100+</t>
        </is>
      </c>
      <c r="B14" s="32" t="inlineStr">
        <is>
          <t>Master</t>
        </is>
      </c>
      <c r="C14" s="32" t="n">
        <v>240</v>
      </c>
      <c r="D14" s="32" t="n">
        <v>220</v>
      </c>
    </row>
    <row r="15"/>
    <row r="16"/>
    <row r="17">
      <c r="A17" s="30" t="inlineStr">
        <is>
          <t>Kingdom #</t>
        </is>
      </c>
      <c r="B17" s="30" t="inlineStr">
        <is>
          <t>Kingdom Name</t>
        </is>
      </c>
      <c r="C17" s="30" t="inlineStr">
        <is>
          <t>Total Patterns</t>
        </is>
      </c>
    </row>
    <row r="18">
      <c r="A18" s="32" t="n">
        <v>1</v>
      </c>
      <c r="B18" s="33" t="inlineStr">
        <is>
          <t>KINGDOM 1 — THE KINGDOM OF ARRAYS</t>
        </is>
      </c>
      <c r="C18" s="32" t="n">
        <v>6</v>
      </c>
    </row>
    <row r="19">
      <c r="A19" s="31" t="n">
        <v>2</v>
      </c>
      <c r="B19" s="34" t="inlineStr">
        <is>
          <t>KINGDOM 2 — THE KINGDOM OF PREFIX SUM &amp; DIFFERENCE ARRAY</t>
        </is>
      </c>
      <c r="C19" s="31" t="n">
        <v>4</v>
      </c>
    </row>
    <row r="20">
      <c r="A20" s="32" t="n">
        <v>3</v>
      </c>
      <c r="B20" s="33" t="inlineStr">
        <is>
          <t>KINGDOM 3 — THE KINGDOM OF TWO POINTERS &amp; SLIDING WINDOW</t>
        </is>
      </c>
      <c r="C20" s="32" t="n">
        <v>4</v>
      </c>
    </row>
    <row r="21">
      <c r="A21" s="31" t="n">
        <v>4</v>
      </c>
      <c r="B21" s="34" t="inlineStr">
        <is>
          <t>KINGDOM 4 — THE KINGDOM OF BINARY SEARCH</t>
        </is>
      </c>
      <c r="C21" s="31" t="n">
        <v>4</v>
      </c>
    </row>
    <row r="22">
      <c r="A22" s="32" t="n">
        <v>5</v>
      </c>
      <c r="B22" s="33" t="inlineStr">
        <is>
          <t>KINGDOM 5 — THE KINGDOM OF SORTING &amp; GREEDY</t>
        </is>
      </c>
      <c r="C22" s="32" t="n">
        <v>5</v>
      </c>
    </row>
    <row r="23">
      <c r="A23" s="31" t="n">
        <v>6</v>
      </c>
      <c r="B23" s="34" t="inlineStr">
        <is>
          <t>KINGDOM 6 — THE KINGDOM OF STRINGS</t>
        </is>
      </c>
      <c r="C23" s="31" t="n">
        <v>6</v>
      </c>
    </row>
    <row r="24">
      <c r="A24" s="32" t="n">
        <v>7</v>
      </c>
      <c r="B24" s="33" t="inlineStr">
        <is>
          <t>KINGDOM 7 — THE KINGDOM OF BIT MANIPULATION</t>
        </is>
      </c>
      <c r="C24" s="32" t="n">
        <v>4</v>
      </c>
    </row>
    <row r="25">
      <c r="A25" s="31" t="n">
        <v>8</v>
      </c>
      <c r="B25" s="34" t="inlineStr">
        <is>
          <t>KINGDOM 8 — THE KINGDOM OF MATHEMATICS &amp; NUMBER THEORY</t>
        </is>
      </c>
      <c r="C25" s="31" t="n">
        <v>6</v>
      </c>
    </row>
    <row r="26">
      <c r="A26" s="32" t="n">
        <v>9</v>
      </c>
      <c r="B26" s="33" t="inlineStr">
        <is>
          <t>KINGDOM 9 — THE KINGDOM OF RECURSION &amp; BACKTRACKING</t>
        </is>
      </c>
      <c r="C26" s="32" t="n">
        <v>4</v>
      </c>
    </row>
    <row r="27">
      <c r="A27" s="31" t="n">
        <v>10</v>
      </c>
      <c r="B27" s="34" t="inlineStr">
        <is>
          <t>KINGDOM 10 — THE KINGDOM OF STACK &amp; MONOTONIC STACK</t>
        </is>
      </c>
      <c r="C27" s="31" t="n">
        <v>4</v>
      </c>
    </row>
    <row r="28">
      <c r="A28" s="32" t="n">
        <v>11</v>
      </c>
      <c r="B28" s="33" t="inlineStr">
        <is>
          <t>KINGDOM 11 — THE KINGDOM OF QUEUE &amp; DEQUE</t>
        </is>
      </c>
      <c r="C28" s="32" t="n">
        <v>4</v>
      </c>
    </row>
    <row r="29">
      <c r="A29" s="31" t="n">
        <v>12</v>
      </c>
      <c r="B29" s="34" t="inlineStr">
        <is>
          <t>KINGDOM 12 — THE KINGDOM OF LINKED LIST &amp; SIMULATION</t>
        </is>
      </c>
      <c r="C29" s="31" t="n">
        <v>4</v>
      </c>
    </row>
    <row r="30">
      <c r="A30" s="32" t="n">
        <v>13</v>
      </c>
      <c r="B30" s="33" t="inlineStr">
        <is>
          <t>KINGDOM 13 — THE KINGDOM OF TREES</t>
        </is>
      </c>
      <c r="C30" s="32" t="n">
        <v>6</v>
      </c>
    </row>
    <row r="31">
      <c r="A31" s="31" t="n">
        <v>14</v>
      </c>
      <c r="B31" s="34" t="inlineStr">
        <is>
          <t>KINGDOM 14 — THE KINGDOM OF GRAPH TRAVERSAL (DFS &amp; BFS)</t>
        </is>
      </c>
      <c r="C31" s="31" t="n">
        <v>5</v>
      </c>
    </row>
    <row r="32">
      <c r="A32" s="32" t="n">
        <v>15</v>
      </c>
      <c r="B32" s="33" t="inlineStr">
        <is>
          <t>KINGDOM 15 — THE KINGDOM OF SHORTEST PATHS</t>
        </is>
      </c>
      <c r="C32" s="32" t="n">
        <v>4</v>
      </c>
    </row>
    <row r="33">
      <c r="A33" s="31" t="n">
        <v>16</v>
      </c>
      <c r="B33" s="34" t="inlineStr">
        <is>
          <t>KINGDOM 16 — THE KINGDOM OF DSU &amp; MINIMUM SPANNING TREE</t>
        </is>
      </c>
      <c r="C33" s="31" t="n">
        <v>4</v>
      </c>
    </row>
    <row r="34">
      <c r="A34" s="32" t="n">
        <v>17</v>
      </c>
      <c r="B34" s="33" t="inlineStr">
        <is>
          <t>KINGDOM 17 — THE KINGDOM OF DYNAMIC PROGRAMMING</t>
        </is>
      </c>
      <c r="C34" s="32" t="n">
        <v>10</v>
      </c>
    </row>
    <row r="35">
      <c r="A35" s="31" t="n">
        <v>18</v>
      </c>
      <c r="B35" s="34" t="inlineStr">
        <is>
          <t>KINGDOM 18 — THE KINGDOM OF DIVIDE &amp; CONQUER</t>
        </is>
      </c>
      <c r="C35" s="31" t="n">
        <v>3</v>
      </c>
    </row>
    <row r="36">
      <c r="A36" s="32" t="n">
        <v>19</v>
      </c>
      <c r="B36" s="33" t="inlineStr">
        <is>
          <t>KINGDOM 19 — THE KINGDOM OF SEGMENT TREES</t>
        </is>
      </c>
      <c r="C36" s="32" t="n">
        <v>6</v>
      </c>
    </row>
    <row r="37">
      <c r="A37" s="31" t="n">
        <v>20</v>
      </c>
      <c r="B37" s="34" t="inlineStr">
        <is>
          <t>KINGDOM 20 — THE KINGDOM OF FENWICK TREE (BIT)</t>
        </is>
      </c>
      <c r="C37" s="31" t="n">
        <v>8</v>
      </c>
    </row>
    <row r="38">
      <c r="A38" s="32" t="n">
        <v>21</v>
      </c>
      <c r="B38" s="33" t="inlineStr">
        <is>
          <t>KINGDOM 25 — THE KINGDOM OF GEOMETRY, INTERACTIVE &amp; MISCELLANEOUS</t>
        </is>
      </c>
      <c r="C38" s="32" t="n">
        <v>5</v>
      </c>
    </row>
    <row r="39"/>
    <row r="40"/>
    <row r="41">
      <c r="A41" s="30" t="inlineStr">
        <is>
          <t>Kingdom</t>
        </is>
      </c>
      <c r="B41" s="30" t="inlineStr">
        <is>
          <t>Pattern Name</t>
        </is>
      </c>
    </row>
    <row r="42">
      <c r="A42" s="33" t="inlineStr">
        <is>
          <t>KINGDOM 1 — THE KINGDOM OF ARRAYS</t>
        </is>
      </c>
      <c r="B42" s="33" t="inlineStr">
        <is>
          <t>Pattern 1.1 — Basic Array Traversal</t>
        </is>
      </c>
    </row>
    <row r="43">
      <c r="A43" s="34" t="inlineStr">
        <is>
          <t>KINGDOM 1 — THE KINGDOM OF ARRAYS</t>
        </is>
      </c>
      <c r="B43" s="34" t="inlineStr">
        <is>
          <t>Pattern 1.2 — Frequency Counting</t>
        </is>
      </c>
    </row>
    <row r="44">
      <c r="A44" s="33" t="inlineStr">
        <is>
          <t>KINGDOM 1 — THE KINGDOM OF ARRAYS</t>
        </is>
      </c>
      <c r="B44" s="33" t="inlineStr">
        <is>
          <t>Pattern 1.3 — Simulation on Arrays</t>
        </is>
      </c>
    </row>
    <row r="45">
      <c r="A45" s="34" t="inlineStr">
        <is>
          <t>KINGDOM 1 — THE KINGDOM OF ARRAYS</t>
        </is>
      </c>
      <c r="B45" s="34" t="inlineStr">
        <is>
          <t>Pattern 1.4 — Sorting Based Arrays</t>
        </is>
      </c>
    </row>
    <row r="46">
      <c r="A46" s="33" t="inlineStr">
        <is>
          <t>KINGDOM 1 — THE KINGDOM OF ARRAYS</t>
        </is>
      </c>
      <c r="B46" s="33" t="inlineStr">
        <is>
          <t>Pattern 1.5 — Coordinate Compression</t>
        </is>
      </c>
    </row>
    <row r="47">
      <c r="A47" s="34" t="inlineStr">
        <is>
          <t>KINGDOM 1 — THE KINGDOM OF ARRAYS</t>
        </is>
      </c>
      <c r="B47" s="34" t="inlineStr">
        <is>
          <t>Pattern 1.6 — Constructive Arrays</t>
        </is>
      </c>
    </row>
    <row r="48">
      <c r="A48" s="33" t="inlineStr">
        <is>
          <t>KINGDOM 2 — THE KINGDOM OF PREFIX SUM &amp; DIFFERENCE ARRAY</t>
        </is>
      </c>
      <c r="B48" s="33" t="inlineStr">
        <is>
          <t>Pattern 2.1 — 1D Prefix Sum</t>
        </is>
      </c>
    </row>
    <row r="49">
      <c r="A49" s="34" t="inlineStr">
        <is>
          <t>KINGDOM 2 — THE KINGDOM OF PREFIX SUM &amp; DIFFERENCE ARRAY</t>
        </is>
      </c>
      <c r="B49" s="34" t="inlineStr">
        <is>
          <t>Pattern 2.2 — Prefix Frequency</t>
        </is>
      </c>
    </row>
    <row r="50">
      <c r="A50" s="33" t="inlineStr">
        <is>
          <t>KINGDOM 2 — THE KINGDOM OF PREFIX SUM &amp; DIFFERENCE ARRAY</t>
        </is>
      </c>
      <c r="B50" s="33" t="inlineStr">
        <is>
          <t>Pattern 2.3 — Difference Array</t>
        </is>
      </c>
    </row>
    <row r="51">
      <c r="A51" s="34" t="inlineStr">
        <is>
          <t>KINGDOM 2 — THE KINGDOM OF PREFIX SUM &amp; DIFFERENCE ARRAY</t>
        </is>
      </c>
      <c r="B51" s="34" t="inlineStr">
        <is>
          <t>Pattern 2.4 — Prefix XOR</t>
        </is>
      </c>
    </row>
    <row r="52">
      <c r="A52" s="33" t="inlineStr">
        <is>
          <t>KINGDOM 3 — THE KINGDOM OF TWO POINTERS &amp; SLIDING WINDOW</t>
        </is>
      </c>
      <c r="B52" s="33" t="inlineStr">
        <is>
          <t>Pattern 3.1 — Classic Two Pointers</t>
        </is>
      </c>
    </row>
    <row r="53">
      <c r="A53" s="34" t="inlineStr">
        <is>
          <t>KINGDOM 3 — THE KINGDOM OF TWO POINTERS &amp; SLIDING WINDOW</t>
        </is>
      </c>
      <c r="B53" s="34" t="inlineStr">
        <is>
          <t>Pattern 3.2 — Opposite Direction Pointers</t>
        </is>
      </c>
    </row>
    <row r="54">
      <c r="A54" s="33" t="inlineStr">
        <is>
          <t>KINGDOM 3 — THE KINGDOM OF TWO POINTERS &amp; SLIDING WINDOW</t>
        </is>
      </c>
      <c r="B54" s="33" t="inlineStr">
        <is>
          <t>Pattern 3.3 — Sliding Window</t>
        </is>
      </c>
    </row>
    <row r="55">
      <c r="A55" s="34" t="inlineStr">
        <is>
          <t>KINGDOM 3 — THE KINGDOM OF TWO POINTERS &amp; SLIDING WINDOW</t>
        </is>
      </c>
      <c r="B55" s="34" t="inlineStr">
        <is>
          <t>Pattern 3.4 — Meet in the Middle Style</t>
        </is>
      </c>
    </row>
    <row r="56">
      <c r="A56" s="33" t="inlineStr">
        <is>
          <t>KINGDOM 4 — THE KINGDOM OF BINARY SEARCH</t>
        </is>
      </c>
      <c r="B56" s="33" t="inlineStr">
        <is>
          <t>Pattern 4.1 — Classic Binary Search</t>
        </is>
      </c>
    </row>
    <row r="57">
      <c r="A57" s="34" t="inlineStr">
        <is>
          <t>KINGDOM 4 — THE KINGDOM OF BINARY SEARCH</t>
        </is>
      </c>
      <c r="B57" s="34" t="inlineStr">
        <is>
          <t>Pattern 4.2 — Binary Search on Answer</t>
        </is>
      </c>
    </row>
    <row r="58">
      <c r="A58" s="33" t="inlineStr">
        <is>
          <t>KINGDOM 4 — THE KINGDOM OF BINARY SEARCH</t>
        </is>
      </c>
      <c r="B58" s="33" t="inlineStr">
        <is>
          <t>Pattern 4.3 — Parametric Search</t>
        </is>
      </c>
    </row>
    <row r="59">
      <c r="A59" s="34" t="inlineStr">
        <is>
          <t>KINGDOM 4 — THE KINGDOM OF BINARY SEARCH</t>
        </is>
      </c>
      <c r="B59" s="34" t="inlineStr">
        <is>
          <t>Pattern 4.4 — Continuous Binary Search</t>
        </is>
      </c>
    </row>
    <row r="60">
      <c r="A60" s="33" t="inlineStr">
        <is>
          <t>KINGDOM 5 — THE KINGDOM OF SORTING &amp; GREEDY</t>
        </is>
      </c>
      <c r="B60" s="33" t="inlineStr">
        <is>
          <t>Pattern 5.1 — Basic Greedy</t>
        </is>
      </c>
    </row>
    <row r="61">
      <c r="A61" s="34" t="inlineStr">
        <is>
          <t>KINGDOM 5 — THE KINGDOM OF SORTING &amp; GREEDY</t>
        </is>
      </c>
      <c r="B61" s="34" t="inlineStr">
        <is>
          <t>Pattern 5.2 — Greedy with Sorting</t>
        </is>
      </c>
    </row>
    <row r="62">
      <c r="A62" s="33" t="inlineStr">
        <is>
          <t>KINGDOM 5 — THE KINGDOM OF SORTING &amp; GREEDY</t>
        </is>
      </c>
      <c r="B62" s="33" t="inlineStr">
        <is>
          <t>Pattern 5.3 — Interval Greedy</t>
        </is>
      </c>
    </row>
    <row r="63">
      <c r="A63" s="34" t="inlineStr">
        <is>
          <t>KINGDOM 5 — THE KINGDOM OF SORTING &amp; GREEDY</t>
        </is>
      </c>
      <c r="B63" s="34" t="inlineStr">
        <is>
          <t>Pattern 5.4 — Greedy + Priority Queue</t>
        </is>
      </c>
    </row>
    <row r="64">
      <c r="A64" s="33" t="inlineStr">
        <is>
          <t>KINGDOM 5 — THE KINGDOM OF SORTING &amp; GREEDY</t>
        </is>
      </c>
      <c r="B64" s="33" t="inlineStr">
        <is>
          <t>Pattern 5.5 — Constructive Greedy</t>
        </is>
      </c>
    </row>
    <row r="65">
      <c r="A65" s="34" t="inlineStr">
        <is>
          <t>KINGDOM 6 — THE KINGDOM OF STRINGS</t>
        </is>
      </c>
      <c r="B65" s="34" t="inlineStr">
        <is>
          <t>Pattern 6.1 — Basic String Processing</t>
        </is>
      </c>
    </row>
    <row r="66">
      <c r="A66" s="33" t="inlineStr">
        <is>
          <t>KINGDOM 6 — THE KINGDOM OF STRINGS</t>
        </is>
      </c>
      <c r="B66" s="33" t="inlineStr">
        <is>
          <t>Pattern 6.2 — Character Frequency</t>
        </is>
      </c>
    </row>
    <row r="67">
      <c r="A67" s="34" t="inlineStr">
        <is>
          <t>KINGDOM 6 — THE KINGDOM OF STRINGS</t>
        </is>
      </c>
      <c r="B67" s="34" t="inlineStr">
        <is>
          <t>Pattern 6.3 — Greedy on Strings</t>
        </is>
      </c>
    </row>
    <row r="68">
      <c r="A68" s="33" t="inlineStr">
        <is>
          <t>KINGDOM 6 — THE KINGDOM OF STRINGS</t>
        </is>
      </c>
      <c r="B68" s="33" t="inlineStr">
        <is>
          <t>Pattern 6.4 — Prefix Function (KMP)</t>
        </is>
      </c>
    </row>
    <row r="69">
      <c r="A69" s="34" t="inlineStr">
        <is>
          <t>KINGDOM 6 — THE KINGDOM OF STRINGS</t>
        </is>
      </c>
      <c r="B69" s="34" t="inlineStr">
        <is>
          <t>Pattern 6.5 — Z Algorithm</t>
        </is>
      </c>
    </row>
    <row r="70">
      <c r="A70" s="33" t="inlineStr">
        <is>
          <t>KINGDOM 6 — THE KINGDOM OF STRINGS</t>
        </is>
      </c>
      <c r="B70" s="33" t="inlineStr">
        <is>
          <t>Pattern 6.6 — Hashing</t>
        </is>
      </c>
    </row>
    <row r="71">
      <c r="A71" s="34" t="inlineStr">
        <is>
          <t>KINGDOM 7 — THE KINGDOM OF BIT MANIPULATION</t>
        </is>
      </c>
      <c r="B71" s="34" t="inlineStr">
        <is>
          <t>Pattern 7.1 — Basic Bit Operations</t>
        </is>
      </c>
    </row>
    <row r="72">
      <c r="A72" s="33" t="inlineStr">
        <is>
          <t>KINGDOM 7 — THE KINGDOM OF BIT MANIPULATION</t>
        </is>
      </c>
      <c r="B72" s="33" t="inlineStr">
        <is>
          <t>Pattern 7.2 — XOR Properties</t>
        </is>
      </c>
    </row>
    <row r="73">
      <c r="A73" s="34" t="inlineStr">
        <is>
          <t>KINGDOM 7 — THE KINGDOM OF BIT MANIPULATION</t>
        </is>
      </c>
      <c r="B73" s="34" t="inlineStr">
        <is>
          <t>Pattern 7.3 — Bitmask Enumeration</t>
        </is>
      </c>
    </row>
    <row r="74">
      <c r="A74" s="33" t="inlineStr">
        <is>
          <t>KINGDOM 7 — THE KINGDOM OF BIT MANIPULATION</t>
        </is>
      </c>
      <c r="B74" s="33" t="inlineStr">
        <is>
          <t>Pattern 7.4 — Trie + XOR</t>
        </is>
      </c>
    </row>
    <row r="75">
      <c r="A75" s="34" t="inlineStr">
        <is>
          <t>KINGDOM 8 — THE KINGDOM OF MATHEMATICS &amp; NUMBER THEORY</t>
        </is>
      </c>
      <c r="B75" s="34" t="inlineStr">
        <is>
          <t>Pattern 8.1 — Basic Mathematics</t>
        </is>
      </c>
    </row>
    <row r="76">
      <c r="A76" s="33" t="inlineStr">
        <is>
          <t>KINGDOM 8 — THE KINGDOM OF MATHEMATICS &amp; NUMBER THEORY</t>
        </is>
      </c>
      <c r="B76" s="33" t="inlineStr">
        <is>
          <t>Pattern 8.2 — GCD &amp; LCM</t>
        </is>
      </c>
    </row>
    <row r="77">
      <c r="A77" s="34" t="inlineStr">
        <is>
          <t>KINGDOM 8 — THE KINGDOM OF MATHEMATICS &amp; NUMBER THEORY</t>
        </is>
      </c>
      <c r="B77" s="34" t="inlineStr">
        <is>
          <t>Pattern 8.3 — Prime Numbers &amp; Sieve</t>
        </is>
      </c>
    </row>
    <row r="78">
      <c r="A78" s="33" t="inlineStr">
        <is>
          <t>KINGDOM 8 — THE KINGDOM OF MATHEMATICS &amp; NUMBER THEORY</t>
        </is>
      </c>
      <c r="B78" s="33" t="inlineStr">
        <is>
          <t>Pattern 8.4 — Modular Arithmetic</t>
        </is>
      </c>
    </row>
    <row r="79">
      <c r="A79" s="34" t="inlineStr">
        <is>
          <t>KINGDOM 8 — THE KINGDOM OF MATHEMATICS &amp; NUMBER THEORY</t>
        </is>
      </c>
      <c r="B79" s="34" t="inlineStr">
        <is>
          <t>Pattern 8.5 — Combinatorics</t>
        </is>
      </c>
    </row>
    <row r="80">
      <c r="A80" s="33" t="inlineStr">
        <is>
          <t>KINGDOM 8 — THE KINGDOM OF MATHEMATICS &amp; NUMBER THEORY</t>
        </is>
      </c>
      <c r="B80" s="33" t="inlineStr">
        <is>
          <t>Pattern 8.6 — Inclusion–Exclusion / Number Theory</t>
        </is>
      </c>
    </row>
    <row r="81">
      <c r="A81" s="34" t="inlineStr">
        <is>
          <t>KINGDOM 9 — THE KINGDOM OF RECURSION &amp; BACKTRACKING</t>
        </is>
      </c>
      <c r="B81" s="34" t="inlineStr">
        <is>
          <t>Pattern 9.1 — Basic Recursion</t>
        </is>
      </c>
    </row>
    <row r="82">
      <c r="A82" s="33" t="inlineStr">
        <is>
          <t>KINGDOM 9 — THE KINGDOM OF RECURSION &amp; BACKTRACKING</t>
        </is>
      </c>
      <c r="B82" s="33" t="inlineStr">
        <is>
          <t>Pattern 9.2 — Brute Force with Backtracking</t>
        </is>
      </c>
    </row>
    <row r="83">
      <c r="A83" s="34" t="inlineStr">
        <is>
          <t>KINGDOM 9 — THE KINGDOM OF RECURSION &amp; BACKTRACKING</t>
        </is>
      </c>
      <c r="B83" s="34" t="inlineStr">
        <is>
          <t>Pattern 9.3 — Generate All Possibilities</t>
        </is>
      </c>
    </row>
    <row r="84">
      <c r="A84" s="33" t="inlineStr">
        <is>
          <t>KINGDOM 9 — THE KINGDOM OF RECURSION &amp; BACKTRACKING</t>
        </is>
      </c>
      <c r="B84" s="33" t="inlineStr">
        <is>
          <t>Pattern 9.4 — Recursive Divide Construction</t>
        </is>
      </c>
    </row>
    <row r="85">
      <c r="A85" s="34" t="inlineStr">
        <is>
          <t>KINGDOM 10 — THE KINGDOM OF STACK &amp; MONOTONIC STACK</t>
        </is>
      </c>
      <c r="B85" s="34" t="inlineStr">
        <is>
          <t>Pattern 10.1 — Basic Stack</t>
        </is>
      </c>
    </row>
    <row r="86">
      <c r="A86" s="33" t="inlineStr">
        <is>
          <t>KINGDOM 10 — THE KINGDOM OF STACK &amp; MONOTONIC STACK</t>
        </is>
      </c>
      <c r="B86" s="33" t="inlineStr">
        <is>
          <t>Pattern 10.2 — Parentheses</t>
        </is>
      </c>
    </row>
    <row r="87">
      <c r="A87" s="34" t="inlineStr">
        <is>
          <t>KINGDOM 10 — THE KINGDOM OF STACK &amp; MONOTONIC STACK</t>
        </is>
      </c>
      <c r="B87" s="34" t="inlineStr">
        <is>
          <t>Pattern 10.3 — Monotonic Stack</t>
        </is>
      </c>
    </row>
    <row r="88">
      <c r="A88" s="33" t="inlineStr">
        <is>
          <t>KINGDOM 10 — THE KINGDOM OF STACK &amp; MONOTONIC STACK</t>
        </is>
      </c>
      <c r="B88" s="33" t="inlineStr">
        <is>
          <t>Pattern 10.5 — Stack + Greedy</t>
        </is>
      </c>
    </row>
    <row r="89">
      <c r="A89" s="34" t="inlineStr">
        <is>
          <t>KINGDOM 11 — THE KINGDOM OF QUEUE &amp; DEQUE</t>
        </is>
      </c>
      <c r="B89" s="34" t="inlineStr">
        <is>
          <t>Pattern 11.1 — Queue Simulation</t>
        </is>
      </c>
    </row>
    <row r="90">
      <c r="A90" s="33" t="inlineStr">
        <is>
          <t>KINGDOM 11 — THE KINGDOM OF QUEUE &amp; DEQUE</t>
        </is>
      </c>
      <c r="B90" s="33" t="inlineStr">
        <is>
          <t>Pattern 11.2 — Deque</t>
        </is>
      </c>
    </row>
    <row r="91">
      <c r="A91" s="34" t="inlineStr">
        <is>
          <t>KINGDOM 11 — THE KINGDOM OF QUEUE &amp; DEQUE</t>
        </is>
      </c>
      <c r="B91" s="34" t="inlineStr">
        <is>
          <t>Pattern 11.3 — Monotonic Queue</t>
        </is>
      </c>
    </row>
    <row r="92">
      <c r="A92" s="33" t="inlineStr">
        <is>
          <t>KINGDOM 11 — THE KINGDOM OF QUEUE &amp; DEQUE</t>
        </is>
      </c>
      <c r="B92" s="33" t="inlineStr">
        <is>
          <t>Pattern 11.4 — Queue + BFS Style</t>
        </is>
      </c>
    </row>
    <row r="93">
      <c r="A93" s="34" t="inlineStr">
        <is>
          <t>KINGDOM 12 — THE KINGDOM OF LINKED LIST &amp; SIMULATION</t>
        </is>
      </c>
      <c r="B93" s="34" t="inlineStr">
        <is>
          <t>Pattern 12.1 — Simple Simulation</t>
        </is>
      </c>
    </row>
    <row r="94">
      <c r="A94" s="33" t="inlineStr">
        <is>
          <t>KINGDOM 12 — THE KINGDOM OF LINKED LIST &amp; SIMULATION</t>
        </is>
      </c>
      <c r="B94" s="33" t="inlineStr">
        <is>
          <t>Pattern 12.2 — Circular Simulation</t>
        </is>
      </c>
    </row>
    <row r="95">
      <c r="A95" s="34" t="inlineStr">
        <is>
          <t>KINGDOM 12 — THE KINGDOM OF LINKED LIST &amp; SIMULATION</t>
        </is>
      </c>
      <c r="B95" s="34" t="inlineStr">
        <is>
          <t>Pattern 12.3 — Simulation with Data Structures</t>
        </is>
      </c>
    </row>
    <row r="96">
      <c r="A96" s="33" t="inlineStr">
        <is>
          <t>KINGDOM 12 — THE KINGDOM OF LINKED LIST &amp; SIMULATION</t>
        </is>
      </c>
      <c r="B96" s="33" t="inlineStr">
        <is>
          <t>Pattern 12.4 — Ordered Set Simulation</t>
        </is>
      </c>
    </row>
    <row r="97">
      <c r="A97" s="34" t="inlineStr">
        <is>
          <t>KINGDOM 13 — THE KINGDOM OF TREES</t>
        </is>
      </c>
      <c r="B97" s="34" t="inlineStr">
        <is>
          <t>Pattern 13.1 — Basic Tree DFS</t>
        </is>
      </c>
    </row>
    <row r="98">
      <c r="A98" s="33" t="inlineStr">
        <is>
          <t>KINGDOM 13 — THE KINGDOM OF TREES</t>
        </is>
      </c>
      <c r="B98" s="33" t="inlineStr">
        <is>
          <t>Pattern 13.2 — Tree Traversal</t>
        </is>
      </c>
    </row>
    <row r="99">
      <c r="A99" s="34" t="inlineStr">
        <is>
          <t>KINGDOM 13 — THE KINGDOM OF TREES</t>
        </is>
      </c>
      <c r="B99" s="34" t="inlineStr">
        <is>
          <t>Pattern 13.3 — Tree DP</t>
        </is>
      </c>
    </row>
    <row r="100">
      <c r="A100" s="33" t="inlineStr">
        <is>
          <t>KINGDOM 13 — THE KINGDOM OF TREES</t>
        </is>
      </c>
      <c r="B100" s="33" t="inlineStr">
        <is>
          <t>Pattern 13.4 — Binary Lifting (LCA)</t>
        </is>
      </c>
    </row>
    <row r="101">
      <c r="A101" s="34" t="inlineStr">
        <is>
          <t>KINGDOM 13 — THE KINGDOM OF TREES</t>
        </is>
      </c>
      <c r="B101" s="34" t="inlineStr">
        <is>
          <t>Pattern 13.5 — Rerooting DP</t>
        </is>
      </c>
    </row>
    <row r="102">
      <c r="A102" s="33" t="inlineStr">
        <is>
          <t>KINGDOM 13 — THE KINGDOM OF TREES</t>
        </is>
      </c>
      <c r="B102" s="33" t="inlineStr">
        <is>
          <t>Pattern 13.6 — Euler Tour</t>
        </is>
      </c>
    </row>
    <row r="103">
      <c r="A103" s="34" t="inlineStr">
        <is>
          <t>KINGDOM 14 — THE KINGDOM OF GRAPH TRAVERSAL (DFS &amp; BFS)</t>
        </is>
      </c>
      <c r="B103" s="34" t="inlineStr">
        <is>
          <t>Pattern 14.1 — Connected Components</t>
        </is>
      </c>
    </row>
    <row r="104">
      <c r="A104" s="33" t="inlineStr">
        <is>
          <t>KINGDOM 14 — THE KINGDOM OF GRAPH TRAVERSAL (DFS &amp; BFS)</t>
        </is>
      </c>
      <c r="B104" s="33" t="inlineStr">
        <is>
          <t>Pattern 14.2 — DFS</t>
        </is>
      </c>
    </row>
    <row r="105">
      <c r="A105" s="34" t="inlineStr">
        <is>
          <t>KINGDOM 14 — THE KINGDOM OF GRAPH TRAVERSAL (DFS &amp; BFS)</t>
        </is>
      </c>
      <c r="B105" s="34" t="inlineStr">
        <is>
          <t>Pattern 14.4 — Topological Sort</t>
        </is>
      </c>
    </row>
    <row r="106">
      <c r="A106" s="33" t="inlineStr">
        <is>
          <t>KINGDOM 14 — THE KINGDOM OF GRAPH TRAVERSAL (DFS &amp; BFS)</t>
        </is>
      </c>
      <c r="B106" s="33" t="inlineStr">
        <is>
          <t>Pattern 14.5 — Cycle Detection</t>
        </is>
      </c>
    </row>
    <row r="107">
      <c r="A107" s="34" t="inlineStr">
        <is>
          <t>KINGDOM 14 — THE KINGDOM OF GRAPH TRAVERSAL (DFS &amp; BFS)</t>
        </is>
      </c>
      <c r="B107" s="34" t="inlineStr">
        <is>
          <t>Pattern 14.6 — Bipartite Graph</t>
        </is>
      </c>
    </row>
    <row r="108">
      <c r="A108" s="33" t="inlineStr">
        <is>
          <t>KINGDOM 15 — THE KINGDOM OF SHORTEST PATHS</t>
        </is>
      </c>
      <c r="B108" s="33" t="inlineStr">
        <is>
          <t>Pattern 15.1 — Standard Dijkstra</t>
        </is>
      </c>
    </row>
    <row r="109">
      <c r="A109" s="34" t="inlineStr">
        <is>
          <t>KINGDOM 15 — THE KINGDOM OF SHORTEST PATHS</t>
        </is>
      </c>
      <c r="B109" s="34" t="inlineStr">
        <is>
          <t>Pattern 15.3 — 0-1 BFS</t>
        </is>
      </c>
    </row>
    <row r="110">
      <c r="A110" s="33" t="inlineStr">
        <is>
          <t>KINGDOM 15 — THE KINGDOM OF SHORTEST PATHS</t>
        </is>
      </c>
      <c r="B110" s="33" t="inlineStr">
        <is>
          <t>Pattern 15.4 — Bellman-Ford / Negative Edges</t>
        </is>
      </c>
    </row>
    <row r="111">
      <c r="A111" s="34" t="inlineStr">
        <is>
          <t>KINGDOM 15 — THE KINGDOM OF SHORTEST PATHS</t>
        </is>
      </c>
      <c r="B111" s="34" t="inlineStr">
        <is>
          <t>Pattern 15.5 — Floyd Warshall</t>
        </is>
      </c>
    </row>
    <row r="112">
      <c r="A112" s="33" t="inlineStr">
        <is>
          <t>KINGDOM 16 — THE KINGDOM OF DSU &amp; MINIMUM SPANNING TREE</t>
        </is>
      </c>
      <c r="B112" s="33" t="inlineStr">
        <is>
          <t>Pattern 16.1 — Basic DSU</t>
        </is>
      </c>
    </row>
    <row r="113">
      <c r="A113" s="34" t="inlineStr">
        <is>
          <t>KINGDOM 16 — THE KINGDOM OF DSU &amp; MINIMUM SPANNING TREE</t>
        </is>
      </c>
      <c r="B113" s="34" t="inlineStr">
        <is>
          <t>Pattern 16.2 — Union Find Applications</t>
        </is>
      </c>
    </row>
    <row r="114">
      <c r="A114" s="33" t="inlineStr">
        <is>
          <t>KINGDOM 16 — THE KINGDOM OF DSU &amp; MINIMUM SPANNING TREE</t>
        </is>
      </c>
      <c r="B114" s="33" t="inlineStr">
        <is>
          <t>Pattern 16.3 — Kruskal's MST</t>
        </is>
      </c>
    </row>
    <row r="115">
      <c r="A115" s="34" t="inlineStr">
        <is>
          <t>KINGDOM 16 — THE KINGDOM OF DSU &amp; MINIMUM SPANNING TREE</t>
        </is>
      </c>
      <c r="B115" s="34" t="inlineStr">
        <is>
          <t>Pattern 16.5 — Offline DSU</t>
        </is>
      </c>
    </row>
    <row r="116">
      <c r="A116" s="33" t="inlineStr">
        <is>
          <t>KINGDOM 17 — THE KINGDOM OF DYNAMIC PROGRAMMING</t>
        </is>
      </c>
      <c r="B116" s="33" t="inlineStr">
        <is>
          <t>Pattern 17.1 — Introduction to DP (1D DP)</t>
        </is>
      </c>
    </row>
    <row r="117">
      <c r="A117" s="34" t="inlineStr">
        <is>
          <t>KINGDOM 17 — THE KINGDOM OF DYNAMIC PROGRAMMING</t>
        </is>
      </c>
      <c r="B117" s="34" t="inlineStr">
        <is>
          <t>Pattern 17.2 — Knapsack DP</t>
        </is>
      </c>
    </row>
    <row r="118">
      <c r="A118" s="33" t="inlineStr">
        <is>
          <t>KINGDOM 17 — THE KINGDOM OF DYNAMIC PROGRAMMING</t>
        </is>
      </c>
      <c r="B118" s="33" t="inlineStr">
        <is>
          <t>Pattern 17.3 — Grid DP</t>
        </is>
      </c>
    </row>
    <row r="119">
      <c r="A119" s="34" t="inlineStr">
        <is>
          <t>KINGDOM 17 — THE KINGDOM OF DYNAMIC PROGRAMMING</t>
        </is>
      </c>
      <c r="B119" s="34" t="inlineStr">
        <is>
          <t>Pattern 17.4 — Interval DP</t>
        </is>
      </c>
    </row>
    <row r="120">
      <c r="A120" s="33" t="inlineStr">
        <is>
          <t>KINGDOM 17 — THE KINGDOM OF DYNAMIC PROGRAMMING</t>
        </is>
      </c>
      <c r="B120" s="33" t="inlineStr">
        <is>
          <t>Pattern 17.5 — Digit DP</t>
        </is>
      </c>
    </row>
    <row r="121">
      <c r="A121" s="34" t="inlineStr">
        <is>
          <t>KINGDOM 17 — THE KINGDOM OF DYNAMIC PROGRAMMING</t>
        </is>
      </c>
      <c r="B121" s="34" t="inlineStr">
        <is>
          <t>Pattern 17.6 — Bitmask DP</t>
        </is>
      </c>
    </row>
    <row r="122">
      <c r="A122" s="33" t="inlineStr">
        <is>
          <t>KINGDOM 17 — THE KINGDOM OF DYNAMIC PROGRAMMING</t>
        </is>
      </c>
      <c r="B122" s="33" t="inlineStr">
        <is>
          <t>Pattern 17.8 — DP on DAG</t>
        </is>
      </c>
    </row>
    <row r="123">
      <c r="A123" s="34" t="inlineStr">
        <is>
          <t>KINGDOM 17 — THE KINGDOM OF DYNAMIC PROGRAMMING</t>
        </is>
      </c>
      <c r="B123" s="34" t="inlineStr">
        <is>
          <t>Pattern 17.9 — Probability DP</t>
        </is>
      </c>
    </row>
    <row r="124">
      <c r="A124" s="33" t="inlineStr">
        <is>
          <t>KINGDOM 17 — THE KINGDOM OF DYNAMIC PROGRAMMING</t>
        </is>
      </c>
      <c r="B124" s="33" t="inlineStr">
        <is>
          <t>Pattern 17.10 — Prefix/Suffix DP</t>
        </is>
      </c>
    </row>
    <row r="125">
      <c r="A125" s="34" t="inlineStr">
        <is>
          <t>KINGDOM 17 — THE KINGDOM OF DYNAMIC PROGRAMMING</t>
        </is>
      </c>
      <c r="B125" s="34" t="inlineStr">
        <is>
          <t>Pattern 17.12 — Optimization DP</t>
        </is>
      </c>
    </row>
    <row r="126">
      <c r="A126" s="33" t="inlineStr">
        <is>
          <t>KINGDOM 18 — THE KINGDOM OF DIVIDE &amp; CONQUER</t>
        </is>
      </c>
      <c r="B126" s="33" t="inlineStr">
        <is>
          <t>Pattern 18.2 — Merge Sort Applications</t>
        </is>
      </c>
    </row>
    <row r="127">
      <c r="A127" s="34" t="inlineStr">
        <is>
          <t>KINGDOM 18 — THE KINGDOM OF DIVIDE &amp; CONQUER</t>
        </is>
      </c>
      <c r="B127" s="34" t="inlineStr">
        <is>
          <t>Pattern 18.3 — Divide &amp; Conquer on Arrays</t>
        </is>
      </c>
    </row>
    <row r="128">
      <c r="A128" s="33" t="inlineStr">
        <is>
          <t>KINGDOM 18 — THE KINGDOM OF DIVIDE &amp; CONQUER</t>
        </is>
      </c>
      <c r="B128" s="33" t="inlineStr">
        <is>
          <t>Pattern 18.4 — CDQ Divide &amp; Conquer</t>
        </is>
      </c>
    </row>
    <row r="129">
      <c r="A129" s="34" t="inlineStr">
        <is>
          <t>KINGDOM 19 — THE KINGDOM OF SEGMENT TREES</t>
        </is>
      </c>
      <c r="B129" s="34" t="inlineStr">
        <is>
          <t>Pattern 19.1 — Basic Segment Tree</t>
        </is>
      </c>
    </row>
    <row r="130">
      <c r="A130" s="33" t="inlineStr">
        <is>
          <t>KINGDOM 19 — THE KINGDOM OF SEGMENT TREES</t>
        </is>
      </c>
      <c r="B130" s="33" t="inlineStr">
        <is>
          <t>Pattern 19.2 — Range Query + Point Update</t>
        </is>
      </c>
    </row>
    <row r="131">
      <c r="A131" s="34" t="inlineStr">
        <is>
          <t>KINGDOM 19 — THE KINGDOM OF SEGMENT TREES</t>
        </is>
      </c>
      <c r="B131" s="34" t="inlineStr">
        <is>
          <t>Pattern 19.3 — Lazy Propagation</t>
        </is>
      </c>
    </row>
    <row r="132">
      <c r="A132" s="33" t="inlineStr">
        <is>
          <t>KINGDOM 19 — THE KINGDOM OF SEGMENT TREES</t>
        </is>
      </c>
      <c r="B132" s="33" t="inlineStr">
        <is>
          <t>Pattern 19.4 — Merge Sort Tree</t>
        </is>
      </c>
    </row>
    <row r="133">
      <c r="A133" s="34" t="inlineStr">
        <is>
          <t>KINGDOM 19 — THE KINGDOM OF SEGMENT TREES</t>
        </is>
      </c>
      <c r="B133" s="34" t="inlineStr">
        <is>
          <t>Pattern 19.5 — Persistent Segment Tree</t>
        </is>
      </c>
    </row>
    <row r="134">
      <c r="A134" s="33" t="inlineStr">
        <is>
          <t>KINGDOM 19 — THE KINGDOM OF SEGMENT TREES</t>
        </is>
      </c>
      <c r="B134" s="33" t="inlineStr">
        <is>
          <t>Pattern 19.6 — Dynamic Segment Tree</t>
        </is>
      </c>
    </row>
    <row r="135">
      <c r="A135" s="34" t="inlineStr">
        <is>
          <t>KINGDOM 20 — THE KINGDOM OF FENWICK TREE (BIT)</t>
        </is>
      </c>
      <c r="B135" s="34" t="inlineStr">
        <is>
          <t>Pattern 20.1 — Basic BIT</t>
        </is>
      </c>
    </row>
    <row r="136">
      <c r="A136" s="33" t="inlineStr">
        <is>
          <t>KINGDOM 20 — THE KINGDOM OF FENWICK TREE (BIT)</t>
        </is>
      </c>
      <c r="B136" s="33" t="inlineStr">
        <is>
          <t>Pattern 20.2 — Prefix Sum BIT</t>
        </is>
      </c>
    </row>
    <row r="137">
      <c r="A137" s="34" t="inlineStr">
        <is>
          <t>KINGDOM 20 — THE KINGDOM OF FENWICK TREE (BIT)</t>
        </is>
      </c>
      <c r="B137" s="34" t="inlineStr">
        <is>
          <t>Pattern 20.4 — BIT + Coordinate Compression</t>
        </is>
      </c>
    </row>
    <row r="138">
      <c r="A138" s="33" t="inlineStr">
        <is>
          <t>KINGDOM 20 — THE KINGDOM OF FENWICK TREE (BIT)</t>
        </is>
      </c>
      <c r="B138" s="33" t="inlineStr">
        <is>
          <t>Pattern 20.5 — Offline Queries with BIT</t>
        </is>
      </c>
    </row>
    <row r="139">
      <c r="A139" s="34" t="inlineStr">
        <is>
          <t>KINGDOM 20 — THE KINGDOM OF FENWICK TREE (BIT)</t>
        </is>
      </c>
      <c r="B139" s="34" t="inlineStr">
        <is>
          <t>Pattern 24.2 — Greedy Construction</t>
        </is>
      </c>
    </row>
    <row r="140">
      <c r="A140" s="33" t="inlineStr">
        <is>
          <t>KINGDOM 20 — THE KINGDOM OF FENWICK TREE (BIT)</t>
        </is>
      </c>
      <c r="B140" s="33" t="inlineStr">
        <is>
          <t>Pattern 24.3 — Constructive Mathematics</t>
        </is>
      </c>
    </row>
    <row r="141">
      <c r="A141" s="34" t="inlineStr">
        <is>
          <t>KINGDOM 20 — THE KINGDOM OF FENWICK TREE (BIT)</t>
        </is>
      </c>
      <c r="B141" s="34" t="inlineStr">
        <is>
          <t>Pattern 24.4 — Permutation Construction</t>
        </is>
      </c>
    </row>
    <row r="142">
      <c r="A142" s="33" t="inlineStr">
        <is>
          <t>KINGDOM 20 — THE KINGDOM OF FENWICK TREE (BIT)</t>
        </is>
      </c>
      <c r="B142" s="33" t="inlineStr">
        <is>
          <t>Pattern 24.5 — Interactive Construction Ideas</t>
        </is>
      </c>
    </row>
    <row r="143">
      <c r="A143" s="34" t="inlineStr">
        <is>
          <t>KINGDOM 25 — THE KINGDOM OF GEOMETRY, INTERACTIVE &amp; MISCELLANEOUS</t>
        </is>
      </c>
      <c r="B143" s="34" t="inlineStr">
        <is>
          <t>Pattern 25.1 — Computational Geometry</t>
        </is>
      </c>
    </row>
    <row r="144">
      <c r="A144" s="33" t="inlineStr">
        <is>
          <t>KINGDOM 25 — THE KINGDOM OF GEOMETRY, INTERACTIVE &amp; MISCELLANEOUS</t>
        </is>
      </c>
      <c r="B144" s="33" t="inlineStr">
        <is>
          <t>Pattern 25.2 — Coordinate Geometry</t>
        </is>
      </c>
    </row>
    <row r="145">
      <c r="A145" s="34" t="inlineStr">
        <is>
          <t>KINGDOM 25 — THE KINGDOM OF GEOMETRY, INTERACTIVE &amp; MISCELLANEOUS</t>
        </is>
      </c>
      <c r="B145" s="34" t="inlineStr">
        <is>
          <t>Pattern 25.3 — Interactive Problems</t>
        </is>
      </c>
    </row>
    <row r="146">
      <c r="A146" s="33" t="inlineStr">
        <is>
          <t>KINGDOM 25 — THE KINGDOM OF GEOMETRY, INTERACTIVE &amp; MISCELLANEOUS</t>
        </is>
      </c>
      <c r="B146" s="33" t="inlineStr">
        <is>
          <t>Pattern 25.4 — Ad-hoc / Observation</t>
        </is>
      </c>
    </row>
    <row r="147">
      <c r="A147" s="34" t="inlineStr">
        <is>
          <t>KINGDOM 25 — THE KINGDOM OF GEOMETRY, INTERACTIVE &amp; MISCELLANEOUS</t>
        </is>
      </c>
      <c r="B147" s="34" t="inlineStr">
        <is>
          <t>Pattern 25.5 — Mixed Expert Problems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2026-07-29T16:22:34Z</dcterms:created>
  <dcterms:modified xsi:type="dcterms:W3CDTF">2026-07-29T16:59:41Z</dcterms:modified>
  <cp:lastModifiedBy>Sai Deva Harsha</cp:lastModifiedBy>
</cp:coreProperties>
</file>