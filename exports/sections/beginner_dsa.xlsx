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ginner DSA"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1"/>
    </font>
    <font>
      <name val="Calibri"/>
      <color rgb="000563C1"/>
      <sz val="11"/>
      <u val="single"/>
    </font>
  </fonts>
  <fills count="5">
    <fill>
      <patternFill/>
    </fill>
    <fill>
      <patternFill patternType="gray125"/>
    </fill>
    <fill>
      <patternFill patternType="solid">
        <fgColor rgb="001F4E79"/>
        <bgColor rgb="001F4E79"/>
      </patternFill>
    </fill>
    <fill>
      <patternFill patternType="solid">
        <fgColor rgb="00F2F4F7"/>
        <bgColor rgb="00F2F4F7"/>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pivotButton="0" quotePrefix="0" xfId="0"/>
    <xf numFmtId="0" fontId="3" fillId="3" borderId="1" pivotButton="0" quotePrefix="0" xfId="0"/>
    <xf numFmtId="0" fontId="2" fillId="4" borderId="1" pivotButton="0" quotePrefix="0" xfId="0"/>
    <xf numFmtId="0" fontId="3"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5"/>
  <sheetViews>
    <sheetView showGridLines="1" workbookViewId="0">
      <selection activeCell="A1" sqref="A1"/>
    </sheetView>
  </sheetViews>
  <sheetFormatPr baseColWidth="8" defaultRowHeight="15"/>
  <cols>
    <col width="15" customWidth="1" min="1" max="1"/>
    <col width="22" customWidth="1" min="2" max="2"/>
    <col width="195" customWidth="1" min="3" max="3"/>
    <col width="37" customWidth="1" min="4" max="4"/>
    <col width="16" customWidth="1" min="5" max="5"/>
    <col width="46" customWidth="1" min="6" max="6"/>
    <col width="15" customWidth="1" min="7" max="7"/>
    <col width="20" customWidth="1" min="8" max="8"/>
    <col width="19" customWidth="1" min="9" max="9"/>
    <col width="15" customWidth="1" min="10" max="10"/>
    <col width="17" customWidth="1" min="11" max="11"/>
    <col width="127" customWidth="1" min="12" max="12"/>
    <col width="12" customWidth="1" min="13" max="13"/>
    <col width="14" customWidth="1" min="14" max="14"/>
    <col width="14" customWidth="1" min="15" max="15"/>
  </cols>
  <sheetData>
    <row r="1">
      <c r="A1" s="1" t="inlineStr">
        <is>
          <t>Section</t>
        </is>
      </c>
      <c r="B1" s="1" t="inlineStr">
        <is>
          <t>Practice Path</t>
        </is>
      </c>
      <c r="C1" s="1" t="inlineStr">
        <is>
          <t>Description</t>
        </is>
      </c>
      <c r="D1" s="1" t="inlineStr">
        <is>
          <t>Lesson</t>
        </is>
      </c>
      <c r="E1" s="1" t="inlineStr">
        <is>
          <t>Problem Order</t>
        </is>
      </c>
      <c r="F1" s="1" t="inlineStr">
        <is>
          <t>Problem Name</t>
        </is>
      </c>
      <c r="G1" s="1" t="inlineStr">
        <is>
          <t>Problem Code</t>
        </is>
      </c>
      <c r="H1" s="1" t="inlineStr">
        <is>
          <t>Difficulty Rating</t>
        </is>
      </c>
      <c r="I1" s="1" t="inlineStr">
        <is>
          <t>Difficulty Label</t>
        </is>
      </c>
      <c r="J1" s="1" t="inlineStr">
        <is>
          <t>Official URL</t>
        </is>
      </c>
      <c r="K1" s="1" t="inlineStr">
        <is>
          <t>Estimated Time</t>
        </is>
      </c>
      <c r="L1" s="1" t="inlineStr">
        <is>
          <t>Tags</t>
        </is>
      </c>
      <c r="M1" s="1" t="inlineStr">
        <is>
          <t>Companies</t>
        </is>
      </c>
      <c r="N1" s="1" t="inlineStr">
        <is>
          <t>Certificate</t>
        </is>
      </c>
      <c r="O1" s="1" t="inlineStr">
        <is>
          <t>Status</t>
        </is>
      </c>
    </row>
    <row r="2">
      <c r="A2" s="2" t="inlineStr">
        <is>
          <t>Beginner DSA</t>
        </is>
      </c>
      <c r="B2" s="2" t="inlineStr">
        <is>
          <t>Practice Strings</t>
        </is>
      </c>
      <c r="C2" s="2" t="inlineStr">
        <is>
          <t>Solve these beginner level questions on Strings and prepare yourself for handling text based data.</t>
        </is>
      </c>
      <c r="D2" s="2" t="inlineStr">
        <is>
          <t>Strings - Strings basic</t>
        </is>
      </c>
      <c r="E2" s="2" t="n">
        <v>1</v>
      </c>
      <c r="F2" s="2" t="inlineStr">
        <is>
          <t>World Chess Championship</t>
        </is>
      </c>
      <c r="G2" s="2" t="inlineStr">
        <is>
          <t>WCC</t>
        </is>
      </c>
      <c r="H2" s="2" t="inlineStr">
        <is>
          <t>935</t>
        </is>
      </c>
      <c r="I2" s="2" t="inlineStr">
        <is>
          <t>Easy</t>
        </is>
      </c>
      <c r="J2" s="3">
        <f>HYPERLINK("https://www.codechef.com/problems/WCC", "https://www.codechef.com/problems/WCC")</f>
        <v/>
      </c>
      <c r="K2" s="2" t="inlineStr"/>
      <c r="L2" s="2" t="inlineStr"/>
      <c r="M2" s="2" t="inlineStr"/>
      <c r="N2" s="2" t="inlineStr">
        <is>
          <t>No</t>
        </is>
      </c>
      <c r="O2" s="2" t="inlineStr">
        <is>
          <t>Unattempted</t>
        </is>
      </c>
    </row>
    <row r="3">
      <c r="A3" s="4" t="inlineStr">
        <is>
          <t>Beginner DSA</t>
        </is>
      </c>
      <c r="B3" s="4" t="inlineStr">
        <is>
          <t>Practice Strings</t>
        </is>
      </c>
      <c r="C3" s="4" t="inlineStr">
        <is>
          <t>Solve these beginner level questions on Strings and prepare yourself for handling text based data.</t>
        </is>
      </c>
      <c r="D3" s="4" t="inlineStr">
        <is>
          <t>Strings - Strings basic</t>
        </is>
      </c>
      <c r="E3" s="4" t="n">
        <v>2</v>
      </c>
      <c r="F3" s="4" t="inlineStr">
        <is>
          <t>DDMM or MMDD</t>
        </is>
      </c>
      <c r="G3" s="4" t="inlineStr">
        <is>
          <t>DDMMORMMDD</t>
        </is>
      </c>
      <c r="H3" s="4" t="inlineStr">
        <is>
          <t>992</t>
        </is>
      </c>
      <c r="I3" s="4" t="inlineStr">
        <is>
          <t>Easy</t>
        </is>
      </c>
      <c r="J3" s="5">
        <f>HYPERLINK("https://www.codechef.com/problems/DDMMORMMDD", "https://www.codechef.com/problems/DDMMORMMDD")</f>
        <v/>
      </c>
      <c r="K3" s="4" t="inlineStr"/>
      <c r="L3" s="4" t="inlineStr"/>
      <c r="M3" s="4" t="inlineStr"/>
      <c r="N3" s="4" t="inlineStr">
        <is>
          <t>No</t>
        </is>
      </c>
      <c r="O3" s="4" t="inlineStr">
        <is>
          <t>Unattempted</t>
        </is>
      </c>
    </row>
    <row r="4">
      <c r="A4" s="2" t="inlineStr">
        <is>
          <t>Beginner DSA</t>
        </is>
      </c>
      <c r="B4" s="2" t="inlineStr">
        <is>
          <t>Practice Strings</t>
        </is>
      </c>
      <c r="C4" s="2" t="inlineStr">
        <is>
          <t>Solve these beginner level questions on Strings and prepare yourself for handling text based data.</t>
        </is>
      </c>
      <c r="D4" s="2" t="inlineStr">
        <is>
          <t>Strings - Strings basic</t>
        </is>
      </c>
      <c r="E4" s="2" t="n">
        <v>3</v>
      </c>
      <c r="F4" s="2" t="inlineStr">
        <is>
          <t>Largest Odd Substring</t>
        </is>
      </c>
      <c r="G4" s="2" t="inlineStr">
        <is>
          <t>LARGODDSTRIN</t>
        </is>
      </c>
      <c r="H4" s="2" t="inlineStr"/>
      <c r="I4" s="2" t="inlineStr">
        <is>
          <t>Easy</t>
        </is>
      </c>
      <c r="J4" s="3">
        <f>HYPERLINK("https://www.codechef.com/problems/LARGODDSTRIN", "https://www.codechef.com/problems/LARGODDSTRIN")</f>
        <v/>
      </c>
      <c r="K4" s="2" t="inlineStr"/>
      <c r="L4" s="2" t="inlineStr">
        <is>
          <t>mayank_pardhi</t>
        </is>
      </c>
      <c r="M4" s="2" t="inlineStr"/>
      <c r="N4" s="2" t="inlineStr">
        <is>
          <t>No</t>
        </is>
      </c>
      <c r="O4" s="2" t="inlineStr">
        <is>
          <t>Unattempted</t>
        </is>
      </c>
    </row>
    <row r="5">
      <c r="A5" s="4" t="inlineStr">
        <is>
          <t>Beginner DSA</t>
        </is>
      </c>
      <c r="B5" s="4" t="inlineStr">
        <is>
          <t>Practice Strings</t>
        </is>
      </c>
      <c r="C5" s="4" t="inlineStr">
        <is>
          <t>Solve these beginner level questions on Strings and prepare yourself for handling text based data.</t>
        </is>
      </c>
      <c r="D5" s="4" t="inlineStr">
        <is>
          <t>Strings - Strings basic</t>
        </is>
      </c>
      <c r="E5" s="4" t="n">
        <v>4</v>
      </c>
      <c r="F5" s="4" t="inlineStr">
        <is>
          <t>Convert String to Title Case</t>
        </is>
      </c>
      <c r="G5" s="4" t="inlineStr">
        <is>
          <t>TITLECASE</t>
        </is>
      </c>
      <c r="H5" s="4" t="inlineStr">
        <is>
          <t>900</t>
        </is>
      </c>
      <c r="I5" s="4" t="inlineStr">
        <is>
          <t>Easy</t>
        </is>
      </c>
      <c r="J5" s="5">
        <f>HYPERLINK("https://www.codechef.com/problems/TITLECASE", "https://www.codechef.com/problems/TITLECASE")</f>
        <v/>
      </c>
      <c r="K5" s="4" t="inlineStr"/>
      <c r="L5" s="4" t="inlineStr"/>
      <c r="M5" s="4" t="inlineStr"/>
      <c r="N5" s="4" t="inlineStr">
        <is>
          <t>No</t>
        </is>
      </c>
      <c r="O5" s="4" t="inlineStr">
        <is>
          <t>Unattempted</t>
        </is>
      </c>
    </row>
    <row r="6">
      <c r="A6" s="2" t="inlineStr">
        <is>
          <t>Beginner DSA</t>
        </is>
      </c>
      <c r="B6" s="2" t="inlineStr">
        <is>
          <t>Practice Strings</t>
        </is>
      </c>
      <c r="C6" s="2" t="inlineStr">
        <is>
          <t>Solve these beginner level questions on Strings and prepare yourself for handling text based data.</t>
        </is>
      </c>
      <c r="D6" s="2" t="inlineStr">
        <is>
          <t>Strings - Strings basic</t>
        </is>
      </c>
      <c r="E6" s="2" t="n">
        <v>5</v>
      </c>
      <c r="F6" s="2" t="inlineStr">
        <is>
          <t>Studying Alphabet</t>
        </is>
      </c>
      <c r="G6" s="2" t="inlineStr">
        <is>
          <t>ALPHABET</t>
        </is>
      </c>
      <c r="H6" s="2" t="inlineStr">
        <is>
          <t>1123</t>
        </is>
      </c>
      <c r="I6" s="2" t="inlineStr">
        <is>
          <t>Easy</t>
        </is>
      </c>
      <c r="J6" s="3">
        <f>HYPERLINK("https://www.codechef.com/problems/ALPHABET", "https://www.codechef.com/problems/ALPHABET")</f>
        <v/>
      </c>
      <c r="K6" s="2" t="inlineStr"/>
      <c r="L6" s="2" t="inlineStr"/>
      <c r="M6" s="2" t="inlineStr"/>
      <c r="N6" s="2" t="inlineStr">
        <is>
          <t>No</t>
        </is>
      </c>
      <c r="O6" s="2" t="inlineStr">
        <is>
          <t>Unattempted</t>
        </is>
      </c>
    </row>
    <row r="7">
      <c r="A7" s="4" t="inlineStr">
        <is>
          <t>Beginner DSA</t>
        </is>
      </c>
      <c r="B7" s="4" t="inlineStr">
        <is>
          <t>Practice Strings</t>
        </is>
      </c>
      <c r="C7" s="4" t="inlineStr">
        <is>
          <t>Solve these beginner level questions on Strings and prepare yourself for handling text based data.</t>
        </is>
      </c>
      <c r="D7" s="4" t="inlineStr">
        <is>
          <t>Strings - Strings basic</t>
        </is>
      </c>
      <c r="E7" s="4" t="n">
        <v>6</v>
      </c>
      <c r="F7" s="4" t="inlineStr">
        <is>
          <t>Malvika is peculiar about color of balloons</t>
        </is>
      </c>
      <c r="G7" s="4" t="inlineStr">
        <is>
          <t>CHN09</t>
        </is>
      </c>
      <c r="H7" s="4" t="inlineStr">
        <is>
          <t>988</t>
        </is>
      </c>
      <c r="I7" s="4" t="inlineStr">
        <is>
          <t>Easy</t>
        </is>
      </c>
      <c r="J7" s="5">
        <f>HYPERLINK("https://www.codechef.com/problems/CHN09", "https://www.codechef.com/problems/CHN09")</f>
        <v/>
      </c>
      <c r="K7" s="4" t="inlineStr"/>
      <c r="L7" s="4" t="inlineStr">
        <is>
          <t>Algorithms, Brute Force, Implementation</t>
        </is>
      </c>
      <c r="M7" s="4" t="inlineStr"/>
      <c r="N7" s="4" t="inlineStr">
        <is>
          <t>No</t>
        </is>
      </c>
      <c r="O7" s="4" t="inlineStr">
        <is>
          <t>Unattempted</t>
        </is>
      </c>
    </row>
    <row r="8">
      <c r="A8" s="2" t="inlineStr">
        <is>
          <t>Beginner DSA</t>
        </is>
      </c>
      <c r="B8" s="2" t="inlineStr">
        <is>
          <t>Practice Strings</t>
        </is>
      </c>
      <c r="C8" s="2" t="inlineStr">
        <is>
          <t>Solve these beginner level questions on Strings and prepare yourself for handling text based data.</t>
        </is>
      </c>
      <c r="D8" s="2" t="inlineStr">
        <is>
          <t>Strings - Strings basic</t>
        </is>
      </c>
      <c r="E8" s="2" t="n">
        <v>7</v>
      </c>
      <c r="F8" s="2" t="inlineStr">
        <is>
          <t>N Buttons 1 Bulb</t>
        </is>
      </c>
      <c r="G8" s="2" t="inlineStr">
        <is>
          <t>ON_OFF</t>
        </is>
      </c>
      <c r="H8" s="2" t="inlineStr">
        <is>
          <t>977</t>
        </is>
      </c>
      <c r="I8" s="2" t="inlineStr">
        <is>
          <t>Easy</t>
        </is>
      </c>
      <c r="J8" s="3">
        <f>HYPERLINK("https://www.codechef.com/problems/ON_OFF", "https://www.codechef.com/problems/ON_OFF")</f>
        <v/>
      </c>
      <c r="K8" s="2" t="inlineStr"/>
      <c r="L8" s="2" t="inlineStr"/>
      <c r="M8" s="2" t="inlineStr"/>
      <c r="N8" s="2" t="inlineStr">
        <is>
          <t>No</t>
        </is>
      </c>
      <c r="O8" s="2" t="inlineStr">
        <is>
          <t>Unattempted</t>
        </is>
      </c>
    </row>
    <row r="9">
      <c r="A9" s="4" t="inlineStr">
        <is>
          <t>Beginner DSA</t>
        </is>
      </c>
      <c r="B9" s="4" t="inlineStr">
        <is>
          <t>Practice Strings</t>
        </is>
      </c>
      <c r="C9" s="4" t="inlineStr">
        <is>
          <t>Solve these beginner level questions on Strings and prepare yourself for handling text based data.</t>
        </is>
      </c>
      <c r="D9" s="4" t="inlineStr">
        <is>
          <t>Strings - Strings basic</t>
        </is>
      </c>
      <c r="E9" s="4" t="n">
        <v>8</v>
      </c>
      <c r="F9" s="4" t="inlineStr">
        <is>
          <t>Play Piano</t>
        </is>
      </c>
      <c r="G9" s="4" t="inlineStr">
        <is>
          <t>PLAYPIAN</t>
        </is>
      </c>
      <c r="H9" s="4" t="inlineStr">
        <is>
          <t>980</t>
        </is>
      </c>
      <c r="I9" s="4" t="inlineStr">
        <is>
          <t>Easy</t>
        </is>
      </c>
      <c r="J9" s="5">
        <f>HYPERLINK("https://www.codechef.com/problems/PLAYPIAN", "https://www.codechef.com/problems/PLAYPIAN")</f>
        <v/>
      </c>
      <c r="K9" s="4" t="inlineStr"/>
      <c r="L9" s="4" t="inlineStr"/>
      <c r="M9" s="4" t="inlineStr"/>
      <c r="N9" s="4" t="inlineStr">
        <is>
          <t>No</t>
        </is>
      </c>
      <c r="O9" s="4" t="inlineStr">
        <is>
          <t>Unattempted</t>
        </is>
      </c>
    </row>
    <row r="10">
      <c r="A10" s="2" t="inlineStr">
        <is>
          <t>Beginner DSA</t>
        </is>
      </c>
      <c r="B10" s="2" t="inlineStr">
        <is>
          <t>Practice Strings</t>
        </is>
      </c>
      <c r="C10" s="2" t="inlineStr">
        <is>
          <t>Solve these beginner level questions on Strings and prepare yourself for handling text based data.</t>
        </is>
      </c>
      <c r="D10" s="2" t="inlineStr">
        <is>
          <t>Strings - Strings basic</t>
        </is>
      </c>
      <c r="E10" s="2" t="n">
        <v>9</v>
      </c>
      <c r="F10" s="2" t="inlineStr">
        <is>
          <t>Chef and Feedback</t>
        </is>
      </c>
      <c r="G10" s="2" t="inlineStr">
        <is>
          <t>ERROR</t>
        </is>
      </c>
      <c r="H10" s="2" t="inlineStr">
        <is>
          <t>1199</t>
        </is>
      </c>
      <c r="I10" s="2" t="inlineStr">
        <is>
          <t>Easy</t>
        </is>
      </c>
      <c r="J10" s="3">
        <f>HYPERLINK("https://www.codechef.com/problems/ERROR", "https://www.codechef.com/problems/ERROR")</f>
        <v/>
      </c>
      <c r="K10" s="2" t="inlineStr"/>
      <c r="L10" s="2" t="inlineStr"/>
      <c r="M10" s="2" t="inlineStr"/>
      <c r="N10" s="2" t="inlineStr">
        <is>
          <t>No</t>
        </is>
      </c>
      <c r="O10" s="2" t="inlineStr">
        <is>
          <t>Unattempted</t>
        </is>
      </c>
    </row>
    <row r="11">
      <c r="A11" s="4" t="inlineStr">
        <is>
          <t>Beginner DSA</t>
        </is>
      </c>
      <c r="B11" s="4" t="inlineStr">
        <is>
          <t>Practice Arrays</t>
        </is>
      </c>
      <c r="C11" s="4" t="inlineStr">
        <is>
          <t>Solve Arrays coding problems to start learning data structures and algorithms.</t>
        </is>
      </c>
      <c r="D11" s="4" t="inlineStr">
        <is>
          <t>Arrays - Basic arrays</t>
        </is>
      </c>
      <c r="E11" s="4" t="n">
        <v>1</v>
      </c>
      <c r="F11" s="4" t="inlineStr">
        <is>
          <t>Search an element in an array</t>
        </is>
      </c>
      <c r="G11" s="4" t="inlineStr">
        <is>
          <t>SEARCHINARR</t>
        </is>
      </c>
      <c r="H11" s="4" t="inlineStr">
        <is>
          <t>600</t>
        </is>
      </c>
      <c r="I11" s="4" t="inlineStr">
        <is>
          <t>Easy</t>
        </is>
      </c>
      <c r="J11" s="5">
        <f>HYPERLINK("https://www.codechef.com/problems/SEARCHINARR", "https://www.codechef.com/problems/SEARCHINARR")</f>
        <v/>
      </c>
      <c r="K11" s="4" t="inlineStr"/>
      <c r="L11" s="4" t="inlineStr"/>
      <c r="M11" s="4" t="inlineStr"/>
      <c r="N11" s="4" t="inlineStr">
        <is>
          <t>No</t>
        </is>
      </c>
      <c r="O11" s="4" t="inlineStr">
        <is>
          <t>Unattempted</t>
        </is>
      </c>
    </row>
    <row r="12">
      <c r="A12" s="2" t="inlineStr">
        <is>
          <t>Beginner DSA</t>
        </is>
      </c>
      <c r="B12" s="2" t="inlineStr">
        <is>
          <t>Practice Arrays</t>
        </is>
      </c>
      <c r="C12" s="2" t="inlineStr">
        <is>
          <t>Solve Arrays coding problems to start learning data structures and algorithms.</t>
        </is>
      </c>
      <c r="D12" s="2" t="inlineStr">
        <is>
          <t>Arrays - Basic arrays</t>
        </is>
      </c>
      <c r="E12" s="2" t="n">
        <v>2</v>
      </c>
      <c r="F12" s="2" t="inlineStr">
        <is>
          <t>Find maximum in an Array</t>
        </is>
      </c>
      <c r="G12" s="2" t="inlineStr">
        <is>
          <t>UWCOI20A</t>
        </is>
      </c>
      <c r="H12" s="2" t="inlineStr">
        <is>
          <t>650</t>
        </is>
      </c>
      <c r="I12" s="2" t="inlineStr">
        <is>
          <t>Easy</t>
        </is>
      </c>
      <c r="J12" s="3">
        <f>HYPERLINK("https://www.codechef.com/problems/UWCOI20A", "https://www.codechef.com/problems/UWCOI20A")</f>
        <v/>
      </c>
      <c r="K12" s="2" t="inlineStr"/>
      <c r="L12" s="2" t="inlineStr"/>
      <c r="M12" s="2" t="inlineStr"/>
      <c r="N12" s="2" t="inlineStr">
        <is>
          <t>No</t>
        </is>
      </c>
      <c r="O12" s="2" t="inlineStr">
        <is>
          <t>Unattempted</t>
        </is>
      </c>
    </row>
    <row r="13">
      <c r="A13" s="4" t="inlineStr">
        <is>
          <t>Beginner DSA</t>
        </is>
      </c>
      <c r="B13" s="4" t="inlineStr">
        <is>
          <t>Practice Arrays</t>
        </is>
      </c>
      <c r="C13" s="4" t="inlineStr">
        <is>
          <t>Solve Arrays coding problems to start learning data structures and algorithms.</t>
        </is>
      </c>
      <c r="D13" s="4" t="inlineStr">
        <is>
          <t>Arrays - Basic arrays</t>
        </is>
      </c>
      <c r="E13" s="4" t="n">
        <v>3</v>
      </c>
      <c r="F13" s="4" t="inlineStr">
        <is>
          <t>Largest and Second Largest</t>
        </is>
      </c>
      <c r="G13" s="4" t="inlineStr">
        <is>
          <t>LARGESECOND</t>
        </is>
      </c>
      <c r="H13" s="4" t="inlineStr">
        <is>
          <t>928</t>
        </is>
      </c>
      <c r="I13" s="4" t="inlineStr">
        <is>
          <t>Easy</t>
        </is>
      </c>
      <c r="J13" s="5">
        <f>HYPERLINK("https://www.codechef.com/problems/LARGESECOND", "https://www.codechef.com/problems/LARGESECOND")</f>
        <v/>
      </c>
      <c r="K13" s="4" t="inlineStr"/>
      <c r="L13" s="4" t="inlineStr">
        <is>
          <t>Arrays using C++, Basic Programming Concepts, CPP, Loops</t>
        </is>
      </c>
      <c r="M13" s="4" t="inlineStr"/>
      <c r="N13" s="4" t="inlineStr">
        <is>
          <t>No</t>
        </is>
      </c>
      <c r="O13" s="4" t="inlineStr">
        <is>
          <t>Unattempted</t>
        </is>
      </c>
    </row>
    <row r="14">
      <c r="A14" s="2" t="inlineStr">
        <is>
          <t>Beginner DSA</t>
        </is>
      </c>
      <c r="B14" s="2" t="inlineStr">
        <is>
          <t>Practice Arrays</t>
        </is>
      </c>
      <c r="C14" s="2" t="inlineStr">
        <is>
          <t>Solve Arrays coding problems to start learning data structures and algorithms.</t>
        </is>
      </c>
      <c r="D14" s="2" t="inlineStr">
        <is>
          <t>Arrays - Basic arrays</t>
        </is>
      </c>
      <c r="E14" s="2" t="n">
        <v>4</v>
      </c>
      <c r="F14" s="2" t="inlineStr">
        <is>
          <t>MIN To MAX</t>
        </is>
      </c>
      <c r="G14" s="2" t="inlineStr">
        <is>
          <t>OPMIN</t>
        </is>
      </c>
      <c r="H14" s="2" t="inlineStr">
        <is>
          <t>838</t>
        </is>
      </c>
      <c r="I14" s="2" t="inlineStr">
        <is>
          <t>Easy</t>
        </is>
      </c>
      <c r="J14" s="3">
        <f>HYPERLINK("https://www.codechef.com/problems/OPMIN", "https://www.codechef.com/problems/OPMIN")</f>
        <v/>
      </c>
      <c r="K14" s="2" t="inlineStr"/>
      <c r="L14" s="2" t="inlineStr"/>
      <c r="M14" s="2" t="inlineStr"/>
      <c r="N14" s="2" t="inlineStr">
        <is>
          <t>No</t>
        </is>
      </c>
      <c r="O14" s="2" t="inlineStr">
        <is>
          <t>Unattempted</t>
        </is>
      </c>
    </row>
    <row r="15">
      <c r="A15" s="4" t="inlineStr">
        <is>
          <t>Beginner DSA</t>
        </is>
      </c>
      <c r="B15" s="4" t="inlineStr">
        <is>
          <t>Practice Arrays</t>
        </is>
      </c>
      <c r="C15" s="4" t="inlineStr">
        <is>
          <t>Solve Arrays coding problems to start learning data structures and algorithms.</t>
        </is>
      </c>
      <c r="D15" s="4" t="inlineStr">
        <is>
          <t>Arrays - Basic arrays</t>
        </is>
      </c>
      <c r="E15" s="4" t="n">
        <v>5</v>
      </c>
      <c r="F15" s="4" t="inlineStr">
        <is>
          <t>Copy and Paste</t>
        </is>
      </c>
      <c r="G15" s="4" t="inlineStr">
        <is>
          <t>NCOPIES</t>
        </is>
      </c>
      <c r="H15" s="4" t="inlineStr">
        <is>
          <t>1745</t>
        </is>
      </c>
      <c r="I15" s="4" t="inlineStr">
        <is>
          <t>Medium</t>
        </is>
      </c>
      <c r="J15" s="5">
        <f>HYPERLINK("https://www.codechef.com/problems/NCOPIES", "https://www.codechef.com/problems/NCOPIES")</f>
        <v/>
      </c>
      <c r="K15" s="4" t="inlineStr"/>
      <c r="L15" s="4" t="inlineStr">
        <is>
          <t>Algorithms, Basic Math, Binary Search, Data Structures, Mathematics, Prefix Sum, Searching, Simple Algos, String, Suffix Sum</t>
        </is>
      </c>
      <c r="M15" s="4" t="inlineStr"/>
      <c r="N15" s="4" t="inlineStr">
        <is>
          <t>No</t>
        </is>
      </c>
      <c r="O15" s="4" t="inlineStr">
        <is>
          <t>Unattempted</t>
        </is>
      </c>
    </row>
    <row r="16">
      <c r="A16" s="2" t="inlineStr">
        <is>
          <t>Beginner DSA</t>
        </is>
      </c>
      <c r="B16" s="2" t="inlineStr">
        <is>
          <t>Practice Arrays</t>
        </is>
      </c>
      <c r="C16" s="2" t="inlineStr">
        <is>
          <t>Solve Arrays coding problems to start learning data structures and algorithms.</t>
        </is>
      </c>
      <c r="D16" s="2" t="inlineStr">
        <is>
          <t>Arrays - Basic arrays</t>
        </is>
      </c>
      <c r="E16" s="2" t="n">
        <v>6</v>
      </c>
      <c r="F16" s="2" t="inlineStr">
        <is>
          <t>Red Light, Green Light</t>
        </is>
      </c>
      <c r="G16" s="2" t="inlineStr">
        <is>
          <t>DOLL</t>
        </is>
      </c>
      <c r="H16" s="2" t="inlineStr">
        <is>
          <t>984</t>
        </is>
      </c>
      <c r="I16" s="2" t="inlineStr">
        <is>
          <t>Easy</t>
        </is>
      </c>
      <c r="J16" s="3">
        <f>HYPERLINK("https://www.codechef.com/problems/DOLL", "https://www.codechef.com/problems/DOLL")</f>
        <v/>
      </c>
      <c r="K16" s="2" t="inlineStr"/>
      <c r="L16" s="2" t="inlineStr">
        <is>
          <t>1D Arrays, Algorithms, Arrays, Constructive, Data Structures, Observation, ad-hoc</t>
        </is>
      </c>
      <c r="M16" s="2" t="inlineStr"/>
      <c r="N16" s="2" t="inlineStr">
        <is>
          <t>No</t>
        </is>
      </c>
      <c r="O16" s="2" t="inlineStr">
        <is>
          <t>Unattempted</t>
        </is>
      </c>
    </row>
    <row r="17">
      <c r="A17" s="4" t="inlineStr">
        <is>
          <t>Beginner DSA</t>
        </is>
      </c>
      <c r="B17" s="4" t="inlineStr">
        <is>
          <t>Practice Arrays</t>
        </is>
      </c>
      <c r="C17" s="4" t="inlineStr">
        <is>
          <t>Solve Arrays coding problems to start learning data structures and algorithms.</t>
        </is>
      </c>
      <c r="D17" s="4" t="inlineStr">
        <is>
          <t>Arrays - Basic arrays</t>
        </is>
      </c>
      <c r="E17" s="4" t="n">
        <v>7</v>
      </c>
      <c r="F17" s="4" t="inlineStr">
        <is>
          <t>Compress the Video</t>
        </is>
      </c>
      <c r="G17" s="4" t="inlineStr">
        <is>
          <t>COMPRESSVD</t>
        </is>
      </c>
      <c r="H17" s="4" t="inlineStr">
        <is>
          <t>940</t>
        </is>
      </c>
      <c r="I17" s="4" t="inlineStr">
        <is>
          <t>Easy</t>
        </is>
      </c>
      <c r="J17" s="5">
        <f>HYPERLINK("https://www.codechef.com/problems/COMPRESSVD", "https://www.codechef.com/problems/COMPRESSVD")</f>
        <v/>
      </c>
      <c r="K17" s="4" t="inlineStr"/>
      <c r="L17" s="4" t="inlineStr">
        <is>
          <t>Data Structures, String</t>
        </is>
      </c>
      <c r="M17" s="4" t="inlineStr"/>
      <c r="N17" s="4" t="inlineStr">
        <is>
          <t>No</t>
        </is>
      </c>
      <c r="O17" s="4" t="inlineStr">
        <is>
          <t>Unattempted</t>
        </is>
      </c>
    </row>
    <row r="18">
      <c r="A18" s="2" t="inlineStr">
        <is>
          <t>Beginner DSA</t>
        </is>
      </c>
      <c r="B18" s="2" t="inlineStr">
        <is>
          <t>Practice Arrays</t>
        </is>
      </c>
      <c r="C18" s="2" t="inlineStr">
        <is>
          <t>Solve Arrays coding problems to start learning data structures and algorithms.</t>
        </is>
      </c>
      <c r="D18" s="2" t="inlineStr">
        <is>
          <t>Arrays - Basic arrays</t>
        </is>
      </c>
      <c r="E18" s="2" t="n">
        <v>8</v>
      </c>
      <c r="F18" s="2" t="inlineStr">
        <is>
          <t>Difficulty Rating Order</t>
        </is>
      </c>
      <c r="G18" s="2" t="inlineStr">
        <is>
          <t>RATINGINPRAC</t>
        </is>
      </c>
      <c r="H18" s="2" t="inlineStr">
        <is>
          <t>930</t>
        </is>
      </c>
      <c r="I18" s="2" t="inlineStr">
        <is>
          <t>Easy</t>
        </is>
      </c>
      <c r="J18" s="3">
        <f>HYPERLINK("https://www.codechef.com/problems/RATINGINPRAC", "https://www.codechef.com/problems/RATINGINPRAC")</f>
        <v/>
      </c>
      <c r="K18" s="2" t="inlineStr"/>
      <c r="L18" s="2" t="inlineStr"/>
      <c r="M18" s="2" t="inlineStr"/>
      <c r="N18" s="2" t="inlineStr">
        <is>
          <t>No</t>
        </is>
      </c>
      <c r="O18" s="2" t="inlineStr">
        <is>
          <t>Unattempted</t>
        </is>
      </c>
    </row>
    <row r="19">
      <c r="A19" s="4" t="inlineStr">
        <is>
          <t>Beginner DSA</t>
        </is>
      </c>
      <c r="B19" s="4" t="inlineStr">
        <is>
          <t>Practice Arrays</t>
        </is>
      </c>
      <c r="C19" s="4" t="inlineStr">
        <is>
          <t>Solve Arrays coding problems to start learning data structures and algorithms.</t>
        </is>
      </c>
      <c r="D19" s="4" t="inlineStr">
        <is>
          <t>Arrays - Basic arrays</t>
        </is>
      </c>
      <c r="E19" s="4" t="n">
        <v>9</v>
      </c>
      <c r="F19" s="4" t="inlineStr">
        <is>
          <t>The Squid Game</t>
        </is>
      </c>
      <c r="G19" s="4" t="inlineStr">
        <is>
          <t>SQUIDRULE</t>
        </is>
      </c>
      <c r="H19" s="4" t="inlineStr">
        <is>
          <t>970</t>
        </is>
      </c>
      <c r="I19" s="4" t="inlineStr">
        <is>
          <t>Easy</t>
        </is>
      </c>
      <c r="J19" s="5">
        <f>HYPERLINK("https://www.codechef.com/problems/SQUIDRULE", "https://www.codechef.com/problems/SQUIDRULE")</f>
        <v/>
      </c>
      <c r="K19" s="4" t="inlineStr"/>
      <c r="L19" s="4" t="inlineStr"/>
      <c r="M19" s="4" t="inlineStr"/>
      <c r="N19" s="4" t="inlineStr">
        <is>
          <t>No</t>
        </is>
      </c>
      <c r="O19" s="4" t="inlineStr">
        <is>
          <t>Unattempted</t>
        </is>
      </c>
    </row>
    <row r="20">
      <c r="A20" s="2" t="inlineStr">
        <is>
          <t>Beginner DSA</t>
        </is>
      </c>
      <c r="B20" s="2" t="inlineStr">
        <is>
          <t>Practice Arrays</t>
        </is>
      </c>
      <c r="C20" s="2" t="inlineStr">
        <is>
          <t>Solve Arrays coding problems to start learning data structures and algorithms.</t>
        </is>
      </c>
      <c r="D20" s="2" t="inlineStr">
        <is>
          <t>Arrays - Basic arrays</t>
        </is>
      </c>
      <c r="E20" s="2" t="n">
        <v>10</v>
      </c>
      <c r="F20" s="2" t="inlineStr">
        <is>
          <t>Chef and Consecutive Ones</t>
        </is>
      </c>
      <c r="G20" s="2" t="inlineStr">
        <is>
          <t>MAXCONSECU</t>
        </is>
      </c>
      <c r="H20" s="2" t="inlineStr"/>
      <c r="I20" s="2" t="inlineStr">
        <is>
          <t>Easy</t>
        </is>
      </c>
      <c r="J20" s="3">
        <f>HYPERLINK("https://www.codechef.com/problems/MAXCONSECU", "https://www.codechef.com/problems/MAXCONSECU")</f>
        <v/>
      </c>
      <c r="K20" s="2" t="inlineStr"/>
      <c r="L20" s="2" t="inlineStr"/>
      <c r="M20" s="2" t="inlineStr"/>
      <c r="N20" s="2" t="inlineStr">
        <is>
          <t>No</t>
        </is>
      </c>
      <c r="O20" s="2" t="inlineStr">
        <is>
          <t>Unattempted</t>
        </is>
      </c>
    </row>
    <row r="21">
      <c r="A21" s="4" t="inlineStr">
        <is>
          <t>Beginner DSA</t>
        </is>
      </c>
      <c r="B21" s="4" t="inlineStr">
        <is>
          <t>Practice Arrays</t>
        </is>
      </c>
      <c r="C21" s="4" t="inlineStr">
        <is>
          <t>Solve Arrays coding problems to start learning data structures and algorithms.</t>
        </is>
      </c>
      <c r="D21" s="4" t="inlineStr">
        <is>
          <t>Arrays - Basic arrays</t>
        </is>
      </c>
      <c r="E21" s="4" t="n">
        <v>11</v>
      </c>
      <c r="F21" s="4" t="inlineStr">
        <is>
          <t>CodeChef Streak</t>
        </is>
      </c>
      <c r="G21" s="4" t="inlineStr">
        <is>
          <t>CS2023_STK</t>
        </is>
      </c>
      <c r="H21" s="4" t="inlineStr">
        <is>
          <t>1009</t>
        </is>
      </c>
      <c r="I21" s="4" t="inlineStr">
        <is>
          <t>Easy</t>
        </is>
      </c>
      <c r="J21" s="5">
        <f>HYPERLINK("https://www.codechef.com/problems/CS2023_STK", "https://www.codechef.com/problems/CS2023_STK")</f>
        <v/>
      </c>
      <c r="K21" s="4" t="inlineStr"/>
      <c r="L21" s="4" t="inlineStr">
        <is>
          <t>Algorithms, Basic Programming Concepts, Implementation, Loops</t>
        </is>
      </c>
      <c r="M21" s="4" t="inlineStr"/>
      <c r="N21" s="4" t="inlineStr">
        <is>
          <t>No</t>
        </is>
      </c>
      <c r="O21" s="4" t="inlineStr">
        <is>
          <t>Unattempted</t>
        </is>
      </c>
    </row>
    <row r="22">
      <c r="A22" s="2" t="inlineStr">
        <is>
          <t>Beginner DSA</t>
        </is>
      </c>
      <c r="B22" s="2" t="inlineStr">
        <is>
          <t>Practice Arrays</t>
        </is>
      </c>
      <c r="C22" s="2" t="inlineStr">
        <is>
          <t>Solve Arrays coding problems to start learning data structures and algorithms.</t>
        </is>
      </c>
      <c r="D22" s="2" t="inlineStr">
        <is>
          <t>Arrays - Additional practice</t>
        </is>
      </c>
      <c r="E22" s="2" t="n">
        <v>12</v>
      </c>
      <c r="F22" s="2" t="inlineStr">
        <is>
          <t>Snapchat</t>
        </is>
      </c>
      <c r="G22" s="2" t="inlineStr">
        <is>
          <t>SNAPCHAT</t>
        </is>
      </c>
      <c r="H22" s="2" t="inlineStr">
        <is>
          <t>965</t>
        </is>
      </c>
      <c r="I22" s="2" t="inlineStr">
        <is>
          <t>Easy</t>
        </is>
      </c>
      <c r="J22" s="3">
        <f>HYPERLINK("https://www.codechef.com/problems/SNAPCHAT", "https://www.codechef.com/problems/SNAPCHAT")</f>
        <v/>
      </c>
      <c r="K22" s="2" t="inlineStr"/>
      <c r="L22" s="2" t="inlineStr"/>
      <c r="M22" s="2" t="inlineStr"/>
      <c r="N22" s="2" t="inlineStr">
        <is>
          <t>No</t>
        </is>
      </c>
      <c r="O22" s="2" t="inlineStr">
        <is>
          <t>Unattempted</t>
        </is>
      </c>
    </row>
    <row r="23">
      <c r="A23" s="4" t="inlineStr">
        <is>
          <t>Beginner DSA</t>
        </is>
      </c>
      <c r="B23" s="4" t="inlineStr">
        <is>
          <t>Practice Arrays</t>
        </is>
      </c>
      <c r="C23" s="4" t="inlineStr">
        <is>
          <t>Solve Arrays coding problems to start learning data structures and algorithms.</t>
        </is>
      </c>
      <c r="D23" s="4" t="inlineStr">
        <is>
          <t>Arrays - Additional practice</t>
        </is>
      </c>
      <c r="E23" s="4" t="n">
        <v>13</v>
      </c>
      <c r="F23" s="4" t="inlineStr">
        <is>
          <t>Cost of Groceries</t>
        </is>
      </c>
      <c r="G23" s="4" t="inlineStr">
        <is>
          <t>KITCHENCOST</t>
        </is>
      </c>
      <c r="H23" s="4" t="inlineStr">
        <is>
          <t>799</t>
        </is>
      </c>
      <c r="I23" s="4" t="inlineStr">
        <is>
          <t>Easy</t>
        </is>
      </c>
      <c r="J23" s="5">
        <f>HYPERLINK("https://www.codechef.com/problems/KITCHENCOST", "https://www.codechef.com/problems/KITCHENCOST")</f>
        <v/>
      </c>
      <c r="K23" s="4" t="inlineStr"/>
      <c r="L23" s="4" t="inlineStr">
        <is>
          <t>Basic Programming Concepts</t>
        </is>
      </c>
      <c r="M23" s="4" t="inlineStr"/>
      <c r="N23" s="4" t="inlineStr">
        <is>
          <t>No</t>
        </is>
      </c>
      <c r="O23" s="4" t="inlineStr">
        <is>
          <t>Unattempted</t>
        </is>
      </c>
    </row>
    <row r="24">
      <c r="A24" s="2" t="inlineStr">
        <is>
          <t>Beginner DSA</t>
        </is>
      </c>
      <c r="B24" s="2" t="inlineStr">
        <is>
          <t>Practice Arrays</t>
        </is>
      </c>
      <c r="C24" s="2" t="inlineStr">
        <is>
          <t>Solve Arrays coding problems to start learning data structures and algorithms.</t>
        </is>
      </c>
      <c r="D24" s="2" t="inlineStr">
        <is>
          <t>Arrays - Additional practice</t>
        </is>
      </c>
      <c r="E24" s="2" t="n">
        <v>14</v>
      </c>
      <c r="F24" s="2" t="inlineStr">
        <is>
          <t>Take discount or Not</t>
        </is>
      </c>
      <c r="G24" s="2" t="inlineStr">
        <is>
          <t>DISCOUNTT</t>
        </is>
      </c>
      <c r="H24" s="2" t="inlineStr">
        <is>
          <t>700</t>
        </is>
      </c>
      <c r="I24" s="2" t="inlineStr">
        <is>
          <t>Easy</t>
        </is>
      </c>
      <c r="J24" s="3">
        <f>HYPERLINK("https://www.codechef.com/problems/DISCOUNTT", "https://www.codechef.com/problems/DISCOUNTT")</f>
        <v/>
      </c>
      <c r="K24" s="2" t="inlineStr"/>
      <c r="L24" s="2" t="inlineStr"/>
      <c r="M24" s="2" t="inlineStr"/>
      <c r="N24" s="2" t="inlineStr">
        <is>
          <t>No</t>
        </is>
      </c>
      <c r="O24" s="2" t="inlineStr">
        <is>
          <t>Unattempted</t>
        </is>
      </c>
    </row>
    <row r="25">
      <c r="A25" s="4" t="inlineStr">
        <is>
          <t>Beginner DSA</t>
        </is>
      </c>
      <c r="B25" s="4" t="inlineStr">
        <is>
          <t>Practice Arrays</t>
        </is>
      </c>
      <c r="C25" s="4" t="inlineStr">
        <is>
          <t>Solve Arrays coding problems to start learning data structures and algorithms.</t>
        </is>
      </c>
      <c r="D25" s="4" t="inlineStr">
        <is>
          <t>Arrays - Additional practice</t>
        </is>
      </c>
      <c r="E25" s="4" t="n">
        <v>15</v>
      </c>
      <c r="F25" s="4" t="inlineStr">
        <is>
          <t>Running Comparison</t>
        </is>
      </c>
      <c r="G25" s="4" t="inlineStr">
        <is>
          <t>RUNCOMPARE</t>
        </is>
      </c>
      <c r="H25" s="4" t="inlineStr">
        <is>
          <t>899</t>
        </is>
      </c>
      <c r="I25" s="4" t="inlineStr">
        <is>
          <t>Easy</t>
        </is>
      </c>
      <c r="J25" s="5">
        <f>HYPERLINK("https://www.codechef.com/problems/RUNCOMPARE", "https://www.codechef.com/problems/RUNCOMPARE")</f>
        <v/>
      </c>
      <c r="K25" s="4" t="inlineStr"/>
      <c r="L25" s="4" t="inlineStr"/>
      <c r="M25" s="4" t="inlineStr"/>
      <c r="N25" s="4" t="inlineStr">
        <is>
          <t>No</t>
        </is>
      </c>
      <c r="O25" s="4" t="inlineStr">
        <is>
          <t>Unattempted</t>
        </is>
      </c>
    </row>
    <row r="26">
      <c r="A26" s="2" t="inlineStr">
        <is>
          <t>Beginner DSA</t>
        </is>
      </c>
      <c r="B26" s="2" t="inlineStr">
        <is>
          <t>Practice Arrays</t>
        </is>
      </c>
      <c r="C26" s="2" t="inlineStr">
        <is>
          <t>Solve Arrays coding problems to start learning data structures and algorithms.</t>
        </is>
      </c>
      <c r="D26" s="2" t="inlineStr">
        <is>
          <t>Arrays - Additional practice</t>
        </is>
      </c>
      <c r="E26" s="2" t="n">
        <v>16</v>
      </c>
      <c r="F26" s="2" t="inlineStr">
        <is>
          <t>Sum of Smaller Elements</t>
        </is>
      </c>
      <c r="G26" s="2" t="inlineStr">
        <is>
          <t>SMLSUM</t>
        </is>
      </c>
      <c r="H26" s="2" t="inlineStr"/>
      <c r="I26" s="2" t="inlineStr">
        <is>
          <t>Medium</t>
        </is>
      </c>
      <c r="J26" s="3">
        <f>HYPERLINK("https://www.codechef.com/problems/SMLSUM", "https://www.codechef.com/problems/SMLSUM")</f>
        <v/>
      </c>
      <c r="K26" s="2" t="inlineStr"/>
      <c r="L26" s="2" t="inlineStr"/>
      <c r="M26" s="2" t="inlineStr"/>
      <c r="N26" s="2" t="inlineStr">
        <is>
          <t>No</t>
        </is>
      </c>
      <c r="O26" s="2" t="inlineStr">
        <is>
          <t>Unattempted</t>
        </is>
      </c>
    </row>
    <row r="27">
      <c r="A27" s="4" t="inlineStr">
        <is>
          <t>Beginner DSA</t>
        </is>
      </c>
      <c r="B27" s="4" t="inlineStr">
        <is>
          <t>Practice Arrays</t>
        </is>
      </c>
      <c r="C27" s="4" t="inlineStr">
        <is>
          <t>Solve Arrays coding problems to start learning data structures and algorithms.</t>
        </is>
      </c>
      <c r="D27" s="4" t="inlineStr">
        <is>
          <t>Arrays - Additional practice</t>
        </is>
      </c>
      <c r="E27" s="4" t="n">
        <v>17</v>
      </c>
      <c r="F27" s="4" t="inlineStr">
        <is>
          <t>Workers</t>
        </is>
      </c>
      <c r="G27" s="4" t="inlineStr">
        <is>
          <t>CHEFWORK</t>
        </is>
      </c>
      <c r="H27" s="4" t="inlineStr">
        <is>
          <t>1146</t>
        </is>
      </c>
      <c r="I27" s="4" t="inlineStr">
        <is>
          <t>Easy</t>
        </is>
      </c>
      <c r="J27" s="5">
        <f>HYPERLINK("https://www.codechef.com/problems/CHEFWORK", "https://www.codechef.com/problems/CHEFWORK")</f>
        <v/>
      </c>
      <c r="K27" s="4" t="inlineStr"/>
      <c r="L27" s="4" t="inlineStr"/>
      <c r="M27" s="4" t="inlineStr"/>
      <c r="N27" s="4" t="inlineStr">
        <is>
          <t>No</t>
        </is>
      </c>
      <c r="O27" s="4" t="inlineStr">
        <is>
          <t>Unattempted</t>
        </is>
      </c>
    </row>
    <row r="28">
      <c r="A28" s="2" t="inlineStr">
        <is>
          <t>Beginner DSA</t>
        </is>
      </c>
      <c r="B28" s="2" t="inlineStr">
        <is>
          <t>Practice Arrays</t>
        </is>
      </c>
      <c r="C28" s="2" t="inlineStr">
        <is>
          <t>Solve Arrays coding problems to start learning data structures and algorithms.</t>
        </is>
      </c>
      <c r="D28" s="2" t="inlineStr">
        <is>
          <t>Arrays - Additional practice</t>
        </is>
      </c>
      <c r="E28" s="2" t="n">
        <v>18</v>
      </c>
      <c r="F28" s="2" t="inlineStr">
        <is>
          <t>Bomb the base</t>
        </is>
      </c>
      <c r="G28" s="2" t="inlineStr">
        <is>
          <t>BOMBTHEBASE</t>
        </is>
      </c>
      <c r="H28" s="2" t="inlineStr">
        <is>
          <t>982</t>
        </is>
      </c>
      <c r="I28" s="2" t="inlineStr">
        <is>
          <t>Easy</t>
        </is>
      </c>
      <c r="J28" s="3">
        <f>HYPERLINK("https://www.codechef.com/problems/BOMBTHEBASE", "https://www.codechef.com/problems/BOMBTHEBASE")</f>
        <v/>
      </c>
      <c r="K28" s="2" t="inlineStr"/>
      <c r="L28" s="2" t="inlineStr">
        <is>
          <t>Algorithms, Greedy</t>
        </is>
      </c>
      <c r="M28" s="2" t="inlineStr"/>
      <c r="N28" s="2" t="inlineStr">
        <is>
          <t>No</t>
        </is>
      </c>
      <c r="O28" s="2" t="inlineStr">
        <is>
          <t>Unattempted</t>
        </is>
      </c>
    </row>
    <row r="29">
      <c r="A29" s="4" t="inlineStr">
        <is>
          <t>Beginner DSA</t>
        </is>
      </c>
      <c r="B29" s="4" t="inlineStr">
        <is>
          <t>Practice Arrays</t>
        </is>
      </c>
      <c r="C29" s="4" t="inlineStr">
        <is>
          <t>Solve Arrays coding problems to start learning data structures and algorithms.</t>
        </is>
      </c>
      <c r="D29" s="4" t="inlineStr">
        <is>
          <t>Arrays - Additional practice</t>
        </is>
      </c>
      <c r="E29" s="4" t="n">
        <v>19</v>
      </c>
      <c r="F29" s="4" t="inlineStr">
        <is>
          <t>Kitchen Timetable</t>
        </is>
      </c>
      <c r="G29" s="4" t="inlineStr">
        <is>
          <t>KTTABLE</t>
        </is>
      </c>
      <c r="H29" s="4" t="inlineStr">
        <is>
          <t>997</t>
        </is>
      </c>
      <c r="I29" s="4" t="inlineStr">
        <is>
          <t>Easy</t>
        </is>
      </c>
      <c r="J29" s="5">
        <f>HYPERLINK("https://www.codechef.com/problems/KTTABLE", "https://www.codechef.com/problems/KTTABLE")</f>
        <v/>
      </c>
      <c r="K29" s="4" t="inlineStr"/>
      <c r="L29" s="4" t="inlineStr">
        <is>
          <t>Basic Programming Concepts, Conditional Statements, Loops</t>
        </is>
      </c>
      <c r="M29" s="4" t="inlineStr"/>
      <c r="N29" s="4" t="inlineStr">
        <is>
          <t>No</t>
        </is>
      </c>
      <c r="O29" s="4" t="inlineStr">
        <is>
          <t>Unattempted</t>
        </is>
      </c>
    </row>
    <row r="30">
      <c r="A30" s="2" t="inlineStr">
        <is>
          <t>Beginner DSA</t>
        </is>
      </c>
      <c r="B30" s="2" t="inlineStr">
        <is>
          <t>Practice Arrays</t>
        </is>
      </c>
      <c r="C30" s="2" t="inlineStr">
        <is>
          <t>Solve Arrays coding problems to start learning data structures and algorithms.</t>
        </is>
      </c>
      <c r="D30" s="2" t="inlineStr">
        <is>
          <t>Arrays - Additional practice</t>
        </is>
      </c>
      <c r="E30" s="2" t="n">
        <v>20</v>
      </c>
      <c r="F30" s="2" t="inlineStr">
        <is>
          <t>Cops and the Thief Devu</t>
        </is>
      </c>
      <c r="G30" s="2" t="inlineStr">
        <is>
          <t>COPS</t>
        </is>
      </c>
      <c r="H30" s="2" t="inlineStr">
        <is>
          <t>1242</t>
        </is>
      </c>
      <c r="I30" s="2" t="inlineStr">
        <is>
          <t>Easy</t>
        </is>
      </c>
      <c r="J30" s="3">
        <f>HYPERLINK("https://www.codechef.com/problems/COPS", "https://www.codechef.com/problems/COPS")</f>
        <v/>
      </c>
      <c r="K30" s="2" t="inlineStr"/>
      <c r="L30" s="2" t="inlineStr"/>
      <c r="M30" s="2" t="inlineStr"/>
      <c r="N30" s="2" t="inlineStr">
        <is>
          <t>No</t>
        </is>
      </c>
      <c r="O30" s="2" t="inlineStr">
        <is>
          <t>Unattempted</t>
        </is>
      </c>
    </row>
    <row r="31">
      <c r="A31" s="4" t="inlineStr">
        <is>
          <t>Beginner DSA</t>
        </is>
      </c>
      <c r="B31" s="4" t="inlineStr">
        <is>
          <t>Practice Arrays</t>
        </is>
      </c>
      <c r="C31" s="4" t="inlineStr">
        <is>
          <t>Solve Arrays coding problems to start learning data structures and algorithms.</t>
        </is>
      </c>
      <c r="D31" s="4" t="inlineStr">
        <is>
          <t>Arrays - Additional practice</t>
        </is>
      </c>
      <c r="E31" s="4" t="n">
        <v>21</v>
      </c>
      <c r="F31" s="4" t="inlineStr">
        <is>
          <t>Find the peak elements in an array</t>
        </is>
      </c>
      <c r="G31" s="4" t="inlineStr">
        <is>
          <t>PEAKINARRAY</t>
        </is>
      </c>
      <c r="H31" s="4" t="inlineStr">
        <is>
          <t>950</t>
        </is>
      </c>
      <c r="I31" s="4" t="inlineStr">
        <is>
          <t>Easy</t>
        </is>
      </c>
      <c r="J31" s="5">
        <f>HYPERLINK("https://www.codechef.com/problems/PEAKINARRAY", "https://www.codechef.com/problems/PEAKINARRAY")</f>
        <v/>
      </c>
      <c r="K31" s="4" t="inlineStr"/>
      <c r="L31" s="4" t="inlineStr"/>
      <c r="M31" s="4" t="inlineStr"/>
      <c r="N31" s="4" t="inlineStr">
        <is>
          <t>No</t>
        </is>
      </c>
      <c r="O31" s="4" t="inlineStr">
        <is>
          <t>Unattempted</t>
        </is>
      </c>
    </row>
    <row r="32">
      <c r="A32" s="2" t="inlineStr">
        <is>
          <t>Beginner DSA</t>
        </is>
      </c>
      <c r="B32" s="2" t="inlineStr">
        <is>
          <t>Practice Arrays</t>
        </is>
      </c>
      <c r="C32" s="2" t="inlineStr">
        <is>
          <t>Solve Arrays coding problems to start learning data structures and algorithms.</t>
        </is>
      </c>
      <c r="D32" s="2" t="inlineStr">
        <is>
          <t>Arrays - Additional practice</t>
        </is>
      </c>
      <c r="E32" s="2" t="n">
        <v>22</v>
      </c>
      <c r="F32" s="2" t="inlineStr">
        <is>
          <t>Count of Maximum</t>
        </is>
      </c>
      <c r="G32" s="2" t="inlineStr">
        <is>
          <t>MAXCOUNT</t>
        </is>
      </c>
      <c r="H32" s="2" t="inlineStr">
        <is>
          <t>1180</t>
        </is>
      </c>
      <c r="I32" s="2" t="inlineStr">
        <is>
          <t>Easy</t>
        </is>
      </c>
      <c r="J32" s="3">
        <f>HYPERLINK("https://www.codechef.com/problems/MAXCOUNT", "https://www.codechef.com/problems/MAXCOUNT")</f>
        <v/>
      </c>
      <c r="K32" s="2" t="inlineStr"/>
      <c r="L32" s="2" t="inlineStr">
        <is>
          <t>easy, feb12, nikhil_adm</t>
        </is>
      </c>
      <c r="M32" s="2" t="inlineStr"/>
      <c r="N32" s="2" t="inlineStr">
        <is>
          <t>No</t>
        </is>
      </c>
      <c r="O32" s="2" t="inlineStr">
        <is>
          <t>Unattempted</t>
        </is>
      </c>
    </row>
    <row r="33">
      <c r="A33" s="4" t="inlineStr">
        <is>
          <t>Beginner DSA</t>
        </is>
      </c>
      <c r="B33" s="4" t="inlineStr">
        <is>
          <t>Practice Arrays</t>
        </is>
      </c>
      <c r="C33" s="4" t="inlineStr">
        <is>
          <t>Solve Arrays coding problems to start learning data structures and algorithms.</t>
        </is>
      </c>
      <c r="D33" s="4" t="inlineStr">
        <is>
          <t>Arrays - Additional practice</t>
        </is>
      </c>
      <c r="E33" s="4" t="n">
        <v>23</v>
      </c>
      <c r="F33" s="4" t="inlineStr">
        <is>
          <t>Candies</t>
        </is>
      </c>
      <c r="G33" s="4" t="inlineStr">
        <is>
          <t>CNDY</t>
        </is>
      </c>
      <c r="H33" s="4" t="inlineStr">
        <is>
          <t>1018</t>
        </is>
      </c>
      <c r="I33" s="4" t="inlineStr">
        <is>
          <t>Easy</t>
        </is>
      </c>
      <c r="J33" s="5">
        <f>HYPERLINK("https://www.codechef.com/problems/CNDY", "https://www.codechef.com/problems/CNDY")</f>
        <v/>
      </c>
      <c r="K33" s="4" t="inlineStr"/>
      <c r="L33" s="4" t="inlineStr">
        <is>
          <t>Basic Programming Concepts, Loops</t>
        </is>
      </c>
      <c r="M33" s="4" t="inlineStr"/>
      <c r="N33" s="4" t="inlineStr">
        <is>
          <t>No</t>
        </is>
      </c>
      <c r="O33" s="4" t="inlineStr">
        <is>
          <t>Unattempted</t>
        </is>
      </c>
    </row>
    <row r="34">
      <c r="A34" s="2" t="inlineStr">
        <is>
          <t>Beginner DSA</t>
        </is>
      </c>
      <c r="B34" s="2" t="inlineStr">
        <is>
          <t>Practice Arrays</t>
        </is>
      </c>
      <c r="C34" s="2" t="inlineStr">
        <is>
          <t>Solve Arrays coding problems to start learning data structures and algorithms.</t>
        </is>
      </c>
      <c r="D34" s="2" t="inlineStr">
        <is>
          <t>Arrays - Additional practice</t>
        </is>
      </c>
      <c r="E34" s="2" t="n">
        <v>24</v>
      </c>
      <c r="F34" s="2" t="inlineStr">
        <is>
          <t>Missing number in permutation</t>
        </is>
      </c>
      <c r="G34" s="2" t="inlineStr">
        <is>
          <t>MISSINPERM</t>
        </is>
      </c>
      <c r="H34" s="2" t="inlineStr"/>
      <c r="I34" s="2" t="inlineStr">
        <is>
          <t>Easy</t>
        </is>
      </c>
      <c r="J34" s="3">
        <f>HYPERLINK("https://www.codechef.com/problems/MISSINPERM", "https://www.codechef.com/problems/MISSINPERM")</f>
        <v/>
      </c>
      <c r="K34" s="2" t="inlineStr"/>
      <c r="L34" s="2" t="inlineStr"/>
      <c r="M34" s="2" t="inlineStr"/>
      <c r="N34" s="2" t="inlineStr">
        <is>
          <t>No</t>
        </is>
      </c>
      <c r="O34" s="2" t="inlineStr">
        <is>
          <t>Unattempted</t>
        </is>
      </c>
    </row>
    <row r="35">
      <c r="A35" s="4" t="inlineStr">
        <is>
          <t>Beginner DSA</t>
        </is>
      </c>
      <c r="B35" s="4" t="inlineStr">
        <is>
          <t>Practice Arrays</t>
        </is>
      </c>
      <c r="C35" s="4" t="inlineStr">
        <is>
          <t>Solve Arrays coding problems to start learning data structures and algorithms.</t>
        </is>
      </c>
      <c r="D35" s="4" t="inlineStr">
        <is>
          <t>Arrays - Additional practice</t>
        </is>
      </c>
      <c r="E35" s="4" t="n">
        <v>25</v>
      </c>
      <c r="F35" s="4" t="inlineStr">
        <is>
          <t>Single number in multiple numbers</t>
        </is>
      </c>
      <c r="G35" s="4" t="inlineStr">
        <is>
          <t>SINGLENUM</t>
        </is>
      </c>
      <c r="H35" s="4" t="inlineStr"/>
      <c r="I35" s="4" t="inlineStr">
        <is>
          <t>Medium</t>
        </is>
      </c>
      <c r="J35" s="5">
        <f>HYPERLINK("https://www.codechef.com/problems/SINGLENUM", "https://www.codechef.com/problems/SINGLENUM")</f>
        <v/>
      </c>
      <c r="K35" s="4" t="inlineStr"/>
      <c r="L35" s="4" t="inlineStr"/>
      <c r="M35" s="4" t="inlineStr"/>
      <c r="N35" s="4" t="inlineStr">
        <is>
          <t>No</t>
        </is>
      </c>
      <c r="O35" s="4" t="inlineStr">
        <is>
          <t>Unattempted</t>
        </is>
      </c>
    </row>
    <row r="36">
      <c r="A36" s="2" t="inlineStr">
        <is>
          <t>Beginner DSA</t>
        </is>
      </c>
      <c r="B36" s="2" t="inlineStr">
        <is>
          <t>Practice Arrays</t>
        </is>
      </c>
      <c r="C36" s="2" t="inlineStr">
        <is>
          <t>Solve Arrays coding problems to start learning data structures and algorithms.</t>
        </is>
      </c>
      <c r="D36" s="2" t="inlineStr">
        <is>
          <t>Arrays - Additional practice</t>
        </is>
      </c>
      <c r="E36" s="2" t="n">
        <v>26</v>
      </c>
      <c r="F36" s="2" t="inlineStr">
        <is>
          <t>Array - Pascals or Khayyams triangle</t>
        </is>
      </c>
      <c r="G36" s="2" t="inlineStr">
        <is>
          <t>PREP01</t>
        </is>
      </c>
      <c r="H36" s="2" t="inlineStr"/>
      <c r="I36" s="2" t="inlineStr">
        <is>
          <t>Medium</t>
        </is>
      </c>
      <c r="J36" s="3">
        <f>HYPERLINK("https://www.codechef.com/problems/PREP01", "https://www.codechef.com/problems/PREP01")</f>
        <v/>
      </c>
      <c r="K36" s="2" t="inlineStr"/>
      <c r="L36" s="2" t="inlineStr"/>
      <c r="M36" s="2" t="inlineStr"/>
      <c r="N36" s="2" t="inlineStr">
        <is>
          <t>No</t>
        </is>
      </c>
      <c r="O36" s="2" t="inlineStr">
        <is>
          <t>Unattempted</t>
        </is>
      </c>
    </row>
    <row r="37">
      <c r="A37" s="4" t="inlineStr">
        <is>
          <t>Beginner DSA</t>
        </is>
      </c>
      <c r="B37" s="4" t="inlineStr">
        <is>
          <t>Practice Arrays</t>
        </is>
      </c>
      <c r="C37" s="4" t="inlineStr">
        <is>
          <t>Solve Arrays coding problems to start learning data structures and algorithms.</t>
        </is>
      </c>
      <c r="D37" s="4" t="inlineStr">
        <is>
          <t>Arrays - Prefix sums</t>
        </is>
      </c>
      <c r="E37" s="4" t="n">
        <v>27</v>
      </c>
      <c r="F37" s="4" t="inlineStr">
        <is>
          <t>Creating Prefix Array</t>
        </is>
      </c>
      <c r="G37" s="4" t="inlineStr">
        <is>
          <t>PREFPRO1</t>
        </is>
      </c>
      <c r="H37" s="4" t="inlineStr"/>
      <c r="I37" s="4" t="inlineStr">
        <is>
          <t>Easy</t>
        </is>
      </c>
      <c r="J37" s="5">
        <f>HYPERLINK("https://www.codechef.com/problems/PREFPRO1", "https://www.codechef.com/problems/PREFPRO1")</f>
        <v/>
      </c>
      <c r="K37" s="4" t="inlineStr"/>
      <c r="L37" s="4" t="inlineStr"/>
      <c r="M37" s="4" t="inlineStr"/>
      <c r="N37" s="4" t="inlineStr">
        <is>
          <t>No</t>
        </is>
      </c>
      <c r="O37" s="4" t="inlineStr">
        <is>
          <t>Unattempted</t>
        </is>
      </c>
    </row>
    <row r="38">
      <c r="A38" s="2" t="inlineStr">
        <is>
          <t>Beginner DSA</t>
        </is>
      </c>
      <c r="B38" s="2" t="inlineStr">
        <is>
          <t>Practice Arrays</t>
        </is>
      </c>
      <c r="C38" s="2" t="inlineStr">
        <is>
          <t>Solve Arrays coding problems to start learning data structures and algorithms.</t>
        </is>
      </c>
      <c r="D38" s="2" t="inlineStr">
        <is>
          <t>Arrays - Prefix sums</t>
        </is>
      </c>
      <c r="E38" s="2" t="n">
        <v>28</v>
      </c>
      <c r="F38" s="2" t="inlineStr">
        <is>
          <t>Optimization Using Prefix Array</t>
        </is>
      </c>
      <c r="G38" s="2" t="inlineStr">
        <is>
          <t>PREFPRO2</t>
        </is>
      </c>
      <c r="H38" s="2" t="inlineStr"/>
      <c r="I38" s="2" t="inlineStr">
        <is>
          <t>Medium</t>
        </is>
      </c>
      <c r="J38" s="3">
        <f>HYPERLINK("https://www.codechef.com/problems/PREFPRO2", "https://www.codechef.com/problems/PREFPRO2")</f>
        <v/>
      </c>
      <c r="K38" s="2" t="inlineStr"/>
      <c r="L38" s="2" t="inlineStr"/>
      <c r="M38" s="2" t="inlineStr"/>
      <c r="N38" s="2" t="inlineStr">
        <is>
          <t>No</t>
        </is>
      </c>
      <c r="O38" s="2" t="inlineStr">
        <is>
          <t>Unattempted</t>
        </is>
      </c>
    </row>
    <row r="39">
      <c r="A39" s="4" t="inlineStr">
        <is>
          <t>Beginner DSA</t>
        </is>
      </c>
      <c r="B39" s="4" t="inlineStr">
        <is>
          <t>Practice Arrays</t>
        </is>
      </c>
      <c r="C39" s="4" t="inlineStr">
        <is>
          <t>Solve Arrays coding problems to start learning data structures and algorithms.</t>
        </is>
      </c>
      <c r="D39" s="4" t="inlineStr">
        <is>
          <t>Arrays - Prefix sums</t>
        </is>
      </c>
      <c r="E39" s="4" t="n">
        <v>29</v>
      </c>
      <c r="F39" s="4" t="inlineStr">
        <is>
          <t>Counting Pretty Numbers</t>
        </is>
      </c>
      <c r="G39" s="4" t="inlineStr">
        <is>
          <t>NUM239</t>
        </is>
      </c>
      <c r="H39" s="4" t="inlineStr">
        <is>
          <t>873</t>
        </is>
      </c>
      <c r="I39" s="4" t="inlineStr">
        <is>
          <t>Easy</t>
        </is>
      </c>
      <c r="J39" s="5">
        <f>HYPERLINK("https://www.codechef.com/problems/NUM239", "https://www.codechef.com/problems/NUM239")</f>
        <v/>
      </c>
      <c r="K39" s="4" t="inlineStr"/>
      <c r="L39" s="4" t="inlineStr">
        <is>
          <t>Algorithms, Brute Force, Prefix Sum, Simple Algos</t>
        </is>
      </c>
      <c r="M39" s="4" t="inlineStr"/>
      <c r="N39" s="4" t="inlineStr">
        <is>
          <t>No</t>
        </is>
      </c>
      <c r="O39" s="4" t="inlineStr">
        <is>
          <t>Unattempted</t>
        </is>
      </c>
    </row>
    <row r="40">
      <c r="A40" s="2" t="inlineStr">
        <is>
          <t>Beginner DSA</t>
        </is>
      </c>
      <c r="B40" s="2" t="inlineStr">
        <is>
          <t>Practice Arrays</t>
        </is>
      </c>
      <c r="C40" s="2" t="inlineStr">
        <is>
          <t>Solve Arrays coding problems to start learning data structures and algorithms.</t>
        </is>
      </c>
      <c r="D40" s="2" t="inlineStr">
        <is>
          <t>Arrays - Prefix sums</t>
        </is>
      </c>
      <c r="E40" s="2" t="n">
        <v>30</v>
      </c>
      <c r="F40" s="2" t="inlineStr">
        <is>
          <t>Little Chef and Sums</t>
        </is>
      </c>
      <c r="G40" s="2" t="inlineStr">
        <is>
          <t>CHEFSUM</t>
        </is>
      </c>
      <c r="H40" s="2" t="inlineStr">
        <is>
          <t>1252</t>
        </is>
      </c>
      <c r="I40" s="2" t="inlineStr">
        <is>
          <t>Easy</t>
        </is>
      </c>
      <c r="J40" s="3">
        <f>HYPERLINK("https://www.codechef.com/problems/CHEFSUM", "https://www.codechef.com/problems/CHEFSUM")</f>
        <v/>
      </c>
      <c r="K40" s="2" t="inlineStr"/>
      <c r="L40" s="2" t="inlineStr">
        <is>
          <t>Algorithms, Prefix Sum, Simple Algos, Suffix Sum</t>
        </is>
      </c>
      <c r="M40" s="2" t="inlineStr"/>
      <c r="N40" s="2" t="inlineStr">
        <is>
          <t>No</t>
        </is>
      </c>
      <c r="O40" s="2" t="inlineStr">
        <is>
          <t>Unattempted</t>
        </is>
      </c>
    </row>
    <row r="41">
      <c r="A41" s="4" t="inlineStr">
        <is>
          <t>Beginner DSA</t>
        </is>
      </c>
      <c r="B41" s="4" t="inlineStr">
        <is>
          <t>Practice Arrays</t>
        </is>
      </c>
      <c r="C41" s="4" t="inlineStr">
        <is>
          <t>Solve Arrays coding problems to start learning data structures and algorithms.</t>
        </is>
      </c>
      <c r="D41" s="4" t="inlineStr">
        <is>
          <t>Arrays - Prefix sums</t>
        </is>
      </c>
      <c r="E41" s="4" t="n">
        <v>31</v>
      </c>
      <c r="F41" s="4" t="inlineStr">
        <is>
          <t>Suffix Arrays</t>
        </is>
      </c>
      <c r="G41" s="4" t="inlineStr">
        <is>
          <t>PREFPRO5</t>
        </is>
      </c>
      <c r="H41" s="4" t="inlineStr">
        <is>
          <t>1200</t>
        </is>
      </c>
      <c r="I41" s="4" t="inlineStr">
        <is>
          <t>Easy</t>
        </is>
      </c>
      <c r="J41" s="5">
        <f>HYPERLINK("https://www.codechef.com/problems/PREFPRO5", "https://www.codechef.com/problems/PREFPRO5")</f>
        <v/>
      </c>
      <c r="K41" s="4" t="inlineStr"/>
      <c r="L41" s="4" t="inlineStr"/>
      <c r="M41" s="4" t="inlineStr"/>
      <c r="N41" s="4" t="inlineStr">
        <is>
          <t>No</t>
        </is>
      </c>
      <c r="O41" s="4" t="inlineStr">
        <is>
          <t>Unattempted</t>
        </is>
      </c>
    </row>
    <row r="42">
      <c r="A42" s="2" t="inlineStr">
        <is>
          <t>Beginner DSA</t>
        </is>
      </c>
      <c r="B42" s="2" t="inlineStr">
        <is>
          <t>Practice Basic Math</t>
        </is>
      </c>
      <c r="C42" s="2" t="inlineStr">
        <is>
          <t>Basic Math includes problems on topics like arithmetic, sequences, and counting, which are fundamental to proper understanding of algorithmic logic.</t>
        </is>
      </c>
      <c r="D42" s="2" t="inlineStr">
        <is>
          <t>Basic Math - Free problems</t>
        </is>
      </c>
      <c r="E42" s="2" t="n">
        <v>1</v>
      </c>
      <c r="F42" s="2" t="inlineStr">
        <is>
          <t>Fitness</t>
        </is>
      </c>
      <c r="G42" s="2" t="inlineStr">
        <is>
          <t>FIT</t>
        </is>
      </c>
      <c r="H42" s="2" t="inlineStr">
        <is>
          <t>258</t>
        </is>
      </c>
      <c r="I42" s="2" t="inlineStr">
        <is>
          <t>Easy</t>
        </is>
      </c>
      <c r="J42" s="3">
        <f>HYPERLINK("https://www.codechef.com/problems/FIT", "https://www.codechef.com/problems/FIT")</f>
        <v/>
      </c>
      <c r="K42" s="2" t="inlineStr"/>
      <c r="L42" s="2" t="inlineStr">
        <is>
          <t>Basic Math, Basic Programming Concepts, Mathematics</t>
        </is>
      </c>
      <c r="M42" s="2" t="inlineStr"/>
      <c r="N42" s="2" t="inlineStr">
        <is>
          <t>No</t>
        </is>
      </c>
      <c r="O42" s="2" t="inlineStr">
        <is>
          <t>Unattempted</t>
        </is>
      </c>
    </row>
    <row r="43">
      <c r="A43" s="4" t="inlineStr">
        <is>
          <t>Beginner DSA</t>
        </is>
      </c>
      <c r="B43" s="4" t="inlineStr">
        <is>
          <t>Practice Basic Math</t>
        </is>
      </c>
      <c r="C43" s="4" t="inlineStr">
        <is>
          <t>Basic Math includes problems on topics like arithmetic, sequences, and counting, which are fundamental to proper understanding of algorithmic logic.</t>
        </is>
      </c>
      <c r="D43" s="4" t="inlineStr">
        <is>
          <t>Basic Math - Free problems</t>
        </is>
      </c>
      <c r="E43" s="4" t="n">
        <v>2</v>
      </c>
      <c r="F43" s="4" t="inlineStr">
        <is>
          <t>Second Max of Three Numbers</t>
        </is>
      </c>
      <c r="G43" s="4" t="inlineStr">
        <is>
          <t>SNDMAX</t>
        </is>
      </c>
      <c r="H43" s="4" t="inlineStr">
        <is>
          <t>300</t>
        </is>
      </c>
      <c r="I43" s="4" t="inlineStr">
        <is>
          <t>Easy</t>
        </is>
      </c>
      <c r="J43" s="5">
        <f>HYPERLINK("https://www.codechef.com/problems/SNDMAX", "https://www.codechef.com/problems/SNDMAX")</f>
        <v/>
      </c>
      <c r="K43" s="4" t="inlineStr"/>
      <c r="L43" s="4" t="inlineStr"/>
      <c r="M43" s="4" t="inlineStr"/>
      <c r="N43" s="4" t="inlineStr">
        <is>
          <t>No</t>
        </is>
      </c>
      <c r="O43" s="4" t="inlineStr">
        <is>
          <t>Unattempted</t>
        </is>
      </c>
    </row>
    <row r="44">
      <c r="A44" s="2" t="inlineStr">
        <is>
          <t>Beginner DSA</t>
        </is>
      </c>
      <c r="B44" s="2" t="inlineStr">
        <is>
          <t>Practice Basic Math</t>
        </is>
      </c>
      <c r="C44" s="2" t="inlineStr">
        <is>
          <t>Basic Math includes problems on topics like arithmetic, sequences, and counting, which are fundamental to proper understanding of algorithmic logic.</t>
        </is>
      </c>
      <c r="D44" s="2" t="inlineStr">
        <is>
          <t>Basic Math - Free problems</t>
        </is>
      </c>
      <c r="E44" s="2" t="n">
        <v>3</v>
      </c>
      <c r="F44" s="2" t="inlineStr">
        <is>
          <t>Chef and Chocolates</t>
        </is>
      </c>
      <c r="G44" s="2" t="inlineStr">
        <is>
          <t>CCHOCOLATES</t>
        </is>
      </c>
      <c r="H44" s="2" t="inlineStr">
        <is>
          <t>405</t>
        </is>
      </c>
      <c r="I44" s="2" t="inlineStr">
        <is>
          <t>Easy</t>
        </is>
      </c>
      <c r="J44" s="3">
        <f>HYPERLINK("https://www.codechef.com/problems/CCHOCOLATES", "https://www.codechef.com/problems/CCHOCOLATES")</f>
        <v/>
      </c>
      <c r="K44" s="2" t="inlineStr"/>
      <c r="L44" s="2" t="inlineStr">
        <is>
          <t>Basic Math, Mathematics</t>
        </is>
      </c>
      <c r="M44" s="2" t="inlineStr"/>
      <c r="N44" s="2" t="inlineStr">
        <is>
          <t>No</t>
        </is>
      </c>
      <c r="O44" s="2" t="inlineStr">
        <is>
          <t>Unattempted</t>
        </is>
      </c>
    </row>
    <row r="45">
      <c r="A45" s="4" t="inlineStr">
        <is>
          <t>Beginner DSA</t>
        </is>
      </c>
      <c r="B45" s="4" t="inlineStr">
        <is>
          <t>Practice Basic Math</t>
        </is>
      </c>
      <c r="C45" s="4" t="inlineStr">
        <is>
          <t>Basic Math includes problems on topics like arithmetic, sequences, and counting, which are fundamental to proper understanding of algorithmic logic.</t>
        </is>
      </c>
      <c r="D45" s="4" t="inlineStr">
        <is>
          <t>Basic Math - Free problems</t>
        </is>
      </c>
      <c r="E45" s="4" t="n">
        <v>4</v>
      </c>
      <c r="F45" s="4" t="inlineStr">
        <is>
          <t>Find Remainder</t>
        </is>
      </c>
      <c r="G45" s="4" t="inlineStr">
        <is>
          <t>FLOW002</t>
        </is>
      </c>
      <c r="H45" s="4" t="inlineStr">
        <is>
          <t>421</t>
        </is>
      </c>
      <c r="I45" s="4" t="inlineStr">
        <is>
          <t>Easy</t>
        </is>
      </c>
      <c r="J45" s="5">
        <f>HYPERLINK("https://www.codechef.com/problems/FLOW002", "https://www.codechef.com/problems/FLOW002")</f>
        <v/>
      </c>
      <c r="K45" s="4" t="inlineStr"/>
      <c r="L45" s="4" t="inlineStr">
        <is>
          <t>Algorithms, Brute Force, Mathematics, Modular Arithmetic</t>
        </is>
      </c>
      <c r="M45" s="4" t="inlineStr"/>
      <c r="N45" s="4" t="inlineStr">
        <is>
          <t>No</t>
        </is>
      </c>
      <c r="O45" s="4" t="inlineStr">
        <is>
          <t>Unattempted</t>
        </is>
      </c>
    </row>
    <row r="46">
      <c r="A46" s="2" t="inlineStr">
        <is>
          <t>Beginner DSA</t>
        </is>
      </c>
      <c r="B46" s="2" t="inlineStr">
        <is>
          <t>Practice Basic Math</t>
        </is>
      </c>
      <c r="C46" s="2" t="inlineStr">
        <is>
          <t>Basic Math includes problems on topics like arithmetic, sequences, and counting, which are fundamental to proper understanding of algorithmic logic.</t>
        </is>
      </c>
      <c r="D46" s="2" t="inlineStr">
        <is>
          <t>Basic Math - Free problems</t>
        </is>
      </c>
      <c r="E46" s="2" t="n">
        <v>5</v>
      </c>
      <c r="F46" s="2" t="inlineStr">
        <is>
          <t>Candy Store</t>
        </is>
      </c>
      <c r="G46" s="2" t="inlineStr">
        <is>
          <t>CANDYSTORE</t>
        </is>
      </c>
      <c r="H46" s="2" t="inlineStr">
        <is>
          <t>429</t>
        </is>
      </c>
      <c r="I46" s="2" t="inlineStr">
        <is>
          <t>Easy</t>
        </is>
      </c>
      <c r="J46" s="3">
        <f>HYPERLINK("https://www.codechef.com/problems/CANDYSTORE", "https://www.codechef.com/problems/CANDYSTORE")</f>
        <v/>
      </c>
      <c r="K46" s="2" t="inlineStr"/>
      <c r="L46" s="2" t="inlineStr">
        <is>
          <t>Mathematics</t>
        </is>
      </c>
      <c r="M46" s="2" t="inlineStr"/>
      <c r="N46" s="2" t="inlineStr">
        <is>
          <t>No</t>
        </is>
      </c>
      <c r="O46" s="2" t="inlineStr">
        <is>
          <t>Unattempted</t>
        </is>
      </c>
    </row>
    <row r="47">
      <c r="A47" s="4" t="inlineStr">
        <is>
          <t>Beginner DSA</t>
        </is>
      </c>
      <c r="B47" s="4" t="inlineStr">
        <is>
          <t>Practice Basic Math</t>
        </is>
      </c>
      <c r="C47" s="4" t="inlineStr">
        <is>
          <t>Basic Math includes problems on topics like arithmetic, sequences, and counting, which are fundamental to proper understanding of algorithmic logic.</t>
        </is>
      </c>
      <c r="D47" s="4" t="inlineStr">
        <is>
          <t>Basic Math - Free problems</t>
        </is>
      </c>
      <c r="E47" s="4" t="n">
        <v>6</v>
      </c>
      <c r="F47" s="4" t="inlineStr">
        <is>
          <t>Scalene Triangle</t>
        </is>
      </c>
      <c r="G47" s="4" t="inlineStr">
        <is>
          <t>SCALENE</t>
        </is>
      </c>
      <c r="H47" s="4" t="inlineStr">
        <is>
          <t>430</t>
        </is>
      </c>
      <c r="I47" s="4" t="inlineStr">
        <is>
          <t>Easy</t>
        </is>
      </c>
      <c r="J47" s="5">
        <f>HYPERLINK("https://www.codechef.com/problems/SCALENE", "https://www.codechef.com/problems/SCALENE")</f>
        <v/>
      </c>
      <c r="K47" s="4" t="inlineStr"/>
      <c r="L47" s="4" t="inlineStr"/>
      <c r="M47" s="4" t="inlineStr"/>
      <c r="N47" s="4" t="inlineStr">
        <is>
          <t>No</t>
        </is>
      </c>
      <c r="O47" s="4" t="inlineStr">
        <is>
          <t>Unattempted</t>
        </is>
      </c>
    </row>
    <row r="48">
      <c r="A48" s="2" t="inlineStr">
        <is>
          <t>Beginner DSA</t>
        </is>
      </c>
      <c r="B48" s="2" t="inlineStr">
        <is>
          <t>Practice Basic Math</t>
        </is>
      </c>
      <c r="C48" s="2" t="inlineStr">
        <is>
          <t>Basic Math includes problems on topics like arithmetic, sequences, and counting, which are fundamental to proper understanding of algorithmic logic.</t>
        </is>
      </c>
      <c r="D48" s="2" t="inlineStr">
        <is>
          <t>Basic Math - Free problems</t>
        </is>
      </c>
      <c r="E48" s="2" t="n">
        <v>7</v>
      </c>
      <c r="F48" s="2" t="inlineStr">
        <is>
          <t>Sum of Digits</t>
        </is>
      </c>
      <c r="G48" s="2" t="inlineStr">
        <is>
          <t>FLOW006</t>
        </is>
      </c>
      <c r="H48" s="2" t="inlineStr">
        <is>
          <t>455</t>
        </is>
      </c>
      <c r="I48" s="2" t="inlineStr">
        <is>
          <t>Easy</t>
        </is>
      </c>
      <c r="J48" s="3">
        <f>HYPERLINK("https://www.codechef.com/problems/FLOW006", "https://www.codechef.com/problems/FLOW006")</f>
        <v/>
      </c>
      <c r="K48" s="2" t="inlineStr"/>
      <c r="L48" s="2" t="inlineStr">
        <is>
          <t>Algorithms, Basic Math, Implementation, Mathematics</t>
        </is>
      </c>
      <c r="M48" s="2" t="inlineStr"/>
      <c r="N48" s="2" t="inlineStr">
        <is>
          <t>No</t>
        </is>
      </c>
      <c r="O48" s="2" t="inlineStr">
        <is>
          <t>Unattempted</t>
        </is>
      </c>
    </row>
    <row r="49">
      <c r="A49" s="4" t="inlineStr">
        <is>
          <t>Beginner DSA</t>
        </is>
      </c>
      <c r="B49" s="4" t="inlineStr">
        <is>
          <t>Practice Basic Math</t>
        </is>
      </c>
      <c r="C49" s="4" t="inlineStr">
        <is>
          <t>Basic Math includes problems on topics like arithmetic, sequences, and counting, which are fundamental to proper understanding of algorithmic logic.</t>
        </is>
      </c>
      <c r="D49" s="4" t="inlineStr">
        <is>
          <t>Basic Math - Free problems</t>
        </is>
      </c>
      <c r="E49" s="4" t="n">
        <v>8</v>
      </c>
      <c r="F49" s="4" t="inlineStr">
        <is>
          <t>Favourite Numbers</t>
        </is>
      </c>
      <c r="G49" s="4" t="inlineStr">
        <is>
          <t>FAVOURITENUM</t>
        </is>
      </c>
      <c r="H49" s="4" t="inlineStr">
        <is>
          <t>477</t>
        </is>
      </c>
      <c r="I49" s="4" t="inlineStr">
        <is>
          <t>Easy</t>
        </is>
      </c>
      <c r="J49" s="5">
        <f>HYPERLINK("https://www.codechef.com/problems/FAVOURITENUM", "https://www.codechef.com/problems/FAVOURITENUM")</f>
        <v/>
      </c>
      <c r="K49" s="4" t="inlineStr"/>
      <c r="L49" s="4" t="inlineStr">
        <is>
          <t>Basic Math, Basic Programming Concepts, Conditional Statements, Mathematics</t>
        </is>
      </c>
      <c r="M49" s="4" t="inlineStr"/>
      <c r="N49" s="4" t="inlineStr">
        <is>
          <t>No</t>
        </is>
      </c>
      <c r="O49" s="4" t="inlineStr">
        <is>
          <t>Unattempted</t>
        </is>
      </c>
    </row>
    <row r="50">
      <c r="A50" s="2" t="inlineStr">
        <is>
          <t>Beginner DSA</t>
        </is>
      </c>
      <c r="B50" s="2" t="inlineStr">
        <is>
          <t>Practice Basic Math</t>
        </is>
      </c>
      <c r="C50" s="2" t="inlineStr">
        <is>
          <t>Basic Math includes problems on topics like arithmetic, sequences, and counting, which are fundamental to proper understanding of algorithmic logic.</t>
        </is>
      </c>
      <c r="D50" s="2" t="inlineStr">
        <is>
          <t>Basic Math - Premium Problems</t>
        </is>
      </c>
      <c r="E50" s="2" t="n">
        <v>9</v>
      </c>
      <c r="F50" s="2" t="inlineStr">
        <is>
          <t>Test Averages</t>
        </is>
      </c>
      <c r="G50" s="2" t="inlineStr">
        <is>
          <t>TESTAVG</t>
        </is>
      </c>
      <c r="H50" s="2" t="inlineStr">
        <is>
          <t>558</t>
        </is>
      </c>
      <c r="I50" s="2" t="inlineStr">
        <is>
          <t>Easy</t>
        </is>
      </c>
      <c r="J50" s="3">
        <f>HYPERLINK("https://www.codechef.com/problems/TESTAVG", "https://www.codechef.com/problems/TESTAVG")</f>
        <v/>
      </c>
      <c r="K50" s="2" t="inlineStr"/>
      <c r="L50" s="2" t="inlineStr"/>
      <c r="M50" s="2" t="inlineStr"/>
      <c r="N50" s="2" t="inlineStr">
        <is>
          <t>No</t>
        </is>
      </c>
      <c r="O50" s="2" t="inlineStr">
        <is>
          <t>Unattempted</t>
        </is>
      </c>
    </row>
    <row r="51">
      <c r="A51" s="4" t="inlineStr">
        <is>
          <t>Beginner DSA</t>
        </is>
      </c>
      <c r="B51" s="4" t="inlineStr">
        <is>
          <t>Practice Basic Math</t>
        </is>
      </c>
      <c r="C51" s="4" t="inlineStr">
        <is>
          <t>Basic Math includes problems on topics like arithmetic, sequences, and counting, which are fundamental to proper understanding of algorithmic logic.</t>
        </is>
      </c>
      <c r="D51" s="4" t="inlineStr">
        <is>
          <t>Basic Math - Premium Problems</t>
        </is>
      </c>
      <c r="E51" s="4" t="n">
        <v>10</v>
      </c>
      <c r="F51" s="4" t="inlineStr">
        <is>
          <t>7 Rings</t>
        </is>
      </c>
      <c r="G51" s="4" t="inlineStr">
        <is>
          <t>SEVENRINGS</t>
        </is>
      </c>
      <c r="H51" s="4" t="inlineStr">
        <is>
          <t>568</t>
        </is>
      </c>
      <c r="I51" s="4" t="inlineStr">
        <is>
          <t>Easy</t>
        </is>
      </c>
      <c r="J51" s="5">
        <f>HYPERLINK("https://www.codechef.com/problems/SEVENRINGS", "https://www.codechef.com/problems/SEVENRINGS")</f>
        <v/>
      </c>
      <c r="K51" s="4" t="inlineStr"/>
      <c r="L51" s="4" t="inlineStr"/>
      <c r="M51" s="4" t="inlineStr"/>
      <c r="N51" s="4" t="inlineStr">
        <is>
          <t>No</t>
        </is>
      </c>
      <c r="O51" s="4" t="inlineStr">
        <is>
          <t>Unattempted</t>
        </is>
      </c>
    </row>
    <row r="52">
      <c r="A52" s="2" t="inlineStr">
        <is>
          <t>Beginner DSA</t>
        </is>
      </c>
      <c r="B52" s="2" t="inlineStr">
        <is>
          <t>Practice Basic Math</t>
        </is>
      </c>
      <c r="C52" s="2" t="inlineStr">
        <is>
          <t>Basic Math includes problems on topics like arithmetic, sequences, and counting, which are fundamental to proper understanding of algorithmic logic.</t>
        </is>
      </c>
      <c r="D52" s="2" t="inlineStr">
        <is>
          <t>Basic Math - Premium Problems</t>
        </is>
      </c>
      <c r="E52" s="2" t="n">
        <v>11</v>
      </c>
      <c r="F52" s="2" t="inlineStr">
        <is>
          <t>Make AP</t>
        </is>
      </c>
      <c r="G52" s="2" t="inlineStr">
        <is>
          <t>MAKEAP</t>
        </is>
      </c>
      <c r="H52" s="2" t="inlineStr">
        <is>
          <t>577</t>
        </is>
      </c>
      <c r="I52" s="2" t="inlineStr">
        <is>
          <t>Easy</t>
        </is>
      </c>
      <c r="J52" s="3">
        <f>HYPERLINK("https://www.codechef.com/problems/MAKEAP", "https://www.codechef.com/problems/MAKEAP")</f>
        <v/>
      </c>
      <c r="K52" s="2" t="inlineStr"/>
      <c r="L52" s="2" t="inlineStr"/>
      <c r="M52" s="2" t="inlineStr"/>
      <c r="N52" s="2" t="inlineStr">
        <is>
          <t>No</t>
        </is>
      </c>
      <c r="O52" s="2" t="inlineStr">
        <is>
          <t>Unattempted</t>
        </is>
      </c>
    </row>
    <row r="53">
      <c r="A53" s="4" t="inlineStr">
        <is>
          <t>Beginner DSA</t>
        </is>
      </c>
      <c r="B53" s="4" t="inlineStr">
        <is>
          <t>Practice Basic Math</t>
        </is>
      </c>
      <c r="C53" s="4" t="inlineStr">
        <is>
          <t>Basic Math includes problems on topics like arithmetic, sequences, and counting, which are fundamental to proper understanding of algorithmic logic.</t>
        </is>
      </c>
      <c r="D53" s="4" t="inlineStr">
        <is>
          <t>Basic Math - Premium Problems</t>
        </is>
      </c>
      <c r="E53" s="4" t="n">
        <v>12</v>
      </c>
      <c r="F53" s="4" t="inlineStr">
        <is>
          <t>Integers that sum to the same value</t>
        </is>
      </c>
      <c r="G53" s="4" t="inlineStr">
        <is>
          <t>SUMNEQ</t>
        </is>
      </c>
      <c r="H53" s="4" t="inlineStr">
        <is>
          <t>592</t>
        </is>
      </c>
      <c r="I53" s="4" t="inlineStr">
        <is>
          <t>Easy</t>
        </is>
      </c>
      <c r="J53" s="5">
        <f>HYPERLINK("https://www.codechef.com/problems/SUMNEQ", "https://www.codechef.com/problems/SUMNEQ")</f>
        <v/>
      </c>
      <c r="K53" s="4" t="inlineStr"/>
      <c r="L53" s="4" t="inlineStr"/>
      <c r="M53" s="4" t="inlineStr"/>
      <c r="N53" s="4" t="inlineStr">
        <is>
          <t>No</t>
        </is>
      </c>
      <c r="O53" s="4" t="inlineStr">
        <is>
          <t>Unattempted</t>
        </is>
      </c>
    </row>
    <row r="54">
      <c r="A54" s="2" t="inlineStr">
        <is>
          <t>Beginner DSA</t>
        </is>
      </c>
      <c r="B54" s="2" t="inlineStr">
        <is>
          <t>Practice Basic Math</t>
        </is>
      </c>
      <c r="C54" s="2" t="inlineStr">
        <is>
          <t>Basic Math includes problems on topics like arithmetic, sequences, and counting, which are fundamental to proper understanding of algorithmic logic.</t>
        </is>
      </c>
      <c r="D54" s="2" t="inlineStr">
        <is>
          <t>Basic Math - Premium Problems</t>
        </is>
      </c>
      <c r="E54" s="2" t="n">
        <v>13</v>
      </c>
      <c r="F54" s="2" t="inlineStr">
        <is>
          <t>Minimum Number of Ones</t>
        </is>
      </c>
      <c r="G54" s="2" t="inlineStr">
        <is>
          <t>MINNOO</t>
        </is>
      </c>
      <c r="H54" s="2" t="inlineStr">
        <is>
          <t>604</t>
        </is>
      </c>
      <c r="I54" s="2" t="inlineStr">
        <is>
          <t>Easy</t>
        </is>
      </c>
      <c r="J54" s="3">
        <f>HYPERLINK("https://www.codechef.com/problems/MINNOO", "https://www.codechef.com/problems/MINNOO")</f>
        <v/>
      </c>
      <c r="K54" s="2" t="inlineStr"/>
      <c r="L54" s="2" t="inlineStr"/>
      <c r="M54" s="2" t="inlineStr"/>
      <c r="N54" s="2" t="inlineStr">
        <is>
          <t>No</t>
        </is>
      </c>
      <c r="O54" s="2" t="inlineStr">
        <is>
          <t>Unattempted</t>
        </is>
      </c>
    </row>
    <row r="55">
      <c r="A55" s="4" t="inlineStr">
        <is>
          <t>Beginner DSA</t>
        </is>
      </c>
      <c r="B55" s="4" t="inlineStr">
        <is>
          <t>Practice Basic Math</t>
        </is>
      </c>
      <c r="C55" s="4" t="inlineStr">
        <is>
          <t>Basic Math includes problems on topics like arithmetic, sequences, and counting, which are fundamental to proper understanding of algorithmic logic.</t>
        </is>
      </c>
      <c r="D55" s="4" t="inlineStr">
        <is>
          <t>Basic Math - Premium Problems</t>
        </is>
      </c>
      <c r="E55" s="4" t="n">
        <v>14</v>
      </c>
      <c r="F55" s="4" t="inlineStr">
        <is>
          <t>Negative Product</t>
        </is>
      </c>
      <c r="G55" s="4" t="inlineStr">
        <is>
          <t>NEGPROD</t>
        </is>
      </c>
      <c r="H55" s="4" t="inlineStr">
        <is>
          <t>630</t>
        </is>
      </c>
      <c r="I55" s="4" t="inlineStr">
        <is>
          <t>Easy</t>
        </is>
      </c>
      <c r="J55" s="5">
        <f>HYPERLINK("https://www.codechef.com/problems/NEGPROD", "https://www.codechef.com/problems/NEGPROD")</f>
        <v/>
      </c>
      <c r="K55" s="4" t="inlineStr"/>
      <c r="L55" s="4" t="inlineStr"/>
      <c r="M55" s="4" t="inlineStr"/>
      <c r="N55" s="4" t="inlineStr">
        <is>
          <t>No</t>
        </is>
      </c>
      <c r="O55" s="4" t="inlineStr">
        <is>
          <t>Unattempted</t>
        </is>
      </c>
    </row>
    <row r="56">
      <c r="A56" s="2" t="inlineStr">
        <is>
          <t>Beginner DSA</t>
        </is>
      </c>
      <c r="B56" s="2" t="inlineStr">
        <is>
          <t>Practice Basic Math</t>
        </is>
      </c>
      <c r="C56" s="2" t="inlineStr">
        <is>
          <t>Basic Math includes problems on topics like arithmetic, sequences, and counting, which are fundamental to proper understanding of algorithmic logic.</t>
        </is>
      </c>
      <c r="D56" s="2" t="inlineStr">
        <is>
          <t>Basic Math - Premium Problems</t>
        </is>
      </c>
      <c r="E56" s="2" t="n">
        <v>15</v>
      </c>
      <c r="F56" s="2" t="inlineStr">
        <is>
          <t>GCD and LCM</t>
        </is>
      </c>
      <c r="G56" s="2" t="inlineStr">
        <is>
          <t>FLOW016</t>
        </is>
      </c>
      <c r="H56" s="2" t="inlineStr">
        <is>
          <t>635</t>
        </is>
      </c>
      <c r="I56" s="2" t="inlineStr">
        <is>
          <t>Easy</t>
        </is>
      </c>
      <c r="J56" s="3">
        <f>HYPERLINK("https://www.codechef.com/problems/FLOW016", "https://www.codechef.com/problems/FLOW016")</f>
        <v/>
      </c>
      <c r="K56" s="2" t="inlineStr"/>
      <c r="L56" s="2" t="inlineStr"/>
      <c r="M56" s="2" t="inlineStr"/>
      <c r="N56" s="2" t="inlineStr">
        <is>
          <t>No</t>
        </is>
      </c>
      <c r="O56" s="2" t="inlineStr">
        <is>
          <t>Unattempted</t>
        </is>
      </c>
    </row>
    <row r="57">
      <c r="A57" s="4" t="inlineStr">
        <is>
          <t>Beginner DSA</t>
        </is>
      </c>
      <c r="B57" s="4" t="inlineStr">
        <is>
          <t>Practice Basic Math</t>
        </is>
      </c>
      <c r="C57" s="4" t="inlineStr">
        <is>
          <t>Basic Math includes problems on topics like arithmetic, sequences, and counting, which are fundamental to proper understanding of algorithmic logic.</t>
        </is>
      </c>
      <c r="D57" s="4" t="inlineStr">
        <is>
          <t>Basic Math - Premium Problems</t>
        </is>
      </c>
      <c r="E57" s="4" t="n">
        <v>16</v>
      </c>
      <c r="F57" s="4" t="inlineStr">
        <is>
          <t>Make A and B equal</t>
        </is>
      </c>
      <c r="G57" s="4" t="inlineStr">
        <is>
          <t>EQUALISE</t>
        </is>
      </c>
      <c r="H57" s="4" t="inlineStr">
        <is>
          <t>851</t>
        </is>
      </c>
      <c r="I57" s="4" t="inlineStr">
        <is>
          <t>Easy</t>
        </is>
      </c>
      <c r="J57" s="5">
        <f>HYPERLINK("https://www.codechef.com/problems/EQUALISE", "https://www.codechef.com/problems/EQUALISE")</f>
        <v/>
      </c>
      <c r="K57" s="4" t="inlineStr"/>
      <c r="L57" s="4" t="inlineStr">
        <is>
          <t>Binary, Mathematics, Number System</t>
        </is>
      </c>
      <c r="M57" s="4" t="inlineStr"/>
      <c r="N57" s="4" t="inlineStr">
        <is>
          <t>No</t>
        </is>
      </c>
      <c r="O57" s="4" t="inlineStr">
        <is>
          <t>Unattempted</t>
        </is>
      </c>
    </row>
    <row r="58">
      <c r="A58" s="2" t="inlineStr">
        <is>
          <t>Beginner DSA</t>
        </is>
      </c>
      <c r="B58" s="2" t="inlineStr">
        <is>
          <t>Practice Basic Math</t>
        </is>
      </c>
      <c r="C58" s="2" t="inlineStr">
        <is>
          <t>Basic Math includes problems on topics like arithmetic, sequences, and counting, which are fundamental to proper understanding of algorithmic logic.</t>
        </is>
      </c>
      <c r="D58" s="2" t="inlineStr">
        <is>
          <t>Basic Math - Premium Problems</t>
        </is>
      </c>
      <c r="E58" s="2" t="n">
        <v>17</v>
      </c>
      <c r="F58" s="2" t="inlineStr">
        <is>
          <t>Construct N</t>
        </is>
      </c>
      <c r="G58" s="2" t="inlineStr">
        <is>
          <t>CONN</t>
        </is>
      </c>
      <c r="H58" s="2" t="inlineStr">
        <is>
          <t>860</t>
        </is>
      </c>
      <c r="I58" s="2" t="inlineStr">
        <is>
          <t>Easy</t>
        </is>
      </c>
      <c r="J58" s="3">
        <f>HYPERLINK("https://www.codechef.com/problems/CONN", "https://www.codechef.com/problems/CONN")</f>
        <v/>
      </c>
      <c r="K58" s="2" t="inlineStr"/>
      <c r="L58" s="2" t="inlineStr">
        <is>
          <t>Basic Math, Mathematics</t>
        </is>
      </c>
      <c r="M58" s="2" t="inlineStr"/>
      <c r="N58" s="2" t="inlineStr">
        <is>
          <t>No</t>
        </is>
      </c>
      <c r="O58" s="2" t="inlineStr">
        <is>
          <t>Unattempted</t>
        </is>
      </c>
    </row>
    <row r="59">
      <c r="A59" s="4" t="inlineStr">
        <is>
          <t>Beginner DSA</t>
        </is>
      </c>
      <c r="B59" s="4" t="inlineStr">
        <is>
          <t>Practice Basic Math</t>
        </is>
      </c>
      <c r="C59" s="4" t="inlineStr">
        <is>
          <t>Basic Math includes problems on topics like arithmetic, sequences, and counting, which are fundamental to proper understanding of algorithmic logic.</t>
        </is>
      </c>
      <c r="D59" s="4" t="inlineStr">
        <is>
          <t>Basic Math - Premium Problems</t>
        </is>
      </c>
      <c r="E59" s="4" t="n">
        <v>18</v>
      </c>
      <c r="F59" s="4" t="inlineStr">
        <is>
          <t>Alternate Additions</t>
        </is>
      </c>
      <c r="G59" s="4" t="inlineStr">
        <is>
          <t>ALTERADD</t>
        </is>
      </c>
      <c r="H59" s="4" t="inlineStr">
        <is>
          <t>863</t>
        </is>
      </c>
      <c r="I59" s="4" t="inlineStr">
        <is>
          <t>Easy</t>
        </is>
      </c>
      <c r="J59" s="5">
        <f>HYPERLINK("https://www.codechef.com/problems/ALTERADD", "https://www.codechef.com/problems/ALTERADD")</f>
        <v/>
      </c>
      <c r="K59" s="4" t="inlineStr"/>
      <c r="L59" s="4" t="inlineStr">
        <is>
          <t>Basic Math, Mathematics</t>
        </is>
      </c>
      <c r="M59" s="4" t="inlineStr"/>
      <c r="N59" s="4" t="inlineStr">
        <is>
          <t>No</t>
        </is>
      </c>
      <c r="O59" s="4" t="inlineStr">
        <is>
          <t>Unattempted</t>
        </is>
      </c>
    </row>
    <row r="60">
      <c r="A60" s="2" t="inlineStr">
        <is>
          <t>Beginner DSA</t>
        </is>
      </c>
      <c r="B60" s="2" t="inlineStr">
        <is>
          <t>Practice Basic Math</t>
        </is>
      </c>
      <c r="C60" s="2" t="inlineStr">
        <is>
          <t>Basic Math includes problems on topics like arithmetic, sequences, and counting, which are fundamental to proper understanding of algorithmic logic.</t>
        </is>
      </c>
      <c r="D60" s="2" t="inlineStr">
        <is>
          <t>Basic Math - Premium Problems</t>
        </is>
      </c>
      <c r="E60" s="2" t="n">
        <v>19</v>
      </c>
      <c r="F60" s="2" t="inlineStr">
        <is>
          <t>Farmer And His Plot</t>
        </is>
      </c>
      <c r="G60" s="2" t="inlineStr">
        <is>
          <t>RECTSQ</t>
        </is>
      </c>
      <c r="H60" s="2" t="inlineStr">
        <is>
          <t>936</t>
        </is>
      </c>
      <c r="I60" s="2" t="inlineStr">
        <is>
          <t>Easy</t>
        </is>
      </c>
      <c r="J60" s="3">
        <f>HYPERLINK("https://www.codechef.com/problems/RECTSQ", "https://www.codechef.com/problems/RECTSQ")</f>
        <v/>
      </c>
      <c r="K60" s="2" t="inlineStr"/>
      <c r="L60" s="2" t="inlineStr"/>
      <c r="M60" s="2" t="inlineStr"/>
      <c r="N60" s="2" t="inlineStr">
        <is>
          <t>No</t>
        </is>
      </c>
      <c r="O60" s="2" t="inlineStr">
        <is>
          <t>Unattempted</t>
        </is>
      </c>
    </row>
    <row r="61">
      <c r="A61" s="4" t="inlineStr">
        <is>
          <t>Beginner DSA</t>
        </is>
      </c>
      <c r="B61" s="4" t="inlineStr">
        <is>
          <t>Practice Basic Math</t>
        </is>
      </c>
      <c r="C61" s="4" t="inlineStr">
        <is>
          <t>Basic Math includes problems on topics like arithmetic, sequences, and counting, which are fundamental to proper understanding of algorithmic logic.</t>
        </is>
      </c>
      <c r="D61" s="4" t="inlineStr">
        <is>
          <t>Basic Math - Premium Problems</t>
        </is>
      </c>
      <c r="E61" s="4" t="n">
        <v>20</v>
      </c>
      <c r="F61" s="4" t="inlineStr">
        <is>
          <t>Two vs Ten</t>
        </is>
      </c>
      <c r="G61" s="4" t="inlineStr">
        <is>
          <t>TWOVSTEN</t>
        </is>
      </c>
      <c r="H61" s="4" t="inlineStr">
        <is>
          <t>936</t>
        </is>
      </c>
      <c r="I61" s="4" t="inlineStr">
        <is>
          <t>Easy</t>
        </is>
      </c>
      <c r="J61" s="5">
        <f>HYPERLINK("https://www.codechef.com/problems/TWOVSTEN", "https://www.codechef.com/problems/TWOVSTEN")</f>
        <v/>
      </c>
      <c r="K61" s="4" t="inlineStr"/>
      <c r="L61" s="4" t="inlineStr"/>
      <c r="M61" s="4" t="inlineStr"/>
      <c r="N61" s="4" t="inlineStr">
        <is>
          <t>No</t>
        </is>
      </c>
      <c r="O61" s="4" t="inlineStr">
        <is>
          <t>Unattempted</t>
        </is>
      </c>
    </row>
    <row r="62">
      <c r="A62" s="2" t="inlineStr">
        <is>
          <t>Beginner DSA</t>
        </is>
      </c>
      <c r="B62" s="2" t="inlineStr">
        <is>
          <t>Practice Basic Math</t>
        </is>
      </c>
      <c r="C62" s="2" t="inlineStr">
        <is>
          <t>Basic Math includes problems on topics like arithmetic, sequences, and counting, which are fundamental to proper understanding of algorithmic logic.</t>
        </is>
      </c>
      <c r="D62" s="2" t="inlineStr">
        <is>
          <t>Basic Math - Premium Problems</t>
        </is>
      </c>
      <c r="E62" s="2" t="n">
        <v>21</v>
      </c>
      <c r="F62" s="2" t="inlineStr">
        <is>
          <t>Puppy and Sum</t>
        </is>
      </c>
      <c r="G62" s="2" t="inlineStr">
        <is>
          <t>PPSUM</t>
        </is>
      </c>
      <c r="H62" s="2" t="inlineStr">
        <is>
          <t>961</t>
        </is>
      </c>
      <c r="I62" s="2" t="inlineStr">
        <is>
          <t>Easy</t>
        </is>
      </c>
      <c r="J62" s="3">
        <f>HYPERLINK("https://www.codechef.com/problems/PPSUM", "https://www.codechef.com/problems/PPSUM")</f>
        <v/>
      </c>
      <c r="K62" s="2" t="inlineStr"/>
      <c r="L62" s="2" t="inlineStr">
        <is>
          <t>Algorithms, Basic Math, Basic Programming Concepts, Implementation, Loops, Mathematics</t>
        </is>
      </c>
      <c r="M62" s="2" t="inlineStr"/>
      <c r="N62" s="2" t="inlineStr">
        <is>
          <t>No</t>
        </is>
      </c>
      <c r="O62" s="2" t="inlineStr">
        <is>
          <t>Unattempted</t>
        </is>
      </c>
    </row>
    <row r="63">
      <c r="A63" s="4" t="inlineStr">
        <is>
          <t>Beginner DSA</t>
        </is>
      </c>
      <c r="B63" s="4" t="inlineStr">
        <is>
          <t>Practice Basic Math</t>
        </is>
      </c>
      <c r="C63" s="4" t="inlineStr">
        <is>
          <t>Basic Math includes problems on topics like arithmetic, sequences, and counting, which are fundamental to proper understanding of algorithmic logic.</t>
        </is>
      </c>
      <c r="D63" s="4" t="inlineStr">
        <is>
          <t>Basic Math - Premium Problems</t>
        </is>
      </c>
      <c r="E63" s="4" t="n">
        <v>22</v>
      </c>
      <c r="F63" s="4" t="inlineStr">
        <is>
          <t>Divisible by 3</t>
        </is>
      </c>
      <c r="G63" s="4" t="inlineStr">
        <is>
          <t>MODULO3</t>
        </is>
      </c>
      <c r="H63" s="4" t="inlineStr">
        <is>
          <t>978</t>
        </is>
      </c>
      <c r="I63" s="4" t="inlineStr">
        <is>
          <t>Easy</t>
        </is>
      </c>
      <c r="J63" s="5">
        <f>HYPERLINK("https://www.codechef.com/problems/MODULO3", "https://www.codechef.com/problems/MODULO3")</f>
        <v/>
      </c>
      <c r="K63" s="4" t="inlineStr"/>
      <c r="L63" s="4" t="inlineStr"/>
      <c r="M63" s="4" t="inlineStr"/>
      <c r="N63" s="4" t="inlineStr">
        <is>
          <t>No</t>
        </is>
      </c>
      <c r="O63" s="4" t="inlineStr">
        <is>
          <t>Unattempted</t>
        </is>
      </c>
    </row>
    <row r="64">
      <c r="A64" s="2" t="inlineStr">
        <is>
          <t>Beginner DSA</t>
        </is>
      </c>
      <c r="B64" s="2" t="inlineStr">
        <is>
          <t>Practice Basic Math</t>
        </is>
      </c>
      <c r="C64" s="2" t="inlineStr">
        <is>
          <t>Basic Math includes problems on topics like arithmetic, sequences, and counting, which are fundamental to proper understanding of algorithmic logic.</t>
        </is>
      </c>
      <c r="D64" s="2" t="inlineStr">
        <is>
          <t>Basic Math - Premium Problems</t>
        </is>
      </c>
      <c r="E64" s="2" t="n">
        <v>23</v>
      </c>
      <c r="F64" s="2" t="inlineStr">
        <is>
          <t>Balls and Boxes</t>
        </is>
      </c>
      <c r="G64" s="2" t="inlineStr">
        <is>
          <t>BALLBOX</t>
        </is>
      </c>
      <c r="H64" s="2" t="inlineStr">
        <is>
          <t>994</t>
        </is>
      </c>
      <c r="I64" s="2" t="inlineStr">
        <is>
          <t>Easy</t>
        </is>
      </c>
      <c r="J64" s="3">
        <f>HYPERLINK("https://www.codechef.com/problems/BALLBOX", "https://www.codechef.com/problems/BALLBOX")</f>
        <v/>
      </c>
      <c r="K64" s="2" t="inlineStr"/>
      <c r="L64" s="2" t="inlineStr">
        <is>
          <t>Basic Math, Mathematics</t>
        </is>
      </c>
      <c r="M64" s="2" t="inlineStr"/>
      <c r="N64" s="2" t="inlineStr">
        <is>
          <t>No</t>
        </is>
      </c>
      <c r="O64" s="2" t="inlineStr">
        <is>
          <t>Unattempted</t>
        </is>
      </c>
    </row>
    <row r="65">
      <c r="A65" s="4" t="inlineStr">
        <is>
          <t>Beginner DSA</t>
        </is>
      </c>
      <c r="B65" s="4" t="inlineStr">
        <is>
          <t>Practice Sorting</t>
        </is>
      </c>
      <c r="C65" s="4" t="inlineStr">
        <is>
          <t>Practice problems which require you to use sorting algorithms to solve the task at hand. These questions help you understand the different patters of sorting problems and how to identify them.</t>
        </is>
      </c>
      <c r="D65" s="4" t="inlineStr">
        <is>
          <t>Sorting - Free sorting problems</t>
        </is>
      </c>
      <c r="E65" s="4" t="n">
        <v>1</v>
      </c>
      <c r="F65" s="4" t="inlineStr">
        <is>
          <t>Simple Sorting</t>
        </is>
      </c>
      <c r="G65" s="4" t="inlineStr">
        <is>
          <t>TSORT</t>
        </is>
      </c>
      <c r="H65" s="4" t="inlineStr">
        <is>
          <t>667</t>
        </is>
      </c>
      <c r="I65" s="4" t="inlineStr">
        <is>
          <t>Easy</t>
        </is>
      </c>
      <c r="J65" s="5">
        <f>HYPERLINK("https://www.codechef.com/problems/TSORT", "https://www.codechef.com/problems/TSORT")</f>
        <v/>
      </c>
      <c r="K65" s="4" t="inlineStr"/>
      <c r="L65" s="4" t="inlineStr"/>
      <c r="M65" s="4" t="inlineStr"/>
      <c r="N65" s="4" t="inlineStr">
        <is>
          <t>No</t>
        </is>
      </c>
      <c r="O65" s="4" t="inlineStr">
        <is>
          <t>Unattempted</t>
        </is>
      </c>
    </row>
    <row r="66">
      <c r="A66" s="2" t="inlineStr">
        <is>
          <t>Beginner DSA</t>
        </is>
      </c>
      <c r="B66" s="2" t="inlineStr">
        <is>
          <t>Practice Sorting</t>
        </is>
      </c>
      <c r="C66" s="2" t="inlineStr">
        <is>
          <t>Practice problems which require you to use sorting algorithms to solve the task at hand. These questions help you understand the different patters of sorting problems and how to identify them.</t>
        </is>
      </c>
      <c r="D66" s="2" t="inlineStr">
        <is>
          <t>Sorting - Free sorting problems</t>
        </is>
      </c>
      <c r="E66" s="2" t="n">
        <v>2</v>
      </c>
      <c r="F66" s="2" t="inlineStr">
        <is>
          <t>Simple Statistics</t>
        </is>
      </c>
      <c r="G66" s="2" t="inlineStr">
        <is>
          <t>SIMPSTAT</t>
        </is>
      </c>
      <c r="H66" s="2" t="inlineStr">
        <is>
          <t>1222</t>
        </is>
      </c>
      <c r="I66" s="2" t="inlineStr">
        <is>
          <t>Easy</t>
        </is>
      </c>
      <c r="J66" s="3">
        <f>HYPERLINK("https://www.codechef.com/problems/SIMPSTAT", "https://www.codechef.com/problems/SIMPSTAT")</f>
        <v/>
      </c>
      <c r="K66" s="2" t="inlineStr"/>
      <c r="L66" s="2" t="inlineStr"/>
      <c r="M66" s="2" t="inlineStr"/>
      <c r="N66" s="2" t="inlineStr">
        <is>
          <t>No</t>
        </is>
      </c>
      <c r="O66" s="2" t="inlineStr">
        <is>
          <t>Unattempted</t>
        </is>
      </c>
    </row>
    <row r="67">
      <c r="A67" s="4" t="inlineStr">
        <is>
          <t>Beginner DSA</t>
        </is>
      </c>
      <c r="B67" s="4" t="inlineStr">
        <is>
          <t>Practice Sorting</t>
        </is>
      </c>
      <c r="C67" s="4" t="inlineStr">
        <is>
          <t>Practice problems which require you to use sorting algorithms to solve the task at hand. These questions help you understand the different patters of sorting problems and how to identify them.</t>
        </is>
      </c>
      <c r="D67" s="4" t="inlineStr">
        <is>
          <t>Sorting - Free sorting problems</t>
        </is>
      </c>
      <c r="E67" s="4" t="n">
        <v>3</v>
      </c>
      <c r="F67" s="4" t="inlineStr">
        <is>
          <t>Racing Horses</t>
        </is>
      </c>
      <c r="G67" s="4" t="inlineStr">
        <is>
          <t>HORSES</t>
        </is>
      </c>
      <c r="H67" s="4" t="inlineStr">
        <is>
          <t>1231</t>
        </is>
      </c>
      <c r="I67" s="4" t="inlineStr">
        <is>
          <t>Easy</t>
        </is>
      </c>
      <c r="J67" s="5">
        <f>HYPERLINK("https://www.codechef.com/problems/HORSES", "https://www.codechef.com/problems/HORSES")</f>
        <v/>
      </c>
      <c r="K67" s="4" t="inlineStr"/>
      <c r="L67" s="4" t="inlineStr">
        <is>
          <t>Algorithms, Brute Force, Sorting</t>
        </is>
      </c>
      <c r="M67" s="4" t="inlineStr"/>
      <c r="N67" s="4" t="inlineStr">
        <is>
          <t>No</t>
        </is>
      </c>
      <c r="O67" s="4" t="inlineStr">
        <is>
          <t>Unattempted</t>
        </is>
      </c>
    </row>
    <row r="68">
      <c r="A68" s="2" t="inlineStr">
        <is>
          <t>Beginner DSA</t>
        </is>
      </c>
      <c r="B68" s="2" t="inlineStr">
        <is>
          <t>Practice Sorting</t>
        </is>
      </c>
      <c r="C68" s="2" t="inlineStr">
        <is>
          <t>Practice problems which require you to use sorting algorithms to solve the task at hand. These questions help you understand the different patters of sorting problems and how to identify them.</t>
        </is>
      </c>
      <c r="D68" s="2" t="inlineStr">
        <is>
          <t>Sorting - Free sorting problems</t>
        </is>
      </c>
      <c r="E68" s="2" t="n">
        <v>4</v>
      </c>
      <c r="F68" s="2" t="inlineStr">
        <is>
          <t>Reduce to Single Element Array</t>
        </is>
      </c>
      <c r="G68" s="2" t="inlineStr">
        <is>
          <t>DSCPPAS266</t>
        </is>
      </c>
      <c r="H68" s="2" t="inlineStr">
        <is>
          <t>1150</t>
        </is>
      </c>
      <c r="I68" s="2" t="inlineStr">
        <is>
          <t>Easy</t>
        </is>
      </c>
      <c r="J68" s="3">
        <f>HYPERLINK("https://www.codechef.com/problems/DSCPPAS266", "https://www.codechef.com/problems/DSCPPAS266")</f>
        <v/>
      </c>
      <c r="K68" s="2" t="inlineStr"/>
      <c r="L68" s="2" t="inlineStr">
        <is>
          <t>Sorting</t>
        </is>
      </c>
      <c r="M68" s="2" t="inlineStr"/>
      <c r="N68" s="2" t="inlineStr">
        <is>
          <t>No</t>
        </is>
      </c>
      <c r="O68" s="2" t="inlineStr">
        <is>
          <t>Unattempted</t>
        </is>
      </c>
    </row>
    <row r="69">
      <c r="A69" s="4" t="inlineStr">
        <is>
          <t>Beginner DSA</t>
        </is>
      </c>
      <c r="B69" s="4" t="inlineStr">
        <is>
          <t>Practice Sorting</t>
        </is>
      </c>
      <c r="C69" s="4" t="inlineStr">
        <is>
          <t>Practice problems which require you to use sorting algorithms to solve the task at hand. These questions help you understand the different patters of sorting problems and how to identify them.</t>
        </is>
      </c>
      <c r="D69" s="4" t="inlineStr">
        <is>
          <t>Sorting - Premium sorting problems</t>
        </is>
      </c>
      <c r="E69" s="4" t="n">
        <v>5</v>
      </c>
      <c r="F69" s="4" t="inlineStr">
        <is>
          <t>Maximum Weight Difference</t>
        </is>
      </c>
      <c r="G69" s="4" t="inlineStr">
        <is>
          <t>MAXDIFF</t>
        </is>
      </c>
      <c r="H69" s="4" t="inlineStr">
        <is>
          <t>1308</t>
        </is>
      </c>
      <c r="I69" s="4" t="inlineStr">
        <is>
          <t>Easy</t>
        </is>
      </c>
      <c r="J69" s="5">
        <f>HYPERLINK("https://www.codechef.com/problems/MAXDIFF", "https://www.codechef.com/problems/MAXDIFF")</f>
        <v/>
      </c>
      <c r="K69" s="4" t="inlineStr"/>
      <c r="L69" s="4" t="inlineStr"/>
      <c r="M69" s="4" t="inlineStr"/>
      <c r="N69" s="4" t="inlineStr">
        <is>
          <t>No</t>
        </is>
      </c>
      <c r="O69" s="4" t="inlineStr">
        <is>
          <t>Unattempted</t>
        </is>
      </c>
    </row>
    <row r="70">
      <c r="A70" s="2" t="inlineStr">
        <is>
          <t>Beginner DSA</t>
        </is>
      </c>
      <c r="B70" s="2" t="inlineStr">
        <is>
          <t>Practice Sorting</t>
        </is>
      </c>
      <c r="C70" s="2" t="inlineStr">
        <is>
          <t>Practice problems which require you to use sorting algorithms to solve the task at hand. These questions help you understand the different patters of sorting problems and how to identify them.</t>
        </is>
      </c>
      <c r="D70" s="2" t="inlineStr">
        <is>
          <t>Sorting - Premium sorting problems</t>
        </is>
      </c>
      <c r="E70" s="2" t="n">
        <v>6</v>
      </c>
      <c r="F70" s="2" t="inlineStr">
        <is>
          <t>Andrew and the Meatballs</t>
        </is>
      </c>
      <c r="G70" s="2" t="inlineStr">
        <is>
          <t>AMMEAT</t>
        </is>
      </c>
      <c r="H70" s="2" t="inlineStr">
        <is>
          <t>1275</t>
        </is>
      </c>
      <c r="I70" s="2" t="inlineStr">
        <is>
          <t>Easy</t>
        </is>
      </c>
      <c r="J70" s="3">
        <f>HYPERLINK("https://www.codechef.com/problems/AMMEAT", "https://www.codechef.com/problems/AMMEAT")</f>
        <v/>
      </c>
      <c r="K70" s="2" t="inlineStr"/>
      <c r="L70" s="2" t="inlineStr">
        <is>
          <t>1D Arrays, Algorithms, Arrays, Constructive, Data Structures, Sorting, ad-hoc</t>
        </is>
      </c>
      <c r="M70" s="2" t="inlineStr"/>
      <c r="N70" s="2" t="inlineStr">
        <is>
          <t>No</t>
        </is>
      </c>
      <c r="O70" s="2" t="inlineStr">
        <is>
          <t>Unattempted</t>
        </is>
      </c>
    </row>
    <row r="71">
      <c r="A71" s="4" t="inlineStr">
        <is>
          <t>Beginner DSA</t>
        </is>
      </c>
      <c r="B71" s="4" t="inlineStr">
        <is>
          <t>Practice Sorting</t>
        </is>
      </c>
      <c r="C71" s="4" t="inlineStr">
        <is>
          <t>Practice problems which require you to use sorting algorithms to solve the task at hand. These questions help you understand the different patters of sorting problems and how to identify them.</t>
        </is>
      </c>
      <c r="D71" s="4" t="inlineStr">
        <is>
          <t>Sorting - Premium sorting problems</t>
        </is>
      </c>
      <c r="E71" s="4" t="n">
        <v>7</v>
      </c>
      <c r="F71" s="4" t="inlineStr">
        <is>
          <t>Chef and easy problem</t>
        </is>
      </c>
      <c r="G71" s="4" t="inlineStr">
        <is>
          <t>CHEFA</t>
        </is>
      </c>
      <c r="H71" s="4" t="inlineStr">
        <is>
          <t>1408</t>
        </is>
      </c>
      <c r="I71" s="4" t="inlineStr">
        <is>
          <t>Medium</t>
        </is>
      </c>
      <c r="J71" s="5">
        <f>HYPERLINK("https://www.codechef.com/problems/CHEFA", "https://www.codechef.com/problems/CHEFA")</f>
        <v/>
      </c>
      <c r="K71" s="4" t="inlineStr"/>
      <c r="L71" s="4" t="inlineStr">
        <is>
          <t>admin, cakewalk, ltime16, sorting</t>
        </is>
      </c>
      <c r="M71" s="4" t="inlineStr"/>
      <c r="N71" s="4" t="inlineStr">
        <is>
          <t>No</t>
        </is>
      </c>
      <c r="O71" s="4" t="inlineStr">
        <is>
          <t>Unattempted</t>
        </is>
      </c>
    </row>
    <row r="72">
      <c r="A72" s="2" t="inlineStr">
        <is>
          <t>Beginner DSA</t>
        </is>
      </c>
      <c r="B72" s="2" t="inlineStr">
        <is>
          <t>Practice Sorting</t>
        </is>
      </c>
      <c r="C72" s="2" t="inlineStr">
        <is>
          <t>Practice problems which require you to use sorting algorithms to solve the task at hand. These questions help you understand the different patters of sorting problems and how to identify them.</t>
        </is>
      </c>
      <c r="D72" s="2" t="inlineStr">
        <is>
          <t>Sorting - Premium sorting problems</t>
        </is>
      </c>
      <c r="E72" s="2" t="n">
        <v>8</v>
      </c>
      <c r="F72" s="2" t="inlineStr">
        <is>
          <t>Sticks</t>
        </is>
      </c>
      <c r="G72" s="2" t="inlineStr">
        <is>
          <t>STICKS</t>
        </is>
      </c>
      <c r="H72" s="2" t="inlineStr">
        <is>
          <t>1261</t>
        </is>
      </c>
      <c r="I72" s="2" t="inlineStr">
        <is>
          <t>Easy</t>
        </is>
      </c>
      <c r="J72" s="3">
        <f>HYPERLINK("https://www.codechef.com/problems/STICKS", "https://www.codechef.com/problems/STICKS")</f>
        <v/>
      </c>
      <c r="K72" s="2" t="inlineStr"/>
      <c r="L72" s="2" t="inlineStr"/>
      <c r="M72" s="2" t="inlineStr"/>
      <c r="N72" s="2" t="inlineStr">
        <is>
          <t>No</t>
        </is>
      </c>
      <c r="O72" s="2" t="inlineStr">
        <is>
          <t>Unattempted</t>
        </is>
      </c>
    </row>
    <row r="73">
      <c r="A73" s="4" t="inlineStr">
        <is>
          <t>Beginner DSA</t>
        </is>
      </c>
      <c r="B73" s="4" t="inlineStr">
        <is>
          <t>Practice Sorting</t>
        </is>
      </c>
      <c r="C73" s="4" t="inlineStr">
        <is>
          <t>Practice problems which require you to use sorting algorithms to solve the task at hand. These questions help you understand the different patters of sorting problems and how to identify them.</t>
        </is>
      </c>
      <c r="D73" s="4" t="inlineStr">
        <is>
          <t>Sorting - Premium sorting problems</t>
        </is>
      </c>
      <c r="E73" s="4" t="n">
        <v>9</v>
      </c>
      <c r="F73" s="4" t="inlineStr">
        <is>
          <t>Array Reordering</t>
        </is>
      </c>
      <c r="G73" s="4" t="inlineStr">
        <is>
          <t>ARRAYREOR</t>
        </is>
      </c>
      <c r="H73" s="4" t="inlineStr">
        <is>
          <t>1250</t>
        </is>
      </c>
      <c r="I73" s="4" t="inlineStr">
        <is>
          <t>Easy</t>
        </is>
      </c>
      <c r="J73" s="5">
        <f>HYPERLINK("https://www.codechef.com/problems/ARRAYREOR", "https://www.codechef.com/problems/ARRAYREOR")</f>
        <v/>
      </c>
      <c r="K73" s="4" t="inlineStr"/>
      <c r="L73" s="4" t="inlineStr"/>
      <c r="M73" s="4" t="inlineStr"/>
      <c r="N73" s="4" t="inlineStr">
        <is>
          <t>No</t>
        </is>
      </c>
      <c r="O73" s="4" t="inlineStr">
        <is>
          <t>Unattempted</t>
        </is>
      </c>
    </row>
    <row r="74">
      <c r="A74" s="2" t="inlineStr">
        <is>
          <t>Beginner DSA</t>
        </is>
      </c>
      <c r="B74" s="2" t="inlineStr">
        <is>
          <t>Practice Sorting</t>
        </is>
      </c>
      <c r="C74" s="2" t="inlineStr">
        <is>
          <t>Practice problems which require you to use sorting algorithms to solve the task at hand. These questions help you understand the different patters of sorting problems and how to identify them.</t>
        </is>
      </c>
      <c r="D74" s="2" t="inlineStr">
        <is>
          <t>Sorting - Premium sorting problems</t>
        </is>
      </c>
      <c r="E74" s="2" t="n">
        <v>10</v>
      </c>
      <c r="F74" s="2" t="inlineStr">
        <is>
          <t>Counting sort</t>
        </is>
      </c>
      <c r="G74" s="2" t="inlineStr">
        <is>
          <t>DSCPPAS265</t>
        </is>
      </c>
      <c r="H74" s="2" t="inlineStr">
        <is>
          <t>1650</t>
        </is>
      </c>
      <c r="I74" s="2" t="inlineStr">
        <is>
          <t>Medium</t>
        </is>
      </c>
      <c r="J74" s="3">
        <f>HYPERLINK("https://www.codechef.com/problems/DSCPPAS265", "https://www.codechef.com/problems/DSCPPAS265")</f>
        <v/>
      </c>
      <c r="K74" s="2" t="inlineStr"/>
      <c r="L74" s="2" t="inlineStr"/>
      <c r="M74" s="2" t="inlineStr"/>
      <c r="N74" s="2" t="inlineStr">
        <is>
          <t>No</t>
        </is>
      </c>
      <c r="O74" s="2" t="inlineStr">
        <is>
          <t>Unattempted</t>
        </is>
      </c>
    </row>
    <row r="75">
      <c r="A75" s="4" t="inlineStr">
        <is>
          <t>Beginner DSA</t>
        </is>
      </c>
      <c r="B75" s="4" t="inlineStr">
        <is>
          <t>Practice Sorting</t>
        </is>
      </c>
      <c r="C75" s="4" t="inlineStr">
        <is>
          <t>Practice problems which require you to use sorting algorithms to solve the task at hand. These questions help you understand the different patters of sorting problems and how to identify them.</t>
        </is>
      </c>
      <c r="D75" s="4" t="inlineStr">
        <is>
          <t>Sorting - Premium sorting problems</t>
        </is>
      </c>
      <c r="E75" s="4" t="n">
        <v>11</v>
      </c>
      <c r="F75" s="4" t="inlineStr">
        <is>
          <t>ChefWatson uses Social Network</t>
        </is>
      </c>
      <c r="G75" s="4" t="inlineStr">
        <is>
          <t>BOOKCHEF</t>
        </is>
      </c>
      <c r="H75" s="4" t="inlineStr">
        <is>
          <t>1610</t>
        </is>
      </c>
      <c r="I75" s="4" t="inlineStr">
        <is>
          <t>Medium</t>
        </is>
      </c>
      <c r="J75" s="5">
        <f>HYPERLINK("https://www.codechef.com/problems/BOOKCHEF", "https://www.codechef.com/problems/BOOKCHEF")</f>
        <v/>
      </c>
      <c r="K75" s="4" t="inlineStr"/>
      <c r="L75" s="4" t="inlineStr"/>
      <c r="M75" s="4" t="inlineStr"/>
      <c r="N75" s="4" t="inlineStr">
        <is>
          <t>No</t>
        </is>
      </c>
      <c r="O75" s="4" t="inlineStr">
        <is>
          <t>Unattempted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2026-08-01T19:10:10Z</dcterms:created>
  <dcterms:modified xsi:type="dcterms:W3CDTF">2026-08-01T19:10:10Z</dcterms:modified>
</cp:coreProperties>
</file>