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ther Practice Path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1"/>
    </font>
    <font>
      <name val="Calibri"/>
      <color rgb="000563C1"/>
      <sz val="11"/>
      <u val="single"/>
    </font>
  </fonts>
  <fills count="5">
    <fill>
      <patternFill/>
    </fill>
    <fill>
      <patternFill patternType="gray125"/>
    </fill>
    <fill>
      <patternFill patternType="solid">
        <fgColor rgb="001F4E79"/>
        <bgColor rgb="001F4E79"/>
      </patternFill>
    </fill>
    <fill>
      <patternFill patternType="solid">
        <fgColor rgb="00F2F4F7"/>
        <bgColor rgb="00F2F4F7"/>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3" fillId="3" borderId="1" pivotButton="0" quotePrefix="0" xfId="0"/>
    <xf numFmtId="0" fontId="2" fillId="4"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29"/>
  <sheetViews>
    <sheetView showGridLines="1" workbookViewId="0">
      <selection activeCell="A1" sqref="A1"/>
    </sheetView>
  </sheetViews>
  <sheetFormatPr baseColWidth="8" defaultRowHeight="15"/>
  <cols>
    <col width="23" customWidth="1" min="1" max="1"/>
    <col width="50" customWidth="1" min="2" max="2"/>
    <col width="251" customWidth="1" min="3" max="3"/>
    <col width="100" customWidth="1" min="4" max="4"/>
    <col width="16" customWidth="1" min="5" max="5"/>
    <col width="52" customWidth="1" min="6" max="6"/>
    <col width="15" customWidth="1" min="7" max="7"/>
    <col width="20" customWidth="1" min="8" max="8"/>
    <col width="19" customWidth="1" min="9" max="9"/>
    <col width="15" customWidth="1" min="10" max="10"/>
    <col width="17" customWidth="1" min="11" max="11"/>
    <col width="216" customWidth="1" min="12" max="12"/>
    <col width="12" customWidth="1" min="13" max="13"/>
    <col width="14" customWidth="1" min="14" max="14"/>
    <col width="14" customWidth="1" min="15" max="15"/>
  </cols>
  <sheetData>
    <row r="1">
      <c r="A1" s="1" t="inlineStr">
        <is>
          <t>Section</t>
        </is>
      </c>
      <c r="B1" s="1" t="inlineStr">
        <is>
          <t>Practice Path</t>
        </is>
      </c>
      <c r="C1" s="1" t="inlineStr">
        <is>
          <t>Description</t>
        </is>
      </c>
      <c r="D1" s="1" t="inlineStr">
        <is>
          <t>Lesson</t>
        </is>
      </c>
      <c r="E1" s="1" t="inlineStr">
        <is>
          <t>Problem Order</t>
        </is>
      </c>
      <c r="F1" s="1" t="inlineStr">
        <is>
          <t>Problem Name</t>
        </is>
      </c>
      <c r="G1" s="1" t="inlineStr">
        <is>
          <t>Problem Code</t>
        </is>
      </c>
      <c r="H1" s="1" t="inlineStr">
        <is>
          <t>Difficulty Rating</t>
        </is>
      </c>
      <c r="I1" s="1" t="inlineStr">
        <is>
          <t>Difficulty Label</t>
        </is>
      </c>
      <c r="J1" s="1" t="inlineStr">
        <is>
          <t>Official URL</t>
        </is>
      </c>
      <c r="K1" s="1" t="inlineStr">
        <is>
          <t>Estimated Time</t>
        </is>
      </c>
      <c r="L1" s="1" t="inlineStr">
        <is>
          <t>Tags</t>
        </is>
      </c>
      <c r="M1" s="1" t="inlineStr">
        <is>
          <t>Companies</t>
        </is>
      </c>
      <c r="N1" s="1" t="inlineStr">
        <is>
          <t>Certificate</t>
        </is>
      </c>
      <c r="O1" s="1" t="inlineStr">
        <is>
          <t>Status</t>
        </is>
      </c>
    </row>
    <row r="2">
      <c r="A2" s="2" t="inlineStr">
        <is>
          <t>Other Practice Paths</t>
        </is>
      </c>
      <c r="B2" s="2" t="inlineStr">
        <is>
          <t>SQL case studies</t>
        </is>
      </c>
      <c r="C2" s="2" t="inlineStr">
        <is>
          <t>Put your SQL skills to the test. Get better at intermediate level Analytics using the case studies given in this practice path</t>
        </is>
      </c>
      <c r="D2" s="2" t="inlineStr">
        <is>
          <t>Case Study - Cinema Hall - MCQ</t>
        </is>
      </c>
      <c r="E2" s="2" t="n">
        <v>1</v>
      </c>
      <c r="F2" s="2" t="inlineStr">
        <is>
          <t>MCQ-1</t>
        </is>
      </c>
      <c r="G2" s="2" t="inlineStr">
        <is>
          <t>SQLP033</t>
        </is>
      </c>
      <c r="H2" s="2" t="inlineStr"/>
      <c r="I2" s="2" t="inlineStr">
        <is>
          <t>Easy</t>
        </is>
      </c>
      <c r="J2" s="3">
        <f>HYPERLINK("https://www.codechef.com/problems/SQLP033", "https://www.codechef.com/problems/SQLP033")</f>
        <v/>
      </c>
      <c r="K2" s="2" t="inlineStr"/>
      <c r="L2" s="2" t="inlineStr"/>
      <c r="M2" s="2" t="inlineStr"/>
      <c r="N2" s="2" t="inlineStr">
        <is>
          <t>No</t>
        </is>
      </c>
      <c r="O2" s="2" t="inlineStr">
        <is>
          <t>Unattempted</t>
        </is>
      </c>
    </row>
    <row r="3">
      <c r="A3" s="4" t="inlineStr">
        <is>
          <t>Other Practice Paths</t>
        </is>
      </c>
      <c r="B3" s="4" t="inlineStr">
        <is>
          <t>SQL case studies</t>
        </is>
      </c>
      <c r="C3" s="4" t="inlineStr">
        <is>
          <t>Put your SQL skills to the test. Get better at intermediate level Analytics using the case studies given in this practice path</t>
        </is>
      </c>
      <c r="D3" s="4" t="inlineStr">
        <is>
          <t>Case Study - Cinema Hall - MCQ</t>
        </is>
      </c>
      <c r="E3" s="4" t="n">
        <v>2</v>
      </c>
      <c r="F3" s="4" t="inlineStr">
        <is>
          <t>MCQ-2</t>
        </is>
      </c>
      <c r="G3" s="4" t="inlineStr">
        <is>
          <t>SQLP034</t>
        </is>
      </c>
      <c r="H3" s="4" t="inlineStr"/>
      <c r="I3" s="4" t="inlineStr">
        <is>
          <t>Easy</t>
        </is>
      </c>
      <c r="J3" s="5">
        <f>HYPERLINK("https://www.codechef.com/problems/SQLP034", "https://www.codechef.com/problems/SQLP034")</f>
        <v/>
      </c>
      <c r="K3" s="4" t="inlineStr"/>
      <c r="L3" s="4" t="inlineStr"/>
      <c r="M3" s="4" t="inlineStr"/>
      <c r="N3" s="4" t="inlineStr">
        <is>
          <t>No</t>
        </is>
      </c>
      <c r="O3" s="4" t="inlineStr">
        <is>
          <t>Unattempted</t>
        </is>
      </c>
    </row>
    <row r="4">
      <c r="A4" s="2" t="inlineStr">
        <is>
          <t>Other Practice Paths</t>
        </is>
      </c>
      <c r="B4" s="2" t="inlineStr">
        <is>
          <t>SQL case studies</t>
        </is>
      </c>
      <c r="C4" s="2" t="inlineStr">
        <is>
          <t>Put your SQL skills to the test. Get better at intermediate level Analytics using the case studies given in this practice path</t>
        </is>
      </c>
      <c r="D4" s="2" t="inlineStr">
        <is>
          <t>Case Study - Cinema Hall - MCQ</t>
        </is>
      </c>
      <c r="E4" s="2" t="n">
        <v>3</v>
      </c>
      <c r="F4" s="2" t="inlineStr">
        <is>
          <t>MCQ-3</t>
        </is>
      </c>
      <c r="G4" s="2" t="inlineStr">
        <is>
          <t>SQLP035</t>
        </is>
      </c>
      <c r="H4" s="2" t="inlineStr"/>
      <c r="I4" s="2" t="inlineStr">
        <is>
          <t>Easy</t>
        </is>
      </c>
      <c r="J4" s="3">
        <f>HYPERLINK("https://www.codechef.com/problems/SQLP035", "https://www.codechef.com/problems/SQLP035")</f>
        <v/>
      </c>
      <c r="K4" s="2" t="inlineStr"/>
      <c r="L4" s="2" t="inlineStr"/>
      <c r="M4" s="2" t="inlineStr"/>
      <c r="N4" s="2" t="inlineStr">
        <is>
          <t>No</t>
        </is>
      </c>
      <c r="O4" s="2" t="inlineStr">
        <is>
          <t>Unattempted</t>
        </is>
      </c>
    </row>
    <row r="5">
      <c r="A5" s="4" t="inlineStr">
        <is>
          <t>Other Practice Paths</t>
        </is>
      </c>
      <c r="B5" s="4" t="inlineStr">
        <is>
          <t>SQL case studies</t>
        </is>
      </c>
      <c r="C5" s="4" t="inlineStr">
        <is>
          <t>Put your SQL skills to the test. Get better at intermediate level Analytics using the case studies given in this practice path</t>
        </is>
      </c>
      <c r="D5" s="4" t="inlineStr">
        <is>
          <t>Case Study - Cinema Hall - MCQ</t>
        </is>
      </c>
      <c r="E5" s="4" t="n">
        <v>4</v>
      </c>
      <c r="F5" s="4" t="inlineStr">
        <is>
          <t>MCQ-4</t>
        </is>
      </c>
      <c r="G5" s="4" t="inlineStr">
        <is>
          <t>SQLP036</t>
        </is>
      </c>
      <c r="H5" s="4" t="inlineStr"/>
      <c r="I5" s="4" t="inlineStr">
        <is>
          <t>Easy</t>
        </is>
      </c>
      <c r="J5" s="5">
        <f>HYPERLINK("https://www.codechef.com/problems/SQLP036", "https://www.codechef.com/problems/SQLP036")</f>
        <v/>
      </c>
      <c r="K5" s="4" t="inlineStr"/>
      <c r="L5" s="4" t="inlineStr"/>
      <c r="M5" s="4" t="inlineStr"/>
      <c r="N5" s="4" t="inlineStr">
        <is>
          <t>No</t>
        </is>
      </c>
      <c r="O5" s="4" t="inlineStr">
        <is>
          <t>Unattempted</t>
        </is>
      </c>
    </row>
    <row r="6">
      <c r="A6" s="2" t="inlineStr">
        <is>
          <t>Other Practice Paths</t>
        </is>
      </c>
      <c r="B6" s="2" t="inlineStr">
        <is>
          <t>SQL case studies</t>
        </is>
      </c>
      <c r="C6" s="2" t="inlineStr">
        <is>
          <t>Put your SQL skills to the test. Get better at intermediate level Analytics using the case studies given in this practice path</t>
        </is>
      </c>
      <c r="D6" s="2" t="inlineStr">
        <is>
          <t>Case Study - Cinema Hall - MCQ</t>
        </is>
      </c>
      <c r="E6" s="2" t="n">
        <v>5</v>
      </c>
      <c r="F6" s="2" t="inlineStr">
        <is>
          <t>MCQ-5</t>
        </is>
      </c>
      <c r="G6" s="2" t="inlineStr">
        <is>
          <t>SQLP037</t>
        </is>
      </c>
      <c r="H6" s="2" t="inlineStr"/>
      <c r="I6" s="2" t="inlineStr">
        <is>
          <t>Easy</t>
        </is>
      </c>
      <c r="J6" s="3">
        <f>HYPERLINK("https://www.codechef.com/problems/SQLP037", "https://www.codechef.com/problems/SQLP037")</f>
        <v/>
      </c>
      <c r="K6" s="2" t="inlineStr"/>
      <c r="L6" s="2" t="inlineStr"/>
      <c r="M6" s="2" t="inlineStr"/>
      <c r="N6" s="2" t="inlineStr">
        <is>
          <t>No</t>
        </is>
      </c>
      <c r="O6" s="2" t="inlineStr">
        <is>
          <t>Unattempted</t>
        </is>
      </c>
    </row>
    <row r="7">
      <c r="A7" s="4" t="inlineStr">
        <is>
          <t>Other Practice Paths</t>
        </is>
      </c>
      <c r="B7" s="4" t="inlineStr">
        <is>
          <t>SQL case studies</t>
        </is>
      </c>
      <c r="C7" s="4" t="inlineStr">
        <is>
          <t>Put your SQL skills to the test. Get better at intermediate level Analytics using the case studies given in this practice path</t>
        </is>
      </c>
      <c r="D7" s="4" t="inlineStr">
        <is>
          <t>Case Study - Cinema Hall - MCQ</t>
        </is>
      </c>
      <c r="E7" s="4" t="n">
        <v>6</v>
      </c>
      <c r="F7" s="4" t="inlineStr">
        <is>
          <t>MCQ-6</t>
        </is>
      </c>
      <c r="G7" s="4" t="inlineStr">
        <is>
          <t>SQLP038</t>
        </is>
      </c>
      <c r="H7" s="4" t="inlineStr"/>
      <c r="I7" s="4" t="inlineStr">
        <is>
          <t>Easy</t>
        </is>
      </c>
      <c r="J7" s="5">
        <f>HYPERLINK("https://www.codechef.com/problems/SQLP038", "https://www.codechef.com/problems/SQLP038")</f>
        <v/>
      </c>
      <c r="K7" s="4" t="inlineStr"/>
      <c r="L7" s="4" t="inlineStr"/>
      <c r="M7" s="4" t="inlineStr"/>
      <c r="N7" s="4" t="inlineStr">
        <is>
          <t>No</t>
        </is>
      </c>
      <c r="O7" s="4" t="inlineStr">
        <is>
          <t>Unattempted</t>
        </is>
      </c>
    </row>
    <row r="8">
      <c r="A8" s="2" t="inlineStr">
        <is>
          <t>Other Practice Paths</t>
        </is>
      </c>
      <c r="B8" s="2" t="inlineStr">
        <is>
          <t>SQL case studies</t>
        </is>
      </c>
      <c r="C8" s="2" t="inlineStr">
        <is>
          <t>Put your SQL skills to the test. Get better at intermediate level Analytics using the case studies given in this practice path</t>
        </is>
      </c>
      <c r="D8" s="2" t="inlineStr">
        <is>
          <t>Case Study - Cinema Hall - MCQ</t>
        </is>
      </c>
      <c r="E8" s="2" t="n">
        <v>7</v>
      </c>
      <c r="F8" s="2" t="inlineStr">
        <is>
          <t>MCQ-7</t>
        </is>
      </c>
      <c r="G8" s="2" t="inlineStr">
        <is>
          <t>SQLP039</t>
        </is>
      </c>
      <c r="H8" s="2" t="inlineStr"/>
      <c r="I8" s="2" t="inlineStr">
        <is>
          <t>Easy</t>
        </is>
      </c>
      <c r="J8" s="3">
        <f>HYPERLINK("https://www.codechef.com/problems/SQLP039", "https://www.codechef.com/problems/SQLP039")</f>
        <v/>
      </c>
      <c r="K8" s="2" t="inlineStr"/>
      <c r="L8" s="2" t="inlineStr"/>
      <c r="M8" s="2" t="inlineStr"/>
      <c r="N8" s="2" t="inlineStr">
        <is>
          <t>No</t>
        </is>
      </c>
      <c r="O8" s="2" t="inlineStr">
        <is>
          <t>Unattempted</t>
        </is>
      </c>
    </row>
    <row r="9">
      <c r="A9" s="4" t="inlineStr">
        <is>
          <t>Other Practice Paths</t>
        </is>
      </c>
      <c r="B9" s="4" t="inlineStr">
        <is>
          <t>SQL case studies</t>
        </is>
      </c>
      <c r="C9" s="4" t="inlineStr">
        <is>
          <t>Put your SQL skills to the test. Get better at intermediate level Analytics using the case studies given in this practice path</t>
        </is>
      </c>
      <c r="D9" s="4" t="inlineStr">
        <is>
          <t>Case Study - Cinema Hall - MCQ</t>
        </is>
      </c>
      <c r="E9" s="4" t="n">
        <v>8</v>
      </c>
      <c r="F9" s="4" t="inlineStr">
        <is>
          <t>MCQ-8</t>
        </is>
      </c>
      <c r="G9" s="4" t="inlineStr">
        <is>
          <t>SQLP040</t>
        </is>
      </c>
      <c r="H9" s="4" t="inlineStr"/>
      <c r="I9" s="4" t="inlineStr">
        <is>
          <t>Easy</t>
        </is>
      </c>
      <c r="J9" s="5">
        <f>HYPERLINK("https://www.codechef.com/problems/SQLP040", "https://www.codechef.com/problems/SQLP040")</f>
        <v/>
      </c>
      <c r="K9" s="4" t="inlineStr"/>
      <c r="L9" s="4" t="inlineStr"/>
      <c r="M9" s="4" t="inlineStr"/>
      <c r="N9" s="4" t="inlineStr">
        <is>
          <t>No</t>
        </is>
      </c>
      <c r="O9" s="4" t="inlineStr">
        <is>
          <t>Unattempted</t>
        </is>
      </c>
    </row>
    <row r="10">
      <c r="A10" s="2" t="inlineStr">
        <is>
          <t>Other Practice Paths</t>
        </is>
      </c>
      <c r="B10" s="2" t="inlineStr">
        <is>
          <t>SQL case studies</t>
        </is>
      </c>
      <c r="C10" s="2" t="inlineStr">
        <is>
          <t>Put your SQL skills to the test. Get better at intermediate level Analytics using the case studies given in this practice path</t>
        </is>
      </c>
      <c r="D10" s="2" t="inlineStr">
        <is>
          <t>Case Study - Cinema Hall - MCQ</t>
        </is>
      </c>
      <c r="E10" s="2" t="n">
        <v>9</v>
      </c>
      <c r="F10" s="2" t="inlineStr">
        <is>
          <t>MCQ-9</t>
        </is>
      </c>
      <c r="G10" s="2" t="inlineStr">
        <is>
          <t>SQLP041</t>
        </is>
      </c>
      <c r="H10" s="2" t="inlineStr"/>
      <c r="I10" s="2" t="inlineStr">
        <is>
          <t>Easy</t>
        </is>
      </c>
      <c r="J10" s="3">
        <f>HYPERLINK("https://www.codechef.com/problems/SQLP041", "https://www.codechef.com/problems/SQLP041")</f>
        <v/>
      </c>
      <c r="K10" s="2" t="inlineStr"/>
      <c r="L10" s="2" t="inlineStr"/>
      <c r="M10" s="2" t="inlineStr"/>
      <c r="N10" s="2" t="inlineStr">
        <is>
          <t>No</t>
        </is>
      </c>
      <c r="O10" s="2" t="inlineStr">
        <is>
          <t>Unattempted</t>
        </is>
      </c>
    </row>
    <row r="11">
      <c r="A11" s="4" t="inlineStr">
        <is>
          <t>Other Practice Paths</t>
        </is>
      </c>
      <c r="B11" s="4" t="inlineStr">
        <is>
          <t>SQL case studies</t>
        </is>
      </c>
      <c r="C11" s="4" t="inlineStr">
        <is>
          <t>Put your SQL skills to the test. Get better at intermediate level Analytics using the case studies given in this practice path</t>
        </is>
      </c>
      <c r="D11" s="4" t="inlineStr">
        <is>
          <t>Case Study - Cinema Hall - MCQ</t>
        </is>
      </c>
      <c r="E11" s="4" t="n">
        <v>10</v>
      </c>
      <c r="F11" s="4" t="inlineStr">
        <is>
          <t>MCQ-10</t>
        </is>
      </c>
      <c r="G11" s="4" t="inlineStr">
        <is>
          <t>SQLP042</t>
        </is>
      </c>
      <c r="H11" s="4" t="inlineStr"/>
      <c r="I11" s="4" t="inlineStr">
        <is>
          <t>Medium</t>
        </is>
      </c>
      <c r="J11" s="5">
        <f>HYPERLINK("https://www.codechef.com/problems/SQLP042", "https://www.codechef.com/problems/SQLP042")</f>
        <v/>
      </c>
      <c r="K11" s="4" t="inlineStr"/>
      <c r="L11" s="4" t="inlineStr"/>
      <c r="M11" s="4" t="inlineStr"/>
      <c r="N11" s="4" t="inlineStr">
        <is>
          <t>No</t>
        </is>
      </c>
      <c r="O11" s="4" t="inlineStr">
        <is>
          <t>Unattempted</t>
        </is>
      </c>
    </row>
    <row r="12">
      <c r="A12" s="2" t="inlineStr">
        <is>
          <t>Other Practice Paths</t>
        </is>
      </c>
      <c r="B12" s="2" t="inlineStr">
        <is>
          <t>SQL case studies</t>
        </is>
      </c>
      <c r="C12" s="2" t="inlineStr">
        <is>
          <t>Put your SQL skills to the test. Get better at intermediate level Analytics using the case studies given in this practice path</t>
        </is>
      </c>
      <c r="D12" s="2" t="inlineStr">
        <is>
          <t>Case Study - Cinema Hall - MCQ</t>
        </is>
      </c>
      <c r="E12" s="2" t="n">
        <v>11</v>
      </c>
      <c r="F12" s="2" t="inlineStr">
        <is>
          <t>MCQ-11</t>
        </is>
      </c>
      <c r="G12" s="2" t="inlineStr">
        <is>
          <t>SQLP043</t>
        </is>
      </c>
      <c r="H12" s="2" t="inlineStr"/>
      <c r="I12" s="2" t="inlineStr">
        <is>
          <t>Medium</t>
        </is>
      </c>
      <c r="J12" s="3">
        <f>HYPERLINK("https://www.codechef.com/problems/SQLP043", "https://www.codechef.com/problems/SQLP043")</f>
        <v/>
      </c>
      <c r="K12" s="2" t="inlineStr"/>
      <c r="L12" s="2" t="inlineStr"/>
      <c r="M12" s="2" t="inlineStr"/>
      <c r="N12" s="2" t="inlineStr">
        <is>
          <t>No</t>
        </is>
      </c>
      <c r="O12" s="2" t="inlineStr">
        <is>
          <t>Unattempted</t>
        </is>
      </c>
    </row>
    <row r="13">
      <c r="A13" s="4" t="inlineStr">
        <is>
          <t>Other Practice Paths</t>
        </is>
      </c>
      <c r="B13" s="4" t="inlineStr">
        <is>
          <t>SQL case studies</t>
        </is>
      </c>
      <c r="C13" s="4" t="inlineStr">
        <is>
          <t>Put your SQL skills to the test. Get better at intermediate level Analytics using the case studies given in this practice path</t>
        </is>
      </c>
      <c r="D13" s="4" t="inlineStr">
        <is>
          <t>Case Study - Cinema Hall - MCQ</t>
        </is>
      </c>
      <c r="E13" s="4" t="n">
        <v>12</v>
      </c>
      <c r="F13" s="4" t="inlineStr">
        <is>
          <t>MCQ-12</t>
        </is>
      </c>
      <c r="G13" s="4" t="inlineStr">
        <is>
          <t>SQLP044</t>
        </is>
      </c>
      <c r="H13" s="4" t="inlineStr"/>
      <c r="I13" s="4" t="inlineStr">
        <is>
          <t>Medium</t>
        </is>
      </c>
      <c r="J13" s="5">
        <f>HYPERLINK("https://www.codechef.com/problems/SQLP044", "https://www.codechef.com/problems/SQLP044")</f>
        <v/>
      </c>
      <c r="K13" s="4" t="inlineStr"/>
      <c r="L13" s="4" t="inlineStr"/>
      <c r="M13" s="4" t="inlineStr"/>
      <c r="N13" s="4" t="inlineStr">
        <is>
          <t>No</t>
        </is>
      </c>
      <c r="O13" s="4" t="inlineStr">
        <is>
          <t>Unattempted</t>
        </is>
      </c>
    </row>
    <row r="14">
      <c r="A14" s="2" t="inlineStr">
        <is>
          <t>Other Practice Paths</t>
        </is>
      </c>
      <c r="B14" s="2" t="inlineStr">
        <is>
          <t>SQL case studies</t>
        </is>
      </c>
      <c r="C14" s="2" t="inlineStr">
        <is>
          <t>Put your SQL skills to the test. Get better at intermediate level Analytics using the case studies given in this practice path</t>
        </is>
      </c>
      <c r="D14" s="2" t="inlineStr">
        <is>
          <t>Case Study - Cinema Hall - MCQ</t>
        </is>
      </c>
      <c r="E14" s="2" t="n">
        <v>13</v>
      </c>
      <c r="F14" s="2" t="inlineStr">
        <is>
          <t>MCQ-13</t>
        </is>
      </c>
      <c r="G14" s="2" t="inlineStr">
        <is>
          <t>SQLP045</t>
        </is>
      </c>
      <c r="H14" s="2" t="inlineStr"/>
      <c r="I14" s="2" t="inlineStr">
        <is>
          <t>Medium</t>
        </is>
      </c>
      <c r="J14" s="3">
        <f>HYPERLINK("https://www.codechef.com/problems/SQLP045", "https://www.codechef.com/problems/SQLP045")</f>
        <v/>
      </c>
      <c r="K14" s="2" t="inlineStr"/>
      <c r="L14" s="2" t="inlineStr"/>
      <c r="M14" s="2" t="inlineStr"/>
      <c r="N14" s="2" t="inlineStr">
        <is>
          <t>No</t>
        </is>
      </c>
      <c r="O14" s="2" t="inlineStr">
        <is>
          <t>Unattempted</t>
        </is>
      </c>
    </row>
    <row r="15">
      <c r="A15" s="4" t="inlineStr">
        <is>
          <t>Other Practice Paths</t>
        </is>
      </c>
      <c r="B15" s="4" t="inlineStr">
        <is>
          <t>SQL case studies</t>
        </is>
      </c>
      <c r="C15" s="4" t="inlineStr">
        <is>
          <t>Put your SQL skills to the test. Get better at intermediate level Analytics using the case studies given in this practice path</t>
        </is>
      </c>
      <c r="D15" s="4" t="inlineStr">
        <is>
          <t>Case Study - Cinema Hall - MCQ</t>
        </is>
      </c>
      <c r="E15" s="4" t="n">
        <v>14</v>
      </c>
      <c r="F15" s="4" t="inlineStr">
        <is>
          <t>MCQ-14</t>
        </is>
      </c>
      <c r="G15" s="4" t="inlineStr">
        <is>
          <t>SQLP046</t>
        </is>
      </c>
      <c r="H15" s="4" t="inlineStr"/>
      <c r="I15" s="4" t="inlineStr">
        <is>
          <t>Medium</t>
        </is>
      </c>
      <c r="J15" s="5">
        <f>HYPERLINK("https://www.codechef.com/problems/SQLP046", "https://www.codechef.com/problems/SQLP046")</f>
        <v/>
      </c>
      <c r="K15" s="4" t="inlineStr"/>
      <c r="L15" s="4" t="inlineStr"/>
      <c r="M15" s="4" t="inlineStr"/>
      <c r="N15" s="4" t="inlineStr">
        <is>
          <t>No</t>
        </is>
      </c>
      <c r="O15" s="4" t="inlineStr">
        <is>
          <t>Unattempted</t>
        </is>
      </c>
    </row>
    <row r="16">
      <c r="A16" s="2" t="inlineStr">
        <is>
          <t>Other Practice Paths</t>
        </is>
      </c>
      <c r="B16" s="2" t="inlineStr">
        <is>
          <t>SQL case studies</t>
        </is>
      </c>
      <c r="C16" s="2" t="inlineStr">
        <is>
          <t>Put your SQL skills to the test. Get better at intermediate level Analytics using the case studies given in this practice path</t>
        </is>
      </c>
      <c r="D16" s="2" t="inlineStr">
        <is>
          <t>Case Study - Cinema Hall - MCQ</t>
        </is>
      </c>
      <c r="E16" s="2" t="n">
        <v>15</v>
      </c>
      <c r="F16" s="2" t="inlineStr">
        <is>
          <t>MCQ-15</t>
        </is>
      </c>
      <c r="G16" s="2" t="inlineStr">
        <is>
          <t>SQLP047</t>
        </is>
      </c>
      <c r="H16" s="2" t="inlineStr"/>
      <c r="I16" s="2" t="inlineStr">
        <is>
          <t>Medium</t>
        </is>
      </c>
      <c r="J16" s="3">
        <f>HYPERLINK("https://www.codechef.com/problems/SQLP047", "https://www.codechef.com/problems/SQLP047")</f>
        <v/>
      </c>
      <c r="K16" s="2" t="inlineStr"/>
      <c r="L16" s="2" t="inlineStr"/>
      <c r="M16" s="2" t="inlineStr"/>
      <c r="N16" s="2" t="inlineStr">
        <is>
          <t>No</t>
        </is>
      </c>
      <c r="O16" s="2" t="inlineStr">
        <is>
          <t>Unattempted</t>
        </is>
      </c>
    </row>
    <row r="17">
      <c r="A17" s="4" t="inlineStr">
        <is>
          <t>Other Practice Paths</t>
        </is>
      </c>
      <c r="B17" s="4" t="inlineStr">
        <is>
          <t>SQL case studies</t>
        </is>
      </c>
      <c r="C17" s="4" t="inlineStr">
        <is>
          <t>Put your SQL skills to the test. Get better at intermediate level Analytics using the case studies given in this practice path</t>
        </is>
      </c>
      <c r="D17" s="4" t="inlineStr">
        <is>
          <t>Case Study - Cinema Hall - MCQ</t>
        </is>
      </c>
      <c r="E17" s="4" t="n">
        <v>16</v>
      </c>
      <c r="F17" s="4" t="inlineStr">
        <is>
          <t>Rearrange code-1</t>
        </is>
      </c>
      <c r="G17" s="4" t="inlineStr">
        <is>
          <t>SQLP048</t>
        </is>
      </c>
      <c r="H17" s="4" t="inlineStr"/>
      <c r="I17" s="4" t="inlineStr">
        <is>
          <t>Medium</t>
        </is>
      </c>
      <c r="J17" s="5">
        <f>HYPERLINK("https://www.codechef.com/problems/SQLP048", "https://www.codechef.com/problems/SQLP048")</f>
        <v/>
      </c>
      <c r="K17" s="4" t="inlineStr"/>
      <c r="L17" s="4" t="inlineStr"/>
      <c r="M17" s="4" t="inlineStr"/>
      <c r="N17" s="4" t="inlineStr">
        <is>
          <t>No</t>
        </is>
      </c>
      <c r="O17" s="4" t="inlineStr">
        <is>
          <t>Unattempted</t>
        </is>
      </c>
    </row>
    <row r="18">
      <c r="A18" s="2" t="inlineStr">
        <is>
          <t>Other Practice Paths</t>
        </is>
      </c>
      <c r="B18" s="2" t="inlineStr">
        <is>
          <t>SQL case studies</t>
        </is>
      </c>
      <c r="C18" s="2" t="inlineStr">
        <is>
          <t>Put your SQL skills to the test. Get better at intermediate level Analytics using the case studies given in this practice path</t>
        </is>
      </c>
      <c r="D18" s="2" t="inlineStr">
        <is>
          <t>Case Study - Cinema Hall - MCQ</t>
        </is>
      </c>
      <c r="E18" s="2" t="n">
        <v>17</v>
      </c>
      <c r="F18" s="2" t="inlineStr">
        <is>
          <t>Rearrange code-2</t>
        </is>
      </c>
      <c r="G18" s="2" t="inlineStr">
        <is>
          <t>SQLP049</t>
        </is>
      </c>
      <c r="H18" s="2" t="inlineStr"/>
      <c r="I18" s="2" t="inlineStr">
        <is>
          <t>Medium</t>
        </is>
      </c>
      <c r="J18" s="3">
        <f>HYPERLINK("https://www.codechef.com/problems/SQLP049", "https://www.codechef.com/problems/SQLP049")</f>
        <v/>
      </c>
      <c r="K18" s="2" t="inlineStr"/>
      <c r="L18" s="2" t="inlineStr"/>
      <c r="M18" s="2" t="inlineStr"/>
      <c r="N18" s="2" t="inlineStr">
        <is>
          <t>No</t>
        </is>
      </c>
      <c r="O18" s="2" t="inlineStr">
        <is>
          <t>Unattempted</t>
        </is>
      </c>
    </row>
    <row r="19">
      <c r="A19" s="4" t="inlineStr">
        <is>
          <t>Other Practice Paths</t>
        </is>
      </c>
      <c r="B19" s="4" t="inlineStr">
        <is>
          <t>SQL case studies</t>
        </is>
      </c>
      <c r="C19" s="4" t="inlineStr">
        <is>
          <t>Put your SQL skills to the test. Get better at intermediate level Analytics using the case studies given in this practice path</t>
        </is>
      </c>
      <c r="D19" s="4" t="inlineStr">
        <is>
          <t>Case Study - Cinema Hall - MCQ</t>
        </is>
      </c>
      <c r="E19" s="4" t="n">
        <v>18</v>
      </c>
      <c r="F19" s="4" t="inlineStr">
        <is>
          <t>Rearrange code-3</t>
        </is>
      </c>
      <c r="G19" s="4" t="inlineStr">
        <is>
          <t>SQLP050</t>
        </is>
      </c>
      <c r="H19" s="4" t="inlineStr"/>
      <c r="I19" s="4" t="inlineStr">
        <is>
          <t>Medium</t>
        </is>
      </c>
      <c r="J19" s="5">
        <f>HYPERLINK("https://www.codechef.com/problems/SQLP050", "https://www.codechef.com/problems/SQLP050")</f>
        <v/>
      </c>
      <c r="K19" s="4" t="inlineStr"/>
      <c r="L19" s="4" t="inlineStr"/>
      <c r="M19" s="4" t="inlineStr"/>
      <c r="N19" s="4" t="inlineStr">
        <is>
          <t>No</t>
        </is>
      </c>
      <c r="O19" s="4" t="inlineStr">
        <is>
          <t>Unattempted</t>
        </is>
      </c>
    </row>
    <row r="20">
      <c r="A20" s="2" t="inlineStr">
        <is>
          <t>Other Practice Paths</t>
        </is>
      </c>
      <c r="B20" s="2" t="inlineStr">
        <is>
          <t>SQL case studies</t>
        </is>
      </c>
      <c r="C20" s="2" t="inlineStr">
        <is>
          <t>Put your SQL skills to the test. Get better at intermediate level Analytics using the case studies given in this practice path</t>
        </is>
      </c>
      <c r="D20" s="2" t="inlineStr">
        <is>
          <t>Case Study - Cinema Hall - MCQ</t>
        </is>
      </c>
      <c r="E20" s="2" t="n">
        <v>19</v>
      </c>
      <c r="F20" s="2" t="inlineStr">
        <is>
          <t>Rearrange code-4</t>
        </is>
      </c>
      <c r="G20" s="2" t="inlineStr">
        <is>
          <t>SQLP051</t>
        </is>
      </c>
      <c r="H20" s="2" t="inlineStr"/>
      <c r="I20" s="2" t="inlineStr">
        <is>
          <t>Medium</t>
        </is>
      </c>
      <c r="J20" s="3">
        <f>HYPERLINK("https://www.codechef.com/problems/SQLP051", "https://www.codechef.com/problems/SQLP051")</f>
        <v/>
      </c>
      <c r="K20" s="2" t="inlineStr"/>
      <c r="L20" s="2" t="inlineStr"/>
      <c r="M20" s="2" t="inlineStr"/>
      <c r="N20" s="2" t="inlineStr">
        <is>
          <t>No</t>
        </is>
      </c>
      <c r="O20" s="2" t="inlineStr">
        <is>
          <t>Unattempted</t>
        </is>
      </c>
    </row>
    <row r="21">
      <c r="A21" s="4" t="inlineStr">
        <is>
          <t>Other Practice Paths</t>
        </is>
      </c>
      <c r="B21" s="4" t="inlineStr">
        <is>
          <t>SQL case studies</t>
        </is>
      </c>
      <c r="C21" s="4" t="inlineStr">
        <is>
          <t>Put your SQL skills to the test. Get better at intermediate level Analytics using the case studies given in this practice path</t>
        </is>
      </c>
      <c r="D21" s="4" t="inlineStr">
        <is>
          <t>Case Study - Cinema Hall - MCQ</t>
        </is>
      </c>
      <c r="E21" s="4" t="n">
        <v>20</v>
      </c>
      <c r="F21" s="4" t="inlineStr">
        <is>
          <t>Rearrange code-5</t>
        </is>
      </c>
      <c r="G21" s="4" t="inlineStr">
        <is>
          <t>SQLP052</t>
        </is>
      </c>
      <c r="H21" s="4" t="inlineStr"/>
      <c r="I21" s="4" t="inlineStr">
        <is>
          <t>Medium</t>
        </is>
      </c>
      <c r="J21" s="5">
        <f>HYPERLINK("https://www.codechef.com/problems/SQLP052", "https://www.codechef.com/problems/SQLP052")</f>
        <v/>
      </c>
      <c r="K21" s="4" t="inlineStr"/>
      <c r="L21" s="4" t="inlineStr"/>
      <c r="M21" s="4" t="inlineStr"/>
      <c r="N21" s="4" t="inlineStr">
        <is>
          <t>No</t>
        </is>
      </c>
      <c r="O21" s="4" t="inlineStr">
        <is>
          <t>Unattempted</t>
        </is>
      </c>
    </row>
    <row r="22">
      <c r="A22" s="2" t="inlineStr">
        <is>
          <t>Other Practice Paths</t>
        </is>
      </c>
      <c r="B22" s="2" t="inlineStr">
        <is>
          <t>SQL case studies</t>
        </is>
      </c>
      <c r="C22" s="2" t="inlineStr">
        <is>
          <t>Put your SQL skills to the test. Get better at intermediate level Analytics using the case studies given in this practice path</t>
        </is>
      </c>
      <c r="D22" s="2" t="inlineStr">
        <is>
          <t>Case Study - Cinema Hall - Queries</t>
        </is>
      </c>
      <c r="E22" s="2" t="n">
        <v>21</v>
      </c>
      <c r="F22" s="2" t="inlineStr">
        <is>
          <t>Query-1</t>
        </is>
      </c>
      <c r="G22" s="2" t="inlineStr">
        <is>
          <t>SQLP053</t>
        </is>
      </c>
      <c r="H22" s="2" t="inlineStr"/>
      <c r="I22" s="2" t="inlineStr">
        <is>
          <t>Easy</t>
        </is>
      </c>
      <c r="J22" s="3">
        <f>HYPERLINK("https://www.codechef.com/problems/SQLP053", "https://www.codechef.com/problems/SQLP053")</f>
        <v/>
      </c>
      <c r="K22" s="2" t="inlineStr"/>
      <c r="L22" s="2" t="inlineStr"/>
      <c r="M22" s="2" t="inlineStr"/>
      <c r="N22" s="2" t="inlineStr">
        <is>
          <t>No</t>
        </is>
      </c>
      <c r="O22" s="2" t="inlineStr">
        <is>
          <t>Unattempted</t>
        </is>
      </c>
    </row>
    <row r="23">
      <c r="A23" s="4" t="inlineStr">
        <is>
          <t>Other Practice Paths</t>
        </is>
      </c>
      <c r="B23" s="4" t="inlineStr">
        <is>
          <t>SQL case studies</t>
        </is>
      </c>
      <c r="C23" s="4" t="inlineStr">
        <is>
          <t>Put your SQL skills to the test. Get better at intermediate level Analytics using the case studies given in this practice path</t>
        </is>
      </c>
      <c r="D23" s="4" t="inlineStr">
        <is>
          <t>Case Study - Cinema Hall - Queries</t>
        </is>
      </c>
      <c r="E23" s="4" t="n">
        <v>22</v>
      </c>
      <c r="F23" s="4" t="inlineStr">
        <is>
          <t>Query-2</t>
        </is>
      </c>
      <c r="G23" s="4" t="inlineStr">
        <is>
          <t>SQLP054</t>
        </is>
      </c>
      <c r="H23" s="4" t="inlineStr"/>
      <c r="I23" s="4" t="inlineStr">
        <is>
          <t>Easy</t>
        </is>
      </c>
      <c r="J23" s="5">
        <f>HYPERLINK("https://www.codechef.com/problems/SQLP054", "https://www.codechef.com/problems/SQLP054")</f>
        <v/>
      </c>
      <c r="K23" s="4" t="inlineStr"/>
      <c r="L23" s="4" t="inlineStr"/>
      <c r="M23" s="4" t="inlineStr"/>
      <c r="N23" s="4" t="inlineStr">
        <is>
          <t>No</t>
        </is>
      </c>
      <c r="O23" s="4" t="inlineStr">
        <is>
          <t>Unattempted</t>
        </is>
      </c>
    </row>
    <row r="24">
      <c r="A24" s="2" t="inlineStr">
        <is>
          <t>Other Practice Paths</t>
        </is>
      </c>
      <c r="B24" s="2" t="inlineStr">
        <is>
          <t>SQL case studies</t>
        </is>
      </c>
      <c r="C24" s="2" t="inlineStr">
        <is>
          <t>Put your SQL skills to the test. Get better at intermediate level Analytics using the case studies given in this practice path</t>
        </is>
      </c>
      <c r="D24" s="2" t="inlineStr">
        <is>
          <t>Case Study - Cinema Hall - Queries</t>
        </is>
      </c>
      <c r="E24" s="2" t="n">
        <v>23</v>
      </c>
      <c r="F24" s="2" t="inlineStr">
        <is>
          <t>Query-3</t>
        </is>
      </c>
      <c r="G24" s="2" t="inlineStr">
        <is>
          <t>SQLP055</t>
        </is>
      </c>
      <c r="H24" s="2" t="inlineStr"/>
      <c r="I24" s="2" t="inlineStr">
        <is>
          <t>Easy</t>
        </is>
      </c>
      <c r="J24" s="3">
        <f>HYPERLINK("https://www.codechef.com/problems/SQLP055", "https://www.codechef.com/problems/SQLP055")</f>
        <v/>
      </c>
      <c r="K24" s="2" t="inlineStr"/>
      <c r="L24" s="2" t="inlineStr"/>
      <c r="M24" s="2" t="inlineStr"/>
      <c r="N24" s="2" t="inlineStr">
        <is>
          <t>No</t>
        </is>
      </c>
      <c r="O24" s="2" t="inlineStr">
        <is>
          <t>Unattempted</t>
        </is>
      </c>
    </row>
    <row r="25">
      <c r="A25" s="4" t="inlineStr">
        <is>
          <t>Other Practice Paths</t>
        </is>
      </c>
      <c r="B25" s="4" t="inlineStr">
        <is>
          <t>SQL case studies</t>
        </is>
      </c>
      <c r="C25" s="4" t="inlineStr">
        <is>
          <t>Put your SQL skills to the test. Get better at intermediate level Analytics using the case studies given in this practice path</t>
        </is>
      </c>
      <c r="D25" s="4" t="inlineStr">
        <is>
          <t>Case Study - Cinema Hall - Queries</t>
        </is>
      </c>
      <c r="E25" s="4" t="n">
        <v>24</v>
      </c>
      <c r="F25" s="4" t="inlineStr">
        <is>
          <t>Query-4</t>
        </is>
      </c>
      <c r="G25" s="4" t="inlineStr">
        <is>
          <t>SQLP056</t>
        </is>
      </c>
      <c r="H25" s="4" t="inlineStr"/>
      <c r="I25" s="4" t="inlineStr">
        <is>
          <t>Easy</t>
        </is>
      </c>
      <c r="J25" s="5">
        <f>HYPERLINK("https://www.codechef.com/problems/SQLP056", "https://www.codechef.com/problems/SQLP056")</f>
        <v/>
      </c>
      <c r="K25" s="4" t="inlineStr"/>
      <c r="L25" s="4" t="inlineStr"/>
      <c r="M25" s="4" t="inlineStr"/>
      <c r="N25" s="4" t="inlineStr">
        <is>
          <t>No</t>
        </is>
      </c>
      <c r="O25" s="4" t="inlineStr">
        <is>
          <t>Unattempted</t>
        </is>
      </c>
    </row>
    <row r="26">
      <c r="A26" s="2" t="inlineStr">
        <is>
          <t>Other Practice Paths</t>
        </is>
      </c>
      <c r="B26" s="2" t="inlineStr">
        <is>
          <t>SQL case studies</t>
        </is>
      </c>
      <c r="C26" s="2" t="inlineStr">
        <is>
          <t>Put your SQL skills to the test. Get better at intermediate level Analytics using the case studies given in this practice path</t>
        </is>
      </c>
      <c r="D26" s="2" t="inlineStr">
        <is>
          <t>Case Study - Cinema Hall - Queries</t>
        </is>
      </c>
      <c r="E26" s="2" t="n">
        <v>25</v>
      </c>
      <c r="F26" s="2" t="inlineStr">
        <is>
          <t>Query-5</t>
        </is>
      </c>
      <c r="G26" s="2" t="inlineStr">
        <is>
          <t>SQLP057</t>
        </is>
      </c>
      <c r="H26" s="2" t="inlineStr"/>
      <c r="I26" s="2" t="inlineStr">
        <is>
          <t>Easy</t>
        </is>
      </c>
      <c r="J26" s="3">
        <f>HYPERLINK("https://www.codechef.com/problems/SQLP057", "https://www.codechef.com/problems/SQLP057")</f>
        <v/>
      </c>
      <c r="K26" s="2" t="inlineStr"/>
      <c r="L26" s="2" t="inlineStr"/>
      <c r="M26" s="2" t="inlineStr"/>
      <c r="N26" s="2" t="inlineStr">
        <is>
          <t>No</t>
        </is>
      </c>
      <c r="O26" s="2" t="inlineStr">
        <is>
          <t>Unattempted</t>
        </is>
      </c>
    </row>
    <row r="27">
      <c r="A27" s="4" t="inlineStr">
        <is>
          <t>Other Practice Paths</t>
        </is>
      </c>
      <c r="B27" s="4" t="inlineStr">
        <is>
          <t>SQL case studies</t>
        </is>
      </c>
      <c r="C27" s="4" t="inlineStr">
        <is>
          <t>Put your SQL skills to the test. Get better at intermediate level Analytics using the case studies given in this practice path</t>
        </is>
      </c>
      <c r="D27" s="4" t="inlineStr">
        <is>
          <t>Case Study - Cinema Hall - Queries</t>
        </is>
      </c>
      <c r="E27" s="4" t="n">
        <v>26</v>
      </c>
      <c r="F27" s="4" t="inlineStr">
        <is>
          <t>Query-6</t>
        </is>
      </c>
      <c r="G27" s="4" t="inlineStr">
        <is>
          <t>SQLP058</t>
        </is>
      </c>
      <c r="H27" s="4" t="inlineStr"/>
      <c r="I27" s="4" t="inlineStr">
        <is>
          <t>Easy</t>
        </is>
      </c>
      <c r="J27" s="5">
        <f>HYPERLINK("https://www.codechef.com/problems/SQLP058", "https://www.codechef.com/problems/SQLP058")</f>
        <v/>
      </c>
      <c r="K27" s="4" t="inlineStr"/>
      <c r="L27" s="4" t="inlineStr"/>
      <c r="M27" s="4" t="inlineStr"/>
      <c r="N27" s="4" t="inlineStr">
        <is>
          <t>No</t>
        </is>
      </c>
      <c r="O27" s="4" t="inlineStr">
        <is>
          <t>Unattempted</t>
        </is>
      </c>
    </row>
    <row r="28">
      <c r="A28" s="2" t="inlineStr">
        <is>
          <t>Other Practice Paths</t>
        </is>
      </c>
      <c r="B28" s="2" t="inlineStr">
        <is>
          <t>SQL case studies</t>
        </is>
      </c>
      <c r="C28" s="2" t="inlineStr">
        <is>
          <t>Put your SQL skills to the test. Get better at intermediate level Analytics using the case studies given in this practice path</t>
        </is>
      </c>
      <c r="D28" s="2" t="inlineStr">
        <is>
          <t>Case Study - Cinema Hall - Queries</t>
        </is>
      </c>
      <c r="E28" s="2" t="n">
        <v>27</v>
      </c>
      <c r="F28" s="2" t="inlineStr">
        <is>
          <t>Query-7</t>
        </is>
      </c>
      <c r="G28" s="2" t="inlineStr">
        <is>
          <t>SQLP059</t>
        </is>
      </c>
      <c r="H28" s="2" t="inlineStr"/>
      <c r="I28" s="2" t="inlineStr">
        <is>
          <t>Medium</t>
        </is>
      </c>
      <c r="J28" s="3">
        <f>HYPERLINK("https://www.codechef.com/problems/SQLP059", "https://www.codechef.com/problems/SQLP059")</f>
        <v/>
      </c>
      <c r="K28" s="2" t="inlineStr"/>
      <c r="L28" s="2" t="inlineStr"/>
      <c r="M28" s="2" t="inlineStr"/>
      <c r="N28" s="2" t="inlineStr">
        <is>
          <t>No</t>
        </is>
      </c>
      <c r="O28" s="2" t="inlineStr">
        <is>
          <t>Unattempted</t>
        </is>
      </c>
    </row>
    <row r="29">
      <c r="A29" s="4" t="inlineStr">
        <is>
          <t>Other Practice Paths</t>
        </is>
      </c>
      <c r="B29" s="4" t="inlineStr">
        <is>
          <t>SQL case studies</t>
        </is>
      </c>
      <c r="C29" s="4" t="inlineStr">
        <is>
          <t>Put your SQL skills to the test. Get better at intermediate level Analytics using the case studies given in this practice path</t>
        </is>
      </c>
      <c r="D29" s="4" t="inlineStr">
        <is>
          <t>Case Study - Cinema Hall - Queries</t>
        </is>
      </c>
      <c r="E29" s="4" t="n">
        <v>28</v>
      </c>
      <c r="F29" s="4" t="inlineStr">
        <is>
          <t>Query-8</t>
        </is>
      </c>
      <c r="G29" s="4" t="inlineStr">
        <is>
          <t>SQLP060</t>
        </is>
      </c>
      <c r="H29" s="4" t="inlineStr"/>
      <c r="I29" s="4" t="inlineStr">
        <is>
          <t>Medium</t>
        </is>
      </c>
      <c r="J29" s="5">
        <f>HYPERLINK("https://www.codechef.com/problems/SQLP060", "https://www.codechef.com/problems/SQLP060")</f>
        <v/>
      </c>
      <c r="K29" s="4" t="inlineStr"/>
      <c r="L29" s="4" t="inlineStr"/>
      <c r="M29" s="4" t="inlineStr"/>
      <c r="N29" s="4" t="inlineStr">
        <is>
          <t>No</t>
        </is>
      </c>
      <c r="O29" s="4" t="inlineStr">
        <is>
          <t>Unattempted</t>
        </is>
      </c>
    </row>
    <row r="30">
      <c r="A30" s="2" t="inlineStr">
        <is>
          <t>Other Practice Paths</t>
        </is>
      </c>
      <c r="B30" s="2" t="inlineStr">
        <is>
          <t>SQL case studies</t>
        </is>
      </c>
      <c r="C30" s="2" t="inlineStr">
        <is>
          <t>Put your SQL skills to the test. Get better at intermediate level Analytics using the case studies given in this practice path</t>
        </is>
      </c>
      <c r="D30" s="2" t="inlineStr">
        <is>
          <t>Case Study - Cinema Hall - Queries</t>
        </is>
      </c>
      <c r="E30" s="2" t="n">
        <v>29</v>
      </c>
      <c r="F30" s="2" t="inlineStr">
        <is>
          <t>Query-9</t>
        </is>
      </c>
      <c r="G30" s="2" t="inlineStr">
        <is>
          <t>SQLP061</t>
        </is>
      </c>
      <c r="H30" s="2" t="inlineStr"/>
      <c r="I30" s="2" t="inlineStr">
        <is>
          <t>Medium</t>
        </is>
      </c>
      <c r="J30" s="3">
        <f>HYPERLINK("https://www.codechef.com/problems/SQLP061", "https://www.codechef.com/problems/SQLP061")</f>
        <v/>
      </c>
      <c r="K30" s="2" t="inlineStr"/>
      <c r="L30" s="2" t="inlineStr"/>
      <c r="M30" s="2" t="inlineStr"/>
      <c r="N30" s="2" t="inlineStr">
        <is>
          <t>No</t>
        </is>
      </c>
      <c r="O30" s="2" t="inlineStr">
        <is>
          <t>Unattempted</t>
        </is>
      </c>
    </row>
    <row r="31">
      <c r="A31" s="4" t="inlineStr">
        <is>
          <t>Other Practice Paths</t>
        </is>
      </c>
      <c r="B31" s="4" t="inlineStr">
        <is>
          <t>SQL case studies</t>
        </is>
      </c>
      <c r="C31" s="4" t="inlineStr">
        <is>
          <t>Put your SQL skills to the test. Get better at intermediate level Analytics using the case studies given in this practice path</t>
        </is>
      </c>
      <c r="D31" s="4" t="inlineStr">
        <is>
          <t>Case Study - Cinema Hall - Queries</t>
        </is>
      </c>
      <c r="E31" s="4" t="n">
        <v>30</v>
      </c>
      <c r="F31" s="4" t="inlineStr">
        <is>
          <t>Query-10</t>
        </is>
      </c>
      <c r="G31" s="4" t="inlineStr">
        <is>
          <t>SQLP062</t>
        </is>
      </c>
      <c r="H31" s="4" t="inlineStr"/>
      <c r="I31" s="4" t="inlineStr">
        <is>
          <t>Medium</t>
        </is>
      </c>
      <c r="J31" s="5">
        <f>HYPERLINK("https://www.codechef.com/problems/SQLP062", "https://www.codechef.com/problems/SQLP062")</f>
        <v/>
      </c>
      <c r="K31" s="4" t="inlineStr"/>
      <c r="L31" s="4" t="inlineStr"/>
      <c r="M31" s="4" t="inlineStr"/>
      <c r="N31" s="4" t="inlineStr">
        <is>
          <t>No</t>
        </is>
      </c>
      <c r="O31" s="4" t="inlineStr">
        <is>
          <t>Unattempted</t>
        </is>
      </c>
    </row>
    <row r="32">
      <c r="A32" s="2" t="inlineStr">
        <is>
          <t>Other Practice Paths</t>
        </is>
      </c>
      <c r="B32" s="2" t="inlineStr">
        <is>
          <t>SQL case studies</t>
        </is>
      </c>
      <c r="C32" s="2" t="inlineStr">
        <is>
          <t>Put your SQL skills to the test. Get better at intermediate level Analytics using the case studies given in this practice path</t>
        </is>
      </c>
      <c r="D32" s="2" t="inlineStr">
        <is>
          <t>Case Study - Cinema Hall - Queries</t>
        </is>
      </c>
      <c r="E32" s="2" t="n">
        <v>31</v>
      </c>
      <c r="F32" s="2" t="inlineStr">
        <is>
          <t>Query-11</t>
        </is>
      </c>
      <c r="G32" s="2" t="inlineStr">
        <is>
          <t>SQLP063</t>
        </is>
      </c>
      <c r="H32" s="2" t="inlineStr"/>
      <c r="I32" s="2" t="inlineStr">
        <is>
          <t>Medium</t>
        </is>
      </c>
      <c r="J32" s="3">
        <f>HYPERLINK("https://www.codechef.com/problems/SQLP063", "https://www.codechef.com/problems/SQLP063")</f>
        <v/>
      </c>
      <c r="K32" s="2" t="inlineStr"/>
      <c r="L32" s="2" t="inlineStr"/>
      <c r="M32" s="2" t="inlineStr"/>
      <c r="N32" s="2" t="inlineStr">
        <is>
          <t>No</t>
        </is>
      </c>
      <c r="O32" s="2" t="inlineStr">
        <is>
          <t>Unattempted</t>
        </is>
      </c>
    </row>
    <row r="33">
      <c r="A33" s="4" t="inlineStr">
        <is>
          <t>Other Practice Paths</t>
        </is>
      </c>
      <c r="B33" s="4" t="inlineStr">
        <is>
          <t>SQL case studies</t>
        </is>
      </c>
      <c r="C33" s="4" t="inlineStr">
        <is>
          <t>Put your SQL skills to the test. Get better at intermediate level Analytics using the case studies given in this practice path</t>
        </is>
      </c>
      <c r="D33" s="4" t="inlineStr">
        <is>
          <t>Case Study - Cinema Hall - Queries</t>
        </is>
      </c>
      <c r="E33" s="4" t="n">
        <v>32</v>
      </c>
      <c r="F33" s="4" t="inlineStr">
        <is>
          <t>Query-12</t>
        </is>
      </c>
      <c r="G33" s="4" t="inlineStr">
        <is>
          <t>SQLP064</t>
        </is>
      </c>
      <c r="H33" s="4" t="inlineStr"/>
      <c r="I33" s="4" t="inlineStr">
        <is>
          <t>Medium</t>
        </is>
      </c>
      <c r="J33" s="5">
        <f>HYPERLINK("https://www.codechef.com/problems/SQLP064", "https://www.codechef.com/problems/SQLP064")</f>
        <v/>
      </c>
      <c r="K33" s="4" t="inlineStr"/>
      <c r="L33" s="4" t="inlineStr"/>
      <c r="M33" s="4" t="inlineStr"/>
      <c r="N33" s="4" t="inlineStr">
        <is>
          <t>No</t>
        </is>
      </c>
      <c r="O33" s="4" t="inlineStr">
        <is>
          <t>Unattempted</t>
        </is>
      </c>
    </row>
    <row r="34">
      <c r="A34" s="2" t="inlineStr">
        <is>
          <t>Other Practice Paths</t>
        </is>
      </c>
      <c r="B34" s="2" t="inlineStr">
        <is>
          <t>SQL case studies</t>
        </is>
      </c>
      <c r="C34" s="2" t="inlineStr">
        <is>
          <t>Put your SQL skills to the test. Get better at intermediate level Analytics using the case studies given in this practice path</t>
        </is>
      </c>
      <c r="D34" s="2" t="inlineStr">
        <is>
          <t>Case Study - Online Education Courses - MCQ</t>
        </is>
      </c>
      <c r="E34" s="2" t="n">
        <v>33</v>
      </c>
      <c r="F34" s="2" t="inlineStr">
        <is>
          <t>Case Study - Online Education Courses</t>
        </is>
      </c>
      <c r="G34" s="2" t="inlineStr">
        <is>
          <t>SQLP085</t>
        </is>
      </c>
      <c r="H34" s="2" t="inlineStr"/>
      <c r="I34" s="2" t="inlineStr">
        <is>
          <t>Medium</t>
        </is>
      </c>
      <c r="J34" s="3">
        <f>HYPERLINK("https://www.codechef.com/problems/SQLP085", "https://www.codechef.com/problems/SQLP085")</f>
        <v/>
      </c>
      <c r="K34" s="2" t="inlineStr"/>
      <c r="L34" s="2" t="inlineStr"/>
      <c r="M34" s="2" t="inlineStr"/>
      <c r="N34" s="2" t="inlineStr">
        <is>
          <t>No</t>
        </is>
      </c>
      <c r="O34" s="2" t="inlineStr">
        <is>
          <t>Unattempted</t>
        </is>
      </c>
    </row>
    <row r="35">
      <c r="A35" s="4" t="inlineStr">
        <is>
          <t>Other Practice Paths</t>
        </is>
      </c>
      <c r="B35" s="4" t="inlineStr">
        <is>
          <t>SQL case studies</t>
        </is>
      </c>
      <c r="C35" s="4" t="inlineStr">
        <is>
          <t>Put your SQL skills to the test. Get better at intermediate level Analytics using the case studies given in this practice path</t>
        </is>
      </c>
      <c r="D35" s="4" t="inlineStr">
        <is>
          <t>Case Study - Online Education Courses - MCQ</t>
        </is>
      </c>
      <c r="E35" s="4" t="n">
        <v>34</v>
      </c>
      <c r="F35" s="4" t="inlineStr">
        <is>
          <t>Rearrange1</t>
        </is>
      </c>
      <c r="G35" s="4" t="inlineStr">
        <is>
          <t>SQLP086</t>
        </is>
      </c>
      <c r="H35" s="4" t="inlineStr"/>
      <c r="I35" s="4" t="inlineStr">
        <is>
          <t>Medium</t>
        </is>
      </c>
      <c r="J35" s="5">
        <f>HYPERLINK("https://www.codechef.com/problems/SQLP086", "https://www.codechef.com/problems/SQLP086")</f>
        <v/>
      </c>
      <c r="K35" s="4" t="inlineStr"/>
      <c r="L35" s="4" t="inlineStr"/>
      <c r="M35" s="4" t="inlineStr"/>
      <c r="N35" s="4" t="inlineStr">
        <is>
          <t>No</t>
        </is>
      </c>
      <c r="O35" s="4" t="inlineStr">
        <is>
          <t>Unattempted</t>
        </is>
      </c>
    </row>
    <row r="36">
      <c r="A36" s="2" t="inlineStr">
        <is>
          <t>Other Practice Paths</t>
        </is>
      </c>
      <c r="B36" s="2" t="inlineStr">
        <is>
          <t>SQL case studies</t>
        </is>
      </c>
      <c r="C36" s="2" t="inlineStr">
        <is>
          <t>Put your SQL skills to the test. Get better at intermediate level Analytics using the case studies given in this practice path</t>
        </is>
      </c>
      <c r="D36" s="2" t="inlineStr">
        <is>
          <t>Case Study - Online Education Courses - MCQ</t>
        </is>
      </c>
      <c r="E36" s="2" t="n">
        <v>35</v>
      </c>
      <c r="F36" s="2" t="inlineStr">
        <is>
          <t>MCQ2</t>
        </is>
      </c>
      <c r="G36" s="2" t="inlineStr">
        <is>
          <t>SQLP077</t>
        </is>
      </c>
      <c r="H36" s="2" t="inlineStr"/>
      <c r="I36" s="2" t="inlineStr">
        <is>
          <t>Easy</t>
        </is>
      </c>
      <c r="J36" s="3">
        <f>HYPERLINK("https://www.codechef.com/problems/SQLP077", "https://www.codechef.com/problems/SQLP077")</f>
        <v/>
      </c>
      <c r="K36" s="2" t="inlineStr"/>
      <c r="L36" s="2" t="inlineStr"/>
      <c r="M36" s="2" t="inlineStr"/>
      <c r="N36" s="2" t="inlineStr">
        <is>
          <t>No</t>
        </is>
      </c>
      <c r="O36" s="2" t="inlineStr">
        <is>
          <t>Unattempted</t>
        </is>
      </c>
    </row>
    <row r="37">
      <c r="A37" s="4" t="inlineStr">
        <is>
          <t>Other Practice Paths</t>
        </is>
      </c>
      <c r="B37" s="4" t="inlineStr">
        <is>
          <t>SQL case studies</t>
        </is>
      </c>
      <c r="C37" s="4" t="inlineStr">
        <is>
          <t>Put your SQL skills to the test. Get better at intermediate level Analytics using the case studies given in this practice path</t>
        </is>
      </c>
      <c r="D37" s="4" t="inlineStr">
        <is>
          <t>Case Study - Online Education Courses - MCQ</t>
        </is>
      </c>
      <c r="E37" s="4" t="n">
        <v>36</v>
      </c>
      <c r="F37" s="4" t="inlineStr">
        <is>
          <t>MCQ3</t>
        </is>
      </c>
      <c r="G37" s="4" t="inlineStr">
        <is>
          <t>SQLP078</t>
        </is>
      </c>
      <c r="H37" s="4" t="inlineStr"/>
      <c r="I37" s="4" t="inlineStr">
        <is>
          <t>Easy</t>
        </is>
      </c>
      <c r="J37" s="5">
        <f>HYPERLINK("https://www.codechef.com/problems/SQLP078", "https://www.codechef.com/problems/SQLP078")</f>
        <v/>
      </c>
      <c r="K37" s="4" t="inlineStr"/>
      <c r="L37" s="4" t="inlineStr"/>
      <c r="M37" s="4" t="inlineStr"/>
      <c r="N37" s="4" t="inlineStr">
        <is>
          <t>No</t>
        </is>
      </c>
      <c r="O37" s="4" t="inlineStr">
        <is>
          <t>Unattempted</t>
        </is>
      </c>
    </row>
    <row r="38">
      <c r="A38" s="2" t="inlineStr">
        <is>
          <t>Other Practice Paths</t>
        </is>
      </c>
      <c r="B38" s="2" t="inlineStr">
        <is>
          <t>SQL case studies</t>
        </is>
      </c>
      <c r="C38" s="2" t="inlineStr">
        <is>
          <t>Put your SQL skills to the test. Get better at intermediate level Analytics using the case studies given in this practice path</t>
        </is>
      </c>
      <c r="D38" s="2" t="inlineStr">
        <is>
          <t>Case Study - Online Education Courses - MCQ</t>
        </is>
      </c>
      <c r="E38" s="2" t="n">
        <v>37</v>
      </c>
      <c r="F38" s="2" t="inlineStr">
        <is>
          <t>MCQ4</t>
        </is>
      </c>
      <c r="G38" s="2" t="inlineStr">
        <is>
          <t>SQLP094</t>
        </is>
      </c>
      <c r="H38" s="2" t="inlineStr"/>
      <c r="I38" s="2" t="inlineStr">
        <is>
          <t>Easy</t>
        </is>
      </c>
      <c r="J38" s="3">
        <f>HYPERLINK("https://www.codechef.com/problems/SQLP094", "https://www.codechef.com/problems/SQLP094")</f>
        <v/>
      </c>
      <c r="K38" s="2" t="inlineStr"/>
      <c r="L38" s="2" t="inlineStr"/>
      <c r="M38" s="2" t="inlineStr"/>
      <c r="N38" s="2" t="inlineStr">
        <is>
          <t>No</t>
        </is>
      </c>
      <c r="O38" s="2" t="inlineStr">
        <is>
          <t>Unattempted</t>
        </is>
      </c>
    </row>
    <row r="39">
      <c r="A39" s="4" t="inlineStr">
        <is>
          <t>Other Practice Paths</t>
        </is>
      </c>
      <c r="B39" s="4" t="inlineStr">
        <is>
          <t>SQL case studies</t>
        </is>
      </c>
      <c r="C39" s="4" t="inlineStr">
        <is>
          <t>Put your SQL skills to the test. Get better at intermediate level Analytics using the case studies given in this practice path</t>
        </is>
      </c>
      <c r="D39" s="4" t="inlineStr">
        <is>
          <t>Case Study - Online Education Courses - MCQ</t>
        </is>
      </c>
      <c r="E39" s="4" t="n">
        <v>38</v>
      </c>
      <c r="F39" s="4" t="inlineStr">
        <is>
          <t>MCQ5</t>
        </is>
      </c>
      <c r="G39" s="4" t="inlineStr">
        <is>
          <t>SQLP079</t>
        </is>
      </c>
      <c r="H39" s="4" t="inlineStr"/>
      <c r="I39" s="4" t="inlineStr">
        <is>
          <t>Easy</t>
        </is>
      </c>
      <c r="J39" s="5">
        <f>HYPERLINK("https://www.codechef.com/problems/SQLP079", "https://www.codechef.com/problems/SQLP079")</f>
        <v/>
      </c>
      <c r="K39" s="4" t="inlineStr"/>
      <c r="L39" s="4" t="inlineStr"/>
      <c r="M39" s="4" t="inlineStr"/>
      <c r="N39" s="4" t="inlineStr">
        <is>
          <t>No</t>
        </is>
      </c>
      <c r="O39" s="4" t="inlineStr">
        <is>
          <t>Unattempted</t>
        </is>
      </c>
    </row>
    <row r="40">
      <c r="A40" s="2" t="inlineStr">
        <is>
          <t>Other Practice Paths</t>
        </is>
      </c>
      <c r="B40" s="2" t="inlineStr">
        <is>
          <t>SQL case studies</t>
        </is>
      </c>
      <c r="C40" s="2" t="inlineStr">
        <is>
          <t>Put your SQL skills to the test. Get better at intermediate level Analytics using the case studies given in this practice path</t>
        </is>
      </c>
      <c r="D40" s="2" t="inlineStr">
        <is>
          <t>Case Study - Online Education Courses - MCQ</t>
        </is>
      </c>
      <c r="E40" s="2" t="n">
        <v>39</v>
      </c>
      <c r="F40" s="2" t="inlineStr">
        <is>
          <t>MCQ6</t>
        </is>
      </c>
      <c r="G40" s="2" t="inlineStr">
        <is>
          <t>SQLP080</t>
        </is>
      </c>
      <c r="H40" s="2" t="inlineStr"/>
      <c r="I40" s="2" t="inlineStr">
        <is>
          <t>Easy</t>
        </is>
      </c>
      <c r="J40" s="3">
        <f>HYPERLINK("https://www.codechef.com/problems/SQLP080", "https://www.codechef.com/problems/SQLP080")</f>
        <v/>
      </c>
      <c r="K40" s="2" t="inlineStr"/>
      <c r="L40" s="2" t="inlineStr"/>
      <c r="M40" s="2" t="inlineStr"/>
      <c r="N40" s="2" t="inlineStr">
        <is>
          <t>No</t>
        </is>
      </c>
      <c r="O40" s="2" t="inlineStr">
        <is>
          <t>Unattempted</t>
        </is>
      </c>
    </row>
    <row r="41">
      <c r="A41" s="4" t="inlineStr">
        <is>
          <t>Other Practice Paths</t>
        </is>
      </c>
      <c r="B41" s="4" t="inlineStr">
        <is>
          <t>SQL case studies</t>
        </is>
      </c>
      <c r="C41" s="4" t="inlineStr">
        <is>
          <t>Put your SQL skills to the test. Get better at intermediate level Analytics using the case studies given in this practice path</t>
        </is>
      </c>
      <c r="D41" s="4" t="inlineStr">
        <is>
          <t>Case Study - Online Education Courses - MCQ</t>
        </is>
      </c>
      <c r="E41" s="4" t="n">
        <v>40</v>
      </c>
      <c r="F41" s="4" t="inlineStr">
        <is>
          <t>MCQ7</t>
        </is>
      </c>
      <c r="G41" s="4" t="inlineStr">
        <is>
          <t>SQLP081</t>
        </is>
      </c>
      <c r="H41" s="4" t="inlineStr"/>
      <c r="I41" s="4" t="inlineStr">
        <is>
          <t>Easy</t>
        </is>
      </c>
      <c r="J41" s="5">
        <f>HYPERLINK("https://www.codechef.com/problems/SQLP081", "https://www.codechef.com/problems/SQLP081")</f>
        <v/>
      </c>
      <c r="K41" s="4" t="inlineStr"/>
      <c r="L41" s="4" t="inlineStr"/>
      <c r="M41" s="4" t="inlineStr"/>
      <c r="N41" s="4" t="inlineStr">
        <is>
          <t>No</t>
        </is>
      </c>
      <c r="O41" s="4" t="inlineStr">
        <is>
          <t>Unattempted</t>
        </is>
      </c>
    </row>
    <row r="42">
      <c r="A42" s="2" t="inlineStr">
        <is>
          <t>Other Practice Paths</t>
        </is>
      </c>
      <c r="B42" s="2" t="inlineStr">
        <is>
          <t>SQL case studies</t>
        </is>
      </c>
      <c r="C42" s="2" t="inlineStr">
        <is>
          <t>Put your SQL skills to the test. Get better at intermediate level Analytics using the case studies given in this practice path</t>
        </is>
      </c>
      <c r="D42" s="2" t="inlineStr">
        <is>
          <t>Case Study - Online Education Courses - MCQ</t>
        </is>
      </c>
      <c r="E42" s="2" t="n">
        <v>41</v>
      </c>
      <c r="F42" s="2" t="inlineStr">
        <is>
          <t>MCQ8</t>
        </is>
      </c>
      <c r="G42" s="2" t="inlineStr">
        <is>
          <t>SQLP082</t>
        </is>
      </c>
      <c r="H42" s="2" t="inlineStr"/>
      <c r="I42" s="2" t="inlineStr">
        <is>
          <t>Easy</t>
        </is>
      </c>
      <c r="J42" s="3">
        <f>HYPERLINK("https://www.codechef.com/problems/SQLP082", "https://www.codechef.com/problems/SQLP082")</f>
        <v/>
      </c>
      <c r="K42" s="2" t="inlineStr"/>
      <c r="L42" s="2" t="inlineStr"/>
      <c r="M42" s="2" t="inlineStr"/>
      <c r="N42" s="2" t="inlineStr">
        <is>
          <t>No</t>
        </is>
      </c>
      <c r="O42" s="2" t="inlineStr">
        <is>
          <t>Unattempted</t>
        </is>
      </c>
    </row>
    <row r="43">
      <c r="A43" s="4" t="inlineStr">
        <is>
          <t>Other Practice Paths</t>
        </is>
      </c>
      <c r="B43" s="4" t="inlineStr">
        <is>
          <t>SQL case studies</t>
        </is>
      </c>
      <c r="C43" s="4" t="inlineStr">
        <is>
          <t>Put your SQL skills to the test. Get better at intermediate level Analytics using the case studies given in this practice path</t>
        </is>
      </c>
      <c r="D43" s="4" t="inlineStr">
        <is>
          <t>Case Study - Online Education Courses - MCQ</t>
        </is>
      </c>
      <c r="E43" s="4" t="n">
        <v>42</v>
      </c>
      <c r="F43" s="4" t="inlineStr">
        <is>
          <t>MCQ9</t>
        </is>
      </c>
      <c r="G43" s="4" t="inlineStr">
        <is>
          <t>SQLP083</t>
        </is>
      </c>
      <c r="H43" s="4" t="inlineStr"/>
      <c r="I43" s="4" t="inlineStr">
        <is>
          <t>Easy</t>
        </is>
      </c>
      <c r="J43" s="5">
        <f>HYPERLINK("https://www.codechef.com/problems/SQLP083", "https://www.codechef.com/problems/SQLP083")</f>
        <v/>
      </c>
      <c r="K43" s="4" t="inlineStr"/>
      <c r="L43" s="4" t="inlineStr"/>
      <c r="M43" s="4" t="inlineStr"/>
      <c r="N43" s="4" t="inlineStr">
        <is>
          <t>No</t>
        </is>
      </c>
      <c r="O43" s="4" t="inlineStr">
        <is>
          <t>Unattempted</t>
        </is>
      </c>
    </row>
    <row r="44">
      <c r="A44" s="2" t="inlineStr">
        <is>
          <t>Other Practice Paths</t>
        </is>
      </c>
      <c r="B44" s="2" t="inlineStr">
        <is>
          <t>SQL case studies</t>
        </is>
      </c>
      <c r="C44" s="2" t="inlineStr">
        <is>
          <t>Put your SQL skills to the test. Get better at intermediate level Analytics using the case studies given in this practice path</t>
        </is>
      </c>
      <c r="D44" s="2" t="inlineStr">
        <is>
          <t>Case Study - Online Education Courses - MCQ</t>
        </is>
      </c>
      <c r="E44" s="2" t="n">
        <v>43</v>
      </c>
      <c r="F44" s="2" t="inlineStr">
        <is>
          <t>MCQ10</t>
        </is>
      </c>
      <c r="G44" s="2" t="inlineStr">
        <is>
          <t>SQLP084</t>
        </is>
      </c>
      <c r="H44" s="2" t="inlineStr"/>
      <c r="I44" s="2" t="inlineStr">
        <is>
          <t>Easy</t>
        </is>
      </c>
      <c r="J44" s="3">
        <f>HYPERLINK("https://www.codechef.com/problems/SQLP084", "https://www.codechef.com/problems/SQLP084")</f>
        <v/>
      </c>
      <c r="K44" s="2" t="inlineStr"/>
      <c r="L44" s="2" t="inlineStr"/>
      <c r="M44" s="2" t="inlineStr"/>
      <c r="N44" s="2" t="inlineStr">
        <is>
          <t>No</t>
        </is>
      </c>
      <c r="O44" s="2" t="inlineStr">
        <is>
          <t>Unattempted</t>
        </is>
      </c>
    </row>
    <row r="45">
      <c r="A45" s="4" t="inlineStr">
        <is>
          <t>Other Practice Paths</t>
        </is>
      </c>
      <c r="B45" s="4" t="inlineStr">
        <is>
          <t>SQL case studies</t>
        </is>
      </c>
      <c r="C45" s="4" t="inlineStr">
        <is>
          <t>Put your SQL skills to the test. Get better at intermediate level Analytics using the case studies given in this practice path</t>
        </is>
      </c>
      <c r="D45" s="4" t="inlineStr">
        <is>
          <t>Case Study - Online Education Courses - MCQ</t>
        </is>
      </c>
      <c r="E45" s="4" t="n">
        <v>44</v>
      </c>
      <c r="F45" s="4" t="inlineStr">
        <is>
          <t>MCQ11</t>
        </is>
      </c>
      <c r="G45" s="4" t="inlineStr">
        <is>
          <t>SQLP087</t>
        </is>
      </c>
      <c r="H45" s="4" t="inlineStr"/>
      <c r="I45" s="4" t="inlineStr">
        <is>
          <t>Easy</t>
        </is>
      </c>
      <c r="J45" s="5">
        <f>HYPERLINK("https://www.codechef.com/problems/SQLP087", "https://www.codechef.com/problems/SQLP087")</f>
        <v/>
      </c>
      <c r="K45" s="4" t="inlineStr"/>
      <c r="L45" s="4" t="inlineStr"/>
      <c r="M45" s="4" t="inlineStr"/>
      <c r="N45" s="4" t="inlineStr">
        <is>
          <t>No</t>
        </is>
      </c>
      <c r="O45" s="4" t="inlineStr">
        <is>
          <t>Unattempted</t>
        </is>
      </c>
    </row>
    <row r="46">
      <c r="A46" s="2" t="inlineStr">
        <is>
          <t>Other Practice Paths</t>
        </is>
      </c>
      <c r="B46" s="2" t="inlineStr">
        <is>
          <t>SQL case studies</t>
        </is>
      </c>
      <c r="C46" s="2" t="inlineStr">
        <is>
          <t>Put your SQL skills to the test. Get better at intermediate level Analytics using the case studies given in this practice path</t>
        </is>
      </c>
      <c r="D46" s="2" t="inlineStr">
        <is>
          <t>Case Study - Online Education Courses - MCQ</t>
        </is>
      </c>
      <c r="E46" s="2" t="n">
        <v>45</v>
      </c>
      <c r="F46" s="2" t="inlineStr">
        <is>
          <t>MCQ12</t>
        </is>
      </c>
      <c r="G46" s="2" t="inlineStr">
        <is>
          <t>SQLP088</t>
        </is>
      </c>
      <c r="H46" s="2" t="inlineStr"/>
      <c r="I46" s="2" t="inlineStr">
        <is>
          <t>Easy</t>
        </is>
      </c>
      <c r="J46" s="3">
        <f>HYPERLINK("https://www.codechef.com/problems/SQLP088", "https://www.codechef.com/problems/SQLP088")</f>
        <v/>
      </c>
      <c r="K46" s="2" t="inlineStr"/>
      <c r="L46" s="2" t="inlineStr"/>
      <c r="M46" s="2" t="inlineStr"/>
      <c r="N46" s="2" t="inlineStr">
        <is>
          <t>No</t>
        </is>
      </c>
      <c r="O46" s="2" t="inlineStr">
        <is>
          <t>Unattempted</t>
        </is>
      </c>
    </row>
    <row r="47">
      <c r="A47" s="4" t="inlineStr">
        <is>
          <t>Other Practice Paths</t>
        </is>
      </c>
      <c r="B47" s="4" t="inlineStr">
        <is>
          <t>SQL case studies</t>
        </is>
      </c>
      <c r="C47" s="4" t="inlineStr">
        <is>
          <t>Put your SQL skills to the test. Get better at intermediate level Analytics using the case studies given in this practice path</t>
        </is>
      </c>
      <c r="D47" s="4" t="inlineStr">
        <is>
          <t>Case Study - Online Education Courses - MCQ</t>
        </is>
      </c>
      <c r="E47" s="4" t="n">
        <v>46</v>
      </c>
      <c r="F47" s="4" t="inlineStr">
        <is>
          <t>MCQ13</t>
        </is>
      </c>
      <c r="G47" s="4" t="inlineStr">
        <is>
          <t>SQLP089</t>
        </is>
      </c>
      <c r="H47" s="4" t="inlineStr"/>
      <c r="I47" s="4" t="inlineStr">
        <is>
          <t>Easy</t>
        </is>
      </c>
      <c r="J47" s="5">
        <f>HYPERLINK("https://www.codechef.com/problems/SQLP089", "https://www.codechef.com/problems/SQLP089")</f>
        <v/>
      </c>
      <c r="K47" s="4" t="inlineStr"/>
      <c r="L47" s="4" t="inlineStr"/>
      <c r="M47" s="4" t="inlineStr"/>
      <c r="N47" s="4" t="inlineStr">
        <is>
          <t>No</t>
        </is>
      </c>
      <c r="O47" s="4" t="inlineStr">
        <is>
          <t>Unattempted</t>
        </is>
      </c>
    </row>
    <row r="48">
      <c r="A48" s="2" t="inlineStr">
        <is>
          <t>Other Practice Paths</t>
        </is>
      </c>
      <c r="B48" s="2" t="inlineStr">
        <is>
          <t>SQL case studies</t>
        </is>
      </c>
      <c r="C48" s="2" t="inlineStr">
        <is>
          <t>Put your SQL skills to the test. Get better at intermediate level Analytics using the case studies given in this practice path</t>
        </is>
      </c>
      <c r="D48" s="2" t="inlineStr">
        <is>
          <t>Case Study - Online Education Courses - MCQ</t>
        </is>
      </c>
      <c r="E48" s="2" t="n">
        <v>47</v>
      </c>
      <c r="F48" s="2" t="inlineStr">
        <is>
          <t>MCQ14</t>
        </is>
      </c>
      <c r="G48" s="2" t="inlineStr">
        <is>
          <t>SQLP090</t>
        </is>
      </c>
      <c r="H48" s="2" t="inlineStr"/>
      <c r="I48" s="2" t="inlineStr">
        <is>
          <t>Easy</t>
        </is>
      </c>
      <c r="J48" s="3">
        <f>HYPERLINK("https://www.codechef.com/problems/SQLP090", "https://www.codechef.com/problems/SQLP090")</f>
        <v/>
      </c>
      <c r="K48" s="2" t="inlineStr"/>
      <c r="L48" s="2" t="inlineStr"/>
      <c r="M48" s="2" t="inlineStr"/>
      <c r="N48" s="2" t="inlineStr">
        <is>
          <t>No</t>
        </is>
      </c>
      <c r="O48" s="2" t="inlineStr">
        <is>
          <t>Unattempted</t>
        </is>
      </c>
    </row>
    <row r="49">
      <c r="A49" s="4" t="inlineStr">
        <is>
          <t>Other Practice Paths</t>
        </is>
      </c>
      <c r="B49" s="4" t="inlineStr">
        <is>
          <t>SQL case studies</t>
        </is>
      </c>
      <c r="C49" s="4" t="inlineStr">
        <is>
          <t>Put your SQL skills to the test. Get better at intermediate level Analytics using the case studies given in this practice path</t>
        </is>
      </c>
      <c r="D49" s="4" t="inlineStr">
        <is>
          <t>Case Study - Online Education Courses - MCQ</t>
        </is>
      </c>
      <c r="E49" s="4" t="n">
        <v>48</v>
      </c>
      <c r="F49" s="4" t="inlineStr">
        <is>
          <t>MCQ15</t>
        </is>
      </c>
      <c r="G49" s="4" t="inlineStr">
        <is>
          <t>SQLP091</t>
        </is>
      </c>
      <c r="H49" s="4" t="inlineStr"/>
      <c r="I49" s="4" t="inlineStr">
        <is>
          <t>Easy</t>
        </is>
      </c>
      <c r="J49" s="5">
        <f>HYPERLINK("https://www.codechef.com/problems/SQLP091", "https://www.codechef.com/problems/SQLP091")</f>
        <v/>
      </c>
      <c r="K49" s="4" t="inlineStr"/>
      <c r="L49" s="4" t="inlineStr"/>
      <c r="M49" s="4" t="inlineStr"/>
      <c r="N49" s="4" t="inlineStr">
        <is>
          <t>No</t>
        </is>
      </c>
      <c r="O49" s="4" t="inlineStr">
        <is>
          <t>Unattempted</t>
        </is>
      </c>
    </row>
    <row r="50">
      <c r="A50" s="2" t="inlineStr">
        <is>
          <t>Other Practice Paths</t>
        </is>
      </c>
      <c r="B50" s="2" t="inlineStr">
        <is>
          <t>SQL case studies</t>
        </is>
      </c>
      <c r="C50" s="2" t="inlineStr">
        <is>
          <t>Put your SQL skills to the test. Get better at intermediate level Analytics using the case studies given in this practice path</t>
        </is>
      </c>
      <c r="D50" s="2" t="inlineStr">
        <is>
          <t>Case Study - Online Education Courses - MCQ</t>
        </is>
      </c>
      <c r="E50" s="2" t="n">
        <v>49</v>
      </c>
      <c r="F50" s="2" t="inlineStr">
        <is>
          <t>MCQ16</t>
        </is>
      </c>
      <c r="G50" s="2" t="inlineStr">
        <is>
          <t>SQLP092</t>
        </is>
      </c>
      <c r="H50" s="2" t="inlineStr"/>
      <c r="I50" s="2" t="inlineStr">
        <is>
          <t>Easy</t>
        </is>
      </c>
      <c r="J50" s="3">
        <f>HYPERLINK("https://www.codechef.com/problems/SQLP092", "https://www.codechef.com/problems/SQLP092")</f>
        <v/>
      </c>
      <c r="K50" s="2" t="inlineStr"/>
      <c r="L50" s="2" t="inlineStr"/>
      <c r="M50" s="2" t="inlineStr"/>
      <c r="N50" s="2" t="inlineStr">
        <is>
          <t>No</t>
        </is>
      </c>
      <c r="O50" s="2" t="inlineStr">
        <is>
          <t>Unattempted</t>
        </is>
      </c>
    </row>
    <row r="51">
      <c r="A51" s="4" t="inlineStr">
        <is>
          <t>Other Practice Paths</t>
        </is>
      </c>
      <c r="B51" s="4" t="inlineStr">
        <is>
          <t>SQL case studies</t>
        </is>
      </c>
      <c r="C51" s="4" t="inlineStr">
        <is>
          <t>Put your SQL skills to the test. Get better at intermediate level Analytics using the case studies given in this practice path</t>
        </is>
      </c>
      <c r="D51" s="4" t="inlineStr">
        <is>
          <t>Case Study - Online Education Courses - MCQ</t>
        </is>
      </c>
      <c r="E51" s="4" t="n">
        <v>50</v>
      </c>
      <c r="F51" s="4" t="inlineStr">
        <is>
          <t>MCQ17</t>
        </is>
      </c>
      <c r="G51" s="4" t="inlineStr">
        <is>
          <t>SQLP093</t>
        </is>
      </c>
      <c r="H51" s="4" t="inlineStr"/>
      <c r="I51" s="4" t="inlineStr">
        <is>
          <t>Easy</t>
        </is>
      </c>
      <c r="J51" s="5">
        <f>HYPERLINK("https://www.codechef.com/problems/SQLP093", "https://www.codechef.com/problems/SQLP093")</f>
        <v/>
      </c>
      <c r="K51" s="4" t="inlineStr"/>
      <c r="L51" s="4" t="inlineStr"/>
      <c r="M51" s="4" t="inlineStr"/>
      <c r="N51" s="4" t="inlineStr">
        <is>
          <t>No</t>
        </is>
      </c>
      <c r="O51" s="4" t="inlineStr">
        <is>
          <t>Unattempted</t>
        </is>
      </c>
    </row>
    <row r="52">
      <c r="A52" s="2" t="inlineStr">
        <is>
          <t>Other Practice Paths</t>
        </is>
      </c>
      <c r="B52" s="2" t="inlineStr">
        <is>
          <t>SQL case studies</t>
        </is>
      </c>
      <c r="C52" s="2" t="inlineStr">
        <is>
          <t>Put your SQL skills to the test. Get better at intermediate level Analytics using the case studies given in this practice path</t>
        </is>
      </c>
      <c r="D52" s="2" t="inlineStr">
        <is>
          <t>Case Study - Online Education Courses - MCQ</t>
        </is>
      </c>
      <c r="E52" s="2" t="n">
        <v>51</v>
      </c>
      <c r="F52" s="2" t="inlineStr">
        <is>
          <t>REARRANGE2</t>
        </is>
      </c>
      <c r="G52" s="2" t="inlineStr">
        <is>
          <t>SQLP095</t>
        </is>
      </c>
      <c r="H52" s="2" t="inlineStr"/>
      <c r="I52" s="2" t="inlineStr">
        <is>
          <t>Medium</t>
        </is>
      </c>
      <c r="J52" s="3">
        <f>HYPERLINK("https://www.codechef.com/problems/SQLP095", "https://www.codechef.com/problems/SQLP095")</f>
        <v/>
      </c>
      <c r="K52" s="2" t="inlineStr"/>
      <c r="L52" s="2" t="inlineStr"/>
      <c r="M52" s="2" t="inlineStr"/>
      <c r="N52" s="2" t="inlineStr">
        <is>
          <t>No</t>
        </is>
      </c>
      <c r="O52" s="2" t="inlineStr">
        <is>
          <t>Unattempted</t>
        </is>
      </c>
    </row>
    <row r="53">
      <c r="A53" s="4" t="inlineStr">
        <is>
          <t>Other Practice Paths</t>
        </is>
      </c>
      <c r="B53" s="4" t="inlineStr">
        <is>
          <t>SQL case studies</t>
        </is>
      </c>
      <c r="C53" s="4" t="inlineStr">
        <is>
          <t>Put your SQL skills to the test. Get better at intermediate level Analytics using the case studies given in this practice path</t>
        </is>
      </c>
      <c r="D53" s="4" t="inlineStr">
        <is>
          <t>Case Study - Online Education Courses - MCQ</t>
        </is>
      </c>
      <c r="E53" s="4" t="n">
        <v>52</v>
      </c>
      <c r="F53" s="4" t="inlineStr">
        <is>
          <t>REARRANGE3</t>
        </is>
      </c>
      <c r="G53" s="4" t="inlineStr">
        <is>
          <t>SQLP096</t>
        </is>
      </c>
      <c r="H53" s="4" t="inlineStr"/>
      <c r="I53" s="4" t="inlineStr">
        <is>
          <t>Easy</t>
        </is>
      </c>
      <c r="J53" s="5">
        <f>HYPERLINK("https://www.codechef.com/problems/SQLP096", "https://www.codechef.com/problems/SQLP096")</f>
        <v/>
      </c>
      <c r="K53" s="4" t="inlineStr"/>
      <c r="L53" s="4" t="inlineStr"/>
      <c r="M53" s="4" t="inlineStr"/>
      <c r="N53" s="4" t="inlineStr">
        <is>
          <t>No</t>
        </is>
      </c>
      <c r="O53" s="4" t="inlineStr">
        <is>
          <t>Unattempted</t>
        </is>
      </c>
    </row>
    <row r="54">
      <c r="A54" s="2" t="inlineStr">
        <is>
          <t>Other Practice Paths</t>
        </is>
      </c>
      <c r="B54" s="2" t="inlineStr">
        <is>
          <t>SQL case studies</t>
        </is>
      </c>
      <c r="C54" s="2" t="inlineStr">
        <is>
          <t>Put your SQL skills to the test. Get better at intermediate level Analytics using the case studies given in this practice path</t>
        </is>
      </c>
      <c r="D54" s="2" t="inlineStr">
        <is>
          <t>Case Study - Online Education Courses - Queries</t>
        </is>
      </c>
      <c r="E54" s="2" t="n">
        <v>53</v>
      </c>
      <c r="F54" s="2" t="inlineStr">
        <is>
          <t>Case Study - CodeChefEdu</t>
        </is>
      </c>
      <c r="G54" s="2" t="inlineStr">
        <is>
          <t>SQLP065</t>
        </is>
      </c>
      <c r="H54" s="2" t="inlineStr"/>
      <c r="I54" s="2" t="inlineStr">
        <is>
          <t>Easy</t>
        </is>
      </c>
      <c r="J54" s="3">
        <f>HYPERLINK("https://www.codechef.com/problems/SQLP065", "https://www.codechef.com/problems/SQLP065")</f>
        <v/>
      </c>
      <c r="K54" s="2" t="inlineStr"/>
      <c r="L54" s="2" t="inlineStr"/>
      <c r="M54" s="2" t="inlineStr"/>
      <c r="N54" s="2" t="inlineStr">
        <is>
          <t>No</t>
        </is>
      </c>
      <c r="O54" s="2" t="inlineStr">
        <is>
          <t>Unattempted</t>
        </is>
      </c>
    </row>
    <row r="55">
      <c r="A55" s="4" t="inlineStr">
        <is>
          <t>Other Practice Paths</t>
        </is>
      </c>
      <c r="B55" s="4" t="inlineStr">
        <is>
          <t>SQL case studies</t>
        </is>
      </c>
      <c r="C55" s="4" t="inlineStr">
        <is>
          <t>Put your SQL skills to the test. Get better at intermediate level Analytics using the case studies given in this practice path</t>
        </is>
      </c>
      <c r="D55" s="4" t="inlineStr">
        <is>
          <t>Case Study - Online Education Courses - Queries</t>
        </is>
      </c>
      <c r="E55" s="4" t="n">
        <v>54</v>
      </c>
      <c r="F55" s="4" t="inlineStr">
        <is>
          <t>Query2</t>
        </is>
      </c>
      <c r="G55" s="4" t="inlineStr">
        <is>
          <t>SQLP066</t>
        </is>
      </c>
      <c r="H55" s="4" t="inlineStr"/>
      <c r="I55" s="4" t="inlineStr">
        <is>
          <t>Easy</t>
        </is>
      </c>
      <c r="J55" s="5">
        <f>HYPERLINK("https://www.codechef.com/problems/SQLP066", "https://www.codechef.com/problems/SQLP066")</f>
        <v/>
      </c>
      <c r="K55" s="4" t="inlineStr"/>
      <c r="L55" s="4" t="inlineStr"/>
      <c r="M55" s="4" t="inlineStr"/>
      <c r="N55" s="4" t="inlineStr">
        <is>
          <t>No</t>
        </is>
      </c>
      <c r="O55" s="4" t="inlineStr">
        <is>
          <t>Unattempted</t>
        </is>
      </c>
    </row>
    <row r="56">
      <c r="A56" s="2" t="inlineStr">
        <is>
          <t>Other Practice Paths</t>
        </is>
      </c>
      <c r="B56" s="2" t="inlineStr">
        <is>
          <t>SQL case studies</t>
        </is>
      </c>
      <c r="C56" s="2" t="inlineStr">
        <is>
          <t>Put your SQL skills to the test. Get better at intermediate level Analytics using the case studies given in this practice path</t>
        </is>
      </c>
      <c r="D56" s="2" t="inlineStr">
        <is>
          <t>Case Study - Online Education Courses - Queries</t>
        </is>
      </c>
      <c r="E56" s="2" t="n">
        <v>55</v>
      </c>
      <c r="F56" s="2" t="inlineStr">
        <is>
          <t>Query3</t>
        </is>
      </c>
      <c r="G56" s="2" t="inlineStr">
        <is>
          <t>SQLP067</t>
        </is>
      </c>
      <c r="H56" s="2" t="inlineStr"/>
      <c r="I56" s="2" t="inlineStr">
        <is>
          <t>Easy</t>
        </is>
      </c>
      <c r="J56" s="3">
        <f>HYPERLINK("https://www.codechef.com/problems/SQLP067", "https://www.codechef.com/problems/SQLP067")</f>
        <v/>
      </c>
      <c r="K56" s="2" t="inlineStr"/>
      <c r="L56" s="2" t="inlineStr"/>
      <c r="M56" s="2" t="inlineStr"/>
      <c r="N56" s="2" t="inlineStr">
        <is>
          <t>No</t>
        </is>
      </c>
      <c r="O56" s="2" t="inlineStr">
        <is>
          <t>Unattempted</t>
        </is>
      </c>
    </row>
    <row r="57">
      <c r="A57" s="4" t="inlineStr">
        <is>
          <t>Other Practice Paths</t>
        </is>
      </c>
      <c r="B57" s="4" t="inlineStr">
        <is>
          <t>SQL case studies</t>
        </is>
      </c>
      <c r="C57" s="4" t="inlineStr">
        <is>
          <t>Put your SQL skills to the test. Get better at intermediate level Analytics using the case studies given in this practice path</t>
        </is>
      </c>
      <c r="D57" s="4" t="inlineStr">
        <is>
          <t>Case Study - Online Education Courses - Queries</t>
        </is>
      </c>
      <c r="E57" s="4" t="n">
        <v>56</v>
      </c>
      <c r="F57" s="4" t="inlineStr">
        <is>
          <t>query4</t>
        </is>
      </c>
      <c r="G57" s="4" t="inlineStr">
        <is>
          <t>SQLP068</t>
        </is>
      </c>
      <c r="H57" s="4" t="inlineStr"/>
      <c r="I57" s="4" t="inlineStr">
        <is>
          <t>Easy</t>
        </is>
      </c>
      <c r="J57" s="5">
        <f>HYPERLINK("https://www.codechef.com/problems/SQLP068", "https://www.codechef.com/problems/SQLP068")</f>
        <v/>
      </c>
      <c r="K57" s="4" t="inlineStr"/>
      <c r="L57" s="4" t="inlineStr"/>
      <c r="M57" s="4" t="inlineStr"/>
      <c r="N57" s="4" t="inlineStr">
        <is>
          <t>No</t>
        </is>
      </c>
      <c r="O57" s="4" t="inlineStr">
        <is>
          <t>Unattempted</t>
        </is>
      </c>
    </row>
    <row r="58">
      <c r="A58" s="2" t="inlineStr">
        <is>
          <t>Other Practice Paths</t>
        </is>
      </c>
      <c r="B58" s="2" t="inlineStr">
        <is>
          <t>SQL case studies</t>
        </is>
      </c>
      <c r="C58" s="2" t="inlineStr">
        <is>
          <t>Put your SQL skills to the test. Get better at intermediate level Analytics using the case studies given in this practice path</t>
        </is>
      </c>
      <c r="D58" s="2" t="inlineStr">
        <is>
          <t>Case Study - Online Education Courses - Queries</t>
        </is>
      </c>
      <c r="E58" s="2" t="n">
        <v>57</v>
      </c>
      <c r="F58" s="2" t="inlineStr">
        <is>
          <t>query5</t>
        </is>
      </c>
      <c r="G58" s="2" t="inlineStr">
        <is>
          <t>SQLP069</t>
        </is>
      </c>
      <c r="H58" s="2" t="inlineStr"/>
      <c r="I58" s="2" t="inlineStr">
        <is>
          <t>Medium</t>
        </is>
      </c>
      <c r="J58" s="3">
        <f>HYPERLINK("https://www.codechef.com/problems/SQLP069", "https://www.codechef.com/problems/SQLP069")</f>
        <v/>
      </c>
      <c r="K58" s="2" t="inlineStr"/>
      <c r="L58" s="2" t="inlineStr"/>
      <c r="M58" s="2" t="inlineStr"/>
      <c r="N58" s="2" t="inlineStr">
        <is>
          <t>No</t>
        </is>
      </c>
      <c r="O58" s="2" t="inlineStr">
        <is>
          <t>Unattempted</t>
        </is>
      </c>
    </row>
    <row r="59">
      <c r="A59" s="4" t="inlineStr">
        <is>
          <t>Other Practice Paths</t>
        </is>
      </c>
      <c r="B59" s="4" t="inlineStr">
        <is>
          <t>SQL case studies</t>
        </is>
      </c>
      <c r="C59" s="4" t="inlineStr">
        <is>
          <t>Put your SQL skills to the test. Get better at intermediate level Analytics using the case studies given in this practice path</t>
        </is>
      </c>
      <c r="D59" s="4" t="inlineStr">
        <is>
          <t>Case Study - Online Education Courses - Queries</t>
        </is>
      </c>
      <c r="E59" s="4" t="n">
        <v>58</v>
      </c>
      <c r="F59" s="4" t="inlineStr">
        <is>
          <t>query6</t>
        </is>
      </c>
      <c r="G59" s="4" t="inlineStr">
        <is>
          <t>SQLP070</t>
        </is>
      </c>
      <c r="H59" s="4" t="inlineStr"/>
      <c r="I59" s="4" t="inlineStr">
        <is>
          <t>Medium</t>
        </is>
      </c>
      <c r="J59" s="5">
        <f>HYPERLINK("https://www.codechef.com/problems/SQLP070", "https://www.codechef.com/problems/SQLP070")</f>
        <v/>
      </c>
      <c r="K59" s="4" t="inlineStr"/>
      <c r="L59" s="4" t="inlineStr"/>
      <c r="M59" s="4" t="inlineStr"/>
      <c r="N59" s="4" t="inlineStr">
        <is>
          <t>No</t>
        </is>
      </c>
      <c r="O59" s="4" t="inlineStr">
        <is>
          <t>Unattempted</t>
        </is>
      </c>
    </row>
    <row r="60">
      <c r="A60" s="2" t="inlineStr">
        <is>
          <t>Other Practice Paths</t>
        </is>
      </c>
      <c r="B60" s="2" t="inlineStr">
        <is>
          <t>SQL case studies</t>
        </is>
      </c>
      <c r="C60" s="2" t="inlineStr">
        <is>
          <t>Put your SQL skills to the test. Get better at intermediate level Analytics using the case studies given in this practice path</t>
        </is>
      </c>
      <c r="D60" s="2" t="inlineStr">
        <is>
          <t>Case Study - Online Education Courses - Queries</t>
        </is>
      </c>
      <c r="E60" s="2" t="n">
        <v>59</v>
      </c>
      <c r="F60" s="2" t="inlineStr">
        <is>
          <t>query7</t>
        </is>
      </c>
      <c r="G60" s="2" t="inlineStr">
        <is>
          <t>SQLP071</t>
        </is>
      </c>
      <c r="H60" s="2" t="inlineStr"/>
      <c r="I60" s="2" t="inlineStr">
        <is>
          <t>Medium</t>
        </is>
      </c>
      <c r="J60" s="3">
        <f>HYPERLINK("https://www.codechef.com/problems/SQLP071", "https://www.codechef.com/problems/SQLP071")</f>
        <v/>
      </c>
      <c r="K60" s="2" t="inlineStr"/>
      <c r="L60" s="2" t="inlineStr"/>
      <c r="M60" s="2" t="inlineStr"/>
      <c r="N60" s="2" t="inlineStr">
        <is>
          <t>No</t>
        </is>
      </c>
      <c r="O60" s="2" t="inlineStr">
        <is>
          <t>Unattempted</t>
        </is>
      </c>
    </row>
    <row r="61">
      <c r="A61" s="4" t="inlineStr">
        <is>
          <t>Other Practice Paths</t>
        </is>
      </c>
      <c r="B61" s="4" t="inlineStr">
        <is>
          <t>SQL case studies</t>
        </is>
      </c>
      <c r="C61" s="4" t="inlineStr">
        <is>
          <t>Put your SQL skills to the test. Get better at intermediate level Analytics using the case studies given in this practice path</t>
        </is>
      </c>
      <c r="D61" s="4" t="inlineStr">
        <is>
          <t>Case Study - Online Education Courses - Queries</t>
        </is>
      </c>
      <c r="E61" s="4" t="n">
        <v>60</v>
      </c>
      <c r="F61" s="4" t="inlineStr">
        <is>
          <t>query8</t>
        </is>
      </c>
      <c r="G61" s="4" t="inlineStr">
        <is>
          <t>SQLP072</t>
        </is>
      </c>
      <c r="H61" s="4" t="inlineStr"/>
      <c r="I61" s="4" t="inlineStr">
        <is>
          <t>Medium</t>
        </is>
      </c>
      <c r="J61" s="5">
        <f>HYPERLINK("https://www.codechef.com/problems/SQLP072", "https://www.codechef.com/problems/SQLP072")</f>
        <v/>
      </c>
      <c r="K61" s="4" t="inlineStr"/>
      <c r="L61" s="4" t="inlineStr"/>
      <c r="M61" s="4" t="inlineStr"/>
      <c r="N61" s="4" t="inlineStr">
        <is>
          <t>No</t>
        </is>
      </c>
      <c r="O61" s="4" t="inlineStr">
        <is>
          <t>Unattempted</t>
        </is>
      </c>
    </row>
    <row r="62">
      <c r="A62" s="2" t="inlineStr">
        <is>
          <t>Other Practice Paths</t>
        </is>
      </c>
      <c r="B62" s="2" t="inlineStr">
        <is>
          <t>SQL case studies</t>
        </is>
      </c>
      <c r="C62" s="2" t="inlineStr">
        <is>
          <t>Put your SQL skills to the test. Get better at intermediate level Analytics using the case studies given in this practice path</t>
        </is>
      </c>
      <c r="D62" s="2" t="inlineStr">
        <is>
          <t>Case Study - Online Education Courses - Queries</t>
        </is>
      </c>
      <c r="E62" s="2" t="n">
        <v>61</v>
      </c>
      <c r="F62" s="2" t="inlineStr">
        <is>
          <t>query9</t>
        </is>
      </c>
      <c r="G62" s="2" t="inlineStr">
        <is>
          <t>SQLP073</t>
        </is>
      </c>
      <c r="H62" s="2" t="inlineStr"/>
      <c r="I62" s="2" t="inlineStr">
        <is>
          <t>Medium</t>
        </is>
      </c>
      <c r="J62" s="3">
        <f>HYPERLINK("https://www.codechef.com/problems/SQLP073", "https://www.codechef.com/problems/SQLP073")</f>
        <v/>
      </c>
      <c r="K62" s="2" t="inlineStr"/>
      <c r="L62" s="2" t="inlineStr"/>
      <c r="M62" s="2" t="inlineStr"/>
      <c r="N62" s="2" t="inlineStr">
        <is>
          <t>No</t>
        </is>
      </c>
      <c r="O62" s="2" t="inlineStr">
        <is>
          <t>Unattempted</t>
        </is>
      </c>
    </row>
    <row r="63">
      <c r="A63" s="4" t="inlineStr">
        <is>
          <t>Other Practice Paths</t>
        </is>
      </c>
      <c r="B63" s="4" t="inlineStr">
        <is>
          <t>SQL case studies</t>
        </is>
      </c>
      <c r="C63" s="4" t="inlineStr">
        <is>
          <t>Put your SQL skills to the test. Get better at intermediate level Analytics using the case studies given in this practice path</t>
        </is>
      </c>
      <c r="D63" s="4" t="inlineStr">
        <is>
          <t>Case Study - Online Education Courses - Queries</t>
        </is>
      </c>
      <c r="E63" s="4" t="n">
        <v>62</v>
      </c>
      <c r="F63" s="4" t="inlineStr">
        <is>
          <t>query10</t>
        </is>
      </c>
      <c r="G63" s="4" t="inlineStr">
        <is>
          <t>SQLP074</t>
        </is>
      </c>
      <c r="H63" s="4" t="inlineStr"/>
      <c r="I63" s="4" t="inlineStr">
        <is>
          <t>Medium</t>
        </is>
      </c>
      <c r="J63" s="5">
        <f>HYPERLINK("https://www.codechef.com/problems/SQLP074", "https://www.codechef.com/problems/SQLP074")</f>
        <v/>
      </c>
      <c r="K63" s="4" t="inlineStr"/>
      <c r="L63" s="4" t="inlineStr"/>
      <c r="M63" s="4" t="inlineStr"/>
      <c r="N63" s="4" t="inlineStr">
        <is>
          <t>No</t>
        </is>
      </c>
      <c r="O63" s="4" t="inlineStr">
        <is>
          <t>Unattempted</t>
        </is>
      </c>
    </row>
    <row r="64">
      <c r="A64" s="2" t="inlineStr">
        <is>
          <t>Other Practice Paths</t>
        </is>
      </c>
      <c r="B64" s="2" t="inlineStr">
        <is>
          <t>SQL case studies</t>
        </is>
      </c>
      <c r="C64" s="2" t="inlineStr">
        <is>
          <t>Put your SQL skills to the test. Get better at intermediate level Analytics using the case studies given in this practice path</t>
        </is>
      </c>
      <c r="D64" s="2" t="inlineStr">
        <is>
          <t>Case Study - Online Education Courses - Queries</t>
        </is>
      </c>
      <c r="E64" s="2" t="n">
        <v>63</v>
      </c>
      <c r="F64" s="2" t="inlineStr">
        <is>
          <t>query11</t>
        </is>
      </c>
      <c r="G64" s="2" t="inlineStr">
        <is>
          <t>SQLP075</t>
        </is>
      </c>
      <c r="H64" s="2" t="inlineStr"/>
      <c r="I64" s="2" t="inlineStr">
        <is>
          <t>Medium</t>
        </is>
      </c>
      <c r="J64" s="3">
        <f>HYPERLINK("https://www.codechef.com/problems/SQLP075", "https://www.codechef.com/problems/SQLP075")</f>
        <v/>
      </c>
      <c r="K64" s="2" t="inlineStr"/>
      <c r="L64" s="2" t="inlineStr"/>
      <c r="M64" s="2" t="inlineStr"/>
      <c r="N64" s="2" t="inlineStr">
        <is>
          <t>No</t>
        </is>
      </c>
      <c r="O64" s="2" t="inlineStr">
        <is>
          <t>Unattempted</t>
        </is>
      </c>
    </row>
    <row r="65">
      <c r="A65" s="4" t="inlineStr">
        <is>
          <t>Other Practice Paths</t>
        </is>
      </c>
      <c r="B65" s="4" t="inlineStr">
        <is>
          <t>SQL case studies</t>
        </is>
      </c>
      <c r="C65" s="4" t="inlineStr">
        <is>
          <t>Put your SQL skills to the test. Get better at intermediate level Analytics using the case studies given in this practice path</t>
        </is>
      </c>
      <c r="D65" s="4" t="inlineStr">
        <is>
          <t>Case Study - Online Education Courses - Queries</t>
        </is>
      </c>
      <c r="E65" s="4" t="n">
        <v>64</v>
      </c>
      <c r="F65" s="4" t="inlineStr">
        <is>
          <t>query12</t>
        </is>
      </c>
      <c r="G65" s="4" t="inlineStr">
        <is>
          <t>SQLP076</t>
        </is>
      </c>
      <c r="H65" s="4" t="inlineStr"/>
      <c r="I65" s="4" t="inlineStr">
        <is>
          <t>Medium</t>
        </is>
      </c>
      <c r="J65" s="5">
        <f>HYPERLINK("https://www.codechef.com/problems/SQLP076", "https://www.codechef.com/problems/SQLP076")</f>
        <v/>
      </c>
      <c r="K65" s="4" t="inlineStr"/>
      <c r="L65" s="4" t="inlineStr"/>
      <c r="M65" s="4" t="inlineStr"/>
      <c r="N65" s="4" t="inlineStr">
        <is>
          <t>No</t>
        </is>
      </c>
      <c r="O65" s="4" t="inlineStr">
        <is>
          <t>Unattempted</t>
        </is>
      </c>
    </row>
    <row r="66">
      <c r="A66" s="2" t="inlineStr">
        <is>
          <t>Other Practice Paths</t>
        </is>
      </c>
      <c r="B66" s="2" t="inlineStr">
        <is>
          <t>SQL case studies</t>
        </is>
      </c>
      <c r="C66" s="2" t="inlineStr">
        <is>
          <t>Put your SQL skills to the test. Get better at intermediate level Analytics using the case studies given in this practice path</t>
        </is>
      </c>
      <c r="D66" s="2" t="inlineStr">
        <is>
          <t>Case Study - Fantasy Role Playing Game - MCQ</t>
        </is>
      </c>
      <c r="E66" s="2" t="n">
        <v>65</v>
      </c>
      <c r="F66" s="2" t="inlineStr">
        <is>
          <t>MCQ-1</t>
        </is>
      </c>
      <c r="G66" s="2" t="inlineStr">
        <is>
          <t>SQLP001</t>
        </is>
      </c>
      <c r="H66" s="2" t="inlineStr"/>
      <c r="I66" s="2" t="inlineStr">
        <is>
          <t>Easy</t>
        </is>
      </c>
      <c r="J66" s="3">
        <f>HYPERLINK("https://www.codechef.com/problems/SQLP001", "https://www.codechef.com/problems/SQLP001")</f>
        <v/>
      </c>
      <c r="K66" s="2" t="inlineStr"/>
      <c r="L66" s="2" t="inlineStr"/>
      <c r="M66" s="2" t="inlineStr"/>
      <c r="N66" s="2" t="inlineStr">
        <is>
          <t>No</t>
        </is>
      </c>
      <c r="O66" s="2" t="inlineStr">
        <is>
          <t>Unattempted</t>
        </is>
      </c>
    </row>
    <row r="67">
      <c r="A67" s="4" t="inlineStr">
        <is>
          <t>Other Practice Paths</t>
        </is>
      </c>
      <c r="B67" s="4" t="inlineStr">
        <is>
          <t>SQL case studies</t>
        </is>
      </c>
      <c r="C67" s="4" t="inlineStr">
        <is>
          <t>Put your SQL skills to the test. Get better at intermediate level Analytics using the case studies given in this practice path</t>
        </is>
      </c>
      <c r="D67" s="4" t="inlineStr">
        <is>
          <t>Case Study - Fantasy Role Playing Game - MCQ</t>
        </is>
      </c>
      <c r="E67" s="4" t="n">
        <v>66</v>
      </c>
      <c r="F67" s="4" t="inlineStr">
        <is>
          <t>MCQ-2</t>
        </is>
      </c>
      <c r="G67" s="4" t="inlineStr">
        <is>
          <t>SQLP002</t>
        </is>
      </c>
      <c r="H67" s="4" t="inlineStr"/>
      <c r="I67" s="4" t="inlineStr">
        <is>
          <t>Easy</t>
        </is>
      </c>
      <c r="J67" s="5">
        <f>HYPERLINK("https://www.codechef.com/problems/SQLP002", "https://www.codechef.com/problems/SQLP002")</f>
        <v/>
      </c>
      <c r="K67" s="4" t="inlineStr"/>
      <c r="L67" s="4" t="inlineStr"/>
      <c r="M67" s="4" t="inlineStr"/>
      <c r="N67" s="4" t="inlineStr">
        <is>
          <t>No</t>
        </is>
      </c>
      <c r="O67" s="4" t="inlineStr">
        <is>
          <t>Unattempted</t>
        </is>
      </c>
    </row>
    <row r="68">
      <c r="A68" s="2" t="inlineStr">
        <is>
          <t>Other Practice Paths</t>
        </is>
      </c>
      <c r="B68" s="2" t="inlineStr">
        <is>
          <t>SQL case studies</t>
        </is>
      </c>
      <c r="C68" s="2" t="inlineStr">
        <is>
          <t>Put your SQL skills to the test. Get better at intermediate level Analytics using the case studies given in this practice path</t>
        </is>
      </c>
      <c r="D68" s="2" t="inlineStr">
        <is>
          <t>Case Study - Fantasy Role Playing Game - MCQ</t>
        </is>
      </c>
      <c r="E68" s="2" t="n">
        <v>67</v>
      </c>
      <c r="F68" s="2" t="inlineStr">
        <is>
          <t>Rearrange code-1</t>
        </is>
      </c>
      <c r="G68" s="2" t="inlineStr">
        <is>
          <t>SQLP003</t>
        </is>
      </c>
      <c r="H68" s="2" t="inlineStr"/>
      <c r="I68" s="2" t="inlineStr">
        <is>
          <t>Medium</t>
        </is>
      </c>
      <c r="J68" s="3">
        <f>HYPERLINK("https://www.codechef.com/problems/SQLP003", "https://www.codechef.com/problems/SQLP003")</f>
        <v/>
      </c>
      <c r="K68" s="2" t="inlineStr"/>
      <c r="L68" s="2" t="inlineStr"/>
      <c r="M68" s="2" t="inlineStr"/>
      <c r="N68" s="2" t="inlineStr">
        <is>
          <t>No</t>
        </is>
      </c>
      <c r="O68" s="2" t="inlineStr">
        <is>
          <t>Unattempted</t>
        </is>
      </c>
    </row>
    <row r="69">
      <c r="A69" s="4" t="inlineStr">
        <is>
          <t>Other Practice Paths</t>
        </is>
      </c>
      <c r="B69" s="4" t="inlineStr">
        <is>
          <t>SQL case studies</t>
        </is>
      </c>
      <c r="C69" s="4" t="inlineStr">
        <is>
          <t>Put your SQL skills to the test. Get better at intermediate level Analytics using the case studies given in this practice path</t>
        </is>
      </c>
      <c r="D69" s="4" t="inlineStr">
        <is>
          <t>Case Study - Fantasy Role Playing Game - MCQ</t>
        </is>
      </c>
      <c r="E69" s="4" t="n">
        <v>68</v>
      </c>
      <c r="F69" s="4" t="inlineStr">
        <is>
          <t>Rearrange code-2</t>
        </is>
      </c>
      <c r="G69" s="4" t="inlineStr">
        <is>
          <t>SQLP004</t>
        </is>
      </c>
      <c r="H69" s="4" t="inlineStr"/>
      <c r="I69" s="4" t="inlineStr">
        <is>
          <t>Easy</t>
        </is>
      </c>
      <c r="J69" s="5">
        <f>HYPERLINK("https://www.codechef.com/problems/SQLP004", "https://www.codechef.com/problems/SQLP004")</f>
        <v/>
      </c>
      <c r="K69" s="4" t="inlineStr"/>
      <c r="L69" s="4" t="inlineStr"/>
      <c r="M69" s="4" t="inlineStr"/>
      <c r="N69" s="4" t="inlineStr">
        <is>
          <t>No</t>
        </is>
      </c>
      <c r="O69" s="4" t="inlineStr">
        <is>
          <t>Unattempted</t>
        </is>
      </c>
    </row>
    <row r="70">
      <c r="A70" s="2" t="inlineStr">
        <is>
          <t>Other Practice Paths</t>
        </is>
      </c>
      <c r="B70" s="2" t="inlineStr">
        <is>
          <t>SQL case studies</t>
        </is>
      </c>
      <c r="C70" s="2" t="inlineStr">
        <is>
          <t>Put your SQL skills to the test. Get better at intermediate level Analytics using the case studies given in this practice path</t>
        </is>
      </c>
      <c r="D70" s="2" t="inlineStr">
        <is>
          <t>Case Study - Fantasy Role Playing Game - MCQ</t>
        </is>
      </c>
      <c r="E70" s="2" t="n">
        <v>69</v>
      </c>
      <c r="F70" s="2" t="inlineStr">
        <is>
          <t>MCQ-3</t>
        </is>
      </c>
      <c r="G70" s="2" t="inlineStr">
        <is>
          <t>SQLP005</t>
        </is>
      </c>
      <c r="H70" s="2" t="inlineStr"/>
      <c r="I70" s="2" t="inlineStr">
        <is>
          <t>Easy</t>
        </is>
      </c>
      <c r="J70" s="3">
        <f>HYPERLINK("https://www.codechef.com/problems/SQLP005", "https://www.codechef.com/problems/SQLP005")</f>
        <v/>
      </c>
      <c r="K70" s="2" t="inlineStr"/>
      <c r="L70" s="2" t="inlineStr"/>
      <c r="M70" s="2" t="inlineStr"/>
      <c r="N70" s="2" t="inlineStr">
        <is>
          <t>No</t>
        </is>
      </c>
      <c r="O70" s="2" t="inlineStr">
        <is>
          <t>Unattempted</t>
        </is>
      </c>
    </row>
    <row r="71">
      <c r="A71" s="4" t="inlineStr">
        <is>
          <t>Other Practice Paths</t>
        </is>
      </c>
      <c r="B71" s="4" t="inlineStr">
        <is>
          <t>SQL case studies</t>
        </is>
      </c>
      <c r="C71" s="4" t="inlineStr">
        <is>
          <t>Put your SQL skills to the test. Get better at intermediate level Analytics using the case studies given in this practice path</t>
        </is>
      </c>
      <c r="D71" s="4" t="inlineStr">
        <is>
          <t>Case Study - Fantasy Role Playing Game - MCQ</t>
        </is>
      </c>
      <c r="E71" s="4" t="n">
        <v>70</v>
      </c>
      <c r="F71" s="4" t="inlineStr">
        <is>
          <t>Rearrange code-3</t>
        </is>
      </c>
      <c r="G71" s="4" t="inlineStr">
        <is>
          <t>SQLP006</t>
        </is>
      </c>
      <c r="H71" s="4" t="inlineStr"/>
      <c r="I71" s="4" t="inlineStr">
        <is>
          <t>Easy</t>
        </is>
      </c>
      <c r="J71" s="5">
        <f>HYPERLINK("https://www.codechef.com/problems/SQLP006", "https://www.codechef.com/problems/SQLP006")</f>
        <v/>
      </c>
      <c r="K71" s="4" t="inlineStr"/>
      <c r="L71" s="4" t="inlineStr"/>
      <c r="M71" s="4" t="inlineStr"/>
      <c r="N71" s="4" t="inlineStr">
        <is>
          <t>No</t>
        </is>
      </c>
      <c r="O71" s="4" t="inlineStr">
        <is>
          <t>Unattempted</t>
        </is>
      </c>
    </row>
    <row r="72">
      <c r="A72" s="2" t="inlineStr">
        <is>
          <t>Other Practice Paths</t>
        </is>
      </c>
      <c r="B72" s="2" t="inlineStr">
        <is>
          <t>SQL case studies</t>
        </is>
      </c>
      <c r="C72" s="2" t="inlineStr">
        <is>
          <t>Put your SQL skills to the test. Get better at intermediate level Analytics using the case studies given in this practice path</t>
        </is>
      </c>
      <c r="D72" s="2" t="inlineStr">
        <is>
          <t>Case Study - Fantasy Role Playing Game - MCQ</t>
        </is>
      </c>
      <c r="E72" s="2" t="n">
        <v>71</v>
      </c>
      <c r="F72" s="2" t="inlineStr">
        <is>
          <t>MCQ-4</t>
        </is>
      </c>
      <c r="G72" s="2" t="inlineStr">
        <is>
          <t>SQLP007</t>
        </is>
      </c>
      <c r="H72" s="2" t="inlineStr"/>
      <c r="I72" s="2" t="inlineStr">
        <is>
          <t>Medium</t>
        </is>
      </c>
      <c r="J72" s="3">
        <f>HYPERLINK("https://www.codechef.com/problems/SQLP007", "https://www.codechef.com/problems/SQLP007")</f>
        <v/>
      </c>
      <c r="K72" s="2" t="inlineStr"/>
      <c r="L72" s="2" t="inlineStr"/>
      <c r="M72" s="2" t="inlineStr"/>
      <c r="N72" s="2" t="inlineStr">
        <is>
          <t>No</t>
        </is>
      </c>
      <c r="O72" s="2" t="inlineStr">
        <is>
          <t>Unattempted</t>
        </is>
      </c>
    </row>
    <row r="73">
      <c r="A73" s="4" t="inlineStr">
        <is>
          <t>Other Practice Paths</t>
        </is>
      </c>
      <c r="B73" s="4" t="inlineStr">
        <is>
          <t>SQL case studies</t>
        </is>
      </c>
      <c r="C73" s="4" t="inlineStr">
        <is>
          <t>Put your SQL skills to the test. Get better at intermediate level Analytics using the case studies given in this practice path</t>
        </is>
      </c>
      <c r="D73" s="4" t="inlineStr">
        <is>
          <t>Case Study - Fantasy Role Playing Game - MCQ</t>
        </is>
      </c>
      <c r="E73" s="4" t="n">
        <v>72</v>
      </c>
      <c r="F73" s="4" t="inlineStr">
        <is>
          <t>Rearrange code-4</t>
        </is>
      </c>
      <c r="G73" s="4" t="inlineStr">
        <is>
          <t>SQLP008</t>
        </is>
      </c>
      <c r="H73" s="4" t="inlineStr"/>
      <c r="I73" s="4" t="inlineStr">
        <is>
          <t>Easy</t>
        </is>
      </c>
      <c r="J73" s="5">
        <f>HYPERLINK("https://www.codechef.com/problems/SQLP008", "https://www.codechef.com/problems/SQLP008")</f>
        <v/>
      </c>
      <c r="K73" s="4" t="inlineStr"/>
      <c r="L73" s="4" t="inlineStr"/>
      <c r="M73" s="4" t="inlineStr"/>
      <c r="N73" s="4" t="inlineStr">
        <is>
          <t>No</t>
        </is>
      </c>
      <c r="O73" s="4" t="inlineStr">
        <is>
          <t>Unattempted</t>
        </is>
      </c>
    </row>
    <row r="74">
      <c r="A74" s="2" t="inlineStr">
        <is>
          <t>Other Practice Paths</t>
        </is>
      </c>
      <c r="B74" s="2" t="inlineStr">
        <is>
          <t>SQL case studies</t>
        </is>
      </c>
      <c r="C74" s="2" t="inlineStr">
        <is>
          <t>Put your SQL skills to the test. Get better at intermediate level Analytics using the case studies given in this practice path</t>
        </is>
      </c>
      <c r="D74" s="2" t="inlineStr">
        <is>
          <t>Case Study - Fantasy Role Playing Game - MCQ</t>
        </is>
      </c>
      <c r="E74" s="2" t="n">
        <v>73</v>
      </c>
      <c r="F74" s="2" t="inlineStr">
        <is>
          <t>MCQ-5</t>
        </is>
      </c>
      <c r="G74" s="2" t="inlineStr">
        <is>
          <t>SQLP009</t>
        </is>
      </c>
      <c r="H74" s="2" t="inlineStr"/>
      <c r="I74" s="2" t="inlineStr">
        <is>
          <t>Easy</t>
        </is>
      </c>
      <c r="J74" s="3">
        <f>HYPERLINK("https://www.codechef.com/problems/SQLP009", "https://www.codechef.com/problems/SQLP009")</f>
        <v/>
      </c>
      <c r="K74" s="2" t="inlineStr"/>
      <c r="L74" s="2" t="inlineStr"/>
      <c r="M74" s="2" t="inlineStr"/>
      <c r="N74" s="2" t="inlineStr">
        <is>
          <t>No</t>
        </is>
      </c>
      <c r="O74" s="2" t="inlineStr">
        <is>
          <t>Unattempted</t>
        </is>
      </c>
    </row>
    <row r="75">
      <c r="A75" s="4" t="inlineStr">
        <is>
          <t>Other Practice Paths</t>
        </is>
      </c>
      <c r="B75" s="4" t="inlineStr">
        <is>
          <t>SQL case studies</t>
        </is>
      </c>
      <c r="C75" s="4" t="inlineStr">
        <is>
          <t>Put your SQL skills to the test. Get better at intermediate level Analytics using the case studies given in this practice path</t>
        </is>
      </c>
      <c r="D75" s="4" t="inlineStr">
        <is>
          <t>Case Study - Fantasy Role Playing Game - MCQ</t>
        </is>
      </c>
      <c r="E75" s="4" t="n">
        <v>74</v>
      </c>
      <c r="F75" s="4" t="inlineStr">
        <is>
          <t>MCQ-6</t>
        </is>
      </c>
      <c r="G75" s="4" t="inlineStr">
        <is>
          <t>SQLP010</t>
        </is>
      </c>
      <c r="H75" s="4" t="inlineStr"/>
      <c r="I75" s="4" t="inlineStr">
        <is>
          <t>Easy</t>
        </is>
      </c>
      <c r="J75" s="5">
        <f>HYPERLINK("https://www.codechef.com/problems/SQLP010", "https://www.codechef.com/problems/SQLP010")</f>
        <v/>
      </c>
      <c r="K75" s="4" t="inlineStr"/>
      <c r="L75" s="4" t="inlineStr"/>
      <c r="M75" s="4" t="inlineStr"/>
      <c r="N75" s="4" t="inlineStr">
        <is>
          <t>No</t>
        </is>
      </c>
      <c r="O75" s="4" t="inlineStr">
        <is>
          <t>Unattempted</t>
        </is>
      </c>
    </row>
    <row r="76">
      <c r="A76" s="2" t="inlineStr">
        <is>
          <t>Other Practice Paths</t>
        </is>
      </c>
      <c r="B76" s="2" t="inlineStr">
        <is>
          <t>SQL case studies</t>
        </is>
      </c>
      <c r="C76" s="2" t="inlineStr">
        <is>
          <t>Put your SQL skills to the test. Get better at intermediate level Analytics using the case studies given in this practice path</t>
        </is>
      </c>
      <c r="D76" s="2" t="inlineStr">
        <is>
          <t>Case Study - Fantasy Role Playing Game - MCQ</t>
        </is>
      </c>
      <c r="E76" s="2" t="n">
        <v>75</v>
      </c>
      <c r="F76" s="2" t="inlineStr">
        <is>
          <t>MCQ-7</t>
        </is>
      </c>
      <c r="G76" s="2" t="inlineStr">
        <is>
          <t>SQLP011</t>
        </is>
      </c>
      <c r="H76" s="2" t="inlineStr"/>
      <c r="I76" s="2" t="inlineStr">
        <is>
          <t>Easy</t>
        </is>
      </c>
      <c r="J76" s="3">
        <f>HYPERLINK("https://www.codechef.com/problems/SQLP011", "https://www.codechef.com/problems/SQLP011")</f>
        <v/>
      </c>
      <c r="K76" s="2" t="inlineStr"/>
      <c r="L76" s="2" t="inlineStr"/>
      <c r="M76" s="2" t="inlineStr"/>
      <c r="N76" s="2" t="inlineStr">
        <is>
          <t>No</t>
        </is>
      </c>
      <c r="O76" s="2" t="inlineStr">
        <is>
          <t>Unattempted</t>
        </is>
      </c>
    </row>
    <row r="77">
      <c r="A77" s="4" t="inlineStr">
        <is>
          <t>Other Practice Paths</t>
        </is>
      </c>
      <c r="B77" s="4" t="inlineStr">
        <is>
          <t>SQL case studies</t>
        </is>
      </c>
      <c r="C77" s="4" t="inlineStr">
        <is>
          <t>Put your SQL skills to the test. Get better at intermediate level Analytics using the case studies given in this practice path</t>
        </is>
      </c>
      <c r="D77" s="4" t="inlineStr">
        <is>
          <t>Case Study - Fantasy Role Playing Game - MCQ</t>
        </is>
      </c>
      <c r="E77" s="4" t="n">
        <v>76</v>
      </c>
      <c r="F77" s="4" t="inlineStr">
        <is>
          <t>MCQ-8</t>
        </is>
      </c>
      <c r="G77" s="4" t="inlineStr">
        <is>
          <t>SQLP012</t>
        </is>
      </c>
      <c r="H77" s="4" t="inlineStr"/>
      <c r="I77" s="4" t="inlineStr">
        <is>
          <t>Easy</t>
        </is>
      </c>
      <c r="J77" s="5">
        <f>HYPERLINK("https://www.codechef.com/problems/SQLP012", "https://www.codechef.com/problems/SQLP012")</f>
        <v/>
      </c>
      <c r="K77" s="4" t="inlineStr"/>
      <c r="L77" s="4" t="inlineStr"/>
      <c r="M77" s="4" t="inlineStr"/>
      <c r="N77" s="4" t="inlineStr">
        <is>
          <t>No</t>
        </is>
      </c>
      <c r="O77" s="4" t="inlineStr">
        <is>
          <t>Unattempted</t>
        </is>
      </c>
    </row>
    <row r="78">
      <c r="A78" s="2" t="inlineStr">
        <is>
          <t>Other Practice Paths</t>
        </is>
      </c>
      <c r="B78" s="2" t="inlineStr">
        <is>
          <t>SQL case studies</t>
        </is>
      </c>
      <c r="C78" s="2" t="inlineStr">
        <is>
          <t>Put your SQL skills to the test. Get better at intermediate level Analytics using the case studies given in this practice path</t>
        </is>
      </c>
      <c r="D78" s="2" t="inlineStr">
        <is>
          <t>Case Study - Fantasy Role Playing Game - MCQ</t>
        </is>
      </c>
      <c r="E78" s="2" t="n">
        <v>77</v>
      </c>
      <c r="F78" s="2" t="inlineStr">
        <is>
          <t>Rearrange code-5</t>
        </is>
      </c>
      <c r="G78" s="2" t="inlineStr">
        <is>
          <t>SQLP013</t>
        </is>
      </c>
      <c r="H78" s="2" t="inlineStr"/>
      <c r="I78" s="2" t="inlineStr">
        <is>
          <t>Easy</t>
        </is>
      </c>
      <c r="J78" s="3">
        <f>HYPERLINK("https://www.codechef.com/problems/SQLP013", "https://www.codechef.com/problems/SQLP013")</f>
        <v/>
      </c>
      <c r="K78" s="2" t="inlineStr"/>
      <c r="L78" s="2" t="inlineStr"/>
      <c r="M78" s="2" t="inlineStr"/>
      <c r="N78" s="2" t="inlineStr">
        <is>
          <t>No</t>
        </is>
      </c>
      <c r="O78" s="2" t="inlineStr">
        <is>
          <t>Unattempted</t>
        </is>
      </c>
    </row>
    <row r="79">
      <c r="A79" s="4" t="inlineStr">
        <is>
          <t>Other Practice Paths</t>
        </is>
      </c>
      <c r="B79" s="4" t="inlineStr">
        <is>
          <t>SQL case studies</t>
        </is>
      </c>
      <c r="C79" s="4" t="inlineStr">
        <is>
          <t>Put your SQL skills to the test. Get better at intermediate level Analytics using the case studies given in this practice path</t>
        </is>
      </c>
      <c r="D79" s="4" t="inlineStr">
        <is>
          <t>Case Study - Fantasy Role Playing Game - MCQ</t>
        </is>
      </c>
      <c r="E79" s="4" t="n">
        <v>78</v>
      </c>
      <c r="F79" s="4" t="inlineStr">
        <is>
          <t>MCQ-9</t>
        </is>
      </c>
      <c r="G79" s="4" t="inlineStr">
        <is>
          <t>SQLP014</t>
        </is>
      </c>
      <c r="H79" s="4" t="inlineStr"/>
      <c r="I79" s="4" t="inlineStr">
        <is>
          <t>Medium</t>
        </is>
      </c>
      <c r="J79" s="5">
        <f>HYPERLINK("https://www.codechef.com/problems/SQLP014", "https://www.codechef.com/problems/SQLP014")</f>
        <v/>
      </c>
      <c r="K79" s="4" t="inlineStr"/>
      <c r="L79" s="4" t="inlineStr"/>
      <c r="M79" s="4" t="inlineStr"/>
      <c r="N79" s="4" t="inlineStr">
        <is>
          <t>No</t>
        </is>
      </c>
      <c r="O79" s="4" t="inlineStr">
        <is>
          <t>Unattempted</t>
        </is>
      </c>
    </row>
    <row r="80">
      <c r="A80" s="2" t="inlineStr">
        <is>
          <t>Other Practice Paths</t>
        </is>
      </c>
      <c r="B80" s="2" t="inlineStr">
        <is>
          <t>SQL case studies</t>
        </is>
      </c>
      <c r="C80" s="2" t="inlineStr">
        <is>
          <t>Put your SQL skills to the test. Get better at intermediate level Analytics using the case studies given in this practice path</t>
        </is>
      </c>
      <c r="D80" s="2" t="inlineStr">
        <is>
          <t>Case Study - Fantasy Role Playing Game - MCQ</t>
        </is>
      </c>
      <c r="E80" s="2" t="n">
        <v>79</v>
      </c>
      <c r="F80" s="2" t="inlineStr">
        <is>
          <t>MCQ-10</t>
        </is>
      </c>
      <c r="G80" s="2" t="inlineStr">
        <is>
          <t>SQLP015</t>
        </is>
      </c>
      <c r="H80" s="2" t="inlineStr"/>
      <c r="I80" s="2" t="inlineStr">
        <is>
          <t>Easy</t>
        </is>
      </c>
      <c r="J80" s="3">
        <f>HYPERLINK("https://www.codechef.com/problems/SQLP015", "https://www.codechef.com/problems/SQLP015")</f>
        <v/>
      </c>
      <c r="K80" s="2" t="inlineStr"/>
      <c r="L80" s="2" t="inlineStr"/>
      <c r="M80" s="2" t="inlineStr"/>
      <c r="N80" s="2" t="inlineStr">
        <is>
          <t>No</t>
        </is>
      </c>
      <c r="O80" s="2" t="inlineStr">
        <is>
          <t>Unattempted</t>
        </is>
      </c>
    </row>
    <row r="81">
      <c r="A81" s="4" t="inlineStr">
        <is>
          <t>Other Practice Paths</t>
        </is>
      </c>
      <c r="B81" s="4" t="inlineStr">
        <is>
          <t>SQL case studies</t>
        </is>
      </c>
      <c r="C81" s="4" t="inlineStr">
        <is>
          <t>Put your SQL skills to the test. Get better at intermediate level Analytics using the case studies given in this practice path</t>
        </is>
      </c>
      <c r="D81" s="4" t="inlineStr">
        <is>
          <t>Case Study - Fantasy Role Playing Game - MCQ</t>
        </is>
      </c>
      <c r="E81" s="4" t="n">
        <v>80</v>
      </c>
      <c r="F81" s="4" t="inlineStr">
        <is>
          <t>MCQ-11</t>
        </is>
      </c>
      <c r="G81" s="4" t="inlineStr">
        <is>
          <t>SQLP016</t>
        </is>
      </c>
      <c r="H81" s="4" t="inlineStr"/>
      <c r="I81" s="4" t="inlineStr">
        <is>
          <t>Medium</t>
        </is>
      </c>
      <c r="J81" s="5">
        <f>HYPERLINK("https://www.codechef.com/problems/SQLP016", "https://www.codechef.com/problems/SQLP016")</f>
        <v/>
      </c>
      <c r="K81" s="4" t="inlineStr"/>
      <c r="L81" s="4" t="inlineStr"/>
      <c r="M81" s="4" t="inlineStr"/>
      <c r="N81" s="4" t="inlineStr">
        <is>
          <t>No</t>
        </is>
      </c>
      <c r="O81" s="4" t="inlineStr">
        <is>
          <t>Unattempted</t>
        </is>
      </c>
    </row>
    <row r="82">
      <c r="A82" s="2" t="inlineStr">
        <is>
          <t>Other Practice Paths</t>
        </is>
      </c>
      <c r="B82" s="2" t="inlineStr">
        <is>
          <t>SQL case studies</t>
        </is>
      </c>
      <c r="C82" s="2" t="inlineStr">
        <is>
          <t>Put your SQL skills to the test. Get better at intermediate level Analytics using the case studies given in this practice path</t>
        </is>
      </c>
      <c r="D82" s="2" t="inlineStr">
        <is>
          <t>Case Study - Fantasy Role Playing Game - MCQ</t>
        </is>
      </c>
      <c r="E82" s="2" t="n">
        <v>81</v>
      </c>
      <c r="F82" s="2" t="inlineStr">
        <is>
          <t>MCQ-12</t>
        </is>
      </c>
      <c r="G82" s="2" t="inlineStr">
        <is>
          <t>SQLP017</t>
        </is>
      </c>
      <c r="H82" s="2" t="inlineStr"/>
      <c r="I82" s="2" t="inlineStr">
        <is>
          <t>Easy</t>
        </is>
      </c>
      <c r="J82" s="3">
        <f>HYPERLINK("https://www.codechef.com/problems/SQLP017", "https://www.codechef.com/problems/SQLP017")</f>
        <v/>
      </c>
      <c r="K82" s="2" t="inlineStr"/>
      <c r="L82" s="2" t="inlineStr"/>
      <c r="M82" s="2" t="inlineStr"/>
      <c r="N82" s="2" t="inlineStr">
        <is>
          <t>No</t>
        </is>
      </c>
      <c r="O82" s="2" t="inlineStr">
        <is>
          <t>Unattempted</t>
        </is>
      </c>
    </row>
    <row r="83">
      <c r="A83" s="4" t="inlineStr">
        <is>
          <t>Other Practice Paths</t>
        </is>
      </c>
      <c r="B83" s="4" t="inlineStr">
        <is>
          <t>SQL case studies</t>
        </is>
      </c>
      <c r="C83" s="4" t="inlineStr">
        <is>
          <t>Put your SQL skills to the test. Get better at intermediate level Analytics using the case studies given in this practice path</t>
        </is>
      </c>
      <c r="D83" s="4" t="inlineStr">
        <is>
          <t>Case Study - Fantasy Role Playing Game - MCQ</t>
        </is>
      </c>
      <c r="E83" s="4" t="n">
        <v>82</v>
      </c>
      <c r="F83" s="4" t="inlineStr">
        <is>
          <t>MCQ-13</t>
        </is>
      </c>
      <c r="G83" s="4" t="inlineStr">
        <is>
          <t>SQLP018</t>
        </is>
      </c>
      <c r="H83" s="4" t="inlineStr"/>
      <c r="I83" s="4" t="inlineStr">
        <is>
          <t>Easy</t>
        </is>
      </c>
      <c r="J83" s="5">
        <f>HYPERLINK("https://www.codechef.com/problems/SQLP018", "https://www.codechef.com/problems/SQLP018")</f>
        <v/>
      </c>
      <c r="K83" s="4" t="inlineStr"/>
      <c r="L83" s="4" t="inlineStr"/>
      <c r="M83" s="4" t="inlineStr"/>
      <c r="N83" s="4" t="inlineStr">
        <is>
          <t>No</t>
        </is>
      </c>
      <c r="O83" s="4" t="inlineStr">
        <is>
          <t>Unattempted</t>
        </is>
      </c>
    </row>
    <row r="84">
      <c r="A84" s="2" t="inlineStr">
        <is>
          <t>Other Practice Paths</t>
        </is>
      </c>
      <c r="B84" s="2" t="inlineStr">
        <is>
          <t>SQL case studies</t>
        </is>
      </c>
      <c r="C84" s="2" t="inlineStr">
        <is>
          <t>Put your SQL skills to the test. Get better at intermediate level Analytics using the case studies given in this practice path</t>
        </is>
      </c>
      <c r="D84" s="2" t="inlineStr">
        <is>
          <t>Case Study - Fantasy Role Playing Game - MCQ</t>
        </is>
      </c>
      <c r="E84" s="2" t="n">
        <v>83</v>
      </c>
      <c r="F84" s="2" t="inlineStr">
        <is>
          <t>MCQ-14</t>
        </is>
      </c>
      <c r="G84" s="2" t="inlineStr">
        <is>
          <t>SQLP019</t>
        </is>
      </c>
      <c r="H84" s="2" t="inlineStr"/>
      <c r="I84" s="2" t="inlineStr">
        <is>
          <t>Easy</t>
        </is>
      </c>
      <c r="J84" s="3">
        <f>HYPERLINK("https://www.codechef.com/problems/SQLP019", "https://www.codechef.com/problems/SQLP019")</f>
        <v/>
      </c>
      <c r="K84" s="2" t="inlineStr"/>
      <c r="L84" s="2" t="inlineStr"/>
      <c r="M84" s="2" t="inlineStr"/>
      <c r="N84" s="2" t="inlineStr">
        <is>
          <t>No</t>
        </is>
      </c>
      <c r="O84" s="2" t="inlineStr">
        <is>
          <t>Unattempted</t>
        </is>
      </c>
    </row>
    <row r="85">
      <c r="A85" s="4" t="inlineStr">
        <is>
          <t>Other Practice Paths</t>
        </is>
      </c>
      <c r="B85" s="4" t="inlineStr">
        <is>
          <t>SQL case studies</t>
        </is>
      </c>
      <c r="C85" s="4" t="inlineStr">
        <is>
          <t>Put your SQL skills to the test. Get better at intermediate level Analytics using the case studies given in this practice path</t>
        </is>
      </c>
      <c r="D85" s="4" t="inlineStr">
        <is>
          <t>Case Study - Fantasy Role Playing Game - MCQ</t>
        </is>
      </c>
      <c r="E85" s="4" t="n">
        <v>84</v>
      </c>
      <c r="F85" s="4" t="inlineStr">
        <is>
          <t>Rearrange code-6</t>
        </is>
      </c>
      <c r="G85" s="4" t="inlineStr">
        <is>
          <t>SQLP020</t>
        </is>
      </c>
      <c r="H85" s="4" t="inlineStr"/>
      <c r="I85" s="4" t="inlineStr">
        <is>
          <t>Easy</t>
        </is>
      </c>
      <c r="J85" s="5">
        <f>HYPERLINK("https://www.codechef.com/problems/SQLP020", "https://www.codechef.com/problems/SQLP020")</f>
        <v/>
      </c>
      <c r="K85" s="4" t="inlineStr"/>
      <c r="L85" s="4" t="inlineStr"/>
      <c r="M85" s="4" t="inlineStr"/>
      <c r="N85" s="4" t="inlineStr">
        <is>
          <t>No</t>
        </is>
      </c>
      <c r="O85" s="4" t="inlineStr">
        <is>
          <t>Unattempted</t>
        </is>
      </c>
    </row>
    <row r="86">
      <c r="A86" s="2" t="inlineStr">
        <is>
          <t>Other Practice Paths</t>
        </is>
      </c>
      <c r="B86" s="2" t="inlineStr">
        <is>
          <t>SQL case studies</t>
        </is>
      </c>
      <c r="C86" s="2" t="inlineStr">
        <is>
          <t>Put your SQL skills to the test. Get better at intermediate level Analytics using the case studies given in this practice path</t>
        </is>
      </c>
      <c r="D86" s="2" t="inlineStr">
        <is>
          <t>Case Study - Fantasy Role Playing Game - Queries</t>
        </is>
      </c>
      <c r="E86" s="2" t="n">
        <v>85</v>
      </c>
      <c r="F86" s="2" t="inlineStr">
        <is>
          <t>Query-1</t>
        </is>
      </c>
      <c r="G86" s="2" t="inlineStr">
        <is>
          <t>SQLP021</t>
        </is>
      </c>
      <c r="H86" s="2" t="inlineStr"/>
      <c r="I86" s="2" t="inlineStr">
        <is>
          <t>Easy</t>
        </is>
      </c>
      <c r="J86" s="3">
        <f>HYPERLINK("https://www.codechef.com/problems/SQLP021", "https://www.codechef.com/problems/SQLP021")</f>
        <v/>
      </c>
      <c r="K86" s="2" t="inlineStr"/>
      <c r="L86" s="2" t="inlineStr"/>
      <c r="M86" s="2" t="inlineStr"/>
      <c r="N86" s="2" t="inlineStr">
        <is>
          <t>No</t>
        </is>
      </c>
      <c r="O86" s="2" t="inlineStr">
        <is>
          <t>Unattempted</t>
        </is>
      </c>
    </row>
    <row r="87">
      <c r="A87" s="4" t="inlineStr">
        <is>
          <t>Other Practice Paths</t>
        </is>
      </c>
      <c r="B87" s="4" t="inlineStr">
        <is>
          <t>SQL case studies</t>
        </is>
      </c>
      <c r="C87" s="4" t="inlineStr">
        <is>
          <t>Put your SQL skills to the test. Get better at intermediate level Analytics using the case studies given in this practice path</t>
        </is>
      </c>
      <c r="D87" s="4" t="inlineStr">
        <is>
          <t>Case Study - Fantasy Role Playing Game - Queries</t>
        </is>
      </c>
      <c r="E87" s="4" t="n">
        <v>86</v>
      </c>
      <c r="F87" s="4" t="inlineStr">
        <is>
          <t>Query-2</t>
        </is>
      </c>
      <c r="G87" s="4" t="inlineStr">
        <is>
          <t>SQLP022</t>
        </is>
      </c>
      <c r="H87" s="4" t="inlineStr"/>
      <c r="I87" s="4" t="inlineStr">
        <is>
          <t>Easy</t>
        </is>
      </c>
      <c r="J87" s="5">
        <f>HYPERLINK("https://www.codechef.com/problems/SQLP022", "https://www.codechef.com/problems/SQLP022")</f>
        <v/>
      </c>
      <c r="K87" s="4" t="inlineStr"/>
      <c r="L87" s="4" t="inlineStr"/>
      <c r="M87" s="4" t="inlineStr"/>
      <c r="N87" s="4" t="inlineStr">
        <is>
          <t>No</t>
        </is>
      </c>
      <c r="O87" s="4" t="inlineStr">
        <is>
          <t>Unattempted</t>
        </is>
      </c>
    </row>
    <row r="88">
      <c r="A88" s="2" t="inlineStr">
        <is>
          <t>Other Practice Paths</t>
        </is>
      </c>
      <c r="B88" s="2" t="inlineStr">
        <is>
          <t>SQL case studies</t>
        </is>
      </c>
      <c r="C88" s="2" t="inlineStr">
        <is>
          <t>Put your SQL skills to the test. Get better at intermediate level Analytics using the case studies given in this practice path</t>
        </is>
      </c>
      <c r="D88" s="2" t="inlineStr">
        <is>
          <t>Case Study - Fantasy Role Playing Game - Queries</t>
        </is>
      </c>
      <c r="E88" s="2" t="n">
        <v>87</v>
      </c>
      <c r="F88" s="2" t="inlineStr">
        <is>
          <t>Query-3</t>
        </is>
      </c>
      <c r="G88" s="2" t="inlineStr">
        <is>
          <t>SQLP023</t>
        </is>
      </c>
      <c r="H88" s="2" t="inlineStr"/>
      <c r="I88" s="2" t="inlineStr">
        <is>
          <t>Easy</t>
        </is>
      </c>
      <c r="J88" s="3">
        <f>HYPERLINK("https://www.codechef.com/problems/SQLP023", "https://www.codechef.com/problems/SQLP023")</f>
        <v/>
      </c>
      <c r="K88" s="2" t="inlineStr"/>
      <c r="L88" s="2" t="inlineStr"/>
      <c r="M88" s="2" t="inlineStr"/>
      <c r="N88" s="2" t="inlineStr">
        <is>
          <t>No</t>
        </is>
      </c>
      <c r="O88" s="2" t="inlineStr">
        <is>
          <t>Unattempted</t>
        </is>
      </c>
    </row>
    <row r="89">
      <c r="A89" s="4" t="inlineStr">
        <is>
          <t>Other Practice Paths</t>
        </is>
      </c>
      <c r="B89" s="4" t="inlineStr">
        <is>
          <t>SQL case studies</t>
        </is>
      </c>
      <c r="C89" s="4" t="inlineStr">
        <is>
          <t>Put your SQL skills to the test. Get better at intermediate level Analytics using the case studies given in this practice path</t>
        </is>
      </c>
      <c r="D89" s="4" t="inlineStr">
        <is>
          <t>Case Study - Fantasy Role Playing Game - Queries</t>
        </is>
      </c>
      <c r="E89" s="4" t="n">
        <v>88</v>
      </c>
      <c r="F89" s="4" t="inlineStr">
        <is>
          <t>Query-4</t>
        </is>
      </c>
      <c r="G89" s="4" t="inlineStr">
        <is>
          <t>SQLP024</t>
        </is>
      </c>
      <c r="H89" s="4" t="inlineStr"/>
      <c r="I89" s="4" t="inlineStr">
        <is>
          <t>Easy</t>
        </is>
      </c>
      <c r="J89" s="5">
        <f>HYPERLINK("https://www.codechef.com/problems/SQLP024", "https://www.codechef.com/problems/SQLP024")</f>
        <v/>
      </c>
      <c r="K89" s="4" t="inlineStr"/>
      <c r="L89" s="4" t="inlineStr"/>
      <c r="M89" s="4" t="inlineStr"/>
      <c r="N89" s="4" t="inlineStr">
        <is>
          <t>No</t>
        </is>
      </c>
      <c r="O89" s="4" t="inlineStr">
        <is>
          <t>Unattempted</t>
        </is>
      </c>
    </row>
    <row r="90">
      <c r="A90" s="2" t="inlineStr">
        <is>
          <t>Other Practice Paths</t>
        </is>
      </c>
      <c r="B90" s="2" t="inlineStr">
        <is>
          <t>SQL case studies</t>
        </is>
      </c>
      <c r="C90" s="2" t="inlineStr">
        <is>
          <t>Put your SQL skills to the test. Get better at intermediate level Analytics using the case studies given in this practice path</t>
        </is>
      </c>
      <c r="D90" s="2" t="inlineStr">
        <is>
          <t>Case Study - Fantasy Role Playing Game - Queries</t>
        </is>
      </c>
      <c r="E90" s="2" t="n">
        <v>89</v>
      </c>
      <c r="F90" s="2" t="inlineStr">
        <is>
          <t>Query-5</t>
        </is>
      </c>
      <c r="G90" s="2" t="inlineStr">
        <is>
          <t>SQLP025</t>
        </is>
      </c>
      <c r="H90" s="2" t="inlineStr"/>
      <c r="I90" s="2" t="inlineStr">
        <is>
          <t>Easy</t>
        </is>
      </c>
      <c r="J90" s="3">
        <f>HYPERLINK("https://www.codechef.com/problems/SQLP025", "https://www.codechef.com/problems/SQLP025")</f>
        <v/>
      </c>
      <c r="K90" s="2" t="inlineStr"/>
      <c r="L90" s="2" t="inlineStr"/>
      <c r="M90" s="2" t="inlineStr"/>
      <c r="N90" s="2" t="inlineStr">
        <is>
          <t>No</t>
        </is>
      </c>
      <c r="O90" s="2" t="inlineStr">
        <is>
          <t>Unattempted</t>
        </is>
      </c>
    </row>
    <row r="91">
      <c r="A91" s="4" t="inlineStr">
        <is>
          <t>Other Practice Paths</t>
        </is>
      </c>
      <c r="B91" s="4" t="inlineStr">
        <is>
          <t>SQL case studies</t>
        </is>
      </c>
      <c r="C91" s="4" t="inlineStr">
        <is>
          <t>Put your SQL skills to the test. Get better at intermediate level Analytics using the case studies given in this practice path</t>
        </is>
      </c>
      <c r="D91" s="4" t="inlineStr">
        <is>
          <t>Case Study - Fantasy Role Playing Game - Queries</t>
        </is>
      </c>
      <c r="E91" s="4" t="n">
        <v>90</v>
      </c>
      <c r="F91" s="4" t="inlineStr">
        <is>
          <t>Query-6</t>
        </is>
      </c>
      <c r="G91" s="4" t="inlineStr">
        <is>
          <t>SQLP026</t>
        </is>
      </c>
      <c r="H91" s="4" t="inlineStr"/>
      <c r="I91" s="4" t="inlineStr">
        <is>
          <t>Easy</t>
        </is>
      </c>
      <c r="J91" s="5">
        <f>HYPERLINK("https://www.codechef.com/problems/SQLP026", "https://www.codechef.com/problems/SQLP026")</f>
        <v/>
      </c>
      <c r="K91" s="4" t="inlineStr"/>
      <c r="L91" s="4" t="inlineStr"/>
      <c r="M91" s="4" t="inlineStr"/>
      <c r="N91" s="4" t="inlineStr">
        <is>
          <t>No</t>
        </is>
      </c>
      <c r="O91" s="4" t="inlineStr">
        <is>
          <t>Unattempted</t>
        </is>
      </c>
    </row>
    <row r="92">
      <c r="A92" s="2" t="inlineStr">
        <is>
          <t>Other Practice Paths</t>
        </is>
      </c>
      <c r="B92" s="2" t="inlineStr">
        <is>
          <t>SQL case studies</t>
        </is>
      </c>
      <c r="C92" s="2" t="inlineStr">
        <is>
          <t>Put your SQL skills to the test. Get better at intermediate level Analytics using the case studies given in this practice path</t>
        </is>
      </c>
      <c r="D92" s="2" t="inlineStr">
        <is>
          <t>Case Study - Fantasy Role Playing Game - Queries</t>
        </is>
      </c>
      <c r="E92" s="2" t="n">
        <v>91</v>
      </c>
      <c r="F92" s="2" t="inlineStr">
        <is>
          <t>Query-7</t>
        </is>
      </c>
      <c r="G92" s="2" t="inlineStr">
        <is>
          <t>SQLP027</t>
        </is>
      </c>
      <c r="H92" s="2" t="inlineStr"/>
      <c r="I92" s="2" t="inlineStr">
        <is>
          <t>Medium</t>
        </is>
      </c>
      <c r="J92" s="3">
        <f>HYPERLINK("https://www.codechef.com/problems/SQLP027", "https://www.codechef.com/problems/SQLP027")</f>
        <v/>
      </c>
      <c r="K92" s="2" t="inlineStr"/>
      <c r="L92" s="2" t="inlineStr"/>
      <c r="M92" s="2" t="inlineStr"/>
      <c r="N92" s="2" t="inlineStr">
        <is>
          <t>No</t>
        </is>
      </c>
      <c r="O92" s="2" t="inlineStr">
        <is>
          <t>Unattempted</t>
        </is>
      </c>
    </row>
    <row r="93">
      <c r="A93" s="4" t="inlineStr">
        <is>
          <t>Other Practice Paths</t>
        </is>
      </c>
      <c r="B93" s="4" t="inlineStr">
        <is>
          <t>SQL case studies</t>
        </is>
      </c>
      <c r="C93" s="4" t="inlineStr">
        <is>
          <t>Put your SQL skills to the test. Get better at intermediate level Analytics using the case studies given in this practice path</t>
        </is>
      </c>
      <c r="D93" s="4" t="inlineStr">
        <is>
          <t>Case Study - Fantasy Role Playing Game - Queries</t>
        </is>
      </c>
      <c r="E93" s="4" t="n">
        <v>92</v>
      </c>
      <c r="F93" s="4" t="inlineStr">
        <is>
          <t>Query-8</t>
        </is>
      </c>
      <c r="G93" s="4" t="inlineStr">
        <is>
          <t>SQLP028</t>
        </is>
      </c>
      <c r="H93" s="4" t="inlineStr"/>
      <c r="I93" s="4" t="inlineStr">
        <is>
          <t>Medium</t>
        </is>
      </c>
      <c r="J93" s="5">
        <f>HYPERLINK("https://www.codechef.com/problems/SQLP028", "https://www.codechef.com/problems/SQLP028")</f>
        <v/>
      </c>
      <c r="K93" s="4" t="inlineStr"/>
      <c r="L93" s="4" t="inlineStr"/>
      <c r="M93" s="4" t="inlineStr"/>
      <c r="N93" s="4" t="inlineStr">
        <is>
          <t>No</t>
        </is>
      </c>
      <c r="O93" s="4" t="inlineStr">
        <is>
          <t>Unattempted</t>
        </is>
      </c>
    </row>
    <row r="94">
      <c r="A94" s="2" t="inlineStr">
        <is>
          <t>Other Practice Paths</t>
        </is>
      </c>
      <c r="B94" s="2" t="inlineStr">
        <is>
          <t>SQL case studies</t>
        </is>
      </c>
      <c r="C94" s="2" t="inlineStr">
        <is>
          <t>Put your SQL skills to the test. Get better at intermediate level Analytics using the case studies given in this practice path</t>
        </is>
      </c>
      <c r="D94" s="2" t="inlineStr">
        <is>
          <t>Case Study - Fantasy Role Playing Game - Queries</t>
        </is>
      </c>
      <c r="E94" s="2" t="n">
        <v>93</v>
      </c>
      <c r="F94" s="2" t="inlineStr">
        <is>
          <t>Query-9</t>
        </is>
      </c>
      <c r="G94" s="2" t="inlineStr">
        <is>
          <t>SQLP029</t>
        </is>
      </c>
      <c r="H94" s="2" t="inlineStr"/>
      <c r="I94" s="2" t="inlineStr">
        <is>
          <t>Medium</t>
        </is>
      </c>
      <c r="J94" s="3">
        <f>HYPERLINK("https://www.codechef.com/problems/SQLP029", "https://www.codechef.com/problems/SQLP029")</f>
        <v/>
      </c>
      <c r="K94" s="2" t="inlineStr"/>
      <c r="L94" s="2" t="inlineStr"/>
      <c r="M94" s="2" t="inlineStr"/>
      <c r="N94" s="2" t="inlineStr">
        <is>
          <t>No</t>
        </is>
      </c>
      <c r="O94" s="2" t="inlineStr">
        <is>
          <t>Unattempted</t>
        </is>
      </c>
    </row>
    <row r="95">
      <c r="A95" s="4" t="inlineStr">
        <is>
          <t>Other Practice Paths</t>
        </is>
      </c>
      <c r="B95" s="4" t="inlineStr">
        <is>
          <t>SQL case studies</t>
        </is>
      </c>
      <c r="C95" s="4" t="inlineStr">
        <is>
          <t>Put your SQL skills to the test. Get better at intermediate level Analytics using the case studies given in this practice path</t>
        </is>
      </c>
      <c r="D95" s="4" t="inlineStr">
        <is>
          <t>Case Study - Fantasy Role Playing Game - Queries</t>
        </is>
      </c>
      <c r="E95" s="4" t="n">
        <v>94</v>
      </c>
      <c r="F95" s="4" t="inlineStr">
        <is>
          <t>Query-10</t>
        </is>
      </c>
      <c r="G95" s="4" t="inlineStr">
        <is>
          <t>SQLP030</t>
        </is>
      </c>
      <c r="H95" s="4" t="inlineStr"/>
      <c r="I95" s="4" t="inlineStr">
        <is>
          <t>Easy</t>
        </is>
      </c>
      <c r="J95" s="5">
        <f>HYPERLINK("https://www.codechef.com/problems/SQLP030", "https://www.codechef.com/problems/SQLP030")</f>
        <v/>
      </c>
      <c r="K95" s="4" t="inlineStr"/>
      <c r="L95" s="4" t="inlineStr"/>
      <c r="M95" s="4" t="inlineStr"/>
      <c r="N95" s="4" t="inlineStr">
        <is>
          <t>No</t>
        </is>
      </c>
      <c r="O95" s="4" t="inlineStr">
        <is>
          <t>Unattempted</t>
        </is>
      </c>
    </row>
    <row r="96">
      <c r="A96" s="2" t="inlineStr">
        <is>
          <t>Other Practice Paths</t>
        </is>
      </c>
      <c r="B96" s="2" t="inlineStr">
        <is>
          <t>SQL case studies</t>
        </is>
      </c>
      <c r="C96" s="2" t="inlineStr">
        <is>
          <t>Put your SQL skills to the test. Get better at intermediate level Analytics using the case studies given in this practice path</t>
        </is>
      </c>
      <c r="D96" s="2" t="inlineStr">
        <is>
          <t>Case Study - Fantasy Role Playing Game - Queries</t>
        </is>
      </c>
      <c r="E96" s="2" t="n">
        <v>95</v>
      </c>
      <c r="F96" s="2" t="inlineStr">
        <is>
          <t>Query-11</t>
        </is>
      </c>
      <c r="G96" s="2" t="inlineStr">
        <is>
          <t>SQLP031</t>
        </is>
      </c>
      <c r="H96" s="2" t="inlineStr"/>
      <c r="I96" s="2" t="inlineStr">
        <is>
          <t>Easy</t>
        </is>
      </c>
      <c r="J96" s="3">
        <f>HYPERLINK("https://www.codechef.com/problems/SQLP031", "https://www.codechef.com/problems/SQLP031")</f>
        <v/>
      </c>
      <c r="K96" s="2" t="inlineStr"/>
      <c r="L96" s="2" t="inlineStr"/>
      <c r="M96" s="2" t="inlineStr"/>
      <c r="N96" s="2" t="inlineStr">
        <is>
          <t>No</t>
        </is>
      </c>
      <c r="O96" s="2" t="inlineStr">
        <is>
          <t>Unattempted</t>
        </is>
      </c>
    </row>
    <row r="97">
      <c r="A97" s="4" t="inlineStr">
        <is>
          <t>Other Practice Paths</t>
        </is>
      </c>
      <c r="B97" s="4" t="inlineStr">
        <is>
          <t>SQL case studies</t>
        </is>
      </c>
      <c r="C97" s="4" t="inlineStr">
        <is>
          <t>Put your SQL skills to the test. Get better at intermediate level Analytics using the case studies given in this practice path</t>
        </is>
      </c>
      <c r="D97" s="4" t="inlineStr">
        <is>
          <t>Case Study - Fantasy Role Playing Game - Queries</t>
        </is>
      </c>
      <c r="E97" s="4" t="n">
        <v>96</v>
      </c>
      <c r="F97" s="4" t="inlineStr">
        <is>
          <t>Query-12</t>
        </is>
      </c>
      <c r="G97" s="4" t="inlineStr">
        <is>
          <t>SQLP032</t>
        </is>
      </c>
      <c r="H97" s="4" t="inlineStr"/>
      <c r="I97" s="4" t="inlineStr">
        <is>
          <t>Easy</t>
        </is>
      </c>
      <c r="J97" s="5">
        <f>HYPERLINK("https://www.codechef.com/problems/SQLP032", "https://www.codechef.com/problems/SQLP032")</f>
        <v/>
      </c>
      <c r="K97" s="4" t="inlineStr"/>
      <c r="L97" s="4" t="inlineStr"/>
      <c r="M97" s="4" t="inlineStr"/>
      <c r="N97" s="4" t="inlineStr">
        <is>
          <t>No</t>
        </is>
      </c>
      <c r="O97" s="4" t="inlineStr">
        <is>
          <t>Unattempted</t>
        </is>
      </c>
    </row>
    <row r="98">
      <c r="A98" s="2" t="inlineStr">
        <is>
          <t>Other Practice Paths</t>
        </is>
      </c>
      <c r="B98" s="2" t="inlineStr">
        <is>
          <t>SQL case studies</t>
        </is>
      </c>
      <c r="C98" s="2" t="inlineStr">
        <is>
          <t>Put your SQL skills to the test. Get better at intermediate level Analytics using the case studies given in this practice path</t>
        </is>
      </c>
      <c r="D98" s="2" t="inlineStr">
        <is>
          <t>Case Study - Company Recession - MCQ</t>
        </is>
      </c>
      <c r="E98" s="2" t="n">
        <v>97</v>
      </c>
      <c r="F98" s="2" t="inlineStr">
        <is>
          <t>MCQ-1</t>
        </is>
      </c>
      <c r="G98" s="2" t="inlineStr">
        <is>
          <t>SQLP097</t>
        </is>
      </c>
      <c r="H98" s="2" t="inlineStr"/>
      <c r="I98" s="2" t="inlineStr">
        <is>
          <t>Easy</t>
        </is>
      </c>
      <c r="J98" s="3">
        <f>HYPERLINK("https://www.codechef.com/problems/SQLP097", "https://www.codechef.com/problems/SQLP097")</f>
        <v/>
      </c>
      <c r="K98" s="2" t="inlineStr"/>
      <c r="L98" s="2" t="inlineStr"/>
      <c r="M98" s="2" t="inlineStr"/>
      <c r="N98" s="2" t="inlineStr">
        <is>
          <t>No</t>
        </is>
      </c>
      <c r="O98" s="2" t="inlineStr">
        <is>
          <t>Unattempted</t>
        </is>
      </c>
    </row>
    <row r="99">
      <c r="A99" s="4" t="inlineStr">
        <is>
          <t>Other Practice Paths</t>
        </is>
      </c>
      <c r="B99" s="4" t="inlineStr">
        <is>
          <t>SQL case studies</t>
        </is>
      </c>
      <c r="C99" s="4" t="inlineStr">
        <is>
          <t>Put your SQL skills to the test. Get better at intermediate level Analytics using the case studies given in this practice path</t>
        </is>
      </c>
      <c r="D99" s="4" t="inlineStr">
        <is>
          <t>Case Study - Company Recession - MCQ</t>
        </is>
      </c>
      <c r="E99" s="4" t="n">
        <v>98</v>
      </c>
      <c r="F99" s="4" t="inlineStr">
        <is>
          <t>MCQ-2</t>
        </is>
      </c>
      <c r="G99" s="4" t="inlineStr">
        <is>
          <t>SQLP098</t>
        </is>
      </c>
      <c r="H99" s="4" t="inlineStr"/>
      <c r="I99" s="4" t="inlineStr">
        <is>
          <t>Easy</t>
        </is>
      </c>
      <c r="J99" s="5">
        <f>HYPERLINK("https://www.codechef.com/problems/SQLP098", "https://www.codechef.com/problems/SQLP098")</f>
        <v/>
      </c>
      <c r="K99" s="4" t="inlineStr"/>
      <c r="L99" s="4" t="inlineStr"/>
      <c r="M99" s="4" t="inlineStr"/>
      <c r="N99" s="4" t="inlineStr">
        <is>
          <t>No</t>
        </is>
      </c>
      <c r="O99" s="4" t="inlineStr">
        <is>
          <t>Unattempted</t>
        </is>
      </c>
    </row>
    <row r="100">
      <c r="A100" s="2" t="inlineStr">
        <is>
          <t>Other Practice Paths</t>
        </is>
      </c>
      <c r="B100" s="2" t="inlineStr">
        <is>
          <t>SQL case studies</t>
        </is>
      </c>
      <c r="C100" s="2" t="inlineStr">
        <is>
          <t>Put your SQL skills to the test. Get better at intermediate level Analytics using the case studies given in this practice path</t>
        </is>
      </c>
      <c r="D100" s="2" t="inlineStr">
        <is>
          <t>Case Study - Company Recession - MCQ</t>
        </is>
      </c>
      <c r="E100" s="2" t="n">
        <v>99</v>
      </c>
      <c r="F100" s="2" t="inlineStr">
        <is>
          <t>Rearrange code-1</t>
        </is>
      </c>
      <c r="G100" s="2" t="inlineStr">
        <is>
          <t>SQLP099</t>
        </is>
      </c>
      <c r="H100" s="2" t="inlineStr"/>
      <c r="I100" s="2" t="inlineStr">
        <is>
          <t>Medium</t>
        </is>
      </c>
      <c r="J100" s="3">
        <f>HYPERLINK("https://www.codechef.com/problems/SQLP099", "https://www.codechef.com/problems/SQLP099")</f>
        <v/>
      </c>
      <c r="K100" s="2" t="inlineStr"/>
      <c r="L100" s="2" t="inlineStr"/>
      <c r="M100" s="2" t="inlineStr"/>
      <c r="N100" s="2" t="inlineStr">
        <is>
          <t>No</t>
        </is>
      </c>
      <c r="O100" s="2" t="inlineStr">
        <is>
          <t>Unattempted</t>
        </is>
      </c>
    </row>
    <row r="101">
      <c r="A101" s="4" t="inlineStr">
        <is>
          <t>Other Practice Paths</t>
        </is>
      </c>
      <c r="B101" s="4" t="inlineStr">
        <is>
          <t>SQL case studies</t>
        </is>
      </c>
      <c r="C101" s="4" t="inlineStr">
        <is>
          <t>Put your SQL skills to the test. Get better at intermediate level Analytics using the case studies given in this practice path</t>
        </is>
      </c>
      <c r="D101" s="4" t="inlineStr">
        <is>
          <t>Case Study - Company Recession - MCQ</t>
        </is>
      </c>
      <c r="E101" s="4" t="n">
        <v>100</v>
      </c>
      <c r="F101" s="4" t="inlineStr">
        <is>
          <t>MCQ-3</t>
        </is>
      </c>
      <c r="G101" s="4" t="inlineStr">
        <is>
          <t>SQLP100</t>
        </is>
      </c>
      <c r="H101" s="4" t="inlineStr"/>
      <c r="I101" s="4" t="inlineStr">
        <is>
          <t>Easy</t>
        </is>
      </c>
      <c r="J101" s="5">
        <f>HYPERLINK("https://www.codechef.com/problems/SQLP100", "https://www.codechef.com/problems/SQLP100")</f>
        <v/>
      </c>
      <c r="K101" s="4" t="inlineStr"/>
      <c r="L101" s="4" t="inlineStr"/>
      <c r="M101" s="4" t="inlineStr"/>
      <c r="N101" s="4" t="inlineStr">
        <is>
          <t>No</t>
        </is>
      </c>
      <c r="O101" s="4" t="inlineStr">
        <is>
          <t>Unattempted</t>
        </is>
      </c>
    </row>
    <row r="102">
      <c r="A102" s="2" t="inlineStr">
        <is>
          <t>Other Practice Paths</t>
        </is>
      </c>
      <c r="B102" s="2" t="inlineStr">
        <is>
          <t>SQL case studies</t>
        </is>
      </c>
      <c r="C102" s="2" t="inlineStr">
        <is>
          <t>Put your SQL skills to the test. Get better at intermediate level Analytics using the case studies given in this practice path</t>
        </is>
      </c>
      <c r="D102" s="2" t="inlineStr">
        <is>
          <t>Case Study - Company Recession - MCQ</t>
        </is>
      </c>
      <c r="E102" s="2" t="n">
        <v>101</v>
      </c>
      <c r="F102" s="2" t="inlineStr">
        <is>
          <t>MCQ-4</t>
        </is>
      </c>
      <c r="G102" s="2" t="inlineStr">
        <is>
          <t>SQLP101</t>
        </is>
      </c>
      <c r="H102" s="2" t="inlineStr"/>
      <c r="I102" s="2" t="inlineStr">
        <is>
          <t>Easy</t>
        </is>
      </c>
      <c r="J102" s="3">
        <f>HYPERLINK("https://www.codechef.com/problems/SQLP101", "https://www.codechef.com/problems/SQLP101")</f>
        <v/>
      </c>
      <c r="K102" s="2" t="inlineStr"/>
      <c r="L102" s="2" t="inlineStr"/>
      <c r="M102" s="2" t="inlineStr"/>
      <c r="N102" s="2" t="inlineStr">
        <is>
          <t>No</t>
        </is>
      </c>
      <c r="O102" s="2" t="inlineStr">
        <is>
          <t>Unattempted</t>
        </is>
      </c>
    </row>
    <row r="103">
      <c r="A103" s="4" t="inlineStr">
        <is>
          <t>Other Practice Paths</t>
        </is>
      </c>
      <c r="B103" s="4" t="inlineStr">
        <is>
          <t>SQL case studies</t>
        </is>
      </c>
      <c r="C103" s="4" t="inlineStr">
        <is>
          <t>Put your SQL skills to the test. Get better at intermediate level Analytics using the case studies given in this practice path</t>
        </is>
      </c>
      <c r="D103" s="4" t="inlineStr">
        <is>
          <t>Case Study - Company Recession - MCQ</t>
        </is>
      </c>
      <c r="E103" s="4" t="n">
        <v>102</v>
      </c>
      <c r="F103" s="4" t="inlineStr">
        <is>
          <t>Rearrange code-2</t>
        </is>
      </c>
      <c r="G103" s="4" t="inlineStr">
        <is>
          <t>SQLP108</t>
        </is>
      </c>
      <c r="H103" s="4" t="inlineStr"/>
      <c r="I103" s="4" t="inlineStr">
        <is>
          <t>Medium</t>
        </is>
      </c>
      <c r="J103" s="5">
        <f>HYPERLINK("https://www.codechef.com/problems/SQLP108", "https://www.codechef.com/problems/SQLP108")</f>
        <v/>
      </c>
      <c r="K103" s="4" t="inlineStr"/>
      <c r="L103" s="4" t="inlineStr"/>
      <c r="M103" s="4" t="inlineStr"/>
      <c r="N103" s="4" t="inlineStr">
        <is>
          <t>No</t>
        </is>
      </c>
      <c r="O103" s="4" t="inlineStr">
        <is>
          <t>Unattempted</t>
        </is>
      </c>
    </row>
    <row r="104">
      <c r="A104" s="2" t="inlineStr">
        <is>
          <t>Other Practice Paths</t>
        </is>
      </c>
      <c r="B104" s="2" t="inlineStr">
        <is>
          <t>SQL case studies</t>
        </is>
      </c>
      <c r="C104" s="2" t="inlineStr">
        <is>
          <t>Put your SQL skills to the test. Get better at intermediate level Analytics using the case studies given in this practice path</t>
        </is>
      </c>
      <c r="D104" s="2" t="inlineStr">
        <is>
          <t>Case Study - Company Recession - MCQ</t>
        </is>
      </c>
      <c r="E104" s="2" t="n">
        <v>103</v>
      </c>
      <c r="F104" s="2" t="inlineStr">
        <is>
          <t>MCQ-5</t>
        </is>
      </c>
      <c r="G104" s="2" t="inlineStr">
        <is>
          <t>SQLP103</t>
        </is>
      </c>
      <c r="H104" s="2" t="inlineStr"/>
      <c r="I104" s="2" t="inlineStr">
        <is>
          <t>Easy</t>
        </is>
      </c>
      <c r="J104" s="3">
        <f>HYPERLINK("https://www.codechef.com/problems/SQLP103", "https://www.codechef.com/problems/SQLP103")</f>
        <v/>
      </c>
      <c r="K104" s="2" t="inlineStr"/>
      <c r="L104" s="2" t="inlineStr"/>
      <c r="M104" s="2" t="inlineStr"/>
      <c r="N104" s="2" t="inlineStr">
        <is>
          <t>No</t>
        </is>
      </c>
      <c r="O104" s="2" t="inlineStr">
        <is>
          <t>Unattempted</t>
        </is>
      </c>
    </row>
    <row r="105">
      <c r="A105" s="4" t="inlineStr">
        <is>
          <t>Other Practice Paths</t>
        </is>
      </c>
      <c r="B105" s="4" t="inlineStr">
        <is>
          <t>SQL case studies</t>
        </is>
      </c>
      <c r="C105" s="4" t="inlineStr">
        <is>
          <t>Put your SQL skills to the test. Get better at intermediate level Analytics using the case studies given in this practice path</t>
        </is>
      </c>
      <c r="D105" s="4" t="inlineStr">
        <is>
          <t>Case Study - Company Recession - MCQ</t>
        </is>
      </c>
      <c r="E105" s="4" t="n">
        <v>104</v>
      </c>
      <c r="F105" s="4" t="inlineStr">
        <is>
          <t>MCQ-6</t>
        </is>
      </c>
      <c r="G105" s="4" t="inlineStr">
        <is>
          <t>SQLP104</t>
        </is>
      </c>
      <c r="H105" s="4" t="inlineStr"/>
      <c r="I105" s="4" t="inlineStr">
        <is>
          <t>Easy</t>
        </is>
      </c>
      <c r="J105" s="5">
        <f>HYPERLINK("https://www.codechef.com/problems/SQLP104", "https://www.codechef.com/problems/SQLP104")</f>
        <v/>
      </c>
      <c r="K105" s="4" t="inlineStr"/>
      <c r="L105" s="4" t="inlineStr"/>
      <c r="M105" s="4" t="inlineStr"/>
      <c r="N105" s="4" t="inlineStr">
        <is>
          <t>No</t>
        </is>
      </c>
      <c r="O105" s="4" t="inlineStr">
        <is>
          <t>Unattempted</t>
        </is>
      </c>
    </row>
    <row r="106">
      <c r="A106" s="2" t="inlineStr">
        <is>
          <t>Other Practice Paths</t>
        </is>
      </c>
      <c r="B106" s="2" t="inlineStr">
        <is>
          <t>SQL case studies</t>
        </is>
      </c>
      <c r="C106" s="2" t="inlineStr">
        <is>
          <t>Put your SQL skills to the test. Get better at intermediate level Analytics using the case studies given in this practice path</t>
        </is>
      </c>
      <c r="D106" s="2" t="inlineStr">
        <is>
          <t>Case Study - Company Recession - MCQ</t>
        </is>
      </c>
      <c r="E106" s="2" t="n">
        <v>105</v>
      </c>
      <c r="F106" s="2" t="inlineStr">
        <is>
          <t>Rearrange code-3</t>
        </is>
      </c>
      <c r="G106" s="2" t="inlineStr">
        <is>
          <t>SQLP102</t>
        </is>
      </c>
      <c r="H106" s="2" t="inlineStr"/>
      <c r="I106" s="2" t="inlineStr">
        <is>
          <t>Medium</t>
        </is>
      </c>
      <c r="J106" s="3">
        <f>HYPERLINK("https://www.codechef.com/problems/SQLP102", "https://www.codechef.com/problems/SQLP102")</f>
        <v/>
      </c>
      <c r="K106" s="2" t="inlineStr"/>
      <c r="L106" s="2" t="inlineStr"/>
      <c r="M106" s="2" t="inlineStr"/>
      <c r="N106" s="2" t="inlineStr">
        <is>
          <t>No</t>
        </is>
      </c>
      <c r="O106" s="2" t="inlineStr">
        <is>
          <t>Unattempted</t>
        </is>
      </c>
    </row>
    <row r="107">
      <c r="A107" s="4" t="inlineStr">
        <is>
          <t>Other Practice Paths</t>
        </is>
      </c>
      <c r="B107" s="4" t="inlineStr">
        <is>
          <t>SQL case studies</t>
        </is>
      </c>
      <c r="C107" s="4" t="inlineStr">
        <is>
          <t>Put your SQL skills to the test. Get better at intermediate level Analytics using the case studies given in this practice path</t>
        </is>
      </c>
      <c r="D107" s="4" t="inlineStr">
        <is>
          <t>Case Study - Company Recession - MCQ</t>
        </is>
      </c>
      <c r="E107" s="4" t="n">
        <v>106</v>
      </c>
      <c r="F107" s="4" t="inlineStr">
        <is>
          <t>MCQ-7</t>
        </is>
      </c>
      <c r="G107" s="4" t="inlineStr">
        <is>
          <t>SQLP106</t>
        </is>
      </c>
      <c r="H107" s="4" t="inlineStr"/>
      <c r="I107" s="4" t="inlineStr">
        <is>
          <t>Easy</t>
        </is>
      </c>
      <c r="J107" s="5">
        <f>HYPERLINK("https://www.codechef.com/problems/SQLP106", "https://www.codechef.com/problems/SQLP106")</f>
        <v/>
      </c>
      <c r="K107" s="4" t="inlineStr"/>
      <c r="L107" s="4" t="inlineStr"/>
      <c r="M107" s="4" t="inlineStr"/>
      <c r="N107" s="4" t="inlineStr">
        <is>
          <t>No</t>
        </is>
      </c>
      <c r="O107" s="4" t="inlineStr">
        <is>
          <t>Unattempted</t>
        </is>
      </c>
    </row>
    <row r="108">
      <c r="A108" s="2" t="inlineStr">
        <is>
          <t>Other Practice Paths</t>
        </is>
      </c>
      <c r="B108" s="2" t="inlineStr">
        <is>
          <t>SQL case studies</t>
        </is>
      </c>
      <c r="C108" s="2" t="inlineStr">
        <is>
          <t>Put your SQL skills to the test. Get better at intermediate level Analytics using the case studies given in this practice path</t>
        </is>
      </c>
      <c r="D108" s="2" t="inlineStr">
        <is>
          <t>Case Study - Company Recession - MCQ</t>
        </is>
      </c>
      <c r="E108" s="2" t="n">
        <v>107</v>
      </c>
      <c r="F108" s="2" t="inlineStr">
        <is>
          <t>MCQ-8</t>
        </is>
      </c>
      <c r="G108" s="2" t="inlineStr">
        <is>
          <t>SQLP107</t>
        </is>
      </c>
      <c r="H108" s="2" t="inlineStr"/>
      <c r="I108" s="2" t="inlineStr">
        <is>
          <t>Easy</t>
        </is>
      </c>
      <c r="J108" s="3">
        <f>HYPERLINK("https://www.codechef.com/problems/SQLP107", "https://www.codechef.com/problems/SQLP107")</f>
        <v/>
      </c>
      <c r="K108" s="2" t="inlineStr"/>
      <c r="L108" s="2" t="inlineStr"/>
      <c r="M108" s="2" t="inlineStr"/>
      <c r="N108" s="2" t="inlineStr">
        <is>
          <t>No</t>
        </is>
      </c>
      <c r="O108" s="2" t="inlineStr">
        <is>
          <t>Unattempted</t>
        </is>
      </c>
    </row>
    <row r="109">
      <c r="A109" s="4" t="inlineStr">
        <is>
          <t>Other Practice Paths</t>
        </is>
      </c>
      <c r="B109" s="4" t="inlineStr">
        <is>
          <t>SQL case studies</t>
        </is>
      </c>
      <c r="C109" s="4" t="inlineStr">
        <is>
          <t>Put your SQL skills to the test. Get better at intermediate level Analytics using the case studies given in this practice path</t>
        </is>
      </c>
      <c r="D109" s="4" t="inlineStr">
        <is>
          <t>Case Study - Company Recession - MCQ</t>
        </is>
      </c>
      <c r="E109" s="4" t="n">
        <v>108</v>
      </c>
      <c r="F109" s="4" t="inlineStr">
        <is>
          <t>Rearrange code-4</t>
        </is>
      </c>
      <c r="G109" s="4" t="inlineStr">
        <is>
          <t>SQLP105</t>
        </is>
      </c>
      <c r="H109" s="4" t="inlineStr"/>
      <c r="I109" s="4" t="inlineStr">
        <is>
          <t>Medium</t>
        </is>
      </c>
      <c r="J109" s="5">
        <f>HYPERLINK("https://www.codechef.com/problems/SQLP105", "https://www.codechef.com/problems/SQLP105")</f>
        <v/>
      </c>
      <c r="K109" s="4" t="inlineStr"/>
      <c r="L109" s="4" t="inlineStr"/>
      <c r="M109" s="4" t="inlineStr"/>
      <c r="N109" s="4" t="inlineStr">
        <is>
          <t>No</t>
        </is>
      </c>
      <c r="O109" s="4" t="inlineStr">
        <is>
          <t>Unattempted</t>
        </is>
      </c>
    </row>
    <row r="110">
      <c r="A110" s="2" t="inlineStr">
        <is>
          <t>Other Practice Paths</t>
        </is>
      </c>
      <c r="B110" s="2" t="inlineStr">
        <is>
          <t>SQL case studies</t>
        </is>
      </c>
      <c r="C110" s="2" t="inlineStr">
        <is>
          <t>Put your SQL skills to the test. Get better at intermediate level Analytics using the case studies given in this practice path</t>
        </is>
      </c>
      <c r="D110" s="2" t="inlineStr">
        <is>
          <t>Case Study - Company Recession - MCQ</t>
        </is>
      </c>
      <c r="E110" s="2" t="n">
        <v>109</v>
      </c>
      <c r="F110" s="2" t="inlineStr">
        <is>
          <t>MCQ-9</t>
        </is>
      </c>
      <c r="G110" s="2" t="inlineStr">
        <is>
          <t>SQLP109</t>
        </is>
      </c>
      <c r="H110" s="2" t="inlineStr"/>
      <c r="I110" s="2" t="inlineStr">
        <is>
          <t>Easy</t>
        </is>
      </c>
      <c r="J110" s="3">
        <f>HYPERLINK("https://www.codechef.com/problems/SQLP109", "https://www.codechef.com/problems/SQLP109")</f>
        <v/>
      </c>
      <c r="K110" s="2" t="inlineStr"/>
      <c r="L110" s="2" t="inlineStr"/>
      <c r="M110" s="2" t="inlineStr"/>
      <c r="N110" s="2" t="inlineStr">
        <is>
          <t>No</t>
        </is>
      </c>
      <c r="O110" s="2" t="inlineStr">
        <is>
          <t>Unattempted</t>
        </is>
      </c>
    </row>
    <row r="111">
      <c r="A111" s="4" t="inlineStr">
        <is>
          <t>Other Practice Paths</t>
        </is>
      </c>
      <c r="B111" s="4" t="inlineStr">
        <is>
          <t>SQL case studies</t>
        </is>
      </c>
      <c r="C111" s="4" t="inlineStr">
        <is>
          <t>Put your SQL skills to the test. Get better at intermediate level Analytics using the case studies given in this practice path</t>
        </is>
      </c>
      <c r="D111" s="4" t="inlineStr">
        <is>
          <t>Case Study - Company Recession - MCQ</t>
        </is>
      </c>
      <c r="E111" s="4" t="n">
        <v>110</v>
      </c>
      <c r="F111" s="4" t="inlineStr">
        <is>
          <t>MCQ-10</t>
        </is>
      </c>
      <c r="G111" s="4" t="inlineStr">
        <is>
          <t>SQLP110</t>
        </is>
      </c>
      <c r="H111" s="4" t="inlineStr"/>
      <c r="I111" s="4" t="inlineStr">
        <is>
          <t>Easy</t>
        </is>
      </c>
      <c r="J111" s="5">
        <f>HYPERLINK("https://www.codechef.com/problems/SQLP110", "https://www.codechef.com/problems/SQLP110")</f>
        <v/>
      </c>
      <c r="K111" s="4" t="inlineStr"/>
      <c r="L111" s="4" t="inlineStr"/>
      <c r="M111" s="4" t="inlineStr"/>
      <c r="N111" s="4" t="inlineStr">
        <is>
          <t>No</t>
        </is>
      </c>
      <c r="O111" s="4" t="inlineStr">
        <is>
          <t>Unattempted</t>
        </is>
      </c>
    </row>
    <row r="112">
      <c r="A112" s="2" t="inlineStr">
        <is>
          <t>Other Practice Paths</t>
        </is>
      </c>
      <c r="B112" s="2" t="inlineStr">
        <is>
          <t>SQL case studies</t>
        </is>
      </c>
      <c r="C112" s="2" t="inlineStr">
        <is>
          <t>Put your SQL skills to the test. Get better at intermediate level Analytics using the case studies given in this practice path</t>
        </is>
      </c>
      <c r="D112" s="2" t="inlineStr">
        <is>
          <t>Case Study - Company Recession - MCQ</t>
        </is>
      </c>
      <c r="E112" s="2" t="n">
        <v>111</v>
      </c>
      <c r="F112" s="2" t="inlineStr">
        <is>
          <t>Rearrange code-5</t>
        </is>
      </c>
      <c r="G112" s="2" t="inlineStr">
        <is>
          <t>SQLP111</t>
        </is>
      </c>
      <c r="H112" s="2" t="inlineStr"/>
      <c r="I112" s="2" t="inlineStr">
        <is>
          <t>Medium</t>
        </is>
      </c>
      <c r="J112" s="3">
        <f>HYPERLINK("https://www.codechef.com/problems/SQLP111", "https://www.codechef.com/problems/SQLP111")</f>
        <v/>
      </c>
      <c r="K112" s="2" t="inlineStr"/>
      <c r="L112" s="2" t="inlineStr"/>
      <c r="M112" s="2" t="inlineStr"/>
      <c r="N112" s="2" t="inlineStr">
        <is>
          <t>No</t>
        </is>
      </c>
      <c r="O112" s="2" t="inlineStr">
        <is>
          <t>Unattempted</t>
        </is>
      </c>
    </row>
    <row r="113">
      <c r="A113" s="4" t="inlineStr">
        <is>
          <t>Other Practice Paths</t>
        </is>
      </c>
      <c r="B113" s="4" t="inlineStr">
        <is>
          <t>SQL case studies</t>
        </is>
      </c>
      <c r="C113" s="4" t="inlineStr">
        <is>
          <t>Put your SQL skills to the test. Get better at intermediate level Analytics using the case studies given in this practice path</t>
        </is>
      </c>
      <c r="D113" s="4" t="inlineStr">
        <is>
          <t>Case Study - Company Recession - MCQ</t>
        </is>
      </c>
      <c r="E113" s="4" t="n">
        <v>112</v>
      </c>
      <c r="F113" s="4" t="inlineStr">
        <is>
          <t>MCQ-11</t>
        </is>
      </c>
      <c r="G113" s="4" t="inlineStr">
        <is>
          <t>SQLP112</t>
        </is>
      </c>
      <c r="H113" s="4" t="inlineStr"/>
      <c r="I113" s="4" t="inlineStr">
        <is>
          <t>Easy</t>
        </is>
      </c>
      <c r="J113" s="5">
        <f>HYPERLINK("https://www.codechef.com/problems/SQLP112", "https://www.codechef.com/problems/SQLP112")</f>
        <v/>
      </c>
      <c r="K113" s="4" t="inlineStr"/>
      <c r="L113" s="4" t="inlineStr"/>
      <c r="M113" s="4" t="inlineStr"/>
      <c r="N113" s="4" t="inlineStr">
        <is>
          <t>No</t>
        </is>
      </c>
      <c r="O113" s="4" t="inlineStr">
        <is>
          <t>Unattempted</t>
        </is>
      </c>
    </row>
    <row r="114">
      <c r="A114" s="2" t="inlineStr">
        <is>
          <t>Other Practice Paths</t>
        </is>
      </c>
      <c r="B114" s="2" t="inlineStr">
        <is>
          <t>SQL case studies</t>
        </is>
      </c>
      <c r="C114" s="2" t="inlineStr">
        <is>
          <t>Put your SQL skills to the test. Get better at intermediate level Analytics using the case studies given in this practice path</t>
        </is>
      </c>
      <c r="D114" s="2" t="inlineStr">
        <is>
          <t>Case Study - Company Recession - MCQ</t>
        </is>
      </c>
      <c r="E114" s="2" t="n">
        <v>113</v>
      </c>
      <c r="F114" s="2" t="inlineStr">
        <is>
          <t>MCQ-12</t>
        </is>
      </c>
      <c r="G114" s="2" t="inlineStr">
        <is>
          <t>SQLP113</t>
        </is>
      </c>
      <c r="H114" s="2" t="inlineStr"/>
      <c r="I114" s="2" t="inlineStr">
        <is>
          <t>Easy</t>
        </is>
      </c>
      <c r="J114" s="3">
        <f>HYPERLINK("https://www.codechef.com/problems/SQLP113", "https://www.codechef.com/problems/SQLP113")</f>
        <v/>
      </c>
      <c r="K114" s="2" t="inlineStr"/>
      <c r="L114" s="2" t="inlineStr"/>
      <c r="M114" s="2" t="inlineStr"/>
      <c r="N114" s="2" t="inlineStr">
        <is>
          <t>No</t>
        </is>
      </c>
      <c r="O114" s="2" t="inlineStr">
        <is>
          <t>Unattempted</t>
        </is>
      </c>
    </row>
    <row r="115">
      <c r="A115" s="4" t="inlineStr">
        <is>
          <t>Other Practice Paths</t>
        </is>
      </c>
      <c r="B115" s="4" t="inlineStr">
        <is>
          <t>SQL case studies</t>
        </is>
      </c>
      <c r="C115" s="4" t="inlineStr">
        <is>
          <t>Put your SQL skills to the test. Get better at intermediate level Analytics using the case studies given in this practice path</t>
        </is>
      </c>
      <c r="D115" s="4" t="inlineStr">
        <is>
          <t>Case Study - Company Recession - MCQ</t>
        </is>
      </c>
      <c r="E115" s="4" t="n">
        <v>114</v>
      </c>
      <c r="F115" s="4" t="inlineStr">
        <is>
          <t>Rearrange code-6</t>
        </is>
      </c>
      <c r="G115" s="4" t="inlineStr">
        <is>
          <t>SQLP114</t>
        </is>
      </c>
      <c r="H115" s="4" t="inlineStr"/>
      <c r="I115" s="4" t="inlineStr">
        <is>
          <t>Medium</t>
        </is>
      </c>
      <c r="J115" s="5">
        <f>HYPERLINK("https://www.codechef.com/problems/SQLP114", "https://www.codechef.com/problems/SQLP114")</f>
        <v/>
      </c>
      <c r="K115" s="4" t="inlineStr"/>
      <c r="L115" s="4" t="inlineStr"/>
      <c r="M115" s="4" t="inlineStr"/>
      <c r="N115" s="4" t="inlineStr">
        <is>
          <t>No</t>
        </is>
      </c>
      <c r="O115" s="4" t="inlineStr">
        <is>
          <t>Unattempted</t>
        </is>
      </c>
    </row>
    <row r="116">
      <c r="A116" s="2" t="inlineStr">
        <is>
          <t>Other Practice Paths</t>
        </is>
      </c>
      <c r="B116" s="2" t="inlineStr">
        <is>
          <t>SQL case studies</t>
        </is>
      </c>
      <c r="C116" s="2" t="inlineStr">
        <is>
          <t>Put your SQL skills to the test. Get better at intermediate level Analytics using the case studies given in this practice path</t>
        </is>
      </c>
      <c r="D116" s="2" t="inlineStr">
        <is>
          <t>Case Study - Company Recession - MCQ</t>
        </is>
      </c>
      <c r="E116" s="2" t="n">
        <v>115</v>
      </c>
      <c r="F116" s="2" t="inlineStr">
        <is>
          <t>MCQ-13</t>
        </is>
      </c>
      <c r="G116" s="2" t="inlineStr">
        <is>
          <t>SQLP115</t>
        </is>
      </c>
      <c r="H116" s="2" t="inlineStr"/>
      <c r="I116" s="2" t="inlineStr">
        <is>
          <t>Easy</t>
        </is>
      </c>
      <c r="J116" s="3">
        <f>HYPERLINK("https://www.codechef.com/problems/SQLP115", "https://www.codechef.com/problems/SQLP115")</f>
        <v/>
      </c>
      <c r="K116" s="2" t="inlineStr"/>
      <c r="L116" s="2" t="inlineStr"/>
      <c r="M116" s="2" t="inlineStr"/>
      <c r="N116" s="2" t="inlineStr">
        <is>
          <t>No</t>
        </is>
      </c>
      <c r="O116" s="2" t="inlineStr">
        <is>
          <t>Unattempted</t>
        </is>
      </c>
    </row>
    <row r="117">
      <c r="A117" s="4" t="inlineStr">
        <is>
          <t>Other Practice Paths</t>
        </is>
      </c>
      <c r="B117" s="4" t="inlineStr">
        <is>
          <t>SQL case studies</t>
        </is>
      </c>
      <c r="C117" s="4" t="inlineStr">
        <is>
          <t>Put your SQL skills to the test. Get better at intermediate level Analytics using the case studies given in this practice path</t>
        </is>
      </c>
      <c r="D117" s="4" t="inlineStr">
        <is>
          <t>Case Study - Company Recession - MCQ</t>
        </is>
      </c>
      <c r="E117" s="4" t="n">
        <v>116</v>
      </c>
      <c r="F117" s="4" t="inlineStr">
        <is>
          <t>MCQ-14</t>
        </is>
      </c>
      <c r="G117" s="4" t="inlineStr">
        <is>
          <t>SQLP116</t>
        </is>
      </c>
      <c r="H117" s="4" t="inlineStr"/>
      <c r="I117" s="4" t="inlineStr">
        <is>
          <t>Easy</t>
        </is>
      </c>
      <c r="J117" s="5">
        <f>HYPERLINK("https://www.codechef.com/problems/SQLP116", "https://www.codechef.com/problems/SQLP116")</f>
        <v/>
      </c>
      <c r="K117" s="4" t="inlineStr"/>
      <c r="L117" s="4" t="inlineStr"/>
      <c r="M117" s="4" t="inlineStr"/>
      <c r="N117" s="4" t="inlineStr">
        <is>
          <t>No</t>
        </is>
      </c>
      <c r="O117" s="4" t="inlineStr">
        <is>
          <t>Unattempted</t>
        </is>
      </c>
    </row>
    <row r="118">
      <c r="A118" s="2" t="inlineStr">
        <is>
          <t>Other Practice Paths</t>
        </is>
      </c>
      <c r="B118" s="2" t="inlineStr">
        <is>
          <t>SQL case studies</t>
        </is>
      </c>
      <c r="C118" s="2" t="inlineStr">
        <is>
          <t>Put your SQL skills to the test. Get better at intermediate level Analytics using the case studies given in this practice path</t>
        </is>
      </c>
      <c r="D118" s="2" t="inlineStr">
        <is>
          <t>Case Study - Company Recession - Queries</t>
        </is>
      </c>
      <c r="E118" s="2" t="n">
        <v>117</v>
      </c>
      <c r="F118" s="2" t="inlineStr">
        <is>
          <t>Query-1</t>
        </is>
      </c>
      <c r="G118" s="2" t="inlineStr">
        <is>
          <t>SQLP117</t>
        </is>
      </c>
      <c r="H118" s="2" t="inlineStr"/>
      <c r="I118" s="2" t="inlineStr">
        <is>
          <t>Easy</t>
        </is>
      </c>
      <c r="J118" s="3">
        <f>HYPERLINK("https://www.codechef.com/problems/SQLP117", "https://www.codechef.com/problems/SQLP117")</f>
        <v/>
      </c>
      <c r="K118" s="2" t="inlineStr"/>
      <c r="L118" s="2" t="inlineStr"/>
      <c r="M118" s="2" t="inlineStr"/>
      <c r="N118" s="2" t="inlineStr">
        <is>
          <t>No</t>
        </is>
      </c>
      <c r="O118" s="2" t="inlineStr">
        <is>
          <t>Unattempted</t>
        </is>
      </c>
    </row>
    <row r="119">
      <c r="A119" s="4" t="inlineStr">
        <is>
          <t>Other Practice Paths</t>
        </is>
      </c>
      <c r="B119" s="4" t="inlineStr">
        <is>
          <t>SQL case studies</t>
        </is>
      </c>
      <c r="C119" s="4" t="inlineStr">
        <is>
          <t>Put your SQL skills to the test. Get better at intermediate level Analytics using the case studies given in this practice path</t>
        </is>
      </c>
      <c r="D119" s="4" t="inlineStr">
        <is>
          <t>Case Study - Company Recession - Queries</t>
        </is>
      </c>
      <c r="E119" s="4" t="n">
        <v>118</v>
      </c>
      <c r="F119" s="4" t="inlineStr">
        <is>
          <t>Query-2</t>
        </is>
      </c>
      <c r="G119" s="4" t="inlineStr">
        <is>
          <t>SQLP118</t>
        </is>
      </c>
      <c r="H119" s="4" t="inlineStr"/>
      <c r="I119" s="4" t="inlineStr">
        <is>
          <t>Medium</t>
        </is>
      </c>
      <c r="J119" s="5">
        <f>HYPERLINK("https://www.codechef.com/problems/SQLP118", "https://www.codechef.com/problems/SQLP118")</f>
        <v/>
      </c>
      <c r="K119" s="4" t="inlineStr"/>
      <c r="L119" s="4" t="inlineStr"/>
      <c r="M119" s="4" t="inlineStr"/>
      <c r="N119" s="4" t="inlineStr">
        <is>
          <t>No</t>
        </is>
      </c>
      <c r="O119" s="4" t="inlineStr">
        <is>
          <t>Unattempted</t>
        </is>
      </c>
    </row>
    <row r="120">
      <c r="A120" s="2" t="inlineStr">
        <is>
          <t>Other Practice Paths</t>
        </is>
      </c>
      <c r="B120" s="2" t="inlineStr">
        <is>
          <t>SQL case studies</t>
        </is>
      </c>
      <c r="C120" s="2" t="inlineStr">
        <is>
          <t>Put your SQL skills to the test. Get better at intermediate level Analytics using the case studies given in this practice path</t>
        </is>
      </c>
      <c r="D120" s="2" t="inlineStr">
        <is>
          <t>Case Study - Company Recession - Queries</t>
        </is>
      </c>
      <c r="E120" s="2" t="n">
        <v>119</v>
      </c>
      <c r="F120" s="2" t="inlineStr">
        <is>
          <t>Query-3</t>
        </is>
      </c>
      <c r="G120" s="2" t="inlineStr">
        <is>
          <t>SQLP119</t>
        </is>
      </c>
      <c r="H120" s="2" t="inlineStr"/>
      <c r="I120" s="2" t="inlineStr">
        <is>
          <t>Medium</t>
        </is>
      </c>
      <c r="J120" s="3">
        <f>HYPERLINK("https://www.codechef.com/problems/SQLP119", "https://www.codechef.com/problems/SQLP119")</f>
        <v/>
      </c>
      <c r="K120" s="2" t="inlineStr"/>
      <c r="L120" s="2" t="inlineStr"/>
      <c r="M120" s="2" t="inlineStr"/>
      <c r="N120" s="2" t="inlineStr">
        <is>
          <t>No</t>
        </is>
      </c>
      <c r="O120" s="2" t="inlineStr">
        <is>
          <t>Unattempted</t>
        </is>
      </c>
    </row>
    <row r="121">
      <c r="A121" s="4" t="inlineStr">
        <is>
          <t>Other Practice Paths</t>
        </is>
      </c>
      <c r="B121" s="4" t="inlineStr">
        <is>
          <t>SQL case studies</t>
        </is>
      </c>
      <c r="C121" s="4" t="inlineStr">
        <is>
          <t>Put your SQL skills to the test. Get better at intermediate level Analytics using the case studies given in this practice path</t>
        </is>
      </c>
      <c r="D121" s="4" t="inlineStr">
        <is>
          <t>Case Study - Company Recession - Queries</t>
        </is>
      </c>
      <c r="E121" s="4" t="n">
        <v>120</v>
      </c>
      <c r="F121" s="4" t="inlineStr">
        <is>
          <t>Query-4</t>
        </is>
      </c>
      <c r="G121" s="4" t="inlineStr">
        <is>
          <t>SQLP127</t>
        </is>
      </c>
      <c r="H121" s="4" t="inlineStr"/>
      <c r="I121" s="4" t="inlineStr">
        <is>
          <t>Medium</t>
        </is>
      </c>
      <c r="J121" s="5">
        <f>HYPERLINK("https://www.codechef.com/problems/SQLP127", "https://www.codechef.com/problems/SQLP127")</f>
        <v/>
      </c>
      <c r="K121" s="4" t="inlineStr"/>
      <c r="L121" s="4" t="inlineStr"/>
      <c r="M121" s="4" t="inlineStr"/>
      <c r="N121" s="4" t="inlineStr">
        <is>
          <t>No</t>
        </is>
      </c>
      <c r="O121" s="4" t="inlineStr">
        <is>
          <t>Unattempted</t>
        </is>
      </c>
    </row>
    <row r="122">
      <c r="A122" s="2" t="inlineStr">
        <is>
          <t>Other Practice Paths</t>
        </is>
      </c>
      <c r="B122" s="2" t="inlineStr">
        <is>
          <t>SQL case studies</t>
        </is>
      </c>
      <c r="C122" s="2" t="inlineStr">
        <is>
          <t>Put your SQL skills to the test. Get better at intermediate level Analytics using the case studies given in this practice path</t>
        </is>
      </c>
      <c r="D122" s="2" t="inlineStr">
        <is>
          <t>Case Study - Company Recession - Queries</t>
        </is>
      </c>
      <c r="E122" s="2" t="n">
        <v>121</v>
      </c>
      <c r="F122" s="2" t="inlineStr">
        <is>
          <t>Query-5</t>
        </is>
      </c>
      <c r="G122" s="2" t="inlineStr">
        <is>
          <t>SQLP120</t>
        </is>
      </c>
      <c r="H122" s="2" t="inlineStr"/>
      <c r="I122" s="2" t="inlineStr">
        <is>
          <t>Medium</t>
        </is>
      </c>
      <c r="J122" s="3">
        <f>HYPERLINK("https://www.codechef.com/problems/SQLP120", "https://www.codechef.com/problems/SQLP120")</f>
        <v/>
      </c>
      <c r="K122" s="2" t="inlineStr"/>
      <c r="L122" s="2" t="inlineStr"/>
      <c r="M122" s="2" t="inlineStr"/>
      <c r="N122" s="2" t="inlineStr">
        <is>
          <t>No</t>
        </is>
      </c>
      <c r="O122" s="2" t="inlineStr">
        <is>
          <t>Unattempted</t>
        </is>
      </c>
    </row>
    <row r="123">
      <c r="A123" s="4" t="inlineStr">
        <is>
          <t>Other Practice Paths</t>
        </is>
      </c>
      <c r="B123" s="4" t="inlineStr">
        <is>
          <t>SQL case studies</t>
        </is>
      </c>
      <c r="C123" s="4" t="inlineStr">
        <is>
          <t>Put your SQL skills to the test. Get better at intermediate level Analytics using the case studies given in this practice path</t>
        </is>
      </c>
      <c r="D123" s="4" t="inlineStr">
        <is>
          <t>Case Study - Company Recession - Queries</t>
        </is>
      </c>
      <c r="E123" s="4" t="n">
        <v>122</v>
      </c>
      <c r="F123" s="4" t="inlineStr">
        <is>
          <t>Query-6</t>
        </is>
      </c>
      <c r="G123" s="4" t="inlineStr">
        <is>
          <t>SQLP123</t>
        </is>
      </c>
      <c r="H123" s="4" t="inlineStr"/>
      <c r="I123" s="4" t="inlineStr">
        <is>
          <t>Medium</t>
        </is>
      </c>
      <c r="J123" s="5">
        <f>HYPERLINK("https://www.codechef.com/problems/SQLP123", "https://www.codechef.com/problems/SQLP123")</f>
        <v/>
      </c>
      <c r="K123" s="4" t="inlineStr"/>
      <c r="L123" s="4" t="inlineStr"/>
      <c r="M123" s="4" t="inlineStr"/>
      <c r="N123" s="4" t="inlineStr">
        <is>
          <t>No</t>
        </is>
      </c>
      <c r="O123" s="4" t="inlineStr">
        <is>
          <t>Unattempted</t>
        </is>
      </c>
    </row>
    <row r="124">
      <c r="A124" s="2" t="inlineStr">
        <is>
          <t>Other Practice Paths</t>
        </is>
      </c>
      <c r="B124" s="2" t="inlineStr">
        <is>
          <t>SQL case studies</t>
        </is>
      </c>
      <c r="C124" s="2" t="inlineStr">
        <is>
          <t>Put your SQL skills to the test. Get better at intermediate level Analytics using the case studies given in this practice path</t>
        </is>
      </c>
      <c r="D124" s="2" t="inlineStr">
        <is>
          <t>Case Study - Company Recession - Queries</t>
        </is>
      </c>
      <c r="E124" s="2" t="n">
        <v>123</v>
      </c>
      <c r="F124" s="2" t="inlineStr">
        <is>
          <t>Query-7</t>
        </is>
      </c>
      <c r="G124" s="2" t="inlineStr">
        <is>
          <t>SQLP124</t>
        </is>
      </c>
      <c r="H124" s="2" t="inlineStr"/>
      <c r="I124" s="2" t="inlineStr">
        <is>
          <t>Medium</t>
        </is>
      </c>
      <c r="J124" s="3">
        <f>HYPERLINK("https://www.codechef.com/problems/SQLP124", "https://www.codechef.com/problems/SQLP124")</f>
        <v/>
      </c>
      <c r="K124" s="2" t="inlineStr"/>
      <c r="L124" s="2" t="inlineStr"/>
      <c r="M124" s="2" t="inlineStr"/>
      <c r="N124" s="2" t="inlineStr">
        <is>
          <t>No</t>
        </is>
      </c>
      <c r="O124" s="2" t="inlineStr">
        <is>
          <t>Unattempted</t>
        </is>
      </c>
    </row>
    <row r="125">
      <c r="A125" s="4" t="inlineStr">
        <is>
          <t>Other Practice Paths</t>
        </is>
      </c>
      <c r="B125" s="4" t="inlineStr">
        <is>
          <t>SQL case studies</t>
        </is>
      </c>
      <c r="C125" s="4" t="inlineStr">
        <is>
          <t>Put your SQL skills to the test. Get better at intermediate level Analytics using the case studies given in this practice path</t>
        </is>
      </c>
      <c r="D125" s="4" t="inlineStr">
        <is>
          <t>Case Study - Company Recession - Queries</t>
        </is>
      </c>
      <c r="E125" s="4" t="n">
        <v>124</v>
      </c>
      <c r="F125" s="4" t="inlineStr">
        <is>
          <t>Query-8</t>
        </is>
      </c>
      <c r="G125" s="4" t="inlineStr">
        <is>
          <t>SQLP126</t>
        </is>
      </c>
      <c r="H125" s="4" t="inlineStr"/>
      <c r="I125" s="4" t="inlineStr">
        <is>
          <t>Medium</t>
        </is>
      </c>
      <c r="J125" s="5">
        <f>HYPERLINK("https://www.codechef.com/problems/SQLP126", "https://www.codechef.com/problems/SQLP126")</f>
        <v/>
      </c>
      <c r="K125" s="4" t="inlineStr"/>
      <c r="L125" s="4" t="inlineStr"/>
      <c r="M125" s="4" t="inlineStr"/>
      <c r="N125" s="4" t="inlineStr">
        <is>
          <t>No</t>
        </is>
      </c>
      <c r="O125" s="4" t="inlineStr">
        <is>
          <t>Unattempted</t>
        </is>
      </c>
    </row>
    <row r="126">
      <c r="A126" s="2" t="inlineStr">
        <is>
          <t>Other Practice Paths</t>
        </is>
      </c>
      <c r="B126" s="2" t="inlineStr">
        <is>
          <t>SQL case studies</t>
        </is>
      </c>
      <c r="C126" s="2" t="inlineStr">
        <is>
          <t>Put your SQL skills to the test. Get better at intermediate level Analytics using the case studies given in this practice path</t>
        </is>
      </c>
      <c r="D126" s="2" t="inlineStr">
        <is>
          <t>Case Study - Company Recession - Queries</t>
        </is>
      </c>
      <c r="E126" s="2" t="n">
        <v>125</v>
      </c>
      <c r="F126" s="2" t="inlineStr">
        <is>
          <t>Query-9</t>
        </is>
      </c>
      <c r="G126" s="2" t="inlineStr">
        <is>
          <t>SQLP128</t>
        </is>
      </c>
      <c r="H126" s="2" t="inlineStr"/>
      <c r="I126" s="2" t="inlineStr">
        <is>
          <t>Medium</t>
        </is>
      </c>
      <c r="J126" s="3">
        <f>HYPERLINK("https://www.codechef.com/problems/SQLP128", "https://www.codechef.com/problems/SQLP128")</f>
        <v/>
      </c>
      <c r="K126" s="2" t="inlineStr"/>
      <c r="L126" s="2" t="inlineStr"/>
      <c r="M126" s="2" t="inlineStr"/>
      <c r="N126" s="2" t="inlineStr">
        <is>
          <t>No</t>
        </is>
      </c>
      <c r="O126" s="2" t="inlineStr">
        <is>
          <t>Unattempted</t>
        </is>
      </c>
    </row>
    <row r="127">
      <c r="A127" s="4" t="inlineStr">
        <is>
          <t>Other Practice Paths</t>
        </is>
      </c>
      <c r="B127" s="4" t="inlineStr">
        <is>
          <t>SQL case studies</t>
        </is>
      </c>
      <c r="C127" s="4" t="inlineStr">
        <is>
          <t>Put your SQL skills to the test. Get better at intermediate level Analytics using the case studies given in this practice path</t>
        </is>
      </c>
      <c r="D127" s="4" t="inlineStr">
        <is>
          <t>Case Study - Company Recession - Queries</t>
        </is>
      </c>
      <c r="E127" s="4" t="n">
        <v>126</v>
      </c>
      <c r="F127" s="4" t="inlineStr">
        <is>
          <t>Query-10</t>
        </is>
      </c>
      <c r="G127" s="4" t="inlineStr">
        <is>
          <t>SQLP121</t>
        </is>
      </c>
      <c r="H127" s="4" t="inlineStr"/>
      <c r="I127" s="4" t="inlineStr">
        <is>
          <t>Medium</t>
        </is>
      </c>
      <c r="J127" s="5">
        <f>HYPERLINK("https://www.codechef.com/problems/SQLP121", "https://www.codechef.com/problems/SQLP121")</f>
        <v/>
      </c>
      <c r="K127" s="4" t="inlineStr"/>
      <c r="L127" s="4" t="inlineStr"/>
      <c r="M127" s="4" t="inlineStr"/>
      <c r="N127" s="4" t="inlineStr">
        <is>
          <t>No</t>
        </is>
      </c>
      <c r="O127" s="4" t="inlineStr">
        <is>
          <t>Unattempted</t>
        </is>
      </c>
    </row>
    <row r="128">
      <c r="A128" s="2" t="inlineStr">
        <is>
          <t>Other Practice Paths</t>
        </is>
      </c>
      <c r="B128" s="2" t="inlineStr">
        <is>
          <t>SQL case studies</t>
        </is>
      </c>
      <c r="C128" s="2" t="inlineStr">
        <is>
          <t>Put your SQL skills to the test. Get better at intermediate level Analytics using the case studies given in this practice path</t>
        </is>
      </c>
      <c r="D128" s="2" t="inlineStr">
        <is>
          <t>Case Study - Company Recession - Queries</t>
        </is>
      </c>
      <c r="E128" s="2" t="n">
        <v>127</v>
      </c>
      <c r="F128" s="2" t="inlineStr">
        <is>
          <t>Query-11</t>
        </is>
      </c>
      <c r="G128" s="2" t="inlineStr">
        <is>
          <t>SQLP122</t>
        </is>
      </c>
      <c r="H128" s="2" t="inlineStr"/>
      <c r="I128" s="2" t="inlineStr">
        <is>
          <t>Medium</t>
        </is>
      </c>
      <c r="J128" s="3">
        <f>HYPERLINK("https://www.codechef.com/problems/SQLP122", "https://www.codechef.com/problems/SQLP122")</f>
        <v/>
      </c>
      <c r="K128" s="2" t="inlineStr"/>
      <c r="L128" s="2" t="inlineStr"/>
      <c r="M128" s="2" t="inlineStr"/>
      <c r="N128" s="2" t="inlineStr">
        <is>
          <t>No</t>
        </is>
      </c>
      <c r="O128" s="2" t="inlineStr">
        <is>
          <t>Unattempted</t>
        </is>
      </c>
    </row>
    <row r="129">
      <c r="A129" s="4" t="inlineStr">
        <is>
          <t>Other Practice Paths</t>
        </is>
      </c>
      <c r="B129" s="4" t="inlineStr">
        <is>
          <t>SQL case studies</t>
        </is>
      </c>
      <c r="C129" s="4" t="inlineStr">
        <is>
          <t>Put your SQL skills to the test. Get better at intermediate level Analytics using the case studies given in this practice path</t>
        </is>
      </c>
      <c r="D129" s="4" t="inlineStr">
        <is>
          <t>Case Study - Company Recession - Queries</t>
        </is>
      </c>
      <c r="E129" s="4" t="n">
        <v>128</v>
      </c>
      <c r="F129" s="4" t="inlineStr">
        <is>
          <t>Query-12</t>
        </is>
      </c>
      <c r="G129" s="4" t="inlineStr">
        <is>
          <t>SQLP125</t>
        </is>
      </c>
      <c r="H129" s="4" t="inlineStr"/>
      <c r="I129" s="4" t="inlineStr">
        <is>
          <t>Medium</t>
        </is>
      </c>
      <c r="J129" s="5">
        <f>HYPERLINK("https://www.codechef.com/problems/SQLP125", "https://www.codechef.com/problems/SQLP125")</f>
        <v/>
      </c>
      <c r="K129" s="4" t="inlineStr"/>
      <c r="L129" s="4" t="inlineStr"/>
      <c r="M129" s="4" t="inlineStr"/>
      <c r="N129" s="4" t="inlineStr">
        <is>
          <t>No</t>
        </is>
      </c>
      <c r="O129" s="4" t="inlineStr">
        <is>
          <t>Unattempted</t>
        </is>
      </c>
    </row>
    <row r="130">
      <c r="A130" s="2" t="inlineStr">
        <is>
          <t>Other Practice Paths</t>
        </is>
      </c>
      <c r="B130" s="2" t="inlineStr">
        <is>
          <t>SQL case studies</t>
        </is>
      </c>
      <c r="C130" s="2" t="inlineStr">
        <is>
          <t>Put your SQL skills to the test. Get better at intermediate level Analytics using the case studies given in this practice path</t>
        </is>
      </c>
      <c r="D130" s="2" t="inlineStr">
        <is>
          <t>Case Study -  Sales Analysis of E-commerce Platform - MCQ</t>
        </is>
      </c>
      <c r="E130" s="2" t="n">
        <v>129</v>
      </c>
      <c r="F130" s="2" t="inlineStr">
        <is>
          <t>MCQ-1</t>
        </is>
      </c>
      <c r="G130" s="2" t="inlineStr">
        <is>
          <t>SQLP129</t>
        </is>
      </c>
      <c r="H130" s="2" t="inlineStr"/>
      <c r="I130" s="2" t="inlineStr">
        <is>
          <t>Easy</t>
        </is>
      </c>
      <c r="J130" s="3">
        <f>HYPERLINK("https://www.codechef.com/problems/SQLP129", "https://www.codechef.com/problems/SQLP129")</f>
        <v/>
      </c>
      <c r="K130" s="2" t="inlineStr"/>
      <c r="L130" s="2" t="inlineStr"/>
      <c r="M130" s="2" t="inlineStr"/>
      <c r="N130" s="2" t="inlineStr">
        <is>
          <t>No</t>
        </is>
      </c>
      <c r="O130" s="2" t="inlineStr">
        <is>
          <t>Unattempted</t>
        </is>
      </c>
    </row>
    <row r="131">
      <c r="A131" s="4" t="inlineStr">
        <is>
          <t>Other Practice Paths</t>
        </is>
      </c>
      <c r="B131" s="4" t="inlineStr">
        <is>
          <t>SQL case studies</t>
        </is>
      </c>
      <c r="C131" s="4" t="inlineStr">
        <is>
          <t>Put your SQL skills to the test. Get better at intermediate level Analytics using the case studies given in this practice path</t>
        </is>
      </c>
      <c r="D131" s="4" t="inlineStr">
        <is>
          <t>Case Study -  Sales Analysis of E-commerce Platform - MCQ</t>
        </is>
      </c>
      <c r="E131" s="4" t="n">
        <v>130</v>
      </c>
      <c r="F131" s="4" t="inlineStr">
        <is>
          <t>MCQ-2</t>
        </is>
      </c>
      <c r="G131" s="4" t="inlineStr">
        <is>
          <t>SQLP130</t>
        </is>
      </c>
      <c r="H131" s="4" t="inlineStr"/>
      <c r="I131" s="4" t="inlineStr">
        <is>
          <t>Medium</t>
        </is>
      </c>
      <c r="J131" s="5">
        <f>HYPERLINK("https://www.codechef.com/problems/SQLP130", "https://www.codechef.com/problems/SQLP130")</f>
        <v/>
      </c>
      <c r="K131" s="4" t="inlineStr"/>
      <c r="L131" s="4" t="inlineStr"/>
      <c r="M131" s="4" t="inlineStr"/>
      <c r="N131" s="4" t="inlineStr">
        <is>
          <t>No</t>
        </is>
      </c>
      <c r="O131" s="4" t="inlineStr">
        <is>
          <t>Unattempted</t>
        </is>
      </c>
    </row>
    <row r="132">
      <c r="A132" s="2" t="inlineStr">
        <is>
          <t>Other Practice Paths</t>
        </is>
      </c>
      <c r="B132" s="2" t="inlineStr">
        <is>
          <t>SQL case studies</t>
        </is>
      </c>
      <c r="C132" s="2" t="inlineStr">
        <is>
          <t>Put your SQL skills to the test. Get better at intermediate level Analytics using the case studies given in this practice path</t>
        </is>
      </c>
      <c r="D132" s="2" t="inlineStr">
        <is>
          <t>Case Study -  Sales Analysis of E-commerce Platform - MCQ</t>
        </is>
      </c>
      <c r="E132" s="2" t="n">
        <v>131</v>
      </c>
      <c r="F132" s="2" t="inlineStr">
        <is>
          <t>MCQ-3</t>
        </is>
      </c>
      <c r="G132" s="2" t="inlineStr">
        <is>
          <t>SQLP131</t>
        </is>
      </c>
      <c r="H132" s="2" t="inlineStr"/>
      <c r="I132" s="2" t="inlineStr">
        <is>
          <t>Medium</t>
        </is>
      </c>
      <c r="J132" s="3">
        <f>HYPERLINK("https://www.codechef.com/problems/SQLP131", "https://www.codechef.com/problems/SQLP131")</f>
        <v/>
      </c>
      <c r="K132" s="2" t="inlineStr"/>
      <c r="L132" s="2" t="inlineStr"/>
      <c r="M132" s="2" t="inlineStr"/>
      <c r="N132" s="2" t="inlineStr">
        <is>
          <t>No</t>
        </is>
      </c>
      <c r="O132" s="2" t="inlineStr">
        <is>
          <t>Unattempted</t>
        </is>
      </c>
    </row>
    <row r="133">
      <c r="A133" s="4" t="inlineStr">
        <is>
          <t>Other Practice Paths</t>
        </is>
      </c>
      <c r="B133" s="4" t="inlineStr">
        <is>
          <t>SQL case studies</t>
        </is>
      </c>
      <c r="C133" s="4" t="inlineStr">
        <is>
          <t>Put your SQL skills to the test. Get better at intermediate level Analytics using the case studies given in this practice path</t>
        </is>
      </c>
      <c r="D133" s="4" t="inlineStr">
        <is>
          <t>Case Study -  Sales Analysis of E-commerce Platform - MCQ</t>
        </is>
      </c>
      <c r="E133" s="4" t="n">
        <v>132</v>
      </c>
      <c r="F133" s="4" t="inlineStr">
        <is>
          <t>MCQ-4</t>
        </is>
      </c>
      <c r="G133" s="4" t="inlineStr">
        <is>
          <t>SQLP132</t>
        </is>
      </c>
      <c r="H133" s="4" t="inlineStr"/>
      <c r="I133" s="4" t="inlineStr">
        <is>
          <t>Medium</t>
        </is>
      </c>
      <c r="J133" s="5">
        <f>HYPERLINK("https://www.codechef.com/problems/SQLP132", "https://www.codechef.com/problems/SQLP132")</f>
        <v/>
      </c>
      <c r="K133" s="4" t="inlineStr"/>
      <c r="L133" s="4" t="inlineStr"/>
      <c r="M133" s="4" t="inlineStr"/>
      <c r="N133" s="4" t="inlineStr">
        <is>
          <t>No</t>
        </is>
      </c>
      <c r="O133" s="4" t="inlineStr">
        <is>
          <t>Unattempted</t>
        </is>
      </c>
    </row>
    <row r="134">
      <c r="A134" s="2" t="inlineStr">
        <is>
          <t>Other Practice Paths</t>
        </is>
      </c>
      <c r="B134" s="2" t="inlineStr">
        <is>
          <t>SQL case studies</t>
        </is>
      </c>
      <c r="C134" s="2" t="inlineStr">
        <is>
          <t>Put your SQL skills to the test. Get better at intermediate level Analytics using the case studies given in this practice path</t>
        </is>
      </c>
      <c r="D134" s="2" t="inlineStr">
        <is>
          <t>Case Study -  Sales Analysis of E-commerce Platform - MCQ</t>
        </is>
      </c>
      <c r="E134" s="2" t="n">
        <v>133</v>
      </c>
      <c r="F134" s="2" t="inlineStr">
        <is>
          <t>MCQ-5</t>
        </is>
      </c>
      <c r="G134" s="2" t="inlineStr">
        <is>
          <t>SQLP133</t>
        </is>
      </c>
      <c r="H134" s="2" t="inlineStr"/>
      <c r="I134" s="2" t="inlineStr">
        <is>
          <t>Medium</t>
        </is>
      </c>
      <c r="J134" s="3">
        <f>HYPERLINK("https://www.codechef.com/problems/SQLP133", "https://www.codechef.com/problems/SQLP133")</f>
        <v/>
      </c>
      <c r="K134" s="2" t="inlineStr"/>
      <c r="L134" s="2" t="inlineStr"/>
      <c r="M134" s="2" t="inlineStr"/>
      <c r="N134" s="2" t="inlineStr">
        <is>
          <t>No</t>
        </is>
      </c>
      <c r="O134" s="2" t="inlineStr">
        <is>
          <t>Unattempted</t>
        </is>
      </c>
    </row>
    <row r="135">
      <c r="A135" s="4" t="inlineStr">
        <is>
          <t>Other Practice Paths</t>
        </is>
      </c>
      <c r="B135" s="4" t="inlineStr">
        <is>
          <t>SQL case studies</t>
        </is>
      </c>
      <c r="C135" s="4" t="inlineStr">
        <is>
          <t>Put your SQL skills to the test. Get better at intermediate level Analytics using the case studies given in this practice path</t>
        </is>
      </c>
      <c r="D135" s="4" t="inlineStr">
        <is>
          <t>Case Study -  Sales Analysis of E-commerce Platform - MCQ</t>
        </is>
      </c>
      <c r="E135" s="4" t="n">
        <v>134</v>
      </c>
      <c r="F135" s="4" t="inlineStr">
        <is>
          <t>MCQ-6</t>
        </is>
      </c>
      <c r="G135" s="4" t="inlineStr">
        <is>
          <t>SQLP134</t>
        </is>
      </c>
      <c r="H135" s="4" t="inlineStr"/>
      <c r="I135" s="4" t="inlineStr">
        <is>
          <t>Medium</t>
        </is>
      </c>
      <c r="J135" s="5">
        <f>HYPERLINK("https://www.codechef.com/problems/SQLP134", "https://www.codechef.com/problems/SQLP134")</f>
        <v/>
      </c>
      <c r="K135" s="4" t="inlineStr"/>
      <c r="L135" s="4" t="inlineStr"/>
      <c r="M135" s="4" t="inlineStr"/>
      <c r="N135" s="4" t="inlineStr">
        <is>
          <t>No</t>
        </is>
      </c>
      <c r="O135" s="4" t="inlineStr">
        <is>
          <t>Unattempted</t>
        </is>
      </c>
    </row>
    <row r="136">
      <c r="A136" s="2" t="inlineStr">
        <is>
          <t>Other Practice Paths</t>
        </is>
      </c>
      <c r="B136" s="2" t="inlineStr">
        <is>
          <t>SQL case studies</t>
        </is>
      </c>
      <c r="C136" s="2" t="inlineStr">
        <is>
          <t>Put your SQL skills to the test. Get better at intermediate level Analytics using the case studies given in this practice path</t>
        </is>
      </c>
      <c r="D136" s="2" t="inlineStr">
        <is>
          <t>Case Study -  Sales Analysis of E-commerce Platform - MCQ</t>
        </is>
      </c>
      <c r="E136" s="2" t="n">
        <v>135</v>
      </c>
      <c r="F136" s="2" t="inlineStr">
        <is>
          <t>MCQ-7</t>
        </is>
      </c>
      <c r="G136" s="2" t="inlineStr">
        <is>
          <t>SQLP135</t>
        </is>
      </c>
      <c r="H136" s="2" t="inlineStr"/>
      <c r="I136" s="2" t="inlineStr">
        <is>
          <t>Medium</t>
        </is>
      </c>
      <c r="J136" s="3">
        <f>HYPERLINK("https://www.codechef.com/problems/SQLP135", "https://www.codechef.com/problems/SQLP135")</f>
        <v/>
      </c>
      <c r="K136" s="2" t="inlineStr"/>
      <c r="L136" s="2" t="inlineStr"/>
      <c r="M136" s="2" t="inlineStr"/>
      <c r="N136" s="2" t="inlineStr">
        <is>
          <t>No</t>
        </is>
      </c>
      <c r="O136" s="2" t="inlineStr">
        <is>
          <t>Unattempted</t>
        </is>
      </c>
    </row>
    <row r="137">
      <c r="A137" s="4" t="inlineStr">
        <is>
          <t>Other Practice Paths</t>
        </is>
      </c>
      <c r="B137" s="4" t="inlineStr">
        <is>
          <t>SQL case studies</t>
        </is>
      </c>
      <c r="C137" s="4" t="inlineStr">
        <is>
          <t>Put your SQL skills to the test. Get better at intermediate level Analytics using the case studies given in this practice path</t>
        </is>
      </c>
      <c r="D137" s="4" t="inlineStr">
        <is>
          <t>Case Study -  Sales Analysis of E-commerce Platform - MCQ</t>
        </is>
      </c>
      <c r="E137" s="4" t="n">
        <v>136</v>
      </c>
      <c r="F137" s="4" t="inlineStr">
        <is>
          <t>MCQ-8</t>
        </is>
      </c>
      <c r="G137" s="4" t="inlineStr">
        <is>
          <t>SQLP136</t>
        </is>
      </c>
      <c r="H137" s="4" t="inlineStr"/>
      <c r="I137" s="4" t="inlineStr">
        <is>
          <t>Medium</t>
        </is>
      </c>
      <c r="J137" s="5">
        <f>HYPERLINK("https://www.codechef.com/problems/SQLP136", "https://www.codechef.com/problems/SQLP136")</f>
        <v/>
      </c>
      <c r="K137" s="4" t="inlineStr"/>
      <c r="L137" s="4" t="inlineStr"/>
      <c r="M137" s="4" t="inlineStr"/>
      <c r="N137" s="4" t="inlineStr">
        <is>
          <t>No</t>
        </is>
      </c>
      <c r="O137" s="4" t="inlineStr">
        <is>
          <t>Unattempted</t>
        </is>
      </c>
    </row>
    <row r="138">
      <c r="A138" s="2" t="inlineStr">
        <is>
          <t>Other Practice Paths</t>
        </is>
      </c>
      <c r="B138" s="2" t="inlineStr">
        <is>
          <t>SQL case studies</t>
        </is>
      </c>
      <c r="C138" s="2" t="inlineStr">
        <is>
          <t>Put your SQL skills to the test. Get better at intermediate level Analytics using the case studies given in this practice path</t>
        </is>
      </c>
      <c r="D138" s="2" t="inlineStr">
        <is>
          <t>Case Study -  Sales Analysis of E-commerce Platform - MCQ</t>
        </is>
      </c>
      <c r="E138" s="2" t="n">
        <v>137</v>
      </c>
      <c r="F138" s="2" t="inlineStr">
        <is>
          <t>MCQ-9</t>
        </is>
      </c>
      <c r="G138" s="2" t="inlineStr">
        <is>
          <t>SQLP137</t>
        </is>
      </c>
      <c r="H138" s="2" t="inlineStr"/>
      <c r="I138" s="2" t="inlineStr">
        <is>
          <t>Medium</t>
        </is>
      </c>
      <c r="J138" s="3">
        <f>HYPERLINK("https://www.codechef.com/problems/SQLP137", "https://www.codechef.com/problems/SQLP137")</f>
        <v/>
      </c>
      <c r="K138" s="2" t="inlineStr"/>
      <c r="L138" s="2" t="inlineStr"/>
      <c r="M138" s="2" t="inlineStr"/>
      <c r="N138" s="2" t="inlineStr">
        <is>
          <t>No</t>
        </is>
      </c>
      <c r="O138" s="2" t="inlineStr">
        <is>
          <t>Unattempted</t>
        </is>
      </c>
    </row>
    <row r="139">
      <c r="A139" s="4" t="inlineStr">
        <is>
          <t>Other Practice Paths</t>
        </is>
      </c>
      <c r="B139" s="4" t="inlineStr">
        <is>
          <t>SQL case studies</t>
        </is>
      </c>
      <c r="C139" s="4" t="inlineStr">
        <is>
          <t>Put your SQL skills to the test. Get better at intermediate level Analytics using the case studies given in this practice path</t>
        </is>
      </c>
      <c r="D139" s="4" t="inlineStr">
        <is>
          <t>Case Study -  Sales Analysis of E-commerce Platform - MCQ</t>
        </is>
      </c>
      <c r="E139" s="4" t="n">
        <v>138</v>
      </c>
      <c r="F139" s="4" t="inlineStr">
        <is>
          <t>MCQ-10</t>
        </is>
      </c>
      <c r="G139" s="4" t="inlineStr">
        <is>
          <t>SQLP138</t>
        </is>
      </c>
      <c r="H139" s="4" t="inlineStr"/>
      <c r="I139" s="4" t="inlineStr">
        <is>
          <t>Medium</t>
        </is>
      </c>
      <c r="J139" s="5">
        <f>HYPERLINK("https://www.codechef.com/problems/SQLP138", "https://www.codechef.com/problems/SQLP138")</f>
        <v/>
      </c>
      <c r="K139" s="4" t="inlineStr"/>
      <c r="L139" s="4" t="inlineStr"/>
      <c r="M139" s="4" t="inlineStr"/>
      <c r="N139" s="4" t="inlineStr">
        <is>
          <t>No</t>
        </is>
      </c>
      <c r="O139" s="4" t="inlineStr">
        <is>
          <t>Unattempted</t>
        </is>
      </c>
    </row>
    <row r="140">
      <c r="A140" s="2" t="inlineStr">
        <is>
          <t>Other Practice Paths</t>
        </is>
      </c>
      <c r="B140" s="2" t="inlineStr">
        <is>
          <t>SQL case studies</t>
        </is>
      </c>
      <c r="C140" s="2" t="inlineStr">
        <is>
          <t>Put your SQL skills to the test. Get better at intermediate level Analytics using the case studies given in this practice path</t>
        </is>
      </c>
      <c r="D140" s="2" t="inlineStr">
        <is>
          <t>Case Study -  Sales Analysis of E-commerce Platform - MCQ</t>
        </is>
      </c>
      <c r="E140" s="2" t="n">
        <v>139</v>
      </c>
      <c r="F140" s="2" t="inlineStr">
        <is>
          <t>MCQ-11</t>
        </is>
      </c>
      <c r="G140" s="2" t="inlineStr">
        <is>
          <t>SQLP139</t>
        </is>
      </c>
      <c r="H140" s="2" t="inlineStr"/>
      <c r="I140" s="2" t="inlineStr">
        <is>
          <t>Medium</t>
        </is>
      </c>
      <c r="J140" s="3">
        <f>HYPERLINK("https://www.codechef.com/problems/SQLP139", "https://www.codechef.com/problems/SQLP139")</f>
        <v/>
      </c>
      <c r="K140" s="2" t="inlineStr"/>
      <c r="L140" s="2" t="inlineStr"/>
      <c r="M140" s="2" t="inlineStr"/>
      <c r="N140" s="2" t="inlineStr">
        <is>
          <t>No</t>
        </is>
      </c>
      <c r="O140" s="2" t="inlineStr">
        <is>
          <t>Unattempted</t>
        </is>
      </c>
    </row>
    <row r="141">
      <c r="A141" s="4" t="inlineStr">
        <is>
          <t>Other Practice Paths</t>
        </is>
      </c>
      <c r="B141" s="4" t="inlineStr">
        <is>
          <t>SQL case studies</t>
        </is>
      </c>
      <c r="C141" s="4" t="inlineStr">
        <is>
          <t>Put your SQL skills to the test. Get better at intermediate level Analytics using the case studies given in this practice path</t>
        </is>
      </c>
      <c r="D141" s="4" t="inlineStr">
        <is>
          <t>Case Study -  Sales Analysis of E-commerce Platform - MCQ</t>
        </is>
      </c>
      <c r="E141" s="4" t="n">
        <v>140</v>
      </c>
      <c r="F141" s="4" t="inlineStr">
        <is>
          <t>MCQ-12</t>
        </is>
      </c>
      <c r="G141" s="4" t="inlineStr">
        <is>
          <t>SQLP140</t>
        </is>
      </c>
      <c r="H141" s="4" t="inlineStr"/>
      <c r="I141" s="4" t="inlineStr">
        <is>
          <t>Medium</t>
        </is>
      </c>
      <c r="J141" s="5">
        <f>HYPERLINK("https://www.codechef.com/problems/SQLP140", "https://www.codechef.com/problems/SQLP140")</f>
        <v/>
      </c>
      <c r="K141" s="4" t="inlineStr"/>
      <c r="L141" s="4" t="inlineStr"/>
      <c r="M141" s="4" t="inlineStr"/>
      <c r="N141" s="4" t="inlineStr">
        <is>
          <t>No</t>
        </is>
      </c>
      <c r="O141" s="4" t="inlineStr">
        <is>
          <t>Unattempted</t>
        </is>
      </c>
    </row>
    <row r="142">
      <c r="A142" s="2" t="inlineStr">
        <is>
          <t>Other Practice Paths</t>
        </is>
      </c>
      <c r="B142" s="2" t="inlineStr">
        <is>
          <t>SQL case studies</t>
        </is>
      </c>
      <c r="C142" s="2" t="inlineStr">
        <is>
          <t>Put your SQL skills to the test. Get better at intermediate level Analytics using the case studies given in this practice path</t>
        </is>
      </c>
      <c r="D142" s="2" t="inlineStr">
        <is>
          <t>Case Study -  Sales Analysis of E-commerce Platform - MCQ</t>
        </is>
      </c>
      <c r="E142" s="2" t="n">
        <v>141</v>
      </c>
      <c r="F142" s="2" t="inlineStr">
        <is>
          <t>MCQ-13</t>
        </is>
      </c>
      <c r="G142" s="2" t="inlineStr">
        <is>
          <t>SQLP141</t>
        </is>
      </c>
      <c r="H142" s="2" t="inlineStr"/>
      <c r="I142" s="2" t="inlineStr">
        <is>
          <t>Easy</t>
        </is>
      </c>
      <c r="J142" s="3">
        <f>HYPERLINK("https://www.codechef.com/problems/SQLP141", "https://www.codechef.com/problems/SQLP141")</f>
        <v/>
      </c>
      <c r="K142" s="2" t="inlineStr"/>
      <c r="L142" s="2" t="inlineStr"/>
      <c r="M142" s="2" t="inlineStr"/>
      <c r="N142" s="2" t="inlineStr">
        <is>
          <t>No</t>
        </is>
      </c>
      <c r="O142" s="2" t="inlineStr">
        <is>
          <t>Unattempted</t>
        </is>
      </c>
    </row>
    <row r="143">
      <c r="A143" s="4" t="inlineStr">
        <is>
          <t>Other Practice Paths</t>
        </is>
      </c>
      <c r="B143" s="4" t="inlineStr">
        <is>
          <t>SQL case studies</t>
        </is>
      </c>
      <c r="C143" s="4" t="inlineStr">
        <is>
          <t>Put your SQL skills to the test. Get better at intermediate level Analytics using the case studies given in this practice path</t>
        </is>
      </c>
      <c r="D143" s="4" t="inlineStr">
        <is>
          <t>Case Study -  Sales Analysis of E-commerce Platform - MCQ</t>
        </is>
      </c>
      <c r="E143" s="4" t="n">
        <v>142</v>
      </c>
      <c r="F143" s="4" t="inlineStr">
        <is>
          <t>MCQ-14</t>
        </is>
      </c>
      <c r="G143" s="4" t="inlineStr">
        <is>
          <t>SQLP142</t>
        </is>
      </c>
      <c r="H143" s="4" t="inlineStr"/>
      <c r="I143" s="4" t="inlineStr">
        <is>
          <t>Medium</t>
        </is>
      </c>
      <c r="J143" s="5">
        <f>HYPERLINK("https://www.codechef.com/problems/SQLP142", "https://www.codechef.com/problems/SQLP142")</f>
        <v/>
      </c>
      <c r="K143" s="4" t="inlineStr"/>
      <c r="L143" s="4" t="inlineStr"/>
      <c r="M143" s="4" t="inlineStr"/>
      <c r="N143" s="4" t="inlineStr">
        <is>
          <t>No</t>
        </is>
      </c>
      <c r="O143" s="4" t="inlineStr">
        <is>
          <t>Unattempted</t>
        </is>
      </c>
    </row>
    <row r="144">
      <c r="A144" s="2" t="inlineStr">
        <is>
          <t>Other Practice Paths</t>
        </is>
      </c>
      <c r="B144" s="2" t="inlineStr">
        <is>
          <t>SQL case studies</t>
        </is>
      </c>
      <c r="C144" s="2" t="inlineStr">
        <is>
          <t>Put your SQL skills to the test. Get better at intermediate level Analytics using the case studies given in this practice path</t>
        </is>
      </c>
      <c r="D144" s="2" t="inlineStr">
        <is>
          <t>Case Study -  Sales Analysis of E-commerce Platform - MCQ</t>
        </is>
      </c>
      <c r="E144" s="2" t="n">
        <v>143</v>
      </c>
      <c r="F144" s="2" t="inlineStr">
        <is>
          <t>MCQ-15</t>
        </is>
      </c>
      <c r="G144" s="2" t="inlineStr">
        <is>
          <t>SQLP143</t>
        </is>
      </c>
      <c r="H144" s="2" t="inlineStr"/>
      <c r="I144" s="2" t="inlineStr">
        <is>
          <t>Easy</t>
        </is>
      </c>
      <c r="J144" s="3">
        <f>HYPERLINK("https://www.codechef.com/problems/SQLP143", "https://www.codechef.com/problems/SQLP143")</f>
        <v/>
      </c>
      <c r="K144" s="2" t="inlineStr"/>
      <c r="L144" s="2" t="inlineStr"/>
      <c r="M144" s="2" t="inlineStr"/>
      <c r="N144" s="2" t="inlineStr">
        <is>
          <t>No</t>
        </is>
      </c>
      <c r="O144" s="2" t="inlineStr">
        <is>
          <t>Unattempted</t>
        </is>
      </c>
    </row>
    <row r="145">
      <c r="A145" s="4" t="inlineStr">
        <is>
          <t>Other Practice Paths</t>
        </is>
      </c>
      <c r="B145" s="4" t="inlineStr">
        <is>
          <t>SQL case studies</t>
        </is>
      </c>
      <c r="C145" s="4" t="inlineStr">
        <is>
          <t>Put your SQL skills to the test. Get better at intermediate level Analytics using the case studies given in this practice path</t>
        </is>
      </c>
      <c r="D145" s="4" t="inlineStr">
        <is>
          <t>Case Study -  Sales Analysis of E-commerce Platform - MCQ</t>
        </is>
      </c>
      <c r="E145" s="4" t="n">
        <v>144</v>
      </c>
      <c r="F145" s="4" t="inlineStr">
        <is>
          <t>Rearrange code-1</t>
        </is>
      </c>
      <c r="G145" s="4" t="inlineStr">
        <is>
          <t>SQLP144</t>
        </is>
      </c>
      <c r="H145" s="4" t="inlineStr"/>
      <c r="I145" s="4" t="inlineStr">
        <is>
          <t>Medium</t>
        </is>
      </c>
      <c r="J145" s="5">
        <f>HYPERLINK("https://www.codechef.com/problems/SQLP144", "https://www.codechef.com/problems/SQLP144")</f>
        <v/>
      </c>
      <c r="K145" s="4" t="inlineStr"/>
      <c r="L145" s="4" t="inlineStr"/>
      <c r="M145" s="4" t="inlineStr"/>
      <c r="N145" s="4" t="inlineStr">
        <is>
          <t>No</t>
        </is>
      </c>
      <c r="O145" s="4" t="inlineStr">
        <is>
          <t>Unattempted</t>
        </is>
      </c>
    </row>
    <row r="146">
      <c r="A146" s="2" t="inlineStr">
        <is>
          <t>Other Practice Paths</t>
        </is>
      </c>
      <c r="B146" s="2" t="inlineStr">
        <is>
          <t>SQL case studies</t>
        </is>
      </c>
      <c r="C146" s="2" t="inlineStr">
        <is>
          <t>Put your SQL skills to the test. Get better at intermediate level Analytics using the case studies given in this practice path</t>
        </is>
      </c>
      <c r="D146" s="2" t="inlineStr">
        <is>
          <t>Case Study -  Sales Analysis of E-commerce Platform - MCQ</t>
        </is>
      </c>
      <c r="E146" s="2" t="n">
        <v>145</v>
      </c>
      <c r="F146" s="2" t="inlineStr">
        <is>
          <t>Rearrange code-2</t>
        </is>
      </c>
      <c r="G146" s="2" t="inlineStr">
        <is>
          <t>SQLP145</t>
        </is>
      </c>
      <c r="H146" s="2" t="inlineStr"/>
      <c r="I146" s="2" t="inlineStr">
        <is>
          <t>Easy</t>
        </is>
      </c>
      <c r="J146" s="3">
        <f>HYPERLINK("https://www.codechef.com/problems/SQLP145", "https://www.codechef.com/problems/SQLP145")</f>
        <v/>
      </c>
      <c r="K146" s="2" t="inlineStr"/>
      <c r="L146" s="2" t="inlineStr"/>
      <c r="M146" s="2" t="inlineStr"/>
      <c r="N146" s="2" t="inlineStr">
        <is>
          <t>No</t>
        </is>
      </c>
      <c r="O146" s="2" t="inlineStr">
        <is>
          <t>Unattempted</t>
        </is>
      </c>
    </row>
    <row r="147">
      <c r="A147" s="4" t="inlineStr">
        <is>
          <t>Other Practice Paths</t>
        </is>
      </c>
      <c r="B147" s="4" t="inlineStr">
        <is>
          <t>SQL case studies</t>
        </is>
      </c>
      <c r="C147" s="4" t="inlineStr">
        <is>
          <t>Put your SQL skills to the test. Get better at intermediate level Analytics using the case studies given in this practice path</t>
        </is>
      </c>
      <c r="D147" s="4" t="inlineStr">
        <is>
          <t>Case Study -  Sales Analysis of E-commerce Platform - MCQ</t>
        </is>
      </c>
      <c r="E147" s="4" t="n">
        <v>146</v>
      </c>
      <c r="F147" s="4" t="inlineStr">
        <is>
          <t>Rearrange code-3</t>
        </is>
      </c>
      <c r="G147" s="4" t="inlineStr">
        <is>
          <t>SQLP146</t>
        </is>
      </c>
      <c r="H147" s="4" t="inlineStr"/>
      <c r="I147" s="4" t="inlineStr">
        <is>
          <t>Medium</t>
        </is>
      </c>
      <c r="J147" s="5">
        <f>HYPERLINK("https://www.codechef.com/problems/SQLP146", "https://www.codechef.com/problems/SQLP146")</f>
        <v/>
      </c>
      <c r="K147" s="4" t="inlineStr"/>
      <c r="L147" s="4" t="inlineStr"/>
      <c r="M147" s="4" t="inlineStr"/>
      <c r="N147" s="4" t="inlineStr">
        <is>
          <t>No</t>
        </is>
      </c>
      <c r="O147" s="4" t="inlineStr">
        <is>
          <t>Unattempted</t>
        </is>
      </c>
    </row>
    <row r="148">
      <c r="A148" s="2" t="inlineStr">
        <is>
          <t>Other Practice Paths</t>
        </is>
      </c>
      <c r="B148" s="2" t="inlineStr">
        <is>
          <t>SQL case studies</t>
        </is>
      </c>
      <c r="C148" s="2" t="inlineStr">
        <is>
          <t>Put your SQL skills to the test. Get better at intermediate level Analytics using the case studies given in this practice path</t>
        </is>
      </c>
      <c r="D148" s="2" t="inlineStr">
        <is>
          <t>Case Study -  Sales Analysis of E-commerce Platform - MCQ</t>
        </is>
      </c>
      <c r="E148" s="2" t="n">
        <v>147</v>
      </c>
      <c r="F148" s="2" t="inlineStr">
        <is>
          <t>Rearrange code-4</t>
        </is>
      </c>
      <c r="G148" s="2" t="inlineStr">
        <is>
          <t>SQLP147</t>
        </is>
      </c>
      <c r="H148" s="2" t="inlineStr"/>
      <c r="I148" s="2" t="inlineStr">
        <is>
          <t>Easy</t>
        </is>
      </c>
      <c r="J148" s="3">
        <f>HYPERLINK("https://www.codechef.com/problems/SQLP147", "https://www.codechef.com/problems/SQLP147")</f>
        <v/>
      </c>
      <c r="K148" s="2" t="inlineStr"/>
      <c r="L148" s="2" t="inlineStr"/>
      <c r="M148" s="2" t="inlineStr"/>
      <c r="N148" s="2" t="inlineStr">
        <is>
          <t>No</t>
        </is>
      </c>
      <c r="O148" s="2" t="inlineStr">
        <is>
          <t>Unattempted</t>
        </is>
      </c>
    </row>
    <row r="149">
      <c r="A149" s="4" t="inlineStr">
        <is>
          <t>Other Practice Paths</t>
        </is>
      </c>
      <c r="B149" s="4" t="inlineStr">
        <is>
          <t>SQL case studies</t>
        </is>
      </c>
      <c r="C149" s="4" t="inlineStr">
        <is>
          <t>Put your SQL skills to the test. Get better at intermediate level Analytics using the case studies given in this practice path</t>
        </is>
      </c>
      <c r="D149" s="4" t="inlineStr">
        <is>
          <t>Case Study -  Sales Analysis of E-commerce Platform - MCQ</t>
        </is>
      </c>
      <c r="E149" s="4" t="n">
        <v>148</v>
      </c>
      <c r="F149" s="4" t="inlineStr">
        <is>
          <t>Rearrange code-5</t>
        </is>
      </c>
      <c r="G149" s="4" t="inlineStr">
        <is>
          <t>SQLP148</t>
        </is>
      </c>
      <c r="H149" s="4" t="inlineStr"/>
      <c r="I149" s="4" t="inlineStr">
        <is>
          <t>Medium</t>
        </is>
      </c>
      <c r="J149" s="5">
        <f>HYPERLINK("https://www.codechef.com/problems/SQLP148", "https://www.codechef.com/problems/SQLP148")</f>
        <v/>
      </c>
      <c r="K149" s="4" t="inlineStr"/>
      <c r="L149" s="4" t="inlineStr"/>
      <c r="M149" s="4" t="inlineStr"/>
      <c r="N149" s="4" t="inlineStr">
        <is>
          <t>No</t>
        </is>
      </c>
      <c r="O149" s="4" t="inlineStr">
        <is>
          <t>Unattempted</t>
        </is>
      </c>
    </row>
    <row r="150">
      <c r="A150" s="2" t="inlineStr">
        <is>
          <t>Other Practice Paths</t>
        </is>
      </c>
      <c r="B150" s="2" t="inlineStr">
        <is>
          <t>SQL case studies</t>
        </is>
      </c>
      <c r="C150" s="2" t="inlineStr">
        <is>
          <t>Put your SQL skills to the test. Get better at intermediate level Analytics using the case studies given in this practice path</t>
        </is>
      </c>
      <c r="D150" s="2" t="inlineStr">
        <is>
          <t>Case Study -  Sales Analysis of E-commerce Platform - Queries</t>
        </is>
      </c>
      <c r="E150" s="2" t="n">
        <v>149</v>
      </c>
      <c r="F150" s="2" t="inlineStr">
        <is>
          <t>Query-1</t>
        </is>
      </c>
      <c r="G150" s="2" t="inlineStr">
        <is>
          <t>SQLP149</t>
        </is>
      </c>
      <c r="H150" s="2" t="inlineStr"/>
      <c r="I150" s="2" t="inlineStr">
        <is>
          <t>Medium</t>
        </is>
      </c>
      <c r="J150" s="3">
        <f>HYPERLINK("https://www.codechef.com/problems/SQLP149", "https://www.codechef.com/problems/SQLP149")</f>
        <v/>
      </c>
      <c r="K150" s="2" t="inlineStr"/>
      <c r="L150" s="2" t="inlineStr"/>
      <c r="M150" s="2" t="inlineStr"/>
      <c r="N150" s="2" t="inlineStr">
        <is>
          <t>No</t>
        </is>
      </c>
      <c r="O150" s="2" t="inlineStr">
        <is>
          <t>Unattempted</t>
        </is>
      </c>
    </row>
    <row r="151">
      <c r="A151" s="4" t="inlineStr">
        <is>
          <t>Other Practice Paths</t>
        </is>
      </c>
      <c r="B151" s="4" t="inlineStr">
        <is>
          <t>SQL case studies</t>
        </is>
      </c>
      <c r="C151" s="4" t="inlineStr">
        <is>
          <t>Put your SQL skills to the test. Get better at intermediate level Analytics using the case studies given in this practice path</t>
        </is>
      </c>
      <c r="D151" s="4" t="inlineStr">
        <is>
          <t>Case Study -  Sales Analysis of E-commerce Platform - Queries</t>
        </is>
      </c>
      <c r="E151" s="4" t="n">
        <v>150</v>
      </c>
      <c r="F151" s="4" t="inlineStr">
        <is>
          <t>Query-2</t>
        </is>
      </c>
      <c r="G151" s="4" t="inlineStr">
        <is>
          <t>SQLP150</t>
        </is>
      </c>
      <c r="H151" s="4" t="inlineStr"/>
      <c r="I151" s="4" t="inlineStr">
        <is>
          <t>Medium</t>
        </is>
      </c>
      <c r="J151" s="5">
        <f>HYPERLINK("https://www.codechef.com/problems/SQLP150", "https://www.codechef.com/problems/SQLP150")</f>
        <v/>
      </c>
      <c r="K151" s="4" t="inlineStr"/>
      <c r="L151" s="4" t="inlineStr"/>
      <c r="M151" s="4" t="inlineStr"/>
      <c r="N151" s="4" t="inlineStr">
        <is>
          <t>No</t>
        </is>
      </c>
      <c r="O151" s="4" t="inlineStr">
        <is>
          <t>Unattempted</t>
        </is>
      </c>
    </row>
    <row r="152">
      <c r="A152" s="2" t="inlineStr">
        <is>
          <t>Other Practice Paths</t>
        </is>
      </c>
      <c r="B152" s="2" t="inlineStr">
        <is>
          <t>SQL case studies</t>
        </is>
      </c>
      <c r="C152" s="2" t="inlineStr">
        <is>
          <t>Put your SQL skills to the test. Get better at intermediate level Analytics using the case studies given in this practice path</t>
        </is>
      </c>
      <c r="D152" s="2" t="inlineStr">
        <is>
          <t>Case Study -  Sales Analysis of E-commerce Platform - Queries</t>
        </is>
      </c>
      <c r="E152" s="2" t="n">
        <v>151</v>
      </c>
      <c r="F152" s="2" t="inlineStr">
        <is>
          <t>Query-3</t>
        </is>
      </c>
      <c r="G152" s="2" t="inlineStr">
        <is>
          <t>SQLP151</t>
        </is>
      </c>
      <c r="H152" s="2" t="inlineStr"/>
      <c r="I152" s="2" t="inlineStr">
        <is>
          <t>Medium</t>
        </is>
      </c>
      <c r="J152" s="3">
        <f>HYPERLINK("https://www.codechef.com/problems/SQLP151", "https://www.codechef.com/problems/SQLP151")</f>
        <v/>
      </c>
      <c r="K152" s="2" t="inlineStr"/>
      <c r="L152" s="2" t="inlineStr"/>
      <c r="M152" s="2" t="inlineStr"/>
      <c r="N152" s="2" t="inlineStr">
        <is>
          <t>No</t>
        </is>
      </c>
      <c r="O152" s="2" t="inlineStr">
        <is>
          <t>Unattempted</t>
        </is>
      </c>
    </row>
    <row r="153">
      <c r="A153" s="4" t="inlineStr">
        <is>
          <t>Other Practice Paths</t>
        </is>
      </c>
      <c r="B153" s="4" t="inlineStr">
        <is>
          <t>SQL case studies</t>
        </is>
      </c>
      <c r="C153" s="4" t="inlineStr">
        <is>
          <t>Put your SQL skills to the test. Get better at intermediate level Analytics using the case studies given in this practice path</t>
        </is>
      </c>
      <c r="D153" s="4" t="inlineStr">
        <is>
          <t>Case Study -  Sales Analysis of E-commerce Platform - Queries</t>
        </is>
      </c>
      <c r="E153" s="4" t="n">
        <v>152</v>
      </c>
      <c r="F153" s="4" t="inlineStr">
        <is>
          <t>Query-4</t>
        </is>
      </c>
      <c r="G153" s="4" t="inlineStr">
        <is>
          <t>SQLP152</t>
        </is>
      </c>
      <c r="H153" s="4" t="inlineStr"/>
      <c r="I153" s="4" t="inlineStr">
        <is>
          <t>Medium</t>
        </is>
      </c>
      <c r="J153" s="5">
        <f>HYPERLINK("https://www.codechef.com/problems/SQLP152", "https://www.codechef.com/problems/SQLP152")</f>
        <v/>
      </c>
      <c r="K153" s="4" t="inlineStr"/>
      <c r="L153" s="4" t="inlineStr"/>
      <c r="M153" s="4" t="inlineStr"/>
      <c r="N153" s="4" t="inlineStr">
        <is>
          <t>No</t>
        </is>
      </c>
      <c r="O153" s="4" t="inlineStr">
        <is>
          <t>Unattempted</t>
        </is>
      </c>
    </row>
    <row r="154">
      <c r="A154" s="2" t="inlineStr">
        <is>
          <t>Other Practice Paths</t>
        </is>
      </c>
      <c r="B154" s="2" t="inlineStr">
        <is>
          <t>SQL case studies</t>
        </is>
      </c>
      <c r="C154" s="2" t="inlineStr">
        <is>
          <t>Put your SQL skills to the test. Get better at intermediate level Analytics using the case studies given in this practice path</t>
        </is>
      </c>
      <c r="D154" s="2" t="inlineStr">
        <is>
          <t>Case Study -  Sales Analysis of E-commerce Platform - Queries</t>
        </is>
      </c>
      <c r="E154" s="2" t="n">
        <v>153</v>
      </c>
      <c r="F154" s="2" t="inlineStr">
        <is>
          <t>Query-5</t>
        </is>
      </c>
      <c r="G154" s="2" t="inlineStr">
        <is>
          <t>SQLP153</t>
        </is>
      </c>
      <c r="H154" s="2" t="inlineStr"/>
      <c r="I154" s="2" t="inlineStr">
        <is>
          <t>Medium</t>
        </is>
      </c>
      <c r="J154" s="3">
        <f>HYPERLINK("https://www.codechef.com/problems/SQLP153", "https://www.codechef.com/problems/SQLP153")</f>
        <v/>
      </c>
      <c r="K154" s="2" t="inlineStr"/>
      <c r="L154" s="2" t="inlineStr"/>
      <c r="M154" s="2" t="inlineStr"/>
      <c r="N154" s="2" t="inlineStr">
        <is>
          <t>No</t>
        </is>
      </c>
      <c r="O154" s="2" t="inlineStr">
        <is>
          <t>Unattempted</t>
        </is>
      </c>
    </row>
    <row r="155">
      <c r="A155" s="4" t="inlineStr">
        <is>
          <t>Other Practice Paths</t>
        </is>
      </c>
      <c r="B155" s="4" t="inlineStr">
        <is>
          <t>SQL case studies</t>
        </is>
      </c>
      <c r="C155" s="4" t="inlineStr">
        <is>
          <t>Put your SQL skills to the test. Get better at intermediate level Analytics using the case studies given in this practice path</t>
        </is>
      </c>
      <c r="D155" s="4" t="inlineStr">
        <is>
          <t>Case Study -  Sales Analysis of E-commerce Platform - Queries</t>
        </is>
      </c>
      <c r="E155" s="4" t="n">
        <v>154</v>
      </c>
      <c r="F155" s="4" t="inlineStr">
        <is>
          <t>Query-6</t>
        </is>
      </c>
      <c r="G155" s="4" t="inlineStr">
        <is>
          <t>SQLP154</t>
        </is>
      </c>
      <c r="H155" s="4" t="inlineStr"/>
      <c r="I155" s="4" t="inlineStr">
        <is>
          <t>Medium</t>
        </is>
      </c>
      <c r="J155" s="5">
        <f>HYPERLINK("https://www.codechef.com/problems/SQLP154", "https://www.codechef.com/problems/SQLP154")</f>
        <v/>
      </c>
      <c r="K155" s="4" t="inlineStr"/>
      <c r="L155" s="4" t="inlineStr"/>
      <c r="M155" s="4" t="inlineStr"/>
      <c r="N155" s="4" t="inlineStr">
        <is>
          <t>No</t>
        </is>
      </c>
      <c r="O155" s="4" t="inlineStr">
        <is>
          <t>Unattempted</t>
        </is>
      </c>
    </row>
    <row r="156">
      <c r="A156" s="2" t="inlineStr">
        <is>
          <t>Other Practice Paths</t>
        </is>
      </c>
      <c r="B156" s="2" t="inlineStr">
        <is>
          <t>SQL case studies</t>
        </is>
      </c>
      <c r="C156" s="2" t="inlineStr">
        <is>
          <t>Put your SQL skills to the test. Get better at intermediate level Analytics using the case studies given in this practice path</t>
        </is>
      </c>
      <c r="D156" s="2" t="inlineStr">
        <is>
          <t>Case Study -  Sales Analysis of E-commerce Platform - Queries</t>
        </is>
      </c>
      <c r="E156" s="2" t="n">
        <v>155</v>
      </c>
      <c r="F156" s="2" t="inlineStr">
        <is>
          <t>Query-7</t>
        </is>
      </c>
      <c r="G156" s="2" t="inlineStr">
        <is>
          <t>SQLP155</t>
        </is>
      </c>
      <c r="H156" s="2" t="inlineStr"/>
      <c r="I156" s="2" t="inlineStr">
        <is>
          <t>Medium</t>
        </is>
      </c>
      <c r="J156" s="3">
        <f>HYPERLINK("https://www.codechef.com/problems/SQLP155", "https://www.codechef.com/problems/SQLP155")</f>
        <v/>
      </c>
      <c r="K156" s="2" t="inlineStr"/>
      <c r="L156" s="2" t="inlineStr"/>
      <c r="M156" s="2" t="inlineStr"/>
      <c r="N156" s="2" t="inlineStr">
        <is>
          <t>No</t>
        </is>
      </c>
      <c r="O156" s="2" t="inlineStr">
        <is>
          <t>Unattempted</t>
        </is>
      </c>
    </row>
    <row r="157">
      <c r="A157" s="4" t="inlineStr">
        <is>
          <t>Other Practice Paths</t>
        </is>
      </c>
      <c r="B157" s="4" t="inlineStr">
        <is>
          <t>SQL case studies</t>
        </is>
      </c>
      <c r="C157" s="4" t="inlineStr">
        <is>
          <t>Put your SQL skills to the test. Get better at intermediate level Analytics using the case studies given in this practice path</t>
        </is>
      </c>
      <c r="D157" s="4" t="inlineStr">
        <is>
          <t>Case Study -  Sales Analysis of E-commerce Platform - Queries</t>
        </is>
      </c>
      <c r="E157" s="4" t="n">
        <v>156</v>
      </c>
      <c r="F157" s="4" t="inlineStr">
        <is>
          <t>Query-8</t>
        </is>
      </c>
      <c r="G157" s="4" t="inlineStr">
        <is>
          <t>SQLP156</t>
        </is>
      </c>
      <c r="H157" s="4" t="inlineStr"/>
      <c r="I157" s="4" t="inlineStr">
        <is>
          <t>Medium</t>
        </is>
      </c>
      <c r="J157" s="5">
        <f>HYPERLINK("https://www.codechef.com/problems/SQLP156", "https://www.codechef.com/problems/SQLP156")</f>
        <v/>
      </c>
      <c r="K157" s="4" t="inlineStr"/>
      <c r="L157" s="4" t="inlineStr"/>
      <c r="M157" s="4" t="inlineStr"/>
      <c r="N157" s="4" t="inlineStr">
        <is>
          <t>No</t>
        </is>
      </c>
      <c r="O157" s="4" t="inlineStr">
        <is>
          <t>Unattempted</t>
        </is>
      </c>
    </row>
    <row r="158">
      <c r="A158" s="2" t="inlineStr">
        <is>
          <t>Other Practice Paths</t>
        </is>
      </c>
      <c r="B158" s="2" t="inlineStr">
        <is>
          <t>SQL case studies</t>
        </is>
      </c>
      <c r="C158" s="2" t="inlineStr">
        <is>
          <t>Put your SQL skills to the test. Get better at intermediate level Analytics using the case studies given in this practice path</t>
        </is>
      </c>
      <c r="D158" s="2" t="inlineStr">
        <is>
          <t>Case Study -  Sales Analysis of E-commerce Platform - Queries</t>
        </is>
      </c>
      <c r="E158" s="2" t="n">
        <v>157</v>
      </c>
      <c r="F158" s="2" t="inlineStr">
        <is>
          <t>Query-9</t>
        </is>
      </c>
      <c r="G158" s="2" t="inlineStr">
        <is>
          <t>SQLP157</t>
        </is>
      </c>
      <c r="H158" s="2" t="inlineStr"/>
      <c r="I158" s="2" t="inlineStr">
        <is>
          <t>Hard</t>
        </is>
      </c>
      <c r="J158" s="3">
        <f>HYPERLINK("https://www.codechef.com/problems/SQLP157", "https://www.codechef.com/problems/SQLP157")</f>
        <v/>
      </c>
      <c r="K158" s="2" t="inlineStr"/>
      <c r="L158" s="2" t="inlineStr"/>
      <c r="M158" s="2" t="inlineStr"/>
      <c r="N158" s="2" t="inlineStr">
        <is>
          <t>No</t>
        </is>
      </c>
      <c r="O158" s="2" t="inlineStr">
        <is>
          <t>Unattempted</t>
        </is>
      </c>
    </row>
    <row r="159">
      <c r="A159" s="4" t="inlineStr">
        <is>
          <t>Other Practice Paths</t>
        </is>
      </c>
      <c r="B159" s="4" t="inlineStr">
        <is>
          <t>SQL case studies</t>
        </is>
      </c>
      <c r="C159" s="4" t="inlineStr">
        <is>
          <t>Put your SQL skills to the test. Get better at intermediate level Analytics using the case studies given in this practice path</t>
        </is>
      </c>
      <c r="D159" s="4" t="inlineStr">
        <is>
          <t>Case Study -  Sales Analysis of E-commerce Platform - Queries</t>
        </is>
      </c>
      <c r="E159" s="4" t="n">
        <v>158</v>
      </c>
      <c r="F159" s="4" t="inlineStr">
        <is>
          <t>Query-10</t>
        </is>
      </c>
      <c r="G159" s="4" t="inlineStr">
        <is>
          <t>SQLP158</t>
        </is>
      </c>
      <c r="H159" s="4" t="inlineStr"/>
      <c r="I159" s="4" t="inlineStr">
        <is>
          <t>Medium</t>
        </is>
      </c>
      <c r="J159" s="5">
        <f>HYPERLINK("https://www.codechef.com/problems/SQLP158", "https://www.codechef.com/problems/SQLP158")</f>
        <v/>
      </c>
      <c r="K159" s="4" t="inlineStr"/>
      <c r="L159" s="4" t="inlineStr"/>
      <c r="M159" s="4" t="inlineStr"/>
      <c r="N159" s="4" t="inlineStr">
        <is>
          <t>No</t>
        </is>
      </c>
      <c r="O159" s="4" t="inlineStr">
        <is>
          <t>Unattempted</t>
        </is>
      </c>
    </row>
    <row r="160">
      <c r="A160" s="2" t="inlineStr">
        <is>
          <t>Other Practice Paths</t>
        </is>
      </c>
      <c r="B160" s="2" t="inlineStr">
        <is>
          <t>SQL case studies</t>
        </is>
      </c>
      <c r="C160" s="2" t="inlineStr">
        <is>
          <t>Put your SQL skills to the test. Get better at intermediate level Analytics using the case studies given in this practice path</t>
        </is>
      </c>
      <c r="D160" s="2" t="inlineStr">
        <is>
          <t>Case Study -  Sales Analysis of E-commerce Platform - Queries</t>
        </is>
      </c>
      <c r="E160" s="2" t="n">
        <v>159</v>
      </c>
      <c r="F160" s="2" t="inlineStr">
        <is>
          <t>Query-11</t>
        </is>
      </c>
      <c r="G160" s="2" t="inlineStr">
        <is>
          <t>SQLP159</t>
        </is>
      </c>
      <c r="H160" s="2" t="inlineStr"/>
      <c r="I160" s="2" t="inlineStr">
        <is>
          <t>Medium</t>
        </is>
      </c>
      <c r="J160" s="3">
        <f>HYPERLINK("https://www.codechef.com/problems/SQLP159", "https://www.codechef.com/problems/SQLP159")</f>
        <v/>
      </c>
      <c r="K160" s="2" t="inlineStr"/>
      <c r="L160" s="2" t="inlineStr"/>
      <c r="M160" s="2" t="inlineStr"/>
      <c r="N160" s="2" t="inlineStr">
        <is>
          <t>No</t>
        </is>
      </c>
      <c r="O160" s="2" t="inlineStr">
        <is>
          <t>Unattempted</t>
        </is>
      </c>
    </row>
    <row r="161">
      <c r="A161" s="4" t="inlineStr">
        <is>
          <t>Other Practice Paths</t>
        </is>
      </c>
      <c r="B161" s="4" t="inlineStr">
        <is>
          <t>SQL case studies</t>
        </is>
      </c>
      <c r="C161" s="4" t="inlineStr">
        <is>
          <t>Put your SQL skills to the test. Get better at intermediate level Analytics using the case studies given in this practice path</t>
        </is>
      </c>
      <c r="D161" s="4" t="inlineStr">
        <is>
          <t>Case Study -  Sales Analysis of E-commerce Platform - Queries</t>
        </is>
      </c>
      <c r="E161" s="4" t="n">
        <v>160</v>
      </c>
      <c r="F161" s="4" t="inlineStr">
        <is>
          <t>Query-12</t>
        </is>
      </c>
      <c r="G161" s="4" t="inlineStr">
        <is>
          <t>SQLP160</t>
        </is>
      </c>
      <c r="H161" s="4" t="inlineStr"/>
      <c r="I161" s="4" t="inlineStr">
        <is>
          <t>Hard</t>
        </is>
      </c>
      <c r="J161" s="5">
        <f>HYPERLINK("https://www.codechef.com/problems/SQLP160", "https://www.codechef.com/problems/SQLP160")</f>
        <v/>
      </c>
      <c r="K161" s="4" t="inlineStr"/>
      <c r="L161" s="4" t="inlineStr"/>
      <c r="M161" s="4" t="inlineStr"/>
      <c r="N161" s="4" t="inlineStr">
        <is>
          <t>No</t>
        </is>
      </c>
      <c r="O161" s="4" t="inlineStr">
        <is>
          <t>Unattempted</t>
        </is>
      </c>
    </row>
    <row r="162">
      <c r="A162" s="2" t="inlineStr">
        <is>
          <t>Other Practice Paths</t>
        </is>
      </c>
      <c r="B162" s="2" t="inlineStr">
        <is>
          <t>SQL case studies</t>
        </is>
      </c>
      <c r="C162" s="2" t="inlineStr">
        <is>
          <t>Put your SQL skills to the test. Get better at intermediate level Analytics using the case studies given in this practice path</t>
        </is>
      </c>
      <c r="D162" s="2" t="inlineStr">
        <is>
          <t>Case Study - Music App - MCQ</t>
        </is>
      </c>
      <c r="E162" s="2" t="n">
        <v>161</v>
      </c>
      <c r="F162" s="2" t="inlineStr">
        <is>
          <t>MCQ-1</t>
        </is>
      </c>
      <c r="G162" s="2" t="inlineStr">
        <is>
          <t>SQLP161</t>
        </is>
      </c>
      <c r="H162" s="2" t="inlineStr"/>
      <c r="I162" s="2" t="inlineStr">
        <is>
          <t>Easy</t>
        </is>
      </c>
      <c r="J162" s="3">
        <f>HYPERLINK("https://www.codechef.com/problems/SQLP161", "https://www.codechef.com/problems/SQLP161")</f>
        <v/>
      </c>
      <c r="K162" s="2" t="inlineStr"/>
      <c r="L162" s="2" t="inlineStr"/>
      <c r="M162" s="2" t="inlineStr"/>
      <c r="N162" s="2" t="inlineStr">
        <is>
          <t>No</t>
        </is>
      </c>
      <c r="O162" s="2" t="inlineStr">
        <is>
          <t>Unattempted</t>
        </is>
      </c>
    </row>
    <row r="163">
      <c r="A163" s="4" t="inlineStr">
        <is>
          <t>Other Practice Paths</t>
        </is>
      </c>
      <c r="B163" s="4" t="inlineStr">
        <is>
          <t>SQL case studies</t>
        </is>
      </c>
      <c r="C163" s="4" t="inlineStr">
        <is>
          <t>Put your SQL skills to the test. Get better at intermediate level Analytics using the case studies given in this practice path</t>
        </is>
      </c>
      <c r="D163" s="4" t="inlineStr">
        <is>
          <t>Case Study - Music App - MCQ</t>
        </is>
      </c>
      <c r="E163" s="4" t="n">
        <v>162</v>
      </c>
      <c r="F163" s="4" t="inlineStr">
        <is>
          <t>MCQ-2</t>
        </is>
      </c>
      <c r="G163" s="4" t="inlineStr">
        <is>
          <t>SQLP162</t>
        </is>
      </c>
      <c r="H163" s="4" t="inlineStr"/>
      <c r="I163" s="4" t="inlineStr">
        <is>
          <t>Easy</t>
        </is>
      </c>
      <c r="J163" s="5">
        <f>HYPERLINK("https://www.codechef.com/problems/SQLP162", "https://www.codechef.com/problems/SQLP162")</f>
        <v/>
      </c>
      <c r="K163" s="4" t="inlineStr"/>
      <c r="L163" s="4" t="inlineStr"/>
      <c r="M163" s="4" t="inlineStr"/>
      <c r="N163" s="4" t="inlineStr">
        <is>
          <t>No</t>
        </is>
      </c>
      <c r="O163" s="4" t="inlineStr">
        <is>
          <t>Unattempted</t>
        </is>
      </c>
    </row>
    <row r="164">
      <c r="A164" s="2" t="inlineStr">
        <is>
          <t>Other Practice Paths</t>
        </is>
      </c>
      <c r="B164" s="2" t="inlineStr">
        <is>
          <t>SQL case studies</t>
        </is>
      </c>
      <c r="C164" s="2" t="inlineStr">
        <is>
          <t>Put your SQL skills to the test. Get better at intermediate level Analytics using the case studies given in this practice path</t>
        </is>
      </c>
      <c r="D164" s="2" t="inlineStr">
        <is>
          <t>Case Study - Music App - MCQ</t>
        </is>
      </c>
      <c r="E164" s="2" t="n">
        <v>163</v>
      </c>
      <c r="F164" s="2" t="inlineStr">
        <is>
          <t>MCQ-3</t>
        </is>
      </c>
      <c r="G164" s="2" t="inlineStr">
        <is>
          <t>SQLP163</t>
        </is>
      </c>
      <c r="H164" s="2" t="inlineStr"/>
      <c r="I164" s="2" t="inlineStr">
        <is>
          <t>Easy</t>
        </is>
      </c>
      <c r="J164" s="3">
        <f>HYPERLINK("https://www.codechef.com/problems/SQLP163", "https://www.codechef.com/problems/SQLP163")</f>
        <v/>
      </c>
      <c r="K164" s="2" t="inlineStr"/>
      <c r="L164" s="2" t="inlineStr"/>
      <c r="M164" s="2" t="inlineStr"/>
      <c r="N164" s="2" t="inlineStr">
        <is>
          <t>No</t>
        </is>
      </c>
      <c r="O164" s="2" t="inlineStr">
        <is>
          <t>Unattempted</t>
        </is>
      </c>
    </row>
    <row r="165">
      <c r="A165" s="4" t="inlineStr">
        <is>
          <t>Other Practice Paths</t>
        </is>
      </c>
      <c r="B165" s="4" t="inlineStr">
        <is>
          <t>SQL case studies</t>
        </is>
      </c>
      <c r="C165" s="4" t="inlineStr">
        <is>
          <t>Put your SQL skills to the test. Get better at intermediate level Analytics using the case studies given in this practice path</t>
        </is>
      </c>
      <c r="D165" s="4" t="inlineStr">
        <is>
          <t>Case Study - Music App - MCQ</t>
        </is>
      </c>
      <c r="E165" s="4" t="n">
        <v>164</v>
      </c>
      <c r="F165" s="4" t="inlineStr">
        <is>
          <t>MCQ-4</t>
        </is>
      </c>
      <c r="G165" s="4" t="inlineStr">
        <is>
          <t>SQLP164</t>
        </is>
      </c>
      <c r="H165" s="4" t="inlineStr"/>
      <c r="I165" s="4" t="inlineStr">
        <is>
          <t>Easy</t>
        </is>
      </c>
      <c r="J165" s="5">
        <f>HYPERLINK("https://www.codechef.com/problems/SQLP164", "https://www.codechef.com/problems/SQLP164")</f>
        <v/>
      </c>
      <c r="K165" s="4" t="inlineStr"/>
      <c r="L165" s="4" t="inlineStr"/>
      <c r="M165" s="4" t="inlineStr"/>
      <c r="N165" s="4" t="inlineStr">
        <is>
          <t>No</t>
        </is>
      </c>
      <c r="O165" s="4" t="inlineStr">
        <is>
          <t>Unattempted</t>
        </is>
      </c>
    </row>
    <row r="166">
      <c r="A166" s="2" t="inlineStr">
        <is>
          <t>Other Practice Paths</t>
        </is>
      </c>
      <c r="B166" s="2" t="inlineStr">
        <is>
          <t>SQL case studies</t>
        </is>
      </c>
      <c r="C166" s="2" t="inlineStr">
        <is>
          <t>Put your SQL skills to the test. Get better at intermediate level Analytics using the case studies given in this practice path</t>
        </is>
      </c>
      <c r="D166" s="2" t="inlineStr">
        <is>
          <t>Case Study - Music App - MCQ</t>
        </is>
      </c>
      <c r="E166" s="2" t="n">
        <v>165</v>
      </c>
      <c r="F166" s="2" t="inlineStr">
        <is>
          <t>MCQ-5</t>
        </is>
      </c>
      <c r="G166" s="2" t="inlineStr">
        <is>
          <t>SQLP165</t>
        </is>
      </c>
      <c r="H166" s="2" t="inlineStr"/>
      <c r="I166" s="2" t="inlineStr">
        <is>
          <t>Easy</t>
        </is>
      </c>
      <c r="J166" s="3">
        <f>HYPERLINK("https://www.codechef.com/problems/SQLP165", "https://www.codechef.com/problems/SQLP165")</f>
        <v/>
      </c>
      <c r="K166" s="2" t="inlineStr"/>
      <c r="L166" s="2" t="inlineStr"/>
      <c r="M166" s="2" t="inlineStr"/>
      <c r="N166" s="2" t="inlineStr">
        <is>
          <t>No</t>
        </is>
      </c>
      <c r="O166" s="2" t="inlineStr">
        <is>
          <t>Unattempted</t>
        </is>
      </c>
    </row>
    <row r="167">
      <c r="A167" s="4" t="inlineStr">
        <is>
          <t>Other Practice Paths</t>
        </is>
      </c>
      <c r="B167" s="4" t="inlineStr">
        <is>
          <t>SQL case studies</t>
        </is>
      </c>
      <c r="C167" s="4" t="inlineStr">
        <is>
          <t>Put your SQL skills to the test. Get better at intermediate level Analytics using the case studies given in this practice path</t>
        </is>
      </c>
      <c r="D167" s="4" t="inlineStr">
        <is>
          <t>Case Study - Music App - MCQ</t>
        </is>
      </c>
      <c r="E167" s="4" t="n">
        <v>166</v>
      </c>
      <c r="F167" s="4" t="inlineStr">
        <is>
          <t>MCQ-6</t>
        </is>
      </c>
      <c r="G167" s="4" t="inlineStr">
        <is>
          <t>SQLP166</t>
        </is>
      </c>
      <c r="H167" s="4" t="inlineStr"/>
      <c r="I167" s="4" t="inlineStr">
        <is>
          <t>Easy</t>
        </is>
      </c>
      <c r="J167" s="5">
        <f>HYPERLINK("https://www.codechef.com/problems/SQLP166", "https://www.codechef.com/problems/SQLP166")</f>
        <v/>
      </c>
      <c r="K167" s="4" t="inlineStr"/>
      <c r="L167" s="4" t="inlineStr"/>
      <c r="M167" s="4" t="inlineStr"/>
      <c r="N167" s="4" t="inlineStr">
        <is>
          <t>No</t>
        </is>
      </c>
      <c r="O167" s="4" t="inlineStr">
        <is>
          <t>Unattempted</t>
        </is>
      </c>
    </row>
    <row r="168">
      <c r="A168" s="2" t="inlineStr">
        <is>
          <t>Other Practice Paths</t>
        </is>
      </c>
      <c r="B168" s="2" t="inlineStr">
        <is>
          <t>SQL case studies</t>
        </is>
      </c>
      <c r="C168" s="2" t="inlineStr">
        <is>
          <t>Put your SQL skills to the test. Get better at intermediate level Analytics using the case studies given in this practice path</t>
        </is>
      </c>
      <c r="D168" s="2" t="inlineStr">
        <is>
          <t>Case Study - Music App - MCQ</t>
        </is>
      </c>
      <c r="E168" s="2" t="n">
        <v>167</v>
      </c>
      <c r="F168" s="2" t="inlineStr">
        <is>
          <t>MCQ-7</t>
        </is>
      </c>
      <c r="G168" s="2" t="inlineStr">
        <is>
          <t>SQLP167</t>
        </is>
      </c>
      <c r="H168" s="2" t="inlineStr"/>
      <c r="I168" s="2" t="inlineStr">
        <is>
          <t>Medium</t>
        </is>
      </c>
      <c r="J168" s="3">
        <f>HYPERLINK("https://www.codechef.com/problems/SQLP167", "https://www.codechef.com/problems/SQLP167")</f>
        <v/>
      </c>
      <c r="K168" s="2" t="inlineStr"/>
      <c r="L168" s="2" t="inlineStr"/>
      <c r="M168" s="2" t="inlineStr"/>
      <c r="N168" s="2" t="inlineStr">
        <is>
          <t>No</t>
        </is>
      </c>
      <c r="O168" s="2" t="inlineStr">
        <is>
          <t>Unattempted</t>
        </is>
      </c>
    </row>
    <row r="169">
      <c r="A169" s="4" t="inlineStr">
        <is>
          <t>Other Practice Paths</t>
        </is>
      </c>
      <c r="B169" s="4" t="inlineStr">
        <is>
          <t>SQL case studies</t>
        </is>
      </c>
      <c r="C169" s="4" t="inlineStr">
        <is>
          <t>Put your SQL skills to the test. Get better at intermediate level Analytics using the case studies given in this practice path</t>
        </is>
      </c>
      <c r="D169" s="4" t="inlineStr">
        <is>
          <t>Case Study - Music App - MCQ</t>
        </is>
      </c>
      <c r="E169" s="4" t="n">
        <v>168</v>
      </c>
      <c r="F169" s="4" t="inlineStr">
        <is>
          <t>MCQ-8</t>
        </is>
      </c>
      <c r="G169" s="4" t="inlineStr">
        <is>
          <t>SQLP168</t>
        </is>
      </c>
      <c r="H169" s="4" t="inlineStr"/>
      <c r="I169" s="4" t="inlineStr">
        <is>
          <t>Easy</t>
        </is>
      </c>
      <c r="J169" s="5">
        <f>HYPERLINK("https://www.codechef.com/problems/SQLP168", "https://www.codechef.com/problems/SQLP168")</f>
        <v/>
      </c>
      <c r="K169" s="4" t="inlineStr"/>
      <c r="L169" s="4" t="inlineStr"/>
      <c r="M169" s="4" t="inlineStr"/>
      <c r="N169" s="4" t="inlineStr">
        <is>
          <t>No</t>
        </is>
      </c>
      <c r="O169" s="4" t="inlineStr">
        <is>
          <t>Unattempted</t>
        </is>
      </c>
    </row>
    <row r="170">
      <c r="A170" s="2" t="inlineStr">
        <is>
          <t>Other Practice Paths</t>
        </is>
      </c>
      <c r="B170" s="2" t="inlineStr">
        <is>
          <t>SQL case studies</t>
        </is>
      </c>
      <c r="C170" s="2" t="inlineStr">
        <is>
          <t>Put your SQL skills to the test. Get better at intermediate level Analytics using the case studies given in this practice path</t>
        </is>
      </c>
      <c r="D170" s="2" t="inlineStr">
        <is>
          <t>Case Study - Music App - MCQ</t>
        </is>
      </c>
      <c r="E170" s="2" t="n">
        <v>169</v>
      </c>
      <c r="F170" s="2" t="inlineStr">
        <is>
          <t>MCQ-9</t>
        </is>
      </c>
      <c r="G170" s="2" t="inlineStr">
        <is>
          <t>SQLP169</t>
        </is>
      </c>
      <c r="H170" s="2" t="inlineStr"/>
      <c r="I170" s="2" t="inlineStr">
        <is>
          <t>Easy</t>
        </is>
      </c>
      <c r="J170" s="3">
        <f>HYPERLINK("https://www.codechef.com/problems/SQLP169", "https://www.codechef.com/problems/SQLP169")</f>
        <v/>
      </c>
      <c r="K170" s="2" t="inlineStr"/>
      <c r="L170" s="2" t="inlineStr"/>
      <c r="M170" s="2" t="inlineStr"/>
      <c r="N170" s="2" t="inlineStr">
        <is>
          <t>No</t>
        </is>
      </c>
      <c r="O170" s="2" t="inlineStr">
        <is>
          <t>Unattempted</t>
        </is>
      </c>
    </row>
    <row r="171">
      <c r="A171" s="4" t="inlineStr">
        <is>
          <t>Other Practice Paths</t>
        </is>
      </c>
      <c r="B171" s="4" t="inlineStr">
        <is>
          <t>SQL case studies</t>
        </is>
      </c>
      <c r="C171" s="4" t="inlineStr">
        <is>
          <t>Put your SQL skills to the test. Get better at intermediate level Analytics using the case studies given in this practice path</t>
        </is>
      </c>
      <c r="D171" s="4" t="inlineStr">
        <is>
          <t>Case Study - Music App - MCQ</t>
        </is>
      </c>
      <c r="E171" s="4" t="n">
        <v>170</v>
      </c>
      <c r="F171" s="4" t="inlineStr">
        <is>
          <t>MCQ-10</t>
        </is>
      </c>
      <c r="G171" s="4" t="inlineStr">
        <is>
          <t>SQLP170</t>
        </is>
      </c>
      <c r="H171" s="4" t="inlineStr"/>
      <c r="I171" s="4" t="inlineStr">
        <is>
          <t>Easy</t>
        </is>
      </c>
      <c r="J171" s="5">
        <f>HYPERLINK("https://www.codechef.com/problems/SQLP170", "https://www.codechef.com/problems/SQLP170")</f>
        <v/>
      </c>
      <c r="K171" s="4" t="inlineStr"/>
      <c r="L171" s="4" t="inlineStr"/>
      <c r="M171" s="4" t="inlineStr"/>
      <c r="N171" s="4" t="inlineStr">
        <is>
          <t>No</t>
        </is>
      </c>
      <c r="O171" s="4" t="inlineStr">
        <is>
          <t>Unattempted</t>
        </is>
      </c>
    </row>
    <row r="172">
      <c r="A172" s="2" t="inlineStr">
        <is>
          <t>Other Practice Paths</t>
        </is>
      </c>
      <c r="B172" s="2" t="inlineStr">
        <is>
          <t>SQL case studies</t>
        </is>
      </c>
      <c r="C172" s="2" t="inlineStr">
        <is>
          <t>Put your SQL skills to the test. Get better at intermediate level Analytics using the case studies given in this practice path</t>
        </is>
      </c>
      <c r="D172" s="2" t="inlineStr">
        <is>
          <t>Case Study - Music App - MCQ</t>
        </is>
      </c>
      <c r="E172" s="2" t="n">
        <v>171</v>
      </c>
      <c r="F172" s="2" t="inlineStr">
        <is>
          <t>MCQ-11</t>
        </is>
      </c>
      <c r="G172" s="2" t="inlineStr">
        <is>
          <t>SQLP171</t>
        </is>
      </c>
      <c r="H172" s="2" t="inlineStr"/>
      <c r="I172" s="2" t="inlineStr">
        <is>
          <t>Easy</t>
        </is>
      </c>
      <c r="J172" s="3">
        <f>HYPERLINK("https://www.codechef.com/problems/SQLP171", "https://www.codechef.com/problems/SQLP171")</f>
        <v/>
      </c>
      <c r="K172" s="2" t="inlineStr"/>
      <c r="L172" s="2" t="inlineStr"/>
      <c r="M172" s="2" t="inlineStr"/>
      <c r="N172" s="2" t="inlineStr">
        <is>
          <t>No</t>
        </is>
      </c>
      <c r="O172" s="2" t="inlineStr">
        <is>
          <t>Unattempted</t>
        </is>
      </c>
    </row>
    <row r="173">
      <c r="A173" s="4" t="inlineStr">
        <is>
          <t>Other Practice Paths</t>
        </is>
      </c>
      <c r="B173" s="4" t="inlineStr">
        <is>
          <t>SQL case studies</t>
        </is>
      </c>
      <c r="C173" s="4" t="inlineStr">
        <is>
          <t>Put your SQL skills to the test. Get better at intermediate level Analytics using the case studies given in this practice path</t>
        </is>
      </c>
      <c r="D173" s="4" t="inlineStr">
        <is>
          <t>Case Study - Music App - MCQ</t>
        </is>
      </c>
      <c r="E173" s="4" t="n">
        <v>172</v>
      </c>
      <c r="F173" s="4" t="inlineStr">
        <is>
          <t>MCQ-12</t>
        </is>
      </c>
      <c r="G173" s="4" t="inlineStr">
        <is>
          <t>SQLP172</t>
        </is>
      </c>
      <c r="H173" s="4" t="inlineStr"/>
      <c r="I173" s="4" t="inlineStr">
        <is>
          <t>Easy</t>
        </is>
      </c>
      <c r="J173" s="5">
        <f>HYPERLINK("https://www.codechef.com/problems/SQLP172", "https://www.codechef.com/problems/SQLP172")</f>
        <v/>
      </c>
      <c r="K173" s="4" t="inlineStr"/>
      <c r="L173" s="4" t="inlineStr"/>
      <c r="M173" s="4" t="inlineStr"/>
      <c r="N173" s="4" t="inlineStr">
        <is>
          <t>No</t>
        </is>
      </c>
      <c r="O173" s="4" t="inlineStr">
        <is>
          <t>Unattempted</t>
        </is>
      </c>
    </row>
    <row r="174">
      <c r="A174" s="2" t="inlineStr">
        <is>
          <t>Other Practice Paths</t>
        </is>
      </c>
      <c r="B174" s="2" t="inlineStr">
        <is>
          <t>SQL case studies</t>
        </is>
      </c>
      <c r="C174" s="2" t="inlineStr">
        <is>
          <t>Put your SQL skills to the test. Get better at intermediate level Analytics using the case studies given in this practice path</t>
        </is>
      </c>
      <c r="D174" s="2" t="inlineStr">
        <is>
          <t>Case Study - Music App - MCQ</t>
        </is>
      </c>
      <c r="E174" s="2" t="n">
        <v>173</v>
      </c>
      <c r="F174" s="2" t="inlineStr">
        <is>
          <t>MCQ-13</t>
        </is>
      </c>
      <c r="G174" s="2" t="inlineStr">
        <is>
          <t>SQLP173</t>
        </is>
      </c>
      <c r="H174" s="2" t="inlineStr"/>
      <c r="I174" s="2" t="inlineStr">
        <is>
          <t>Easy</t>
        </is>
      </c>
      <c r="J174" s="3">
        <f>HYPERLINK("https://www.codechef.com/problems/SQLP173", "https://www.codechef.com/problems/SQLP173")</f>
        <v/>
      </c>
      <c r="K174" s="2" t="inlineStr"/>
      <c r="L174" s="2" t="inlineStr"/>
      <c r="M174" s="2" t="inlineStr"/>
      <c r="N174" s="2" t="inlineStr">
        <is>
          <t>No</t>
        </is>
      </c>
      <c r="O174" s="2" t="inlineStr">
        <is>
          <t>Unattempted</t>
        </is>
      </c>
    </row>
    <row r="175">
      <c r="A175" s="4" t="inlineStr">
        <is>
          <t>Other Practice Paths</t>
        </is>
      </c>
      <c r="B175" s="4" t="inlineStr">
        <is>
          <t>SQL case studies</t>
        </is>
      </c>
      <c r="C175" s="4" t="inlineStr">
        <is>
          <t>Put your SQL skills to the test. Get better at intermediate level Analytics using the case studies given in this practice path</t>
        </is>
      </c>
      <c r="D175" s="4" t="inlineStr">
        <is>
          <t>Case Study - Music App - MCQ</t>
        </is>
      </c>
      <c r="E175" s="4" t="n">
        <v>174</v>
      </c>
      <c r="F175" s="4" t="inlineStr">
        <is>
          <t>MCQ-14</t>
        </is>
      </c>
      <c r="G175" s="4" t="inlineStr">
        <is>
          <t>SQLP174</t>
        </is>
      </c>
      <c r="H175" s="4" t="inlineStr"/>
      <c r="I175" s="4" t="inlineStr">
        <is>
          <t>Easy</t>
        </is>
      </c>
      <c r="J175" s="5">
        <f>HYPERLINK("https://www.codechef.com/problems/SQLP174", "https://www.codechef.com/problems/SQLP174")</f>
        <v/>
      </c>
      <c r="K175" s="4" t="inlineStr"/>
      <c r="L175" s="4" t="inlineStr"/>
      <c r="M175" s="4" t="inlineStr"/>
      <c r="N175" s="4" t="inlineStr">
        <is>
          <t>No</t>
        </is>
      </c>
      <c r="O175" s="4" t="inlineStr">
        <is>
          <t>Unattempted</t>
        </is>
      </c>
    </row>
    <row r="176">
      <c r="A176" s="2" t="inlineStr">
        <is>
          <t>Other Practice Paths</t>
        </is>
      </c>
      <c r="B176" s="2" t="inlineStr">
        <is>
          <t>SQL case studies</t>
        </is>
      </c>
      <c r="C176" s="2" t="inlineStr">
        <is>
          <t>Put your SQL skills to the test. Get better at intermediate level Analytics using the case studies given in this practice path</t>
        </is>
      </c>
      <c r="D176" s="2" t="inlineStr">
        <is>
          <t>Case Study - Music App - MCQ</t>
        </is>
      </c>
      <c r="E176" s="2" t="n">
        <v>175</v>
      </c>
      <c r="F176" s="2" t="inlineStr">
        <is>
          <t>MCQ-15</t>
        </is>
      </c>
      <c r="G176" s="2" t="inlineStr">
        <is>
          <t>SQLP175</t>
        </is>
      </c>
      <c r="H176" s="2" t="inlineStr"/>
      <c r="I176" s="2" t="inlineStr">
        <is>
          <t>Medium</t>
        </is>
      </c>
      <c r="J176" s="3">
        <f>HYPERLINK("https://www.codechef.com/problems/SQLP175", "https://www.codechef.com/problems/SQLP175")</f>
        <v/>
      </c>
      <c r="K176" s="2" t="inlineStr"/>
      <c r="L176" s="2" t="inlineStr"/>
      <c r="M176" s="2" t="inlineStr"/>
      <c r="N176" s="2" t="inlineStr">
        <is>
          <t>No</t>
        </is>
      </c>
      <c r="O176" s="2" t="inlineStr">
        <is>
          <t>Unattempted</t>
        </is>
      </c>
    </row>
    <row r="177">
      <c r="A177" s="4" t="inlineStr">
        <is>
          <t>Other Practice Paths</t>
        </is>
      </c>
      <c r="B177" s="4" t="inlineStr">
        <is>
          <t>SQL case studies</t>
        </is>
      </c>
      <c r="C177" s="4" t="inlineStr">
        <is>
          <t>Put your SQL skills to the test. Get better at intermediate level Analytics using the case studies given in this practice path</t>
        </is>
      </c>
      <c r="D177" s="4" t="inlineStr">
        <is>
          <t>Case Study - Music App - MCQ</t>
        </is>
      </c>
      <c r="E177" s="4" t="n">
        <v>176</v>
      </c>
      <c r="F177" s="4" t="inlineStr">
        <is>
          <t>Rearrange code-1</t>
        </is>
      </c>
      <c r="G177" s="4" t="inlineStr">
        <is>
          <t>SQLP176</t>
        </is>
      </c>
      <c r="H177" s="4" t="inlineStr"/>
      <c r="I177" s="4" t="inlineStr">
        <is>
          <t>Medium</t>
        </is>
      </c>
      <c r="J177" s="5">
        <f>HYPERLINK("https://www.codechef.com/problems/SQLP176", "https://www.codechef.com/problems/SQLP176")</f>
        <v/>
      </c>
      <c r="K177" s="4" t="inlineStr"/>
      <c r="L177" s="4" t="inlineStr"/>
      <c r="M177" s="4" t="inlineStr"/>
      <c r="N177" s="4" t="inlineStr">
        <is>
          <t>No</t>
        </is>
      </c>
      <c r="O177" s="4" t="inlineStr">
        <is>
          <t>Unattempted</t>
        </is>
      </c>
    </row>
    <row r="178">
      <c r="A178" s="2" t="inlineStr">
        <is>
          <t>Other Practice Paths</t>
        </is>
      </c>
      <c r="B178" s="2" t="inlineStr">
        <is>
          <t>SQL case studies</t>
        </is>
      </c>
      <c r="C178" s="2" t="inlineStr">
        <is>
          <t>Put your SQL skills to the test. Get better at intermediate level Analytics using the case studies given in this practice path</t>
        </is>
      </c>
      <c r="D178" s="2" t="inlineStr">
        <is>
          <t>Case Study - Music App - MCQ</t>
        </is>
      </c>
      <c r="E178" s="2" t="n">
        <v>177</v>
      </c>
      <c r="F178" s="2" t="inlineStr">
        <is>
          <t>Rearrange code-2</t>
        </is>
      </c>
      <c r="G178" s="2" t="inlineStr">
        <is>
          <t>SQLP177</t>
        </is>
      </c>
      <c r="H178" s="2" t="inlineStr"/>
      <c r="I178" s="2" t="inlineStr">
        <is>
          <t>Medium</t>
        </is>
      </c>
      <c r="J178" s="3">
        <f>HYPERLINK("https://www.codechef.com/problems/SQLP177", "https://www.codechef.com/problems/SQLP177")</f>
        <v/>
      </c>
      <c r="K178" s="2" t="inlineStr"/>
      <c r="L178" s="2" t="inlineStr"/>
      <c r="M178" s="2" t="inlineStr"/>
      <c r="N178" s="2" t="inlineStr">
        <is>
          <t>No</t>
        </is>
      </c>
      <c r="O178" s="2" t="inlineStr">
        <is>
          <t>Unattempted</t>
        </is>
      </c>
    </row>
    <row r="179">
      <c r="A179" s="4" t="inlineStr">
        <is>
          <t>Other Practice Paths</t>
        </is>
      </c>
      <c r="B179" s="4" t="inlineStr">
        <is>
          <t>SQL case studies</t>
        </is>
      </c>
      <c r="C179" s="4" t="inlineStr">
        <is>
          <t>Put your SQL skills to the test. Get better at intermediate level Analytics using the case studies given in this practice path</t>
        </is>
      </c>
      <c r="D179" s="4" t="inlineStr">
        <is>
          <t>Case Study - Music App - MCQ</t>
        </is>
      </c>
      <c r="E179" s="4" t="n">
        <v>178</v>
      </c>
      <c r="F179" s="4" t="inlineStr">
        <is>
          <t>Rearrange code-3</t>
        </is>
      </c>
      <c r="G179" s="4" t="inlineStr">
        <is>
          <t>SQLP178</t>
        </is>
      </c>
      <c r="H179" s="4" t="inlineStr"/>
      <c r="I179" s="4" t="inlineStr">
        <is>
          <t>Medium</t>
        </is>
      </c>
      <c r="J179" s="5">
        <f>HYPERLINK("https://www.codechef.com/problems/SQLP178", "https://www.codechef.com/problems/SQLP178")</f>
        <v/>
      </c>
      <c r="K179" s="4" t="inlineStr"/>
      <c r="L179" s="4" t="inlineStr"/>
      <c r="M179" s="4" t="inlineStr"/>
      <c r="N179" s="4" t="inlineStr">
        <is>
          <t>No</t>
        </is>
      </c>
      <c r="O179" s="4" t="inlineStr">
        <is>
          <t>Unattempted</t>
        </is>
      </c>
    </row>
    <row r="180">
      <c r="A180" s="2" t="inlineStr">
        <is>
          <t>Other Practice Paths</t>
        </is>
      </c>
      <c r="B180" s="2" t="inlineStr">
        <is>
          <t>SQL case studies</t>
        </is>
      </c>
      <c r="C180" s="2" t="inlineStr">
        <is>
          <t>Put your SQL skills to the test. Get better at intermediate level Analytics using the case studies given in this practice path</t>
        </is>
      </c>
      <c r="D180" s="2" t="inlineStr">
        <is>
          <t>Case Study - Music App - MCQ</t>
        </is>
      </c>
      <c r="E180" s="2" t="n">
        <v>179</v>
      </c>
      <c r="F180" s="2" t="inlineStr">
        <is>
          <t>Rearrange code-4</t>
        </is>
      </c>
      <c r="G180" s="2" t="inlineStr">
        <is>
          <t>SQLP179</t>
        </is>
      </c>
      <c r="H180" s="2" t="inlineStr"/>
      <c r="I180" s="2" t="inlineStr">
        <is>
          <t>Medium</t>
        </is>
      </c>
      <c r="J180" s="3">
        <f>HYPERLINK("https://www.codechef.com/problems/SQLP179", "https://www.codechef.com/problems/SQLP179")</f>
        <v/>
      </c>
      <c r="K180" s="2" t="inlineStr"/>
      <c r="L180" s="2" t="inlineStr"/>
      <c r="M180" s="2" t="inlineStr"/>
      <c r="N180" s="2" t="inlineStr">
        <is>
          <t>No</t>
        </is>
      </c>
      <c r="O180" s="2" t="inlineStr">
        <is>
          <t>Unattempted</t>
        </is>
      </c>
    </row>
    <row r="181">
      <c r="A181" s="4" t="inlineStr">
        <is>
          <t>Other Practice Paths</t>
        </is>
      </c>
      <c r="B181" s="4" t="inlineStr">
        <is>
          <t>SQL case studies</t>
        </is>
      </c>
      <c r="C181" s="4" t="inlineStr">
        <is>
          <t>Put your SQL skills to the test. Get better at intermediate level Analytics using the case studies given in this practice path</t>
        </is>
      </c>
      <c r="D181" s="4" t="inlineStr">
        <is>
          <t>Case Study - Music App - MCQ</t>
        </is>
      </c>
      <c r="E181" s="4" t="n">
        <v>180</v>
      </c>
      <c r="F181" s="4" t="inlineStr">
        <is>
          <t>Rearrange code-5</t>
        </is>
      </c>
      <c r="G181" s="4" t="inlineStr">
        <is>
          <t>SQLP180</t>
        </is>
      </c>
      <c r="H181" s="4" t="inlineStr"/>
      <c r="I181" s="4" t="inlineStr">
        <is>
          <t>Medium</t>
        </is>
      </c>
      <c r="J181" s="5">
        <f>HYPERLINK("https://www.codechef.com/problems/SQLP180", "https://www.codechef.com/problems/SQLP180")</f>
        <v/>
      </c>
      <c r="K181" s="4" t="inlineStr"/>
      <c r="L181" s="4" t="inlineStr"/>
      <c r="M181" s="4" t="inlineStr"/>
      <c r="N181" s="4" t="inlineStr">
        <is>
          <t>No</t>
        </is>
      </c>
      <c r="O181" s="4" t="inlineStr">
        <is>
          <t>Unattempted</t>
        </is>
      </c>
    </row>
    <row r="182">
      <c r="A182" s="2" t="inlineStr">
        <is>
          <t>Other Practice Paths</t>
        </is>
      </c>
      <c r="B182" s="2" t="inlineStr">
        <is>
          <t>SQL case studies</t>
        </is>
      </c>
      <c r="C182" s="2" t="inlineStr">
        <is>
          <t>Put your SQL skills to the test. Get better at intermediate level Analytics using the case studies given in this practice path</t>
        </is>
      </c>
      <c r="D182" s="2" t="inlineStr">
        <is>
          <t>Case Study - Music App - Queries</t>
        </is>
      </c>
      <c r="E182" s="2" t="n">
        <v>181</v>
      </c>
      <c r="F182" s="2" t="inlineStr">
        <is>
          <t>Query-1</t>
        </is>
      </c>
      <c r="G182" s="2" t="inlineStr">
        <is>
          <t>SQLP181</t>
        </is>
      </c>
      <c r="H182" s="2" t="inlineStr"/>
      <c r="I182" s="2" t="inlineStr">
        <is>
          <t>Easy</t>
        </is>
      </c>
      <c r="J182" s="3">
        <f>HYPERLINK("https://www.codechef.com/problems/SQLP181", "https://www.codechef.com/problems/SQLP181")</f>
        <v/>
      </c>
      <c r="K182" s="2" t="inlineStr"/>
      <c r="L182" s="2" t="inlineStr"/>
      <c r="M182" s="2" t="inlineStr"/>
      <c r="N182" s="2" t="inlineStr">
        <is>
          <t>No</t>
        </is>
      </c>
      <c r="O182" s="2" t="inlineStr">
        <is>
          <t>Unattempted</t>
        </is>
      </c>
    </row>
    <row r="183">
      <c r="A183" s="4" t="inlineStr">
        <is>
          <t>Other Practice Paths</t>
        </is>
      </c>
      <c r="B183" s="4" t="inlineStr">
        <is>
          <t>SQL case studies</t>
        </is>
      </c>
      <c r="C183" s="4" t="inlineStr">
        <is>
          <t>Put your SQL skills to the test. Get better at intermediate level Analytics using the case studies given in this practice path</t>
        </is>
      </c>
      <c r="D183" s="4" t="inlineStr">
        <is>
          <t>Case Study - Music App - Queries</t>
        </is>
      </c>
      <c r="E183" s="4" t="n">
        <v>182</v>
      </c>
      <c r="F183" s="4" t="inlineStr">
        <is>
          <t>Query-2</t>
        </is>
      </c>
      <c r="G183" s="4" t="inlineStr">
        <is>
          <t>SQLP182</t>
        </is>
      </c>
      <c r="H183" s="4" t="inlineStr"/>
      <c r="I183" s="4" t="inlineStr">
        <is>
          <t>Easy</t>
        </is>
      </c>
      <c r="J183" s="5">
        <f>HYPERLINK("https://www.codechef.com/problems/SQLP182", "https://www.codechef.com/problems/SQLP182")</f>
        <v/>
      </c>
      <c r="K183" s="4" t="inlineStr"/>
      <c r="L183" s="4" t="inlineStr"/>
      <c r="M183" s="4" t="inlineStr"/>
      <c r="N183" s="4" t="inlineStr">
        <is>
          <t>No</t>
        </is>
      </c>
      <c r="O183" s="4" t="inlineStr">
        <is>
          <t>Unattempted</t>
        </is>
      </c>
    </row>
    <row r="184">
      <c r="A184" s="2" t="inlineStr">
        <is>
          <t>Other Practice Paths</t>
        </is>
      </c>
      <c r="B184" s="2" t="inlineStr">
        <is>
          <t>SQL case studies</t>
        </is>
      </c>
      <c r="C184" s="2" t="inlineStr">
        <is>
          <t>Put your SQL skills to the test. Get better at intermediate level Analytics using the case studies given in this practice path</t>
        </is>
      </c>
      <c r="D184" s="2" t="inlineStr">
        <is>
          <t>Case Study - Music App - Queries</t>
        </is>
      </c>
      <c r="E184" s="2" t="n">
        <v>183</v>
      </c>
      <c r="F184" s="2" t="inlineStr">
        <is>
          <t>Query-3</t>
        </is>
      </c>
      <c r="G184" s="2" t="inlineStr">
        <is>
          <t>SQLP183</t>
        </is>
      </c>
      <c r="H184" s="2" t="inlineStr"/>
      <c r="I184" s="2" t="inlineStr">
        <is>
          <t>Easy</t>
        </is>
      </c>
      <c r="J184" s="3">
        <f>HYPERLINK("https://www.codechef.com/problems/SQLP183", "https://www.codechef.com/problems/SQLP183")</f>
        <v/>
      </c>
      <c r="K184" s="2" t="inlineStr"/>
      <c r="L184" s="2" t="inlineStr"/>
      <c r="M184" s="2" t="inlineStr"/>
      <c r="N184" s="2" t="inlineStr">
        <is>
          <t>No</t>
        </is>
      </c>
      <c r="O184" s="2" t="inlineStr">
        <is>
          <t>Unattempted</t>
        </is>
      </c>
    </row>
    <row r="185">
      <c r="A185" s="4" t="inlineStr">
        <is>
          <t>Other Practice Paths</t>
        </is>
      </c>
      <c r="B185" s="4" t="inlineStr">
        <is>
          <t>SQL case studies</t>
        </is>
      </c>
      <c r="C185" s="4" t="inlineStr">
        <is>
          <t>Put your SQL skills to the test. Get better at intermediate level Analytics using the case studies given in this practice path</t>
        </is>
      </c>
      <c r="D185" s="4" t="inlineStr">
        <is>
          <t>Case Study - Music App - Queries</t>
        </is>
      </c>
      <c r="E185" s="4" t="n">
        <v>184</v>
      </c>
      <c r="F185" s="4" t="inlineStr">
        <is>
          <t>Query-4</t>
        </is>
      </c>
      <c r="G185" s="4" t="inlineStr">
        <is>
          <t>SQLP184</t>
        </is>
      </c>
      <c r="H185" s="4" t="inlineStr"/>
      <c r="I185" s="4" t="inlineStr">
        <is>
          <t>Medium</t>
        </is>
      </c>
      <c r="J185" s="5">
        <f>HYPERLINK("https://www.codechef.com/problems/SQLP184", "https://www.codechef.com/problems/SQLP184")</f>
        <v/>
      </c>
      <c r="K185" s="4" t="inlineStr"/>
      <c r="L185" s="4" t="inlineStr"/>
      <c r="M185" s="4" t="inlineStr"/>
      <c r="N185" s="4" t="inlineStr">
        <is>
          <t>No</t>
        </is>
      </c>
      <c r="O185" s="4" t="inlineStr">
        <is>
          <t>Unattempted</t>
        </is>
      </c>
    </row>
    <row r="186">
      <c r="A186" s="2" t="inlineStr">
        <is>
          <t>Other Practice Paths</t>
        </is>
      </c>
      <c r="B186" s="2" t="inlineStr">
        <is>
          <t>SQL case studies</t>
        </is>
      </c>
      <c r="C186" s="2" t="inlineStr">
        <is>
          <t>Put your SQL skills to the test. Get better at intermediate level Analytics using the case studies given in this practice path</t>
        </is>
      </c>
      <c r="D186" s="2" t="inlineStr">
        <is>
          <t>Case Study - Music App - Queries</t>
        </is>
      </c>
      <c r="E186" s="2" t="n">
        <v>185</v>
      </c>
      <c r="F186" s="2" t="inlineStr">
        <is>
          <t>Query-5</t>
        </is>
      </c>
      <c r="G186" s="2" t="inlineStr">
        <is>
          <t>SQLP185</t>
        </is>
      </c>
      <c r="H186" s="2" t="inlineStr"/>
      <c r="I186" s="2" t="inlineStr">
        <is>
          <t>Medium</t>
        </is>
      </c>
      <c r="J186" s="3">
        <f>HYPERLINK("https://www.codechef.com/problems/SQLP185", "https://www.codechef.com/problems/SQLP185")</f>
        <v/>
      </c>
      <c r="K186" s="2" t="inlineStr"/>
      <c r="L186" s="2" t="inlineStr"/>
      <c r="M186" s="2" t="inlineStr"/>
      <c r="N186" s="2" t="inlineStr">
        <is>
          <t>No</t>
        </is>
      </c>
      <c r="O186" s="2" t="inlineStr">
        <is>
          <t>Unattempted</t>
        </is>
      </c>
    </row>
    <row r="187">
      <c r="A187" s="4" t="inlineStr">
        <is>
          <t>Other Practice Paths</t>
        </is>
      </c>
      <c r="B187" s="4" t="inlineStr">
        <is>
          <t>SQL case studies</t>
        </is>
      </c>
      <c r="C187" s="4" t="inlineStr">
        <is>
          <t>Put your SQL skills to the test. Get better at intermediate level Analytics using the case studies given in this practice path</t>
        </is>
      </c>
      <c r="D187" s="4" t="inlineStr">
        <is>
          <t>Case Study - Music App - Queries</t>
        </is>
      </c>
      <c r="E187" s="4" t="n">
        <v>186</v>
      </c>
      <c r="F187" s="4" t="inlineStr">
        <is>
          <t>Query-6</t>
        </is>
      </c>
      <c r="G187" s="4" t="inlineStr">
        <is>
          <t>SQLP186</t>
        </is>
      </c>
      <c r="H187" s="4" t="inlineStr"/>
      <c r="I187" s="4" t="inlineStr">
        <is>
          <t>Medium</t>
        </is>
      </c>
      <c r="J187" s="5">
        <f>HYPERLINK("https://www.codechef.com/problems/SQLP186", "https://www.codechef.com/problems/SQLP186")</f>
        <v/>
      </c>
      <c r="K187" s="4" t="inlineStr"/>
      <c r="L187" s="4" t="inlineStr"/>
      <c r="M187" s="4" t="inlineStr"/>
      <c r="N187" s="4" t="inlineStr">
        <is>
          <t>No</t>
        </is>
      </c>
      <c r="O187" s="4" t="inlineStr">
        <is>
          <t>Unattempted</t>
        </is>
      </c>
    </row>
    <row r="188">
      <c r="A188" s="2" t="inlineStr">
        <is>
          <t>Other Practice Paths</t>
        </is>
      </c>
      <c r="B188" s="2" t="inlineStr">
        <is>
          <t>SQL case studies</t>
        </is>
      </c>
      <c r="C188" s="2" t="inlineStr">
        <is>
          <t>Put your SQL skills to the test. Get better at intermediate level Analytics using the case studies given in this practice path</t>
        </is>
      </c>
      <c r="D188" s="2" t="inlineStr">
        <is>
          <t>Case Study - Music App - Queries</t>
        </is>
      </c>
      <c r="E188" s="2" t="n">
        <v>187</v>
      </c>
      <c r="F188" s="2" t="inlineStr">
        <is>
          <t>Query-7</t>
        </is>
      </c>
      <c r="G188" s="2" t="inlineStr">
        <is>
          <t>SQLP187</t>
        </is>
      </c>
      <c r="H188" s="2" t="inlineStr"/>
      <c r="I188" s="2" t="inlineStr">
        <is>
          <t>Medium</t>
        </is>
      </c>
      <c r="J188" s="3">
        <f>HYPERLINK("https://www.codechef.com/problems/SQLP187", "https://www.codechef.com/problems/SQLP187")</f>
        <v/>
      </c>
      <c r="K188" s="2" t="inlineStr"/>
      <c r="L188" s="2" t="inlineStr"/>
      <c r="M188" s="2" t="inlineStr"/>
      <c r="N188" s="2" t="inlineStr">
        <is>
          <t>No</t>
        </is>
      </c>
      <c r="O188" s="2" t="inlineStr">
        <is>
          <t>Unattempted</t>
        </is>
      </c>
    </row>
    <row r="189">
      <c r="A189" s="4" t="inlineStr">
        <is>
          <t>Other Practice Paths</t>
        </is>
      </c>
      <c r="B189" s="4" t="inlineStr">
        <is>
          <t>SQL case studies</t>
        </is>
      </c>
      <c r="C189" s="4" t="inlineStr">
        <is>
          <t>Put your SQL skills to the test. Get better at intermediate level Analytics using the case studies given in this practice path</t>
        </is>
      </c>
      <c r="D189" s="4" t="inlineStr">
        <is>
          <t>Case Study - Music App - Queries</t>
        </is>
      </c>
      <c r="E189" s="4" t="n">
        <v>188</v>
      </c>
      <c r="F189" s="4" t="inlineStr">
        <is>
          <t>Query-8</t>
        </is>
      </c>
      <c r="G189" s="4" t="inlineStr">
        <is>
          <t>SQLP188</t>
        </is>
      </c>
      <c r="H189" s="4" t="inlineStr"/>
      <c r="I189" s="4" t="inlineStr">
        <is>
          <t>Medium</t>
        </is>
      </c>
      <c r="J189" s="5">
        <f>HYPERLINK("https://www.codechef.com/problems/SQLP188", "https://www.codechef.com/problems/SQLP188")</f>
        <v/>
      </c>
      <c r="K189" s="4" t="inlineStr"/>
      <c r="L189" s="4" t="inlineStr"/>
      <c r="M189" s="4" t="inlineStr"/>
      <c r="N189" s="4" t="inlineStr">
        <is>
          <t>No</t>
        </is>
      </c>
      <c r="O189" s="4" t="inlineStr">
        <is>
          <t>Unattempted</t>
        </is>
      </c>
    </row>
    <row r="190">
      <c r="A190" s="2" t="inlineStr">
        <is>
          <t>Other Practice Paths</t>
        </is>
      </c>
      <c r="B190" s="2" t="inlineStr">
        <is>
          <t>SQL case studies</t>
        </is>
      </c>
      <c r="C190" s="2" t="inlineStr">
        <is>
          <t>Put your SQL skills to the test. Get better at intermediate level Analytics using the case studies given in this practice path</t>
        </is>
      </c>
      <c r="D190" s="2" t="inlineStr">
        <is>
          <t>Case Study - Music App - Queries</t>
        </is>
      </c>
      <c r="E190" s="2" t="n">
        <v>189</v>
      </c>
      <c r="F190" s="2" t="inlineStr">
        <is>
          <t>Query-9</t>
        </is>
      </c>
      <c r="G190" s="2" t="inlineStr">
        <is>
          <t>SQLP189</t>
        </is>
      </c>
      <c r="H190" s="2" t="inlineStr"/>
      <c r="I190" s="2" t="inlineStr">
        <is>
          <t>Medium</t>
        </is>
      </c>
      <c r="J190" s="3">
        <f>HYPERLINK("https://www.codechef.com/problems/SQLP189", "https://www.codechef.com/problems/SQLP189")</f>
        <v/>
      </c>
      <c r="K190" s="2" t="inlineStr"/>
      <c r="L190" s="2" t="inlineStr"/>
      <c r="M190" s="2" t="inlineStr"/>
      <c r="N190" s="2" t="inlineStr">
        <is>
          <t>No</t>
        </is>
      </c>
      <c r="O190" s="2" t="inlineStr">
        <is>
          <t>Unattempted</t>
        </is>
      </c>
    </row>
    <row r="191">
      <c r="A191" s="4" t="inlineStr">
        <is>
          <t>Other Practice Paths</t>
        </is>
      </c>
      <c r="B191" s="4" t="inlineStr">
        <is>
          <t>SQL case studies</t>
        </is>
      </c>
      <c r="C191" s="4" t="inlineStr">
        <is>
          <t>Put your SQL skills to the test. Get better at intermediate level Analytics using the case studies given in this practice path</t>
        </is>
      </c>
      <c r="D191" s="4" t="inlineStr">
        <is>
          <t>Case Study - Music App - Queries</t>
        </is>
      </c>
      <c r="E191" s="4" t="n">
        <v>190</v>
      </c>
      <c r="F191" s="4" t="inlineStr">
        <is>
          <t>Query-10</t>
        </is>
      </c>
      <c r="G191" s="4" t="inlineStr">
        <is>
          <t>SQLP190</t>
        </is>
      </c>
      <c r="H191" s="4" t="inlineStr"/>
      <c r="I191" s="4" t="inlineStr">
        <is>
          <t>Medium</t>
        </is>
      </c>
      <c r="J191" s="5">
        <f>HYPERLINK("https://www.codechef.com/problems/SQLP190", "https://www.codechef.com/problems/SQLP190")</f>
        <v/>
      </c>
      <c r="K191" s="4" t="inlineStr"/>
      <c r="L191" s="4" t="inlineStr"/>
      <c r="M191" s="4" t="inlineStr"/>
      <c r="N191" s="4" t="inlineStr">
        <is>
          <t>No</t>
        </is>
      </c>
      <c r="O191" s="4" t="inlineStr">
        <is>
          <t>Unattempted</t>
        </is>
      </c>
    </row>
    <row r="192">
      <c r="A192" s="2" t="inlineStr">
        <is>
          <t>Other Practice Paths</t>
        </is>
      </c>
      <c r="B192" s="2" t="inlineStr">
        <is>
          <t>SQL case studies</t>
        </is>
      </c>
      <c r="C192" s="2" t="inlineStr">
        <is>
          <t>Put your SQL skills to the test. Get better at intermediate level Analytics using the case studies given in this practice path</t>
        </is>
      </c>
      <c r="D192" s="2" t="inlineStr">
        <is>
          <t>Case Study - Music App - Queries</t>
        </is>
      </c>
      <c r="E192" s="2" t="n">
        <v>191</v>
      </c>
      <c r="F192" s="2" t="inlineStr">
        <is>
          <t>Query-11</t>
        </is>
      </c>
      <c r="G192" s="2" t="inlineStr">
        <is>
          <t>SQLP191</t>
        </is>
      </c>
      <c r="H192" s="2" t="inlineStr"/>
      <c r="I192" s="2" t="inlineStr">
        <is>
          <t>Hard</t>
        </is>
      </c>
      <c r="J192" s="3">
        <f>HYPERLINK("https://www.codechef.com/problems/SQLP191", "https://www.codechef.com/problems/SQLP191")</f>
        <v/>
      </c>
      <c r="K192" s="2" t="inlineStr"/>
      <c r="L192" s="2" t="inlineStr"/>
      <c r="M192" s="2" t="inlineStr"/>
      <c r="N192" s="2" t="inlineStr">
        <is>
          <t>No</t>
        </is>
      </c>
      <c r="O192" s="2" t="inlineStr">
        <is>
          <t>Unattempted</t>
        </is>
      </c>
    </row>
    <row r="193">
      <c r="A193" s="4" t="inlineStr">
        <is>
          <t>Other Practice Paths</t>
        </is>
      </c>
      <c r="B193" s="4" t="inlineStr">
        <is>
          <t>SQL case studies</t>
        </is>
      </c>
      <c r="C193" s="4" t="inlineStr">
        <is>
          <t>Put your SQL skills to the test. Get better at intermediate level Analytics using the case studies given in this practice path</t>
        </is>
      </c>
      <c r="D193" s="4" t="inlineStr">
        <is>
          <t>Case Study - Music App - Queries</t>
        </is>
      </c>
      <c r="E193" s="4" t="n">
        <v>192</v>
      </c>
      <c r="F193" s="4" t="inlineStr">
        <is>
          <t>Query-12</t>
        </is>
      </c>
      <c r="G193" s="4" t="inlineStr">
        <is>
          <t>SQLP192</t>
        </is>
      </c>
      <c r="H193" s="4" t="inlineStr"/>
      <c r="I193" s="4" t="inlineStr">
        <is>
          <t>Medium</t>
        </is>
      </c>
      <c r="J193" s="5">
        <f>HYPERLINK("https://www.codechef.com/problems/SQLP192", "https://www.codechef.com/problems/SQLP192")</f>
        <v/>
      </c>
      <c r="K193" s="4" t="inlineStr"/>
      <c r="L193" s="4" t="inlineStr"/>
      <c r="M193" s="4" t="inlineStr"/>
      <c r="N193" s="4" t="inlineStr">
        <is>
          <t>No</t>
        </is>
      </c>
      <c r="O193" s="4" t="inlineStr">
        <is>
          <t>Unattempted</t>
        </is>
      </c>
    </row>
    <row r="194">
      <c r="A194" s="2" t="inlineStr">
        <is>
          <t>Other Practice Paths</t>
        </is>
      </c>
      <c r="B194" s="2" t="inlineStr">
        <is>
          <t>Practice R Programming</t>
        </is>
      </c>
      <c r="C194" s="2" t="inlineStr">
        <is>
          <t>Solve Practice problems online with the Practice R path on CodeChef. Write code for over 170 R coding challenges and prepare for interviews.</t>
        </is>
      </c>
      <c r="D194" s="2" t="inlineStr">
        <is>
          <t>Output &amp; Basic math operators - Output / Printing in R</t>
        </is>
      </c>
      <c r="E194" s="2" t="n">
        <v>1</v>
      </c>
      <c r="F194" s="2" t="inlineStr">
        <is>
          <t>Guess the Output</t>
        </is>
      </c>
      <c r="G194" s="2" t="inlineStr">
        <is>
          <t>LPRASPR01</t>
        </is>
      </c>
      <c r="H194" s="2" t="inlineStr"/>
      <c r="I194" s="2" t="inlineStr">
        <is>
          <t>Easy</t>
        </is>
      </c>
      <c r="J194" s="3">
        <f>HYPERLINK("https://www.codechef.com/problems/LPRASPR01", "https://www.codechef.com/problems/LPRASPR01")</f>
        <v/>
      </c>
      <c r="K194" s="2" t="inlineStr"/>
      <c r="L194" s="2" t="inlineStr"/>
      <c r="M194" s="2" t="inlineStr"/>
      <c r="N194" s="2" t="inlineStr">
        <is>
          <t>No</t>
        </is>
      </c>
      <c r="O194" s="2" t="inlineStr">
        <is>
          <t>Unattempted</t>
        </is>
      </c>
    </row>
    <row r="195">
      <c r="A195" s="4" t="inlineStr">
        <is>
          <t>Other Practice Paths</t>
        </is>
      </c>
      <c r="B195" s="4" t="inlineStr">
        <is>
          <t>Practice R Programming</t>
        </is>
      </c>
      <c r="C195" s="4" t="inlineStr">
        <is>
          <t>Solve Practice problems online with the Practice R path on CodeChef. Write code for over 170 R coding challenges and prepare for interviews.</t>
        </is>
      </c>
      <c r="D195" s="4" t="inlineStr">
        <is>
          <t>Output &amp; Basic math operators - Output / Printing in R</t>
        </is>
      </c>
      <c r="E195" s="4" t="n">
        <v>2</v>
      </c>
      <c r="F195" s="4" t="inlineStr">
        <is>
          <t>Print Coding, Chef!</t>
        </is>
      </c>
      <c r="G195" s="4" t="inlineStr">
        <is>
          <t>LPRASPR02</t>
        </is>
      </c>
      <c r="H195" s="4" t="inlineStr"/>
      <c r="I195" s="4" t="inlineStr">
        <is>
          <t>Easy</t>
        </is>
      </c>
      <c r="J195" s="5">
        <f>HYPERLINK("https://www.codechef.com/problems/LPRASPR02", "https://www.codechef.com/problems/LPRASPR02")</f>
        <v/>
      </c>
      <c r="K195" s="4" t="inlineStr"/>
      <c r="L195" s="4" t="inlineStr"/>
      <c r="M195" s="4" t="inlineStr"/>
      <c r="N195" s="4" t="inlineStr">
        <is>
          <t>No</t>
        </is>
      </c>
      <c r="O195" s="4" t="inlineStr">
        <is>
          <t>Unattempted</t>
        </is>
      </c>
    </row>
    <row r="196">
      <c r="A196" s="2" t="inlineStr">
        <is>
          <t>Other Practice Paths</t>
        </is>
      </c>
      <c r="B196" s="2" t="inlineStr">
        <is>
          <t>Practice R Programming</t>
        </is>
      </c>
      <c r="C196" s="2" t="inlineStr">
        <is>
          <t>Solve Practice problems online with the Practice R path on CodeChef. Write code for over 170 R coding challenges and prepare for interviews.</t>
        </is>
      </c>
      <c r="D196" s="2" t="inlineStr">
        <is>
          <t>Output &amp; Basic math operators - Output / Printing in R</t>
        </is>
      </c>
      <c r="E196" s="2" t="n">
        <v>3</v>
      </c>
      <c r="F196" s="2" t="inlineStr">
        <is>
          <t>Identify Correct Syntax</t>
        </is>
      </c>
      <c r="G196" s="2" t="inlineStr">
        <is>
          <t>LPRASPR03</t>
        </is>
      </c>
      <c r="H196" s="2" t="inlineStr"/>
      <c r="I196" s="2" t="inlineStr">
        <is>
          <t>Easy</t>
        </is>
      </c>
      <c r="J196" s="3">
        <f>HYPERLINK("https://www.codechef.com/problems/LPRASPR03", "https://www.codechef.com/problems/LPRASPR03")</f>
        <v/>
      </c>
      <c r="K196" s="2" t="inlineStr"/>
      <c r="L196" s="2" t="inlineStr"/>
      <c r="M196" s="2" t="inlineStr"/>
      <c r="N196" s="2" t="inlineStr">
        <is>
          <t>No</t>
        </is>
      </c>
      <c r="O196" s="2" t="inlineStr">
        <is>
          <t>Unattempted</t>
        </is>
      </c>
    </row>
    <row r="197">
      <c r="A197" s="4" t="inlineStr">
        <is>
          <t>Other Practice Paths</t>
        </is>
      </c>
      <c r="B197" s="4" t="inlineStr">
        <is>
          <t>Practice R Programming</t>
        </is>
      </c>
      <c r="C197" s="4" t="inlineStr">
        <is>
          <t>Solve Practice problems online with the Practice R path on CodeChef. Write code for over 170 R coding challenges and prepare for interviews.</t>
        </is>
      </c>
      <c r="D197" s="4" t="inlineStr">
        <is>
          <t>Output &amp; Basic math operators - Output / Printing in R</t>
        </is>
      </c>
      <c r="E197" s="4" t="n">
        <v>4</v>
      </c>
      <c r="F197" s="4" t="inlineStr">
        <is>
          <t>Print difference of 10 and 3</t>
        </is>
      </c>
      <c r="G197" s="4" t="inlineStr">
        <is>
          <t>LPRASPR04</t>
        </is>
      </c>
      <c r="H197" s="4" t="inlineStr"/>
      <c r="I197" s="4" t="inlineStr">
        <is>
          <t>Easy</t>
        </is>
      </c>
      <c r="J197" s="5">
        <f>HYPERLINK("https://www.codechef.com/problems/LPRASPR04", "https://www.codechef.com/problems/LPRASPR04")</f>
        <v/>
      </c>
      <c r="K197" s="4" t="inlineStr"/>
      <c r="L197" s="4" t="inlineStr"/>
      <c r="M197" s="4" t="inlineStr"/>
      <c r="N197" s="4" t="inlineStr">
        <is>
          <t>No</t>
        </is>
      </c>
      <c r="O197" s="4" t="inlineStr">
        <is>
          <t>Unattempted</t>
        </is>
      </c>
    </row>
    <row r="198">
      <c r="A198" s="2" t="inlineStr">
        <is>
          <t>Other Practice Paths</t>
        </is>
      </c>
      <c r="B198" s="2" t="inlineStr">
        <is>
          <t>Practice R Programming</t>
        </is>
      </c>
      <c r="C198" s="2" t="inlineStr">
        <is>
          <t>Solve Practice problems online with the Practice R path on CodeChef. Write code for over 170 R coding challenges and prepare for interviews.</t>
        </is>
      </c>
      <c r="D198" s="2" t="inlineStr">
        <is>
          <t>Output &amp; Basic math operators - Output / Printing in R</t>
        </is>
      </c>
      <c r="E198" s="2" t="n">
        <v>5</v>
      </c>
      <c r="F198" s="2" t="inlineStr">
        <is>
          <t>Identify Correct Syntax</t>
        </is>
      </c>
      <c r="G198" s="2" t="inlineStr">
        <is>
          <t>LPRASPR05</t>
        </is>
      </c>
      <c r="H198" s="2" t="inlineStr"/>
      <c r="I198" s="2" t="inlineStr">
        <is>
          <t>Easy</t>
        </is>
      </c>
      <c r="J198" s="3">
        <f>HYPERLINK("https://www.codechef.com/problems/LPRASPR05", "https://www.codechef.com/problems/LPRASPR05")</f>
        <v/>
      </c>
      <c r="K198" s="2" t="inlineStr"/>
      <c r="L198" s="2" t="inlineStr"/>
      <c r="M198" s="2" t="inlineStr"/>
      <c r="N198" s="2" t="inlineStr">
        <is>
          <t>No</t>
        </is>
      </c>
      <c r="O198" s="2" t="inlineStr">
        <is>
          <t>Unattempted</t>
        </is>
      </c>
    </row>
    <row r="199">
      <c r="A199" s="4" t="inlineStr">
        <is>
          <t>Other Practice Paths</t>
        </is>
      </c>
      <c r="B199" s="4" t="inlineStr">
        <is>
          <t>Practice R Programming</t>
        </is>
      </c>
      <c r="C199" s="4" t="inlineStr">
        <is>
          <t>Solve Practice problems online with the Practice R path on CodeChef. Write code for over 170 R coding challenges and prepare for interviews.</t>
        </is>
      </c>
      <c r="D199" s="4" t="inlineStr">
        <is>
          <t>Output &amp; Basic math operators - Output / Printing in R</t>
        </is>
      </c>
      <c r="E199" s="4" t="n">
        <v>6</v>
      </c>
      <c r="F199" s="4" t="inlineStr">
        <is>
          <t>Print String num</t>
        </is>
      </c>
      <c r="G199" s="4" t="inlineStr">
        <is>
          <t>LPRASPR06</t>
        </is>
      </c>
      <c r="H199" s="4" t="inlineStr"/>
      <c r="I199" s="4" t="inlineStr">
        <is>
          <t>Easy</t>
        </is>
      </c>
      <c r="J199" s="5">
        <f>HYPERLINK("https://www.codechef.com/problems/LPRASPR06", "https://www.codechef.com/problems/LPRASPR06")</f>
        <v/>
      </c>
      <c r="K199" s="4" t="inlineStr"/>
      <c r="L199" s="4" t="inlineStr"/>
      <c r="M199" s="4" t="inlineStr"/>
      <c r="N199" s="4" t="inlineStr">
        <is>
          <t>No</t>
        </is>
      </c>
      <c r="O199" s="4" t="inlineStr">
        <is>
          <t>Unattempted</t>
        </is>
      </c>
    </row>
    <row r="200">
      <c r="A200" s="2" t="inlineStr">
        <is>
          <t>Other Practice Paths</t>
        </is>
      </c>
      <c r="B200" s="2" t="inlineStr">
        <is>
          <t>Practice R Programming</t>
        </is>
      </c>
      <c r="C200" s="2" t="inlineStr">
        <is>
          <t>Solve Practice problems online with the Practice R path on CodeChef. Write code for over 170 R coding challenges and prepare for interviews.</t>
        </is>
      </c>
      <c r="D200" s="2" t="inlineStr">
        <is>
          <t>Output &amp; Basic math operators - Output / Printing in R</t>
        </is>
      </c>
      <c r="E200" s="2" t="n">
        <v>7</v>
      </c>
      <c r="F200" s="2" t="inlineStr">
        <is>
          <t>Print 6 divided by 2</t>
        </is>
      </c>
      <c r="G200" s="2" t="inlineStr">
        <is>
          <t>LPRASPR07</t>
        </is>
      </c>
      <c r="H200" s="2" t="inlineStr"/>
      <c r="I200" s="2" t="inlineStr">
        <is>
          <t>Easy</t>
        </is>
      </c>
      <c r="J200" s="3">
        <f>HYPERLINK("https://www.codechef.com/problems/LPRASPR07", "https://www.codechef.com/problems/LPRASPR07")</f>
        <v/>
      </c>
      <c r="K200" s="2" t="inlineStr"/>
      <c r="L200" s="2" t="inlineStr"/>
      <c r="M200" s="2" t="inlineStr"/>
      <c r="N200" s="2" t="inlineStr">
        <is>
          <t>No</t>
        </is>
      </c>
      <c r="O200" s="2" t="inlineStr">
        <is>
          <t>Unattempted</t>
        </is>
      </c>
    </row>
    <row r="201">
      <c r="A201" s="4" t="inlineStr">
        <is>
          <t>Other Practice Paths</t>
        </is>
      </c>
      <c r="B201" s="4" t="inlineStr">
        <is>
          <t>Practice R Programming</t>
        </is>
      </c>
      <c r="C201" s="4" t="inlineStr">
        <is>
          <t>Solve Practice problems online with the Practice R path on CodeChef. Write code for over 170 R coding challenges and prepare for interviews.</t>
        </is>
      </c>
      <c r="D201" s="4" t="inlineStr">
        <is>
          <t>Output &amp; Basic math operators - Output / Printing in R</t>
        </is>
      </c>
      <c r="E201" s="4" t="n">
        <v>8</v>
      </c>
      <c r="F201" s="4" t="inlineStr">
        <is>
          <t>Identify Runtime Error</t>
        </is>
      </c>
      <c r="G201" s="4" t="inlineStr">
        <is>
          <t>LPRASPR08</t>
        </is>
      </c>
      <c r="H201" s="4" t="inlineStr"/>
      <c r="I201" s="4" t="inlineStr">
        <is>
          <t>Easy</t>
        </is>
      </c>
      <c r="J201" s="5">
        <f>HYPERLINK("https://www.codechef.com/problems/LPRASPR08", "https://www.codechef.com/problems/LPRASPR08")</f>
        <v/>
      </c>
      <c r="K201" s="4" t="inlineStr"/>
      <c r="L201" s="4" t="inlineStr"/>
      <c r="M201" s="4" t="inlineStr"/>
      <c r="N201" s="4" t="inlineStr">
        <is>
          <t>No</t>
        </is>
      </c>
      <c r="O201" s="4" t="inlineStr">
        <is>
          <t>Unattempted</t>
        </is>
      </c>
    </row>
    <row r="202">
      <c r="A202" s="2" t="inlineStr">
        <is>
          <t>Other Practice Paths</t>
        </is>
      </c>
      <c r="B202" s="2" t="inlineStr">
        <is>
          <t>Practice R Programming</t>
        </is>
      </c>
      <c r="C202" s="2" t="inlineStr">
        <is>
          <t>Solve Practice problems online with the Practice R path on CodeChef. Write code for over 170 R coding challenges and prepare for interviews.</t>
        </is>
      </c>
      <c r="D202" s="2" t="inlineStr">
        <is>
          <t>Output &amp; Basic math operators - Output / Printing in R</t>
        </is>
      </c>
      <c r="E202" s="2" t="n">
        <v>9</v>
      </c>
      <c r="F202" s="2" t="inlineStr">
        <is>
          <t>Print 108 using 9 and 12</t>
        </is>
      </c>
      <c r="G202" s="2" t="inlineStr">
        <is>
          <t>LPRASPR09</t>
        </is>
      </c>
      <c r="H202" s="2" t="inlineStr"/>
      <c r="I202" s="2" t="inlineStr">
        <is>
          <t>Easy</t>
        </is>
      </c>
      <c r="J202" s="3">
        <f>HYPERLINK("https://www.codechef.com/problems/LPRASPR09", "https://www.codechef.com/problems/LPRASPR09")</f>
        <v/>
      </c>
      <c r="K202" s="2" t="inlineStr"/>
      <c r="L202" s="2" t="inlineStr"/>
      <c r="M202" s="2" t="inlineStr"/>
      <c r="N202" s="2" t="inlineStr">
        <is>
          <t>No</t>
        </is>
      </c>
      <c r="O202" s="2" t="inlineStr">
        <is>
          <t>Unattempted</t>
        </is>
      </c>
    </row>
    <row r="203">
      <c r="A203" s="4" t="inlineStr">
        <is>
          <t>Other Practice Paths</t>
        </is>
      </c>
      <c r="B203" s="4" t="inlineStr">
        <is>
          <t>Practice R Programming</t>
        </is>
      </c>
      <c r="C203" s="4" t="inlineStr">
        <is>
          <t>Solve Practice problems online with the Practice R path on CodeChef. Write code for over 170 R coding challenges and prepare for interviews.</t>
        </is>
      </c>
      <c r="D203" s="4" t="inlineStr">
        <is>
          <t>Output &amp; Basic math operators - Output / Printing in R</t>
        </is>
      </c>
      <c r="E203" s="4" t="n">
        <v>10</v>
      </c>
      <c r="F203" s="4" t="inlineStr">
        <is>
          <t>Print Learn Coding on CodeChef</t>
        </is>
      </c>
      <c r="G203" s="4" t="inlineStr">
        <is>
          <t>LPRASPR10</t>
        </is>
      </c>
      <c r="H203" s="4" t="inlineStr"/>
      <c r="I203" s="4" t="inlineStr">
        <is>
          <t>Easy</t>
        </is>
      </c>
      <c r="J203" s="5">
        <f>HYPERLINK("https://www.codechef.com/problems/LPRASPR10", "https://www.codechef.com/problems/LPRASPR10")</f>
        <v/>
      </c>
      <c r="K203" s="4" t="inlineStr"/>
      <c r="L203" s="4" t="inlineStr"/>
      <c r="M203" s="4" t="inlineStr"/>
      <c r="N203" s="4" t="inlineStr">
        <is>
          <t>No</t>
        </is>
      </c>
      <c r="O203" s="4" t="inlineStr">
        <is>
          <t>Unattempted</t>
        </is>
      </c>
    </row>
    <row r="204">
      <c r="A204" s="2" t="inlineStr">
        <is>
          <t>Other Practice Paths</t>
        </is>
      </c>
      <c r="B204" s="2" t="inlineStr">
        <is>
          <t>Practice R Programming</t>
        </is>
      </c>
      <c r="C204" s="2" t="inlineStr">
        <is>
          <t>Solve Practice problems online with the Practice R path on CodeChef. Write code for over 170 R coding challenges and prepare for interviews.</t>
        </is>
      </c>
      <c r="D204" s="2" t="inlineStr">
        <is>
          <t>Output &amp; Basic math operators - Printing on multiple lines + Multiple prints using single command</t>
        </is>
      </c>
      <c r="E204" s="2" t="n">
        <v>11</v>
      </c>
      <c r="F204" s="2" t="inlineStr">
        <is>
          <t>Guess the Output</t>
        </is>
      </c>
      <c r="G204" s="2" t="inlineStr">
        <is>
          <t>LPRASPR11</t>
        </is>
      </c>
      <c r="H204" s="2" t="inlineStr"/>
      <c r="I204" s="2" t="inlineStr">
        <is>
          <t>Easy</t>
        </is>
      </c>
      <c r="J204" s="3">
        <f>HYPERLINK("https://www.codechef.com/problems/LPRASPR11", "https://www.codechef.com/problems/LPRASPR11")</f>
        <v/>
      </c>
      <c r="K204" s="2" t="inlineStr"/>
      <c r="L204" s="2" t="inlineStr"/>
      <c r="M204" s="2" t="inlineStr"/>
      <c r="N204" s="2" t="inlineStr">
        <is>
          <t>No</t>
        </is>
      </c>
      <c r="O204" s="2" t="inlineStr">
        <is>
          <t>Unattempted</t>
        </is>
      </c>
    </row>
    <row r="205">
      <c r="A205" s="4" t="inlineStr">
        <is>
          <t>Other Practice Paths</t>
        </is>
      </c>
      <c r="B205" s="4" t="inlineStr">
        <is>
          <t>Practice R Programming</t>
        </is>
      </c>
      <c r="C205" s="4" t="inlineStr">
        <is>
          <t>Solve Practice problems online with the Practice R path on CodeChef. Write code for over 170 R coding challenges and prepare for interviews.</t>
        </is>
      </c>
      <c r="D205" s="4" t="inlineStr">
        <is>
          <t>Output &amp; Basic math operators - Printing on multiple lines + Multiple prints using single command</t>
        </is>
      </c>
      <c r="E205" s="4" t="n">
        <v>12</v>
      </c>
      <c r="F205" s="4" t="inlineStr">
        <is>
          <t>Print 5 5</t>
        </is>
      </c>
      <c r="G205" s="4" t="inlineStr">
        <is>
          <t>LPRASPR12</t>
        </is>
      </c>
      <c r="H205" s="4" t="inlineStr"/>
      <c r="I205" s="4" t="inlineStr">
        <is>
          <t>Easy</t>
        </is>
      </c>
      <c r="J205" s="5">
        <f>HYPERLINK("https://www.codechef.com/problems/LPRASPR12", "https://www.codechef.com/problems/LPRASPR12")</f>
        <v/>
      </c>
      <c r="K205" s="4" t="inlineStr"/>
      <c r="L205" s="4" t="inlineStr"/>
      <c r="M205" s="4" t="inlineStr"/>
      <c r="N205" s="4" t="inlineStr">
        <is>
          <t>No</t>
        </is>
      </c>
      <c r="O205" s="4" t="inlineStr">
        <is>
          <t>Unattempted</t>
        </is>
      </c>
    </row>
    <row r="206">
      <c r="A206" s="2" t="inlineStr">
        <is>
          <t>Other Practice Paths</t>
        </is>
      </c>
      <c r="B206" s="2" t="inlineStr">
        <is>
          <t>Practice R Programming</t>
        </is>
      </c>
      <c r="C206" s="2" t="inlineStr">
        <is>
          <t>Solve Practice problems online with the Practice R path on CodeChef. Write code for over 170 R coding challenges and prepare for interviews.</t>
        </is>
      </c>
      <c r="D206" s="2" t="inlineStr">
        <is>
          <t>Output &amp; Basic math operators - Printing on multiple lines + Multiple prints using single command</t>
        </is>
      </c>
      <c r="E206" s="2" t="n">
        <v>13</v>
      </c>
      <c r="F206" s="2" t="inlineStr">
        <is>
          <t>Guess the Output</t>
        </is>
      </c>
      <c r="G206" s="2" t="inlineStr">
        <is>
          <t>LPRASPR13</t>
        </is>
      </c>
      <c r="H206" s="2" t="inlineStr"/>
      <c r="I206" s="2" t="inlineStr">
        <is>
          <t>Easy</t>
        </is>
      </c>
      <c r="J206" s="3">
        <f>HYPERLINK("https://www.codechef.com/problems/LPRASPR13", "https://www.codechef.com/problems/LPRASPR13")</f>
        <v/>
      </c>
      <c r="K206" s="2" t="inlineStr"/>
      <c r="L206" s="2" t="inlineStr"/>
      <c r="M206" s="2" t="inlineStr"/>
      <c r="N206" s="2" t="inlineStr">
        <is>
          <t>No</t>
        </is>
      </c>
      <c r="O206" s="2" t="inlineStr">
        <is>
          <t>Unattempted</t>
        </is>
      </c>
    </row>
    <row r="207">
      <c r="A207" s="4" t="inlineStr">
        <is>
          <t>Other Practice Paths</t>
        </is>
      </c>
      <c r="B207" s="4" t="inlineStr">
        <is>
          <t>Practice R Programming</t>
        </is>
      </c>
      <c r="C207" s="4" t="inlineStr">
        <is>
          <t>Solve Practice problems online with the Practice R path on CodeChef. Write code for over 170 R coding challenges and prepare for interviews.</t>
        </is>
      </c>
      <c r="D207" s="4" t="inlineStr">
        <is>
          <t>Output &amp; Basic math operators - Printing on multiple lines + Multiple prints using single command</t>
        </is>
      </c>
      <c r="E207" s="4" t="n">
        <v>14</v>
      </c>
      <c r="F207" s="4" t="inlineStr">
        <is>
          <t>Role of Arrow</t>
        </is>
      </c>
      <c r="G207" s="4" t="inlineStr">
        <is>
          <t>LPRASPR14</t>
        </is>
      </c>
      <c r="H207" s="4" t="inlineStr"/>
      <c r="I207" s="4" t="inlineStr">
        <is>
          <t>Easy</t>
        </is>
      </c>
      <c r="J207" s="5">
        <f>HYPERLINK("https://www.codechef.com/problems/LPRASPR14", "https://www.codechef.com/problems/LPRASPR14")</f>
        <v/>
      </c>
      <c r="K207" s="4" t="inlineStr"/>
      <c r="L207" s="4" t="inlineStr"/>
      <c r="M207" s="4" t="inlineStr"/>
      <c r="N207" s="4" t="inlineStr">
        <is>
          <t>No</t>
        </is>
      </c>
      <c r="O207" s="4" t="inlineStr">
        <is>
          <t>Unattempted</t>
        </is>
      </c>
    </row>
    <row r="208">
      <c r="A208" s="2" t="inlineStr">
        <is>
          <t>Other Practice Paths</t>
        </is>
      </c>
      <c r="B208" s="2" t="inlineStr">
        <is>
          <t>Practice R Programming</t>
        </is>
      </c>
      <c r="C208" s="2" t="inlineStr">
        <is>
          <t>Solve Practice problems online with the Practice R path on CodeChef. Write code for over 170 R coding challenges and prepare for interviews.</t>
        </is>
      </c>
      <c r="D208" s="2" t="inlineStr">
        <is>
          <t>Output &amp; Basic math operators - Printing on multiple lines + Multiple prints using single command</t>
        </is>
      </c>
      <c r="E208" s="2" t="n">
        <v>15</v>
      </c>
      <c r="F208" s="2" t="inlineStr">
        <is>
          <t>Print R Programming</t>
        </is>
      </c>
      <c r="G208" s="2" t="inlineStr">
        <is>
          <t>LPRASPR15</t>
        </is>
      </c>
      <c r="H208" s="2" t="inlineStr"/>
      <c r="I208" s="2" t="inlineStr">
        <is>
          <t>Easy</t>
        </is>
      </c>
      <c r="J208" s="3">
        <f>HYPERLINK("https://www.codechef.com/problems/LPRASPR15", "https://www.codechef.com/problems/LPRASPR15")</f>
        <v/>
      </c>
      <c r="K208" s="2" t="inlineStr"/>
      <c r="L208" s="2" t="inlineStr"/>
      <c r="M208" s="2" t="inlineStr"/>
      <c r="N208" s="2" t="inlineStr">
        <is>
          <t>No</t>
        </is>
      </c>
      <c r="O208" s="2" t="inlineStr">
        <is>
          <t>Unattempted</t>
        </is>
      </c>
    </row>
    <row r="209">
      <c r="A209" s="4" t="inlineStr">
        <is>
          <t>Other Practice Paths</t>
        </is>
      </c>
      <c r="B209" s="4" t="inlineStr">
        <is>
          <t>Practice R Programming</t>
        </is>
      </c>
      <c r="C209" s="4" t="inlineStr">
        <is>
          <t>Solve Practice problems online with the Practice R path on CodeChef. Write code for over 170 R coding challenges and prepare for interviews.</t>
        </is>
      </c>
      <c r="D209" s="4" t="inlineStr">
        <is>
          <t>Output &amp; Basic math operators - Printing on multiple lines + Multiple prints using single command</t>
        </is>
      </c>
      <c r="E209" s="4" t="n">
        <v>16</v>
      </c>
      <c r="F209" s="4" t="inlineStr">
        <is>
          <t>Guess the Output</t>
        </is>
      </c>
      <c r="G209" s="4" t="inlineStr">
        <is>
          <t>LPRASPR16</t>
        </is>
      </c>
      <c r="H209" s="4" t="inlineStr"/>
      <c r="I209" s="4" t="inlineStr">
        <is>
          <t>Easy</t>
        </is>
      </c>
      <c r="J209" s="5">
        <f>HYPERLINK("https://www.codechef.com/problems/LPRASPR16", "https://www.codechef.com/problems/LPRASPR16")</f>
        <v/>
      </c>
      <c r="K209" s="4" t="inlineStr"/>
      <c r="L209" s="4" t="inlineStr"/>
      <c r="M209" s="4" t="inlineStr"/>
      <c r="N209" s="4" t="inlineStr">
        <is>
          <t>No</t>
        </is>
      </c>
      <c r="O209" s="4" t="inlineStr">
        <is>
          <t>Unattempted</t>
        </is>
      </c>
    </row>
    <row r="210">
      <c r="A210" s="2" t="inlineStr">
        <is>
          <t>Other Practice Paths</t>
        </is>
      </c>
      <c r="B210" s="2" t="inlineStr">
        <is>
          <t>Practice R Programming</t>
        </is>
      </c>
      <c r="C210" s="2" t="inlineStr">
        <is>
          <t>Solve Practice problems online with the Practice R path on CodeChef. Write code for over 170 R coding challenges and prepare for interviews.</t>
        </is>
      </c>
      <c r="D210" s="2" t="inlineStr">
        <is>
          <t>Output &amp; Basic math operators - Printing on multiple lines + Multiple prints using single command</t>
        </is>
      </c>
      <c r="E210" s="2" t="n">
        <v>17</v>
      </c>
      <c r="F210" s="2" t="inlineStr">
        <is>
          <t>Guess the Output</t>
        </is>
      </c>
      <c r="G210" s="2" t="inlineStr">
        <is>
          <t>LPRASPR17</t>
        </is>
      </c>
      <c r="H210" s="2" t="inlineStr"/>
      <c r="I210" s="2" t="inlineStr">
        <is>
          <t>Easy</t>
        </is>
      </c>
      <c r="J210" s="3">
        <f>HYPERLINK("https://www.codechef.com/problems/LPRASPR17", "https://www.codechef.com/problems/LPRASPR17")</f>
        <v/>
      </c>
      <c r="K210" s="2" t="inlineStr"/>
      <c r="L210" s="2" t="inlineStr"/>
      <c r="M210" s="2" t="inlineStr"/>
      <c r="N210" s="2" t="inlineStr">
        <is>
          <t>No</t>
        </is>
      </c>
      <c r="O210" s="2" t="inlineStr">
        <is>
          <t>Unattempted</t>
        </is>
      </c>
    </row>
    <row r="211">
      <c r="A211" s="4" t="inlineStr">
        <is>
          <t>Other Practice Paths</t>
        </is>
      </c>
      <c r="B211" s="4" t="inlineStr">
        <is>
          <t>Practice R Programming</t>
        </is>
      </c>
      <c r="C211" s="4" t="inlineStr">
        <is>
          <t>Solve Practice problems online with the Practice R path on CodeChef. Write code for over 170 R coding challenges and prepare for interviews.</t>
        </is>
      </c>
      <c r="D211" s="4" t="inlineStr">
        <is>
          <t>Output &amp; Basic math operators - Printing on multiple lines + Multiple prints using single command</t>
        </is>
      </c>
      <c r="E211" s="4" t="n">
        <v>18</v>
      </c>
      <c r="F211" s="4" t="inlineStr">
        <is>
          <t>Print 1 to 5</t>
        </is>
      </c>
      <c r="G211" s="4" t="inlineStr">
        <is>
          <t>LPRASPR18</t>
        </is>
      </c>
      <c r="H211" s="4" t="inlineStr"/>
      <c r="I211" s="4" t="inlineStr">
        <is>
          <t>Easy</t>
        </is>
      </c>
      <c r="J211" s="5">
        <f>HYPERLINK("https://www.codechef.com/problems/LPRASPR18", "https://www.codechef.com/problems/LPRASPR18")</f>
        <v/>
      </c>
      <c r="K211" s="4" t="inlineStr"/>
      <c r="L211" s="4" t="inlineStr"/>
      <c r="M211" s="4" t="inlineStr"/>
      <c r="N211" s="4" t="inlineStr">
        <is>
          <t>No</t>
        </is>
      </c>
      <c r="O211" s="4" t="inlineStr">
        <is>
          <t>Unattempted</t>
        </is>
      </c>
    </row>
    <row r="212">
      <c r="A212" s="2" t="inlineStr">
        <is>
          <t>Other Practice Paths</t>
        </is>
      </c>
      <c r="B212" s="2" t="inlineStr">
        <is>
          <t>Practice R Programming</t>
        </is>
      </c>
      <c r="C212" s="2" t="inlineStr">
        <is>
          <t>Solve Practice problems online with the Practice R path on CodeChef. Write code for over 170 R coding challenges and prepare for interviews.</t>
        </is>
      </c>
      <c r="D212" s="2" t="inlineStr">
        <is>
          <t>Output &amp; Basic math operators - Printing on multiple lines + Multiple prints using single command</t>
        </is>
      </c>
      <c r="E212" s="2" t="n">
        <v>19</v>
      </c>
      <c r="F212" s="2" t="inlineStr">
        <is>
          <t>Guess the Output</t>
        </is>
      </c>
      <c r="G212" s="2" t="inlineStr">
        <is>
          <t>LPRASPR19</t>
        </is>
      </c>
      <c r="H212" s="2" t="inlineStr"/>
      <c r="I212" s="2" t="inlineStr">
        <is>
          <t>Easy</t>
        </is>
      </c>
      <c r="J212" s="3">
        <f>HYPERLINK("https://www.codechef.com/problems/LPRASPR19", "https://www.codechef.com/problems/LPRASPR19")</f>
        <v/>
      </c>
      <c r="K212" s="2" t="inlineStr"/>
      <c r="L212" s="2" t="inlineStr"/>
      <c r="M212" s="2" t="inlineStr"/>
      <c r="N212" s="2" t="inlineStr">
        <is>
          <t>No</t>
        </is>
      </c>
      <c r="O212" s="2" t="inlineStr">
        <is>
          <t>Unattempted</t>
        </is>
      </c>
    </row>
    <row r="213">
      <c r="A213" s="4" t="inlineStr">
        <is>
          <t>Other Practice Paths</t>
        </is>
      </c>
      <c r="B213" s="4" t="inlineStr">
        <is>
          <t>Practice R Programming</t>
        </is>
      </c>
      <c r="C213" s="4" t="inlineStr">
        <is>
          <t>Solve Practice problems online with the Practice R path on CodeChef. Write code for over 170 R coding challenges and prepare for interviews.</t>
        </is>
      </c>
      <c r="D213" s="4" t="inlineStr">
        <is>
          <t>Output &amp; Basic math operators - Printing on multiple lines + Multiple prints using single command</t>
        </is>
      </c>
      <c r="E213" s="4" t="n">
        <v>20</v>
      </c>
      <c r="F213" s="4" t="inlineStr">
        <is>
          <t>Print Squares</t>
        </is>
      </c>
      <c r="G213" s="4" t="inlineStr">
        <is>
          <t>LPRASPR20</t>
        </is>
      </c>
      <c r="H213" s="4" t="inlineStr"/>
      <c r="I213" s="4" t="inlineStr">
        <is>
          <t>Easy</t>
        </is>
      </c>
      <c r="J213" s="5">
        <f>HYPERLINK("https://www.codechef.com/problems/LPRASPR20", "https://www.codechef.com/problems/LPRASPR20")</f>
        <v/>
      </c>
      <c r="K213" s="4" t="inlineStr"/>
      <c r="L213" s="4" t="inlineStr"/>
      <c r="M213" s="4" t="inlineStr"/>
      <c r="N213" s="4" t="inlineStr">
        <is>
          <t>No</t>
        </is>
      </c>
      <c r="O213" s="4" t="inlineStr">
        <is>
          <t>Unattempted</t>
        </is>
      </c>
    </row>
    <row r="214">
      <c r="A214" s="2" t="inlineStr">
        <is>
          <t>Other Practice Paths</t>
        </is>
      </c>
      <c r="B214" s="2" t="inlineStr">
        <is>
          <t>Practice R Programming</t>
        </is>
      </c>
      <c r="C214" s="2" t="inlineStr">
        <is>
          <t>Solve Practice problems online with the Practice R path on CodeChef. Write code for over 170 R coding challenges and prepare for interviews.</t>
        </is>
      </c>
      <c r="D214" s="2" t="inlineStr">
        <is>
          <t>Output &amp; Basic math operators - Printing on multiple lines + Multiple prints using single command</t>
        </is>
      </c>
      <c r="E214" s="2" t="n">
        <v>21</v>
      </c>
      <c r="F214" s="2" t="inlineStr">
        <is>
          <t>Print all the arithematic operations</t>
        </is>
      </c>
      <c r="G214" s="2" t="inlineStr">
        <is>
          <t>LPRASPR21</t>
        </is>
      </c>
      <c r="H214" s="2" t="inlineStr"/>
      <c r="I214" s="2" t="inlineStr">
        <is>
          <t>Easy</t>
        </is>
      </c>
      <c r="J214" s="3">
        <f>HYPERLINK("https://www.codechef.com/problems/LPRASPR21", "https://www.codechef.com/problems/LPRASPR21")</f>
        <v/>
      </c>
      <c r="K214" s="2" t="inlineStr"/>
      <c r="L214" s="2" t="inlineStr"/>
      <c r="M214" s="2" t="inlineStr"/>
      <c r="N214" s="2" t="inlineStr">
        <is>
          <t>No</t>
        </is>
      </c>
      <c r="O214" s="2" t="inlineStr">
        <is>
          <t>Unattempted</t>
        </is>
      </c>
    </row>
    <row r="215">
      <c r="A215" s="4" t="inlineStr">
        <is>
          <t>Other Practice Paths</t>
        </is>
      </c>
      <c r="B215" s="4" t="inlineStr">
        <is>
          <t>Practice R Programming</t>
        </is>
      </c>
      <c r="C215" s="4" t="inlineStr">
        <is>
          <t>Solve Practice problems online with the Practice R path on CodeChef. Write code for over 170 R coding challenges and prepare for interviews.</t>
        </is>
      </c>
      <c r="D215" s="4" t="inlineStr">
        <is>
          <t>Variables and Datatypes - Variables and Datatypes</t>
        </is>
      </c>
      <c r="E215" s="4" t="n">
        <v>22</v>
      </c>
      <c r="F215" s="4" t="inlineStr">
        <is>
          <t>Guess the Output</t>
        </is>
      </c>
      <c r="G215" s="4" t="inlineStr">
        <is>
          <t>LPRASPR22</t>
        </is>
      </c>
      <c r="H215" s="4" t="inlineStr"/>
      <c r="I215" s="4" t="inlineStr">
        <is>
          <t>Easy</t>
        </is>
      </c>
      <c r="J215" s="5">
        <f>HYPERLINK("https://www.codechef.com/problems/LPRASPR22", "https://www.codechef.com/problems/LPRASPR22")</f>
        <v/>
      </c>
      <c r="K215" s="4" t="inlineStr"/>
      <c r="L215" s="4" t="inlineStr"/>
      <c r="M215" s="4" t="inlineStr"/>
      <c r="N215" s="4" t="inlineStr">
        <is>
          <t>No</t>
        </is>
      </c>
      <c r="O215" s="4" t="inlineStr">
        <is>
          <t>Unattempted</t>
        </is>
      </c>
    </row>
    <row r="216">
      <c r="A216" s="2" t="inlineStr">
        <is>
          <t>Other Practice Paths</t>
        </is>
      </c>
      <c r="B216" s="2" t="inlineStr">
        <is>
          <t>Practice R Programming</t>
        </is>
      </c>
      <c r="C216" s="2" t="inlineStr">
        <is>
          <t>Solve Practice problems online with the Practice R path on CodeChef. Write code for over 170 R coding challenges and prepare for interviews.</t>
        </is>
      </c>
      <c r="D216" s="2" t="inlineStr">
        <is>
          <t>Variables and Datatypes - Variables and Datatypes</t>
        </is>
      </c>
      <c r="E216" s="2" t="n">
        <v>23</v>
      </c>
      <c r="F216" s="2" t="inlineStr">
        <is>
          <t>Identify incorrect syntax</t>
        </is>
      </c>
      <c r="G216" s="2" t="inlineStr">
        <is>
          <t>LPRASPR23</t>
        </is>
      </c>
      <c r="H216" s="2" t="inlineStr"/>
      <c r="I216" s="2" t="inlineStr">
        <is>
          <t>Easy</t>
        </is>
      </c>
      <c r="J216" s="3">
        <f>HYPERLINK("https://www.codechef.com/problems/LPRASPR23", "https://www.codechef.com/problems/LPRASPR23")</f>
        <v/>
      </c>
      <c r="K216" s="2" t="inlineStr"/>
      <c r="L216" s="2" t="inlineStr"/>
      <c r="M216" s="2" t="inlineStr"/>
      <c r="N216" s="2" t="inlineStr">
        <is>
          <t>No</t>
        </is>
      </c>
      <c r="O216" s="2" t="inlineStr">
        <is>
          <t>Unattempted</t>
        </is>
      </c>
    </row>
    <row r="217">
      <c r="A217" s="4" t="inlineStr">
        <is>
          <t>Other Practice Paths</t>
        </is>
      </c>
      <c r="B217" s="4" t="inlineStr">
        <is>
          <t>Practice R Programming</t>
        </is>
      </c>
      <c r="C217" s="4" t="inlineStr">
        <is>
          <t>Solve Practice problems online with the Practice R path on CodeChef. Write code for over 170 R coding challenges and prepare for interviews.</t>
        </is>
      </c>
      <c r="D217" s="4" t="inlineStr">
        <is>
          <t>Variables and Datatypes - Variables and Datatypes</t>
        </is>
      </c>
      <c r="E217" s="4" t="n">
        <v>24</v>
      </c>
      <c r="F217" s="4" t="inlineStr">
        <is>
          <t>Guess the Output</t>
        </is>
      </c>
      <c r="G217" s="4" t="inlineStr">
        <is>
          <t>LPRASPR24</t>
        </is>
      </c>
      <c r="H217" s="4" t="inlineStr"/>
      <c r="I217" s="4" t="inlineStr">
        <is>
          <t>Easy</t>
        </is>
      </c>
      <c r="J217" s="5">
        <f>HYPERLINK("https://www.codechef.com/problems/LPRASPR24", "https://www.codechef.com/problems/LPRASPR24")</f>
        <v/>
      </c>
      <c r="K217" s="4" t="inlineStr"/>
      <c r="L217" s="4" t="inlineStr"/>
      <c r="M217" s="4" t="inlineStr"/>
      <c r="N217" s="4" t="inlineStr">
        <is>
          <t>No</t>
        </is>
      </c>
      <c r="O217" s="4" t="inlineStr">
        <is>
          <t>Unattempted</t>
        </is>
      </c>
    </row>
    <row r="218">
      <c r="A218" s="2" t="inlineStr">
        <is>
          <t>Other Practice Paths</t>
        </is>
      </c>
      <c r="B218" s="2" t="inlineStr">
        <is>
          <t>Practice R Programming</t>
        </is>
      </c>
      <c r="C218" s="2" t="inlineStr">
        <is>
          <t>Solve Practice problems online with the Practice R path on CodeChef. Write code for over 170 R coding challenges and prepare for interviews.</t>
        </is>
      </c>
      <c r="D218" s="2" t="inlineStr">
        <is>
          <t>Variables and Datatypes - Variables and Datatypes</t>
        </is>
      </c>
      <c r="E218" s="2" t="n">
        <v>25</v>
      </c>
      <c r="F218" s="2" t="inlineStr">
        <is>
          <t>Identify Incorrect Syntax</t>
        </is>
      </c>
      <c r="G218" s="2" t="inlineStr">
        <is>
          <t>LPRASPR25</t>
        </is>
      </c>
      <c r="H218" s="2" t="inlineStr"/>
      <c r="I218" s="2" t="inlineStr">
        <is>
          <t>Easy</t>
        </is>
      </c>
      <c r="J218" s="3">
        <f>HYPERLINK("https://www.codechef.com/problems/LPRASPR25", "https://www.codechef.com/problems/LPRASPR25")</f>
        <v/>
      </c>
      <c r="K218" s="2" t="inlineStr"/>
      <c r="L218" s="2" t="inlineStr"/>
      <c r="M218" s="2" t="inlineStr"/>
      <c r="N218" s="2" t="inlineStr">
        <is>
          <t>No</t>
        </is>
      </c>
      <c r="O218" s="2" t="inlineStr">
        <is>
          <t>Unattempted</t>
        </is>
      </c>
    </row>
    <row r="219">
      <c r="A219" s="4" t="inlineStr">
        <is>
          <t>Other Practice Paths</t>
        </is>
      </c>
      <c r="B219" s="4" t="inlineStr">
        <is>
          <t>Practice R Programming</t>
        </is>
      </c>
      <c r="C219" s="4" t="inlineStr">
        <is>
          <t>Solve Practice problems online with the Practice R path on CodeChef. Write code for over 170 R coding challenges and prepare for interviews.</t>
        </is>
      </c>
      <c r="D219" s="4" t="inlineStr">
        <is>
          <t>Variables and Datatypes - Variables and Datatypes</t>
        </is>
      </c>
      <c r="E219" s="4" t="n">
        <v>26</v>
      </c>
      <c r="F219" s="4" t="inlineStr">
        <is>
          <t>Guess the Output</t>
        </is>
      </c>
      <c r="G219" s="4" t="inlineStr">
        <is>
          <t>LPRASPR26</t>
        </is>
      </c>
      <c r="H219" s="4" t="inlineStr"/>
      <c r="I219" s="4" t="inlineStr">
        <is>
          <t>Easy</t>
        </is>
      </c>
      <c r="J219" s="5">
        <f>HYPERLINK("https://www.codechef.com/problems/LPRASPR26", "https://www.codechef.com/problems/LPRASPR26")</f>
        <v/>
      </c>
      <c r="K219" s="4" t="inlineStr"/>
      <c r="L219" s="4" t="inlineStr"/>
      <c r="M219" s="4" t="inlineStr"/>
      <c r="N219" s="4" t="inlineStr">
        <is>
          <t>No</t>
        </is>
      </c>
      <c r="O219" s="4" t="inlineStr">
        <is>
          <t>Unattempted</t>
        </is>
      </c>
    </row>
    <row r="220">
      <c r="A220" s="2" t="inlineStr">
        <is>
          <t>Other Practice Paths</t>
        </is>
      </c>
      <c r="B220" s="2" t="inlineStr">
        <is>
          <t>Practice R Programming</t>
        </is>
      </c>
      <c r="C220" s="2" t="inlineStr">
        <is>
          <t>Solve Practice problems online with the Practice R path on CodeChef. Write code for over 170 R coding challenges and prepare for interviews.</t>
        </is>
      </c>
      <c r="D220" s="2" t="inlineStr">
        <is>
          <t>Variables and Datatypes - Variables and Datatypes</t>
        </is>
      </c>
      <c r="E220" s="2" t="n">
        <v>27</v>
      </c>
      <c r="F220" s="2" t="inlineStr">
        <is>
          <t>Boolean in R</t>
        </is>
      </c>
      <c r="G220" s="2" t="inlineStr">
        <is>
          <t>LPRASPR27</t>
        </is>
      </c>
      <c r="H220" s="2" t="inlineStr"/>
      <c r="I220" s="2" t="inlineStr">
        <is>
          <t>Easy</t>
        </is>
      </c>
      <c r="J220" s="3">
        <f>HYPERLINK("https://www.codechef.com/problems/LPRASPR27", "https://www.codechef.com/problems/LPRASPR27")</f>
        <v/>
      </c>
      <c r="K220" s="2" t="inlineStr"/>
      <c r="L220" s="2" t="inlineStr"/>
      <c r="M220" s="2" t="inlineStr"/>
      <c r="N220" s="2" t="inlineStr">
        <is>
          <t>No</t>
        </is>
      </c>
      <c r="O220" s="2" t="inlineStr">
        <is>
          <t>Unattempted</t>
        </is>
      </c>
    </row>
    <row r="221">
      <c r="A221" s="4" t="inlineStr">
        <is>
          <t>Other Practice Paths</t>
        </is>
      </c>
      <c r="B221" s="4" t="inlineStr">
        <is>
          <t>Practice R Programming</t>
        </is>
      </c>
      <c r="C221" s="4" t="inlineStr">
        <is>
          <t>Solve Practice problems online with the Practice R path on CodeChef. Write code for over 170 R coding challenges and prepare for interviews.</t>
        </is>
      </c>
      <c r="D221" s="4" t="inlineStr">
        <is>
          <t>Variables and Datatypes - Variables and Datatypes</t>
        </is>
      </c>
      <c r="E221" s="4" t="n">
        <v>28</v>
      </c>
      <c r="F221" s="4" t="inlineStr">
        <is>
          <t>Guess the Output</t>
        </is>
      </c>
      <c r="G221" s="4" t="inlineStr">
        <is>
          <t>LPRASPR28</t>
        </is>
      </c>
      <c r="H221" s="4" t="inlineStr"/>
      <c r="I221" s="4" t="inlineStr">
        <is>
          <t>Easy</t>
        </is>
      </c>
      <c r="J221" s="5">
        <f>HYPERLINK("https://www.codechef.com/problems/LPRASPR28", "https://www.codechef.com/problems/LPRASPR28")</f>
        <v/>
      </c>
      <c r="K221" s="4" t="inlineStr"/>
      <c r="L221" s="4" t="inlineStr"/>
      <c r="M221" s="4" t="inlineStr"/>
      <c r="N221" s="4" t="inlineStr">
        <is>
          <t>No</t>
        </is>
      </c>
      <c r="O221" s="4" t="inlineStr">
        <is>
          <t>Unattempted</t>
        </is>
      </c>
    </row>
    <row r="222">
      <c r="A222" s="2" t="inlineStr">
        <is>
          <t>Other Practice Paths</t>
        </is>
      </c>
      <c r="B222" s="2" t="inlineStr">
        <is>
          <t>Practice R Programming</t>
        </is>
      </c>
      <c r="C222" s="2" t="inlineStr">
        <is>
          <t>Solve Practice problems online with the Practice R path on CodeChef. Write code for over 170 R coding challenges and prepare for interviews.</t>
        </is>
      </c>
      <c r="D222" s="2" t="inlineStr">
        <is>
          <t>Variables and Datatypes - Variables and Datatypes</t>
        </is>
      </c>
      <c r="E222" s="2" t="n">
        <v>29</v>
      </c>
      <c r="F222" s="2" t="inlineStr">
        <is>
          <t>Identify Incorrect syntax</t>
        </is>
      </c>
      <c r="G222" s="2" t="inlineStr">
        <is>
          <t>LPRASPR29</t>
        </is>
      </c>
      <c r="H222" s="2" t="inlineStr"/>
      <c r="I222" s="2" t="inlineStr">
        <is>
          <t>Easy</t>
        </is>
      </c>
      <c r="J222" s="3">
        <f>HYPERLINK("https://www.codechef.com/problems/LPRASPR29", "https://www.codechef.com/problems/LPRASPR29")</f>
        <v/>
      </c>
      <c r="K222" s="2" t="inlineStr"/>
      <c r="L222" s="2" t="inlineStr"/>
      <c r="M222" s="2" t="inlineStr"/>
      <c r="N222" s="2" t="inlineStr">
        <is>
          <t>No</t>
        </is>
      </c>
      <c r="O222" s="2" t="inlineStr">
        <is>
          <t>Unattempted</t>
        </is>
      </c>
    </row>
    <row r="223">
      <c r="A223" s="4" t="inlineStr">
        <is>
          <t>Other Practice Paths</t>
        </is>
      </c>
      <c r="B223" s="4" t="inlineStr">
        <is>
          <t>Practice R Programming</t>
        </is>
      </c>
      <c r="C223" s="4" t="inlineStr">
        <is>
          <t>Solve Practice problems online with the Practice R path on CodeChef. Write code for over 170 R coding challenges and prepare for interviews.</t>
        </is>
      </c>
      <c r="D223" s="4" t="inlineStr">
        <is>
          <t>Variables and Datatypes - Variables and Datatypes</t>
        </is>
      </c>
      <c r="E223" s="4" t="n">
        <v>30</v>
      </c>
      <c r="F223" s="4" t="inlineStr">
        <is>
          <t>Divide two variables</t>
        </is>
      </c>
      <c r="G223" s="4" t="inlineStr">
        <is>
          <t>LPRASPR30</t>
        </is>
      </c>
      <c r="H223" s="4" t="inlineStr"/>
      <c r="I223" s="4" t="inlineStr">
        <is>
          <t>Easy</t>
        </is>
      </c>
      <c r="J223" s="5">
        <f>HYPERLINK("https://www.codechef.com/problems/LPRASPR30", "https://www.codechef.com/problems/LPRASPR30")</f>
        <v/>
      </c>
      <c r="K223" s="4" t="inlineStr"/>
      <c r="L223" s="4" t="inlineStr"/>
      <c r="M223" s="4" t="inlineStr"/>
      <c r="N223" s="4" t="inlineStr">
        <is>
          <t>No</t>
        </is>
      </c>
      <c r="O223" s="4" t="inlineStr">
        <is>
          <t>Unattempted</t>
        </is>
      </c>
    </row>
    <row r="224">
      <c r="A224" s="2" t="inlineStr">
        <is>
          <t>Other Practice Paths</t>
        </is>
      </c>
      <c r="B224" s="2" t="inlineStr">
        <is>
          <t>Practice R Programming</t>
        </is>
      </c>
      <c r="C224" s="2" t="inlineStr">
        <is>
          <t>Solve Practice problems online with the Practice R path on CodeChef. Write code for over 170 R coding challenges and prepare for interviews.</t>
        </is>
      </c>
      <c r="D224" s="2" t="inlineStr">
        <is>
          <t>Variables and Datatypes - Variables and Datatypes</t>
        </is>
      </c>
      <c r="E224" s="2" t="n">
        <v>31</v>
      </c>
      <c r="F224" s="2" t="inlineStr">
        <is>
          <t>Convert Temperature</t>
        </is>
      </c>
      <c r="G224" s="2" t="inlineStr">
        <is>
          <t>LPRASPR31</t>
        </is>
      </c>
      <c r="H224" s="2" t="inlineStr"/>
      <c r="I224" s="2" t="inlineStr">
        <is>
          <t>Easy</t>
        </is>
      </c>
      <c r="J224" s="3">
        <f>HYPERLINK("https://www.codechef.com/problems/LPRASPR31", "https://www.codechef.com/problems/LPRASPR31")</f>
        <v/>
      </c>
      <c r="K224" s="2" t="inlineStr"/>
      <c r="L224" s="2" t="inlineStr"/>
      <c r="M224" s="2" t="inlineStr"/>
      <c r="N224" s="2" t="inlineStr">
        <is>
          <t>No</t>
        </is>
      </c>
      <c r="O224" s="2" t="inlineStr">
        <is>
          <t>Unattempted</t>
        </is>
      </c>
    </row>
    <row r="225">
      <c r="A225" s="4" t="inlineStr">
        <is>
          <t>Other Practice Paths</t>
        </is>
      </c>
      <c r="B225" s="4" t="inlineStr">
        <is>
          <t>Practice R Programming</t>
        </is>
      </c>
      <c r="C225" s="4" t="inlineStr">
        <is>
          <t>Solve Practice problems online with the Practice R path on CodeChef. Write code for over 170 R coding challenges and prepare for interviews.</t>
        </is>
      </c>
      <c r="D225" s="4" t="inlineStr">
        <is>
          <t>Variables and Datatypes - Variables and Datatypes</t>
        </is>
      </c>
      <c r="E225" s="4" t="n">
        <v>32</v>
      </c>
      <c r="F225" s="4" t="inlineStr">
        <is>
          <t>Print total minutes and seconds</t>
        </is>
      </c>
      <c r="G225" s="4" t="inlineStr">
        <is>
          <t>LPRASPR32</t>
        </is>
      </c>
      <c r="H225" s="4" t="inlineStr"/>
      <c r="I225" s="4" t="inlineStr">
        <is>
          <t>Easy</t>
        </is>
      </c>
      <c r="J225" s="5">
        <f>HYPERLINK("https://www.codechef.com/problems/LPRASPR32", "https://www.codechef.com/problems/LPRASPR32")</f>
        <v/>
      </c>
      <c r="K225" s="4" t="inlineStr"/>
      <c r="L225" s="4" t="inlineStr"/>
      <c r="M225" s="4" t="inlineStr"/>
      <c r="N225" s="4" t="inlineStr">
        <is>
          <t>No</t>
        </is>
      </c>
      <c r="O225" s="4" t="inlineStr">
        <is>
          <t>Unattempted</t>
        </is>
      </c>
    </row>
    <row r="226">
      <c r="A226" s="2" t="inlineStr">
        <is>
          <t>Other Practice Paths</t>
        </is>
      </c>
      <c r="B226" s="2" t="inlineStr">
        <is>
          <t>Practice R Programming</t>
        </is>
      </c>
      <c r="C226" s="2" t="inlineStr">
        <is>
          <t>Solve Practice problems online with the Practice R path on CodeChef. Write code for over 170 R coding challenges and prepare for interviews.</t>
        </is>
      </c>
      <c r="D226" s="2" t="inlineStr">
        <is>
          <t>Variables and Datatypes - Variables and Datatypes</t>
        </is>
      </c>
      <c r="E226" s="2" t="n">
        <v>33</v>
      </c>
      <c r="F226" s="2" t="inlineStr">
        <is>
          <t>Convert speed</t>
        </is>
      </c>
      <c r="G226" s="2" t="inlineStr">
        <is>
          <t>LPRASPR33</t>
        </is>
      </c>
      <c r="H226" s="2" t="inlineStr"/>
      <c r="I226" s="2" t="inlineStr">
        <is>
          <t>Easy</t>
        </is>
      </c>
      <c r="J226" s="3">
        <f>HYPERLINK("https://www.codechef.com/problems/LPRASPR33", "https://www.codechef.com/problems/LPRASPR33")</f>
        <v/>
      </c>
      <c r="K226" s="2" t="inlineStr"/>
      <c r="L226" s="2" t="inlineStr"/>
      <c r="M226" s="2" t="inlineStr"/>
      <c r="N226" s="2" t="inlineStr">
        <is>
          <t>No</t>
        </is>
      </c>
      <c r="O226" s="2" t="inlineStr">
        <is>
          <t>Unattempted</t>
        </is>
      </c>
    </row>
    <row r="227">
      <c r="A227" s="4" t="inlineStr">
        <is>
          <t>Other Practice Paths</t>
        </is>
      </c>
      <c r="B227" s="4" t="inlineStr">
        <is>
          <t>Practice R Programming</t>
        </is>
      </c>
      <c r="C227" s="4" t="inlineStr">
        <is>
          <t>Solve Practice problems online with the Practice R path on CodeChef. Write code for over 170 R coding challenges and prepare for interviews.</t>
        </is>
      </c>
      <c r="D227" s="4" t="inlineStr">
        <is>
          <t>Strings - Strings</t>
        </is>
      </c>
      <c r="E227" s="4" t="n">
        <v>34</v>
      </c>
      <c r="F227" s="4" t="inlineStr">
        <is>
          <t>Declare a string variable</t>
        </is>
      </c>
      <c r="G227" s="4" t="inlineStr">
        <is>
          <t>LPRASPR34</t>
        </is>
      </c>
      <c r="H227" s="4" t="inlineStr"/>
      <c r="I227" s="4" t="inlineStr">
        <is>
          <t>Easy</t>
        </is>
      </c>
      <c r="J227" s="5">
        <f>HYPERLINK("https://www.codechef.com/problems/LPRASPR34", "https://www.codechef.com/problems/LPRASPR34")</f>
        <v/>
      </c>
      <c r="K227" s="4" t="inlineStr"/>
      <c r="L227" s="4" t="inlineStr"/>
      <c r="M227" s="4" t="inlineStr"/>
      <c r="N227" s="4" t="inlineStr">
        <is>
          <t>No</t>
        </is>
      </c>
      <c r="O227" s="4" t="inlineStr">
        <is>
          <t>Unattempted</t>
        </is>
      </c>
    </row>
    <row r="228">
      <c r="A228" s="2" t="inlineStr">
        <is>
          <t>Other Practice Paths</t>
        </is>
      </c>
      <c r="B228" s="2" t="inlineStr">
        <is>
          <t>Practice R Programming</t>
        </is>
      </c>
      <c r="C228" s="2" t="inlineStr">
        <is>
          <t>Solve Practice problems online with the Practice R path on CodeChef. Write code for over 170 R coding challenges and prepare for interviews.</t>
        </is>
      </c>
      <c r="D228" s="2" t="inlineStr">
        <is>
          <t>Strings - Strings</t>
        </is>
      </c>
      <c r="E228" s="2" t="n">
        <v>35</v>
      </c>
      <c r="F228" s="2" t="inlineStr">
        <is>
          <t>Add hyphen between strings</t>
        </is>
      </c>
      <c r="G228" s="2" t="inlineStr">
        <is>
          <t>LPRASPR35</t>
        </is>
      </c>
      <c r="H228" s="2" t="inlineStr"/>
      <c r="I228" s="2" t="inlineStr">
        <is>
          <t>Easy</t>
        </is>
      </c>
      <c r="J228" s="3">
        <f>HYPERLINK("https://www.codechef.com/problems/LPRASPR35", "https://www.codechef.com/problems/LPRASPR35")</f>
        <v/>
      </c>
      <c r="K228" s="2" t="inlineStr"/>
      <c r="L228" s="2" t="inlineStr"/>
      <c r="M228" s="2" t="inlineStr"/>
      <c r="N228" s="2" t="inlineStr">
        <is>
          <t>No</t>
        </is>
      </c>
      <c r="O228" s="2" t="inlineStr">
        <is>
          <t>Unattempted</t>
        </is>
      </c>
    </row>
    <row r="229">
      <c r="A229" s="4" t="inlineStr">
        <is>
          <t>Other Practice Paths</t>
        </is>
      </c>
      <c r="B229" s="4" t="inlineStr">
        <is>
          <t>Practice R Programming</t>
        </is>
      </c>
      <c r="C229" s="4" t="inlineStr">
        <is>
          <t>Solve Practice problems online with the Practice R path on CodeChef. Write code for over 170 R coding challenges and prepare for interviews.</t>
        </is>
      </c>
      <c r="D229" s="4" t="inlineStr">
        <is>
          <t>Strings - Strings</t>
        </is>
      </c>
      <c r="E229" s="4" t="n">
        <v>36</v>
      </c>
      <c r="F229" s="4" t="inlineStr">
        <is>
          <t>Guess the output</t>
        </is>
      </c>
      <c r="G229" s="4" t="inlineStr">
        <is>
          <t>LPRASPR36</t>
        </is>
      </c>
      <c r="H229" s="4" t="inlineStr"/>
      <c r="I229" s="4" t="inlineStr">
        <is>
          <t>Easy</t>
        </is>
      </c>
      <c r="J229" s="5">
        <f>HYPERLINK("https://www.codechef.com/problems/LPRASPR36", "https://www.codechef.com/problems/LPRASPR36")</f>
        <v/>
      </c>
      <c r="K229" s="4" t="inlineStr"/>
      <c r="L229" s="4" t="inlineStr"/>
      <c r="M229" s="4" t="inlineStr"/>
      <c r="N229" s="4" t="inlineStr">
        <is>
          <t>No</t>
        </is>
      </c>
      <c r="O229" s="4" t="inlineStr">
        <is>
          <t>Unattempted</t>
        </is>
      </c>
    </row>
    <row r="230">
      <c r="A230" s="2" t="inlineStr">
        <is>
          <t>Other Practice Paths</t>
        </is>
      </c>
      <c r="B230" s="2" t="inlineStr">
        <is>
          <t>Practice R Programming</t>
        </is>
      </c>
      <c r="C230" s="2" t="inlineStr">
        <is>
          <t>Solve Practice problems online with the Practice R path on CodeChef. Write code for over 170 R coding challenges and prepare for interviews.</t>
        </is>
      </c>
      <c r="D230" s="2" t="inlineStr">
        <is>
          <t>Strings - Strings</t>
        </is>
      </c>
      <c r="E230" s="2" t="n">
        <v>37</v>
      </c>
      <c r="F230" s="2" t="inlineStr">
        <is>
          <t>Guess the output</t>
        </is>
      </c>
      <c r="G230" s="2" t="inlineStr">
        <is>
          <t>LPRASPR37</t>
        </is>
      </c>
      <c r="H230" s="2" t="inlineStr"/>
      <c r="I230" s="2" t="inlineStr">
        <is>
          <t>Easy</t>
        </is>
      </c>
      <c r="J230" s="3">
        <f>HYPERLINK("https://www.codechef.com/problems/LPRASPR37", "https://www.codechef.com/problems/LPRASPR37")</f>
        <v/>
      </c>
      <c r="K230" s="2" t="inlineStr"/>
      <c r="L230" s="2" t="inlineStr"/>
      <c r="M230" s="2" t="inlineStr"/>
      <c r="N230" s="2" t="inlineStr">
        <is>
          <t>No</t>
        </is>
      </c>
      <c r="O230" s="2" t="inlineStr">
        <is>
          <t>Unattempted</t>
        </is>
      </c>
    </row>
    <row r="231">
      <c r="A231" s="4" t="inlineStr">
        <is>
          <t>Other Practice Paths</t>
        </is>
      </c>
      <c r="B231" s="4" t="inlineStr">
        <is>
          <t>Practice R Programming</t>
        </is>
      </c>
      <c r="C231" s="4" t="inlineStr">
        <is>
          <t>Solve Practice problems online with the Practice R path on CodeChef. Write code for over 170 R coding challenges and prepare for interviews.</t>
        </is>
      </c>
      <c r="D231" s="4" t="inlineStr">
        <is>
          <t>Strings - Strings</t>
        </is>
      </c>
      <c r="E231" s="4" t="n">
        <v>38</v>
      </c>
      <c r="F231" s="4" t="inlineStr">
        <is>
          <t>Guess the Code</t>
        </is>
      </c>
      <c r="G231" s="4" t="inlineStr">
        <is>
          <t>LPRASPR38</t>
        </is>
      </c>
      <c r="H231" s="4" t="inlineStr"/>
      <c r="I231" s="4" t="inlineStr">
        <is>
          <t>Easy</t>
        </is>
      </c>
      <c r="J231" s="5">
        <f>HYPERLINK("https://www.codechef.com/problems/LPRASPR38", "https://www.codechef.com/problems/LPRASPR38")</f>
        <v/>
      </c>
      <c r="K231" s="4" t="inlineStr"/>
      <c r="L231" s="4" t="inlineStr"/>
      <c r="M231" s="4" t="inlineStr"/>
      <c r="N231" s="4" t="inlineStr">
        <is>
          <t>No</t>
        </is>
      </c>
      <c r="O231" s="4" t="inlineStr">
        <is>
          <t>Unattempted</t>
        </is>
      </c>
    </row>
    <row r="232">
      <c r="A232" s="2" t="inlineStr">
        <is>
          <t>Other Practice Paths</t>
        </is>
      </c>
      <c r="B232" s="2" t="inlineStr">
        <is>
          <t>Practice R Programming</t>
        </is>
      </c>
      <c r="C232" s="2" t="inlineStr">
        <is>
          <t>Solve Practice problems online with the Practice R path on CodeChef. Write code for over 170 R coding challenges and prepare for interviews.</t>
        </is>
      </c>
      <c r="D232" s="2" t="inlineStr">
        <is>
          <t>Strings - Strings</t>
        </is>
      </c>
      <c r="E232" s="2" t="n">
        <v>39</v>
      </c>
      <c r="F232" s="2" t="inlineStr">
        <is>
          <t>Guess the output</t>
        </is>
      </c>
      <c r="G232" s="2" t="inlineStr">
        <is>
          <t>LPRASPR39</t>
        </is>
      </c>
      <c r="H232" s="2" t="inlineStr"/>
      <c r="I232" s="2" t="inlineStr">
        <is>
          <t>Easy</t>
        </is>
      </c>
      <c r="J232" s="3">
        <f>HYPERLINK("https://www.codechef.com/problems/LPRASPR39", "https://www.codechef.com/problems/LPRASPR39")</f>
        <v/>
      </c>
      <c r="K232" s="2" t="inlineStr"/>
      <c r="L232" s="2" t="inlineStr"/>
      <c r="M232" s="2" t="inlineStr"/>
      <c r="N232" s="2" t="inlineStr">
        <is>
          <t>No</t>
        </is>
      </c>
      <c r="O232" s="2" t="inlineStr">
        <is>
          <t>Unattempted</t>
        </is>
      </c>
    </row>
    <row r="233">
      <c r="A233" s="4" t="inlineStr">
        <is>
          <t>Other Practice Paths</t>
        </is>
      </c>
      <c r="B233" s="4" t="inlineStr">
        <is>
          <t>Practice R Programming</t>
        </is>
      </c>
      <c r="C233" s="4" t="inlineStr">
        <is>
          <t>Solve Practice problems online with the Practice R path on CodeChef. Write code for over 170 R coding challenges and prepare for interviews.</t>
        </is>
      </c>
      <c r="D233" s="4" t="inlineStr">
        <is>
          <t>Strings - Strings</t>
        </is>
      </c>
      <c r="E233" s="4" t="n">
        <v>40</v>
      </c>
      <c r="F233" s="4" t="inlineStr">
        <is>
          <t>Guess the output</t>
        </is>
      </c>
      <c r="G233" s="4" t="inlineStr">
        <is>
          <t>LPRASPR40</t>
        </is>
      </c>
      <c r="H233" s="4" t="inlineStr"/>
      <c r="I233" s="4" t="inlineStr">
        <is>
          <t>Easy</t>
        </is>
      </c>
      <c r="J233" s="5">
        <f>HYPERLINK("https://www.codechef.com/problems/LPRASPR40", "https://www.codechef.com/problems/LPRASPR40")</f>
        <v/>
      </c>
      <c r="K233" s="4" t="inlineStr"/>
      <c r="L233" s="4" t="inlineStr"/>
      <c r="M233" s="4" t="inlineStr"/>
      <c r="N233" s="4" t="inlineStr">
        <is>
          <t>No</t>
        </is>
      </c>
      <c r="O233" s="4" t="inlineStr">
        <is>
          <t>Unattempted</t>
        </is>
      </c>
    </row>
    <row r="234">
      <c r="A234" s="2" t="inlineStr">
        <is>
          <t>Other Practice Paths</t>
        </is>
      </c>
      <c r="B234" s="2" t="inlineStr">
        <is>
          <t>Practice R Programming</t>
        </is>
      </c>
      <c r="C234" s="2" t="inlineStr">
        <is>
          <t>Solve Practice problems online with the Practice R path on CodeChef. Write code for over 170 R coding challenges and prepare for interviews.</t>
        </is>
      </c>
      <c r="D234" s="2" t="inlineStr">
        <is>
          <t>Strings - Strings</t>
        </is>
      </c>
      <c r="E234" s="2" t="n">
        <v>41</v>
      </c>
      <c r="F234" s="2" t="inlineStr">
        <is>
          <t>Print the length</t>
        </is>
      </c>
      <c r="G234" s="2" t="inlineStr">
        <is>
          <t>LPRASPR41</t>
        </is>
      </c>
      <c r="H234" s="2" t="inlineStr"/>
      <c r="I234" s="2" t="inlineStr">
        <is>
          <t>Easy</t>
        </is>
      </c>
      <c r="J234" s="3">
        <f>HYPERLINK("https://www.codechef.com/problems/LPRASPR41", "https://www.codechef.com/problems/LPRASPR41")</f>
        <v/>
      </c>
      <c r="K234" s="2" t="inlineStr"/>
      <c r="L234" s="2" t="inlineStr"/>
      <c r="M234" s="2" t="inlineStr"/>
      <c r="N234" s="2" t="inlineStr">
        <is>
          <t>No</t>
        </is>
      </c>
      <c r="O234" s="2" t="inlineStr">
        <is>
          <t>Unattempted</t>
        </is>
      </c>
    </row>
    <row r="235">
      <c r="A235" s="4" t="inlineStr">
        <is>
          <t>Other Practice Paths</t>
        </is>
      </c>
      <c r="B235" s="4" t="inlineStr">
        <is>
          <t>Practice R Programming</t>
        </is>
      </c>
      <c r="C235" s="4" t="inlineStr">
        <is>
          <t>Solve Practice problems online with the Practice R path on CodeChef. Write code for over 170 R coding challenges and prepare for interviews.</t>
        </is>
      </c>
      <c r="D235" s="4" t="inlineStr">
        <is>
          <t>Strings - Strings</t>
        </is>
      </c>
      <c r="E235" s="4" t="n">
        <v>42</v>
      </c>
      <c r="F235" s="4" t="inlineStr">
        <is>
          <t>Identify the errors</t>
        </is>
      </c>
      <c r="G235" s="4" t="inlineStr">
        <is>
          <t>LPRASPR42</t>
        </is>
      </c>
      <c r="H235" s="4" t="inlineStr"/>
      <c r="I235" s="4" t="inlineStr">
        <is>
          <t>Easy</t>
        </is>
      </c>
      <c r="J235" s="5">
        <f>HYPERLINK("https://www.codechef.com/problems/LPRASPR42", "https://www.codechef.com/problems/LPRASPR42")</f>
        <v/>
      </c>
      <c r="K235" s="4" t="inlineStr"/>
      <c r="L235" s="4" t="inlineStr"/>
      <c r="M235" s="4" t="inlineStr"/>
      <c r="N235" s="4" t="inlineStr">
        <is>
          <t>No</t>
        </is>
      </c>
      <c r="O235" s="4" t="inlineStr">
        <is>
          <t>Unattempted</t>
        </is>
      </c>
    </row>
    <row r="236">
      <c r="A236" s="2" t="inlineStr">
        <is>
          <t>Other Practice Paths</t>
        </is>
      </c>
      <c r="B236" s="2" t="inlineStr">
        <is>
          <t>Practice R Programming</t>
        </is>
      </c>
      <c r="C236" s="2" t="inlineStr">
        <is>
          <t>Solve Practice problems online with the Practice R path on CodeChef. Write code for over 170 R coding challenges and prepare for interviews.</t>
        </is>
      </c>
      <c r="D236" s="2" t="inlineStr">
        <is>
          <t>Strings - Strings</t>
        </is>
      </c>
      <c r="E236" s="2" t="n">
        <v>43</v>
      </c>
      <c r="F236" s="2" t="inlineStr">
        <is>
          <t>Print the length</t>
        </is>
      </c>
      <c r="G236" s="2" t="inlineStr">
        <is>
          <t>LPRASPR43</t>
        </is>
      </c>
      <c r="H236" s="2" t="inlineStr"/>
      <c r="I236" s="2" t="inlineStr">
        <is>
          <t>Easy</t>
        </is>
      </c>
      <c r="J236" s="3">
        <f>HYPERLINK("https://www.codechef.com/problems/LPRASPR43", "https://www.codechef.com/problems/LPRASPR43")</f>
        <v/>
      </c>
      <c r="K236" s="2" t="inlineStr"/>
      <c r="L236" s="2" t="inlineStr"/>
      <c r="M236" s="2" t="inlineStr"/>
      <c r="N236" s="2" t="inlineStr">
        <is>
          <t>No</t>
        </is>
      </c>
      <c r="O236" s="2" t="inlineStr">
        <is>
          <t>Unattempted</t>
        </is>
      </c>
    </row>
    <row r="237">
      <c r="A237" s="4" t="inlineStr">
        <is>
          <t>Other Practice Paths</t>
        </is>
      </c>
      <c r="B237" s="4" t="inlineStr">
        <is>
          <t>Practice R Programming</t>
        </is>
      </c>
      <c r="C237" s="4" t="inlineStr">
        <is>
          <t>Solve Practice problems online with the Practice R path on CodeChef. Write code for over 170 R coding challenges and prepare for interviews.</t>
        </is>
      </c>
      <c r="D237" s="4" t="inlineStr">
        <is>
          <t>Strings - Strings</t>
        </is>
      </c>
      <c r="E237" s="4" t="n">
        <v>44</v>
      </c>
      <c r="F237" s="4" t="inlineStr">
        <is>
          <t>Adding the length</t>
        </is>
      </c>
      <c r="G237" s="4" t="inlineStr">
        <is>
          <t>LPRASPR44</t>
        </is>
      </c>
      <c r="H237" s="4" t="inlineStr"/>
      <c r="I237" s="4" t="inlineStr">
        <is>
          <t>Easy</t>
        </is>
      </c>
      <c r="J237" s="5">
        <f>HYPERLINK("https://www.codechef.com/problems/LPRASPR44", "https://www.codechef.com/problems/LPRASPR44")</f>
        <v/>
      </c>
      <c r="K237" s="4" t="inlineStr"/>
      <c r="L237" s="4" t="inlineStr"/>
      <c r="M237" s="4" t="inlineStr"/>
      <c r="N237" s="4" t="inlineStr">
        <is>
          <t>No</t>
        </is>
      </c>
      <c r="O237" s="4" t="inlineStr">
        <is>
          <t>Unattempted</t>
        </is>
      </c>
    </row>
    <row r="238">
      <c r="A238" s="2" t="inlineStr">
        <is>
          <t>Other Practice Paths</t>
        </is>
      </c>
      <c r="B238" s="2" t="inlineStr">
        <is>
          <t>Practice R Programming</t>
        </is>
      </c>
      <c r="C238" s="2" t="inlineStr">
        <is>
          <t>Solve Practice problems online with the Practice R path on CodeChef. Write code for over 170 R coding challenges and prepare for interviews.</t>
        </is>
      </c>
      <c r="D238" s="2" t="inlineStr">
        <is>
          <t>User inputs - User inputs</t>
        </is>
      </c>
      <c r="E238" s="2" t="n">
        <v>45</v>
      </c>
      <c r="F238" s="2" t="inlineStr">
        <is>
          <t>Guess the output</t>
        </is>
      </c>
      <c r="G238" s="2" t="inlineStr">
        <is>
          <t>LPRASPR45</t>
        </is>
      </c>
      <c r="H238" s="2" t="inlineStr"/>
      <c r="I238" s="2" t="inlineStr">
        <is>
          <t>Easy</t>
        </is>
      </c>
      <c r="J238" s="3">
        <f>HYPERLINK("https://www.codechef.com/problems/LPRASPR45", "https://www.codechef.com/problems/LPRASPR45")</f>
        <v/>
      </c>
      <c r="K238" s="2" t="inlineStr"/>
      <c r="L238" s="2" t="inlineStr"/>
      <c r="M238" s="2" t="inlineStr"/>
      <c r="N238" s="2" t="inlineStr">
        <is>
          <t>No</t>
        </is>
      </c>
      <c r="O238" s="2" t="inlineStr">
        <is>
          <t>Unattempted</t>
        </is>
      </c>
    </row>
    <row r="239">
      <c r="A239" s="4" t="inlineStr">
        <is>
          <t>Other Practice Paths</t>
        </is>
      </c>
      <c r="B239" s="4" t="inlineStr">
        <is>
          <t>Practice R Programming</t>
        </is>
      </c>
      <c r="C239" s="4" t="inlineStr">
        <is>
          <t>Solve Practice problems online with the Practice R path on CodeChef. Write code for over 170 R coding challenges and prepare for interviews.</t>
        </is>
      </c>
      <c r="D239" s="4" t="inlineStr">
        <is>
          <t>User inputs - User inputs</t>
        </is>
      </c>
      <c r="E239" s="4" t="n">
        <v>46</v>
      </c>
      <c r="F239" s="4" t="inlineStr">
        <is>
          <t>Guess the output</t>
        </is>
      </c>
      <c r="G239" s="4" t="inlineStr">
        <is>
          <t>LPRASPR46</t>
        </is>
      </c>
      <c r="H239" s="4" t="inlineStr"/>
      <c r="I239" s="4" t="inlineStr">
        <is>
          <t>Easy</t>
        </is>
      </c>
      <c r="J239" s="5">
        <f>HYPERLINK("https://www.codechef.com/problems/LPRASPR46", "https://www.codechef.com/problems/LPRASPR46")</f>
        <v/>
      </c>
      <c r="K239" s="4" t="inlineStr"/>
      <c r="L239" s="4" t="inlineStr"/>
      <c r="M239" s="4" t="inlineStr"/>
      <c r="N239" s="4" t="inlineStr">
        <is>
          <t>No</t>
        </is>
      </c>
      <c r="O239" s="4" t="inlineStr">
        <is>
          <t>Unattempted</t>
        </is>
      </c>
    </row>
    <row r="240">
      <c r="A240" s="2" t="inlineStr">
        <is>
          <t>Other Practice Paths</t>
        </is>
      </c>
      <c r="B240" s="2" t="inlineStr">
        <is>
          <t>Practice R Programming</t>
        </is>
      </c>
      <c r="C240" s="2" t="inlineStr">
        <is>
          <t>Solve Practice problems online with the Practice R path on CodeChef. Write code for over 170 R coding challenges and prepare for interviews.</t>
        </is>
      </c>
      <c r="D240" s="2" t="inlineStr">
        <is>
          <t>User inputs - User inputs</t>
        </is>
      </c>
      <c r="E240" s="2" t="n">
        <v>47</v>
      </c>
      <c r="F240" s="2" t="inlineStr">
        <is>
          <t>Guess the output</t>
        </is>
      </c>
      <c r="G240" s="2" t="inlineStr">
        <is>
          <t>LPRASPR47</t>
        </is>
      </c>
      <c r="H240" s="2" t="inlineStr"/>
      <c r="I240" s="2" t="inlineStr">
        <is>
          <t>Easy</t>
        </is>
      </c>
      <c r="J240" s="3">
        <f>HYPERLINK("https://www.codechef.com/problems/LPRASPR47", "https://www.codechef.com/problems/LPRASPR47")</f>
        <v/>
      </c>
      <c r="K240" s="2" t="inlineStr"/>
      <c r="L240" s="2" t="inlineStr"/>
      <c r="M240" s="2" t="inlineStr"/>
      <c r="N240" s="2" t="inlineStr">
        <is>
          <t>No</t>
        </is>
      </c>
      <c r="O240" s="2" t="inlineStr">
        <is>
          <t>Unattempted</t>
        </is>
      </c>
    </row>
    <row r="241">
      <c r="A241" s="4" t="inlineStr">
        <is>
          <t>Other Practice Paths</t>
        </is>
      </c>
      <c r="B241" s="4" t="inlineStr">
        <is>
          <t>Practice R Programming</t>
        </is>
      </c>
      <c r="C241" s="4" t="inlineStr">
        <is>
          <t>Solve Practice problems online with the Practice R path on CodeChef. Write code for over 170 R coding challenges and prepare for interviews.</t>
        </is>
      </c>
      <c r="D241" s="4" t="inlineStr">
        <is>
          <t>User inputs - User inputs</t>
        </is>
      </c>
      <c r="E241" s="4" t="n">
        <v>48</v>
      </c>
      <c r="F241" s="4" t="inlineStr">
        <is>
          <t>Guess the output</t>
        </is>
      </c>
      <c r="G241" s="4" t="inlineStr">
        <is>
          <t>LPRASPR48</t>
        </is>
      </c>
      <c r="H241" s="4" t="inlineStr"/>
      <c r="I241" s="4" t="inlineStr">
        <is>
          <t>Easy</t>
        </is>
      </c>
      <c r="J241" s="5">
        <f>HYPERLINK("https://www.codechef.com/problems/LPRASPR48", "https://www.codechef.com/problems/LPRASPR48")</f>
        <v/>
      </c>
      <c r="K241" s="4" t="inlineStr"/>
      <c r="L241" s="4" t="inlineStr"/>
      <c r="M241" s="4" t="inlineStr"/>
      <c r="N241" s="4" t="inlineStr">
        <is>
          <t>No</t>
        </is>
      </c>
      <c r="O241" s="4" t="inlineStr">
        <is>
          <t>Unattempted</t>
        </is>
      </c>
    </row>
    <row r="242">
      <c r="A242" s="2" t="inlineStr">
        <is>
          <t>Other Practice Paths</t>
        </is>
      </c>
      <c r="B242" s="2" t="inlineStr">
        <is>
          <t>Practice R Programming</t>
        </is>
      </c>
      <c r="C242" s="2" t="inlineStr">
        <is>
          <t>Solve Practice problems online with the Practice R path on CodeChef. Write code for over 170 R coding challenges and prepare for interviews.</t>
        </is>
      </c>
      <c r="D242" s="2" t="inlineStr">
        <is>
          <t>User inputs - User inputs</t>
        </is>
      </c>
      <c r="E242" s="2" t="n">
        <v>49</v>
      </c>
      <c r="F242" s="2" t="inlineStr">
        <is>
          <t>Guess the output</t>
        </is>
      </c>
      <c r="G242" s="2" t="inlineStr">
        <is>
          <t>LPRASPR49</t>
        </is>
      </c>
      <c r="H242" s="2" t="inlineStr"/>
      <c r="I242" s="2" t="inlineStr">
        <is>
          <t>Easy</t>
        </is>
      </c>
      <c r="J242" s="3">
        <f>HYPERLINK("https://www.codechef.com/problems/LPRASPR49", "https://www.codechef.com/problems/LPRASPR49")</f>
        <v/>
      </c>
      <c r="K242" s="2" t="inlineStr"/>
      <c r="L242" s="2" t="inlineStr"/>
      <c r="M242" s="2" t="inlineStr"/>
      <c r="N242" s="2" t="inlineStr">
        <is>
          <t>No</t>
        </is>
      </c>
      <c r="O242" s="2" t="inlineStr">
        <is>
          <t>Unattempted</t>
        </is>
      </c>
    </row>
    <row r="243">
      <c r="A243" s="4" t="inlineStr">
        <is>
          <t>Other Practice Paths</t>
        </is>
      </c>
      <c r="B243" s="4" t="inlineStr">
        <is>
          <t>Practice R Programming</t>
        </is>
      </c>
      <c r="C243" s="4" t="inlineStr">
        <is>
          <t>Solve Practice problems online with the Practice R path on CodeChef. Write code for over 170 R coding challenges and prepare for interviews.</t>
        </is>
      </c>
      <c r="D243" s="4" t="inlineStr">
        <is>
          <t>User inputs - User inputs</t>
        </is>
      </c>
      <c r="E243" s="4" t="n">
        <v>50</v>
      </c>
      <c r="F243" s="4" t="inlineStr">
        <is>
          <t>Ways to take the input</t>
        </is>
      </c>
      <c r="G243" s="4" t="inlineStr">
        <is>
          <t>LPRASPR50</t>
        </is>
      </c>
      <c r="H243" s="4" t="inlineStr"/>
      <c r="I243" s="4" t="inlineStr">
        <is>
          <t>Easy</t>
        </is>
      </c>
      <c r="J243" s="5">
        <f>HYPERLINK("https://www.codechef.com/problems/LPRASPR50", "https://www.codechef.com/problems/LPRASPR50")</f>
        <v/>
      </c>
      <c r="K243" s="4" t="inlineStr"/>
      <c r="L243" s="4" t="inlineStr"/>
      <c r="M243" s="4" t="inlineStr"/>
      <c r="N243" s="4" t="inlineStr">
        <is>
          <t>No</t>
        </is>
      </c>
      <c r="O243" s="4" t="inlineStr">
        <is>
          <t>Unattempted</t>
        </is>
      </c>
    </row>
    <row r="244">
      <c r="A244" s="2" t="inlineStr">
        <is>
          <t>Other Practice Paths</t>
        </is>
      </c>
      <c r="B244" s="2" t="inlineStr">
        <is>
          <t>Practice R Programming</t>
        </is>
      </c>
      <c r="C244" s="2" t="inlineStr">
        <is>
          <t>Solve Practice problems online with the Practice R path on CodeChef. Write code for over 170 R coding challenges and prepare for interviews.</t>
        </is>
      </c>
      <c r="D244" s="2" t="inlineStr">
        <is>
          <t>User inputs - User inputs</t>
        </is>
      </c>
      <c r="E244" s="2" t="n">
        <v>51</v>
      </c>
      <c r="F244" s="2" t="inlineStr">
        <is>
          <t>Identify the Function</t>
        </is>
      </c>
      <c r="G244" s="2" t="inlineStr">
        <is>
          <t>LPRASPR51</t>
        </is>
      </c>
      <c r="H244" s="2" t="inlineStr"/>
      <c r="I244" s="2" t="inlineStr">
        <is>
          <t>Easy</t>
        </is>
      </c>
      <c r="J244" s="3">
        <f>HYPERLINK("https://www.codechef.com/problems/LPRASPR51", "https://www.codechef.com/problems/LPRASPR51")</f>
        <v/>
      </c>
      <c r="K244" s="2" t="inlineStr"/>
      <c r="L244" s="2" t="inlineStr"/>
      <c r="M244" s="2" t="inlineStr"/>
      <c r="N244" s="2" t="inlineStr">
        <is>
          <t>No</t>
        </is>
      </c>
      <c r="O244" s="2" t="inlineStr">
        <is>
          <t>Unattempted</t>
        </is>
      </c>
    </row>
    <row r="245">
      <c r="A245" s="4" t="inlineStr">
        <is>
          <t>Other Practice Paths</t>
        </is>
      </c>
      <c r="B245" s="4" t="inlineStr">
        <is>
          <t>Practice R Programming</t>
        </is>
      </c>
      <c r="C245" s="4" t="inlineStr">
        <is>
          <t>Solve Practice problems online with the Practice R path on CodeChef. Write code for over 170 R coding challenges and prepare for interviews.</t>
        </is>
      </c>
      <c r="D245" s="4" t="inlineStr">
        <is>
          <t>User inputs - User inputs</t>
        </is>
      </c>
      <c r="E245" s="4" t="n">
        <v>52</v>
      </c>
      <c r="F245" s="4" t="inlineStr">
        <is>
          <t>Identify the function</t>
        </is>
      </c>
      <c r="G245" s="4" t="inlineStr">
        <is>
          <t>LPRASPR52</t>
        </is>
      </c>
      <c r="H245" s="4" t="inlineStr"/>
      <c r="I245" s="4" t="inlineStr">
        <is>
          <t>Easy</t>
        </is>
      </c>
      <c r="J245" s="5">
        <f>HYPERLINK("https://www.codechef.com/problems/LPRASPR52", "https://www.codechef.com/problems/LPRASPR52")</f>
        <v/>
      </c>
      <c r="K245" s="4" t="inlineStr"/>
      <c r="L245" s="4" t="inlineStr"/>
      <c r="M245" s="4" t="inlineStr"/>
      <c r="N245" s="4" t="inlineStr">
        <is>
          <t>No</t>
        </is>
      </c>
      <c r="O245" s="4" t="inlineStr">
        <is>
          <t>Unattempted</t>
        </is>
      </c>
    </row>
    <row r="246">
      <c r="A246" s="2" t="inlineStr">
        <is>
          <t>Other Practice Paths</t>
        </is>
      </c>
      <c r="B246" s="2" t="inlineStr">
        <is>
          <t>Practice R Programming</t>
        </is>
      </c>
      <c r="C246" s="2" t="inlineStr">
        <is>
          <t>Solve Practice problems online with the Practice R path on CodeChef. Write code for over 170 R coding challenges and prepare for interviews.</t>
        </is>
      </c>
      <c r="D246" s="2" t="inlineStr">
        <is>
          <t>User inputs - User inputs</t>
        </is>
      </c>
      <c r="E246" s="2" t="n">
        <v>53</v>
      </c>
      <c r="F246" s="2" t="inlineStr">
        <is>
          <t>Identify the Syntax</t>
        </is>
      </c>
      <c r="G246" s="2" t="inlineStr">
        <is>
          <t>LPRASPR53</t>
        </is>
      </c>
      <c r="H246" s="2" t="inlineStr"/>
      <c r="I246" s="2" t="inlineStr">
        <is>
          <t>Easy</t>
        </is>
      </c>
      <c r="J246" s="3">
        <f>HYPERLINK("https://www.codechef.com/problems/LPRASPR53", "https://www.codechef.com/problems/LPRASPR53")</f>
        <v/>
      </c>
      <c r="K246" s="2" t="inlineStr"/>
      <c r="L246" s="2" t="inlineStr"/>
      <c r="M246" s="2" t="inlineStr"/>
      <c r="N246" s="2" t="inlineStr">
        <is>
          <t>No</t>
        </is>
      </c>
      <c r="O246" s="2" t="inlineStr">
        <is>
          <t>Unattempted</t>
        </is>
      </c>
    </row>
    <row r="247">
      <c r="A247" s="4" t="inlineStr">
        <is>
          <t>Other Practice Paths</t>
        </is>
      </c>
      <c r="B247" s="4" t="inlineStr">
        <is>
          <t>Practice R Programming</t>
        </is>
      </c>
      <c r="C247" s="4" t="inlineStr">
        <is>
          <t>Solve Practice problems online with the Practice R path on CodeChef. Write code for over 170 R coding challenges and prepare for interviews.</t>
        </is>
      </c>
      <c r="D247" s="4" t="inlineStr">
        <is>
          <t>User inputs - User inputs</t>
        </is>
      </c>
      <c r="E247" s="4" t="n">
        <v>54</v>
      </c>
      <c r="F247" s="4" t="inlineStr">
        <is>
          <t>Identify the function</t>
        </is>
      </c>
      <c r="G247" s="4" t="inlineStr">
        <is>
          <t>LPRASPR54</t>
        </is>
      </c>
      <c r="H247" s="4" t="inlineStr"/>
      <c r="I247" s="4" t="inlineStr">
        <is>
          <t>Easy</t>
        </is>
      </c>
      <c r="J247" s="5">
        <f>HYPERLINK("https://www.codechef.com/problems/LPRASPR54", "https://www.codechef.com/problems/LPRASPR54")</f>
        <v/>
      </c>
      <c r="K247" s="4" t="inlineStr"/>
      <c r="L247" s="4" t="inlineStr"/>
      <c r="M247" s="4" t="inlineStr"/>
      <c r="N247" s="4" t="inlineStr">
        <is>
          <t>No</t>
        </is>
      </c>
      <c r="O247" s="4" t="inlineStr">
        <is>
          <t>Unattempted</t>
        </is>
      </c>
    </row>
    <row r="248">
      <c r="A248" s="2" t="inlineStr">
        <is>
          <t>Other Practice Paths</t>
        </is>
      </c>
      <c r="B248" s="2" t="inlineStr">
        <is>
          <t>Practice R Programming</t>
        </is>
      </c>
      <c r="C248" s="2" t="inlineStr">
        <is>
          <t>Solve Practice problems online with the Practice R path on CodeChef. Write code for over 170 R coding challenges and prepare for interviews.</t>
        </is>
      </c>
      <c r="D248" s="2" t="inlineStr">
        <is>
          <t>Conditional statements - If / Else statements</t>
        </is>
      </c>
      <c r="E248" s="2" t="n">
        <v>55</v>
      </c>
      <c r="F248" s="2" t="inlineStr">
        <is>
          <t>Scope of Code</t>
        </is>
      </c>
      <c r="G248" s="2" t="inlineStr">
        <is>
          <t>LPRASPR55</t>
        </is>
      </c>
      <c r="H248" s="2" t="inlineStr"/>
      <c r="I248" s="2" t="inlineStr">
        <is>
          <t>Easy</t>
        </is>
      </c>
      <c r="J248" s="3">
        <f>HYPERLINK("https://www.codechef.com/problems/LPRASPR55", "https://www.codechef.com/problems/LPRASPR55")</f>
        <v/>
      </c>
      <c r="K248" s="2" t="inlineStr"/>
      <c r="L248" s="2" t="inlineStr"/>
      <c r="M248" s="2" t="inlineStr"/>
      <c r="N248" s="2" t="inlineStr">
        <is>
          <t>No</t>
        </is>
      </c>
      <c r="O248" s="2" t="inlineStr">
        <is>
          <t>Unattempted</t>
        </is>
      </c>
    </row>
    <row r="249">
      <c r="A249" s="4" t="inlineStr">
        <is>
          <t>Other Practice Paths</t>
        </is>
      </c>
      <c r="B249" s="4" t="inlineStr">
        <is>
          <t>Practice R Programming</t>
        </is>
      </c>
      <c r="C249" s="4" t="inlineStr">
        <is>
          <t>Solve Practice problems online with the Practice R path on CodeChef. Write code for over 170 R coding challenges and prepare for interviews.</t>
        </is>
      </c>
      <c r="D249" s="4" t="inlineStr">
        <is>
          <t>Conditional statements - If / Else statements</t>
        </is>
      </c>
      <c r="E249" s="4" t="n">
        <v>56</v>
      </c>
      <c r="F249" s="4" t="inlineStr">
        <is>
          <t>Guess the output</t>
        </is>
      </c>
      <c r="G249" s="4" t="inlineStr">
        <is>
          <t>LPRASPR56</t>
        </is>
      </c>
      <c r="H249" s="4" t="inlineStr"/>
      <c r="I249" s="4" t="inlineStr">
        <is>
          <t>Easy</t>
        </is>
      </c>
      <c r="J249" s="5">
        <f>HYPERLINK("https://www.codechef.com/problems/LPRASPR56", "https://www.codechef.com/problems/LPRASPR56")</f>
        <v/>
      </c>
      <c r="K249" s="4" t="inlineStr"/>
      <c r="L249" s="4" t="inlineStr"/>
      <c r="M249" s="4" t="inlineStr"/>
      <c r="N249" s="4" t="inlineStr">
        <is>
          <t>No</t>
        </is>
      </c>
      <c r="O249" s="4" t="inlineStr">
        <is>
          <t>Unattempted</t>
        </is>
      </c>
    </row>
    <row r="250">
      <c r="A250" s="2" t="inlineStr">
        <is>
          <t>Other Practice Paths</t>
        </is>
      </c>
      <c r="B250" s="2" t="inlineStr">
        <is>
          <t>Practice R Programming</t>
        </is>
      </c>
      <c r="C250" s="2" t="inlineStr">
        <is>
          <t>Solve Practice problems online with the Practice R path on CodeChef. Write code for over 170 R coding challenges and prepare for interviews.</t>
        </is>
      </c>
      <c r="D250" s="2" t="inlineStr">
        <is>
          <t>Conditional statements - If / Else statements</t>
        </is>
      </c>
      <c r="E250" s="2" t="n">
        <v>57</v>
      </c>
      <c r="F250" s="2" t="inlineStr">
        <is>
          <t>Guess the output</t>
        </is>
      </c>
      <c r="G250" s="2" t="inlineStr">
        <is>
          <t>LPRASPR57</t>
        </is>
      </c>
      <c r="H250" s="2" t="inlineStr"/>
      <c r="I250" s="2" t="inlineStr">
        <is>
          <t>Easy</t>
        </is>
      </c>
      <c r="J250" s="3">
        <f>HYPERLINK("https://www.codechef.com/problems/LPRASPR57", "https://www.codechef.com/problems/LPRASPR57")</f>
        <v/>
      </c>
      <c r="K250" s="2" t="inlineStr"/>
      <c r="L250" s="2" t="inlineStr"/>
      <c r="M250" s="2" t="inlineStr"/>
      <c r="N250" s="2" t="inlineStr">
        <is>
          <t>No</t>
        </is>
      </c>
      <c r="O250" s="2" t="inlineStr">
        <is>
          <t>Unattempted</t>
        </is>
      </c>
    </row>
    <row r="251">
      <c r="A251" s="4" t="inlineStr">
        <is>
          <t>Other Practice Paths</t>
        </is>
      </c>
      <c r="B251" s="4" t="inlineStr">
        <is>
          <t>Practice R Programming</t>
        </is>
      </c>
      <c r="C251" s="4" t="inlineStr">
        <is>
          <t>Solve Practice problems online with the Practice R path on CodeChef. Write code for over 170 R coding challenges and prepare for interviews.</t>
        </is>
      </c>
      <c r="D251" s="4" t="inlineStr">
        <is>
          <t>Conditional statements - If / Else statements</t>
        </is>
      </c>
      <c r="E251" s="4" t="n">
        <v>58</v>
      </c>
      <c r="F251" s="4" t="inlineStr">
        <is>
          <t>Role of else if</t>
        </is>
      </c>
      <c r="G251" s="4" t="inlineStr">
        <is>
          <t>LPRASPR58</t>
        </is>
      </c>
      <c r="H251" s="4" t="inlineStr"/>
      <c r="I251" s="4" t="inlineStr">
        <is>
          <t>Easy</t>
        </is>
      </c>
      <c r="J251" s="5">
        <f>HYPERLINK("https://www.codechef.com/problems/LPRASPR58", "https://www.codechef.com/problems/LPRASPR58")</f>
        <v/>
      </c>
      <c r="K251" s="4" t="inlineStr"/>
      <c r="L251" s="4" t="inlineStr"/>
      <c r="M251" s="4" t="inlineStr"/>
      <c r="N251" s="4" t="inlineStr">
        <is>
          <t>No</t>
        </is>
      </c>
      <c r="O251" s="4" t="inlineStr">
        <is>
          <t>Unattempted</t>
        </is>
      </c>
    </row>
    <row r="252">
      <c r="A252" s="2" t="inlineStr">
        <is>
          <t>Other Practice Paths</t>
        </is>
      </c>
      <c r="B252" s="2" t="inlineStr">
        <is>
          <t>Practice R Programming</t>
        </is>
      </c>
      <c r="C252" s="2" t="inlineStr">
        <is>
          <t>Solve Practice problems online with the Practice R path on CodeChef. Write code for over 170 R coding challenges and prepare for interviews.</t>
        </is>
      </c>
      <c r="D252" s="2" t="inlineStr">
        <is>
          <t>Conditional statements - If / Else statements</t>
        </is>
      </c>
      <c r="E252" s="2" t="n">
        <v>59</v>
      </c>
      <c r="F252" s="2" t="inlineStr">
        <is>
          <t>Guess the output</t>
        </is>
      </c>
      <c r="G252" s="2" t="inlineStr">
        <is>
          <t>LPRASPR59</t>
        </is>
      </c>
      <c r="H252" s="2" t="inlineStr"/>
      <c r="I252" s="2" t="inlineStr">
        <is>
          <t>Easy</t>
        </is>
      </c>
      <c r="J252" s="3">
        <f>HYPERLINK("https://www.codechef.com/problems/LPRASPR59", "https://www.codechef.com/problems/LPRASPR59")</f>
        <v/>
      </c>
      <c r="K252" s="2" t="inlineStr"/>
      <c r="L252" s="2" t="inlineStr"/>
      <c r="M252" s="2" t="inlineStr"/>
      <c r="N252" s="2" t="inlineStr">
        <is>
          <t>No</t>
        </is>
      </c>
      <c r="O252" s="2" t="inlineStr">
        <is>
          <t>Unattempted</t>
        </is>
      </c>
    </row>
    <row r="253">
      <c r="A253" s="4" t="inlineStr">
        <is>
          <t>Other Practice Paths</t>
        </is>
      </c>
      <c r="B253" s="4" t="inlineStr">
        <is>
          <t>Practice R Programming</t>
        </is>
      </c>
      <c r="C253" s="4" t="inlineStr">
        <is>
          <t>Solve Practice problems online with the Practice R path on CodeChef. Write code for over 170 R coding challenges and prepare for interviews.</t>
        </is>
      </c>
      <c r="D253" s="4" t="inlineStr">
        <is>
          <t>Conditional statements - If / Else statements</t>
        </is>
      </c>
      <c r="E253" s="4" t="n">
        <v>60</v>
      </c>
      <c r="F253" s="4" t="inlineStr">
        <is>
          <t>Guess the output</t>
        </is>
      </c>
      <c r="G253" s="4" t="inlineStr">
        <is>
          <t>LPRASPR60</t>
        </is>
      </c>
      <c r="H253" s="4" t="inlineStr"/>
      <c r="I253" s="4" t="inlineStr">
        <is>
          <t>Easy</t>
        </is>
      </c>
      <c r="J253" s="5">
        <f>HYPERLINK("https://www.codechef.com/problems/LPRASPR60", "https://www.codechef.com/problems/LPRASPR60")</f>
        <v/>
      </c>
      <c r="K253" s="4" t="inlineStr"/>
      <c r="L253" s="4" t="inlineStr"/>
      <c r="M253" s="4" t="inlineStr"/>
      <c r="N253" s="4" t="inlineStr">
        <is>
          <t>No</t>
        </is>
      </c>
      <c r="O253" s="4" t="inlineStr">
        <is>
          <t>Unattempted</t>
        </is>
      </c>
    </row>
    <row r="254">
      <c r="A254" s="2" t="inlineStr">
        <is>
          <t>Other Practice Paths</t>
        </is>
      </c>
      <c r="B254" s="2" t="inlineStr">
        <is>
          <t>Practice R Programming</t>
        </is>
      </c>
      <c r="C254" s="2" t="inlineStr">
        <is>
          <t>Solve Practice problems online with the Practice R path on CodeChef. Write code for over 170 R coding challenges and prepare for interviews.</t>
        </is>
      </c>
      <c r="D254" s="2" t="inlineStr">
        <is>
          <t>Conditional statements - If / Else statements</t>
        </is>
      </c>
      <c r="E254" s="2" t="n">
        <v>61</v>
      </c>
      <c r="F254" s="2" t="inlineStr">
        <is>
          <t>Use of if-else</t>
        </is>
      </c>
      <c r="G254" s="2" t="inlineStr">
        <is>
          <t>LPRASPR61</t>
        </is>
      </c>
      <c r="H254" s="2" t="inlineStr"/>
      <c r="I254" s="2" t="inlineStr">
        <is>
          <t>Easy</t>
        </is>
      </c>
      <c r="J254" s="3">
        <f>HYPERLINK("https://www.codechef.com/problems/LPRASPR61", "https://www.codechef.com/problems/LPRASPR61")</f>
        <v/>
      </c>
      <c r="K254" s="2" t="inlineStr"/>
      <c r="L254" s="2" t="inlineStr"/>
      <c r="M254" s="2" t="inlineStr"/>
      <c r="N254" s="2" t="inlineStr">
        <is>
          <t>No</t>
        </is>
      </c>
      <c r="O254" s="2" t="inlineStr">
        <is>
          <t>Unattempted</t>
        </is>
      </c>
    </row>
    <row r="255">
      <c r="A255" s="4" t="inlineStr">
        <is>
          <t>Other Practice Paths</t>
        </is>
      </c>
      <c r="B255" s="4" t="inlineStr">
        <is>
          <t>Practice R Programming</t>
        </is>
      </c>
      <c r="C255" s="4" t="inlineStr">
        <is>
          <t>Solve Practice problems online with the Practice R path on CodeChef. Write code for over 170 R coding challenges and prepare for interviews.</t>
        </is>
      </c>
      <c r="D255" s="4" t="inlineStr">
        <is>
          <t>Conditional statements - If / Else statements</t>
        </is>
      </c>
      <c r="E255" s="4" t="n">
        <v>62</v>
      </c>
      <c r="F255" s="4" t="inlineStr">
        <is>
          <t>Check odd number</t>
        </is>
      </c>
      <c r="G255" s="4" t="inlineStr">
        <is>
          <t>LPRASPR62</t>
        </is>
      </c>
      <c r="H255" s="4" t="inlineStr"/>
      <c r="I255" s="4" t="inlineStr">
        <is>
          <t>Easy</t>
        </is>
      </c>
      <c r="J255" s="5">
        <f>HYPERLINK("https://www.codechef.com/problems/LPRASPR62", "https://www.codechef.com/problems/LPRASPR62")</f>
        <v/>
      </c>
      <c r="K255" s="4" t="inlineStr"/>
      <c r="L255" s="4" t="inlineStr"/>
      <c r="M255" s="4" t="inlineStr"/>
      <c r="N255" s="4" t="inlineStr">
        <is>
          <t>No</t>
        </is>
      </c>
      <c r="O255" s="4" t="inlineStr">
        <is>
          <t>Unattempted</t>
        </is>
      </c>
    </row>
    <row r="256">
      <c r="A256" s="2" t="inlineStr">
        <is>
          <t>Other Practice Paths</t>
        </is>
      </c>
      <c r="B256" s="2" t="inlineStr">
        <is>
          <t>Practice R Programming</t>
        </is>
      </c>
      <c r="C256" s="2" t="inlineStr">
        <is>
          <t>Solve Practice problems online with the Practice R path on CodeChef. Write code for over 170 R coding challenges and prepare for interviews.</t>
        </is>
      </c>
      <c r="D256" s="2" t="inlineStr">
        <is>
          <t>Conditional statements - If / Else statements</t>
        </is>
      </c>
      <c r="E256" s="2" t="n">
        <v>63</v>
      </c>
      <c r="F256" s="2" t="inlineStr">
        <is>
          <t>Identify the Symbol</t>
        </is>
      </c>
      <c r="G256" s="2" t="inlineStr">
        <is>
          <t>LPRASPR63</t>
        </is>
      </c>
      <c r="H256" s="2" t="inlineStr"/>
      <c r="I256" s="2" t="inlineStr">
        <is>
          <t>Easy</t>
        </is>
      </c>
      <c r="J256" s="3">
        <f>HYPERLINK("https://www.codechef.com/problems/LPRASPR63", "https://www.codechef.com/problems/LPRASPR63")</f>
        <v/>
      </c>
      <c r="K256" s="2" t="inlineStr"/>
      <c r="L256" s="2" t="inlineStr"/>
      <c r="M256" s="2" t="inlineStr"/>
      <c r="N256" s="2" t="inlineStr">
        <is>
          <t>No</t>
        </is>
      </c>
      <c r="O256" s="2" t="inlineStr">
        <is>
          <t>Unattempted</t>
        </is>
      </c>
    </row>
    <row r="257">
      <c r="A257" s="4" t="inlineStr">
        <is>
          <t>Other Practice Paths</t>
        </is>
      </c>
      <c r="B257" s="4" t="inlineStr">
        <is>
          <t>Practice R Programming</t>
        </is>
      </c>
      <c r="C257" s="4" t="inlineStr">
        <is>
          <t>Solve Practice problems online with the Practice R path on CodeChef. Write code for over 170 R coding challenges and prepare for interviews.</t>
        </is>
      </c>
      <c r="D257" s="4" t="inlineStr">
        <is>
          <t>Conditional statements - If / Else statements</t>
        </is>
      </c>
      <c r="E257" s="4" t="n">
        <v>64</v>
      </c>
      <c r="F257" s="4" t="inlineStr">
        <is>
          <t>Identify the Condition</t>
        </is>
      </c>
      <c r="G257" s="4" t="inlineStr">
        <is>
          <t>LPRASPR64</t>
        </is>
      </c>
      <c r="H257" s="4" t="inlineStr"/>
      <c r="I257" s="4" t="inlineStr">
        <is>
          <t>Easy</t>
        </is>
      </c>
      <c r="J257" s="5">
        <f>HYPERLINK("https://www.codechef.com/problems/LPRASPR64", "https://www.codechef.com/problems/LPRASPR64")</f>
        <v/>
      </c>
      <c r="K257" s="4" t="inlineStr"/>
      <c r="L257" s="4" t="inlineStr"/>
      <c r="M257" s="4" t="inlineStr"/>
      <c r="N257" s="4" t="inlineStr">
        <is>
          <t>No</t>
        </is>
      </c>
      <c r="O257" s="4" t="inlineStr">
        <is>
          <t>Unattempted</t>
        </is>
      </c>
    </row>
    <row r="258">
      <c r="A258" s="2" t="inlineStr">
        <is>
          <t>Other Practice Paths</t>
        </is>
      </c>
      <c r="B258" s="2" t="inlineStr">
        <is>
          <t>Practice R Programming</t>
        </is>
      </c>
      <c r="C258" s="2" t="inlineStr">
        <is>
          <t>Solve Practice problems online with the Practice R path on CodeChef. Write code for over 170 R coding challenges and prepare for interviews.</t>
        </is>
      </c>
      <c r="D258" s="2" t="inlineStr">
        <is>
          <t>Conditional statements - If / Else statements</t>
        </is>
      </c>
      <c r="E258" s="2" t="n">
        <v>65</v>
      </c>
      <c r="F258" s="2" t="inlineStr">
        <is>
          <t>Prodigy Student - Rectify code</t>
        </is>
      </c>
      <c r="G258" s="2" t="inlineStr">
        <is>
          <t>LPRASPR65</t>
        </is>
      </c>
      <c r="H258" s="2" t="inlineStr"/>
      <c r="I258" s="2" t="inlineStr">
        <is>
          <t>Easy</t>
        </is>
      </c>
      <c r="J258" s="3">
        <f>HYPERLINK("https://www.codechef.com/problems/LPRASPR65", "https://www.codechef.com/problems/LPRASPR65")</f>
        <v/>
      </c>
      <c r="K258" s="2" t="inlineStr"/>
      <c r="L258" s="2" t="inlineStr"/>
      <c r="M258" s="2" t="inlineStr"/>
      <c r="N258" s="2" t="inlineStr">
        <is>
          <t>No</t>
        </is>
      </c>
      <c r="O258" s="2" t="inlineStr">
        <is>
          <t>Unattempted</t>
        </is>
      </c>
    </row>
    <row r="259">
      <c r="A259" s="4" t="inlineStr">
        <is>
          <t>Other Practice Paths</t>
        </is>
      </c>
      <c r="B259" s="4" t="inlineStr">
        <is>
          <t>Practice R Programming</t>
        </is>
      </c>
      <c r="C259" s="4" t="inlineStr">
        <is>
          <t>Solve Practice problems online with the Practice R path on CodeChef. Write code for over 170 R coding challenges and prepare for interviews.</t>
        </is>
      </c>
      <c r="D259" s="4" t="inlineStr">
        <is>
          <t>Conditional statements - If / Else statements</t>
        </is>
      </c>
      <c r="E259" s="4" t="n">
        <v>66</v>
      </c>
      <c r="F259" s="4" t="inlineStr">
        <is>
          <t>Print the minimum</t>
        </is>
      </c>
      <c r="G259" s="4" t="inlineStr">
        <is>
          <t>LPRASPR66</t>
        </is>
      </c>
      <c r="H259" s="4" t="inlineStr"/>
      <c r="I259" s="4" t="inlineStr">
        <is>
          <t>Easy</t>
        </is>
      </c>
      <c r="J259" s="5">
        <f>HYPERLINK("https://www.codechef.com/problems/LPRASPR66", "https://www.codechef.com/problems/LPRASPR66")</f>
        <v/>
      </c>
      <c r="K259" s="4" t="inlineStr"/>
      <c r="L259" s="4" t="inlineStr"/>
      <c r="M259" s="4" t="inlineStr"/>
      <c r="N259" s="4" t="inlineStr">
        <is>
          <t>No</t>
        </is>
      </c>
      <c r="O259" s="4" t="inlineStr">
        <is>
          <t>Unattempted</t>
        </is>
      </c>
    </row>
    <row r="260">
      <c r="A260" s="2" t="inlineStr">
        <is>
          <t>Other Practice Paths</t>
        </is>
      </c>
      <c r="B260" s="2" t="inlineStr">
        <is>
          <t>Practice R Programming</t>
        </is>
      </c>
      <c r="C260" s="2" t="inlineStr">
        <is>
          <t>Solve Practice problems online with the Practice R path on CodeChef. Write code for over 170 R coding challenges and prepare for interviews.</t>
        </is>
      </c>
      <c r="D260" s="2" t="inlineStr">
        <is>
          <t xml:space="preserve">Conditional statements - Combining conditions using And / Or	</t>
        </is>
      </c>
      <c r="E260" s="2" t="n">
        <v>67</v>
      </c>
      <c r="F260" s="2" t="inlineStr">
        <is>
          <t>Guess the output</t>
        </is>
      </c>
      <c r="G260" s="2" t="inlineStr">
        <is>
          <t>LPRASPR67</t>
        </is>
      </c>
      <c r="H260" s="2" t="inlineStr"/>
      <c r="I260" s="2" t="inlineStr">
        <is>
          <t>Easy</t>
        </is>
      </c>
      <c r="J260" s="3">
        <f>HYPERLINK("https://www.codechef.com/problems/LPRASPR67", "https://www.codechef.com/problems/LPRASPR67")</f>
        <v/>
      </c>
      <c r="K260" s="2" t="inlineStr"/>
      <c r="L260" s="2" t="inlineStr"/>
      <c r="M260" s="2" t="inlineStr"/>
      <c r="N260" s="2" t="inlineStr">
        <is>
          <t>No</t>
        </is>
      </c>
      <c r="O260" s="2" t="inlineStr">
        <is>
          <t>Unattempted</t>
        </is>
      </c>
    </row>
    <row r="261">
      <c r="A261" s="4" t="inlineStr">
        <is>
          <t>Other Practice Paths</t>
        </is>
      </c>
      <c r="B261" s="4" t="inlineStr">
        <is>
          <t>Practice R Programming</t>
        </is>
      </c>
      <c r="C261" s="4" t="inlineStr">
        <is>
          <t>Solve Practice problems online with the Practice R path on CodeChef. Write code for over 170 R coding challenges and prepare for interviews.</t>
        </is>
      </c>
      <c r="D261" s="4" t="inlineStr">
        <is>
          <t xml:space="preserve">Conditional statements - Combining conditions using And / Or	</t>
        </is>
      </c>
      <c r="E261" s="4" t="n">
        <v>68</v>
      </c>
      <c r="F261" s="4" t="inlineStr">
        <is>
          <t>Guess the output</t>
        </is>
      </c>
      <c r="G261" s="4" t="inlineStr">
        <is>
          <t>LPRASPR68</t>
        </is>
      </c>
      <c r="H261" s="4" t="inlineStr"/>
      <c r="I261" s="4" t="inlineStr">
        <is>
          <t>Easy</t>
        </is>
      </c>
      <c r="J261" s="5">
        <f>HYPERLINK("https://www.codechef.com/problems/LPRASPR68", "https://www.codechef.com/problems/LPRASPR68")</f>
        <v/>
      </c>
      <c r="K261" s="4" t="inlineStr"/>
      <c r="L261" s="4" t="inlineStr"/>
      <c r="M261" s="4" t="inlineStr"/>
      <c r="N261" s="4" t="inlineStr">
        <is>
          <t>No</t>
        </is>
      </c>
      <c r="O261" s="4" t="inlineStr">
        <is>
          <t>Unattempted</t>
        </is>
      </c>
    </row>
    <row r="262">
      <c r="A262" s="2" t="inlineStr">
        <is>
          <t>Other Practice Paths</t>
        </is>
      </c>
      <c r="B262" s="2" t="inlineStr">
        <is>
          <t>Practice R Programming</t>
        </is>
      </c>
      <c r="C262" s="2" t="inlineStr">
        <is>
          <t>Solve Practice problems online with the Practice R path on CodeChef. Write code for over 170 R coding challenges and prepare for interviews.</t>
        </is>
      </c>
      <c r="D262" s="2" t="inlineStr">
        <is>
          <t xml:space="preserve">Conditional statements - Combining conditions using And / Or	</t>
        </is>
      </c>
      <c r="E262" s="2" t="n">
        <v>69</v>
      </c>
      <c r="F262" s="2" t="inlineStr">
        <is>
          <t>Check number</t>
        </is>
      </c>
      <c r="G262" s="2" t="inlineStr">
        <is>
          <t>LPRASPR69</t>
        </is>
      </c>
      <c r="H262" s="2" t="inlineStr"/>
      <c r="I262" s="2" t="inlineStr">
        <is>
          <t>Easy</t>
        </is>
      </c>
      <c r="J262" s="3">
        <f>HYPERLINK("https://www.codechef.com/problems/LPRASPR69", "https://www.codechef.com/problems/LPRASPR69")</f>
        <v/>
      </c>
      <c r="K262" s="2" t="inlineStr"/>
      <c r="L262" s="2" t="inlineStr"/>
      <c r="M262" s="2" t="inlineStr"/>
      <c r="N262" s="2" t="inlineStr">
        <is>
          <t>No</t>
        </is>
      </c>
      <c r="O262" s="2" t="inlineStr">
        <is>
          <t>Unattempted</t>
        </is>
      </c>
    </row>
    <row r="263">
      <c r="A263" s="4" t="inlineStr">
        <is>
          <t>Other Practice Paths</t>
        </is>
      </c>
      <c r="B263" s="4" t="inlineStr">
        <is>
          <t>Practice R Programming</t>
        </is>
      </c>
      <c r="C263" s="4" t="inlineStr">
        <is>
          <t>Solve Practice problems online with the Practice R path on CodeChef. Write code for over 170 R coding challenges and prepare for interviews.</t>
        </is>
      </c>
      <c r="D263" s="4" t="inlineStr">
        <is>
          <t xml:space="preserve">Conditional statements - Combining conditions using And / Or	</t>
        </is>
      </c>
      <c r="E263" s="4" t="n">
        <v>70</v>
      </c>
      <c r="F263" s="4" t="inlineStr">
        <is>
          <t>Guess the output</t>
        </is>
      </c>
      <c r="G263" s="4" t="inlineStr">
        <is>
          <t>LPRASPR70</t>
        </is>
      </c>
      <c r="H263" s="4" t="inlineStr"/>
      <c r="I263" s="4" t="inlineStr">
        <is>
          <t>Easy</t>
        </is>
      </c>
      <c r="J263" s="5">
        <f>HYPERLINK("https://www.codechef.com/problems/LPRASPR70", "https://www.codechef.com/problems/LPRASPR70")</f>
        <v/>
      </c>
      <c r="K263" s="4" t="inlineStr"/>
      <c r="L263" s="4" t="inlineStr"/>
      <c r="M263" s="4" t="inlineStr"/>
      <c r="N263" s="4" t="inlineStr">
        <is>
          <t>No</t>
        </is>
      </c>
      <c r="O263" s="4" t="inlineStr">
        <is>
          <t>Unattempted</t>
        </is>
      </c>
    </row>
    <row r="264">
      <c r="A264" s="2" t="inlineStr">
        <is>
          <t>Other Practice Paths</t>
        </is>
      </c>
      <c r="B264" s="2" t="inlineStr">
        <is>
          <t>Practice R Programming</t>
        </is>
      </c>
      <c r="C264" s="2" t="inlineStr">
        <is>
          <t>Solve Practice problems online with the Practice R path on CodeChef. Write code for over 170 R coding challenges and prepare for interviews.</t>
        </is>
      </c>
      <c r="D264" s="2" t="inlineStr">
        <is>
          <t xml:space="preserve">Conditional statements - Combining conditions using And / Or	</t>
        </is>
      </c>
      <c r="E264" s="2" t="n">
        <v>71</v>
      </c>
      <c r="F264" s="2" t="inlineStr">
        <is>
          <t>Guess the output</t>
        </is>
      </c>
      <c r="G264" s="2" t="inlineStr">
        <is>
          <t>LPRASPR71</t>
        </is>
      </c>
      <c r="H264" s="2" t="inlineStr"/>
      <c r="I264" s="2" t="inlineStr">
        <is>
          <t>Easy</t>
        </is>
      </c>
      <c r="J264" s="3">
        <f>HYPERLINK("https://www.codechef.com/problems/LPRASPR71", "https://www.codechef.com/problems/LPRASPR71")</f>
        <v/>
      </c>
      <c r="K264" s="2" t="inlineStr"/>
      <c r="L264" s="2" t="inlineStr"/>
      <c r="M264" s="2" t="inlineStr"/>
      <c r="N264" s="2" t="inlineStr">
        <is>
          <t>No</t>
        </is>
      </c>
      <c r="O264" s="2" t="inlineStr">
        <is>
          <t>Unattempted</t>
        </is>
      </c>
    </row>
    <row r="265">
      <c r="A265" s="4" t="inlineStr">
        <is>
          <t>Other Practice Paths</t>
        </is>
      </c>
      <c r="B265" s="4" t="inlineStr">
        <is>
          <t>Practice R Programming</t>
        </is>
      </c>
      <c r="C265" s="4" t="inlineStr">
        <is>
          <t>Solve Practice problems online with the Practice R path on CodeChef. Write code for over 170 R coding challenges and prepare for interviews.</t>
        </is>
      </c>
      <c r="D265" s="4" t="inlineStr">
        <is>
          <t xml:space="preserve">Conditional statements - Combining conditions using And / Or	</t>
        </is>
      </c>
      <c r="E265" s="4" t="n">
        <v>72</v>
      </c>
      <c r="F265" s="4" t="inlineStr">
        <is>
          <t>Not Equal</t>
        </is>
      </c>
      <c r="G265" s="4" t="inlineStr">
        <is>
          <t>LPRASPR72</t>
        </is>
      </c>
      <c r="H265" s="4" t="inlineStr"/>
      <c r="I265" s="4" t="inlineStr">
        <is>
          <t>Easy</t>
        </is>
      </c>
      <c r="J265" s="5">
        <f>HYPERLINK("https://www.codechef.com/problems/LPRASPR72", "https://www.codechef.com/problems/LPRASPR72")</f>
        <v/>
      </c>
      <c r="K265" s="4" t="inlineStr"/>
      <c r="L265" s="4" t="inlineStr"/>
      <c r="M265" s="4" t="inlineStr"/>
      <c r="N265" s="4" t="inlineStr">
        <is>
          <t>No</t>
        </is>
      </c>
      <c r="O265" s="4" t="inlineStr">
        <is>
          <t>Unattempted</t>
        </is>
      </c>
    </row>
    <row r="266">
      <c r="A266" s="2" t="inlineStr">
        <is>
          <t>Other Practice Paths</t>
        </is>
      </c>
      <c r="B266" s="2" t="inlineStr">
        <is>
          <t>Practice R Programming</t>
        </is>
      </c>
      <c r="C266" s="2" t="inlineStr">
        <is>
          <t>Solve Practice problems online with the Practice R path on CodeChef. Write code for over 170 R coding challenges and prepare for interviews.</t>
        </is>
      </c>
      <c r="D266" s="2" t="inlineStr">
        <is>
          <t xml:space="preserve">Conditional statements - Combining conditions using And / Or	</t>
        </is>
      </c>
      <c r="E266" s="2" t="n">
        <v>73</v>
      </c>
      <c r="F266" s="2" t="inlineStr">
        <is>
          <t>Guess the output</t>
        </is>
      </c>
      <c r="G266" s="2" t="inlineStr">
        <is>
          <t>LPRASPR73</t>
        </is>
      </c>
      <c r="H266" s="2" t="inlineStr"/>
      <c r="I266" s="2" t="inlineStr">
        <is>
          <t>Easy</t>
        </is>
      </c>
      <c r="J266" s="3">
        <f>HYPERLINK("https://www.codechef.com/problems/LPRASPR73", "https://www.codechef.com/problems/LPRASPR73")</f>
        <v/>
      </c>
      <c r="K266" s="2" t="inlineStr"/>
      <c r="L266" s="2" t="inlineStr"/>
      <c r="M266" s="2" t="inlineStr"/>
      <c r="N266" s="2" t="inlineStr">
        <is>
          <t>No</t>
        </is>
      </c>
      <c r="O266" s="2" t="inlineStr">
        <is>
          <t>Unattempted</t>
        </is>
      </c>
    </row>
    <row r="267">
      <c r="A267" s="4" t="inlineStr">
        <is>
          <t>Other Practice Paths</t>
        </is>
      </c>
      <c r="B267" s="4" t="inlineStr">
        <is>
          <t>Practice R Programming</t>
        </is>
      </c>
      <c r="C267" s="4" t="inlineStr">
        <is>
          <t>Solve Practice problems online with the Practice R path on CodeChef. Write code for over 170 R coding challenges and prepare for interviews.</t>
        </is>
      </c>
      <c r="D267" s="4" t="inlineStr">
        <is>
          <t xml:space="preserve">Conditional statements - Combining conditions using And / Or	</t>
        </is>
      </c>
      <c r="E267" s="4" t="n">
        <v>74</v>
      </c>
      <c r="F267" s="4" t="inlineStr">
        <is>
          <t>Guess the output</t>
        </is>
      </c>
      <c r="G267" s="4" t="inlineStr">
        <is>
          <t>LPRASPR74</t>
        </is>
      </c>
      <c r="H267" s="4" t="inlineStr"/>
      <c r="I267" s="4" t="inlineStr">
        <is>
          <t>Easy</t>
        </is>
      </c>
      <c r="J267" s="5">
        <f>HYPERLINK("https://www.codechef.com/problems/LPRASPR74", "https://www.codechef.com/problems/LPRASPR74")</f>
        <v/>
      </c>
      <c r="K267" s="4" t="inlineStr"/>
      <c r="L267" s="4" t="inlineStr"/>
      <c r="M267" s="4" t="inlineStr"/>
      <c r="N267" s="4" t="inlineStr">
        <is>
          <t>No</t>
        </is>
      </c>
      <c r="O267" s="4" t="inlineStr">
        <is>
          <t>Unattempted</t>
        </is>
      </c>
    </row>
    <row r="268">
      <c r="A268" s="2" t="inlineStr">
        <is>
          <t>Other Practice Paths</t>
        </is>
      </c>
      <c r="B268" s="2" t="inlineStr">
        <is>
          <t>Practice R Programming</t>
        </is>
      </c>
      <c r="C268" s="2" t="inlineStr">
        <is>
          <t>Solve Practice problems online with the Practice R path on CodeChef. Write code for over 170 R coding challenges and prepare for interviews.</t>
        </is>
      </c>
      <c r="D268" s="2" t="inlineStr">
        <is>
          <t xml:space="preserve">Conditional statements - Combining conditions using And / Or	</t>
        </is>
      </c>
      <c r="E268" s="2" t="n">
        <v>75</v>
      </c>
      <c r="F268" s="2" t="inlineStr">
        <is>
          <t>Guess the Output</t>
        </is>
      </c>
      <c r="G268" s="2" t="inlineStr">
        <is>
          <t>LPRASPR75</t>
        </is>
      </c>
      <c r="H268" s="2" t="inlineStr"/>
      <c r="I268" s="2" t="inlineStr">
        <is>
          <t>Easy</t>
        </is>
      </c>
      <c r="J268" s="3">
        <f>HYPERLINK("https://www.codechef.com/problems/LPRASPR75", "https://www.codechef.com/problems/LPRASPR75")</f>
        <v/>
      </c>
      <c r="K268" s="2" t="inlineStr"/>
      <c r="L268" s="2" t="inlineStr"/>
      <c r="M268" s="2" t="inlineStr"/>
      <c r="N268" s="2" t="inlineStr">
        <is>
          <t>No</t>
        </is>
      </c>
      <c r="O268" s="2" t="inlineStr">
        <is>
          <t>Unattempted</t>
        </is>
      </c>
    </row>
    <row r="269">
      <c r="A269" s="4" t="inlineStr">
        <is>
          <t>Other Practice Paths</t>
        </is>
      </c>
      <c r="B269" s="4" t="inlineStr">
        <is>
          <t>Practice R Programming</t>
        </is>
      </c>
      <c r="C269" s="4" t="inlineStr">
        <is>
          <t>Solve Practice problems online with the Practice R path on CodeChef. Write code for over 170 R coding challenges and prepare for interviews.</t>
        </is>
      </c>
      <c r="D269" s="4" t="inlineStr">
        <is>
          <t xml:space="preserve">Conditional statements - Combining conditions using And / Or	</t>
        </is>
      </c>
      <c r="E269" s="4" t="n">
        <v>76</v>
      </c>
      <c r="F269" s="4" t="inlineStr">
        <is>
          <t>Positive or Negative</t>
        </is>
      </c>
      <c r="G269" s="4" t="inlineStr">
        <is>
          <t>LPRASPR76</t>
        </is>
      </c>
      <c r="H269" s="4" t="inlineStr"/>
      <c r="I269" s="4" t="inlineStr">
        <is>
          <t>Easy</t>
        </is>
      </c>
      <c r="J269" s="5">
        <f>HYPERLINK("https://www.codechef.com/problems/LPRASPR76", "https://www.codechef.com/problems/LPRASPR76")</f>
        <v/>
      </c>
      <c r="K269" s="4" t="inlineStr"/>
      <c r="L269" s="4" t="inlineStr"/>
      <c r="M269" s="4" t="inlineStr"/>
      <c r="N269" s="4" t="inlineStr">
        <is>
          <t>No</t>
        </is>
      </c>
      <c r="O269" s="4" t="inlineStr">
        <is>
          <t>Unattempted</t>
        </is>
      </c>
    </row>
    <row r="270">
      <c r="A270" s="2" t="inlineStr">
        <is>
          <t>Other Practice Paths</t>
        </is>
      </c>
      <c r="B270" s="2" t="inlineStr">
        <is>
          <t>Practice R Programming</t>
        </is>
      </c>
      <c r="C270" s="2" t="inlineStr">
        <is>
          <t>Solve Practice problems online with the Practice R path on CodeChef. Write code for over 170 R coding challenges and prepare for interviews.</t>
        </is>
      </c>
      <c r="D270" s="2" t="inlineStr">
        <is>
          <t xml:space="preserve">Conditional statements - Combining conditions using And / Or	</t>
        </is>
      </c>
      <c r="E270" s="2" t="n">
        <v>77</v>
      </c>
      <c r="F270" s="2" t="inlineStr">
        <is>
          <t>Prime Check</t>
        </is>
      </c>
      <c r="G270" s="2" t="inlineStr">
        <is>
          <t>LPRASPR77</t>
        </is>
      </c>
      <c r="H270" s="2" t="inlineStr"/>
      <c r="I270" s="2" t="inlineStr">
        <is>
          <t>Easy</t>
        </is>
      </c>
      <c r="J270" s="3">
        <f>HYPERLINK("https://www.codechef.com/problems/LPRASPR77", "https://www.codechef.com/problems/LPRASPR77")</f>
        <v/>
      </c>
      <c r="K270" s="2" t="inlineStr"/>
      <c r="L270" s="2" t="inlineStr"/>
      <c r="M270" s="2" t="inlineStr"/>
      <c r="N270" s="2" t="inlineStr">
        <is>
          <t>No</t>
        </is>
      </c>
      <c r="O270" s="2" t="inlineStr">
        <is>
          <t>Unattempted</t>
        </is>
      </c>
    </row>
    <row r="271">
      <c r="A271" s="4" t="inlineStr">
        <is>
          <t>Other Practice Paths</t>
        </is>
      </c>
      <c r="B271" s="4" t="inlineStr">
        <is>
          <t>Practice R Programming</t>
        </is>
      </c>
      <c r="C271" s="4" t="inlineStr">
        <is>
          <t>Solve Practice problems online with the Practice R path on CodeChef. Write code for over 170 R coding challenges and prepare for interviews.</t>
        </is>
      </c>
      <c r="D271" s="4" t="inlineStr">
        <is>
          <t xml:space="preserve">Conditional statements - Combining conditions using And / Or	</t>
        </is>
      </c>
      <c r="E271" s="4" t="n">
        <v>78</v>
      </c>
      <c r="F271" s="4" t="inlineStr">
        <is>
          <t>Leap Year</t>
        </is>
      </c>
      <c r="G271" s="4" t="inlineStr">
        <is>
          <t>LPRASPR78</t>
        </is>
      </c>
      <c r="H271" s="4" t="inlineStr"/>
      <c r="I271" s="4" t="inlineStr">
        <is>
          <t>Easy</t>
        </is>
      </c>
      <c r="J271" s="5">
        <f>HYPERLINK("https://www.codechef.com/problems/LPRASPR78", "https://www.codechef.com/problems/LPRASPR78")</f>
        <v/>
      </c>
      <c r="K271" s="4" t="inlineStr"/>
      <c r="L271" s="4" t="inlineStr"/>
      <c r="M271" s="4" t="inlineStr"/>
      <c r="N271" s="4" t="inlineStr">
        <is>
          <t>No</t>
        </is>
      </c>
      <c r="O271" s="4" t="inlineStr">
        <is>
          <t>Unattempted</t>
        </is>
      </c>
    </row>
    <row r="272">
      <c r="A272" s="2" t="inlineStr">
        <is>
          <t>Other Practice Paths</t>
        </is>
      </c>
      <c r="B272" s="2" t="inlineStr">
        <is>
          <t>Practice R Programming</t>
        </is>
      </c>
      <c r="C272" s="2" t="inlineStr">
        <is>
          <t>Solve Practice problems online with the Practice R path on CodeChef. Write code for over 170 R coding challenges and prepare for interviews.</t>
        </is>
      </c>
      <c r="D272" s="2" t="inlineStr">
        <is>
          <t>Conditional statements - Switch</t>
        </is>
      </c>
      <c r="E272" s="2" t="n">
        <v>79</v>
      </c>
      <c r="F272" s="2" t="inlineStr">
        <is>
          <t>Guess the output</t>
        </is>
      </c>
      <c r="G272" s="2" t="inlineStr">
        <is>
          <t>LPRASPR79</t>
        </is>
      </c>
      <c r="H272" s="2" t="inlineStr"/>
      <c r="I272" s="2" t="inlineStr">
        <is>
          <t>Easy</t>
        </is>
      </c>
      <c r="J272" s="3">
        <f>HYPERLINK("https://www.codechef.com/problems/LPRASPR79", "https://www.codechef.com/problems/LPRASPR79")</f>
        <v/>
      </c>
      <c r="K272" s="2" t="inlineStr"/>
      <c r="L272" s="2" t="inlineStr"/>
      <c r="M272" s="2" t="inlineStr"/>
      <c r="N272" s="2" t="inlineStr">
        <is>
          <t>No</t>
        </is>
      </c>
      <c r="O272" s="2" t="inlineStr">
        <is>
          <t>Unattempted</t>
        </is>
      </c>
    </row>
    <row r="273">
      <c r="A273" s="4" t="inlineStr">
        <is>
          <t>Other Practice Paths</t>
        </is>
      </c>
      <c r="B273" s="4" t="inlineStr">
        <is>
          <t>Practice R Programming</t>
        </is>
      </c>
      <c r="C273" s="4" t="inlineStr">
        <is>
          <t>Solve Practice problems online with the Practice R path on CodeChef. Write code for over 170 R coding challenges and prepare for interviews.</t>
        </is>
      </c>
      <c r="D273" s="4" t="inlineStr">
        <is>
          <t>Conditional statements - Switch</t>
        </is>
      </c>
      <c r="E273" s="4" t="n">
        <v>80</v>
      </c>
      <c r="F273" s="4" t="inlineStr">
        <is>
          <t>Use of break</t>
        </is>
      </c>
      <c r="G273" s="4" t="inlineStr">
        <is>
          <t>LPRASPR80</t>
        </is>
      </c>
      <c r="H273" s="4" t="inlineStr"/>
      <c r="I273" s="4" t="inlineStr">
        <is>
          <t>Easy</t>
        </is>
      </c>
      <c r="J273" s="5">
        <f>HYPERLINK("https://www.codechef.com/problems/LPRASPR80", "https://www.codechef.com/problems/LPRASPR80")</f>
        <v/>
      </c>
      <c r="K273" s="4" t="inlineStr"/>
      <c r="L273" s="4" t="inlineStr"/>
      <c r="M273" s="4" t="inlineStr"/>
      <c r="N273" s="4" t="inlineStr">
        <is>
          <t>No</t>
        </is>
      </c>
      <c r="O273" s="4" t="inlineStr">
        <is>
          <t>Unattempted</t>
        </is>
      </c>
    </row>
    <row r="274">
      <c r="A274" s="2" t="inlineStr">
        <is>
          <t>Other Practice Paths</t>
        </is>
      </c>
      <c r="B274" s="2" t="inlineStr">
        <is>
          <t>Practice R Programming</t>
        </is>
      </c>
      <c r="C274" s="2" t="inlineStr">
        <is>
          <t>Solve Practice problems online with the Practice R path on CodeChef. Write code for over 170 R coding challenges and prepare for interviews.</t>
        </is>
      </c>
      <c r="D274" s="2" t="inlineStr">
        <is>
          <t>Conditional statements - Switch</t>
        </is>
      </c>
      <c r="E274" s="2" t="n">
        <v>81</v>
      </c>
      <c r="F274" s="2" t="inlineStr">
        <is>
          <t>Default case</t>
        </is>
      </c>
      <c r="G274" s="2" t="inlineStr">
        <is>
          <t>LPRASPR81</t>
        </is>
      </c>
      <c r="H274" s="2" t="inlineStr"/>
      <c r="I274" s="2" t="inlineStr">
        <is>
          <t>Easy</t>
        </is>
      </c>
      <c r="J274" s="3">
        <f>HYPERLINK("https://www.codechef.com/problems/LPRASPR81", "https://www.codechef.com/problems/LPRASPR81")</f>
        <v/>
      </c>
      <c r="K274" s="2" t="inlineStr"/>
      <c r="L274" s="2" t="inlineStr"/>
      <c r="M274" s="2" t="inlineStr"/>
      <c r="N274" s="2" t="inlineStr">
        <is>
          <t>No</t>
        </is>
      </c>
      <c r="O274" s="2" t="inlineStr">
        <is>
          <t>Unattempted</t>
        </is>
      </c>
    </row>
    <row r="275">
      <c r="A275" s="4" t="inlineStr">
        <is>
          <t>Other Practice Paths</t>
        </is>
      </c>
      <c r="B275" s="4" t="inlineStr">
        <is>
          <t>Practice R Programming</t>
        </is>
      </c>
      <c r="C275" s="4" t="inlineStr">
        <is>
          <t>Solve Practice problems online with the Practice R path on CodeChef. Write code for over 170 R coding challenges and prepare for interviews.</t>
        </is>
      </c>
      <c r="D275" s="4" t="inlineStr">
        <is>
          <t>Conditional statements - Switch</t>
        </is>
      </c>
      <c r="E275" s="4" t="n">
        <v>82</v>
      </c>
      <c r="F275" s="4" t="inlineStr">
        <is>
          <t>No break</t>
        </is>
      </c>
      <c r="G275" s="4" t="inlineStr">
        <is>
          <t>LPRASPR82</t>
        </is>
      </c>
      <c r="H275" s="4" t="inlineStr"/>
      <c r="I275" s="4" t="inlineStr">
        <is>
          <t>Easy</t>
        </is>
      </c>
      <c r="J275" s="5">
        <f>HYPERLINK("https://www.codechef.com/problems/LPRASPR82", "https://www.codechef.com/problems/LPRASPR82")</f>
        <v/>
      </c>
      <c r="K275" s="4" t="inlineStr"/>
      <c r="L275" s="4" t="inlineStr"/>
      <c r="M275" s="4" t="inlineStr"/>
      <c r="N275" s="4" t="inlineStr">
        <is>
          <t>No</t>
        </is>
      </c>
      <c r="O275" s="4" t="inlineStr">
        <is>
          <t>Unattempted</t>
        </is>
      </c>
    </row>
    <row r="276">
      <c r="A276" s="2" t="inlineStr">
        <is>
          <t>Other Practice Paths</t>
        </is>
      </c>
      <c r="B276" s="2" t="inlineStr">
        <is>
          <t>Practice R Programming</t>
        </is>
      </c>
      <c r="C276" s="2" t="inlineStr">
        <is>
          <t>Solve Practice problems online with the Practice R path on CodeChef. Write code for over 170 R coding challenges and prepare for interviews.</t>
        </is>
      </c>
      <c r="D276" s="2" t="inlineStr">
        <is>
          <t>Conditional statements - Switch</t>
        </is>
      </c>
      <c r="E276" s="2" t="n">
        <v>83</v>
      </c>
      <c r="F276" s="2" t="inlineStr">
        <is>
          <t>Guess the output</t>
        </is>
      </c>
      <c r="G276" s="2" t="inlineStr">
        <is>
          <t>LPRASPR83</t>
        </is>
      </c>
      <c r="H276" s="2" t="inlineStr"/>
      <c r="I276" s="2" t="inlineStr">
        <is>
          <t>Easy</t>
        </is>
      </c>
      <c r="J276" s="3">
        <f>HYPERLINK("https://www.codechef.com/problems/LPRASPR83", "https://www.codechef.com/problems/LPRASPR83")</f>
        <v/>
      </c>
      <c r="K276" s="2" t="inlineStr"/>
      <c r="L276" s="2" t="inlineStr"/>
      <c r="M276" s="2" t="inlineStr"/>
      <c r="N276" s="2" t="inlineStr">
        <is>
          <t>No</t>
        </is>
      </c>
      <c r="O276" s="2" t="inlineStr">
        <is>
          <t>Unattempted</t>
        </is>
      </c>
    </row>
    <row r="277">
      <c r="A277" s="4" t="inlineStr">
        <is>
          <t>Other Practice Paths</t>
        </is>
      </c>
      <c r="B277" s="4" t="inlineStr">
        <is>
          <t>Practice R Programming</t>
        </is>
      </c>
      <c r="C277" s="4" t="inlineStr">
        <is>
          <t>Solve Practice problems online with the Practice R path on CodeChef. Write code for over 170 R coding challenges and prepare for interviews.</t>
        </is>
      </c>
      <c r="D277" s="4" t="inlineStr">
        <is>
          <t>Conditional statements - Switch</t>
        </is>
      </c>
      <c r="E277" s="4" t="n">
        <v>84</v>
      </c>
      <c r="F277" s="4" t="inlineStr">
        <is>
          <t>Guess the output</t>
        </is>
      </c>
      <c r="G277" s="4" t="inlineStr">
        <is>
          <t>LPRASPR84</t>
        </is>
      </c>
      <c r="H277" s="4" t="inlineStr"/>
      <c r="I277" s="4" t="inlineStr">
        <is>
          <t>Easy</t>
        </is>
      </c>
      <c r="J277" s="5">
        <f>HYPERLINK("https://www.codechef.com/problems/LPRASPR84", "https://www.codechef.com/problems/LPRASPR84")</f>
        <v/>
      </c>
      <c r="K277" s="4" t="inlineStr"/>
      <c r="L277" s="4" t="inlineStr"/>
      <c r="M277" s="4" t="inlineStr"/>
      <c r="N277" s="4" t="inlineStr">
        <is>
          <t>No</t>
        </is>
      </c>
      <c r="O277" s="4" t="inlineStr">
        <is>
          <t>Unattempted</t>
        </is>
      </c>
    </row>
    <row r="278">
      <c r="A278" s="2" t="inlineStr">
        <is>
          <t>Other Practice Paths</t>
        </is>
      </c>
      <c r="B278" s="2" t="inlineStr">
        <is>
          <t>Practice R Programming</t>
        </is>
      </c>
      <c r="C278" s="2" t="inlineStr">
        <is>
          <t>Solve Practice problems online with the Practice R path on CodeChef. Write code for over 170 R coding challenges and prepare for interviews.</t>
        </is>
      </c>
      <c r="D278" s="2" t="inlineStr">
        <is>
          <t>Conditional statements - Switch</t>
        </is>
      </c>
      <c r="E278" s="2" t="n">
        <v>85</v>
      </c>
      <c r="F278" s="2" t="inlineStr">
        <is>
          <t>Guess the output</t>
        </is>
      </c>
      <c r="G278" s="2" t="inlineStr">
        <is>
          <t>LPRASPR85</t>
        </is>
      </c>
      <c r="H278" s="2" t="inlineStr"/>
      <c r="I278" s="2" t="inlineStr">
        <is>
          <t>Easy</t>
        </is>
      </c>
      <c r="J278" s="3">
        <f>HYPERLINK("https://www.codechef.com/problems/LPRASPR85", "https://www.codechef.com/problems/LPRASPR85")</f>
        <v/>
      </c>
      <c r="K278" s="2" t="inlineStr"/>
      <c r="L278" s="2" t="inlineStr"/>
      <c r="M278" s="2" t="inlineStr"/>
      <c r="N278" s="2" t="inlineStr">
        <is>
          <t>No</t>
        </is>
      </c>
      <c r="O278" s="2" t="inlineStr">
        <is>
          <t>Unattempted</t>
        </is>
      </c>
    </row>
    <row r="279">
      <c r="A279" s="4" t="inlineStr">
        <is>
          <t>Other Practice Paths</t>
        </is>
      </c>
      <c r="B279" s="4" t="inlineStr">
        <is>
          <t>Practice R Programming</t>
        </is>
      </c>
      <c r="C279" s="4" t="inlineStr">
        <is>
          <t>Solve Practice problems online with the Practice R path on CodeChef. Write code for over 170 R coding challenges and prepare for interviews.</t>
        </is>
      </c>
      <c r="D279" s="4" t="inlineStr">
        <is>
          <t>Conditional statements - Switch</t>
        </is>
      </c>
      <c r="E279" s="4" t="n">
        <v>86</v>
      </c>
      <c r="F279" s="4" t="inlineStr">
        <is>
          <t>Default Case</t>
        </is>
      </c>
      <c r="G279" s="4" t="inlineStr">
        <is>
          <t>LPRASPR86</t>
        </is>
      </c>
      <c r="H279" s="4" t="inlineStr"/>
      <c r="I279" s="4" t="inlineStr">
        <is>
          <t>Easy</t>
        </is>
      </c>
      <c r="J279" s="5">
        <f>HYPERLINK("https://www.codechef.com/problems/LPRASPR86", "https://www.codechef.com/problems/LPRASPR86")</f>
        <v/>
      </c>
      <c r="K279" s="4" t="inlineStr"/>
      <c r="L279" s="4" t="inlineStr"/>
      <c r="M279" s="4" t="inlineStr"/>
      <c r="N279" s="4" t="inlineStr">
        <is>
          <t>No</t>
        </is>
      </c>
      <c r="O279" s="4" t="inlineStr">
        <is>
          <t>Unattempted</t>
        </is>
      </c>
    </row>
    <row r="280">
      <c r="A280" s="2" t="inlineStr">
        <is>
          <t>Other Practice Paths</t>
        </is>
      </c>
      <c r="B280" s="2" t="inlineStr">
        <is>
          <t>Practice R Programming</t>
        </is>
      </c>
      <c r="C280" s="2" t="inlineStr">
        <is>
          <t>Solve Practice problems online with the Practice R path on CodeChef. Write code for over 170 R coding challenges and prepare for interviews.</t>
        </is>
      </c>
      <c r="D280" s="2" t="inlineStr">
        <is>
          <t>Conditional statements - Switch</t>
        </is>
      </c>
      <c r="E280" s="2" t="n">
        <v>87</v>
      </c>
      <c r="F280" s="2" t="inlineStr">
        <is>
          <t>Vowel or Consonant</t>
        </is>
      </c>
      <c r="G280" s="2" t="inlineStr">
        <is>
          <t>LPRASPR87</t>
        </is>
      </c>
      <c r="H280" s="2" t="inlineStr"/>
      <c r="I280" s="2" t="inlineStr">
        <is>
          <t>Easy</t>
        </is>
      </c>
      <c r="J280" s="3">
        <f>HYPERLINK("https://www.codechef.com/problems/LPRASPR87", "https://www.codechef.com/problems/LPRASPR87")</f>
        <v/>
      </c>
      <c r="K280" s="2" t="inlineStr"/>
      <c r="L280" s="2" t="inlineStr"/>
      <c r="M280" s="2" t="inlineStr"/>
      <c r="N280" s="2" t="inlineStr">
        <is>
          <t>No</t>
        </is>
      </c>
      <c r="O280" s="2" t="inlineStr">
        <is>
          <t>Unattempted</t>
        </is>
      </c>
    </row>
    <row r="281">
      <c r="A281" s="4" t="inlineStr">
        <is>
          <t>Other Practice Paths</t>
        </is>
      </c>
      <c r="B281" s="4" t="inlineStr">
        <is>
          <t>Practice R Programming</t>
        </is>
      </c>
      <c r="C281" s="4" t="inlineStr">
        <is>
          <t>Solve Practice problems online with the Practice R path on CodeChef. Write code for over 170 R coding challenges and prepare for interviews.</t>
        </is>
      </c>
      <c r="D281" s="4" t="inlineStr">
        <is>
          <t>Conditional statements - Switch</t>
        </is>
      </c>
      <c r="E281" s="4" t="n">
        <v>88</v>
      </c>
      <c r="F281" s="4" t="inlineStr">
        <is>
          <t>Arithmetic operation</t>
        </is>
      </c>
      <c r="G281" s="4" t="inlineStr">
        <is>
          <t>LPRASPR88</t>
        </is>
      </c>
      <c r="H281" s="4" t="inlineStr"/>
      <c r="I281" s="4" t="inlineStr">
        <is>
          <t>Easy</t>
        </is>
      </c>
      <c r="J281" s="5">
        <f>HYPERLINK("https://www.codechef.com/problems/LPRASPR88", "https://www.codechef.com/problems/LPRASPR88")</f>
        <v/>
      </c>
      <c r="K281" s="4" t="inlineStr"/>
      <c r="L281" s="4" t="inlineStr"/>
      <c r="M281" s="4" t="inlineStr"/>
      <c r="N281" s="4" t="inlineStr">
        <is>
          <t>No</t>
        </is>
      </c>
      <c r="O281" s="4" t="inlineStr">
        <is>
          <t>Unattempted</t>
        </is>
      </c>
    </row>
    <row r="282">
      <c r="A282" s="2" t="inlineStr">
        <is>
          <t>Other Practice Paths</t>
        </is>
      </c>
      <c r="B282" s="2" t="inlineStr">
        <is>
          <t>Practice R Programming</t>
        </is>
      </c>
      <c r="C282" s="2" t="inlineStr">
        <is>
          <t>Solve Practice problems online with the Practice R path on CodeChef. Write code for over 170 R coding challenges and prepare for interviews.</t>
        </is>
      </c>
      <c r="D282" s="2" t="inlineStr">
        <is>
          <t>Debug common errors - Debug common errors</t>
        </is>
      </c>
      <c r="E282" s="2" t="n">
        <v>89</v>
      </c>
      <c r="F282" s="2" t="inlineStr">
        <is>
          <t>Compilation error</t>
        </is>
      </c>
      <c r="G282" s="2" t="inlineStr">
        <is>
          <t>LPRASPR89</t>
        </is>
      </c>
      <c r="H282" s="2" t="inlineStr"/>
      <c r="I282" s="2" t="inlineStr">
        <is>
          <t>Easy</t>
        </is>
      </c>
      <c r="J282" s="3">
        <f>HYPERLINK("https://www.codechef.com/problems/LPRASPR89", "https://www.codechef.com/problems/LPRASPR89")</f>
        <v/>
      </c>
      <c r="K282" s="2" t="inlineStr"/>
      <c r="L282" s="2" t="inlineStr"/>
      <c r="M282" s="2" t="inlineStr"/>
      <c r="N282" s="2" t="inlineStr">
        <is>
          <t>No</t>
        </is>
      </c>
      <c r="O282" s="2" t="inlineStr">
        <is>
          <t>Unattempted</t>
        </is>
      </c>
    </row>
    <row r="283">
      <c r="A283" s="4" t="inlineStr">
        <is>
          <t>Other Practice Paths</t>
        </is>
      </c>
      <c r="B283" s="4" t="inlineStr">
        <is>
          <t>Practice R Programming</t>
        </is>
      </c>
      <c r="C283" s="4" t="inlineStr">
        <is>
          <t>Solve Practice problems online with the Practice R path on CodeChef. Write code for over 170 R coding challenges and prepare for interviews.</t>
        </is>
      </c>
      <c r="D283" s="4" t="inlineStr">
        <is>
          <t>Debug common errors - Debug common errors</t>
        </is>
      </c>
      <c r="E283" s="4" t="n">
        <v>90</v>
      </c>
      <c r="F283" s="4" t="inlineStr">
        <is>
          <t>Guess the error</t>
        </is>
      </c>
      <c r="G283" s="4" t="inlineStr">
        <is>
          <t>LPRASPR90</t>
        </is>
      </c>
      <c r="H283" s="4" t="inlineStr"/>
      <c r="I283" s="4" t="inlineStr">
        <is>
          <t>Easy</t>
        </is>
      </c>
      <c r="J283" s="5">
        <f>HYPERLINK("https://www.codechef.com/problems/LPRASPR90", "https://www.codechef.com/problems/LPRASPR90")</f>
        <v/>
      </c>
      <c r="K283" s="4" t="inlineStr"/>
      <c r="L283" s="4" t="inlineStr"/>
      <c r="M283" s="4" t="inlineStr"/>
      <c r="N283" s="4" t="inlineStr">
        <is>
          <t>No</t>
        </is>
      </c>
      <c r="O283" s="4" t="inlineStr">
        <is>
          <t>Unattempted</t>
        </is>
      </c>
    </row>
    <row r="284">
      <c r="A284" s="2" t="inlineStr">
        <is>
          <t>Other Practice Paths</t>
        </is>
      </c>
      <c r="B284" s="2" t="inlineStr">
        <is>
          <t>Practice R Programming</t>
        </is>
      </c>
      <c r="C284" s="2" t="inlineStr">
        <is>
          <t>Solve Practice problems online with the Practice R path on CodeChef. Write code for over 170 R coding challenges and prepare for interviews.</t>
        </is>
      </c>
      <c r="D284" s="2" t="inlineStr">
        <is>
          <t>Debug common errors - Debug common errors</t>
        </is>
      </c>
      <c r="E284" s="2" t="n">
        <v>91</v>
      </c>
      <c r="F284" s="2" t="inlineStr">
        <is>
          <t>Guess the error</t>
        </is>
      </c>
      <c r="G284" s="2" t="inlineStr">
        <is>
          <t>LPRASPR91</t>
        </is>
      </c>
      <c r="H284" s="2" t="inlineStr"/>
      <c r="I284" s="2" t="inlineStr">
        <is>
          <t>Easy</t>
        </is>
      </c>
      <c r="J284" s="3">
        <f>HYPERLINK("https://www.codechef.com/problems/LPRASPR91", "https://www.codechef.com/problems/LPRASPR91")</f>
        <v/>
      </c>
      <c r="K284" s="2" t="inlineStr"/>
      <c r="L284" s="2" t="inlineStr"/>
      <c r="M284" s="2" t="inlineStr"/>
      <c r="N284" s="2" t="inlineStr">
        <is>
          <t>No</t>
        </is>
      </c>
      <c r="O284" s="2" t="inlineStr">
        <is>
          <t>Unattempted</t>
        </is>
      </c>
    </row>
    <row r="285">
      <c r="A285" s="4" t="inlineStr">
        <is>
          <t>Other Practice Paths</t>
        </is>
      </c>
      <c r="B285" s="4" t="inlineStr">
        <is>
          <t>Practice R Programming</t>
        </is>
      </c>
      <c r="C285" s="4" t="inlineStr">
        <is>
          <t>Solve Practice problems online with the Practice R path on CodeChef. Write code for over 170 R coding challenges and prepare for interviews.</t>
        </is>
      </c>
      <c r="D285" s="4" t="inlineStr">
        <is>
          <t>Debug common errors - Debug common errors</t>
        </is>
      </c>
      <c r="E285" s="4" t="n">
        <v>92</v>
      </c>
      <c r="F285" s="4" t="inlineStr">
        <is>
          <t>Guess the error</t>
        </is>
      </c>
      <c r="G285" s="4" t="inlineStr">
        <is>
          <t>LPRASPR92</t>
        </is>
      </c>
      <c r="H285" s="4" t="inlineStr"/>
      <c r="I285" s="4" t="inlineStr">
        <is>
          <t>Easy</t>
        </is>
      </c>
      <c r="J285" s="5">
        <f>HYPERLINK("https://www.codechef.com/problems/LPRASPR92", "https://www.codechef.com/problems/LPRASPR92")</f>
        <v/>
      </c>
      <c r="K285" s="4" t="inlineStr"/>
      <c r="L285" s="4" t="inlineStr"/>
      <c r="M285" s="4" t="inlineStr"/>
      <c r="N285" s="4" t="inlineStr">
        <is>
          <t>No</t>
        </is>
      </c>
      <c r="O285" s="4" t="inlineStr">
        <is>
          <t>Unattempted</t>
        </is>
      </c>
    </row>
    <row r="286">
      <c r="A286" s="2" t="inlineStr">
        <is>
          <t>Other Practice Paths</t>
        </is>
      </c>
      <c r="B286" s="2" t="inlineStr">
        <is>
          <t>Practice R Programming</t>
        </is>
      </c>
      <c r="C286" s="2" t="inlineStr">
        <is>
          <t>Solve Practice problems online with the Practice R path on CodeChef. Write code for over 170 R coding challenges and prepare for interviews.</t>
        </is>
      </c>
      <c r="D286" s="2" t="inlineStr">
        <is>
          <t>Debug common errors - Debug common errors</t>
        </is>
      </c>
      <c r="E286" s="2" t="n">
        <v>93</v>
      </c>
      <c r="F286" s="2" t="inlineStr">
        <is>
          <t>Guess the Output</t>
        </is>
      </c>
      <c r="G286" s="2" t="inlineStr">
        <is>
          <t>LPRASPR93</t>
        </is>
      </c>
      <c r="H286" s="2" t="inlineStr"/>
      <c r="I286" s="2" t="inlineStr">
        <is>
          <t>Easy</t>
        </is>
      </c>
      <c r="J286" s="3">
        <f>HYPERLINK("https://www.codechef.com/problems/LPRASPR93", "https://www.codechef.com/problems/LPRASPR93")</f>
        <v/>
      </c>
      <c r="K286" s="2" t="inlineStr"/>
      <c r="L286" s="2" t="inlineStr"/>
      <c r="M286" s="2" t="inlineStr"/>
      <c r="N286" s="2" t="inlineStr">
        <is>
          <t>No</t>
        </is>
      </c>
      <c r="O286" s="2" t="inlineStr">
        <is>
          <t>Unattempted</t>
        </is>
      </c>
    </row>
    <row r="287">
      <c r="A287" s="4" t="inlineStr">
        <is>
          <t>Other Practice Paths</t>
        </is>
      </c>
      <c r="B287" s="4" t="inlineStr">
        <is>
          <t>Practice R Programming</t>
        </is>
      </c>
      <c r="C287" s="4" t="inlineStr">
        <is>
          <t>Solve Practice problems online with the Practice R path on CodeChef. Write code for over 170 R coding challenges and prepare for interviews.</t>
        </is>
      </c>
      <c r="D287" s="4" t="inlineStr">
        <is>
          <t>Debug common errors - Debug common errors</t>
        </is>
      </c>
      <c r="E287" s="4" t="n">
        <v>94</v>
      </c>
      <c r="F287" s="4" t="inlineStr">
        <is>
          <t>Identify the error</t>
        </is>
      </c>
      <c r="G287" s="4" t="inlineStr">
        <is>
          <t>LPRASPR94</t>
        </is>
      </c>
      <c r="H287" s="4" t="inlineStr"/>
      <c r="I287" s="4" t="inlineStr">
        <is>
          <t>Easy</t>
        </is>
      </c>
      <c r="J287" s="5">
        <f>HYPERLINK("https://www.codechef.com/problems/LPRASPR94", "https://www.codechef.com/problems/LPRASPR94")</f>
        <v/>
      </c>
      <c r="K287" s="4" t="inlineStr"/>
      <c r="L287" s="4" t="inlineStr"/>
      <c r="M287" s="4" t="inlineStr"/>
      <c r="N287" s="4" t="inlineStr">
        <is>
          <t>No</t>
        </is>
      </c>
      <c r="O287" s="4" t="inlineStr">
        <is>
          <t>Unattempted</t>
        </is>
      </c>
    </row>
    <row r="288">
      <c r="A288" s="2" t="inlineStr">
        <is>
          <t>Other Practice Paths</t>
        </is>
      </c>
      <c r="B288" s="2" t="inlineStr">
        <is>
          <t>Practice R Programming</t>
        </is>
      </c>
      <c r="C288" s="2" t="inlineStr">
        <is>
          <t>Solve Practice problems online with the Practice R path on CodeChef. Write code for over 170 R coding challenges and prepare for interviews.</t>
        </is>
      </c>
      <c r="D288" s="2" t="inlineStr">
        <is>
          <t>Debug common errors - Debug common errors</t>
        </is>
      </c>
      <c r="E288" s="2" t="n">
        <v>95</v>
      </c>
      <c r="F288" s="2" t="inlineStr">
        <is>
          <t>Identify the error</t>
        </is>
      </c>
      <c r="G288" s="2" t="inlineStr">
        <is>
          <t>LPRASPR95</t>
        </is>
      </c>
      <c r="H288" s="2" t="inlineStr"/>
      <c r="I288" s="2" t="inlineStr">
        <is>
          <t>Easy</t>
        </is>
      </c>
      <c r="J288" s="3">
        <f>HYPERLINK("https://www.codechef.com/problems/LPRASPR95", "https://www.codechef.com/problems/LPRASPR95")</f>
        <v/>
      </c>
      <c r="K288" s="2" t="inlineStr"/>
      <c r="L288" s="2" t="inlineStr"/>
      <c r="M288" s="2" t="inlineStr"/>
      <c r="N288" s="2" t="inlineStr">
        <is>
          <t>No</t>
        </is>
      </c>
      <c r="O288" s="2" t="inlineStr">
        <is>
          <t>Unattempted</t>
        </is>
      </c>
    </row>
    <row r="289">
      <c r="A289" s="4" t="inlineStr">
        <is>
          <t>Other Practice Paths</t>
        </is>
      </c>
      <c r="B289" s="4" t="inlineStr">
        <is>
          <t>Practice R Programming</t>
        </is>
      </c>
      <c r="C289" s="4" t="inlineStr">
        <is>
          <t>Solve Practice problems online with the Practice R path on CodeChef. Write code for over 170 R coding challenges and prepare for interviews.</t>
        </is>
      </c>
      <c r="D289" s="4" t="inlineStr">
        <is>
          <t>Debug common errors - Debug common errors</t>
        </is>
      </c>
      <c r="E289" s="4" t="n">
        <v>96</v>
      </c>
      <c r="F289" s="4" t="inlineStr">
        <is>
          <t>Identify the error</t>
        </is>
      </c>
      <c r="G289" s="4" t="inlineStr">
        <is>
          <t>LPRASPR96</t>
        </is>
      </c>
      <c r="H289" s="4" t="inlineStr"/>
      <c r="I289" s="4" t="inlineStr">
        <is>
          <t>Easy</t>
        </is>
      </c>
      <c r="J289" s="5">
        <f>HYPERLINK("https://www.codechef.com/problems/LPRASPR96", "https://www.codechef.com/problems/LPRASPR96")</f>
        <v/>
      </c>
      <c r="K289" s="4" t="inlineStr"/>
      <c r="L289" s="4" t="inlineStr"/>
      <c r="M289" s="4" t="inlineStr"/>
      <c r="N289" s="4" t="inlineStr">
        <is>
          <t>No</t>
        </is>
      </c>
      <c r="O289" s="4" t="inlineStr">
        <is>
          <t>Unattempted</t>
        </is>
      </c>
    </row>
    <row r="290">
      <c r="A290" s="2" t="inlineStr">
        <is>
          <t>Other Practice Paths</t>
        </is>
      </c>
      <c r="B290" s="2" t="inlineStr">
        <is>
          <t>Practice R Programming</t>
        </is>
      </c>
      <c r="C290" s="2" t="inlineStr">
        <is>
          <t>Solve Practice problems online with the Practice R path on CodeChef. Write code for over 170 R coding challenges and prepare for interviews.</t>
        </is>
      </c>
      <c r="D290" s="2" t="inlineStr">
        <is>
          <t>Debug common errors - Debug common errors</t>
        </is>
      </c>
      <c r="E290" s="2" t="n">
        <v>97</v>
      </c>
      <c r="F290" s="2" t="inlineStr">
        <is>
          <t>Identify the error</t>
        </is>
      </c>
      <c r="G290" s="2" t="inlineStr">
        <is>
          <t>LPRASPR97</t>
        </is>
      </c>
      <c r="H290" s="2" t="inlineStr"/>
      <c r="I290" s="2" t="inlineStr">
        <is>
          <t>Easy</t>
        </is>
      </c>
      <c r="J290" s="3">
        <f>HYPERLINK("https://www.codechef.com/problems/LPRASPR97", "https://www.codechef.com/problems/LPRASPR97")</f>
        <v/>
      </c>
      <c r="K290" s="2" t="inlineStr"/>
      <c r="L290" s="2" t="inlineStr"/>
      <c r="M290" s="2" t="inlineStr"/>
      <c r="N290" s="2" t="inlineStr">
        <is>
          <t>No</t>
        </is>
      </c>
      <c r="O290" s="2" t="inlineStr">
        <is>
          <t>Unattempted</t>
        </is>
      </c>
    </row>
    <row r="291">
      <c r="A291" s="4" t="inlineStr">
        <is>
          <t>Other Practice Paths</t>
        </is>
      </c>
      <c r="B291" s="4" t="inlineStr">
        <is>
          <t>Practice R Programming</t>
        </is>
      </c>
      <c r="C291" s="4" t="inlineStr">
        <is>
          <t>Solve Practice problems online with the Practice R path on CodeChef. Write code for over 170 R coding challenges and prepare for interviews.</t>
        </is>
      </c>
      <c r="D291" s="4" t="inlineStr">
        <is>
          <t>Debug common errors - Debug common errors</t>
        </is>
      </c>
      <c r="E291" s="4" t="n">
        <v>98</v>
      </c>
      <c r="F291" s="4" t="inlineStr">
        <is>
          <t>Identify the error</t>
        </is>
      </c>
      <c r="G291" s="4" t="inlineStr">
        <is>
          <t>LPRASPR98</t>
        </is>
      </c>
      <c r="H291" s="4" t="inlineStr"/>
      <c r="I291" s="4" t="inlineStr">
        <is>
          <t>Easy</t>
        </is>
      </c>
      <c r="J291" s="5">
        <f>HYPERLINK("https://www.codechef.com/problems/LPRASPR98", "https://www.codechef.com/problems/LPRASPR98")</f>
        <v/>
      </c>
      <c r="K291" s="4" t="inlineStr"/>
      <c r="L291" s="4" t="inlineStr"/>
      <c r="M291" s="4" t="inlineStr"/>
      <c r="N291" s="4" t="inlineStr">
        <is>
          <t>No</t>
        </is>
      </c>
      <c r="O291" s="4" t="inlineStr">
        <is>
          <t>Unattempted</t>
        </is>
      </c>
    </row>
    <row r="292">
      <c r="A292" s="2" t="inlineStr">
        <is>
          <t>Other Practice Paths</t>
        </is>
      </c>
      <c r="B292" s="2" t="inlineStr">
        <is>
          <t>Practice R Programming</t>
        </is>
      </c>
      <c r="C292" s="2" t="inlineStr">
        <is>
          <t>Solve Practice problems online with the Practice R path on CodeChef. Write code for over 170 R coding challenges and prepare for interviews.</t>
        </is>
      </c>
      <c r="D292" s="2" t="inlineStr">
        <is>
          <t>Debug common errors - Debug common errors</t>
        </is>
      </c>
      <c r="E292" s="2" t="n">
        <v>99</v>
      </c>
      <c r="F292" s="2" t="inlineStr">
        <is>
          <t>Which Day It Is</t>
        </is>
      </c>
      <c r="G292" s="2" t="inlineStr">
        <is>
          <t>LPRASPR99</t>
        </is>
      </c>
      <c r="H292" s="2" t="inlineStr"/>
      <c r="I292" s="2" t="inlineStr">
        <is>
          <t>Easy</t>
        </is>
      </c>
      <c r="J292" s="3">
        <f>HYPERLINK("https://www.codechef.com/problems/LPRASPR99", "https://www.codechef.com/problems/LPRASPR99")</f>
        <v/>
      </c>
      <c r="K292" s="2" t="inlineStr"/>
      <c r="L292" s="2" t="inlineStr"/>
      <c r="M292" s="2" t="inlineStr"/>
      <c r="N292" s="2" t="inlineStr">
        <is>
          <t>No</t>
        </is>
      </c>
      <c r="O292" s="2" t="inlineStr">
        <is>
          <t>Unattempted</t>
        </is>
      </c>
    </row>
    <row r="293">
      <c r="A293" s="4" t="inlineStr">
        <is>
          <t>Other Practice Paths</t>
        </is>
      </c>
      <c r="B293" s="4" t="inlineStr">
        <is>
          <t>Practice R Programming</t>
        </is>
      </c>
      <c r="C293" s="4" t="inlineStr">
        <is>
          <t>Solve Practice problems online with the Practice R path on CodeChef. Write code for over 170 R coding challenges and prepare for interviews.</t>
        </is>
      </c>
      <c r="D293" s="4" t="inlineStr">
        <is>
          <t>Debug common errors - Debug common errors</t>
        </is>
      </c>
      <c r="E293" s="4" t="n">
        <v>100</v>
      </c>
      <c r="F293" s="4" t="inlineStr">
        <is>
          <t>Whats Wrong</t>
        </is>
      </c>
      <c r="G293" s="4" t="inlineStr">
        <is>
          <t>LPRASPR100</t>
        </is>
      </c>
      <c r="H293" s="4" t="inlineStr"/>
      <c r="I293" s="4" t="inlineStr">
        <is>
          <t>Easy</t>
        </is>
      </c>
      <c r="J293" s="5">
        <f>HYPERLINK("https://www.codechef.com/problems/LPRASPR100", "https://www.codechef.com/problems/LPRASPR100")</f>
        <v/>
      </c>
      <c r="K293" s="4" t="inlineStr"/>
      <c r="L293" s="4" t="inlineStr"/>
      <c r="M293" s="4" t="inlineStr"/>
      <c r="N293" s="4" t="inlineStr">
        <is>
          <t>No</t>
        </is>
      </c>
      <c r="O293" s="4" t="inlineStr">
        <is>
          <t>Unattempted</t>
        </is>
      </c>
    </row>
    <row r="294">
      <c r="A294" s="2" t="inlineStr">
        <is>
          <t>Other Practice Paths</t>
        </is>
      </c>
      <c r="B294" s="2" t="inlineStr">
        <is>
          <t>Practice R Programming</t>
        </is>
      </c>
      <c r="C294" s="2" t="inlineStr">
        <is>
          <t>Solve Practice problems online with the Practice R path on CodeChef. Write code for over 170 R coding challenges and prepare for interviews.</t>
        </is>
      </c>
      <c r="D294" s="2" t="inlineStr">
        <is>
          <t>Arrays - Arrays</t>
        </is>
      </c>
      <c r="E294" s="2" t="n">
        <v>101</v>
      </c>
      <c r="F294" s="2" t="inlineStr">
        <is>
          <t>Declare Vector</t>
        </is>
      </c>
      <c r="G294" s="2" t="inlineStr">
        <is>
          <t>LPRASPR101</t>
        </is>
      </c>
      <c r="H294" s="2" t="inlineStr"/>
      <c r="I294" s="2" t="inlineStr">
        <is>
          <t>Easy</t>
        </is>
      </c>
      <c r="J294" s="3">
        <f>HYPERLINK("https://www.codechef.com/problems/LPRASPR101", "https://www.codechef.com/problems/LPRASPR101")</f>
        <v/>
      </c>
      <c r="K294" s="2" t="inlineStr"/>
      <c r="L294" s="2" t="inlineStr"/>
      <c r="M294" s="2" t="inlineStr"/>
      <c r="N294" s="2" t="inlineStr">
        <is>
          <t>No</t>
        </is>
      </c>
      <c r="O294" s="2" t="inlineStr">
        <is>
          <t>Unattempted</t>
        </is>
      </c>
    </row>
    <row r="295">
      <c r="A295" s="4" t="inlineStr">
        <is>
          <t>Other Practice Paths</t>
        </is>
      </c>
      <c r="B295" s="4" t="inlineStr">
        <is>
          <t>Practice R Programming</t>
        </is>
      </c>
      <c r="C295" s="4" t="inlineStr">
        <is>
          <t>Solve Practice problems online with the Practice R path on CodeChef. Write code for over 170 R coding challenges and prepare for interviews.</t>
        </is>
      </c>
      <c r="D295" s="4" t="inlineStr">
        <is>
          <t>Arrays - Arrays</t>
        </is>
      </c>
      <c r="E295" s="4" t="n">
        <v>102</v>
      </c>
      <c r="F295" s="4" t="inlineStr">
        <is>
          <t>Guess the output</t>
        </is>
      </c>
      <c r="G295" s="4" t="inlineStr">
        <is>
          <t>LPRASPR102</t>
        </is>
      </c>
      <c r="H295" s="4" t="inlineStr"/>
      <c r="I295" s="4" t="inlineStr">
        <is>
          <t>Easy</t>
        </is>
      </c>
      <c r="J295" s="5">
        <f>HYPERLINK("https://www.codechef.com/problems/LPRASPR102", "https://www.codechef.com/problems/LPRASPR102")</f>
        <v/>
      </c>
      <c r="K295" s="4" t="inlineStr"/>
      <c r="L295" s="4" t="inlineStr"/>
      <c r="M295" s="4" t="inlineStr"/>
      <c r="N295" s="4" t="inlineStr">
        <is>
          <t>No</t>
        </is>
      </c>
      <c r="O295" s="4" t="inlineStr">
        <is>
          <t>Unattempted</t>
        </is>
      </c>
    </row>
    <row r="296">
      <c r="A296" s="2" t="inlineStr">
        <is>
          <t>Other Practice Paths</t>
        </is>
      </c>
      <c r="B296" s="2" t="inlineStr">
        <is>
          <t>Practice R Programming</t>
        </is>
      </c>
      <c r="C296" s="2" t="inlineStr">
        <is>
          <t>Solve Practice problems online with the Practice R path on CodeChef. Write code for over 170 R coding challenges and prepare for interviews.</t>
        </is>
      </c>
      <c r="D296" s="2" t="inlineStr">
        <is>
          <t>Arrays - Arrays</t>
        </is>
      </c>
      <c r="E296" s="2" t="n">
        <v>103</v>
      </c>
      <c r="F296" s="2" t="inlineStr">
        <is>
          <t>Guess the output</t>
        </is>
      </c>
      <c r="G296" s="2" t="inlineStr">
        <is>
          <t>LPRASPR103</t>
        </is>
      </c>
      <c r="H296" s="2" t="inlineStr"/>
      <c r="I296" s="2" t="inlineStr">
        <is>
          <t>Easy</t>
        </is>
      </c>
      <c r="J296" s="3">
        <f>HYPERLINK("https://www.codechef.com/problems/LPRASPR103", "https://www.codechef.com/problems/LPRASPR103")</f>
        <v/>
      </c>
      <c r="K296" s="2" t="inlineStr"/>
      <c r="L296" s="2" t="inlineStr"/>
      <c r="M296" s="2" t="inlineStr"/>
      <c r="N296" s="2" t="inlineStr">
        <is>
          <t>No</t>
        </is>
      </c>
      <c r="O296" s="2" t="inlineStr">
        <is>
          <t>Unattempted</t>
        </is>
      </c>
    </row>
    <row r="297">
      <c r="A297" s="4" t="inlineStr">
        <is>
          <t>Other Practice Paths</t>
        </is>
      </c>
      <c r="B297" s="4" t="inlineStr">
        <is>
          <t>Practice R Programming</t>
        </is>
      </c>
      <c r="C297" s="4" t="inlineStr">
        <is>
          <t>Solve Practice problems online with the Practice R path on CodeChef. Write code for over 170 R coding challenges and prepare for interviews.</t>
        </is>
      </c>
      <c r="D297" s="4" t="inlineStr">
        <is>
          <t>Arrays - Arrays</t>
        </is>
      </c>
      <c r="E297" s="4" t="n">
        <v>104</v>
      </c>
      <c r="F297" s="4" t="inlineStr">
        <is>
          <t>Guess the output</t>
        </is>
      </c>
      <c r="G297" s="4" t="inlineStr">
        <is>
          <t>LPRASPR104</t>
        </is>
      </c>
      <c r="H297" s="4" t="inlineStr"/>
      <c r="I297" s="4" t="inlineStr">
        <is>
          <t>Easy</t>
        </is>
      </c>
      <c r="J297" s="5">
        <f>HYPERLINK("https://www.codechef.com/problems/LPRASPR104", "https://www.codechef.com/problems/LPRASPR104")</f>
        <v/>
      </c>
      <c r="K297" s="4" t="inlineStr"/>
      <c r="L297" s="4" t="inlineStr"/>
      <c r="M297" s="4" t="inlineStr"/>
      <c r="N297" s="4" t="inlineStr">
        <is>
          <t>No</t>
        </is>
      </c>
      <c r="O297" s="4" t="inlineStr">
        <is>
          <t>Unattempted</t>
        </is>
      </c>
    </row>
    <row r="298">
      <c r="A298" s="2" t="inlineStr">
        <is>
          <t>Other Practice Paths</t>
        </is>
      </c>
      <c r="B298" s="2" t="inlineStr">
        <is>
          <t>Practice R Programming</t>
        </is>
      </c>
      <c r="C298" s="2" t="inlineStr">
        <is>
          <t>Solve Practice problems online with the Practice R path on CodeChef. Write code for over 170 R coding challenges and prepare for interviews.</t>
        </is>
      </c>
      <c r="D298" s="2" t="inlineStr">
        <is>
          <t>Arrays - Arrays</t>
        </is>
      </c>
      <c r="E298" s="2" t="n">
        <v>105</v>
      </c>
      <c r="F298" s="2" t="inlineStr">
        <is>
          <t>Guess the output</t>
        </is>
      </c>
      <c r="G298" s="2" t="inlineStr">
        <is>
          <t>LPRASPR105</t>
        </is>
      </c>
      <c r="H298" s="2" t="inlineStr"/>
      <c r="I298" s="2" t="inlineStr">
        <is>
          <t>Easy</t>
        </is>
      </c>
      <c r="J298" s="3">
        <f>HYPERLINK("https://www.codechef.com/problems/LPRASPR105", "https://www.codechef.com/problems/LPRASPR105")</f>
        <v/>
      </c>
      <c r="K298" s="2" t="inlineStr"/>
      <c r="L298" s="2" t="inlineStr"/>
      <c r="M298" s="2" t="inlineStr"/>
      <c r="N298" s="2" t="inlineStr">
        <is>
          <t>No</t>
        </is>
      </c>
      <c r="O298" s="2" t="inlineStr">
        <is>
          <t>Unattempted</t>
        </is>
      </c>
    </row>
    <row r="299">
      <c r="A299" s="4" t="inlineStr">
        <is>
          <t>Other Practice Paths</t>
        </is>
      </c>
      <c r="B299" s="4" t="inlineStr">
        <is>
          <t>Practice R Programming</t>
        </is>
      </c>
      <c r="C299" s="4" t="inlineStr">
        <is>
          <t>Solve Practice problems online with the Practice R path on CodeChef. Write code for over 170 R coding challenges and prepare for interviews.</t>
        </is>
      </c>
      <c r="D299" s="4" t="inlineStr">
        <is>
          <t>Arrays - Arrays</t>
        </is>
      </c>
      <c r="E299" s="4" t="n">
        <v>106</v>
      </c>
      <c r="F299" s="4" t="inlineStr">
        <is>
          <t>Guess the output</t>
        </is>
      </c>
      <c r="G299" s="4" t="inlineStr">
        <is>
          <t>LPRASPR106</t>
        </is>
      </c>
      <c r="H299" s="4" t="inlineStr"/>
      <c r="I299" s="4" t="inlineStr">
        <is>
          <t>Easy</t>
        </is>
      </c>
      <c r="J299" s="5">
        <f>HYPERLINK("https://www.codechef.com/problems/LPRASPR106", "https://www.codechef.com/problems/LPRASPR106")</f>
        <v/>
      </c>
      <c r="K299" s="4" t="inlineStr"/>
      <c r="L299" s="4" t="inlineStr"/>
      <c r="M299" s="4" t="inlineStr"/>
      <c r="N299" s="4" t="inlineStr">
        <is>
          <t>No</t>
        </is>
      </c>
      <c r="O299" s="4" t="inlineStr">
        <is>
          <t>Unattempted</t>
        </is>
      </c>
    </row>
    <row r="300">
      <c r="A300" s="2" t="inlineStr">
        <is>
          <t>Other Practice Paths</t>
        </is>
      </c>
      <c r="B300" s="2" t="inlineStr">
        <is>
          <t>Practice R Programming</t>
        </is>
      </c>
      <c r="C300" s="2" t="inlineStr">
        <is>
          <t>Solve Practice problems online with the Practice R path on CodeChef. Write code for over 170 R coding challenges and prepare for interviews.</t>
        </is>
      </c>
      <c r="D300" s="2" t="inlineStr">
        <is>
          <t>Arrays - Arrays</t>
        </is>
      </c>
      <c r="E300" s="2" t="n">
        <v>107</v>
      </c>
      <c r="F300" s="2" t="inlineStr">
        <is>
          <t>Guess the output</t>
        </is>
      </c>
      <c r="G300" s="2" t="inlineStr">
        <is>
          <t>LPRASPR107</t>
        </is>
      </c>
      <c r="H300" s="2" t="inlineStr"/>
      <c r="I300" s="2" t="inlineStr">
        <is>
          <t>Easy</t>
        </is>
      </c>
      <c r="J300" s="3">
        <f>HYPERLINK("https://www.codechef.com/problems/LPRASPR107", "https://www.codechef.com/problems/LPRASPR107")</f>
        <v/>
      </c>
      <c r="K300" s="2" t="inlineStr"/>
      <c r="L300" s="2" t="inlineStr"/>
      <c r="M300" s="2" t="inlineStr"/>
      <c r="N300" s="2" t="inlineStr">
        <is>
          <t>No</t>
        </is>
      </c>
      <c r="O300" s="2" t="inlineStr">
        <is>
          <t>Unattempted</t>
        </is>
      </c>
    </row>
    <row r="301">
      <c r="A301" s="4" t="inlineStr">
        <is>
          <t>Other Practice Paths</t>
        </is>
      </c>
      <c r="B301" s="4" t="inlineStr">
        <is>
          <t>Practice R Programming</t>
        </is>
      </c>
      <c r="C301" s="4" t="inlineStr">
        <is>
          <t>Solve Practice problems online with the Practice R path on CodeChef. Write code for over 170 R coding challenges and prepare for interviews.</t>
        </is>
      </c>
      <c r="D301" s="4" t="inlineStr">
        <is>
          <t>Arrays - Arrays</t>
        </is>
      </c>
      <c r="E301" s="4" t="n">
        <v>108</v>
      </c>
      <c r="F301" s="4" t="inlineStr">
        <is>
          <t>Guess the output</t>
        </is>
      </c>
      <c r="G301" s="4" t="inlineStr">
        <is>
          <t>LPRASPR108</t>
        </is>
      </c>
      <c r="H301" s="4" t="inlineStr"/>
      <c r="I301" s="4" t="inlineStr">
        <is>
          <t>Easy</t>
        </is>
      </c>
      <c r="J301" s="5">
        <f>HYPERLINK("https://www.codechef.com/problems/LPRASPR108", "https://www.codechef.com/problems/LPRASPR108")</f>
        <v/>
      </c>
      <c r="K301" s="4" t="inlineStr"/>
      <c r="L301" s="4" t="inlineStr"/>
      <c r="M301" s="4" t="inlineStr"/>
      <c r="N301" s="4" t="inlineStr">
        <is>
          <t>No</t>
        </is>
      </c>
      <c r="O301" s="4" t="inlineStr">
        <is>
          <t>Unattempted</t>
        </is>
      </c>
    </row>
    <row r="302">
      <c r="A302" s="2" t="inlineStr">
        <is>
          <t>Other Practice Paths</t>
        </is>
      </c>
      <c r="B302" s="2" t="inlineStr">
        <is>
          <t>Practice R Programming</t>
        </is>
      </c>
      <c r="C302" s="2" t="inlineStr">
        <is>
          <t>Solve Practice problems online with the Practice R path on CodeChef. Write code for over 170 R coding challenges and prepare for interviews.</t>
        </is>
      </c>
      <c r="D302" s="2" t="inlineStr">
        <is>
          <t>Arrays - Arrays</t>
        </is>
      </c>
      <c r="E302" s="2" t="n">
        <v>109</v>
      </c>
      <c r="F302" s="2" t="inlineStr">
        <is>
          <t>Multiply elements</t>
        </is>
      </c>
      <c r="G302" s="2" t="inlineStr">
        <is>
          <t>LPRASPR109</t>
        </is>
      </c>
      <c r="H302" s="2" t="inlineStr"/>
      <c r="I302" s="2" t="inlineStr">
        <is>
          <t>Easy</t>
        </is>
      </c>
      <c r="J302" s="3">
        <f>HYPERLINK("https://www.codechef.com/problems/LPRASPR109", "https://www.codechef.com/problems/LPRASPR109")</f>
        <v/>
      </c>
      <c r="K302" s="2" t="inlineStr"/>
      <c r="L302" s="2" t="inlineStr"/>
      <c r="M302" s="2" t="inlineStr"/>
      <c r="N302" s="2" t="inlineStr">
        <is>
          <t>No</t>
        </is>
      </c>
      <c r="O302" s="2" t="inlineStr">
        <is>
          <t>Unattempted</t>
        </is>
      </c>
    </row>
    <row r="303">
      <c r="A303" s="4" t="inlineStr">
        <is>
          <t>Other Practice Paths</t>
        </is>
      </c>
      <c r="B303" s="4" t="inlineStr">
        <is>
          <t>Practice R Programming</t>
        </is>
      </c>
      <c r="C303" s="4" t="inlineStr">
        <is>
          <t>Solve Practice problems online with the Practice R path on CodeChef. Write code for over 170 R coding challenges and prepare for interviews.</t>
        </is>
      </c>
      <c r="D303" s="4" t="inlineStr">
        <is>
          <t>Arrays - Arrays</t>
        </is>
      </c>
      <c r="E303" s="4" t="n">
        <v>110</v>
      </c>
      <c r="F303" s="4" t="inlineStr">
        <is>
          <t>Length of array items</t>
        </is>
      </c>
      <c r="G303" s="4" t="inlineStr">
        <is>
          <t>LPRASPR110</t>
        </is>
      </c>
      <c r="H303" s="4" t="inlineStr"/>
      <c r="I303" s="4" t="inlineStr">
        <is>
          <t>Easy</t>
        </is>
      </c>
      <c r="J303" s="5">
        <f>HYPERLINK("https://www.codechef.com/problems/LPRASPR110", "https://www.codechef.com/problems/LPRASPR110")</f>
        <v/>
      </c>
      <c r="K303" s="4" t="inlineStr"/>
      <c r="L303" s="4" t="inlineStr"/>
      <c r="M303" s="4" t="inlineStr"/>
      <c r="N303" s="4" t="inlineStr">
        <is>
          <t>No</t>
        </is>
      </c>
      <c r="O303" s="4" t="inlineStr">
        <is>
          <t>Unattempted</t>
        </is>
      </c>
    </row>
    <row r="304">
      <c r="A304" s="2" t="inlineStr">
        <is>
          <t>Other Practice Paths</t>
        </is>
      </c>
      <c r="B304" s="2" t="inlineStr">
        <is>
          <t>Practice R Programming</t>
        </is>
      </c>
      <c r="C304" s="2" t="inlineStr">
        <is>
          <t>Solve Practice problems online with the Practice R path on CodeChef. Write code for over 170 R coding challenges and prepare for interviews.</t>
        </is>
      </c>
      <c r="D304" s="2" t="inlineStr">
        <is>
          <t>Arrays - Arrays</t>
        </is>
      </c>
      <c r="E304" s="2" t="n">
        <v>111</v>
      </c>
      <c r="F304" s="2" t="inlineStr">
        <is>
          <t>Debug it !</t>
        </is>
      </c>
      <c r="G304" s="2" t="inlineStr">
        <is>
          <t>LPRASPR111</t>
        </is>
      </c>
      <c r="H304" s="2" t="inlineStr"/>
      <c r="I304" s="2" t="inlineStr">
        <is>
          <t>Easy</t>
        </is>
      </c>
      <c r="J304" s="3">
        <f>HYPERLINK("https://www.codechef.com/problems/LPRASPR111", "https://www.codechef.com/problems/LPRASPR111")</f>
        <v/>
      </c>
      <c r="K304" s="2" t="inlineStr"/>
      <c r="L304" s="2" t="inlineStr"/>
      <c r="M304" s="2" t="inlineStr"/>
      <c r="N304" s="2" t="inlineStr">
        <is>
          <t>No</t>
        </is>
      </c>
      <c r="O304" s="2" t="inlineStr">
        <is>
          <t>Unattempted</t>
        </is>
      </c>
    </row>
    <row r="305">
      <c r="A305" s="4" t="inlineStr">
        <is>
          <t>Other Practice Paths</t>
        </is>
      </c>
      <c r="B305" s="4" t="inlineStr">
        <is>
          <t>Practice R Programming</t>
        </is>
      </c>
      <c r="C305" s="4" t="inlineStr">
        <is>
          <t>Solve Practice problems online with the Practice R path on CodeChef. Write code for over 170 R coding challenges and prepare for interviews.</t>
        </is>
      </c>
      <c r="D305" s="4" t="inlineStr">
        <is>
          <t>Arrays - Arrays</t>
        </is>
      </c>
      <c r="E305" s="4" t="n">
        <v>112</v>
      </c>
      <c r="F305" s="4" t="inlineStr">
        <is>
          <t>Difference between odd and even</t>
        </is>
      </c>
      <c r="G305" s="4" t="inlineStr">
        <is>
          <t>LPRASPR112</t>
        </is>
      </c>
      <c r="H305" s="4" t="inlineStr"/>
      <c r="I305" s="4" t="inlineStr">
        <is>
          <t>Easy</t>
        </is>
      </c>
      <c r="J305" s="5">
        <f>HYPERLINK("https://www.codechef.com/problems/LPRASPR112", "https://www.codechef.com/problems/LPRASPR112")</f>
        <v/>
      </c>
      <c r="K305" s="4" t="inlineStr"/>
      <c r="L305" s="4" t="inlineStr"/>
      <c r="M305" s="4" t="inlineStr"/>
      <c r="N305" s="4" t="inlineStr">
        <is>
          <t>No</t>
        </is>
      </c>
      <c r="O305" s="4" t="inlineStr">
        <is>
          <t>Unattempted</t>
        </is>
      </c>
    </row>
    <row r="306">
      <c r="A306" s="2" t="inlineStr">
        <is>
          <t>Other Practice Paths</t>
        </is>
      </c>
      <c r="B306" s="2" t="inlineStr">
        <is>
          <t>Practice R Programming</t>
        </is>
      </c>
      <c r="C306" s="2" t="inlineStr">
        <is>
          <t>Solve Practice problems online with the Practice R path on CodeChef. Write code for over 170 R coding challenges and prepare for interviews.</t>
        </is>
      </c>
      <c r="D306" s="2" t="inlineStr">
        <is>
          <t>Loops - While Loops</t>
        </is>
      </c>
      <c r="E306" s="2" t="n">
        <v>113</v>
      </c>
      <c r="F306" s="2" t="inlineStr">
        <is>
          <t>Guess the output</t>
        </is>
      </c>
      <c r="G306" s="2" t="inlineStr">
        <is>
          <t>LPRASPR113</t>
        </is>
      </c>
      <c r="H306" s="2" t="inlineStr"/>
      <c r="I306" s="2" t="inlineStr">
        <is>
          <t>Easy</t>
        </is>
      </c>
      <c r="J306" s="3">
        <f>HYPERLINK("https://www.codechef.com/problems/LPRASPR113", "https://www.codechef.com/problems/LPRASPR113")</f>
        <v/>
      </c>
      <c r="K306" s="2" t="inlineStr"/>
      <c r="L306" s="2" t="inlineStr"/>
      <c r="M306" s="2" t="inlineStr"/>
      <c r="N306" s="2" t="inlineStr">
        <is>
          <t>No</t>
        </is>
      </c>
      <c r="O306" s="2" t="inlineStr">
        <is>
          <t>Unattempted</t>
        </is>
      </c>
    </row>
    <row r="307">
      <c r="A307" s="4" t="inlineStr">
        <is>
          <t>Other Practice Paths</t>
        </is>
      </c>
      <c r="B307" s="4" t="inlineStr">
        <is>
          <t>Practice R Programming</t>
        </is>
      </c>
      <c r="C307" s="4" t="inlineStr">
        <is>
          <t>Solve Practice problems online with the Practice R path on CodeChef. Write code for over 170 R coding challenges and prepare for interviews.</t>
        </is>
      </c>
      <c r="D307" s="4" t="inlineStr">
        <is>
          <t>Loops - While Loops</t>
        </is>
      </c>
      <c r="E307" s="4" t="n">
        <v>114</v>
      </c>
      <c r="F307" s="4" t="inlineStr">
        <is>
          <t>Guess the output</t>
        </is>
      </c>
      <c r="G307" s="4" t="inlineStr">
        <is>
          <t>LPRASPR114</t>
        </is>
      </c>
      <c r="H307" s="4" t="inlineStr"/>
      <c r="I307" s="4" t="inlineStr">
        <is>
          <t>Easy</t>
        </is>
      </c>
      <c r="J307" s="5">
        <f>HYPERLINK("https://www.codechef.com/problems/LPRASPR114", "https://www.codechef.com/problems/LPRASPR114")</f>
        <v/>
      </c>
      <c r="K307" s="4" t="inlineStr"/>
      <c r="L307" s="4" t="inlineStr"/>
      <c r="M307" s="4" t="inlineStr"/>
      <c r="N307" s="4" t="inlineStr">
        <is>
          <t>No</t>
        </is>
      </c>
      <c r="O307" s="4" t="inlineStr">
        <is>
          <t>Unattempted</t>
        </is>
      </c>
    </row>
    <row r="308">
      <c r="A308" s="2" t="inlineStr">
        <is>
          <t>Other Practice Paths</t>
        </is>
      </c>
      <c r="B308" s="2" t="inlineStr">
        <is>
          <t>Practice R Programming</t>
        </is>
      </c>
      <c r="C308" s="2" t="inlineStr">
        <is>
          <t>Solve Practice problems online with the Practice R path on CodeChef. Write code for over 170 R coding challenges and prepare for interviews.</t>
        </is>
      </c>
      <c r="D308" s="2" t="inlineStr">
        <is>
          <t>Loops - While Loops</t>
        </is>
      </c>
      <c r="E308" s="2" t="n">
        <v>115</v>
      </c>
      <c r="F308" s="2" t="inlineStr">
        <is>
          <t>Guess the output</t>
        </is>
      </c>
      <c r="G308" s="2" t="inlineStr">
        <is>
          <t>LPRASPR115</t>
        </is>
      </c>
      <c r="H308" s="2" t="inlineStr"/>
      <c r="I308" s="2" t="inlineStr">
        <is>
          <t>Easy</t>
        </is>
      </c>
      <c r="J308" s="3">
        <f>HYPERLINK("https://www.codechef.com/problems/LPRASPR115", "https://www.codechef.com/problems/LPRASPR115")</f>
        <v/>
      </c>
      <c r="K308" s="2" t="inlineStr"/>
      <c r="L308" s="2" t="inlineStr"/>
      <c r="M308" s="2" t="inlineStr"/>
      <c r="N308" s="2" t="inlineStr">
        <is>
          <t>No</t>
        </is>
      </c>
      <c r="O308" s="2" t="inlineStr">
        <is>
          <t>Unattempted</t>
        </is>
      </c>
    </row>
    <row r="309">
      <c r="A309" s="4" t="inlineStr">
        <is>
          <t>Other Practice Paths</t>
        </is>
      </c>
      <c r="B309" s="4" t="inlineStr">
        <is>
          <t>Practice R Programming</t>
        </is>
      </c>
      <c r="C309" s="4" t="inlineStr">
        <is>
          <t>Solve Practice problems online with the Practice R path on CodeChef. Write code for over 170 R coding challenges and prepare for interviews.</t>
        </is>
      </c>
      <c r="D309" s="4" t="inlineStr">
        <is>
          <t>Loops - While Loops</t>
        </is>
      </c>
      <c r="E309" s="4" t="n">
        <v>116</v>
      </c>
      <c r="F309" s="4" t="inlineStr">
        <is>
          <t>Evaluation in while</t>
        </is>
      </c>
      <c r="G309" s="4" t="inlineStr">
        <is>
          <t>LPRASPR116</t>
        </is>
      </c>
      <c r="H309" s="4" t="inlineStr"/>
      <c r="I309" s="4" t="inlineStr">
        <is>
          <t>Easy</t>
        </is>
      </c>
      <c r="J309" s="5">
        <f>HYPERLINK("https://www.codechef.com/problems/LPRASPR116", "https://www.codechef.com/problems/LPRASPR116")</f>
        <v/>
      </c>
      <c r="K309" s="4" t="inlineStr"/>
      <c r="L309" s="4" t="inlineStr"/>
      <c r="M309" s="4" t="inlineStr"/>
      <c r="N309" s="4" t="inlineStr">
        <is>
          <t>No</t>
        </is>
      </c>
      <c r="O309" s="4" t="inlineStr">
        <is>
          <t>Unattempted</t>
        </is>
      </c>
    </row>
    <row r="310">
      <c r="A310" s="2" t="inlineStr">
        <is>
          <t>Other Practice Paths</t>
        </is>
      </c>
      <c r="B310" s="2" t="inlineStr">
        <is>
          <t>Practice R Programming</t>
        </is>
      </c>
      <c r="C310" s="2" t="inlineStr">
        <is>
          <t>Solve Practice problems online with the Practice R path on CodeChef. Write code for over 170 R coding challenges and prepare for interviews.</t>
        </is>
      </c>
      <c r="D310" s="2" t="inlineStr">
        <is>
          <t>Loops - While Loops</t>
        </is>
      </c>
      <c r="E310" s="2" t="n">
        <v>117</v>
      </c>
      <c r="F310" s="2" t="inlineStr">
        <is>
          <t>Guess the output</t>
        </is>
      </c>
      <c r="G310" s="2" t="inlineStr">
        <is>
          <t>LPRASPR117</t>
        </is>
      </c>
      <c r="H310" s="2" t="inlineStr"/>
      <c r="I310" s="2" t="inlineStr">
        <is>
          <t>Easy</t>
        </is>
      </c>
      <c r="J310" s="3">
        <f>HYPERLINK("https://www.codechef.com/problems/LPRASPR117", "https://www.codechef.com/problems/LPRASPR117")</f>
        <v/>
      </c>
      <c r="K310" s="2" t="inlineStr"/>
      <c r="L310" s="2" t="inlineStr"/>
      <c r="M310" s="2" t="inlineStr"/>
      <c r="N310" s="2" t="inlineStr">
        <is>
          <t>No</t>
        </is>
      </c>
      <c r="O310" s="2" t="inlineStr">
        <is>
          <t>Unattempted</t>
        </is>
      </c>
    </row>
    <row r="311">
      <c r="A311" s="4" t="inlineStr">
        <is>
          <t>Other Practice Paths</t>
        </is>
      </c>
      <c r="B311" s="4" t="inlineStr">
        <is>
          <t>Practice R Programming</t>
        </is>
      </c>
      <c r="C311" s="4" t="inlineStr">
        <is>
          <t>Solve Practice problems online with the Practice R path on CodeChef. Write code for over 170 R coding challenges and prepare for interviews.</t>
        </is>
      </c>
      <c r="D311" s="4" t="inlineStr">
        <is>
          <t>Loops - While Loops</t>
        </is>
      </c>
      <c r="E311" s="4" t="n">
        <v>118</v>
      </c>
      <c r="F311" s="4" t="inlineStr">
        <is>
          <t>Guess the output</t>
        </is>
      </c>
      <c r="G311" s="4" t="inlineStr">
        <is>
          <t>LPRASPR118</t>
        </is>
      </c>
      <c r="H311" s="4" t="inlineStr"/>
      <c r="I311" s="4" t="inlineStr">
        <is>
          <t>Easy</t>
        </is>
      </c>
      <c r="J311" s="5">
        <f>HYPERLINK("https://www.codechef.com/problems/LPRASPR118", "https://www.codechef.com/problems/LPRASPR118")</f>
        <v/>
      </c>
      <c r="K311" s="4" t="inlineStr"/>
      <c r="L311" s="4" t="inlineStr"/>
      <c r="M311" s="4" t="inlineStr"/>
      <c r="N311" s="4" t="inlineStr">
        <is>
          <t>No</t>
        </is>
      </c>
      <c r="O311" s="4" t="inlineStr">
        <is>
          <t>Unattempted</t>
        </is>
      </c>
    </row>
    <row r="312">
      <c r="A312" s="2" t="inlineStr">
        <is>
          <t>Other Practice Paths</t>
        </is>
      </c>
      <c r="B312" s="2" t="inlineStr">
        <is>
          <t>Practice R Programming</t>
        </is>
      </c>
      <c r="C312" s="2" t="inlineStr">
        <is>
          <t>Solve Practice problems online with the Practice R path on CodeChef. Write code for over 170 R coding challenges and prepare for interviews.</t>
        </is>
      </c>
      <c r="D312" s="2" t="inlineStr">
        <is>
          <t>Loops - While Loops</t>
        </is>
      </c>
      <c r="E312" s="2" t="n">
        <v>119</v>
      </c>
      <c r="F312" s="2" t="inlineStr">
        <is>
          <t>Number of evaluation</t>
        </is>
      </c>
      <c r="G312" s="2" t="inlineStr">
        <is>
          <t>LPRASPR119</t>
        </is>
      </c>
      <c r="H312" s="2" t="inlineStr"/>
      <c r="I312" s="2" t="inlineStr">
        <is>
          <t>Easy</t>
        </is>
      </c>
      <c r="J312" s="3">
        <f>HYPERLINK("https://www.codechef.com/problems/LPRASPR119", "https://www.codechef.com/problems/LPRASPR119")</f>
        <v/>
      </c>
      <c r="K312" s="2" t="inlineStr"/>
      <c r="L312" s="2" t="inlineStr"/>
      <c r="M312" s="2" t="inlineStr"/>
      <c r="N312" s="2" t="inlineStr">
        <is>
          <t>No</t>
        </is>
      </c>
      <c r="O312" s="2" t="inlineStr">
        <is>
          <t>Unattempted</t>
        </is>
      </c>
    </row>
    <row r="313">
      <c r="A313" s="4" t="inlineStr">
        <is>
          <t>Other Practice Paths</t>
        </is>
      </c>
      <c r="B313" s="4" t="inlineStr">
        <is>
          <t>Practice R Programming</t>
        </is>
      </c>
      <c r="C313" s="4" t="inlineStr">
        <is>
          <t>Solve Practice problems online with the Practice R path on CodeChef. Write code for over 170 R coding challenges and prepare for interviews.</t>
        </is>
      </c>
      <c r="D313" s="4" t="inlineStr">
        <is>
          <t>Loops - While Loops</t>
        </is>
      </c>
      <c r="E313" s="4" t="n">
        <v>120</v>
      </c>
      <c r="F313" s="4" t="inlineStr">
        <is>
          <t>Correct Syntax</t>
        </is>
      </c>
      <c r="G313" s="4" t="inlineStr">
        <is>
          <t>LPRASPR120</t>
        </is>
      </c>
      <c r="H313" s="4" t="inlineStr"/>
      <c r="I313" s="4" t="inlineStr">
        <is>
          <t>Easy</t>
        </is>
      </c>
      <c r="J313" s="5">
        <f>HYPERLINK("https://www.codechef.com/problems/LPRASPR120", "https://www.codechef.com/problems/LPRASPR120")</f>
        <v/>
      </c>
      <c r="K313" s="4" t="inlineStr"/>
      <c r="L313" s="4" t="inlineStr"/>
      <c r="M313" s="4" t="inlineStr"/>
      <c r="N313" s="4" t="inlineStr">
        <is>
          <t>No</t>
        </is>
      </c>
      <c r="O313" s="4" t="inlineStr">
        <is>
          <t>Unattempted</t>
        </is>
      </c>
    </row>
    <row r="314">
      <c r="A314" s="2" t="inlineStr">
        <is>
          <t>Other Practice Paths</t>
        </is>
      </c>
      <c r="B314" s="2" t="inlineStr">
        <is>
          <t>Practice R Programming</t>
        </is>
      </c>
      <c r="C314" s="2" t="inlineStr">
        <is>
          <t>Solve Practice problems online with the Practice R path on CodeChef. Write code for over 170 R coding challenges and prepare for interviews.</t>
        </is>
      </c>
      <c r="D314" s="2" t="inlineStr">
        <is>
          <t>Loops - While Loops</t>
        </is>
      </c>
      <c r="E314" s="2" t="n">
        <v>121</v>
      </c>
      <c r="F314" s="2" t="inlineStr">
        <is>
          <t>Print Squares</t>
        </is>
      </c>
      <c r="G314" s="2" t="inlineStr">
        <is>
          <t>LPRASPR121</t>
        </is>
      </c>
      <c r="H314" s="2" t="inlineStr"/>
      <c r="I314" s="2" t="inlineStr">
        <is>
          <t>Easy</t>
        </is>
      </c>
      <c r="J314" s="3">
        <f>HYPERLINK("https://www.codechef.com/problems/LPRASPR121", "https://www.codechef.com/problems/LPRASPR121")</f>
        <v/>
      </c>
      <c r="K314" s="2" t="inlineStr"/>
      <c r="L314" s="2" t="inlineStr"/>
      <c r="M314" s="2" t="inlineStr"/>
      <c r="N314" s="2" t="inlineStr">
        <is>
          <t>No</t>
        </is>
      </c>
      <c r="O314" s="2" t="inlineStr">
        <is>
          <t>Unattempted</t>
        </is>
      </c>
    </row>
    <row r="315">
      <c r="A315" s="4" t="inlineStr">
        <is>
          <t>Other Practice Paths</t>
        </is>
      </c>
      <c r="B315" s="4" t="inlineStr">
        <is>
          <t>Practice R Programming</t>
        </is>
      </c>
      <c r="C315" s="4" t="inlineStr">
        <is>
          <t>Solve Practice problems online with the Practice R path on CodeChef. Write code for over 170 R coding challenges and prepare for interviews.</t>
        </is>
      </c>
      <c r="D315" s="4" t="inlineStr">
        <is>
          <t>Loops - While Loops</t>
        </is>
      </c>
      <c r="E315" s="4" t="n">
        <v>122</v>
      </c>
      <c r="F315" s="4" t="inlineStr">
        <is>
          <t>Print factorial</t>
        </is>
      </c>
      <c r="G315" s="4" t="inlineStr">
        <is>
          <t>LPRASPR122</t>
        </is>
      </c>
      <c r="H315" s="4" t="inlineStr"/>
      <c r="I315" s="4" t="inlineStr">
        <is>
          <t>Easy</t>
        </is>
      </c>
      <c r="J315" s="5">
        <f>HYPERLINK("https://www.codechef.com/problems/LPRASPR122", "https://www.codechef.com/problems/LPRASPR122")</f>
        <v/>
      </c>
      <c r="K315" s="4" t="inlineStr"/>
      <c r="L315" s="4" t="inlineStr"/>
      <c r="M315" s="4" t="inlineStr"/>
      <c r="N315" s="4" t="inlineStr">
        <is>
          <t>No</t>
        </is>
      </c>
      <c r="O315" s="4" t="inlineStr">
        <is>
          <t>Unattempted</t>
        </is>
      </c>
    </row>
    <row r="316">
      <c r="A316" s="2" t="inlineStr">
        <is>
          <t>Other Practice Paths</t>
        </is>
      </c>
      <c r="B316" s="2" t="inlineStr">
        <is>
          <t>Practice R Programming</t>
        </is>
      </c>
      <c r="C316" s="2" t="inlineStr">
        <is>
          <t>Solve Practice problems online with the Practice R path on CodeChef. Write code for over 170 R coding challenges and prepare for interviews.</t>
        </is>
      </c>
      <c r="D316" s="2" t="inlineStr">
        <is>
          <t>Loops - While Loops</t>
        </is>
      </c>
      <c r="E316" s="2" t="n">
        <v>123</v>
      </c>
      <c r="F316" s="2" t="inlineStr">
        <is>
          <t>Find the number of digits</t>
        </is>
      </c>
      <c r="G316" s="2" t="inlineStr">
        <is>
          <t>LPRASPR123</t>
        </is>
      </c>
      <c r="H316" s="2" t="inlineStr"/>
      <c r="I316" s="2" t="inlineStr">
        <is>
          <t>Easy</t>
        </is>
      </c>
      <c r="J316" s="3">
        <f>HYPERLINK("https://www.codechef.com/problems/LPRASPR123", "https://www.codechef.com/problems/LPRASPR123")</f>
        <v/>
      </c>
      <c r="K316" s="2" t="inlineStr"/>
      <c r="L316" s="2" t="inlineStr"/>
      <c r="M316" s="2" t="inlineStr"/>
      <c r="N316" s="2" t="inlineStr">
        <is>
          <t>No</t>
        </is>
      </c>
      <c r="O316" s="2" t="inlineStr">
        <is>
          <t>Unattempted</t>
        </is>
      </c>
    </row>
    <row r="317">
      <c r="A317" s="4" t="inlineStr">
        <is>
          <t>Other Practice Paths</t>
        </is>
      </c>
      <c r="B317" s="4" t="inlineStr">
        <is>
          <t>Practice R Programming</t>
        </is>
      </c>
      <c r="C317" s="4" t="inlineStr">
        <is>
          <t>Solve Practice problems online with the Practice R path on CodeChef. Write code for over 170 R coding challenges and prepare for interviews.</t>
        </is>
      </c>
      <c r="D317" s="4" t="inlineStr">
        <is>
          <t>Loops - While Loops</t>
        </is>
      </c>
      <c r="E317" s="4" t="n">
        <v>124</v>
      </c>
      <c r="F317" s="4" t="inlineStr">
        <is>
          <t>Product and Sum of digits</t>
        </is>
      </c>
      <c r="G317" s="4" t="inlineStr">
        <is>
          <t>LPRASPR124</t>
        </is>
      </c>
      <c r="H317" s="4" t="inlineStr"/>
      <c r="I317" s="4" t="inlineStr">
        <is>
          <t>Easy</t>
        </is>
      </c>
      <c r="J317" s="5">
        <f>HYPERLINK("https://www.codechef.com/problems/LPRASPR124", "https://www.codechef.com/problems/LPRASPR124")</f>
        <v/>
      </c>
      <c r="K317" s="4" t="inlineStr"/>
      <c r="L317" s="4" t="inlineStr"/>
      <c r="M317" s="4" t="inlineStr"/>
      <c r="N317" s="4" t="inlineStr">
        <is>
          <t>No</t>
        </is>
      </c>
      <c r="O317" s="4" t="inlineStr">
        <is>
          <t>Unattempted</t>
        </is>
      </c>
    </row>
    <row r="318">
      <c r="A318" s="2" t="inlineStr">
        <is>
          <t>Other Practice Paths</t>
        </is>
      </c>
      <c r="B318" s="2" t="inlineStr">
        <is>
          <t>Practice R Programming</t>
        </is>
      </c>
      <c r="C318" s="2" t="inlineStr">
        <is>
          <t>Solve Practice problems online with the Practice R path on CodeChef. Write code for over 170 R coding challenges and prepare for interviews.</t>
        </is>
      </c>
      <c r="D318" s="2" t="inlineStr">
        <is>
          <t>Loops - For Loops</t>
        </is>
      </c>
      <c r="E318" s="2" t="n">
        <v>125</v>
      </c>
      <c r="F318" s="2" t="inlineStr">
        <is>
          <t>Guess the output</t>
        </is>
      </c>
      <c r="G318" s="2" t="inlineStr">
        <is>
          <t>LPRASPR125</t>
        </is>
      </c>
      <c r="H318" s="2" t="inlineStr"/>
      <c r="I318" s="2" t="inlineStr">
        <is>
          <t>Easy</t>
        </is>
      </c>
      <c r="J318" s="3">
        <f>HYPERLINK("https://www.codechef.com/problems/LPRASPR125", "https://www.codechef.com/problems/LPRASPR125")</f>
        <v/>
      </c>
      <c r="K318" s="2" t="inlineStr"/>
      <c r="L318" s="2" t="inlineStr"/>
      <c r="M318" s="2" t="inlineStr"/>
      <c r="N318" s="2" t="inlineStr">
        <is>
          <t>No</t>
        </is>
      </c>
      <c r="O318" s="2" t="inlineStr">
        <is>
          <t>Unattempted</t>
        </is>
      </c>
    </row>
    <row r="319">
      <c r="A319" s="4" t="inlineStr">
        <is>
          <t>Other Practice Paths</t>
        </is>
      </c>
      <c r="B319" s="4" t="inlineStr">
        <is>
          <t>Practice R Programming</t>
        </is>
      </c>
      <c r="C319" s="4" t="inlineStr">
        <is>
          <t>Solve Practice problems online with the Practice R path on CodeChef. Write code for over 170 R coding challenges and prepare for interviews.</t>
        </is>
      </c>
      <c r="D319" s="4" t="inlineStr">
        <is>
          <t>Loops - For Loops</t>
        </is>
      </c>
      <c r="E319" s="4" t="n">
        <v>126</v>
      </c>
      <c r="F319" s="4" t="inlineStr">
        <is>
          <t>Number of iterations</t>
        </is>
      </c>
      <c r="G319" s="4" t="inlineStr">
        <is>
          <t>LPRASPR126</t>
        </is>
      </c>
      <c r="H319" s="4" t="inlineStr"/>
      <c r="I319" s="4" t="inlineStr">
        <is>
          <t>Easy</t>
        </is>
      </c>
      <c r="J319" s="5">
        <f>HYPERLINK("https://www.codechef.com/problems/LPRASPR126", "https://www.codechef.com/problems/LPRASPR126")</f>
        <v/>
      </c>
      <c r="K319" s="4" t="inlineStr"/>
      <c r="L319" s="4" t="inlineStr"/>
      <c r="M319" s="4" t="inlineStr"/>
      <c r="N319" s="4" t="inlineStr">
        <is>
          <t>No</t>
        </is>
      </c>
      <c r="O319" s="4" t="inlineStr">
        <is>
          <t>Unattempted</t>
        </is>
      </c>
    </row>
    <row r="320">
      <c r="A320" s="2" t="inlineStr">
        <is>
          <t>Other Practice Paths</t>
        </is>
      </c>
      <c r="B320" s="2" t="inlineStr">
        <is>
          <t>Practice R Programming</t>
        </is>
      </c>
      <c r="C320" s="2" t="inlineStr">
        <is>
          <t>Solve Practice problems online with the Practice R path on CodeChef. Write code for over 170 R coding challenges and prepare for interviews.</t>
        </is>
      </c>
      <c r="D320" s="2" t="inlineStr">
        <is>
          <t>Loops - For Loops</t>
        </is>
      </c>
      <c r="E320" s="2" t="n">
        <v>127</v>
      </c>
      <c r="F320" s="2" t="inlineStr">
        <is>
          <t>Statement 3</t>
        </is>
      </c>
      <c r="G320" s="2" t="inlineStr">
        <is>
          <t>LPRASPR127</t>
        </is>
      </c>
      <c r="H320" s="2" t="inlineStr"/>
      <c r="I320" s="2" t="inlineStr">
        <is>
          <t>Easy</t>
        </is>
      </c>
      <c r="J320" s="3">
        <f>HYPERLINK("https://www.codechef.com/problems/LPRASPR127", "https://www.codechef.com/problems/LPRASPR127")</f>
        <v/>
      </c>
      <c r="K320" s="2" t="inlineStr"/>
      <c r="L320" s="2" t="inlineStr"/>
      <c r="M320" s="2" t="inlineStr"/>
      <c r="N320" s="2" t="inlineStr">
        <is>
          <t>No</t>
        </is>
      </c>
      <c r="O320" s="2" t="inlineStr">
        <is>
          <t>Unattempted</t>
        </is>
      </c>
    </row>
    <row r="321">
      <c r="A321" s="4" t="inlineStr">
        <is>
          <t>Other Practice Paths</t>
        </is>
      </c>
      <c r="B321" s="4" t="inlineStr">
        <is>
          <t>Practice R Programming</t>
        </is>
      </c>
      <c r="C321" s="4" t="inlineStr">
        <is>
          <t>Solve Practice problems online with the Practice R path on CodeChef. Write code for over 170 R coding challenges and prepare for interviews.</t>
        </is>
      </c>
      <c r="D321" s="4" t="inlineStr">
        <is>
          <t>Loops - For Loops</t>
        </is>
      </c>
      <c r="E321" s="4" t="n">
        <v>128</v>
      </c>
      <c r="F321" s="4" t="inlineStr">
        <is>
          <t>Loop</t>
        </is>
      </c>
      <c r="G321" s="4" t="inlineStr">
        <is>
          <t>LPRASPR128</t>
        </is>
      </c>
      <c r="H321" s="4" t="inlineStr"/>
      <c r="I321" s="4" t="inlineStr">
        <is>
          <t>Easy</t>
        </is>
      </c>
      <c r="J321" s="5">
        <f>HYPERLINK("https://www.codechef.com/problems/LPRASPR128", "https://www.codechef.com/problems/LPRASPR128")</f>
        <v/>
      </c>
      <c r="K321" s="4" t="inlineStr"/>
      <c r="L321" s="4" t="inlineStr"/>
      <c r="M321" s="4" t="inlineStr"/>
      <c r="N321" s="4" t="inlineStr">
        <is>
          <t>No</t>
        </is>
      </c>
      <c r="O321" s="4" t="inlineStr">
        <is>
          <t>Unattempted</t>
        </is>
      </c>
    </row>
    <row r="322">
      <c r="A322" s="2" t="inlineStr">
        <is>
          <t>Other Practice Paths</t>
        </is>
      </c>
      <c r="B322" s="2" t="inlineStr">
        <is>
          <t>Practice R Programming</t>
        </is>
      </c>
      <c r="C322" s="2" t="inlineStr">
        <is>
          <t>Solve Practice problems online with the Practice R path on CodeChef. Write code for over 170 R coding challenges and prepare for interviews.</t>
        </is>
      </c>
      <c r="D322" s="2" t="inlineStr">
        <is>
          <t>Loops - For Loops</t>
        </is>
      </c>
      <c r="E322" s="2" t="n">
        <v>129</v>
      </c>
      <c r="F322" s="2" t="inlineStr">
        <is>
          <t>Guess the output</t>
        </is>
      </c>
      <c r="G322" s="2" t="inlineStr">
        <is>
          <t>LPRASPR129</t>
        </is>
      </c>
      <c r="H322" s="2" t="inlineStr"/>
      <c r="I322" s="2" t="inlineStr">
        <is>
          <t>Easy</t>
        </is>
      </c>
      <c r="J322" s="3">
        <f>HYPERLINK("https://www.codechef.com/problems/LPRASPR129", "https://www.codechef.com/problems/LPRASPR129")</f>
        <v/>
      </c>
      <c r="K322" s="2" t="inlineStr"/>
      <c r="L322" s="2" t="inlineStr"/>
      <c r="M322" s="2" t="inlineStr"/>
      <c r="N322" s="2" t="inlineStr">
        <is>
          <t>No</t>
        </is>
      </c>
      <c r="O322" s="2" t="inlineStr">
        <is>
          <t>Unattempted</t>
        </is>
      </c>
    </row>
    <row r="323">
      <c r="A323" s="4" t="inlineStr">
        <is>
          <t>Other Practice Paths</t>
        </is>
      </c>
      <c r="B323" s="4" t="inlineStr">
        <is>
          <t>Practice R Programming</t>
        </is>
      </c>
      <c r="C323" s="4" t="inlineStr">
        <is>
          <t>Solve Practice problems online with the Practice R path on CodeChef. Write code for over 170 R coding challenges and prepare for interviews.</t>
        </is>
      </c>
      <c r="D323" s="4" t="inlineStr">
        <is>
          <t>Loops - For Loops</t>
        </is>
      </c>
      <c r="E323" s="4" t="n">
        <v>130</v>
      </c>
      <c r="F323" s="4" t="inlineStr">
        <is>
          <t>Guess the output</t>
        </is>
      </c>
      <c r="G323" s="4" t="inlineStr">
        <is>
          <t>LPRASPR130</t>
        </is>
      </c>
      <c r="H323" s="4" t="inlineStr"/>
      <c r="I323" s="4" t="inlineStr">
        <is>
          <t>Easy</t>
        </is>
      </c>
      <c r="J323" s="5">
        <f>HYPERLINK("https://www.codechef.com/problems/LPRASPR130", "https://www.codechef.com/problems/LPRASPR130")</f>
        <v/>
      </c>
      <c r="K323" s="4" t="inlineStr"/>
      <c r="L323" s="4" t="inlineStr"/>
      <c r="M323" s="4" t="inlineStr"/>
      <c r="N323" s="4" t="inlineStr">
        <is>
          <t>No</t>
        </is>
      </c>
      <c r="O323" s="4" t="inlineStr">
        <is>
          <t>Unattempted</t>
        </is>
      </c>
    </row>
    <row r="324">
      <c r="A324" s="2" t="inlineStr">
        <is>
          <t>Other Practice Paths</t>
        </is>
      </c>
      <c r="B324" s="2" t="inlineStr">
        <is>
          <t>Practice R Programming</t>
        </is>
      </c>
      <c r="C324" s="2" t="inlineStr">
        <is>
          <t>Solve Practice problems online with the Practice R path on CodeChef. Write code for over 170 R coding challenges and prepare for interviews.</t>
        </is>
      </c>
      <c r="D324" s="2" t="inlineStr">
        <is>
          <t>Loops - For Loops</t>
        </is>
      </c>
      <c r="E324" s="2" t="n">
        <v>131</v>
      </c>
      <c r="F324" s="2" t="inlineStr">
        <is>
          <t>Select the correct option</t>
        </is>
      </c>
      <c r="G324" s="2" t="inlineStr">
        <is>
          <t>LPRASPR131</t>
        </is>
      </c>
      <c r="H324" s="2" t="inlineStr"/>
      <c r="I324" s="2" t="inlineStr">
        <is>
          <t>Easy</t>
        </is>
      </c>
      <c r="J324" s="3">
        <f>HYPERLINK("https://www.codechef.com/problems/LPRASPR131", "https://www.codechef.com/problems/LPRASPR131")</f>
        <v/>
      </c>
      <c r="K324" s="2" t="inlineStr"/>
      <c r="L324" s="2" t="inlineStr"/>
      <c r="M324" s="2" t="inlineStr"/>
      <c r="N324" s="2" t="inlineStr">
        <is>
          <t>No</t>
        </is>
      </c>
      <c r="O324" s="2" t="inlineStr">
        <is>
          <t>Unattempted</t>
        </is>
      </c>
    </row>
    <row r="325">
      <c r="A325" s="4" t="inlineStr">
        <is>
          <t>Other Practice Paths</t>
        </is>
      </c>
      <c r="B325" s="4" t="inlineStr">
        <is>
          <t>Practice R Programming</t>
        </is>
      </c>
      <c r="C325" s="4" t="inlineStr">
        <is>
          <t>Solve Practice problems online with the Practice R path on CodeChef. Write code for over 170 R coding challenges and prepare for interviews.</t>
        </is>
      </c>
      <c r="D325" s="4" t="inlineStr">
        <is>
          <t>Loops - For Loops</t>
        </is>
      </c>
      <c r="E325" s="4" t="n">
        <v>132</v>
      </c>
      <c r="F325" s="4" t="inlineStr">
        <is>
          <t>Guess the output</t>
        </is>
      </c>
      <c r="G325" s="4" t="inlineStr">
        <is>
          <t>LPRASPR132</t>
        </is>
      </c>
      <c r="H325" s="4" t="inlineStr"/>
      <c r="I325" s="4" t="inlineStr">
        <is>
          <t>Easy</t>
        </is>
      </c>
      <c r="J325" s="5">
        <f>HYPERLINK("https://www.codechef.com/problems/LPRASPR132", "https://www.codechef.com/problems/LPRASPR132")</f>
        <v/>
      </c>
      <c r="K325" s="4" t="inlineStr"/>
      <c r="L325" s="4" t="inlineStr"/>
      <c r="M325" s="4" t="inlineStr"/>
      <c r="N325" s="4" t="inlineStr">
        <is>
          <t>No</t>
        </is>
      </c>
      <c r="O325" s="4" t="inlineStr">
        <is>
          <t>Unattempted</t>
        </is>
      </c>
    </row>
    <row r="326">
      <c r="A326" s="2" t="inlineStr">
        <is>
          <t>Other Practice Paths</t>
        </is>
      </c>
      <c r="B326" s="2" t="inlineStr">
        <is>
          <t>Practice R Programming</t>
        </is>
      </c>
      <c r="C326" s="2" t="inlineStr">
        <is>
          <t>Solve Practice problems online with the Practice R path on CodeChef. Write code for over 170 R coding challenges and prepare for interviews.</t>
        </is>
      </c>
      <c r="D326" s="2" t="inlineStr">
        <is>
          <t>Loops - For Loops</t>
        </is>
      </c>
      <c r="E326" s="2" t="n">
        <v>133</v>
      </c>
      <c r="F326" s="2" t="inlineStr">
        <is>
          <t>Sum of numbers</t>
        </is>
      </c>
      <c r="G326" s="2" t="inlineStr">
        <is>
          <t>LPRASPR133</t>
        </is>
      </c>
      <c r="H326" s="2" t="inlineStr"/>
      <c r="I326" s="2" t="inlineStr">
        <is>
          <t>Easy</t>
        </is>
      </c>
      <c r="J326" s="3">
        <f>HYPERLINK("https://www.codechef.com/problems/LPRASPR133", "https://www.codechef.com/problems/LPRASPR133")</f>
        <v/>
      </c>
      <c r="K326" s="2" t="inlineStr"/>
      <c r="L326" s="2" t="inlineStr"/>
      <c r="M326" s="2" t="inlineStr"/>
      <c r="N326" s="2" t="inlineStr">
        <is>
          <t>No</t>
        </is>
      </c>
      <c r="O326" s="2" t="inlineStr">
        <is>
          <t>Unattempted</t>
        </is>
      </c>
    </row>
    <row r="327">
      <c r="A327" s="4" t="inlineStr">
        <is>
          <t>Other Practice Paths</t>
        </is>
      </c>
      <c r="B327" s="4" t="inlineStr">
        <is>
          <t>Practice R Programming</t>
        </is>
      </c>
      <c r="C327" s="4" t="inlineStr">
        <is>
          <t>Solve Practice problems online with the Practice R path on CodeChef. Write code for over 170 R coding challenges and prepare for interviews.</t>
        </is>
      </c>
      <c r="D327" s="4" t="inlineStr">
        <is>
          <t>Loops - For Loops</t>
        </is>
      </c>
      <c r="E327" s="4" t="n">
        <v>134</v>
      </c>
      <c r="F327" s="4" t="inlineStr">
        <is>
          <t>Print fibonacci series</t>
        </is>
      </c>
      <c r="G327" s="4" t="inlineStr">
        <is>
          <t>LPRASPR134</t>
        </is>
      </c>
      <c r="H327" s="4" t="inlineStr"/>
      <c r="I327" s="4" t="inlineStr">
        <is>
          <t>Easy</t>
        </is>
      </c>
      <c r="J327" s="5">
        <f>HYPERLINK("https://www.codechef.com/problems/LPRASPR134", "https://www.codechef.com/problems/LPRASPR134")</f>
        <v/>
      </c>
      <c r="K327" s="4" t="inlineStr"/>
      <c r="L327" s="4" t="inlineStr"/>
      <c r="M327" s="4" t="inlineStr"/>
      <c r="N327" s="4" t="inlineStr">
        <is>
          <t>No</t>
        </is>
      </c>
      <c r="O327" s="4" t="inlineStr">
        <is>
          <t>Unattempted</t>
        </is>
      </c>
    </row>
    <row r="328">
      <c r="A328" s="2" t="inlineStr">
        <is>
          <t>Other Practice Paths</t>
        </is>
      </c>
      <c r="B328" s="2" t="inlineStr">
        <is>
          <t>Practice R Programming</t>
        </is>
      </c>
      <c r="C328" s="2" t="inlineStr">
        <is>
          <t>Solve Practice problems online with the Practice R path on CodeChef. Write code for over 170 R coding challenges and prepare for interviews.</t>
        </is>
      </c>
      <c r="D328" s="2" t="inlineStr">
        <is>
          <t>Loops - For Loops</t>
        </is>
      </c>
      <c r="E328" s="2" t="n">
        <v>135</v>
      </c>
      <c r="F328" s="2" t="inlineStr">
        <is>
          <t>Parity Difference</t>
        </is>
      </c>
      <c r="G328" s="2" t="inlineStr">
        <is>
          <t>LPRASPR135</t>
        </is>
      </c>
      <c r="H328" s="2" t="inlineStr"/>
      <c r="I328" s="2" t="inlineStr">
        <is>
          <t>Easy</t>
        </is>
      </c>
      <c r="J328" s="3">
        <f>HYPERLINK("https://www.codechef.com/problems/LPRASPR135", "https://www.codechef.com/problems/LPRASPR135")</f>
        <v/>
      </c>
      <c r="K328" s="2" t="inlineStr"/>
      <c r="L328" s="2" t="inlineStr"/>
      <c r="M328" s="2" t="inlineStr"/>
      <c r="N328" s="2" t="inlineStr">
        <is>
          <t>No</t>
        </is>
      </c>
      <c r="O328" s="2" t="inlineStr">
        <is>
          <t>Unattempted</t>
        </is>
      </c>
    </row>
    <row r="329">
      <c r="A329" s="4" t="inlineStr">
        <is>
          <t>Other Practice Paths</t>
        </is>
      </c>
      <c r="B329" s="4" t="inlineStr">
        <is>
          <t>Practice R Programming</t>
        </is>
      </c>
      <c r="C329" s="4" t="inlineStr">
        <is>
          <t>Solve Practice problems online with the Practice R path on CodeChef. Write code for over 170 R coding challenges and prepare for interviews.</t>
        </is>
      </c>
      <c r="D329" s="4" t="inlineStr">
        <is>
          <t>Loops - For Loops</t>
        </is>
      </c>
      <c r="E329" s="4" t="n">
        <v>136</v>
      </c>
      <c r="F329" s="4" t="inlineStr">
        <is>
          <t>Number not divisible by 2 or 3 or 5</t>
        </is>
      </c>
      <c r="G329" s="4" t="inlineStr">
        <is>
          <t>LPRASPR136</t>
        </is>
      </c>
      <c r="H329" s="4" t="inlineStr"/>
      <c r="I329" s="4" t="inlineStr">
        <is>
          <t>Easy</t>
        </is>
      </c>
      <c r="J329" s="5">
        <f>HYPERLINK("https://www.codechef.com/problems/LPRASPR136", "https://www.codechef.com/problems/LPRASPR136")</f>
        <v/>
      </c>
      <c r="K329" s="4" t="inlineStr"/>
      <c r="L329" s="4" t="inlineStr"/>
      <c r="M329" s="4" t="inlineStr"/>
      <c r="N329" s="4" t="inlineStr">
        <is>
          <t>No</t>
        </is>
      </c>
      <c r="O329" s="4" t="inlineStr">
        <is>
          <t>Unattempted</t>
        </is>
      </c>
    </row>
    <row r="330">
      <c r="A330" s="2" t="inlineStr">
        <is>
          <t>Other Practice Paths</t>
        </is>
      </c>
      <c r="B330" s="2" t="inlineStr">
        <is>
          <t>Practice R Programming</t>
        </is>
      </c>
      <c r="C330" s="2" t="inlineStr">
        <is>
          <t>Solve Practice problems online with the Practice R path on CodeChef. Write code for over 170 R coding challenges and prepare for interviews.</t>
        </is>
      </c>
      <c r="D330" s="2" t="inlineStr">
        <is>
          <t>Loops - Break / Continue</t>
        </is>
      </c>
      <c r="E330" s="2" t="n">
        <v>137</v>
      </c>
      <c r="F330" s="2" t="inlineStr">
        <is>
          <t>Guess the output</t>
        </is>
      </c>
      <c r="G330" s="2" t="inlineStr">
        <is>
          <t>LPRASPR137</t>
        </is>
      </c>
      <c r="H330" s="2" t="inlineStr"/>
      <c r="I330" s="2" t="inlineStr">
        <is>
          <t>Easy</t>
        </is>
      </c>
      <c r="J330" s="3">
        <f>HYPERLINK("https://www.codechef.com/problems/LPRASPR137", "https://www.codechef.com/problems/LPRASPR137")</f>
        <v/>
      </c>
      <c r="K330" s="2" t="inlineStr"/>
      <c r="L330" s="2" t="inlineStr"/>
      <c r="M330" s="2" t="inlineStr"/>
      <c r="N330" s="2" t="inlineStr">
        <is>
          <t>No</t>
        </is>
      </c>
      <c r="O330" s="2" t="inlineStr">
        <is>
          <t>Unattempted</t>
        </is>
      </c>
    </row>
    <row r="331">
      <c r="A331" s="4" t="inlineStr">
        <is>
          <t>Other Practice Paths</t>
        </is>
      </c>
      <c r="B331" s="4" t="inlineStr">
        <is>
          <t>Practice R Programming</t>
        </is>
      </c>
      <c r="C331" s="4" t="inlineStr">
        <is>
          <t>Solve Practice problems online with the Practice R path on CodeChef. Write code for over 170 R coding challenges and prepare for interviews.</t>
        </is>
      </c>
      <c r="D331" s="4" t="inlineStr">
        <is>
          <t>Loops - Break / Continue</t>
        </is>
      </c>
      <c r="E331" s="4" t="n">
        <v>138</v>
      </c>
      <c r="F331" s="4" t="inlineStr">
        <is>
          <t>Guess the output</t>
        </is>
      </c>
      <c r="G331" s="4" t="inlineStr">
        <is>
          <t>LPRASPR138</t>
        </is>
      </c>
      <c r="H331" s="4" t="inlineStr"/>
      <c r="I331" s="4" t="inlineStr">
        <is>
          <t>Easy</t>
        </is>
      </c>
      <c r="J331" s="5">
        <f>HYPERLINK("https://www.codechef.com/problems/LPRASPR138", "https://www.codechef.com/problems/LPRASPR138")</f>
        <v/>
      </c>
      <c r="K331" s="4" t="inlineStr"/>
      <c r="L331" s="4" t="inlineStr"/>
      <c r="M331" s="4" t="inlineStr"/>
      <c r="N331" s="4" t="inlineStr">
        <is>
          <t>No</t>
        </is>
      </c>
      <c r="O331" s="4" t="inlineStr">
        <is>
          <t>Unattempted</t>
        </is>
      </c>
    </row>
    <row r="332">
      <c r="A332" s="2" t="inlineStr">
        <is>
          <t>Other Practice Paths</t>
        </is>
      </c>
      <c r="B332" s="2" t="inlineStr">
        <is>
          <t>Practice R Programming</t>
        </is>
      </c>
      <c r="C332" s="2" t="inlineStr">
        <is>
          <t>Solve Practice problems online with the Practice R path on CodeChef. Write code for over 170 R coding challenges and prepare for interviews.</t>
        </is>
      </c>
      <c r="D332" s="2" t="inlineStr">
        <is>
          <t>Loops - Break / Continue</t>
        </is>
      </c>
      <c r="E332" s="2" t="n">
        <v>139</v>
      </c>
      <c r="F332" s="2" t="inlineStr">
        <is>
          <t>Guess the output</t>
        </is>
      </c>
      <c r="G332" s="2" t="inlineStr">
        <is>
          <t>LPRASPR139</t>
        </is>
      </c>
      <c r="H332" s="2" t="inlineStr"/>
      <c r="I332" s="2" t="inlineStr">
        <is>
          <t>Easy</t>
        </is>
      </c>
      <c r="J332" s="3">
        <f>HYPERLINK("https://www.codechef.com/problems/LPRASPR139", "https://www.codechef.com/problems/LPRASPR139")</f>
        <v/>
      </c>
      <c r="K332" s="2" t="inlineStr"/>
      <c r="L332" s="2" t="inlineStr"/>
      <c r="M332" s="2" t="inlineStr"/>
      <c r="N332" s="2" t="inlineStr">
        <is>
          <t>No</t>
        </is>
      </c>
      <c r="O332" s="2" t="inlineStr">
        <is>
          <t>Unattempted</t>
        </is>
      </c>
    </row>
    <row r="333">
      <c r="A333" s="4" t="inlineStr">
        <is>
          <t>Other Practice Paths</t>
        </is>
      </c>
      <c r="B333" s="4" t="inlineStr">
        <is>
          <t>Practice R Programming</t>
        </is>
      </c>
      <c r="C333" s="4" t="inlineStr">
        <is>
          <t>Solve Practice problems online with the Practice R path on CodeChef. Write code for over 170 R coding challenges and prepare for interviews.</t>
        </is>
      </c>
      <c r="D333" s="4" t="inlineStr">
        <is>
          <t>Loops - Break / Continue</t>
        </is>
      </c>
      <c r="E333" s="4" t="n">
        <v>140</v>
      </c>
      <c r="F333" s="4" t="inlineStr">
        <is>
          <t>Next vs Continue</t>
        </is>
      </c>
      <c r="G333" s="4" t="inlineStr">
        <is>
          <t>LPRASPR140</t>
        </is>
      </c>
      <c r="H333" s="4" t="inlineStr"/>
      <c r="I333" s="4" t="inlineStr">
        <is>
          <t>Easy</t>
        </is>
      </c>
      <c r="J333" s="5">
        <f>HYPERLINK("https://www.codechef.com/problems/LPRASPR140", "https://www.codechef.com/problems/LPRASPR140")</f>
        <v/>
      </c>
      <c r="K333" s="4" t="inlineStr"/>
      <c r="L333" s="4" t="inlineStr"/>
      <c r="M333" s="4" t="inlineStr"/>
      <c r="N333" s="4" t="inlineStr">
        <is>
          <t>No</t>
        </is>
      </c>
      <c r="O333" s="4" t="inlineStr">
        <is>
          <t>Unattempted</t>
        </is>
      </c>
    </row>
    <row r="334">
      <c r="A334" s="2" t="inlineStr">
        <is>
          <t>Other Practice Paths</t>
        </is>
      </c>
      <c r="B334" s="2" t="inlineStr">
        <is>
          <t>Practice R Programming</t>
        </is>
      </c>
      <c r="C334" s="2" t="inlineStr">
        <is>
          <t>Solve Practice problems online with the Practice R path on CodeChef. Write code for over 170 R coding challenges and prepare for interviews.</t>
        </is>
      </c>
      <c r="D334" s="2" t="inlineStr">
        <is>
          <t>Loops - Break / Continue</t>
        </is>
      </c>
      <c r="E334" s="2" t="n">
        <v>141</v>
      </c>
      <c r="F334" s="2" t="inlineStr">
        <is>
          <t>Guess the output</t>
        </is>
      </c>
      <c r="G334" s="2" t="inlineStr">
        <is>
          <t>LPRASPR141</t>
        </is>
      </c>
      <c r="H334" s="2" t="inlineStr"/>
      <c r="I334" s="2" t="inlineStr">
        <is>
          <t>Easy</t>
        </is>
      </c>
      <c r="J334" s="3">
        <f>HYPERLINK("https://www.codechef.com/problems/LPRASPR141", "https://www.codechef.com/problems/LPRASPR141")</f>
        <v/>
      </c>
      <c r="K334" s="2" t="inlineStr"/>
      <c r="L334" s="2" t="inlineStr"/>
      <c r="M334" s="2" t="inlineStr"/>
      <c r="N334" s="2" t="inlineStr">
        <is>
          <t>No</t>
        </is>
      </c>
      <c r="O334" s="2" t="inlineStr">
        <is>
          <t>Unattempted</t>
        </is>
      </c>
    </row>
    <row r="335">
      <c r="A335" s="4" t="inlineStr">
        <is>
          <t>Other Practice Paths</t>
        </is>
      </c>
      <c r="B335" s="4" t="inlineStr">
        <is>
          <t>Practice R Programming</t>
        </is>
      </c>
      <c r="C335" s="4" t="inlineStr">
        <is>
          <t>Solve Practice problems online with the Practice R path on CodeChef. Write code for over 170 R coding challenges and prepare for interviews.</t>
        </is>
      </c>
      <c r="D335" s="4" t="inlineStr">
        <is>
          <t>Loops - Break / Continue</t>
        </is>
      </c>
      <c r="E335" s="4" t="n">
        <v>142</v>
      </c>
      <c r="F335" s="4" t="inlineStr">
        <is>
          <t>Guess the output</t>
        </is>
      </c>
      <c r="G335" s="4" t="inlineStr">
        <is>
          <t>LPRASPR142</t>
        </is>
      </c>
      <c r="H335" s="4" t="inlineStr"/>
      <c r="I335" s="4" t="inlineStr">
        <is>
          <t>Easy</t>
        </is>
      </c>
      <c r="J335" s="5">
        <f>HYPERLINK("https://www.codechef.com/problems/LPRASPR142", "https://www.codechef.com/problems/LPRASPR142")</f>
        <v/>
      </c>
      <c r="K335" s="4" t="inlineStr"/>
      <c r="L335" s="4" t="inlineStr"/>
      <c r="M335" s="4" t="inlineStr"/>
      <c r="N335" s="4" t="inlineStr">
        <is>
          <t>No</t>
        </is>
      </c>
      <c r="O335" s="4" t="inlineStr">
        <is>
          <t>Unattempted</t>
        </is>
      </c>
    </row>
    <row r="336">
      <c r="A336" s="2" t="inlineStr">
        <is>
          <t>Other Practice Paths</t>
        </is>
      </c>
      <c r="B336" s="2" t="inlineStr">
        <is>
          <t>Practice R Programming</t>
        </is>
      </c>
      <c r="C336" s="2" t="inlineStr">
        <is>
          <t>Solve Practice problems online with the Practice R path on CodeChef. Write code for over 170 R coding challenges and prepare for interviews.</t>
        </is>
      </c>
      <c r="D336" s="2" t="inlineStr">
        <is>
          <t>Loops - Break / Continue</t>
        </is>
      </c>
      <c r="E336" s="2" t="n">
        <v>143</v>
      </c>
      <c r="F336" s="2" t="inlineStr">
        <is>
          <t>Number of iterations</t>
        </is>
      </c>
      <c r="G336" s="2" t="inlineStr">
        <is>
          <t>LPRASPR143</t>
        </is>
      </c>
      <c r="H336" s="2" t="inlineStr"/>
      <c r="I336" s="2" t="inlineStr">
        <is>
          <t>Easy</t>
        </is>
      </c>
      <c r="J336" s="3">
        <f>HYPERLINK("https://www.codechef.com/problems/LPRASPR143", "https://www.codechef.com/problems/LPRASPR143")</f>
        <v/>
      </c>
      <c r="K336" s="2" t="inlineStr"/>
      <c r="L336" s="2" t="inlineStr"/>
      <c r="M336" s="2" t="inlineStr"/>
      <c r="N336" s="2" t="inlineStr">
        <is>
          <t>No</t>
        </is>
      </c>
      <c r="O336" s="2" t="inlineStr">
        <is>
          <t>Unattempted</t>
        </is>
      </c>
    </row>
    <row r="337">
      <c r="A337" s="4" t="inlineStr">
        <is>
          <t>Other Practice Paths</t>
        </is>
      </c>
      <c r="B337" s="4" t="inlineStr">
        <is>
          <t>Practice R Programming</t>
        </is>
      </c>
      <c r="C337" s="4" t="inlineStr">
        <is>
          <t>Solve Practice problems online with the Practice R path on CodeChef. Write code for over 170 R coding challenges and prepare for interviews.</t>
        </is>
      </c>
      <c r="D337" s="4" t="inlineStr">
        <is>
          <t>Loops - Break / Continue</t>
        </is>
      </c>
      <c r="E337" s="4" t="n">
        <v>144</v>
      </c>
      <c r="F337" s="4" t="inlineStr">
        <is>
          <t>Guess the output</t>
        </is>
      </c>
      <c r="G337" s="4" t="inlineStr">
        <is>
          <t>LPRASPR144</t>
        </is>
      </c>
      <c r="H337" s="4" t="inlineStr"/>
      <c r="I337" s="4" t="inlineStr">
        <is>
          <t>Easy</t>
        </is>
      </c>
      <c r="J337" s="5">
        <f>HYPERLINK("https://www.codechef.com/problems/LPRASPR144", "https://www.codechef.com/problems/LPRASPR144")</f>
        <v/>
      </c>
      <c r="K337" s="4" t="inlineStr"/>
      <c r="L337" s="4" t="inlineStr"/>
      <c r="M337" s="4" t="inlineStr"/>
      <c r="N337" s="4" t="inlineStr">
        <is>
          <t>No</t>
        </is>
      </c>
      <c r="O337" s="4" t="inlineStr">
        <is>
          <t>Unattempted</t>
        </is>
      </c>
    </row>
    <row r="338">
      <c r="A338" s="2" t="inlineStr">
        <is>
          <t>Other Practice Paths</t>
        </is>
      </c>
      <c r="B338" s="2" t="inlineStr">
        <is>
          <t>Practice R Programming</t>
        </is>
      </c>
      <c r="C338" s="2" t="inlineStr">
        <is>
          <t>Solve Practice problems online with the Practice R path on CodeChef. Write code for over 170 R coding challenges and prepare for interviews.</t>
        </is>
      </c>
      <c r="D338" s="2" t="inlineStr">
        <is>
          <t>Loops - Break / Continue</t>
        </is>
      </c>
      <c r="E338" s="2" t="n">
        <v>145</v>
      </c>
      <c r="F338" s="2" t="inlineStr">
        <is>
          <t>First occurrence</t>
        </is>
      </c>
      <c r="G338" s="2" t="inlineStr">
        <is>
          <t>LPRASPR145</t>
        </is>
      </c>
      <c r="H338" s="2" t="inlineStr"/>
      <c r="I338" s="2" t="inlineStr">
        <is>
          <t>Easy</t>
        </is>
      </c>
      <c r="J338" s="3">
        <f>HYPERLINK("https://www.codechef.com/problems/LPRASPR145", "https://www.codechef.com/problems/LPRASPR145")</f>
        <v/>
      </c>
      <c r="K338" s="2" t="inlineStr"/>
      <c r="L338" s="2" t="inlineStr"/>
      <c r="M338" s="2" t="inlineStr"/>
      <c r="N338" s="2" t="inlineStr">
        <is>
          <t>No</t>
        </is>
      </c>
      <c r="O338" s="2" t="inlineStr">
        <is>
          <t>Unattempted</t>
        </is>
      </c>
    </row>
    <row r="339">
      <c r="A339" s="4" t="inlineStr">
        <is>
          <t>Other Practice Paths</t>
        </is>
      </c>
      <c r="B339" s="4" t="inlineStr">
        <is>
          <t>Practice R Programming</t>
        </is>
      </c>
      <c r="C339" s="4" t="inlineStr">
        <is>
          <t>Solve Practice problems online with the Practice R path on CodeChef. Write code for over 170 R coding challenges and prepare for interviews.</t>
        </is>
      </c>
      <c r="D339" s="4" t="inlineStr">
        <is>
          <t>Loops - Break / Continue</t>
        </is>
      </c>
      <c r="E339" s="4" t="n">
        <v>146</v>
      </c>
      <c r="F339" s="4" t="inlineStr">
        <is>
          <t>Square of numbers</t>
        </is>
      </c>
      <c r="G339" s="4" t="inlineStr">
        <is>
          <t>LPRASPR146</t>
        </is>
      </c>
      <c r="H339" s="4" t="inlineStr"/>
      <c r="I339" s="4" t="inlineStr">
        <is>
          <t>Easy</t>
        </is>
      </c>
      <c r="J339" s="5">
        <f>HYPERLINK("https://www.codechef.com/problems/LPRASPR146", "https://www.codechef.com/problems/LPRASPR146")</f>
        <v/>
      </c>
      <c r="K339" s="4" t="inlineStr"/>
      <c r="L339" s="4" t="inlineStr"/>
      <c r="M339" s="4" t="inlineStr"/>
      <c r="N339" s="4" t="inlineStr">
        <is>
          <t>No</t>
        </is>
      </c>
      <c r="O339" s="4" t="inlineStr">
        <is>
          <t>Unattempted</t>
        </is>
      </c>
    </row>
    <row r="340">
      <c r="A340" s="2" t="inlineStr">
        <is>
          <t>Other Practice Paths</t>
        </is>
      </c>
      <c r="B340" s="2" t="inlineStr">
        <is>
          <t>Practice R Programming</t>
        </is>
      </c>
      <c r="C340" s="2" t="inlineStr">
        <is>
          <t>Solve Practice problems online with the Practice R path on CodeChef. Write code for over 170 R coding challenges and prepare for interviews.</t>
        </is>
      </c>
      <c r="D340" s="2" t="inlineStr">
        <is>
          <t>Functions - Functions</t>
        </is>
      </c>
      <c r="E340" s="2" t="n">
        <v>147</v>
      </c>
      <c r="F340" s="2" t="inlineStr">
        <is>
          <t>Define a function</t>
        </is>
      </c>
      <c r="G340" s="2" t="inlineStr">
        <is>
          <t>LPRASPR147</t>
        </is>
      </c>
      <c r="H340" s="2" t="inlineStr"/>
      <c r="I340" s="2" t="inlineStr">
        <is>
          <t>Easy</t>
        </is>
      </c>
      <c r="J340" s="3">
        <f>HYPERLINK("https://www.codechef.com/problems/LPRASPR147", "https://www.codechef.com/problems/LPRASPR147")</f>
        <v/>
      </c>
      <c r="K340" s="2" t="inlineStr"/>
      <c r="L340" s="2" t="inlineStr"/>
      <c r="M340" s="2" t="inlineStr"/>
      <c r="N340" s="2" t="inlineStr">
        <is>
          <t>No</t>
        </is>
      </c>
      <c r="O340" s="2" t="inlineStr">
        <is>
          <t>Unattempted</t>
        </is>
      </c>
    </row>
    <row r="341">
      <c r="A341" s="4" t="inlineStr">
        <is>
          <t>Other Practice Paths</t>
        </is>
      </c>
      <c r="B341" s="4" t="inlineStr">
        <is>
          <t>Practice R Programming</t>
        </is>
      </c>
      <c r="C341" s="4" t="inlineStr">
        <is>
          <t>Solve Practice problems online with the Practice R path on CodeChef. Write code for over 170 R coding challenges and prepare for interviews.</t>
        </is>
      </c>
      <c r="D341" s="4" t="inlineStr">
        <is>
          <t>Functions - Functions</t>
        </is>
      </c>
      <c r="E341" s="4" t="n">
        <v>148</v>
      </c>
      <c r="F341" s="4" t="inlineStr">
        <is>
          <t>Return Statement</t>
        </is>
      </c>
      <c r="G341" s="4" t="inlineStr">
        <is>
          <t>LPRASPR148</t>
        </is>
      </c>
      <c r="H341" s="4" t="inlineStr"/>
      <c r="I341" s="4" t="inlineStr">
        <is>
          <t>Easy</t>
        </is>
      </c>
      <c r="J341" s="5">
        <f>HYPERLINK("https://www.codechef.com/problems/LPRASPR148", "https://www.codechef.com/problems/LPRASPR148")</f>
        <v/>
      </c>
      <c r="K341" s="4" t="inlineStr"/>
      <c r="L341" s="4" t="inlineStr"/>
      <c r="M341" s="4" t="inlineStr"/>
      <c r="N341" s="4" t="inlineStr">
        <is>
          <t>No</t>
        </is>
      </c>
      <c r="O341" s="4" t="inlineStr">
        <is>
          <t>Unattempted</t>
        </is>
      </c>
    </row>
    <row r="342">
      <c r="A342" s="2" t="inlineStr">
        <is>
          <t>Other Practice Paths</t>
        </is>
      </c>
      <c r="B342" s="2" t="inlineStr">
        <is>
          <t>Practice R Programming</t>
        </is>
      </c>
      <c r="C342" s="2" t="inlineStr">
        <is>
          <t>Solve Practice problems online with the Practice R path on CodeChef. Write code for over 170 R coding challenges and prepare for interviews.</t>
        </is>
      </c>
      <c r="D342" s="2" t="inlineStr">
        <is>
          <t>Functions - Functions</t>
        </is>
      </c>
      <c r="E342" s="2" t="n">
        <v>149</v>
      </c>
      <c r="F342" s="2" t="inlineStr">
        <is>
          <t>Global Variable</t>
        </is>
      </c>
      <c r="G342" s="2" t="inlineStr">
        <is>
          <t>LPRASPR149</t>
        </is>
      </c>
      <c r="H342" s="2" t="inlineStr"/>
      <c r="I342" s="2" t="inlineStr">
        <is>
          <t>Easy</t>
        </is>
      </c>
      <c r="J342" s="3">
        <f>HYPERLINK("https://www.codechef.com/problems/LPRASPR149", "https://www.codechef.com/problems/LPRASPR149")</f>
        <v/>
      </c>
      <c r="K342" s="2" t="inlineStr"/>
      <c r="L342" s="2" t="inlineStr"/>
      <c r="M342" s="2" t="inlineStr"/>
      <c r="N342" s="2" t="inlineStr">
        <is>
          <t>No</t>
        </is>
      </c>
      <c r="O342" s="2" t="inlineStr">
        <is>
          <t>Unattempted</t>
        </is>
      </c>
    </row>
    <row r="343">
      <c r="A343" s="4" t="inlineStr">
        <is>
          <t>Other Practice Paths</t>
        </is>
      </c>
      <c r="B343" s="4" t="inlineStr">
        <is>
          <t>Practice R Programming</t>
        </is>
      </c>
      <c r="C343" s="4" t="inlineStr">
        <is>
          <t>Solve Practice problems online with the Practice R path on CodeChef. Write code for over 170 R coding challenges and prepare for interviews.</t>
        </is>
      </c>
      <c r="D343" s="4" t="inlineStr">
        <is>
          <t>Functions - Functions</t>
        </is>
      </c>
      <c r="E343" s="4" t="n">
        <v>150</v>
      </c>
      <c r="F343" s="4" t="inlineStr">
        <is>
          <t>Guess the output</t>
        </is>
      </c>
      <c r="G343" s="4" t="inlineStr">
        <is>
          <t>LPRASPR150</t>
        </is>
      </c>
      <c r="H343" s="4" t="inlineStr"/>
      <c r="I343" s="4" t="inlineStr">
        <is>
          <t>Easy</t>
        </is>
      </c>
      <c r="J343" s="5">
        <f>HYPERLINK("https://www.codechef.com/problems/LPRASPR150", "https://www.codechef.com/problems/LPRASPR150")</f>
        <v/>
      </c>
      <c r="K343" s="4" t="inlineStr"/>
      <c r="L343" s="4" t="inlineStr"/>
      <c r="M343" s="4" t="inlineStr"/>
      <c r="N343" s="4" t="inlineStr">
        <is>
          <t>No</t>
        </is>
      </c>
      <c r="O343" s="4" t="inlineStr">
        <is>
          <t>Unattempted</t>
        </is>
      </c>
    </row>
    <row r="344">
      <c r="A344" s="2" t="inlineStr">
        <is>
          <t>Other Practice Paths</t>
        </is>
      </c>
      <c r="B344" s="2" t="inlineStr">
        <is>
          <t>Practice R Programming</t>
        </is>
      </c>
      <c r="C344" s="2" t="inlineStr">
        <is>
          <t>Solve Practice problems online with the Practice R path on CodeChef. Write code for over 170 R coding challenges and prepare for interviews.</t>
        </is>
      </c>
      <c r="D344" s="2" t="inlineStr">
        <is>
          <t>Functions - Functions</t>
        </is>
      </c>
      <c r="E344" s="2" t="n">
        <v>151</v>
      </c>
      <c r="F344" s="2" t="inlineStr">
        <is>
          <t>Precedence</t>
        </is>
      </c>
      <c r="G344" s="2" t="inlineStr">
        <is>
          <t>LPRASPR151</t>
        </is>
      </c>
      <c r="H344" s="2" t="inlineStr"/>
      <c r="I344" s="2" t="inlineStr">
        <is>
          <t>Easy</t>
        </is>
      </c>
      <c r="J344" s="3">
        <f>HYPERLINK("https://www.codechef.com/problems/LPRASPR151", "https://www.codechef.com/problems/LPRASPR151")</f>
        <v/>
      </c>
      <c r="K344" s="2" t="inlineStr"/>
      <c r="L344" s="2" t="inlineStr"/>
      <c r="M344" s="2" t="inlineStr"/>
      <c r="N344" s="2" t="inlineStr">
        <is>
          <t>No</t>
        </is>
      </c>
      <c r="O344" s="2" t="inlineStr">
        <is>
          <t>Unattempted</t>
        </is>
      </c>
    </row>
    <row r="345">
      <c r="A345" s="4" t="inlineStr">
        <is>
          <t>Other Practice Paths</t>
        </is>
      </c>
      <c r="B345" s="4" t="inlineStr">
        <is>
          <t>Practice R Programming</t>
        </is>
      </c>
      <c r="C345" s="4" t="inlineStr">
        <is>
          <t>Solve Practice problems online with the Practice R path on CodeChef. Write code for over 170 R coding challenges and prepare for interviews.</t>
        </is>
      </c>
      <c r="D345" s="4" t="inlineStr">
        <is>
          <t>Functions - Functions</t>
        </is>
      </c>
      <c r="E345" s="4" t="n">
        <v>152</v>
      </c>
      <c r="F345" s="4" t="inlineStr">
        <is>
          <t>function keyword</t>
        </is>
      </c>
      <c r="G345" s="4" t="inlineStr">
        <is>
          <t>LPRASPR152</t>
        </is>
      </c>
      <c r="H345" s="4" t="inlineStr"/>
      <c r="I345" s="4" t="inlineStr">
        <is>
          <t>Easy</t>
        </is>
      </c>
      <c r="J345" s="5">
        <f>HYPERLINK("https://www.codechef.com/problems/LPRASPR152", "https://www.codechef.com/problems/LPRASPR152")</f>
        <v/>
      </c>
      <c r="K345" s="4" t="inlineStr"/>
      <c r="L345" s="4" t="inlineStr"/>
      <c r="M345" s="4" t="inlineStr"/>
      <c r="N345" s="4" t="inlineStr">
        <is>
          <t>No</t>
        </is>
      </c>
      <c r="O345" s="4" t="inlineStr">
        <is>
          <t>Unattempted</t>
        </is>
      </c>
    </row>
    <row r="346">
      <c r="A346" s="2" t="inlineStr">
        <is>
          <t>Other Practice Paths</t>
        </is>
      </c>
      <c r="B346" s="2" t="inlineStr">
        <is>
          <t>Practice R Programming</t>
        </is>
      </c>
      <c r="C346" s="2" t="inlineStr">
        <is>
          <t>Solve Practice problems online with the Practice R path on CodeChef. Write code for over 170 R coding challenges and prepare for interviews.</t>
        </is>
      </c>
      <c r="D346" s="2" t="inlineStr">
        <is>
          <t>Functions - Functions</t>
        </is>
      </c>
      <c r="E346" s="2" t="n">
        <v>153</v>
      </c>
      <c r="F346" s="2" t="inlineStr">
        <is>
          <t>Predefined function</t>
        </is>
      </c>
      <c r="G346" s="2" t="inlineStr">
        <is>
          <t>LPRASPR153</t>
        </is>
      </c>
      <c r="H346" s="2" t="inlineStr"/>
      <c r="I346" s="2" t="inlineStr">
        <is>
          <t>Easy</t>
        </is>
      </c>
      <c r="J346" s="3">
        <f>HYPERLINK("https://www.codechef.com/problems/LPRASPR153", "https://www.codechef.com/problems/LPRASPR153")</f>
        <v/>
      </c>
      <c r="K346" s="2" t="inlineStr"/>
      <c r="L346" s="2" t="inlineStr"/>
      <c r="M346" s="2" t="inlineStr"/>
      <c r="N346" s="2" t="inlineStr">
        <is>
          <t>No</t>
        </is>
      </c>
      <c r="O346" s="2" t="inlineStr">
        <is>
          <t>Unattempted</t>
        </is>
      </c>
    </row>
    <row r="347">
      <c r="A347" s="4" t="inlineStr">
        <is>
          <t>Other Practice Paths</t>
        </is>
      </c>
      <c r="B347" s="4" t="inlineStr">
        <is>
          <t>Practice R Programming</t>
        </is>
      </c>
      <c r="C347" s="4" t="inlineStr">
        <is>
          <t>Solve Practice problems online with the Practice R path on CodeChef. Write code for over 170 R coding challenges and prepare for interviews.</t>
        </is>
      </c>
      <c r="D347" s="4" t="inlineStr">
        <is>
          <t>Functions - Functions</t>
        </is>
      </c>
      <c r="E347" s="4" t="n">
        <v>154</v>
      </c>
      <c r="F347" s="4" t="inlineStr">
        <is>
          <t>Parameters and arguments</t>
        </is>
      </c>
      <c r="G347" s="4" t="inlineStr">
        <is>
          <t>LPRASPR154</t>
        </is>
      </c>
      <c r="H347" s="4" t="inlineStr"/>
      <c r="I347" s="4" t="inlineStr">
        <is>
          <t>Easy</t>
        </is>
      </c>
      <c r="J347" s="5">
        <f>HYPERLINK("https://www.codechef.com/problems/LPRASPR154", "https://www.codechef.com/problems/LPRASPR154")</f>
        <v/>
      </c>
      <c r="K347" s="4" t="inlineStr"/>
      <c r="L347" s="4" t="inlineStr"/>
      <c r="M347" s="4" t="inlineStr"/>
      <c r="N347" s="4" t="inlineStr">
        <is>
          <t>No</t>
        </is>
      </c>
      <c r="O347" s="4" t="inlineStr">
        <is>
          <t>Unattempted</t>
        </is>
      </c>
    </row>
    <row r="348">
      <c r="A348" s="2" t="inlineStr">
        <is>
          <t>Other Practice Paths</t>
        </is>
      </c>
      <c r="B348" s="2" t="inlineStr">
        <is>
          <t>Practice R Programming</t>
        </is>
      </c>
      <c r="C348" s="2" t="inlineStr">
        <is>
          <t>Solve Practice problems online with the Practice R path on CodeChef. Write code for over 170 R coding challenges and prepare for interviews.</t>
        </is>
      </c>
      <c r="D348" s="2" t="inlineStr">
        <is>
          <t>Functions - Functions</t>
        </is>
      </c>
      <c r="E348" s="2" t="n">
        <v>155</v>
      </c>
      <c r="F348" s="2" t="inlineStr">
        <is>
          <t>Calculate power</t>
        </is>
      </c>
      <c r="G348" s="2" t="inlineStr">
        <is>
          <t>LPRASPR155</t>
        </is>
      </c>
      <c r="H348" s="2" t="inlineStr"/>
      <c r="I348" s="2" t="inlineStr">
        <is>
          <t>Easy</t>
        </is>
      </c>
      <c r="J348" s="3">
        <f>HYPERLINK("https://www.codechef.com/problems/LPRASPR155", "https://www.codechef.com/problems/LPRASPR155")</f>
        <v/>
      </c>
      <c r="K348" s="2" t="inlineStr"/>
      <c r="L348" s="2" t="inlineStr"/>
      <c r="M348" s="2" t="inlineStr"/>
      <c r="N348" s="2" t="inlineStr">
        <is>
          <t>No</t>
        </is>
      </c>
      <c r="O348" s="2" t="inlineStr">
        <is>
          <t>Unattempted</t>
        </is>
      </c>
    </row>
    <row r="349">
      <c r="A349" s="4" t="inlineStr">
        <is>
          <t>Other Practice Paths</t>
        </is>
      </c>
      <c r="B349" s="4" t="inlineStr">
        <is>
          <t>Practice R Programming</t>
        </is>
      </c>
      <c r="C349" s="4" t="inlineStr">
        <is>
          <t>Solve Practice problems online with the Practice R path on CodeChef. Write code for over 170 R coding challenges and prepare for interviews.</t>
        </is>
      </c>
      <c r="D349" s="4" t="inlineStr">
        <is>
          <t>Functions - Functions</t>
        </is>
      </c>
      <c r="E349" s="4" t="n">
        <v>156</v>
      </c>
      <c r="F349" s="4" t="inlineStr">
        <is>
          <t>Calculate area</t>
        </is>
      </c>
      <c r="G349" s="4" t="inlineStr">
        <is>
          <t>LPRASPR156</t>
        </is>
      </c>
      <c r="H349" s="4" t="inlineStr"/>
      <c r="I349" s="4" t="inlineStr">
        <is>
          <t>Easy</t>
        </is>
      </c>
      <c r="J349" s="5">
        <f>HYPERLINK("https://www.codechef.com/problems/LPRASPR156", "https://www.codechef.com/problems/LPRASPR156")</f>
        <v/>
      </c>
      <c r="K349" s="4" t="inlineStr"/>
      <c r="L349" s="4" t="inlineStr"/>
      <c r="M349" s="4" t="inlineStr"/>
      <c r="N349" s="4" t="inlineStr">
        <is>
          <t>No</t>
        </is>
      </c>
      <c r="O349" s="4" t="inlineStr">
        <is>
          <t>Unattempted</t>
        </is>
      </c>
    </row>
    <row r="350">
      <c r="A350" s="2" t="inlineStr">
        <is>
          <t>Other Practice Paths</t>
        </is>
      </c>
      <c r="B350" s="2" t="inlineStr">
        <is>
          <t>Practice R Programming</t>
        </is>
      </c>
      <c r="C350" s="2" t="inlineStr">
        <is>
          <t>Solve Practice problems online with the Practice R path on CodeChef. Write code for over 170 R coding challenges and prepare for interviews.</t>
        </is>
      </c>
      <c r="D350" s="2" t="inlineStr">
        <is>
          <t>Functions - Functions</t>
        </is>
      </c>
      <c r="E350" s="2" t="n">
        <v>157</v>
      </c>
      <c r="F350" s="2" t="inlineStr">
        <is>
          <t>All Primes in Range</t>
        </is>
      </c>
      <c r="G350" s="2" t="inlineStr">
        <is>
          <t>LPRASPR157</t>
        </is>
      </c>
      <c r="H350" s="2" t="inlineStr"/>
      <c r="I350" s="2" t="inlineStr">
        <is>
          <t>Medium</t>
        </is>
      </c>
      <c r="J350" s="3">
        <f>HYPERLINK("https://www.codechef.com/problems/LPRASPR157", "https://www.codechef.com/problems/LPRASPR157")</f>
        <v/>
      </c>
      <c r="K350" s="2" t="inlineStr"/>
      <c r="L350" s="2" t="inlineStr"/>
      <c r="M350" s="2" t="inlineStr"/>
      <c r="N350" s="2" t="inlineStr">
        <is>
          <t>No</t>
        </is>
      </c>
      <c r="O350" s="2" t="inlineStr">
        <is>
          <t>Unattempted</t>
        </is>
      </c>
    </row>
    <row r="351">
      <c r="A351" s="4" t="inlineStr">
        <is>
          <t>Other Practice Paths</t>
        </is>
      </c>
      <c r="B351" s="4" t="inlineStr">
        <is>
          <t>Practice R Programming</t>
        </is>
      </c>
      <c r="C351" s="4" t="inlineStr">
        <is>
          <t>Solve Practice problems online with the Practice R path on CodeChef. Write code for over 170 R coding challenges and prepare for interviews.</t>
        </is>
      </c>
      <c r="D351" s="4" t="inlineStr">
        <is>
          <t>Functions - Functions</t>
        </is>
      </c>
      <c r="E351" s="4" t="n">
        <v>158</v>
      </c>
      <c r="F351" s="4" t="inlineStr">
        <is>
          <t>Armstrong Number</t>
        </is>
      </c>
      <c r="G351" s="4" t="inlineStr">
        <is>
          <t>LPRASPR158</t>
        </is>
      </c>
      <c r="H351" s="4" t="inlineStr"/>
      <c r="I351" s="4" t="inlineStr">
        <is>
          <t>Easy</t>
        </is>
      </c>
      <c r="J351" s="5">
        <f>HYPERLINK("https://www.codechef.com/problems/LPRASPR158", "https://www.codechef.com/problems/LPRASPR158")</f>
        <v/>
      </c>
      <c r="K351" s="4" t="inlineStr"/>
      <c r="L351" s="4" t="inlineStr"/>
      <c r="M351" s="4" t="inlineStr"/>
      <c r="N351" s="4" t="inlineStr">
        <is>
          <t>No</t>
        </is>
      </c>
      <c r="O351" s="4" t="inlineStr">
        <is>
          <t>Unattempted</t>
        </is>
      </c>
    </row>
    <row r="352">
      <c r="A352" s="2" t="inlineStr">
        <is>
          <t>Other Practice Paths</t>
        </is>
      </c>
      <c r="B352" s="2" t="inlineStr">
        <is>
          <t>Practice R Programming</t>
        </is>
      </c>
      <c r="C352" s="2" t="inlineStr">
        <is>
          <t>Solve Practice problems online with the Practice R path on CodeChef. Write code for over 170 R coding challenges and prepare for interviews.</t>
        </is>
      </c>
      <c r="D352" s="2" t="inlineStr">
        <is>
          <t>Get started with complex algorithmic problems - Test Cases / Custom inputs</t>
        </is>
      </c>
      <c r="E352" s="2" t="n">
        <v>159</v>
      </c>
      <c r="F352" s="2" t="inlineStr">
        <is>
          <t>Test cases</t>
        </is>
      </c>
      <c r="G352" s="2" t="inlineStr">
        <is>
          <t>LPRASPR159</t>
        </is>
      </c>
      <c r="H352" s="2" t="inlineStr"/>
      <c r="I352" s="2" t="inlineStr">
        <is>
          <t>Easy</t>
        </is>
      </c>
      <c r="J352" s="3">
        <f>HYPERLINK("https://www.codechef.com/problems/LPRASPR159", "https://www.codechef.com/problems/LPRASPR159")</f>
        <v/>
      </c>
      <c r="K352" s="2" t="inlineStr"/>
      <c r="L352" s="2" t="inlineStr"/>
      <c r="M352" s="2" t="inlineStr"/>
      <c r="N352" s="2" t="inlineStr">
        <is>
          <t>No</t>
        </is>
      </c>
      <c r="O352" s="2" t="inlineStr">
        <is>
          <t>Unattempted</t>
        </is>
      </c>
    </row>
    <row r="353">
      <c r="A353" s="4" t="inlineStr">
        <is>
          <t>Other Practice Paths</t>
        </is>
      </c>
      <c r="B353" s="4" t="inlineStr">
        <is>
          <t>Practice R Programming</t>
        </is>
      </c>
      <c r="C353" s="4" t="inlineStr">
        <is>
          <t>Solve Practice problems online with the Practice R path on CodeChef. Write code for over 170 R coding challenges and prepare for interviews.</t>
        </is>
      </c>
      <c r="D353" s="4" t="inlineStr">
        <is>
          <t>Get started with complex algorithmic problems - Test Cases / Custom inputs</t>
        </is>
      </c>
      <c r="E353" s="4" t="n">
        <v>160</v>
      </c>
      <c r="F353" s="4" t="inlineStr">
        <is>
          <t>Private test files</t>
        </is>
      </c>
      <c r="G353" s="4" t="inlineStr">
        <is>
          <t>LPRASPR160</t>
        </is>
      </c>
      <c r="H353" s="4" t="inlineStr"/>
      <c r="I353" s="4" t="inlineStr">
        <is>
          <t>Easy</t>
        </is>
      </c>
      <c r="J353" s="5">
        <f>HYPERLINK("https://www.codechef.com/problems/LPRASPR160", "https://www.codechef.com/problems/LPRASPR160")</f>
        <v/>
      </c>
      <c r="K353" s="4" t="inlineStr"/>
      <c r="L353" s="4" t="inlineStr"/>
      <c r="M353" s="4" t="inlineStr"/>
      <c r="N353" s="4" t="inlineStr">
        <is>
          <t>No</t>
        </is>
      </c>
      <c r="O353" s="4" t="inlineStr">
        <is>
          <t>Unattempted</t>
        </is>
      </c>
    </row>
    <row r="354">
      <c r="A354" s="2" t="inlineStr">
        <is>
          <t>Other Practice Paths</t>
        </is>
      </c>
      <c r="B354" s="2" t="inlineStr">
        <is>
          <t>Practice R Programming</t>
        </is>
      </c>
      <c r="C354" s="2" t="inlineStr">
        <is>
          <t>Solve Practice problems online with the Practice R path on CodeChef. Write code for over 170 R coding challenges and prepare for interviews.</t>
        </is>
      </c>
      <c r="D354" s="2" t="inlineStr">
        <is>
          <t>Get started with complex algorithmic problems - Test Cases / Custom inputs</t>
        </is>
      </c>
      <c r="E354" s="2" t="n">
        <v>161</v>
      </c>
      <c r="F354" s="2" t="inlineStr">
        <is>
          <t>Run vs Submit</t>
        </is>
      </c>
      <c r="G354" s="2" t="inlineStr">
        <is>
          <t>LPRASPR161</t>
        </is>
      </c>
      <c r="H354" s="2" t="inlineStr"/>
      <c r="I354" s="2" t="inlineStr">
        <is>
          <t>Easy</t>
        </is>
      </c>
      <c r="J354" s="3">
        <f>HYPERLINK("https://www.codechef.com/problems/LPRASPR161", "https://www.codechef.com/problems/LPRASPR161")</f>
        <v/>
      </c>
      <c r="K354" s="2" t="inlineStr"/>
      <c r="L354" s="2" t="inlineStr"/>
      <c r="M354" s="2" t="inlineStr"/>
      <c r="N354" s="2" t="inlineStr">
        <is>
          <t>No</t>
        </is>
      </c>
      <c r="O354" s="2" t="inlineStr">
        <is>
          <t>Unattempted</t>
        </is>
      </c>
    </row>
    <row r="355">
      <c r="A355" s="4" t="inlineStr">
        <is>
          <t>Other Practice Paths</t>
        </is>
      </c>
      <c r="B355" s="4" t="inlineStr">
        <is>
          <t>Practice R Programming</t>
        </is>
      </c>
      <c r="C355" s="4" t="inlineStr">
        <is>
          <t>Solve Practice problems online with the Practice R path on CodeChef. Write code for over 170 R coding challenges and prepare for interviews.</t>
        </is>
      </c>
      <c r="D355" s="4" t="inlineStr">
        <is>
          <t>Get started with complex algorithmic problems - Test Cases / Custom inputs</t>
        </is>
      </c>
      <c r="E355" s="4" t="n">
        <v>162</v>
      </c>
      <c r="F355" s="4" t="inlineStr">
        <is>
          <t>Custom inputs</t>
        </is>
      </c>
      <c r="G355" s="4" t="inlineStr">
        <is>
          <t>LPRASPR162</t>
        </is>
      </c>
      <c r="H355" s="4" t="inlineStr"/>
      <c r="I355" s="4" t="inlineStr">
        <is>
          <t>Easy</t>
        </is>
      </c>
      <c r="J355" s="5">
        <f>HYPERLINK("https://www.codechef.com/problems/LPRASPR162", "https://www.codechef.com/problems/LPRASPR162")</f>
        <v/>
      </c>
      <c r="K355" s="4" t="inlineStr"/>
      <c r="L355" s="4" t="inlineStr"/>
      <c r="M355" s="4" t="inlineStr"/>
      <c r="N355" s="4" t="inlineStr">
        <is>
          <t>No</t>
        </is>
      </c>
      <c r="O355" s="4" t="inlineStr">
        <is>
          <t>Unattempted</t>
        </is>
      </c>
    </row>
    <row r="356">
      <c r="A356" s="2" t="inlineStr">
        <is>
          <t>Other Practice Paths</t>
        </is>
      </c>
      <c r="B356" s="2" t="inlineStr">
        <is>
          <t>Practice R Programming</t>
        </is>
      </c>
      <c r="C356" s="2" t="inlineStr">
        <is>
          <t>Solve Practice problems online with the Practice R path on CodeChef. Write code for over 170 R coding challenges and prepare for interviews.</t>
        </is>
      </c>
      <c r="D356" s="2" t="inlineStr">
        <is>
          <t>Get started with complex algorithmic problems - Test Cases / Custom inputs</t>
        </is>
      </c>
      <c r="E356" s="2" t="n">
        <v>163</v>
      </c>
      <c r="F356" s="2" t="inlineStr">
        <is>
          <t>AC</t>
        </is>
      </c>
      <c r="G356" s="2" t="inlineStr">
        <is>
          <t>LPRASPR163</t>
        </is>
      </c>
      <c r="H356" s="2" t="inlineStr"/>
      <c r="I356" s="2" t="inlineStr">
        <is>
          <t>Easy</t>
        </is>
      </c>
      <c r="J356" s="3">
        <f>HYPERLINK("https://www.codechef.com/problems/LPRASPR163", "https://www.codechef.com/problems/LPRASPR163")</f>
        <v/>
      </c>
      <c r="K356" s="2" t="inlineStr"/>
      <c r="L356" s="2" t="inlineStr"/>
      <c r="M356" s="2" t="inlineStr"/>
      <c r="N356" s="2" t="inlineStr">
        <is>
          <t>No</t>
        </is>
      </c>
      <c r="O356" s="2" t="inlineStr">
        <is>
          <t>Unattempted</t>
        </is>
      </c>
    </row>
    <row r="357">
      <c r="A357" s="4" t="inlineStr">
        <is>
          <t>Other Practice Paths</t>
        </is>
      </c>
      <c r="B357" s="4" t="inlineStr">
        <is>
          <t>Practice R Programming</t>
        </is>
      </c>
      <c r="C357" s="4" t="inlineStr">
        <is>
          <t>Solve Practice problems online with the Practice R path on CodeChef. Write code for over 170 R coding challenges and prepare for interviews.</t>
        </is>
      </c>
      <c r="D357" s="4" t="inlineStr">
        <is>
          <t>Get started with complex algorithmic problems - Test Cases / Custom inputs</t>
        </is>
      </c>
      <c r="E357" s="4" t="n">
        <v>164</v>
      </c>
      <c r="F357" s="4" t="inlineStr">
        <is>
          <t>Failing cases</t>
        </is>
      </c>
      <c r="G357" s="4" t="inlineStr">
        <is>
          <t>LPRASPR164</t>
        </is>
      </c>
      <c r="H357" s="4" t="inlineStr"/>
      <c r="I357" s="4" t="inlineStr">
        <is>
          <t>Easy</t>
        </is>
      </c>
      <c r="J357" s="5">
        <f>HYPERLINK("https://www.codechef.com/problems/LPRASPR164", "https://www.codechef.com/problems/LPRASPR164")</f>
        <v/>
      </c>
      <c r="K357" s="4" t="inlineStr"/>
      <c r="L357" s="4" t="inlineStr"/>
      <c r="M357" s="4" t="inlineStr"/>
      <c r="N357" s="4" t="inlineStr">
        <is>
          <t>No</t>
        </is>
      </c>
      <c r="O357" s="4" t="inlineStr">
        <is>
          <t>Unattempted</t>
        </is>
      </c>
    </row>
    <row r="358">
      <c r="A358" s="2" t="inlineStr">
        <is>
          <t>Other Practice Paths</t>
        </is>
      </c>
      <c r="B358" s="2" t="inlineStr">
        <is>
          <t>Practice R Programming</t>
        </is>
      </c>
      <c r="C358" s="2" t="inlineStr">
        <is>
          <t>Solve Practice problems online with the Practice R path on CodeChef. Write code for over 170 R coding challenges and prepare for interviews.</t>
        </is>
      </c>
      <c r="D358" s="2" t="inlineStr">
        <is>
          <t>Get started with complex algorithmic problems - Test Cases / Custom inputs</t>
        </is>
      </c>
      <c r="E358" s="2" t="n">
        <v>165</v>
      </c>
      <c r="F358" s="2" t="inlineStr">
        <is>
          <t>Runtime error</t>
        </is>
      </c>
      <c r="G358" s="2" t="inlineStr">
        <is>
          <t>LPRASPR165</t>
        </is>
      </c>
      <c r="H358" s="2" t="inlineStr"/>
      <c r="I358" s="2" t="inlineStr">
        <is>
          <t>Easy</t>
        </is>
      </c>
      <c r="J358" s="3">
        <f>HYPERLINK("https://www.codechef.com/problems/LPRASPR165", "https://www.codechef.com/problems/LPRASPR165")</f>
        <v/>
      </c>
      <c r="K358" s="2" t="inlineStr"/>
      <c r="L358" s="2" t="inlineStr"/>
      <c r="M358" s="2" t="inlineStr"/>
      <c r="N358" s="2" t="inlineStr">
        <is>
          <t>No</t>
        </is>
      </c>
      <c r="O358" s="2" t="inlineStr">
        <is>
          <t>Unattempted</t>
        </is>
      </c>
    </row>
    <row r="359">
      <c r="A359" s="4" t="inlineStr">
        <is>
          <t>Other Practice Paths</t>
        </is>
      </c>
      <c r="B359" s="4" t="inlineStr">
        <is>
          <t>Practice R Programming</t>
        </is>
      </c>
      <c r="C359" s="4" t="inlineStr">
        <is>
          <t>Solve Practice problems online with the Practice R path on CodeChef. Write code for over 170 R coding challenges and prepare for interviews.</t>
        </is>
      </c>
      <c r="D359" s="4" t="inlineStr">
        <is>
          <t>Get started with complex algorithmic problems - Test Cases / Custom inputs</t>
        </is>
      </c>
      <c r="E359" s="4" t="n">
        <v>166</v>
      </c>
      <c r="F359" s="4" t="inlineStr">
        <is>
          <t>Test cases</t>
        </is>
      </c>
      <c r="G359" s="4" t="inlineStr">
        <is>
          <t>LPRASPR166</t>
        </is>
      </c>
      <c r="H359" s="4" t="inlineStr"/>
      <c r="I359" s="4" t="inlineStr">
        <is>
          <t>Easy</t>
        </is>
      </c>
      <c r="J359" s="5">
        <f>HYPERLINK("https://www.codechef.com/problems/LPRASPR166", "https://www.codechef.com/problems/LPRASPR166")</f>
        <v/>
      </c>
      <c r="K359" s="4" t="inlineStr"/>
      <c r="L359" s="4" t="inlineStr"/>
      <c r="M359" s="4" t="inlineStr"/>
      <c r="N359" s="4" t="inlineStr">
        <is>
          <t>No</t>
        </is>
      </c>
      <c r="O359" s="4" t="inlineStr">
        <is>
          <t>Unattempted</t>
        </is>
      </c>
    </row>
    <row r="360">
      <c r="A360" s="2" t="inlineStr">
        <is>
          <t>Other Practice Paths</t>
        </is>
      </c>
      <c r="B360" s="2" t="inlineStr">
        <is>
          <t>Practice R Programming</t>
        </is>
      </c>
      <c r="C360" s="2" t="inlineStr">
        <is>
          <t>Solve Practice problems online with the Practice R path on CodeChef. Write code for over 170 R coding challenges and prepare for interviews.</t>
        </is>
      </c>
      <c r="D360" s="2" t="inlineStr">
        <is>
          <t>Get started with complex algorithmic problems - Test Cases / Custom inputs</t>
        </is>
      </c>
      <c r="E360" s="2" t="n">
        <v>167</v>
      </c>
      <c r="F360" s="2" t="inlineStr">
        <is>
          <t>Increase the integer</t>
        </is>
      </c>
      <c r="G360" s="2" t="inlineStr">
        <is>
          <t>LPRASPR167</t>
        </is>
      </c>
      <c r="H360" s="2" t="inlineStr"/>
      <c r="I360" s="2" t="inlineStr">
        <is>
          <t>Easy</t>
        </is>
      </c>
      <c r="J360" s="3">
        <f>HYPERLINK("https://www.codechef.com/problems/LPRASPR167", "https://www.codechef.com/problems/LPRASPR167")</f>
        <v/>
      </c>
      <c r="K360" s="2" t="inlineStr"/>
      <c r="L360" s="2" t="inlineStr"/>
      <c r="M360" s="2" t="inlineStr"/>
      <c r="N360" s="2" t="inlineStr">
        <is>
          <t>No</t>
        </is>
      </c>
      <c r="O360" s="2" t="inlineStr">
        <is>
          <t>Unattempted</t>
        </is>
      </c>
    </row>
    <row r="361">
      <c r="A361" s="4" t="inlineStr">
        <is>
          <t>Other Practice Paths</t>
        </is>
      </c>
      <c r="B361" s="4" t="inlineStr">
        <is>
          <t>Practice R Programming</t>
        </is>
      </c>
      <c r="C361" s="4" t="inlineStr">
        <is>
          <t>Solve Practice problems online with the Practice R path on CodeChef. Write code for over 170 R coding challenges and prepare for interviews.</t>
        </is>
      </c>
      <c r="D361" s="4" t="inlineStr">
        <is>
          <t>Get started with complex algorithmic problems - Test Cases / Custom inputs</t>
        </is>
      </c>
      <c r="E361" s="4" t="n">
        <v>168</v>
      </c>
      <c r="F361" s="4" t="inlineStr">
        <is>
          <t>Even odd</t>
        </is>
      </c>
      <c r="G361" s="4" t="inlineStr">
        <is>
          <t>LPRASPR168</t>
        </is>
      </c>
      <c r="H361" s="4" t="inlineStr"/>
      <c r="I361" s="4" t="inlineStr">
        <is>
          <t>Easy</t>
        </is>
      </c>
      <c r="J361" s="5">
        <f>HYPERLINK("https://www.codechef.com/problems/LPRASPR168", "https://www.codechef.com/problems/LPRASPR168")</f>
        <v/>
      </c>
      <c r="K361" s="4" t="inlineStr"/>
      <c r="L361" s="4" t="inlineStr"/>
      <c r="M361" s="4" t="inlineStr"/>
      <c r="N361" s="4" t="inlineStr">
        <is>
          <t>No</t>
        </is>
      </c>
      <c r="O361" s="4" t="inlineStr">
        <is>
          <t>Unattempted</t>
        </is>
      </c>
    </row>
    <row r="362">
      <c r="A362" s="2" t="inlineStr">
        <is>
          <t>Other Practice Paths</t>
        </is>
      </c>
      <c r="B362" s="2" t="inlineStr">
        <is>
          <t>Practice R Programming</t>
        </is>
      </c>
      <c r="C362" s="2" t="inlineStr">
        <is>
          <t>Solve Practice problems online with the Practice R path on CodeChef. Write code for over 170 R coding challenges and prepare for interviews.</t>
        </is>
      </c>
      <c r="D362" s="2" t="inlineStr">
        <is>
          <t>Get started with complex algorithmic problems - Test Cases / Custom inputs</t>
        </is>
      </c>
      <c r="E362" s="2" t="n">
        <v>169</v>
      </c>
      <c r="F362" s="2" t="inlineStr">
        <is>
          <t>Sum of Digits - II</t>
        </is>
      </c>
      <c r="G362" s="2" t="inlineStr">
        <is>
          <t>LPRASPR169</t>
        </is>
      </c>
      <c r="H362" s="2" t="inlineStr"/>
      <c r="I362" s="2" t="inlineStr">
        <is>
          <t>Easy</t>
        </is>
      </c>
      <c r="J362" s="3">
        <f>HYPERLINK("https://www.codechef.com/problems/LPRASPR169", "https://www.codechef.com/problems/LPRASPR169")</f>
        <v/>
      </c>
      <c r="K362" s="2" t="inlineStr"/>
      <c r="L362" s="2" t="inlineStr"/>
      <c r="M362" s="2" t="inlineStr"/>
      <c r="N362" s="2" t="inlineStr">
        <is>
          <t>No</t>
        </is>
      </c>
      <c r="O362" s="2" t="inlineStr">
        <is>
          <t>Unattempted</t>
        </is>
      </c>
    </row>
    <row r="363">
      <c r="A363" s="4" t="inlineStr">
        <is>
          <t>Other Practice Paths</t>
        </is>
      </c>
      <c r="B363" s="4" t="inlineStr">
        <is>
          <t>Practice R Programming</t>
        </is>
      </c>
      <c r="C363" s="4" t="inlineStr">
        <is>
          <t>Solve Practice problems online with the Practice R path on CodeChef. Write code for over 170 R coding challenges and prepare for interviews.</t>
        </is>
      </c>
      <c r="D363" s="4" t="inlineStr">
        <is>
          <t>Get started with complex algorithmic problems - Test Cases / Custom inputs</t>
        </is>
      </c>
      <c r="E363" s="4" t="n">
        <v>170</v>
      </c>
      <c r="F363" s="4" t="inlineStr">
        <is>
          <t>Sum of Multiples</t>
        </is>
      </c>
      <c r="G363" s="4" t="inlineStr">
        <is>
          <t>LPRASPR170</t>
        </is>
      </c>
      <c r="H363" s="4" t="inlineStr"/>
      <c r="I363" s="4" t="inlineStr">
        <is>
          <t>Easy</t>
        </is>
      </c>
      <c r="J363" s="5">
        <f>HYPERLINK("https://www.codechef.com/problems/LPRASPR170", "https://www.codechef.com/problems/LPRASPR170")</f>
        <v/>
      </c>
      <c r="K363" s="4" t="inlineStr"/>
      <c r="L363" s="4" t="inlineStr"/>
      <c r="M363" s="4" t="inlineStr"/>
      <c r="N363" s="4" t="inlineStr">
        <is>
          <t>No</t>
        </is>
      </c>
      <c r="O363" s="4" t="inlineStr">
        <is>
          <t>Unattempted</t>
        </is>
      </c>
    </row>
    <row r="364">
      <c r="A364" s="2" t="inlineStr">
        <is>
          <t>Other Practice Paths</t>
        </is>
      </c>
      <c r="B364" s="2" t="inlineStr">
        <is>
          <t>Practice Rust</t>
        </is>
      </c>
      <c r="C364" s="2" t="inlineStr">
        <is>
          <t>Get hands-on experience in Rust language with this interactive and practical course. Master the basic syntax of the language and develop real-world applications with confidence.</t>
        </is>
      </c>
      <c r="D364" s="2" t="inlineStr">
        <is>
          <t>Input, Output and Arithmetic - Concept &amp; Practice</t>
        </is>
      </c>
      <c r="E364" s="2" t="n">
        <v>1</v>
      </c>
      <c r="F364" s="2" t="inlineStr">
        <is>
          <t>Multiple Choice Question</t>
        </is>
      </c>
      <c r="G364" s="2" t="inlineStr">
        <is>
          <t>RSPRACMCQ1</t>
        </is>
      </c>
      <c r="H364" s="2" t="inlineStr"/>
      <c r="I364" s="2" t="inlineStr">
        <is>
          <t>Easy</t>
        </is>
      </c>
      <c r="J364" s="3">
        <f>HYPERLINK("https://www.codechef.com/problems/RSPRACMCQ1", "https://www.codechef.com/problems/RSPRACMCQ1")</f>
        <v/>
      </c>
      <c r="K364" s="2" t="inlineStr"/>
      <c r="L364" s="2" t="inlineStr"/>
      <c r="M364" s="2" t="inlineStr"/>
      <c r="N364" s="2" t="inlineStr">
        <is>
          <t>No</t>
        </is>
      </c>
      <c r="O364" s="2" t="inlineStr">
        <is>
          <t>Unattempted</t>
        </is>
      </c>
    </row>
    <row r="365">
      <c r="A365" s="4" t="inlineStr">
        <is>
          <t>Other Practice Paths</t>
        </is>
      </c>
      <c r="B365" s="4" t="inlineStr">
        <is>
          <t>Practice Rust</t>
        </is>
      </c>
      <c r="C365" s="4" t="inlineStr">
        <is>
          <t>Get hands-on experience in Rust language with this interactive and practical course. Master the basic syntax of the language and develop real-world applications with confidence.</t>
        </is>
      </c>
      <c r="D365" s="4" t="inlineStr">
        <is>
          <t>Input, Output and Arithmetic - Concept &amp; Practice</t>
        </is>
      </c>
      <c r="E365" s="4" t="n">
        <v>2</v>
      </c>
      <c r="F365" s="4" t="inlineStr">
        <is>
          <t>Number Mirror</t>
        </is>
      </c>
      <c r="G365" s="4" t="inlineStr">
        <is>
          <t>START01</t>
        </is>
      </c>
      <c r="H365" s="4" t="inlineStr">
        <is>
          <t>200</t>
        </is>
      </c>
      <c r="I365" s="4" t="inlineStr">
        <is>
          <t>Easy</t>
        </is>
      </c>
      <c r="J365" s="5">
        <f>HYPERLINK("https://www.codechef.com/problems/START01", "https://www.codechef.com/problems/START01")</f>
        <v/>
      </c>
      <c r="K365" s="4" t="inlineStr"/>
      <c r="L365" s="4" t="inlineStr"/>
      <c r="M365" s="4" t="inlineStr"/>
      <c r="N365" s="4" t="inlineStr">
        <is>
          <t>No</t>
        </is>
      </c>
      <c r="O365" s="4" t="inlineStr">
        <is>
          <t>Unattempted</t>
        </is>
      </c>
    </row>
    <row r="366">
      <c r="A366" s="2" t="inlineStr">
        <is>
          <t>Other Practice Paths</t>
        </is>
      </c>
      <c r="B366" s="2" t="inlineStr">
        <is>
          <t>Practice Rust</t>
        </is>
      </c>
      <c r="C366" s="2" t="inlineStr">
        <is>
          <t>Get hands-on experience in Rust language with this interactive and practical course. Master the basic syntax of the language and develop real-world applications with confidence.</t>
        </is>
      </c>
      <c r="D366" s="2" t="inlineStr">
        <is>
          <t>Input, Output and Arithmetic - Concept &amp; Practice</t>
        </is>
      </c>
      <c r="E366" s="2" t="n">
        <v>3</v>
      </c>
      <c r="F366" s="2" t="inlineStr">
        <is>
          <t>Rearrange Code</t>
        </is>
      </c>
      <c r="G366" s="2" t="inlineStr">
        <is>
          <t>RSPRACREARR1</t>
        </is>
      </c>
      <c r="H366" s="2" t="inlineStr"/>
      <c r="I366" s="2" t="inlineStr">
        <is>
          <t>Easy</t>
        </is>
      </c>
      <c r="J366" s="3">
        <f>HYPERLINK("https://www.codechef.com/problems/RSPRACREARR1", "https://www.codechef.com/problems/RSPRACREARR1")</f>
        <v/>
      </c>
      <c r="K366" s="2" t="inlineStr"/>
      <c r="L366" s="2" t="inlineStr"/>
      <c r="M366" s="2" t="inlineStr"/>
      <c r="N366" s="2" t="inlineStr">
        <is>
          <t>No</t>
        </is>
      </c>
      <c r="O366" s="2" t="inlineStr">
        <is>
          <t>Unattempted</t>
        </is>
      </c>
    </row>
    <row r="367">
      <c r="A367" s="4" t="inlineStr">
        <is>
          <t>Other Practice Paths</t>
        </is>
      </c>
      <c r="B367" s="4" t="inlineStr">
        <is>
          <t>Practice Rust</t>
        </is>
      </c>
      <c r="C367" s="4" t="inlineStr">
        <is>
          <t>Get hands-on experience in Rust language with this interactive and practical course. Master the basic syntax of the language and develop real-world applications with confidence.</t>
        </is>
      </c>
      <c r="D367" s="4" t="inlineStr">
        <is>
          <t>Input, Output and Arithmetic - Concept &amp; Practice</t>
        </is>
      </c>
      <c r="E367" s="4" t="n">
        <v>4</v>
      </c>
      <c r="F367" s="4" t="inlineStr">
        <is>
          <t>Multiple Choice Question</t>
        </is>
      </c>
      <c r="G367" s="4" t="inlineStr">
        <is>
          <t>RSPRACREAR1A</t>
        </is>
      </c>
      <c r="H367" s="4" t="inlineStr"/>
      <c r="I367" s="4" t="inlineStr">
        <is>
          <t>Easy</t>
        </is>
      </c>
      <c r="J367" s="5">
        <f>HYPERLINK("https://www.codechef.com/problems/RSPRACREAR1A", "https://www.codechef.com/problems/RSPRACREAR1A")</f>
        <v/>
      </c>
      <c r="K367" s="4" t="inlineStr"/>
      <c r="L367" s="4" t="inlineStr"/>
      <c r="M367" s="4" t="inlineStr"/>
      <c r="N367" s="4" t="inlineStr">
        <is>
          <t>No</t>
        </is>
      </c>
      <c r="O367" s="4" t="inlineStr">
        <is>
          <t>Unattempted</t>
        </is>
      </c>
    </row>
    <row r="368">
      <c r="A368" s="2" t="inlineStr">
        <is>
          <t>Other Practice Paths</t>
        </is>
      </c>
      <c r="B368" s="2" t="inlineStr">
        <is>
          <t>Practice Rust</t>
        </is>
      </c>
      <c r="C368" s="2" t="inlineStr">
        <is>
          <t>Get hands-on experience in Rust language with this interactive and practical course. Master the basic syntax of the language and develop real-world applications with confidence.</t>
        </is>
      </c>
      <c r="D368" s="2" t="inlineStr">
        <is>
          <t>Input, Output and Arithmetic - Concept &amp; Practice</t>
        </is>
      </c>
      <c r="E368" s="2" t="n">
        <v>5</v>
      </c>
      <c r="F368" s="2" t="inlineStr">
        <is>
          <t>Chef and Instant Noodles</t>
        </is>
      </c>
      <c r="G368" s="2" t="inlineStr">
        <is>
          <t>INSTNOODLE</t>
        </is>
      </c>
      <c r="H368" s="2" t="inlineStr">
        <is>
          <t>456</t>
        </is>
      </c>
      <c r="I368" s="2" t="inlineStr">
        <is>
          <t>Easy</t>
        </is>
      </c>
      <c r="J368" s="3">
        <f>HYPERLINK("https://www.codechef.com/problems/INSTNOODLE", "https://www.codechef.com/problems/INSTNOODLE")</f>
        <v/>
      </c>
      <c r="K368" s="2" t="inlineStr"/>
      <c r="L368" s="2" t="inlineStr">
        <is>
          <t>Arithmetic, Basic Math, Mathematics</t>
        </is>
      </c>
      <c r="M368" s="2" t="inlineStr"/>
      <c r="N368" s="2" t="inlineStr">
        <is>
          <t>No</t>
        </is>
      </c>
      <c r="O368" s="2" t="inlineStr">
        <is>
          <t>Unattempted</t>
        </is>
      </c>
    </row>
    <row r="369">
      <c r="A369" s="4" t="inlineStr">
        <is>
          <t>Other Practice Paths</t>
        </is>
      </c>
      <c r="B369" s="4" t="inlineStr">
        <is>
          <t>Practice Rust</t>
        </is>
      </c>
      <c r="C369" s="4" t="inlineStr">
        <is>
          <t>Get hands-on experience in Rust language with this interactive and practical course. Master the basic syntax of the language and develop real-world applications with confidence.</t>
        </is>
      </c>
      <c r="D369" s="4" t="inlineStr">
        <is>
          <t>Input, Output and Arithmetic - Concept &amp; Practice</t>
        </is>
      </c>
      <c r="E369" s="4" t="n">
        <v>6</v>
      </c>
      <c r="F369" s="4" t="inlineStr">
        <is>
          <t>Multiple Choice Question</t>
        </is>
      </c>
      <c r="G369" s="4" t="inlineStr">
        <is>
          <t>RSPRACMCQ4</t>
        </is>
      </c>
      <c r="H369" s="4" t="inlineStr"/>
      <c r="I369" s="4" t="inlineStr">
        <is>
          <t>Easy</t>
        </is>
      </c>
      <c r="J369" s="5">
        <f>HYPERLINK("https://www.codechef.com/problems/RSPRACMCQ4", "https://www.codechef.com/problems/RSPRACMCQ4")</f>
        <v/>
      </c>
      <c r="K369" s="4" t="inlineStr"/>
      <c r="L369" s="4" t="inlineStr"/>
      <c r="M369" s="4" t="inlineStr"/>
      <c r="N369" s="4" t="inlineStr">
        <is>
          <t>No</t>
        </is>
      </c>
      <c r="O369" s="4" t="inlineStr">
        <is>
          <t>Unattempted</t>
        </is>
      </c>
    </row>
    <row r="370">
      <c r="A370" s="2" t="inlineStr">
        <is>
          <t>Other Practice Paths</t>
        </is>
      </c>
      <c r="B370" s="2" t="inlineStr">
        <is>
          <t>Practice Rust</t>
        </is>
      </c>
      <c r="C370" s="2" t="inlineStr">
        <is>
          <t>Get hands-on experience in Rust language with this interactive and practical course. Master the basic syntax of the language and develop real-world applications with confidence.</t>
        </is>
      </c>
      <c r="D370" s="2" t="inlineStr">
        <is>
          <t>Input, Output and Arithmetic - Concept &amp; Practice</t>
        </is>
      </c>
      <c r="E370" s="2" t="n">
        <v>7</v>
      </c>
      <c r="F370" s="2" t="inlineStr">
        <is>
          <t>CodeChef Learn Problem Solving</t>
        </is>
      </c>
      <c r="G370" s="2" t="inlineStr">
        <is>
          <t>CCLEARN</t>
        </is>
      </c>
      <c r="H370" s="2" t="inlineStr">
        <is>
          <t>287</t>
        </is>
      </c>
      <c r="I370" s="2" t="inlineStr">
        <is>
          <t>Easy</t>
        </is>
      </c>
      <c r="J370" s="3">
        <f>HYPERLINK("https://www.codechef.com/problems/CCLEARN", "https://www.codechef.com/problems/CCLEARN")</f>
        <v/>
      </c>
      <c r="K370" s="2" t="inlineStr"/>
      <c r="L370" s="2" t="inlineStr">
        <is>
          <t>Basic Math, Mathematics</t>
        </is>
      </c>
      <c r="M370" s="2" t="inlineStr"/>
      <c r="N370" s="2" t="inlineStr">
        <is>
          <t>No</t>
        </is>
      </c>
      <c r="O370" s="2" t="inlineStr">
        <is>
          <t>Unattempted</t>
        </is>
      </c>
    </row>
    <row r="371">
      <c r="A371" s="4" t="inlineStr">
        <is>
          <t>Other Practice Paths</t>
        </is>
      </c>
      <c r="B371" s="4" t="inlineStr">
        <is>
          <t>Practice Rust</t>
        </is>
      </c>
      <c r="C371" s="4" t="inlineStr">
        <is>
          <t>Get hands-on experience in Rust language with this interactive and practical course. Master the basic syntax of the language and develop real-world applications with confidence.</t>
        </is>
      </c>
      <c r="D371" s="4" t="inlineStr">
        <is>
          <t>Input, Output and Arithmetic - Additional practice</t>
        </is>
      </c>
      <c r="E371" s="4" t="n">
        <v>8</v>
      </c>
      <c r="F371" s="4" t="inlineStr">
        <is>
          <t>Multiple Choice Question</t>
        </is>
      </c>
      <c r="G371" s="4" t="inlineStr">
        <is>
          <t>RSPRACMCQ2</t>
        </is>
      </c>
      <c r="H371" s="4" t="inlineStr"/>
      <c r="I371" s="4" t="inlineStr">
        <is>
          <t>Easy</t>
        </is>
      </c>
      <c r="J371" s="5">
        <f>HYPERLINK("https://www.codechef.com/problems/RSPRACMCQ2", "https://www.codechef.com/problems/RSPRACMCQ2")</f>
        <v/>
      </c>
      <c r="K371" s="4" t="inlineStr"/>
      <c r="L371" s="4" t="inlineStr"/>
      <c r="M371" s="4" t="inlineStr"/>
      <c r="N371" s="4" t="inlineStr">
        <is>
          <t>No</t>
        </is>
      </c>
      <c r="O371" s="4" t="inlineStr">
        <is>
          <t>Unattempted</t>
        </is>
      </c>
    </row>
    <row r="372">
      <c r="A372" s="2" t="inlineStr">
        <is>
          <t>Other Practice Paths</t>
        </is>
      </c>
      <c r="B372" s="2" t="inlineStr">
        <is>
          <t>Practice Rust</t>
        </is>
      </c>
      <c r="C372" s="2" t="inlineStr">
        <is>
          <t>Get hands-on experience in Rust language with this interactive and practical course. Master the basic syntax of the language and develop real-world applications with confidence.</t>
        </is>
      </c>
      <c r="D372" s="2" t="inlineStr">
        <is>
          <t>Input, Output and Arithmetic - Additional practice</t>
        </is>
      </c>
      <c r="E372" s="2" t="n">
        <v>9</v>
      </c>
      <c r="F372" s="2" t="inlineStr">
        <is>
          <t>Learning SQL</t>
        </is>
      </c>
      <c r="G372" s="2" t="inlineStr">
        <is>
          <t>LEARNSQL</t>
        </is>
      </c>
      <c r="H372" s="2" t="inlineStr">
        <is>
          <t>339</t>
        </is>
      </c>
      <c r="I372" s="2" t="inlineStr">
        <is>
          <t>Easy</t>
        </is>
      </c>
      <c r="J372" s="3">
        <f>HYPERLINK("https://www.codechef.com/problems/LEARNSQL", "https://www.codechef.com/problems/LEARNSQL")</f>
        <v/>
      </c>
      <c r="K372" s="2" t="inlineStr"/>
      <c r="L372" s="2" t="inlineStr"/>
      <c r="M372" s="2" t="inlineStr"/>
      <c r="N372" s="2" t="inlineStr">
        <is>
          <t>No</t>
        </is>
      </c>
      <c r="O372" s="2" t="inlineStr">
        <is>
          <t>Unattempted</t>
        </is>
      </c>
    </row>
    <row r="373">
      <c r="A373" s="4" t="inlineStr">
        <is>
          <t>Other Practice Paths</t>
        </is>
      </c>
      <c r="B373" s="4" t="inlineStr">
        <is>
          <t>Practice Rust</t>
        </is>
      </c>
      <c r="C373" s="4" t="inlineStr">
        <is>
          <t>Get hands-on experience in Rust language with this interactive and practical course. Master the basic syntax of the language and develop real-world applications with confidence.</t>
        </is>
      </c>
      <c r="D373" s="4" t="inlineStr">
        <is>
          <t>Input, Output and Arithmetic - Additional practice</t>
        </is>
      </c>
      <c r="E373" s="4" t="n">
        <v>10</v>
      </c>
      <c r="F373" s="4" t="inlineStr">
        <is>
          <t>Multiple Choice Question</t>
        </is>
      </c>
      <c r="G373" s="4" t="inlineStr">
        <is>
          <t>RSPRACMCQ3</t>
        </is>
      </c>
      <c r="H373" s="4" t="inlineStr"/>
      <c r="I373" s="4" t="inlineStr">
        <is>
          <t>Easy</t>
        </is>
      </c>
      <c r="J373" s="5">
        <f>HYPERLINK("https://www.codechef.com/problems/RSPRACMCQ3", "https://www.codechef.com/problems/RSPRACMCQ3")</f>
        <v/>
      </c>
      <c r="K373" s="4" t="inlineStr"/>
      <c r="L373" s="4" t="inlineStr"/>
      <c r="M373" s="4" t="inlineStr"/>
      <c r="N373" s="4" t="inlineStr">
        <is>
          <t>No</t>
        </is>
      </c>
      <c r="O373" s="4" t="inlineStr">
        <is>
          <t>Unattempted</t>
        </is>
      </c>
    </row>
    <row r="374">
      <c r="A374" s="2" t="inlineStr">
        <is>
          <t>Other Practice Paths</t>
        </is>
      </c>
      <c r="B374" s="2" t="inlineStr">
        <is>
          <t>Practice Rust</t>
        </is>
      </c>
      <c r="C374" s="2" t="inlineStr">
        <is>
          <t>Get hands-on experience in Rust language with this interactive and practical course. Master the basic syntax of the language and develop real-world applications with confidence.</t>
        </is>
      </c>
      <c r="D374" s="2" t="inlineStr">
        <is>
          <t>Input, Output and Arithmetic - Additional practice</t>
        </is>
      </c>
      <c r="E374" s="2" t="n">
        <v>11</v>
      </c>
      <c r="F374" s="2" t="inlineStr">
        <is>
          <t>Parking Charges</t>
        </is>
      </c>
      <c r="G374" s="2" t="inlineStr">
        <is>
          <t>PARKINGCHARG</t>
        </is>
      </c>
      <c r="H374" s="2" t="inlineStr">
        <is>
          <t>416</t>
        </is>
      </c>
      <c r="I374" s="2" t="inlineStr">
        <is>
          <t>Easy</t>
        </is>
      </c>
      <c r="J374" s="3">
        <f>HYPERLINK("https://www.codechef.com/problems/PARKINGCHARG", "https://www.codechef.com/problems/PARKINGCHARG")</f>
        <v/>
      </c>
      <c r="K374" s="2" t="inlineStr"/>
      <c r="L374" s="2" t="inlineStr"/>
      <c r="M374" s="2" t="inlineStr"/>
      <c r="N374" s="2" t="inlineStr">
        <is>
          <t>No</t>
        </is>
      </c>
      <c r="O374" s="2" t="inlineStr">
        <is>
          <t>Unattempted</t>
        </is>
      </c>
    </row>
    <row r="375">
      <c r="A375" s="4" t="inlineStr">
        <is>
          <t>Other Practice Paths</t>
        </is>
      </c>
      <c r="B375" s="4" t="inlineStr">
        <is>
          <t>Practice Rust</t>
        </is>
      </c>
      <c r="C375" s="4" t="inlineStr">
        <is>
          <t>Get hands-on experience in Rust language with this interactive and practical course. Master the basic syntax of the language and develop real-world applications with confidence.</t>
        </is>
      </c>
      <c r="D375" s="4" t="inlineStr">
        <is>
          <t>Conditionals - Concept &amp; Practice</t>
        </is>
      </c>
      <c r="E375" s="4" t="n">
        <v>12</v>
      </c>
      <c r="F375" s="4" t="inlineStr">
        <is>
          <t>Multiple Choice Question</t>
        </is>
      </c>
      <c r="G375" s="4" t="inlineStr">
        <is>
          <t>RSPRACMCQ5</t>
        </is>
      </c>
      <c r="H375" s="4" t="inlineStr"/>
      <c r="I375" s="4" t="inlineStr">
        <is>
          <t>Easy</t>
        </is>
      </c>
      <c r="J375" s="5">
        <f>HYPERLINK("https://www.codechef.com/problems/RSPRACMCQ5", "https://www.codechef.com/problems/RSPRACMCQ5")</f>
        <v/>
      </c>
      <c r="K375" s="4" t="inlineStr"/>
      <c r="L375" s="4" t="inlineStr"/>
      <c r="M375" s="4" t="inlineStr"/>
      <c r="N375" s="4" t="inlineStr">
        <is>
          <t>No</t>
        </is>
      </c>
      <c r="O375" s="4" t="inlineStr">
        <is>
          <t>Unattempted</t>
        </is>
      </c>
    </row>
    <row r="376">
      <c r="A376" s="2" t="inlineStr">
        <is>
          <t>Other Practice Paths</t>
        </is>
      </c>
      <c r="B376" s="2" t="inlineStr">
        <is>
          <t>Practice Rust</t>
        </is>
      </c>
      <c r="C376" s="2" t="inlineStr">
        <is>
          <t>Get hands-on experience in Rust language with this interactive and practical course. Master the basic syntax of the language and develop real-world applications with confidence.</t>
        </is>
      </c>
      <c r="D376" s="2" t="inlineStr">
        <is>
          <t>Conditionals - Concept &amp; Practice</t>
        </is>
      </c>
      <c r="E376" s="2" t="n">
        <v>13</v>
      </c>
      <c r="F376" s="2" t="inlineStr">
        <is>
          <t>Chef and Brain Speed</t>
        </is>
      </c>
      <c r="G376" s="2" t="inlineStr">
        <is>
          <t>CBSPEED</t>
        </is>
      </c>
      <c r="H376" s="2" t="inlineStr">
        <is>
          <t>288</t>
        </is>
      </c>
      <c r="I376" s="2" t="inlineStr">
        <is>
          <t>Easy</t>
        </is>
      </c>
      <c r="J376" s="3">
        <f>HYPERLINK("https://www.codechef.com/problems/CBSPEED", "https://www.codechef.com/problems/CBSPEED")</f>
        <v/>
      </c>
      <c r="K376" s="2" t="inlineStr"/>
      <c r="L376" s="2" t="inlineStr">
        <is>
          <t>Basic Programming Concepts</t>
        </is>
      </c>
      <c r="M376" s="2" t="inlineStr"/>
      <c r="N376" s="2" t="inlineStr">
        <is>
          <t>No</t>
        </is>
      </c>
      <c r="O376" s="2" t="inlineStr">
        <is>
          <t>Unattempted</t>
        </is>
      </c>
    </row>
    <row r="377">
      <c r="A377" s="4" t="inlineStr">
        <is>
          <t>Other Practice Paths</t>
        </is>
      </c>
      <c r="B377" s="4" t="inlineStr">
        <is>
          <t>Practice Rust</t>
        </is>
      </c>
      <c r="C377" s="4" t="inlineStr">
        <is>
          <t>Get hands-on experience in Rust language with this interactive and practical course. Master the basic syntax of the language and develop real-world applications with confidence.</t>
        </is>
      </c>
      <c r="D377" s="4" t="inlineStr">
        <is>
          <t>Conditionals - Concept &amp; Practice</t>
        </is>
      </c>
      <c r="E377" s="4" t="n">
        <v>14</v>
      </c>
      <c r="F377" s="4" t="inlineStr">
        <is>
          <t>Multiple Choice Question</t>
        </is>
      </c>
      <c r="G377" s="4" t="inlineStr">
        <is>
          <t>RSPRACMCQ6</t>
        </is>
      </c>
      <c r="H377" s="4" t="inlineStr"/>
      <c r="I377" s="4" t="inlineStr">
        <is>
          <t>Easy</t>
        </is>
      </c>
      <c r="J377" s="5">
        <f>HYPERLINK("https://www.codechef.com/problems/RSPRACMCQ6", "https://www.codechef.com/problems/RSPRACMCQ6")</f>
        <v/>
      </c>
      <c r="K377" s="4" t="inlineStr"/>
      <c r="L377" s="4" t="inlineStr"/>
      <c r="M377" s="4" t="inlineStr"/>
      <c r="N377" s="4" t="inlineStr">
        <is>
          <t>No</t>
        </is>
      </c>
      <c r="O377" s="4" t="inlineStr">
        <is>
          <t>Unattempted</t>
        </is>
      </c>
    </row>
    <row r="378">
      <c r="A378" s="2" t="inlineStr">
        <is>
          <t>Other Practice Paths</t>
        </is>
      </c>
      <c r="B378" s="2" t="inlineStr">
        <is>
          <t>Practice Rust</t>
        </is>
      </c>
      <c r="C378" s="2" t="inlineStr">
        <is>
          <t>Get hands-on experience in Rust language with this interactive and practical course. Master the basic syntax of the language and develop real-world applications with confidence.</t>
        </is>
      </c>
      <c r="D378" s="2" t="inlineStr">
        <is>
          <t>Conditionals - Concept &amp; Practice</t>
        </is>
      </c>
      <c r="E378" s="2" t="n">
        <v>15</v>
      </c>
      <c r="F378" s="2" t="inlineStr">
        <is>
          <t>Alice and Marks</t>
        </is>
      </c>
      <c r="G378" s="2" t="inlineStr">
        <is>
          <t>MARKSTW</t>
        </is>
      </c>
      <c r="H378" s="2" t="inlineStr">
        <is>
          <t>362</t>
        </is>
      </c>
      <c r="I378" s="2" t="inlineStr">
        <is>
          <t>Easy</t>
        </is>
      </c>
      <c r="J378" s="3">
        <f>HYPERLINK("https://www.codechef.com/problems/MARKSTW", "https://www.codechef.com/problems/MARKSTW")</f>
        <v/>
      </c>
      <c r="K378" s="2" t="inlineStr"/>
      <c r="L378" s="2" t="inlineStr">
        <is>
          <t>Basic Programming Concepts</t>
        </is>
      </c>
      <c r="M378" s="2" t="inlineStr"/>
      <c r="N378" s="2" t="inlineStr">
        <is>
          <t>No</t>
        </is>
      </c>
      <c r="O378" s="2" t="inlineStr">
        <is>
          <t>Unattempted</t>
        </is>
      </c>
    </row>
    <row r="379">
      <c r="A379" s="4" t="inlineStr">
        <is>
          <t>Other Practice Paths</t>
        </is>
      </c>
      <c r="B379" s="4" t="inlineStr">
        <is>
          <t>Practice Rust</t>
        </is>
      </c>
      <c r="C379" s="4" t="inlineStr">
        <is>
          <t>Get hands-on experience in Rust language with this interactive and practical course. Master the basic syntax of the language and develop real-world applications with confidence.</t>
        </is>
      </c>
      <c r="D379" s="4" t="inlineStr">
        <is>
          <t>Conditionals - Concept &amp; Practice</t>
        </is>
      </c>
      <c r="E379" s="4" t="n">
        <v>16</v>
      </c>
      <c r="F379" s="4" t="inlineStr">
        <is>
          <t>Multiple Choice Question</t>
        </is>
      </c>
      <c r="G379" s="4" t="inlineStr">
        <is>
          <t>RSPRACMCQ9</t>
        </is>
      </c>
      <c r="H379" s="4" t="inlineStr"/>
      <c r="I379" s="4" t="inlineStr">
        <is>
          <t>Easy</t>
        </is>
      </c>
      <c r="J379" s="5">
        <f>HYPERLINK("https://www.codechef.com/problems/RSPRACMCQ9", "https://www.codechef.com/problems/RSPRACMCQ9")</f>
        <v/>
      </c>
      <c r="K379" s="4" t="inlineStr"/>
      <c r="L379" s="4" t="inlineStr"/>
      <c r="M379" s="4" t="inlineStr"/>
      <c r="N379" s="4" t="inlineStr">
        <is>
          <t>No</t>
        </is>
      </c>
      <c r="O379" s="4" t="inlineStr">
        <is>
          <t>Unattempted</t>
        </is>
      </c>
    </row>
    <row r="380">
      <c r="A380" s="2" t="inlineStr">
        <is>
          <t>Other Practice Paths</t>
        </is>
      </c>
      <c r="B380" s="2" t="inlineStr">
        <is>
          <t>Practice Rust</t>
        </is>
      </c>
      <c r="C380" s="2" t="inlineStr">
        <is>
          <t>Get hands-on experience in Rust language with this interactive and practical course. Master the basic syntax of the language and develop real-world applications with confidence.</t>
        </is>
      </c>
      <c r="D380" s="2" t="inlineStr">
        <is>
          <t>Conditionals - Concept &amp; Practice</t>
        </is>
      </c>
      <c r="E380" s="2" t="n">
        <v>17</v>
      </c>
      <c r="F380" s="2" t="inlineStr">
        <is>
          <t>Oneful Pairs</t>
        </is>
      </c>
      <c r="G380" s="2" t="inlineStr">
        <is>
          <t>ONEFULPAIRS</t>
        </is>
      </c>
      <c r="H380" s="2" t="inlineStr">
        <is>
          <t>374</t>
        </is>
      </c>
      <c r="I380" s="2" t="inlineStr">
        <is>
          <t>Easy</t>
        </is>
      </c>
      <c r="J380" s="3">
        <f>HYPERLINK("https://www.codechef.com/problems/ONEFULPAIRS", "https://www.codechef.com/problems/ONEFULPAIRS")</f>
        <v/>
      </c>
      <c r="K380" s="2" t="inlineStr"/>
      <c r="L380" s="2" t="inlineStr"/>
      <c r="M380" s="2" t="inlineStr"/>
      <c r="N380" s="2" t="inlineStr">
        <is>
          <t>No</t>
        </is>
      </c>
      <c r="O380" s="2" t="inlineStr">
        <is>
          <t>Unattempted</t>
        </is>
      </c>
    </row>
    <row r="381">
      <c r="A381" s="4" t="inlineStr">
        <is>
          <t>Other Practice Paths</t>
        </is>
      </c>
      <c r="B381" s="4" t="inlineStr">
        <is>
          <t>Practice Rust</t>
        </is>
      </c>
      <c r="C381" s="4" t="inlineStr">
        <is>
          <t>Get hands-on experience in Rust language with this interactive and practical course. Master the basic syntax of the language and develop real-world applications with confidence.</t>
        </is>
      </c>
      <c r="D381" s="4" t="inlineStr">
        <is>
          <t>Conditionals - Additional practice</t>
        </is>
      </c>
      <c r="E381" s="4" t="n">
        <v>18</v>
      </c>
      <c r="F381" s="4" t="inlineStr">
        <is>
          <t>Rearrange Code</t>
        </is>
      </c>
      <c r="G381" s="4" t="inlineStr">
        <is>
          <t>RSPRACREARR2</t>
        </is>
      </c>
      <c r="H381" s="4" t="inlineStr"/>
      <c r="I381" s="4" t="inlineStr">
        <is>
          <t>Easy</t>
        </is>
      </c>
      <c r="J381" s="5">
        <f>HYPERLINK("https://www.codechef.com/problems/RSPRACREARR2", "https://www.codechef.com/problems/RSPRACREARR2")</f>
        <v/>
      </c>
      <c r="K381" s="4" t="inlineStr"/>
      <c r="L381" s="4" t="inlineStr"/>
      <c r="M381" s="4" t="inlineStr"/>
      <c r="N381" s="4" t="inlineStr">
        <is>
          <t>No</t>
        </is>
      </c>
      <c r="O381" s="4" t="inlineStr">
        <is>
          <t>Unattempted</t>
        </is>
      </c>
    </row>
    <row r="382">
      <c r="A382" s="2" t="inlineStr">
        <is>
          <t>Other Practice Paths</t>
        </is>
      </c>
      <c r="B382" s="2" t="inlineStr">
        <is>
          <t>Practice Rust</t>
        </is>
      </c>
      <c r="C382" s="2" t="inlineStr">
        <is>
          <t>Get hands-on experience in Rust language with this interactive and practical course. Master the basic syntax of the language and develop real-world applications with confidence.</t>
        </is>
      </c>
      <c r="D382" s="2" t="inlineStr">
        <is>
          <t>Conditionals - Additional practice</t>
        </is>
      </c>
      <c r="E382" s="2" t="n">
        <v>19</v>
      </c>
      <c r="F382" s="2" t="inlineStr">
        <is>
          <t>My very 1st contest!</t>
        </is>
      </c>
      <c r="G382" s="2" t="inlineStr">
        <is>
          <t>MY1STCONTEST</t>
        </is>
      </c>
      <c r="H382" s="2" t="inlineStr">
        <is>
          <t>284</t>
        </is>
      </c>
      <c r="I382" s="2" t="inlineStr">
        <is>
          <t>Easy</t>
        </is>
      </c>
      <c r="J382" s="3">
        <f>HYPERLINK("https://www.codechef.com/problems/MY1STCONTEST", "https://www.codechef.com/problems/MY1STCONTEST")</f>
        <v/>
      </c>
      <c r="K382" s="2" t="inlineStr"/>
      <c r="L382" s="2" t="inlineStr"/>
      <c r="M382" s="2" t="inlineStr"/>
      <c r="N382" s="2" t="inlineStr">
        <is>
          <t>No</t>
        </is>
      </c>
      <c r="O382" s="2" t="inlineStr">
        <is>
          <t>Unattempted</t>
        </is>
      </c>
    </row>
    <row r="383">
      <c r="A383" s="4" t="inlineStr">
        <is>
          <t>Other Practice Paths</t>
        </is>
      </c>
      <c r="B383" s="4" t="inlineStr">
        <is>
          <t>Practice Rust</t>
        </is>
      </c>
      <c r="C383" s="4" t="inlineStr">
        <is>
          <t>Get hands-on experience in Rust language with this interactive and practical course. Master the basic syntax of the language and develop real-world applications with confidence.</t>
        </is>
      </c>
      <c r="D383" s="4" t="inlineStr">
        <is>
          <t>Conditionals - Additional practice</t>
        </is>
      </c>
      <c r="E383" s="4" t="n">
        <v>20</v>
      </c>
      <c r="F383" s="4" t="inlineStr">
        <is>
          <t>Multiple Choice Question</t>
        </is>
      </c>
      <c r="G383" s="4" t="inlineStr">
        <is>
          <t>RSPRACMCQ8</t>
        </is>
      </c>
      <c r="H383" s="4" t="inlineStr"/>
      <c r="I383" s="4" t="inlineStr">
        <is>
          <t>Easy</t>
        </is>
      </c>
      <c r="J383" s="5">
        <f>HYPERLINK("https://www.codechef.com/problems/RSPRACMCQ8", "https://www.codechef.com/problems/RSPRACMCQ8")</f>
        <v/>
      </c>
      <c r="K383" s="4" t="inlineStr"/>
      <c r="L383" s="4" t="inlineStr"/>
      <c r="M383" s="4" t="inlineStr"/>
      <c r="N383" s="4" t="inlineStr">
        <is>
          <t>No</t>
        </is>
      </c>
      <c r="O383" s="4" t="inlineStr">
        <is>
          <t>Unattempted</t>
        </is>
      </c>
    </row>
    <row r="384">
      <c r="A384" s="2" t="inlineStr">
        <is>
          <t>Other Practice Paths</t>
        </is>
      </c>
      <c r="B384" s="2" t="inlineStr">
        <is>
          <t>Practice Rust</t>
        </is>
      </c>
      <c r="C384" s="2" t="inlineStr">
        <is>
          <t>Get hands-on experience in Rust language with this interactive and practical course. Master the basic syntax of the language and develop real-world applications with confidence.</t>
        </is>
      </c>
      <c r="D384" s="2" t="inlineStr">
        <is>
          <t>Conditionals - Additional practice</t>
        </is>
      </c>
      <c r="E384" s="2" t="n">
        <v>21</v>
      </c>
      <c r="F384" s="2" t="inlineStr">
        <is>
          <t>Black cells in a chessboard</t>
        </is>
      </c>
      <c r="G384" s="2" t="inlineStr">
        <is>
          <t>BLACKCEL</t>
        </is>
      </c>
      <c r="H384" s="2" t="inlineStr">
        <is>
          <t>746</t>
        </is>
      </c>
      <c r="I384" s="2" t="inlineStr">
        <is>
          <t>Easy</t>
        </is>
      </c>
      <c r="J384" s="3">
        <f>HYPERLINK("https://www.codechef.com/problems/BLACKCEL", "https://www.codechef.com/problems/BLACKCEL")</f>
        <v/>
      </c>
      <c r="K384" s="2" t="inlineStr"/>
      <c r="L384" s="2" t="inlineStr"/>
      <c r="M384" s="2" t="inlineStr"/>
      <c r="N384" s="2" t="inlineStr">
        <is>
          <t>No</t>
        </is>
      </c>
      <c r="O384" s="2" t="inlineStr">
        <is>
          <t>Unattempted</t>
        </is>
      </c>
    </row>
    <row r="385">
      <c r="A385" s="4" t="inlineStr">
        <is>
          <t>Other Practice Paths</t>
        </is>
      </c>
      <c r="B385" s="4" t="inlineStr">
        <is>
          <t>Practice Rust</t>
        </is>
      </c>
      <c r="C385" s="4" t="inlineStr">
        <is>
          <t>Get hands-on experience in Rust language with this interactive and practical course. Master the basic syntax of the language and develop real-world applications with confidence.</t>
        </is>
      </c>
      <c r="D385" s="4" t="inlineStr">
        <is>
          <t>Conditionals - Additional practice</t>
        </is>
      </c>
      <c r="E385" s="4" t="n">
        <v>22</v>
      </c>
      <c r="F385" s="4" t="inlineStr">
        <is>
          <t>Multiple Choice Question</t>
        </is>
      </c>
      <c r="G385" s="4" t="inlineStr">
        <is>
          <t>RSPRACMCQ7</t>
        </is>
      </c>
      <c r="H385" s="4" t="inlineStr"/>
      <c r="I385" s="4" t="inlineStr">
        <is>
          <t>Easy</t>
        </is>
      </c>
      <c r="J385" s="5">
        <f>HYPERLINK("https://www.codechef.com/problems/RSPRACMCQ7", "https://www.codechef.com/problems/RSPRACMCQ7")</f>
        <v/>
      </c>
      <c r="K385" s="4" t="inlineStr"/>
      <c r="L385" s="4" t="inlineStr"/>
      <c r="M385" s="4" t="inlineStr"/>
      <c r="N385" s="4" t="inlineStr">
        <is>
          <t>No</t>
        </is>
      </c>
      <c r="O385" s="4" t="inlineStr">
        <is>
          <t>Unattempted</t>
        </is>
      </c>
    </row>
    <row r="386">
      <c r="A386" s="2" t="inlineStr">
        <is>
          <t>Other Practice Paths</t>
        </is>
      </c>
      <c r="B386" s="2" t="inlineStr">
        <is>
          <t>Practice Rust</t>
        </is>
      </c>
      <c r="C386" s="2" t="inlineStr">
        <is>
          <t>Get hands-on experience in Rust language with this interactive and practical course. Master the basic syntax of the language and develop real-world applications with confidence.</t>
        </is>
      </c>
      <c r="D386" s="2" t="inlineStr">
        <is>
          <t>Conditionals - Additional practice</t>
        </is>
      </c>
      <c r="E386" s="2" t="n">
        <v>23</v>
      </c>
      <c r="F386" s="2" t="inlineStr">
        <is>
          <t>AB Difference</t>
        </is>
      </c>
      <c r="G386" s="2" t="inlineStr">
        <is>
          <t>ABDIFF</t>
        </is>
      </c>
      <c r="H386" s="2" t="inlineStr">
        <is>
          <t>347</t>
        </is>
      </c>
      <c r="I386" s="2" t="inlineStr">
        <is>
          <t>Easy</t>
        </is>
      </c>
      <c r="J386" s="3">
        <f>HYPERLINK("https://www.codechef.com/problems/ABDIFF", "https://www.codechef.com/problems/ABDIFF")</f>
        <v/>
      </c>
      <c r="K386" s="2" t="inlineStr"/>
      <c r="L386" s="2" t="inlineStr"/>
      <c r="M386" s="2" t="inlineStr"/>
      <c r="N386" s="2" t="inlineStr">
        <is>
          <t>No</t>
        </is>
      </c>
      <c r="O386" s="2" t="inlineStr">
        <is>
          <t>Unattempted</t>
        </is>
      </c>
    </row>
    <row r="387">
      <c r="A387" s="4" t="inlineStr">
        <is>
          <t>Other Practice Paths</t>
        </is>
      </c>
      <c r="B387" s="4" t="inlineStr">
        <is>
          <t>Practice Rust</t>
        </is>
      </c>
      <c r="C387" s="4" t="inlineStr">
        <is>
          <t>Get hands-on experience in Rust language with this interactive and practical course. Master the basic syntax of the language and develop real-world applications with confidence.</t>
        </is>
      </c>
      <c r="D387" s="4" t="inlineStr">
        <is>
          <t>Loops - Concept &amp; Practice</t>
        </is>
      </c>
      <c r="E387" s="4" t="n">
        <v>24</v>
      </c>
      <c r="F387" s="4" t="inlineStr">
        <is>
          <t>Rearrange Code</t>
        </is>
      </c>
      <c r="G387" s="4" t="inlineStr">
        <is>
          <t>RSPRACREARR3</t>
        </is>
      </c>
      <c r="H387" s="4" t="inlineStr"/>
      <c r="I387" s="4" t="inlineStr">
        <is>
          <t>Easy</t>
        </is>
      </c>
      <c r="J387" s="5">
        <f>HYPERLINK("https://www.codechef.com/problems/RSPRACREARR3", "https://www.codechef.com/problems/RSPRACREARR3")</f>
        <v/>
      </c>
      <c r="K387" s="4" t="inlineStr"/>
      <c r="L387" s="4" t="inlineStr"/>
      <c r="M387" s="4" t="inlineStr"/>
      <c r="N387" s="4" t="inlineStr">
        <is>
          <t>No</t>
        </is>
      </c>
      <c r="O387" s="4" t="inlineStr">
        <is>
          <t>Unattempted</t>
        </is>
      </c>
    </row>
    <row r="388">
      <c r="A388" s="2" t="inlineStr">
        <is>
          <t>Other Practice Paths</t>
        </is>
      </c>
      <c r="B388" s="2" t="inlineStr">
        <is>
          <t>Practice Rust</t>
        </is>
      </c>
      <c r="C388" s="2" t="inlineStr">
        <is>
          <t>Get hands-on experience in Rust language with this interactive and practical course. Master the basic syntax of the language and develop real-world applications with confidence.</t>
        </is>
      </c>
      <c r="D388" s="2" t="inlineStr">
        <is>
          <t>Loops - Concept &amp; Practice</t>
        </is>
      </c>
      <c r="E388" s="2" t="n">
        <v>25</v>
      </c>
      <c r="F388" s="2" t="inlineStr">
        <is>
          <t>Add Two Numbers</t>
        </is>
      </c>
      <c r="G388" s="2" t="inlineStr">
        <is>
          <t>FLOW001</t>
        </is>
      </c>
      <c r="H388" s="2" t="inlineStr">
        <is>
          <t>242</t>
        </is>
      </c>
      <c r="I388" s="2" t="inlineStr">
        <is>
          <t>Easy</t>
        </is>
      </c>
      <c r="J388" s="3">
        <f>HYPERLINK("https://www.codechef.com/problems/FLOW001", "https://www.codechef.com/problems/FLOW001")</f>
        <v/>
      </c>
      <c r="K388" s="2" t="inlineStr"/>
      <c r="L388" s="2" t="inlineStr">
        <is>
          <t>Algorithms, Implementation</t>
        </is>
      </c>
      <c r="M388" s="2" t="inlineStr"/>
      <c r="N388" s="2" t="inlineStr">
        <is>
          <t>No</t>
        </is>
      </c>
      <c r="O388" s="2" t="inlineStr">
        <is>
          <t>Unattempted</t>
        </is>
      </c>
    </row>
    <row r="389">
      <c r="A389" s="4" t="inlineStr">
        <is>
          <t>Other Practice Paths</t>
        </is>
      </c>
      <c r="B389" s="4" t="inlineStr">
        <is>
          <t>Practice Rust</t>
        </is>
      </c>
      <c r="C389" s="4" t="inlineStr">
        <is>
          <t>Get hands-on experience in Rust language with this interactive and practical course. Master the basic syntax of the language and develop real-world applications with confidence.</t>
        </is>
      </c>
      <c r="D389" s="4" t="inlineStr">
        <is>
          <t>Loops - Concept &amp; Practice</t>
        </is>
      </c>
      <c r="E389" s="4" t="n">
        <v>26</v>
      </c>
      <c r="F389" s="4" t="inlineStr">
        <is>
          <t>Multiple Choice Question</t>
        </is>
      </c>
      <c r="G389" s="4" t="inlineStr">
        <is>
          <t>RSPRACMCQ11</t>
        </is>
      </c>
      <c r="H389" s="4" t="inlineStr"/>
      <c r="I389" s="4" t="inlineStr">
        <is>
          <t>Easy</t>
        </is>
      </c>
      <c r="J389" s="5">
        <f>HYPERLINK("https://www.codechef.com/problems/RSPRACMCQ11", "https://www.codechef.com/problems/RSPRACMCQ11")</f>
        <v/>
      </c>
      <c r="K389" s="4" t="inlineStr"/>
      <c r="L389" s="4" t="inlineStr"/>
      <c r="M389" s="4" t="inlineStr"/>
      <c r="N389" s="4" t="inlineStr">
        <is>
          <t>No</t>
        </is>
      </c>
      <c r="O389" s="4" t="inlineStr">
        <is>
          <t>Unattempted</t>
        </is>
      </c>
    </row>
    <row r="390">
      <c r="A390" s="2" t="inlineStr">
        <is>
          <t>Other Practice Paths</t>
        </is>
      </c>
      <c r="B390" s="2" t="inlineStr">
        <is>
          <t>Practice Rust</t>
        </is>
      </c>
      <c r="C390" s="2" t="inlineStr">
        <is>
          <t>Get hands-on experience in Rust language with this interactive and practical course. Master the basic syntax of the language and develop real-world applications with confidence.</t>
        </is>
      </c>
      <c r="D390" s="2" t="inlineStr">
        <is>
          <t>Loops - Concept &amp; Practice</t>
        </is>
      </c>
      <c r="E390" s="2" t="n">
        <v>27</v>
      </c>
      <c r="F390" s="2" t="inlineStr">
        <is>
          <t>Good Turn</t>
        </is>
      </c>
      <c r="G390" s="2" t="inlineStr">
        <is>
          <t>GDTURN</t>
        </is>
      </c>
      <c r="H390" s="2" t="inlineStr">
        <is>
          <t>238</t>
        </is>
      </c>
      <c r="I390" s="2" t="inlineStr">
        <is>
          <t>Easy</t>
        </is>
      </c>
      <c r="J390" s="3">
        <f>HYPERLINK("https://www.codechef.com/problems/GDTURN", "https://www.codechef.com/problems/GDTURN")</f>
        <v/>
      </c>
      <c r="K390" s="2" t="inlineStr"/>
      <c r="L390" s="2" t="inlineStr">
        <is>
          <t>Basic Programming Concepts, Conditional Statements</t>
        </is>
      </c>
      <c r="M390" s="2" t="inlineStr"/>
      <c r="N390" s="2" t="inlineStr">
        <is>
          <t>No</t>
        </is>
      </c>
      <c r="O390" s="2" t="inlineStr">
        <is>
          <t>Unattempted</t>
        </is>
      </c>
    </row>
    <row r="391">
      <c r="A391" s="4" t="inlineStr">
        <is>
          <t>Other Practice Paths</t>
        </is>
      </c>
      <c r="B391" s="4" t="inlineStr">
        <is>
          <t>Practice Rust</t>
        </is>
      </c>
      <c r="C391" s="4" t="inlineStr">
        <is>
          <t>Get hands-on experience in Rust language with this interactive and practical course. Master the basic syntax of the language and develop real-world applications with confidence.</t>
        </is>
      </c>
      <c r="D391" s="4" t="inlineStr">
        <is>
          <t>Loops - Concept &amp; Practice</t>
        </is>
      </c>
      <c r="E391" s="4" t="n">
        <v>28</v>
      </c>
      <c r="F391" s="4" t="inlineStr">
        <is>
          <t>Multiple Choice Question</t>
        </is>
      </c>
      <c r="G391" s="4" t="inlineStr">
        <is>
          <t>RSPRACMCQ10</t>
        </is>
      </c>
      <c r="H391" s="4" t="inlineStr"/>
      <c r="I391" s="4" t="inlineStr">
        <is>
          <t>Easy</t>
        </is>
      </c>
      <c r="J391" s="5">
        <f>HYPERLINK("https://www.codechef.com/problems/RSPRACMCQ10", "https://www.codechef.com/problems/RSPRACMCQ10")</f>
        <v/>
      </c>
      <c r="K391" s="4" t="inlineStr"/>
      <c r="L391" s="4" t="inlineStr"/>
      <c r="M391" s="4" t="inlineStr"/>
      <c r="N391" s="4" t="inlineStr">
        <is>
          <t>No</t>
        </is>
      </c>
      <c r="O391" s="4" t="inlineStr">
        <is>
          <t>Unattempted</t>
        </is>
      </c>
    </row>
    <row r="392">
      <c r="A392" s="2" t="inlineStr">
        <is>
          <t>Other Practice Paths</t>
        </is>
      </c>
      <c r="B392" s="2" t="inlineStr">
        <is>
          <t>Practice Rust</t>
        </is>
      </c>
      <c r="C392" s="2" t="inlineStr">
        <is>
          <t>Get hands-on experience in Rust language with this interactive and practical course. Master the basic syntax of the language and develop real-world applications with confidence.</t>
        </is>
      </c>
      <c r="D392" s="2" t="inlineStr">
        <is>
          <t>Loops - Concept &amp; Practice</t>
        </is>
      </c>
      <c r="E392" s="2" t="n">
        <v>29</v>
      </c>
      <c r="F392" s="2" t="inlineStr">
        <is>
          <t>Water Consumption</t>
        </is>
      </c>
      <c r="G392" s="2" t="inlineStr">
        <is>
          <t>WATERCONS</t>
        </is>
      </c>
      <c r="H392" s="2" t="inlineStr">
        <is>
          <t>254</t>
        </is>
      </c>
      <c r="I392" s="2" t="inlineStr">
        <is>
          <t>Easy</t>
        </is>
      </c>
      <c r="J392" s="3">
        <f>HYPERLINK("https://www.codechef.com/problems/WATERCONS", "https://www.codechef.com/problems/WATERCONS")</f>
        <v/>
      </c>
      <c r="K392" s="2" t="inlineStr"/>
      <c r="L392" s="2" t="inlineStr"/>
      <c r="M392" s="2" t="inlineStr"/>
      <c r="N392" s="2" t="inlineStr">
        <is>
          <t>No</t>
        </is>
      </c>
      <c r="O392" s="2" t="inlineStr">
        <is>
          <t>Unattempted</t>
        </is>
      </c>
    </row>
    <row r="393">
      <c r="A393" s="4" t="inlineStr">
        <is>
          <t>Other Practice Paths</t>
        </is>
      </c>
      <c r="B393" s="4" t="inlineStr">
        <is>
          <t>Practice Rust</t>
        </is>
      </c>
      <c r="C393" s="4" t="inlineStr">
        <is>
          <t>Get hands-on experience in Rust language with this interactive and practical course. Master the basic syntax of the language and develop real-world applications with confidence.</t>
        </is>
      </c>
      <c r="D393" s="4" t="inlineStr">
        <is>
          <t>Loops - Additional practice</t>
        </is>
      </c>
      <c r="E393" s="4" t="n">
        <v>30</v>
      </c>
      <c r="F393" s="4" t="inlineStr">
        <is>
          <t>Multiple Choice Question</t>
        </is>
      </c>
      <c r="G393" s="4" t="inlineStr">
        <is>
          <t>RSPRACMCQ12</t>
        </is>
      </c>
      <c r="H393" s="4" t="inlineStr"/>
      <c r="I393" s="4" t="inlineStr">
        <is>
          <t>Easy</t>
        </is>
      </c>
      <c r="J393" s="5">
        <f>HYPERLINK("https://www.codechef.com/problems/RSPRACMCQ12", "https://www.codechef.com/problems/RSPRACMCQ12")</f>
        <v/>
      </c>
      <c r="K393" s="4" t="inlineStr"/>
      <c r="L393" s="4" t="inlineStr"/>
      <c r="M393" s="4" t="inlineStr"/>
      <c r="N393" s="4" t="inlineStr">
        <is>
          <t>No</t>
        </is>
      </c>
      <c r="O393" s="4" t="inlineStr">
        <is>
          <t>Unattempted</t>
        </is>
      </c>
    </row>
    <row r="394">
      <c r="A394" s="2" t="inlineStr">
        <is>
          <t>Other Practice Paths</t>
        </is>
      </c>
      <c r="B394" s="2" t="inlineStr">
        <is>
          <t>Practice Rust</t>
        </is>
      </c>
      <c r="C394" s="2" t="inlineStr">
        <is>
          <t>Get hands-on experience in Rust language with this interactive and practical course. Master the basic syntax of the language and develop real-world applications with confidence.</t>
        </is>
      </c>
      <c r="D394" s="2" t="inlineStr">
        <is>
          <t>Loops - Additional practice</t>
        </is>
      </c>
      <c r="E394" s="2" t="n">
        <v>31</v>
      </c>
      <c r="F394" s="2" t="inlineStr">
        <is>
          <t>Age Limit</t>
        </is>
      </c>
      <c r="G394" s="2" t="inlineStr">
        <is>
          <t>AGELIMIT</t>
        </is>
      </c>
      <c r="H394" s="2" t="inlineStr">
        <is>
          <t>245</t>
        </is>
      </c>
      <c r="I394" s="2" t="inlineStr">
        <is>
          <t>Easy</t>
        </is>
      </c>
      <c r="J394" s="3">
        <f>HYPERLINK("https://www.codechef.com/problems/AGELIMIT", "https://www.codechef.com/problems/AGELIMIT")</f>
        <v/>
      </c>
      <c r="K394" s="2" t="inlineStr"/>
      <c r="L394" s="2" t="inlineStr"/>
      <c r="M394" s="2" t="inlineStr"/>
      <c r="N394" s="2" t="inlineStr">
        <is>
          <t>No</t>
        </is>
      </c>
      <c r="O394" s="2" t="inlineStr">
        <is>
          <t>Unattempted</t>
        </is>
      </c>
    </row>
    <row r="395">
      <c r="A395" s="4" t="inlineStr">
        <is>
          <t>Other Practice Paths</t>
        </is>
      </c>
      <c r="B395" s="4" t="inlineStr">
        <is>
          <t>Practice Rust</t>
        </is>
      </c>
      <c r="C395" s="4" t="inlineStr">
        <is>
          <t>Get hands-on experience in Rust language with this interactive and practical course. Master the basic syntax of the language and develop real-world applications with confidence.</t>
        </is>
      </c>
      <c r="D395" s="4" t="inlineStr">
        <is>
          <t>Loops - Additional practice</t>
        </is>
      </c>
      <c r="E395" s="4" t="n">
        <v>32</v>
      </c>
      <c r="F395" s="4" t="inlineStr">
        <is>
          <t>Multiple Choice Question</t>
        </is>
      </c>
      <c r="G395" s="4" t="inlineStr">
        <is>
          <t>RSPRACMCQ13</t>
        </is>
      </c>
      <c r="H395" s="4" t="inlineStr"/>
      <c r="I395" s="4" t="inlineStr">
        <is>
          <t>Easy</t>
        </is>
      </c>
      <c r="J395" s="5">
        <f>HYPERLINK("https://www.codechef.com/problems/RSPRACMCQ13", "https://www.codechef.com/problems/RSPRACMCQ13")</f>
        <v/>
      </c>
      <c r="K395" s="4" t="inlineStr"/>
      <c r="L395" s="4" t="inlineStr"/>
      <c r="M395" s="4" t="inlineStr"/>
      <c r="N395" s="4" t="inlineStr">
        <is>
          <t>No</t>
        </is>
      </c>
      <c r="O395" s="4" t="inlineStr">
        <is>
          <t>Unattempted</t>
        </is>
      </c>
    </row>
    <row r="396">
      <c r="A396" s="2" t="inlineStr">
        <is>
          <t>Other Practice Paths</t>
        </is>
      </c>
      <c r="B396" s="2" t="inlineStr">
        <is>
          <t>Practice Rust</t>
        </is>
      </c>
      <c r="C396" s="2" t="inlineStr">
        <is>
          <t>Get hands-on experience in Rust language with this interactive and practical course. Master the basic syntax of the language and develop real-world applications with confidence.</t>
        </is>
      </c>
      <c r="D396" s="2" t="inlineStr">
        <is>
          <t>Loops - Additional practice</t>
        </is>
      </c>
      <c r="E396" s="2" t="n">
        <v>33</v>
      </c>
      <c r="F396" s="2" t="inlineStr">
        <is>
          <t>Squats</t>
        </is>
      </c>
      <c r="G396" s="2" t="inlineStr">
        <is>
          <t>SQUATS</t>
        </is>
      </c>
      <c r="H396" s="2" t="inlineStr">
        <is>
          <t>249</t>
        </is>
      </c>
      <c r="I396" s="2" t="inlineStr">
        <is>
          <t>Easy</t>
        </is>
      </c>
      <c r="J396" s="3">
        <f>HYPERLINK("https://www.codechef.com/problems/SQUATS", "https://www.codechef.com/problems/SQUATS")</f>
        <v/>
      </c>
      <c r="K396" s="2" t="inlineStr"/>
      <c r="L396" s="2" t="inlineStr"/>
      <c r="M396" s="2" t="inlineStr"/>
      <c r="N396" s="2" t="inlineStr">
        <is>
          <t>No</t>
        </is>
      </c>
      <c r="O396" s="2" t="inlineStr">
        <is>
          <t>Unattempted</t>
        </is>
      </c>
    </row>
    <row r="397">
      <c r="A397" s="4" t="inlineStr">
        <is>
          <t>Other Practice Paths</t>
        </is>
      </c>
      <c r="B397" s="4" t="inlineStr">
        <is>
          <t>Practice C#</t>
        </is>
      </c>
      <c r="C397" s="4" t="inlineStr">
        <is>
          <t>Learn the basics of C# programming with ease in this interactive and practical course. Master the basic syntax of the language and build a solid foundation for developing Windows applications.</t>
        </is>
      </c>
      <c r="D397" s="4" t="inlineStr">
        <is>
          <t>Input, Output and Arithmetic - Concept &amp; Practice</t>
        </is>
      </c>
      <c r="E397" s="4" t="n">
        <v>1</v>
      </c>
      <c r="F397" s="4" t="inlineStr">
        <is>
          <t>Multiple Choice Question</t>
        </is>
      </c>
      <c r="G397" s="4" t="inlineStr">
        <is>
          <t>CSPRACMCQ1</t>
        </is>
      </c>
      <c r="H397" s="4" t="inlineStr"/>
      <c r="I397" s="4" t="inlineStr">
        <is>
          <t>Easy</t>
        </is>
      </c>
      <c r="J397" s="5">
        <f>HYPERLINK("https://www.codechef.com/problems/CSPRACMCQ1", "https://www.codechef.com/problems/CSPRACMCQ1")</f>
        <v/>
      </c>
      <c r="K397" s="4" t="inlineStr"/>
      <c r="L397" s="4" t="inlineStr"/>
      <c r="M397" s="4" t="inlineStr"/>
      <c r="N397" s="4" t="inlineStr">
        <is>
          <t>No</t>
        </is>
      </c>
      <c r="O397" s="4" t="inlineStr">
        <is>
          <t>Unattempted</t>
        </is>
      </c>
    </row>
    <row r="398">
      <c r="A398" s="2" t="inlineStr">
        <is>
          <t>Other Practice Paths</t>
        </is>
      </c>
      <c r="B398" s="2" t="inlineStr">
        <is>
          <t>Practice C#</t>
        </is>
      </c>
      <c r="C398" s="2" t="inlineStr">
        <is>
          <t>Learn the basics of C# programming with ease in this interactive and practical course. Master the basic syntax of the language and build a solid foundation for developing Windows applications.</t>
        </is>
      </c>
      <c r="D398" s="2" t="inlineStr">
        <is>
          <t>Input, Output and Arithmetic - Concept &amp; Practice</t>
        </is>
      </c>
      <c r="E398" s="2" t="n">
        <v>2</v>
      </c>
      <c r="F398" s="2" t="inlineStr">
        <is>
          <t>Number Mirror</t>
        </is>
      </c>
      <c r="G398" s="2" t="inlineStr">
        <is>
          <t>START01</t>
        </is>
      </c>
      <c r="H398" s="2" t="inlineStr">
        <is>
          <t>200</t>
        </is>
      </c>
      <c r="I398" s="2" t="inlineStr">
        <is>
          <t>Easy</t>
        </is>
      </c>
      <c r="J398" s="3">
        <f>HYPERLINK("https://www.codechef.com/problems/START01", "https://www.codechef.com/problems/START01")</f>
        <v/>
      </c>
      <c r="K398" s="2" t="inlineStr"/>
      <c r="L398" s="2" t="inlineStr"/>
      <c r="M398" s="2" t="inlineStr"/>
      <c r="N398" s="2" t="inlineStr">
        <is>
          <t>No</t>
        </is>
      </c>
      <c r="O398" s="2" t="inlineStr">
        <is>
          <t>Unattempted</t>
        </is>
      </c>
    </row>
    <row r="399">
      <c r="A399" s="4" t="inlineStr">
        <is>
          <t>Other Practice Paths</t>
        </is>
      </c>
      <c r="B399" s="4" t="inlineStr">
        <is>
          <t>Practice C#</t>
        </is>
      </c>
      <c r="C399" s="4" t="inlineStr">
        <is>
          <t>Learn the basics of C# programming with ease in this interactive and practical course. Master the basic syntax of the language and build a solid foundation for developing Windows applications.</t>
        </is>
      </c>
      <c r="D399" s="4" t="inlineStr">
        <is>
          <t>Input, Output and Arithmetic - Concept &amp; Practice</t>
        </is>
      </c>
      <c r="E399" s="4" t="n">
        <v>3</v>
      </c>
      <c r="F399" s="4" t="inlineStr">
        <is>
          <t>Rearrange Code</t>
        </is>
      </c>
      <c r="G399" s="4" t="inlineStr">
        <is>
          <t>CSPRACREARR1</t>
        </is>
      </c>
      <c r="H399" s="4" t="inlineStr"/>
      <c r="I399" s="4" t="inlineStr">
        <is>
          <t>Easy</t>
        </is>
      </c>
      <c r="J399" s="5">
        <f>HYPERLINK("https://www.codechef.com/problems/CSPRACREARR1", "https://www.codechef.com/problems/CSPRACREARR1")</f>
        <v/>
      </c>
      <c r="K399" s="4" t="inlineStr"/>
      <c r="L399" s="4" t="inlineStr"/>
      <c r="M399" s="4" t="inlineStr"/>
      <c r="N399" s="4" t="inlineStr">
        <is>
          <t>No</t>
        </is>
      </c>
      <c r="O399" s="4" t="inlineStr">
        <is>
          <t>Unattempted</t>
        </is>
      </c>
    </row>
    <row r="400">
      <c r="A400" s="2" t="inlineStr">
        <is>
          <t>Other Practice Paths</t>
        </is>
      </c>
      <c r="B400" s="2" t="inlineStr">
        <is>
          <t>Practice C#</t>
        </is>
      </c>
      <c r="C400" s="2" t="inlineStr">
        <is>
          <t>Learn the basics of C# programming with ease in this interactive and practical course. Master the basic syntax of the language and build a solid foundation for developing Windows applications.</t>
        </is>
      </c>
      <c r="D400" s="2" t="inlineStr">
        <is>
          <t>Input, Output and Arithmetic - Concept &amp; Practice</t>
        </is>
      </c>
      <c r="E400" s="2" t="n">
        <v>4</v>
      </c>
      <c r="F400" s="2" t="inlineStr">
        <is>
          <t>Multiple Choice Question</t>
        </is>
      </c>
      <c r="G400" s="2" t="inlineStr">
        <is>
          <t>CSPRACREAR1A</t>
        </is>
      </c>
      <c r="H400" s="2" t="inlineStr"/>
      <c r="I400" s="2" t="inlineStr">
        <is>
          <t>Hard</t>
        </is>
      </c>
      <c r="J400" s="3">
        <f>HYPERLINK("https://www.codechef.com/problems/CSPRACREAR1A", "https://www.codechef.com/problems/CSPRACREAR1A")</f>
        <v/>
      </c>
      <c r="K400" s="2" t="inlineStr"/>
      <c r="L400" s="2" t="inlineStr"/>
      <c r="M400" s="2" t="inlineStr"/>
      <c r="N400" s="2" t="inlineStr">
        <is>
          <t>No</t>
        </is>
      </c>
      <c r="O400" s="2" t="inlineStr">
        <is>
          <t>Unattempted</t>
        </is>
      </c>
    </row>
    <row r="401">
      <c r="A401" s="4" t="inlineStr">
        <is>
          <t>Other Practice Paths</t>
        </is>
      </c>
      <c r="B401" s="4" t="inlineStr">
        <is>
          <t>Practice C#</t>
        </is>
      </c>
      <c r="C401" s="4" t="inlineStr">
        <is>
          <t>Learn the basics of C# programming with ease in this interactive and practical course. Master the basic syntax of the language and build a solid foundation for developing Windows applications.</t>
        </is>
      </c>
      <c r="D401" s="4" t="inlineStr">
        <is>
          <t>Input, Output and Arithmetic - Concept &amp; Practice</t>
        </is>
      </c>
      <c r="E401" s="4" t="n">
        <v>5</v>
      </c>
      <c r="F401" s="4" t="inlineStr">
        <is>
          <t>Chef and Instant Noodles</t>
        </is>
      </c>
      <c r="G401" s="4" t="inlineStr">
        <is>
          <t>INSTNOODLE</t>
        </is>
      </c>
      <c r="H401" s="4" t="inlineStr">
        <is>
          <t>456</t>
        </is>
      </c>
      <c r="I401" s="4" t="inlineStr">
        <is>
          <t>Easy</t>
        </is>
      </c>
      <c r="J401" s="5">
        <f>HYPERLINK("https://www.codechef.com/problems/INSTNOODLE", "https://www.codechef.com/problems/INSTNOODLE")</f>
        <v/>
      </c>
      <c r="K401" s="4" t="inlineStr"/>
      <c r="L401" s="4" t="inlineStr">
        <is>
          <t>Arithmetic, Basic Math, Mathematics</t>
        </is>
      </c>
      <c r="M401" s="4" t="inlineStr"/>
      <c r="N401" s="4" t="inlineStr">
        <is>
          <t>No</t>
        </is>
      </c>
      <c r="O401" s="4" t="inlineStr">
        <is>
          <t>Unattempted</t>
        </is>
      </c>
    </row>
    <row r="402">
      <c r="A402" s="2" t="inlineStr">
        <is>
          <t>Other Practice Paths</t>
        </is>
      </c>
      <c r="B402" s="2" t="inlineStr">
        <is>
          <t>Practice C#</t>
        </is>
      </c>
      <c r="C402" s="2" t="inlineStr">
        <is>
          <t>Learn the basics of C# programming with ease in this interactive and practical course. Master the basic syntax of the language and build a solid foundation for developing Windows applications.</t>
        </is>
      </c>
      <c r="D402" s="2" t="inlineStr">
        <is>
          <t>Input, Output and Arithmetic - Concept &amp; Practice</t>
        </is>
      </c>
      <c r="E402" s="2" t="n">
        <v>6</v>
      </c>
      <c r="F402" s="2" t="inlineStr">
        <is>
          <t>Multiple Choice Question</t>
        </is>
      </c>
      <c r="G402" s="2" t="inlineStr">
        <is>
          <t>CSPRACMCQ4</t>
        </is>
      </c>
      <c r="H402" s="2" t="inlineStr"/>
      <c r="I402" s="2" t="inlineStr">
        <is>
          <t>Easy</t>
        </is>
      </c>
      <c r="J402" s="3">
        <f>HYPERLINK("https://www.codechef.com/problems/CSPRACMCQ4", "https://www.codechef.com/problems/CSPRACMCQ4")</f>
        <v/>
      </c>
      <c r="K402" s="2" t="inlineStr"/>
      <c r="L402" s="2" t="inlineStr"/>
      <c r="M402" s="2" t="inlineStr"/>
      <c r="N402" s="2" t="inlineStr">
        <is>
          <t>No</t>
        </is>
      </c>
      <c r="O402" s="2" t="inlineStr">
        <is>
          <t>Unattempted</t>
        </is>
      </c>
    </row>
    <row r="403">
      <c r="A403" s="4" t="inlineStr">
        <is>
          <t>Other Practice Paths</t>
        </is>
      </c>
      <c r="B403" s="4" t="inlineStr">
        <is>
          <t>Practice C#</t>
        </is>
      </c>
      <c r="C403" s="4" t="inlineStr">
        <is>
          <t>Learn the basics of C# programming with ease in this interactive and practical course. Master the basic syntax of the language and build a solid foundation for developing Windows applications.</t>
        </is>
      </c>
      <c r="D403" s="4" t="inlineStr">
        <is>
          <t>Input, Output and Arithmetic - Concept &amp; Practice</t>
        </is>
      </c>
      <c r="E403" s="4" t="n">
        <v>7</v>
      </c>
      <c r="F403" s="4" t="inlineStr">
        <is>
          <t>CodeChef Learn Problem Solving</t>
        </is>
      </c>
      <c r="G403" s="4" t="inlineStr">
        <is>
          <t>CCLEARN</t>
        </is>
      </c>
      <c r="H403" s="4" t="inlineStr">
        <is>
          <t>287</t>
        </is>
      </c>
      <c r="I403" s="4" t="inlineStr">
        <is>
          <t>Easy</t>
        </is>
      </c>
      <c r="J403" s="5">
        <f>HYPERLINK("https://www.codechef.com/problems/CCLEARN", "https://www.codechef.com/problems/CCLEARN")</f>
        <v/>
      </c>
      <c r="K403" s="4" t="inlineStr"/>
      <c r="L403" s="4" t="inlineStr">
        <is>
          <t>Basic Math, Mathematics</t>
        </is>
      </c>
      <c r="M403" s="4" t="inlineStr"/>
      <c r="N403" s="4" t="inlineStr">
        <is>
          <t>No</t>
        </is>
      </c>
      <c r="O403" s="4" t="inlineStr">
        <is>
          <t>Unattempted</t>
        </is>
      </c>
    </row>
    <row r="404">
      <c r="A404" s="2" t="inlineStr">
        <is>
          <t>Other Practice Paths</t>
        </is>
      </c>
      <c r="B404" s="2" t="inlineStr">
        <is>
          <t>Practice C#</t>
        </is>
      </c>
      <c r="C404" s="2" t="inlineStr">
        <is>
          <t>Learn the basics of C# programming with ease in this interactive and practical course. Master the basic syntax of the language and build a solid foundation for developing Windows applications.</t>
        </is>
      </c>
      <c r="D404" s="2" t="inlineStr">
        <is>
          <t>Input, Output and Arithmetic - Additional practice</t>
        </is>
      </c>
      <c r="E404" s="2" t="n">
        <v>8</v>
      </c>
      <c r="F404" s="2" t="inlineStr">
        <is>
          <t>Multiple Choice Question</t>
        </is>
      </c>
      <c r="G404" s="2" t="inlineStr">
        <is>
          <t>CSPRACMCQ2</t>
        </is>
      </c>
      <c r="H404" s="2" t="inlineStr"/>
      <c r="I404" s="2" t="inlineStr">
        <is>
          <t>Easy</t>
        </is>
      </c>
      <c r="J404" s="3">
        <f>HYPERLINK("https://www.codechef.com/problems/CSPRACMCQ2", "https://www.codechef.com/problems/CSPRACMCQ2")</f>
        <v/>
      </c>
      <c r="K404" s="2" t="inlineStr"/>
      <c r="L404" s="2" t="inlineStr"/>
      <c r="M404" s="2" t="inlineStr"/>
      <c r="N404" s="2" t="inlineStr">
        <is>
          <t>No</t>
        </is>
      </c>
      <c r="O404" s="2" t="inlineStr">
        <is>
          <t>Unattempted</t>
        </is>
      </c>
    </row>
    <row r="405">
      <c r="A405" s="4" t="inlineStr">
        <is>
          <t>Other Practice Paths</t>
        </is>
      </c>
      <c r="B405" s="4" t="inlineStr">
        <is>
          <t>Practice C#</t>
        </is>
      </c>
      <c r="C405" s="4" t="inlineStr">
        <is>
          <t>Learn the basics of C# programming with ease in this interactive and practical course. Master the basic syntax of the language and build a solid foundation for developing Windows applications.</t>
        </is>
      </c>
      <c r="D405" s="4" t="inlineStr">
        <is>
          <t>Input, Output and Arithmetic - Additional practice</t>
        </is>
      </c>
      <c r="E405" s="4" t="n">
        <v>9</v>
      </c>
      <c r="F405" s="4" t="inlineStr">
        <is>
          <t>Learning SQL</t>
        </is>
      </c>
      <c r="G405" s="4" t="inlineStr">
        <is>
          <t>LEARNSQL</t>
        </is>
      </c>
      <c r="H405" s="4" t="inlineStr">
        <is>
          <t>339</t>
        </is>
      </c>
      <c r="I405" s="4" t="inlineStr">
        <is>
          <t>Easy</t>
        </is>
      </c>
      <c r="J405" s="5">
        <f>HYPERLINK("https://www.codechef.com/problems/LEARNSQL", "https://www.codechef.com/problems/LEARNSQL")</f>
        <v/>
      </c>
      <c r="K405" s="4" t="inlineStr"/>
      <c r="L405" s="4" t="inlineStr"/>
      <c r="M405" s="4" t="inlineStr"/>
      <c r="N405" s="4" t="inlineStr">
        <is>
          <t>No</t>
        </is>
      </c>
      <c r="O405" s="4" t="inlineStr">
        <is>
          <t>Unattempted</t>
        </is>
      </c>
    </row>
    <row r="406">
      <c r="A406" s="2" t="inlineStr">
        <is>
          <t>Other Practice Paths</t>
        </is>
      </c>
      <c r="B406" s="2" t="inlineStr">
        <is>
          <t>Practice C#</t>
        </is>
      </c>
      <c r="C406" s="2" t="inlineStr">
        <is>
          <t>Learn the basics of C# programming with ease in this interactive and practical course. Master the basic syntax of the language and build a solid foundation for developing Windows applications.</t>
        </is>
      </c>
      <c r="D406" s="2" t="inlineStr">
        <is>
          <t>Input, Output and Arithmetic - Additional practice</t>
        </is>
      </c>
      <c r="E406" s="2" t="n">
        <v>10</v>
      </c>
      <c r="F406" s="2" t="inlineStr">
        <is>
          <t>Multiple Choice Question</t>
        </is>
      </c>
      <c r="G406" s="2" t="inlineStr">
        <is>
          <t>CSPRACMCQ3</t>
        </is>
      </c>
      <c r="H406" s="2" t="inlineStr"/>
      <c r="I406" s="2" t="inlineStr">
        <is>
          <t>Easy</t>
        </is>
      </c>
      <c r="J406" s="3">
        <f>HYPERLINK("https://www.codechef.com/problems/CSPRACMCQ3", "https://www.codechef.com/problems/CSPRACMCQ3")</f>
        <v/>
      </c>
      <c r="K406" s="2" t="inlineStr"/>
      <c r="L406" s="2" t="inlineStr"/>
      <c r="M406" s="2" t="inlineStr"/>
      <c r="N406" s="2" t="inlineStr">
        <is>
          <t>No</t>
        </is>
      </c>
      <c r="O406" s="2" t="inlineStr">
        <is>
          <t>Unattempted</t>
        </is>
      </c>
    </row>
    <row r="407">
      <c r="A407" s="4" t="inlineStr">
        <is>
          <t>Other Practice Paths</t>
        </is>
      </c>
      <c r="B407" s="4" t="inlineStr">
        <is>
          <t>Practice C#</t>
        </is>
      </c>
      <c r="C407" s="4" t="inlineStr">
        <is>
          <t>Learn the basics of C# programming with ease in this interactive and practical course. Master the basic syntax of the language and build a solid foundation for developing Windows applications.</t>
        </is>
      </c>
      <c r="D407" s="4" t="inlineStr">
        <is>
          <t>Input, Output and Arithmetic - Additional practice</t>
        </is>
      </c>
      <c r="E407" s="4" t="n">
        <v>11</v>
      </c>
      <c r="F407" s="4" t="inlineStr">
        <is>
          <t>Parking Charges</t>
        </is>
      </c>
      <c r="G407" s="4" t="inlineStr">
        <is>
          <t>PARKINGCHARG</t>
        </is>
      </c>
      <c r="H407" s="4" t="inlineStr">
        <is>
          <t>416</t>
        </is>
      </c>
      <c r="I407" s="4" t="inlineStr">
        <is>
          <t>Easy</t>
        </is>
      </c>
      <c r="J407" s="5">
        <f>HYPERLINK("https://www.codechef.com/problems/PARKINGCHARG", "https://www.codechef.com/problems/PARKINGCHARG")</f>
        <v/>
      </c>
      <c r="K407" s="4" t="inlineStr"/>
      <c r="L407" s="4" t="inlineStr"/>
      <c r="M407" s="4" t="inlineStr"/>
      <c r="N407" s="4" t="inlineStr">
        <is>
          <t>No</t>
        </is>
      </c>
      <c r="O407" s="4" t="inlineStr">
        <is>
          <t>Unattempted</t>
        </is>
      </c>
    </row>
    <row r="408">
      <c r="A408" s="2" t="inlineStr">
        <is>
          <t>Other Practice Paths</t>
        </is>
      </c>
      <c r="B408" s="2" t="inlineStr">
        <is>
          <t>Practice C#</t>
        </is>
      </c>
      <c r="C408" s="2" t="inlineStr">
        <is>
          <t>Learn the basics of C# programming with ease in this interactive and practical course. Master the basic syntax of the language and build a solid foundation for developing Windows applications.</t>
        </is>
      </c>
      <c r="D408" s="2" t="inlineStr">
        <is>
          <t>Conditionals - Concept &amp; Practice</t>
        </is>
      </c>
      <c r="E408" s="2" t="n">
        <v>12</v>
      </c>
      <c r="F408" s="2" t="inlineStr">
        <is>
          <t>Multiple Choice Question</t>
        </is>
      </c>
      <c r="G408" s="2" t="inlineStr">
        <is>
          <t>CSPRACMCQ5</t>
        </is>
      </c>
      <c r="H408" s="2" t="inlineStr"/>
      <c r="I408" s="2" t="inlineStr">
        <is>
          <t>Easy</t>
        </is>
      </c>
      <c r="J408" s="3">
        <f>HYPERLINK("https://www.codechef.com/problems/CSPRACMCQ5", "https://www.codechef.com/problems/CSPRACMCQ5")</f>
        <v/>
      </c>
      <c r="K408" s="2" t="inlineStr"/>
      <c r="L408" s="2" t="inlineStr"/>
      <c r="M408" s="2" t="inlineStr"/>
      <c r="N408" s="2" t="inlineStr">
        <is>
          <t>No</t>
        </is>
      </c>
      <c r="O408" s="2" t="inlineStr">
        <is>
          <t>Unattempted</t>
        </is>
      </c>
    </row>
    <row r="409">
      <c r="A409" s="4" t="inlineStr">
        <is>
          <t>Other Practice Paths</t>
        </is>
      </c>
      <c r="B409" s="4" t="inlineStr">
        <is>
          <t>Practice C#</t>
        </is>
      </c>
      <c r="C409" s="4" t="inlineStr">
        <is>
          <t>Learn the basics of C# programming with ease in this interactive and practical course. Master the basic syntax of the language and build a solid foundation for developing Windows applications.</t>
        </is>
      </c>
      <c r="D409" s="4" t="inlineStr">
        <is>
          <t>Conditionals - Concept &amp; Practice</t>
        </is>
      </c>
      <c r="E409" s="4" t="n">
        <v>13</v>
      </c>
      <c r="F409" s="4" t="inlineStr">
        <is>
          <t>Chef and Brain Speed</t>
        </is>
      </c>
      <c r="G409" s="4" t="inlineStr">
        <is>
          <t>CBSPEED</t>
        </is>
      </c>
      <c r="H409" s="4" t="inlineStr">
        <is>
          <t>288</t>
        </is>
      </c>
      <c r="I409" s="4" t="inlineStr">
        <is>
          <t>Easy</t>
        </is>
      </c>
      <c r="J409" s="5">
        <f>HYPERLINK("https://www.codechef.com/problems/CBSPEED", "https://www.codechef.com/problems/CBSPEED")</f>
        <v/>
      </c>
      <c r="K409" s="4" t="inlineStr"/>
      <c r="L409" s="4" t="inlineStr">
        <is>
          <t>Basic Programming Concepts</t>
        </is>
      </c>
      <c r="M409" s="4" t="inlineStr"/>
      <c r="N409" s="4" t="inlineStr">
        <is>
          <t>No</t>
        </is>
      </c>
      <c r="O409" s="4" t="inlineStr">
        <is>
          <t>Unattempted</t>
        </is>
      </c>
    </row>
    <row r="410">
      <c r="A410" s="2" t="inlineStr">
        <is>
          <t>Other Practice Paths</t>
        </is>
      </c>
      <c r="B410" s="2" t="inlineStr">
        <is>
          <t>Practice C#</t>
        </is>
      </c>
      <c r="C410" s="2" t="inlineStr">
        <is>
          <t>Learn the basics of C# programming with ease in this interactive and practical course. Master the basic syntax of the language and build a solid foundation for developing Windows applications.</t>
        </is>
      </c>
      <c r="D410" s="2" t="inlineStr">
        <is>
          <t>Conditionals - Concept &amp; Practice</t>
        </is>
      </c>
      <c r="E410" s="2" t="n">
        <v>14</v>
      </c>
      <c r="F410" s="2" t="inlineStr">
        <is>
          <t>Multiple Choice Question</t>
        </is>
      </c>
      <c r="G410" s="2" t="inlineStr">
        <is>
          <t>CSPRACMCQ6</t>
        </is>
      </c>
      <c r="H410" s="2" t="inlineStr"/>
      <c r="I410" s="2" t="inlineStr">
        <is>
          <t>Easy</t>
        </is>
      </c>
      <c r="J410" s="3">
        <f>HYPERLINK("https://www.codechef.com/problems/CSPRACMCQ6", "https://www.codechef.com/problems/CSPRACMCQ6")</f>
        <v/>
      </c>
      <c r="K410" s="2" t="inlineStr"/>
      <c r="L410" s="2" t="inlineStr"/>
      <c r="M410" s="2" t="inlineStr"/>
      <c r="N410" s="2" t="inlineStr">
        <is>
          <t>No</t>
        </is>
      </c>
      <c r="O410" s="2" t="inlineStr">
        <is>
          <t>Unattempted</t>
        </is>
      </c>
    </row>
    <row r="411">
      <c r="A411" s="4" t="inlineStr">
        <is>
          <t>Other Practice Paths</t>
        </is>
      </c>
      <c r="B411" s="4" t="inlineStr">
        <is>
          <t>Practice C#</t>
        </is>
      </c>
      <c r="C411" s="4" t="inlineStr">
        <is>
          <t>Learn the basics of C# programming with ease in this interactive and practical course. Master the basic syntax of the language and build a solid foundation for developing Windows applications.</t>
        </is>
      </c>
      <c r="D411" s="4" t="inlineStr">
        <is>
          <t>Conditionals - Concept &amp; Practice</t>
        </is>
      </c>
      <c r="E411" s="4" t="n">
        <v>15</v>
      </c>
      <c r="F411" s="4" t="inlineStr">
        <is>
          <t>Alice and Marks</t>
        </is>
      </c>
      <c r="G411" s="4" t="inlineStr">
        <is>
          <t>MARKSTW</t>
        </is>
      </c>
      <c r="H411" s="4" t="inlineStr">
        <is>
          <t>362</t>
        </is>
      </c>
      <c r="I411" s="4" t="inlineStr">
        <is>
          <t>Easy</t>
        </is>
      </c>
      <c r="J411" s="5">
        <f>HYPERLINK("https://www.codechef.com/problems/MARKSTW", "https://www.codechef.com/problems/MARKSTW")</f>
        <v/>
      </c>
      <c r="K411" s="4" t="inlineStr"/>
      <c r="L411" s="4" t="inlineStr">
        <is>
          <t>Basic Programming Concepts</t>
        </is>
      </c>
      <c r="M411" s="4" t="inlineStr"/>
      <c r="N411" s="4" t="inlineStr">
        <is>
          <t>No</t>
        </is>
      </c>
      <c r="O411" s="4" t="inlineStr">
        <is>
          <t>Unattempted</t>
        </is>
      </c>
    </row>
    <row r="412">
      <c r="A412" s="2" t="inlineStr">
        <is>
          <t>Other Practice Paths</t>
        </is>
      </c>
      <c r="B412" s="2" t="inlineStr">
        <is>
          <t>Practice C#</t>
        </is>
      </c>
      <c r="C412" s="2" t="inlineStr">
        <is>
          <t>Learn the basics of C# programming with ease in this interactive and practical course. Master the basic syntax of the language and build a solid foundation for developing Windows applications.</t>
        </is>
      </c>
      <c r="D412" s="2" t="inlineStr">
        <is>
          <t>Conditionals - Concept &amp; Practice</t>
        </is>
      </c>
      <c r="E412" s="2" t="n">
        <v>16</v>
      </c>
      <c r="F412" s="2" t="inlineStr">
        <is>
          <t>Multiple Choice Question</t>
        </is>
      </c>
      <c r="G412" s="2" t="inlineStr">
        <is>
          <t>CSPRACMCQ9</t>
        </is>
      </c>
      <c r="H412" s="2" t="inlineStr"/>
      <c r="I412" s="2" t="inlineStr">
        <is>
          <t>Easy</t>
        </is>
      </c>
      <c r="J412" s="3">
        <f>HYPERLINK("https://www.codechef.com/problems/CSPRACMCQ9", "https://www.codechef.com/problems/CSPRACMCQ9")</f>
        <v/>
      </c>
      <c r="K412" s="2" t="inlineStr"/>
      <c r="L412" s="2" t="inlineStr"/>
      <c r="M412" s="2" t="inlineStr"/>
      <c r="N412" s="2" t="inlineStr">
        <is>
          <t>No</t>
        </is>
      </c>
      <c r="O412" s="2" t="inlineStr">
        <is>
          <t>Unattempted</t>
        </is>
      </c>
    </row>
    <row r="413">
      <c r="A413" s="4" t="inlineStr">
        <is>
          <t>Other Practice Paths</t>
        </is>
      </c>
      <c r="B413" s="4" t="inlineStr">
        <is>
          <t>Practice C#</t>
        </is>
      </c>
      <c r="C413" s="4" t="inlineStr">
        <is>
          <t>Learn the basics of C# programming with ease in this interactive and practical course. Master the basic syntax of the language and build a solid foundation for developing Windows applications.</t>
        </is>
      </c>
      <c r="D413" s="4" t="inlineStr">
        <is>
          <t>Conditionals - Concept &amp; Practice</t>
        </is>
      </c>
      <c r="E413" s="4" t="n">
        <v>17</v>
      </c>
      <c r="F413" s="4" t="inlineStr">
        <is>
          <t>Oneful Pairs</t>
        </is>
      </c>
      <c r="G413" s="4" t="inlineStr">
        <is>
          <t>ONEFULPAIRS</t>
        </is>
      </c>
      <c r="H413" s="4" t="inlineStr">
        <is>
          <t>374</t>
        </is>
      </c>
      <c r="I413" s="4" t="inlineStr">
        <is>
          <t>Easy</t>
        </is>
      </c>
      <c r="J413" s="5">
        <f>HYPERLINK("https://www.codechef.com/problems/ONEFULPAIRS", "https://www.codechef.com/problems/ONEFULPAIRS")</f>
        <v/>
      </c>
      <c r="K413" s="4" t="inlineStr"/>
      <c r="L413" s="4" t="inlineStr"/>
      <c r="M413" s="4" t="inlineStr"/>
      <c r="N413" s="4" t="inlineStr">
        <is>
          <t>No</t>
        </is>
      </c>
      <c r="O413" s="4" t="inlineStr">
        <is>
          <t>Unattempted</t>
        </is>
      </c>
    </row>
    <row r="414">
      <c r="A414" s="2" t="inlineStr">
        <is>
          <t>Other Practice Paths</t>
        </is>
      </c>
      <c r="B414" s="2" t="inlineStr">
        <is>
          <t>Practice C#</t>
        </is>
      </c>
      <c r="C414" s="2" t="inlineStr">
        <is>
          <t>Learn the basics of C# programming with ease in this interactive and practical course. Master the basic syntax of the language and build a solid foundation for developing Windows applications.</t>
        </is>
      </c>
      <c r="D414" s="2" t="inlineStr">
        <is>
          <t>Conditionals - Additional practice</t>
        </is>
      </c>
      <c r="E414" s="2" t="n">
        <v>18</v>
      </c>
      <c r="F414" s="2" t="inlineStr">
        <is>
          <t>Rearrange Code</t>
        </is>
      </c>
      <c r="G414" s="2" t="inlineStr">
        <is>
          <t>CSPRACREARR2</t>
        </is>
      </c>
      <c r="H414" s="2" t="inlineStr"/>
      <c r="I414" s="2" t="inlineStr">
        <is>
          <t>Easy</t>
        </is>
      </c>
      <c r="J414" s="3">
        <f>HYPERLINK("https://www.codechef.com/problems/CSPRACREARR2", "https://www.codechef.com/problems/CSPRACREARR2")</f>
        <v/>
      </c>
      <c r="K414" s="2" t="inlineStr"/>
      <c r="L414" s="2" t="inlineStr"/>
      <c r="M414" s="2" t="inlineStr"/>
      <c r="N414" s="2" t="inlineStr">
        <is>
          <t>No</t>
        </is>
      </c>
      <c r="O414" s="2" t="inlineStr">
        <is>
          <t>Unattempted</t>
        </is>
      </c>
    </row>
    <row r="415">
      <c r="A415" s="4" t="inlineStr">
        <is>
          <t>Other Practice Paths</t>
        </is>
      </c>
      <c r="B415" s="4" t="inlineStr">
        <is>
          <t>Practice C#</t>
        </is>
      </c>
      <c r="C415" s="4" t="inlineStr">
        <is>
          <t>Learn the basics of C# programming with ease in this interactive and practical course. Master the basic syntax of the language and build a solid foundation for developing Windows applications.</t>
        </is>
      </c>
      <c r="D415" s="4" t="inlineStr">
        <is>
          <t>Conditionals - Additional practice</t>
        </is>
      </c>
      <c r="E415" s="4" t="n">
        <v>19</v>
      </c>
      <c r="F415" s="4" t="inlineStr">
        <is>
          <t>My very 1st contest!</t>
        </is>
      </c>
      <c r="G415" s="4" t="inlineStr">
        <is>
          <t>MY1STCONTEST</t>
        </is>
      </c>
      <c r="H415" s="4" t="inlineStr">
        <is>
          <t>284</t>
        </is>
      </c>
      <c r="I415" s="4" t="inlineStr">
        <is>
          <t>Easy</t>
        </is>
      </c>
      <c r="J415" s="5">
        <f>HYPERLINK("https://www.codechef.com/problems/MY1STCONTEST", "https://www.codechef.com/problems/MY1STCONTEST")</f>
        <v/>
      </c>
      <c r="K415" s="4" t="inlineStr"/>
      <c r="L415" s="4" t="inlineStr"/>
      <c r="M415" s="4" t="inlineStr"/>
      <c r="N415" s="4" t="inlineStr">
        <is>
          <t>No</t>
        </is>
      </c>
      <c r="O415" s="4" t="inlineStr">
        <is>
          <t>Unattempted</t>
        </is>
      </c>
    </row>
    <row r="416">
      <c r="A416" s="2" t="inlineStr">
        <is>
          <t>Other Practice Paths</t>
        </is>
      </c>
      <c r="B416" s="2" t="inlineStr">
        <is>
          <t>Practice C#</t>
        </is>
      </c>
      <c r="C416" s="2" t="inlineStr">
        <is>
          <t>Learn the basics of C# programming with ease in this interactive and practical course. Master the basic syntax of the language and build a solid foundation for developing Windows applications.</t>
        </is>
      </c>
      <c r="D416" s="2" t="inlineStr">
        <is>
          <t>Conditionals - Additional practice</t>
        </is>
      </c>
      <c r="E416" s="2" t="n">
        <v>20</v>
      </c>
      <c r="F416" s="2" t="inlineStr">
        <is>
          <t>Multiple Choice Question</t>
        </is>
      </c>
      <c r="G416" s="2" t="inlineStr">
        <is>
          <t>CSPRACMCQ8</t>
        </is>
      </c>
      <c r="H416" s="2" t="inlineStr"/>
      <c r="I416" s="2" t="inlineStr">
        <is>
          <t>Easy</t>
        </is>
      </c>
      <c r="J416" s="3">
        <f>HYPERLINK("https://www.codechef.com/problems/CSPRACMCQ8", "https://www.codechef.com/problems/CSPRACMCQ8")</f>
        <v/>
      </c>
      <c r="K416" s="2" t="inlineStr"/>
      <c r="L416" s="2" t="inlineStr"/>
      <c r="M416" s="2" t="inlineStr"/>
      <c r="N416" s="2" t="inlineStr">
        <is>
          <t>No</t>
        </is>
      </c>
      <c r="O416" s="2" t="inlineStr">
        <is>
          <t>Unattempted</t>
        </is>
      </c>
    </row>
    <row r="417">
      <c r="A417" s="4" t="inlineStr">
        <is>
          <t>Other Practice Paths</t>
        </is>
      </c>
      <c r="B417" s="4" t="inlineStr">
        <is>
          <t>Practice C#</t>
        </is>
      </c>
      <c r="C417" s="4" t="inlineStr">
        <is>
          <t>Learn the basics of C# programming with ease in this interactive and practical course. Master the basic syntax of the language and build a solid foundation for developing Windows applications.</t>
        </is>
      </c>
      <c r="D417" s="4" t="inlineStr">
        <is>
          <t>Conditionals - Additional practice</t>
        </is>
      </c>
      <c r="E417" s="4" t="n">
        <v>21</v>
      </c>
      <c r="F417" s="4" t="inlineStr">
        <is>
          <t>Black cells in a chessboard</t>
        </is>
      </c>
      <c r="G417" s="4" t="inlineStr">
        <is>
          <t>BLACKCEL</t>
        </is>
      </c>
      <c r="H417" s="4" t="inlineStr">
        <is>
          <t>746</t>
        </is>
      </c>
      <c r="I417" s="4" t="inlineStr">
        <is>
          <t>Easy</t>
        </is>
      </c>
      <c r="J417" s="5">
        <f>HYPERLINK("https://www.codechef.com/problems/BLACKCEL", "https://www.codechef.com/problems/BLACKCEL")</f>
        <v/>
      </c>
      <c r="K417" s="4" t="inlineStr"/>
      <c r="L417" s="4" t="inlineStr"/>
      <c r="M417" s="4" t="inlineStr"/>
      <c r="N417" s="4" t="inlineStr">
        <is>
          <t>No</t>
        </is>
      </c>
      <c r="O417" s="4" t="inlineStr">
        <is>
          <t>Unattempted</t>
        </is>
      </c>
    </row>
    <row r="418">
      <c r="A418" s="2" t="inlineStr">
        <is>
          <t>Other Practice Paths</t>
        </is>
      </c>
      <c r="B418" s="2" t="inlineStr">
        <is>
          <t>Practice C#</t>
        </is>
      </c>
      <c r="C418" s="2" t="inlineStr">
        <is>
          <t>Learn the basics of C# programming with ease in this interactive and practical course. Master the basic syntax of the language and build a solid foundation for developing Windows applications.</t>
        </is>
      </c>
      <c r="D418" s="2" t="inlineStr">
        <is>
          <t>Conditionals - Additional practice</t>
        </is>
      </c>
      <c r="E418" s="2" t="n">
        <v>22</v>
      </c>
      <c r="F418" s="2" t="inlineStr">
        <is>
          <t>Multiple Choice Question</t>
        </is>
      </c>
      <c r="G418" s="2" t="inlineStr">
        <is>
          <t>CSPRACMCQ7</t>
        </is>
      </c>
      <c r="H418" s="2" t="inlineStr"/>
      <c r="I418" s="2" t="inlineStr">
        <is>
          <t>Easy</t>
        </is>
      </c>
      <c r="J418" s="3">
        <f>HYPERLINK("https://www.codechef.com/problems/CSPRACMCQ7", "https://www.codechef.com/problems/CSPRACMCQ7")</f>
        <v/>
      </c>
      <c r="K418" s="2" t="inlineStr"/>
      <c r="L418" s="2" t="inlineStr"/>
      <c r="M418" s="2" t="inlineStr"/>
      <c r="N418" s="2" t="inlineStr">
        <is>
          <t>No</t>
        </is>
      </c>
      <c r="O418" s="2" t="inlineStr">
        <is>
          <t>Unattempted</t>
        </is>
      </c>
    </row>
    <row r="419">
      <c r="A419" s="4" t="inlineStr">
        <is>
          <t>Other Practice Paths</t>
        </is>
      </c>
      <c r="B419" s="4" t="inlineStr">
        <is>
          <t>Practice C#</t>
        </is>
      </c>
      <c r="C419" s="4" t="inlineStr">
        <is>
          <t>Learn the basics of C# programming with ease in this interactive and practical course. Master the basic syntax of the language and build a solid foundation for developing Windows applications.</t>
        </is>
      </c>
      <c r="D419" s="4" t="inlineStr">
        <is>
          <t>Conditionals - Additional practice</t>
        </is>
      </c>
      <c r="E419" s="4" t="n">
        <v>23</v>
      </c>
      <c r="F419" s="4" t="inlineStr">
        <is>
          <t>AB Difference</t>
        </is>
      </c>
      <c r="G419" s="4" t="inlineStr">
        <is>
          <t>ABDIFF</t>
        </is>
      </c>
      <c r="H419" s="4" t="inlineStr">
        <is>
          <t>347</t>
        </is>
      </c>
      <c r="I419" s="4" t="inlineStr">
        <is>
          <t>Easy</t>
        </is>
      </c>
      <c r="J419" s="5">
        <f>HYPERLINK("https://www.codechef.com/problems/ABDIFF", "https://www.codechef.com/problems/ABDIFF")</f>
        <v/>
      </c>
      <c r="K419" s="4" t="inlineStr"/>
      <c r="L419" s="4" t="inlineStr"/>
      <c r="M419" s="4" t="inlineStr"/>
      <c r="N419" s="4" t="inlineStr">
        <is>
          <t>No</t>
        </is>
      </c>
      <c r="O419" s="4" t="inlineStr">
        <is>
          <t>Unattempted</t>
        </is>
      </c>
    </row>
    <row r="420">
      <c r="A420" s="2" t="inlineStr">
        <is>
          <t>Other Practice Paths</t>
        </is>
      </c>
      <c r="B420" s="2" t="inlineStr">
        <is>
          <t>Practice C#</t>
        </is>
      </c>
      <c r="C420" s="2" t="inlineStr">
        <is>
          <t>Learn the basics of C# programming with ease in this interactive and practical course. Master the basic syntax of the language and build a solid foundation for developing Windows applications.</t>
        </is>
      </c>
      <c r="D420" s="2" t="inlineStr">
        <is>
          <t>Loops - Concept &amp; Practice</t>
        </is>
      </c>
      <c r="E420" s="2" t="n">
        <v>24</v>
      </c>
      <c r="F420" s="2" t="inlineStr">
        <is>
          <t>Rearrange Code</t>
        </is>
      </c>
      <c r="G420" s="2" t="inlineStr">
        <is>
          <t>CSPRACREARR3</t>
        </is>
      </c>
      <c r="H420" s="2" t="inlineStr"/>
      <c r="I420" s="2" t="inlineStr">
        <is>
          <t>Easy</t>
        </is>
      </c>
      <c r="J420" s="3">
        <f>HYPERLINK("https://www.codechef.com/problems/CSPRACREARR3", "https://www.codechef.com/problems/CSPRACREARR3")</f>
        <v/>
      </c>
      <c r="K420" s="2" t="inlineStr"/>
      <c r="L420" s="2" t="inlineStr"/>
      <c r="M420" s="2" t="inlineStr"/>
      <c r="N420" s="2" t="inlineStr">
        <is>
          <t>No</t>
        </is>
      </c>
      <c r="O420" s="2" t="inlineStr">
        <is>
          <t>Unattempted</t>
        </is>
      </c>
    </row>
    <row r="421">
      <c r="A421" s="4" t="inlineStr">
        <is>
          <t>Other Practice Paths</t>
        </is>
      </c>
      <c r="B421" s="4" t="inlineStr">
        <is>
          <t>Practice C#</t>
        </is>
      </c>
      <c r="C421" s="4" t="inlineStr">
        <is>
          <t>Learn the basics of C# programming with ease in this interactive and practical course. Master the basic syntax of the language and build a solid foundation for developing Windows applications.</t>
        </is>
      </c>
      <c r="D421" s="4" t="inlineStr">
        <is>
          <t>Loops - Concept &amp; Practice</t>
        </is>
      </c>
      <c r="E421" s="4" t="n">
        <v>25</v>
      </c>
      <c r="F421" s="4" t="inlineStr">
        <is>
          <t>Add Two Numbers</t>
        </is>
      </c>
      <c r="G421" s="4" t="inlineStr">
        <is>
          <t>FLOW001</t>
        </is>
      </c>
      <c r="H421" s="4" t="inlineStr">
        <is>
          <t>242</t>
        </is>
      </c>
      <c r="I421" s="4" t="inlineStr">
        <is>
          <t>Easy</t>
        </is>
      </c>
      <c r="J421" s="5">
        <f>HYPERLINK("https://www.codechef.com/problems/FLOW001", "https://www.codechef.com/problems/FLOW001")</f>
        <v/>
      </c>
      <c r="K421" s="4" t="inlineStr"/>
      <c r="L421" s="4" t="inlineStr">
        <is>
          <t>Algorithms, Implementation</t>
        </is>
      </c>
      <c r="M421" s="4" t="inlineStr"/>
      <c r="N421" s="4" t="inlineStr">
        <is>
          <t>No</t>
        </is>
      </c>
      <c r="O421" s="4" t="inlineStr">
        <is>
          <t>Unattempted</t>
        </is>
      </c>
    </row>
    <row r="422">
      <c r="A422" s="2" t="inlineStr">
        <is>
          <t>Other Practice Paths</t>
        </is>
      </c>
      <c r="B422" s="2" t="inlineStr">
        <is>
          <t>Practice C#</t>
        </is>
      </c>
      <c r="C422" s="2" t="inlineStr">
        <is>
          <t>Learn the basics of C# programming with ease in this interactive and practical course. Master the basic syntax of the language and build a solid foundation for developing Windows applications.</t>
        </is>
      </c>
      <c r="D422" s="2" t="inlineStr">
        <is>
          <t>Loops - Concept &amp; Practice</t>
        </is>
      </c>
      <c r="E422" s="2" t="n">
        <v>26</v>
      </c>
      <c r="F422" s="2" t="inlineStr">
        <is>
          <t>Multiple Choice Question</t>
        </is>
      </c>
      <c r="G422" s="2" t="inlineStr">
        <is>
          <t>CSPRACMCQ11</t>
        </is>
      </c>
      <c r="H422" s="2" t="inlineStr"/>
      <c r="I422" s="2" t="inlineStr">
        <is>
          <t>Easy</t>
        </is>
      </c>
      <c r="J422" s="3">
        <f>HYPERLINK("https://www.codechef.com/problems/CSPRACMCQ11", "https://www.codechef.com/problems/CSPRACMCQ11")</f>
        <v/>
      </c>
      <c r="K422" s="2" t="inlineStr"/>
      <c r="L422" s="2" t="inlineStr"/>
      <c r="M422" s="2" t="inlineStr"/>
      <c r="N422" s="2" t="inlineStr">
        <is>
          <t>No</t>
        </is>
      </c>
      <c r="O422" s="2" t="inlineStr">
        <is>
          <t>Unattempted</t>
        </is>
      </c>
    </row>
    <row r="423">
      <c r="A423" s="4" t="inlineStr">
        <is>
          <t>Other Practice Paths</t>
        </is>
      </c>
      <c r="B423" s="4" t="inlineStr">
        <is>
          <t>Practice C#</t>
        </is>
      </c>
      <c r="C423" s="4" t="inlineStr">
        <is>
          <t>Learn the basics of C# programming with ease in this interactive and practical course. Master the basic syntax of the language and build a solid foundation for developing Windows applications.</t>
        </is>
      </c>
      <c r="D423" s="4" t="inlineStr">
        <is>
          <t>Loops - Concept &amp; Practice</t>
        </is>
      </c>
      <c r="E423" s="4" t="n">
        <v>27</v>
      </c>
      <c r="F423" s="4" t="inlineStr">
        <is>
          <t>Good Turn</t>
        </is>
      </c>
      <c r="G423" s="4" t="inlineStr">
        <is>
          <t>GDTURN</t>
        </is>
      </c>
      <c r="H423" s="4" t="inlineStr">
        <is>
          <t>238</t>
        </is>
      </c>
      <c r="I423" s="4" t="inlineStr">
        <is>
          <t>Easy</t>
        </is>
      </c>
      <c r="J423" s="5">
        <f>HYPERLINK("https://www.codechef.com/problems/GDTURN", "https://www.codechef.com/problems/GDTURN")</f>
        <v/>
      </c>
      <c r="K423" s="4" t="inlineStr"/>
      <c r="L423" s="4" t="inlineStr">
        <is>
          <t>Basic Programming Concepts, Conditional Statements</t>
        </is>
      </c>
      <c r="M423" s="4" t="inlineStr"/>
      <c r="N423" s="4" t="inlineStr">
        <is>
          <t>No</t>
        </is>
      </c>
      <c r="O423" s="4" t="inlineStr">
        <is>
          <t>Unattempted</t>
        </is>
      </c>
    </row>
    <row r="424">
      <c r="A424" s="2" t="inlineStr">
        <is>
          <t>Other Practice Paths</t>
        </is>
      </c>
      <c r="B424" s="2" t="inlineStr">
        <is>
          <t>Practice C#</t>
        </is>
      </c>
      <c r="C424" s="2" t="inlineStr">
        <is>
          <t>Learn the basics of C# programming with ease in this interactive and practical course. Master the basic syntax of the language and build a solid foundation for developing Windows applications.</t>
        </is>
      </c>
      <c r="D424" s="2" t="inlineStr">
        <is>
          <t>Loops - Concept &amp; Practice</t>
        </is>
      </c>
      <c r="E424" s="2" t="n">
        <v>28</v>
      </c>
      <c r="F424" s="2" t="inlineStr">
        <is>
          <t>Multiple Choice Question</t>
        </is>
      </c>
      <c r="G424" s="2" t="inlineStr">
        <is>
          <t>CSPRACMCQ10</t>
        </is>
      </c>
      <c r="H424" s="2" t="inlineStr"/>
      <c r="I424" s="2" t="inlineStr">
        <is>
          <t>Easy</t>
        </is>
      </c>
      <c r="J424" s="3">
        <f>HYPERLINK("https://www.codechef.com/problems/CSPRACMCQ10", "https://www.codechef.com/problems/CSPRACMCQ10")</f>
        <v/>
      </c>
      <c r="K424" s="2" t="inlineStr"/>
      <c r="L424" s="2" t="inlineStr"/>
      <c r="M424" s="2" t="inlineStr"/>
      <c r="N424" s="2" t="inlineStr">
        <is>
          <t>No</t>
        </is>
      </c>
      <c r="O424" s="2" t="inlineStr">
        <is>
          <t>Unattempted</t>
        </is>
      </c>
    </row>
    <row r="425">
      <c r="A425" s="4" t="inlineStr">
        <is>
          <t>Other Practice Paths</t>
        </is>
      </c>
      <c r="B425" s="4" t="inlineStr">
        <is>
          <t>Practice C#</t>
        </is>
      </c>
      <c r="C425" s="4" t="inlineStr">
        <is>
          <t>Learn the basics of C# programming with ease in this interactive and practical course. Master the basic syntax of the language and build a solid foundation for developing Windows applications.</t>
        </is>
      </c>
      <c r="D425" s="4" t="inlineStr">
        <is>
          <t>Loops - Concept &amp; Practice</t>
        </is>
      </c>
      <c r="E425" s="4" t="n">
        <v>29</v>
      </c>
      <c r="F425" s="4" t="inlineStr">
        <is>
          <t>Water Consumption</t>
        </is>
      </c>
      <c r="G425" s="4" t="inlineStr">
        <is>
          <t>WATERCONS</t>
        </is>
      </c>
      <c r="H425" s="4" t="inlineStr">
        <is>
          <t>254</t>
        </is>
      </c>
      <c r="I425" s="4" t="inlineStr">
        <is>
          <t>Easy</t>
        </is>
      </c>
      <c r="J425" s="5">
        <f>HYPERLINK("https://www.codechef.com/problems/WATERCONS", "https://www.codechef.com/problems/WATERCONS")</f>
        <v/>
      </c>
      <c r="K425" s="4" t="inlineStr"/>
      <c r="L425" s="4" t="inlineStr"/>
      <c r="M425" s="4" t="inlineStr"/>
      <c r="N425" s="4" t="inlineStr">
        <is>
          <t>No</t>
        </is>
      </c>
      <c r="O425" s="4" t="inlineStr">
        <is>
          <t>Unattempted</t>
        </is>
      </c>
    </row>
    <row r="426">
      <c r="A426" s="2" t="inlineStr">
        <is>
          <t>Other Practice Paths</t>
        </is>
      </c>
      <c r="B426" s="2" t="inlineStr">
        <is>
          <t>Practice C#</t>
        </is>
      </c>
      <c r="C426" s="2" t="inlineStr">
        <is>
          <t>Learn the basics of C# programming with ease in this interactive and practical course. Master the basic syntax of the language and build a solid foundation for developing Windows applications.</t>
        </is>
      </c>
      <c r="D426" s="2" t="inlineStr">
        <is>
          <t>Loops - Additional practice</t>
        </is>
      </c>
      <c r="E426" s="2" t="n">
        <v>30</v>
      </c>
      <c r="F426" s="2" t="inlineStr">
        <is>
          <t>Multiple Choice Question</t>
        </is>
      </c>
      <c r="G426" s="2" t="inlineStr">
        <is>
          <t>CSPRACMCQ12</t>
        </is>
      </c>
      <c r="H426" s="2" t="inlineStr"/>
      <c r="I426" s="2" t="inlineStr">
        <is>
          <t>Easy</t>
        </is>
      </c>
      <c r="J426" s="3">
        <f>HYPERLINK("https://www.codechef.com/problems/CSPRACMCQ12", "https://www.codechef.com/problems/CSPRACMCQ12")</f>
        <v/>
      </c>
      <c r="K426" s="2" t="inlineStr"/>
      <c r="L426" s="2" t="inlineStr"/>
      <c r="M426" s="2" t="inlineStr"/>
      <c r="N426" s="2" t="inlineStr">
        <is>
          <t>No</t>
        </is>
      </c>
      <c r="O426" s="2" t="inlineStr">
        <is>
          <t>Unattempted</t>
        </is>
      </c>
    </row>
    <row r="427">
      <c r="A427" s="4" t="inlineStr">
        <is>
          <t>Other Practice Paths</t>
        </is>
      </c>
      <c r="B427" s="4" t="inlineStr">
        <is>
          <t>Practice C#</t>
        </is>
      </c>
      <c r="C427" s="4" t="inlineStr">
        <is>
          <t>Learn the basics of C# programming with ease in this interactive and practical course. Master the basic syntax of the language and build a solid foundation for developing Windows applications.</t>
        </is>
      </c>
      <c r="D427" s="4" t="inlineStr">
        <is>
          <t>Loops - Additional practice</t>
        </is>
      </c>
      <c r="E427" s="4" t="n">
        <v>31</v>
      </c>
      <c r="F427" s="4" t="inlineStr">
        <is>
          <t>Age Limit</t>
        </is>
      </c>
      <c r="G427" s="4" t="inlineStr">
        <is>
          <t>AGELIMIT</t>
        </is>
      </c>
      <c r="H427" s="4" t="inlineStr">
        <is>
          <t>245</t>
        </is>
      </c>
      <c r="I427" s="4" t="inlineStr">
        <is>
          <t>Easy</t>
        </is>
      </c>
      <c r="J427" s="5">
        <f>HYPERLINK("https://www.codechef.com/problems/AGELIMIT", "https://www.codechef.com/problems/AGELIMIT")</f>
        <v/>
      </c>
      <c r="K427" s="4" t="inlineStr"/>
      <c r="L427" s="4" t="inlineStr"/>
      <c r="M427" s="4" t="inlineStr"/>
      <c r="N427" s="4" t="inlineStr">
        <is>
          <t>No</t>
        </is>
      </c>
      <c r="O427" s="4" t="inlineStr">
        <is>
          <t>Unattempted</t>
        </is>
      </c>
    </row>
    <row r="428">
      <c r="A428" s="2" t="inlineStr">
        <is>
          <t>Other Practice Paths</t>
        </is>
      </c>
      <c r="B428" s="2" t="inlineStr">
        <is>
          <t>Practice C#</t>
        </is>
      </c>
      <c r="C428" s="2" t="inlineStr">
        <is>
          <t>Learn the basics of C# programming with ease in this interactive and practical course. Master the basic syntax of the language and build a solid foundation for developing Windows applications.</t>
        </is>
      </c>
      <c r="D428" s="2" t="inlineStr">
        <is>
          <t>Loops - Additional practice</t>
        </is>
      </c>
      <c r="E428" s="2" t="n">
        <v>32</v>
      </c>
      <c r="F428" s="2" t="inlineStr">
        <is>
          <t>Multiple Choice Question</t>
        </is>
      </c>
      <c r="G428" s="2" t="inlineStr">
        <is>
          <t>CSPRACMCQ13</t>
        </is>
      </c>
      <c r="H428" s="2" t="inlineStr"/>
      <c r="I428" s="2" t="inlineStr">
        <is>
          <t>Easy</t>
        </is>
      </c>
      <c r="J428" s="3">
        <f>HYPERLINK("https://www.codechef.com/problems/CSPRACMCQ13", "https://www.codechef.com/problems/CSPRACMCQ13")</f>
        <v/>
      </c>
      <c r="K428" s="2" t="inlineStr"/>
      <c r="L428" s="2" t="inlineStr"/>
      <c r="M428" s="2" t="inlineStr"/>
      <c r="N428" s="2" t="inlineStr">
        <is>
          <t>No</t>
        </is>
      </c>
      <c r="O428" s="2" t="inlineStr">
        <is>
          <t>Unattempted</t>
        </is>
      </c>
    </row>
    <row r="429">
      <c r="A429" s="4" t="inlineStr">
        <is>
          <t>Other Practice Paths</t>
        </is>
      </c>
      <c r="B429" s="4" t="inlineStr">
        <is>
          <t>Practice C#</t>
        </is>
      </c>
      <c r="C429" s="4" t="inlineStr">
        <is>
          <t>Learn the basics of C# programming with ease in this interactive and practical course. Master the basic syntax of the language and build a solid foundation for developing Windows applications.</t>
        </is>
      </c>
      <c r="D429" s="4" t="inlineStr">
        <is>
          <t>Loops - Additional practice</t>
        </is>
      </c>
      <c r="E429" s="4" t="n">
        <v>33</v>
      </c>
      <c r="F429" s="4" t="inlineStr">
        <is>
          <t>Squats</t>
        </is>
      </c>
      <c r="G429" s="4" t="inlineStr">
        <is>
          <t>SQUATS</t>
        </is>
      </c>
      <c r="H429" s="4" t="inlineStr">
        <is>
          <t>249</t>
        </is>
      </c>
      <c r="I429" s="4" t="inlineStr">
        <is>
          <t>Easy</t>
        </is>
      </c>
      <c r="J429" s="5">
        <f>HYPERLINK("https://www.codechef.com/problems/SQUATS", "https://www.codechef.com/problems/SQUATS")</f>
        <v/>
      </c>
      <c r="K429" s="4" t="inlineStr"/>
      <c r="L429" s="4" t="inlineStr"/>
      <c r="M429" s="4" t="inlineStr"/>
      <c r="N429" s="4" t="inlineStr">
        <is>
          <t>No</t>
        </is>
      </c>
      <c r="O429" s="4" t="inlineStr">
        <is>
          <t>Unattempted</t>
        </is>
      </c>
    </row>
    <row r="430">
      <c r="A430" s="2" t="inlineStr">
        <is>
          <t>Other Practice Paths</t>
        </is>
      </c>
      <c r="B430" s="2" t="inlineStr">
        <is>
          <t>Practice Go</t>
        </is>
      </c>
      <c r="C430" s="2" t="inlineStr">
        <is>
          <t>Learn the basics of Go programming with ease in this interactive and practical course. This course will provide a good base to building real world applications in go.</t>
        </is>
      </c>
      <c r="D430" s="2" t="inlineStr">
        <is>
          <t>Input, Output and Arithmetic - Concept &amp; Practice</t>
        </is>
      </c>
      <c r="E430" s="2" t="n">
        <v>1</v>
      </c>
      <c r="F430" s="2" t="inlineStr">
        <is>
          <t>Multiple Choice Question</t>
        </is>
      </c>
      <c r="G430" s="2" t="inlineStr">
        <is>
          <t>GOPRACMCQ1</t>
        </is>
      </c>
      <c r="H430" s="2" t="inlineStr"/>
      <c r="I430" s="2" t="inlineStr">
        <is>
          <t>Easy</t>
        </is>
      </c>
      <c r="J430" s="3">
        <f>HYPERLINK("https://www.codechef.com/problems/GOPRACMCQ1", "https://www.codechef.com/problems/GOPRACMCQ1")</f>
        <v/>
      </c>
      <c r="K430" s="2" t="inlineStr"/>
      <c r="L430" s="2" t="inlineStr"/>
      <c r="M430" s="2" t="inlineStr"/>
      <c r="N430" s="2" t="inlineStr">
        <is>
          <t>No</t>
        </is>
      </c>
      <c r="O430" s="2" t="inlineStr">
        <is>
          <t>Unattempted</t>
        </is>
      </c>
    </row>
    <row r="431">
      <c r="A431" s="4" t="inlineStr">
        <is>
          <t>Other Practice Paths</t>
        </is>
      </c>
      <c r="B431" s="4" t="inlineStr">
        <is>
          <t>Practice Go</t>
        </is>
      </c>
      <c r="C431" s="4" t="inlineStr">
        <is>
          <t>Learn the basics of Go programming with ease in this interactive and practical course. This course will provide a good base to building real world applications in go.</t>
        </is>
      </c>
      <c r="D431" s="4" t="inlineStr">
        <is>
          <t>Input, Output and Arithmetic - Concept &amp; Practice</t>
        </is>
      </c>
      <c r="E431" s="4" t="n">
        <v>2</v>
      </c>
      <c r="F431" s="4" t="inlineStr">
        <is>
          <t>Number Mirror</t>
        </is>
      </c>
      <c r="G431" s="4" t="inlineStr">
        <is>
          <t>START01</t>
        </is>
      </c>
      <c r="H431" s="4" t="inlineStr">
        <is>
          <t>200</t>
        </is>
      </c>
      <c r="I431" s="4" t="inlineStr">
        <is>
          <t>Easy</t>
        </is>
      </c>
      <c r="J431" s="5">
        <f>HYPERLINK("https://www.codechef.com/problems/START01", "https://www.codechef.com/problems/START01")</f>
        <v/>
      </c>
      <c r="K431" s="4" t="inlineStr"/>
      <c r="L431" s="4" t="inlineStr"/>
      <c r="M431" s="4" t="inlineStr"/>
      <c r="N431" s="4" t="inlineStr">
        <is>
          <t>No</t>
        </is>
      </c>
      <c r="O431" s="4" t="inlineStr">
        <is>
          <t>Unattempted</t>
        </is>
      </c>
    </row>
    <row r="432">
      <c r="A432" s="2" t="inlineStr">
        <is>
          <t>Other Practice Paths</t>
        </is>
      </c>
      <c r="B432" s="2" t="inlineStr">
        <is>
          <t>Practice Go</t>
        </is>
      </c>
      <c r="C432" s="2" t="inlineStr">
        <is>
          <t>Learn the basics of Go programming with ease in this interactive and practical course. This course will provide a good base to building real world applications in go.</t>
        </is>
      </c>
      <c r="D432" s="2" t="inlineStr">
        <is>
          <t>Input, Output and Arithmetic - Concept &amp; Practice</t>
        </is>
      </c>
      <c r="E432" s="2" t="n">
        <v>3</v>
      </c>
      <c r="F432" s="2" t="inlineStr">
        <is>
          <t>Rearrange Code</t>
        </is>
      </c>
      <c r="G432" s="2" t="inlineStr">
        <is>
          <t>GOPRACREARR1</t>
        </is>
      </c>
      <c r="H432" s="2" t="inlineStr"/>
      <c r="I432" s="2" t="inlineStr">
        <is>
          <t>Easy</t>
        </is>
      </c>
      <c r="J432" s="3">
        <f>HYPERLINK("https://www.codechef.com/problems/GOPRACREARR1", "https://www.codechef.com/problems/GOPRACREARR1")</f>
        <v/>
      </c>
      <c r="K432" s="2" t="inlineStr"/>
      <c r="L432" s="2" t="inlineStr"/>
      <c r="M432" s="2" t="inlineStr"/>
      <c r="N432" s="2" t="inlineStr">
        <is>
          <t>No</t>
        </is>
      </c>
      <c r="O432" s="2" t="inlineStr">
        <is>
          <t>Unattempted</t>
        </is>
      </c>
    </row>
    <row r="433">
      <c r="A433" s="4" t="inlineStr">
        <is>
          <t>Other Practice Paths</t>
        </is>
      </c>
      <c r="B433" s="4" t="inlineStr">
        <is>
          <t>Practice Go</t>
        </is>
      </c>
      <c r="C433" s="4" t="inlineStr">
        <is>
          <t>Learn the basics of Go programming with ease in this interactive and practical course. This course will provide a good base to building real world applications in go.</t>
        </is>
      </c>
      <c r="D433" s="4" t="inlineStr">
        <is>
          <t>Input, Output and Arithmetic - Concept &amp; Practice</t>
        </is>
      </c>
      <c r="E433" s="4" t="n">
        <v>4</v>
      </c>
      <c r="F433" s="4" t="inlineStr">
        <is>
          <t>Multiple Choice Question</t>
        </is>
      </c>
      <c r="G433" s="4" t="inlineStr">
        <is>
          <t>GOPRACREAR1A</t>
        </is>
      </c>
      <c r="H433" s="4" t="inlineStr"/>
      <c r="I433" s="4" t="inlineStr">
        <is>
          <t>Easy</t>
        </is>
      </c>
      <c r="J433" s="5">
        <f>HYPERLINK("https://www.codechef.com/problems/GOPRACREAR1A", "https://www.codechef.com/problems/GOPRACREAR1A")</f>
        <v/>
      </c>
      <c r="K433" s="4" t="inlineStr"/>
      <c r="L433" s="4" t="inlineStr"/>
      <c r="M433" s="4" t="inlineStr"/>
      <c r="N433" s="4" t="inlineStr">
        <is>
          <t>No</t>
        </is>
      </c>
      <c r="O433" s="4" t="inlineStr">
        <is>
          <t>Unattempted</t>
        </is>
      </c>
    </row>
    <row r="434">
      <c r="A434" s="2" t="inlineStr">
        <is>
          <t>Other Practice Paths</t>
        </is>
      </c>
      <c r="B434" s="2" t="inlineStr">
        <is>
          <t>Practice Go</t>
        </is>
      </c>
      <c r="C434" s="2" t="inlineStr">
        <is>
          <t>Learn the basics of Go programming with ease in this interactive and practical course. This course will provide a good base to building real world applications in go.</t>
        </is>
      </c>
      <c r="D434" s="2" t="inlineStr">
        <is>
          <t>Input, Output and Arithmetic - Concept &amp; Practice</t>
        </is>
      </c>
      <c r="E434" s="2" t="n">
        <v>5</v>
      </c>
      <c r="F434" s="2" t="inlineStr">
        <is>
          <t>Chef and Instant Noodles</t>
        </is>
      </c>
      <c r="G434" s="2" t="inlineStr">
        <is>
          <t>INSTNOODLE</t>
        </is>
      </c>
      <c r="H434" s="2" t="inlineStr">
        <is>
          <t>456</t>
        </is>
      </c>
      <c r="I434" s="2" t="inlineStr">
        <is>
          <t>Easy</t>
        </is>
      </c>
      <c r="J434" s="3">
        <f>HYPERLINK("https://www.codechef.com/problems/INSTNOODLE", "https://www.codechef.com/problems/INSTNOODLE")</f>
        <v/>
      </c>
      <c r="K434" s="2" t="inlineStr"/>
      <c r="L434" s="2" t="inlineStr">
        <is>
          <t>Arithmetic, Basic Math, Mathematics</t>
        </is>
      </c>
      <c r="M434" s="2" t="inlineStr"/>
      <c r="N434" s="2" t="inlineStr">
        <is>
          <t>No</t>
        </is>
      </c>
      <c r="O434" s="2" t="inlineStr">
        <is>
          <t>Unattempted</t>
        </is>
      </c>
    </row>
    <row r="435">
      <c r="A435" s="4" t="inlineStr">
        <is>
          <t>Other Practice Paths</t>
        </is>
      </c>
      <c r="B435" s="4" t="inlineStr">
        <is>
          <t>Practice Go</t>
        </is>
      </c>
      <c r="C435" s="4" t="inlineStr">
        <is>
          <t>Learn the basics of Go programming with ease in this interactive and practical course. This course will provide a good base to building real world applications in go.</t>
        </is>
      </c>
      <c r="D435" s="4" t="inlineStr">
        <is>
          <t>Input, Output and Arithmetic - Concept &amp; Practice</t>
        </is>
      </c>
      <c r="E435" s="4" t="n">
        <v>6</v>
      </c>
      <c r="F435" s="4" t="inlineStr">
        <is>
          <t>Multiple Choice Question</t>
        </is>
      </c>
      <c r="G435" s="4" t="inlineStr">
        <is>
          <t>GOPRACMCQ4</t>
        </is>
      </c>
      <c r="H435" s="4" t="inlineStr"/>
      <c r="I435" s="4" t="inlineStr">
        <is>
          <t>Easy</t>
        </is>
      </c>
      <c r="J435" s="5">
        <f>HYPERLINK("https://www.codechef.com/problems/GOPRACMCQ4", "https://www.codechef.com/problems/GOPRACMCQ4")</f>
        <v/>
      </c>
      <c r="K435" s="4" t="inlineStr"/>
      <c r="L435" s="4" t="inlineStr"/>
      <c r="M435" s="4" t="inlineStr"/>
      <c r="N435" s="4" t="inlineStr">
        <is>
          <t>No</t>
        </is>
      </c>
      <c r="O435" s="4" t="inlineStr">
        <is>
          <t>Unattempted</t>
        </is>
      </c>
    </row>
    <row r="436">
      <c r="A436" s="2" t="inlineStr">
        <is>
          <t>Other Practice Paths</t>
        </is>
      </c>
      <c r="B436" s="2" t="inlineStr">
        <is>
          <t>Practice Go</t>
        </is>
      </c>
      <c r="C436" s="2" t="inlineStr">
        <is>
          <t>Learn the basics of Go programming with ease in this interactive and practical course. This course will provide a good base to building real world applications in go.</t>
        </is>
      </c>
      <c r="D436" s="2" t="inlineStr">
        <is>
          <t>Input, Output and Arithmetic - Concept &amp; Practice</t>
        </is>
      </c>
      <c r="E436" s="2" t="n">
        <v>7</v>
      </c>
      <c r="F436" s="2" t="inlineStr">
        <is>
          <t>CodeChef Learn Problem Solving</t>
        </is>
      </c>
      <c r="G436" s="2" t="inlineStr">
        <is>
          <t>CCLEARN</t>
        </is>
      </c>
      <c r="H436" s="2" t="inlineStr">
        <is>
          <t>287</t>
        </is>
      </c>
      <c r="I436" s="2" t="inlineStr">
        <is>
          <t>Easy</t>
        </is>
      </c>
      <c r="J436" s="3">
        <f>HYPERLINK("https://www.codechef.com/problems/CCLEARN", "https://www.codechef.com/problems/CCLEARN")</f>
        <v/>
      </c>
      <c r="K436" s="2" t="inlineStr"/>
      <c r="L436" s="2" t="inlineStr">
        <is>
          <t>Basic Math, Mathematics</t>
        </is>
      </c>
      <c r="M436" s="2" t="inlineStr"/>
      <c r="N436" s="2" t="inlineStr">
        <is>
          <t>No</t>
        </is>
      </c>
      <c r="O436" s="2" t="inlineStr">
        <is>
          <t>Unattempted</t>
        </is>
      </c>
    </row>
    <row r="437">
      <c r="A437" s="4" t="inlineStr">
        <is>
          <t>Other Practice Paths</t>
        </is>
      </c>
      <c r="B437" s="4" t="inlineStr">
        <is>
          <t>Practice Go</t>
        </is>
      </c>
      <c r="C437" s="4" t="inlineStr">
        <is>
          <t>Learn the basics of Go programming with ease in this interactive and practical course. This course will provide a good base to building real world applications in go.</t>
        </is>
      </c>
      <c r="D437" s="4" t="inlineStr">
        <is>
          <t>Input, Output and Arithmetic - Additional practice</t>
        </is>
      </c>
      <c r="E437" s="4" t="n">
        <v>8</v>
      </c>
      <c r="F437" s="4" t="inlineStr">
        <is>
          <t>Multiple Choice Question</t>
        </is>
      </c>
      <c r="G437" s="4" t="inlineStr">
        <is>
          <t>GOPRACMCQ2</t>
        </is>
      </c>
      <c r="H437" s="4" t="inlineStr"/>
      <c r="I437" s="4" t="inlineStr">
        <is>
          <t>Easy</t>
        </is>
      </c>
      <c r="J437" s="5">
        <f>HYPERLINK("https://www.codechef.com/problems/GOPRACMCQ2", "https://www.codechef.com/problems/GOPRACMCQ2")</f>
        <v/>
      </c>
      <c r="K437" s="4" t="inlineStr"/>
      <c r="L437" s="4" t="inlineStr"/>
      <c r="M437" s="4" t="inlineStr"/>
      <c r="N437" s="4" t="inlineStr">
        <is>
          <t>No</t>
        </is>
      </c>
      <c r="O437" s="4" t="inlineStr">
        <is>
          <t>Unattempted</t>
        </is>
      </c>
    </row>
    <row r="438">
      <c r="A438" s="2" t="inlineStr">
        <is>
          <t>Other Practice Paths</t>
        </is>
      </c>
      <c r="B438" s="2" t="inlineStr">
        <is>
          <t>Practice Go</t>
        </is>
      </c>
      <c r="C438" s="2" t="inlineStr">
        <is>
          <t>Learn the basics of Go programming with ease in this interactive and practical course. This course will provide a good base to building real world applications in go.</t>
        </is>
      </c>
      <c r="D438" s="2" t="inlineStr">
        <is>
          <t>Input, Output and Arithmetic - Additional practice</t>
        </is>
      </c>
      <c r="E438" s="2" t="n">
        <v>9</v>
      </c>
      <c r="F438" s="2" t="inlineStr">
        <is>
          <t>Learning SQL</t>
        </is>
      </c>
      <c r="G438" s="2" t="inlineStr">
        <is>
          <t>LEARNSQL</t>
        </is>
      </c>
      <c r="H438" s="2" t="inlineStr">
        <is>
          <t>339</t>
        </is>
      </c>
      <c r="I438" s="2" t="inlineStr">
        <is>
          <t>Easy</t>
        </is>
      </c>
      <c r="J438" s="3">
        <f>HYPERLINK("https://www.codechef.com/problems/LEARNSQL", "https://www.codechef.com/problems/LEARNSQL")</f>
        <v/>
      </c>
      <c r="K438" s="2" t="inlineStr"/>
      <c r="L438" s="2" t="inlineStr"/>
      <c r="M438" s="2" t="inlineStr"/>
      <c r="N438" s="2" t="inlineStr">
        <is>
          <t>No</t>
        </is>
      </c>
      <c r="O438" s="2" t="inlineStr">
        <is>
          <t>Unattempted</t>
        </is>
      </c>
    </row>
    <row r="439">
      <c r="A439" s="4" t="inlineStr">
        <is>
          <t>Other Practice Paths</t>
        </is>
      </c>
      <c r="B439" s="4" t="inlineStr">
        <is>
          <t>Practice Go</t>
        </is>
      </c>
      <c r="C439" s="4" t="inlineStr">
        <is>
          <t>Learn the basics of Go programming with ease in this interactive and practical course. This course will provide a good base to building real world applications in go.</t>
        </is>
      </c>
      <c r="D439" s="4" t="inlineStr">
        <is>
          <t>Input, Output and Arithmetic - Additional practice</t>
        </is>
      </c>
      <c r="E439" s="4" t="n">
        <v>10</v>
      </c>
      <c r="F439" s="4" t="inlineStr">
        <is>
          <t>Multiple Choice Question</t>
        </is>
      </c>
      <c r="G439" s="4" t="inlineStr">
        <is>
          <t>GOPRACMCQ3</t>
        </is>
      </c>
      <c r="H439" s="4" t="inlineStr"/>
      <c r="I439" s="4" t="inlineStr">
        <is>
          <t>Easy</t>
        </is>
      </c>
      <c r="J439" s="5">
        <f>HYPERLINK("https://www.codechef.com/problems/GOPRACMCQ3", "https://www.codechef.com/problems/GOPRACMCQ3")</f>
        <v/>
      </c>
      <c r="K439" s="4" t="inlineStr"/>
      <c r="L439" s="4" t="inlineStr"/>
      <c r="M439" s="4" t="inlineStr"/>
      <c r="N439" s="4" t="inlineStr">
        <is>
          <t>No</t>
        </is>
      </c>
      <c r="O439" s="4" t="inlineStr">
        <is>
          <t>Unattempted</t>
        </is>
      </c>
    </row>
    <row r="440">
      <c r="A440" s="2" t="inlineStr">
        <is>
          <t>Other Practice Paths</t>
        </is>
      </c>
      <c r="B440" s="2" t="inlineStr">
        <is>
          <t>Practice Go</t>
        </is>
      </c>
      <c r="C440" s="2" t="inlineStr">
        <is>
          <t>Learn the basics of Go programming with ease in this interactive and practical course. This course will provide a good base to building real world applications in go.</t>
        </is>
      </c>
      <c r="D440" s="2" t="inlineStr">
        <is>
          <t>Input, Output and Arithmetic - Additional practice</t>
        </is>
      </c>
      <c r="E440" s="2" t="n">
        <v>11</v>
      </c>
      <c r="F440" s="2" t="inlineStr">
        <is>
          <t>Parking Charges</t>
        </is>
      </c>
      <c r="G440" s="2" t="inlineStr">
        <is>
          <t>PARKINGCHARG</t>
        </is>
      </c>
      <c r="H440" s="2" t="inlineStr">
        <is>
          <t>416</t>
        </is>
      </c>
      <c r="I440" s="2" t="inlineStr">
        <is>
          <t>Easy</t>
        </is>
      </c>
      <c r="J440" s="3">
        <f>HYPERLINK("https://www.codechef.com/problems/PARKINGCHARG", "https://www.codechef.com/problems/PARKINGCHARG")</f>
        <v/>
      </c>
      <c r="K440" s="2" t="inlineStr"/>
      <c r="L440" s="2" t="inlineStr"/>
      <c r="M440" s="2" t="inlineStr"/>
      <c r="N440" s="2" t="inlineStr">
        <is>
          <t>No</t>
        </is>
      </c>
      <c r="O440" s="2" t="inlineStr">
        <is>
          <t>Unattempted</t>
        </is>
      </c>
    </row>
    <row r="441">
      <c r="A441" s="4" t="inlineStr">
        <is>
          <t>Other Practice Paths</t>
        </is>
      </c>
      <c r="B441" s="4" t="inlineStr">
        <is>
          <t>Practice Go</t>
        </is>
      </c>
      <c r="C441" s="4" t="inlineStr">
        <is>
          <t>Learn the basics of Go programming with ease in this interactive and practical course. This course will provide a good base to building real world applications in go.</t>
        </is>
      </c>
      <c r="D441" s="4" t="inlineStr">
        <is>
          <t>Conditionals - Concept &amp; Practice</t>
        </is>
      </c>
      <c r="E441" s="4" t="n">
        <v>12</v>
      </c>
      <c r="F441" s="4" t="inlineStr">
        <is>
          <t>Multiple Choice Question</t>
        </is>
      </c>
      <c r="G441" s="4" t="inlineStr">
        <is>
          <t>GOPRACMCQ5</t>
        </is>
      </c>
      <c r="H441" s="4" t="inlineStr"/>
      <c r="I441" s="4" t="inlineStr">
        <is>
          <t>Easy</t>
        </is>
      </c>
      <c r="J441" s="5">
        <f>HYPERLINK("https://www.codechef.com/problems/GOPRACMCQ5", "https://www.codechef.com/problems/GOPRACMCQ5")</f>
        <v/>
      </c>
      <c r="K441" s="4" t="inlineStr"/>
      <c r="L441" s="4" t="inlineStr"/>
      <c r="M441" s="4" t="inlineStr"/>
      <c r="N441" s="4" t="inlineStr">
        <is>
          <t>No</t>
        </is>
      </c>
      <c r="O441" s="4" t="inlineStr">
        <is>
          <t>Unattempted</t>
        </is>
      </c>
    </row>
    <row r="442">
      <c r="A442" s="2" t="inlineStr">
        <is>
          <t>Other Practice Paths</t>
        </is>
      </c>
      <c r="B442" s="2" t="inlineStr">
        <is>
          <t>Practice Go</t>
        </is>
      </c>
      <c r="C442" s="2" t="inlineStr">
        <is>
          <t>Learn the basics of Go programming with ease in this interactive and practical course. This course will provide a good base to building real world applications in go.</t>
        </is>
      </c>
      <c r="D442" s="2" t="inlineStr">
        <is>
          <t>Conditionals - Concept &amp; Practice</t>
        </is>
      </c>
      <c r="E442" s="2" t="n">
        <v>13</v>
      </c>
      <c r="F442" s="2" t="inlineStr">
        <is>
          <t>Chef and Brain Speed</t>
        </is>
      </c>
      <c r="G442" s="2" t="inlineStr">
        <is>
          <t>CBSPEED</t>
        </is>
      </c>
      <c r="H442" s="2" t="inlineStr">
        <is>
          <t>288</t>
        </is>
      </c>
      <c r="I442" s="2" t="inlineStr">
        <is>
          <t>Easy</t>
        </is>
      </c>
      <c r="J442" s="3">
        <f>HYPERLINK("https://www.codechef.com/problems/CBSPEED", "https://www.codechef.com/problems/CBSPEED")</f>
        <v/>
      </c>
      <c r="K442" s="2" t="inlineStr"/>
      <c r="L442" s="2" t="inlineStr">
        <is>
          <t>Basic Programming Concepts</t>
        </is>
      </c>
      <c r="M442" s="2" t="inlineStr"/>
      <c r="N442" s="2" t="inlineStr">
        <is>
          <t>No</t>
        </is>
      </c>
      <c r="O442" s="2" t="inlineStr">
        <is>
          <t>Unattempted</t>
        </is>
      </c>
    </row>
    <row r="443">
      <c r="A443" s="4" t="inlineStr">
        <is>
          <t>Other Practice Paths</t>
        </is>
      </c>
      <c r="B443" s="4" t="inlineStr">
        <is>
          <t>Practice Go</t>
        </is>
      </c>
      <c r="C443" s="4" t="inlineStr">
        <is>
          <t>Learn the basics of Go programming with ease in this interactive and practical course. This course will provide a good base to building real world applications in go.</t>
        </is>
      </c>
      <c r="D443" s="4" t="inlineStr">
        <is>
          <t>Conditionals - Concept &amp; Practice</t>
        </is>
      </c>
      <c r="E443" s="4" t="n">
        <v>14</v>
      </c>
      <c r="F443" s="4" t="inlineStr">
        <is>
          <t>Multiple Choice Question</t>
        </is>
      </c>
      <c r="G443" s="4" t="inlineStr">
        <is>
          <t>GOPRACMCQ6</t>
        </is>
      </c>
      <c r="H443" s="4" t="inlineStr"/>
      <c r="I443" s="4" t="inlineStr">
        <is>
          <t>Easy</t>
        </is>
      </c>
      <c r="J443" s="5">
        <f>HYPERLINK("https://www.codechef.com/problems/GOPRACMCQ6", "https://www.codechef.com/problems/GOPRACMCQ6")</f>
        <v/>
      </c>
      <c r="K443" s="4" t="inlineStr"/>
      <c r="L443" s="4" t="inlineStr"/>
      <c r="M443" s="4" t="inlineStr"/>
      <c r="N443" s="4" t="inlineStr">
        <is>
          <t>No</t>
        </is>
      </c>
      <c r="O443" s="4" t="inlineStr">
        <is>
          <t>Unattempted</t>
        </is>
      </c>
    </row>
    <row r="444">
      <c r="A444" s="2" t="inlineStr">
        <is>
          <t>Other Practice Paths</t>
        </is>
      </c>
      <c r="B444" s="2" t="inlineStr">
        <is>
          <t>Practice Go</t>
        </is>
      </c>
      <c r="C444" s="2" t="inlineStr">
        <is>
          <t>Learn the basics of Go programming with ease in this interactive and practical course. This course will provide a good base to building real world applications in go.</t>
        </is>
      </c>
      <c r="D444" s="2" t="inlineStr">
        <is>
          <t>Conditionals - Concept &amp; Practice</t>
        </is>
      </c>
      <c r="E444" s="2" t="n">
        <v>15</v>
      </c>
      <c r="F444" s="2" t="inlineStr">
        <is>
          <t>Alice and Marks</t>
        </is>
      </c>
      <c r="G444" s="2" t="inlineStr">
        <is>
          <t>MARKSTW</t>
        </is>
      </c>
      <c r="H444" s="2" t="inlineStr">
        <is>
          <t>362</t>
        </is>
      </c>
      <c r="I444" s="2" t="inlineStr">
        <is>
          <t>Easy</t>
        </is>
      </c>
      <c r="J444" s="3">
        <f>HYPERLINK("https://www.codechef.com/problems/MARKSTW", "https://www.codechef.com/problems/MARKSTW")</f>
        <v/>
      </c>
      <c r="K444" s="2" t="inlineStr"/>
      <c r="L444" s="2" t="inlineStr">
        <is>
          <t>Basic Programming Concepts</t>
        </is>
      </c>
      <c r="M444" s="2" t="inlineStr"/>
      <c r="N444" s="2" t="inlineStr">
        <is>
          <t>No</t>
        </is>
      </c>
      <c r="O444" s="2" t="inlineStr">
        <is>
          <t>Unattempted</t>
        </is>
      </c>
    </row>
    <row r="445">
      <c r="A445" s="4" t="inlineStr">
        <is>
          <t>Other Practice Paths</t>
        </is>
      </c>
      <c r="B445" s="4" t="inlineStr">
        <is>
          <t>Practice Go</t>
        </is>
      </c>
      <c r="C445" s="4" t="inlineStr">
        <is>
          <t>Learn the basics of Go programming with ease in this interactive and practical course. This course will provide a good base to building real world applications in go.</t>
        </is>
      </c>
      <c r="D445" s="4" t="inlineStr">
        <is>
          <t>Conditionals - Concept &amp; Practice</t>
        </is>
      </c>
      <c r="E445" s="4" t="n">
        <v>16</v>
      </c>
      <c r="F445" s="4" t="inlineStr">
        <is>
          <t>Multiple Choice Question</t>
        </is>
      </c>
      <c r="G445" s="4" t="inlineStr">
        <is>
          <t>GOPRACMCQ9</t>
        </is>
      </c>
      <c r="H445" s="4" t="inlineStr"/>
      <c r="I445" s="4" t="inlineStr">
        <is>
          <t>Easy</t>
        </is>
      </c>
      <c r="J445" s="5">
        <f>HYPERLINK("https://www.codechef.com/problems/GOPRACMCQ9", "https://www.codechef.com/problems/GOPRACMCQ9")</f>
        <v/>
      </c>
      <c r="K445" s="4" t="inlineStr"/>
      <c r="L445" s="4" t="inlineStr"/>
      <c r="M445" s="4" t="inlineStr"/>
      <c r="N445" s="4" t="inlineStr">
        <is>
          <t>No</t>
        </is>
      </c>
      <c r="O445" s="4" t="inlineStr">
        <is>
          <t>Unattempted</t>
        </is>
      </c>
    </row>
    <row r="446">
      <c r="A446" s="2" t="inlineStr">
        <is>
          <t>Other Practice Paths</t>
        </is>
      </c>
      <c r="B446" s="2" t="inlineStr">
        <is>
          <t>Practice Go</t>
        </is>
      </c>
      <c r="C446" s="2" t="inlineStr">
        <is>
          <t>Learn the basics of Go programming with ease in this interactive and practical course. This course will provide a good base to building real world applications in go.</t>
        </is>
      </c>
      <c r="D446" s="2" t="inlineStr">
        <is>
          <t>Conditionals - Concept &amp; Practice</t>
        </is>
      </c>
      <c r="E446" s="2" t="n">
        <v>17</v>
      </c>
      <c r="F446" s="2" t="inlineStr">
        <is>
          <t>Oneful Pairs</t>
        </is>
      </c>
      <c r="G446" s="2" t="inlineStr">
        <is>
          <t>ONEFULPAIRS</t>
        </is>
      </c>
      <c r="H446" s="2" t="inlineStr">
        <is>
          <t>374</t>
        </is>
      </c>
      <c r="I446" s="2" t="inlineStr">
        <is>
          <t>Easy</t>
        </is>
      </c>
      <c r="J446" s="3">
        <f>HYPERLINK("https://www.codechef.com/problems/ONEFULPAIRS", "https://www.codechef.com/problems/ONEFULPAIRS")</f>
        <v/>
      </c>
      <c r="K446" s="2" t="inlineStr"/>
      <c r="L446" s="2" t="inlineStr"/>
      <c r="M446" s="2" t="inlineStr"/>
      <c r="N446" s="2" t="inlineStr">
        <is>
          <t>No</t>
        </is>
      </c>
      <c r="O446" s="2" t="inlineStr">
        <is>
          <t>Unattempted</t>
        </is>
      </c>
    </row>
    <row r="447">
      <c r="A447" s="4" t="inlineStr">
        <is>
          <t>Other Practice Paths</t>
        </is>
      </c>
      <c r="B447" s="4" t="inlineStr">
        <is>
          <t>Practice Go</t>
        </is>
      </c>
      <c r="C447" s="4" t="inlineStr">
        <is>
          <t>Learn the basics of Go programming with ease in this interactive and practical course. This course will provide a good base to building real world applications in go.</t>
        </is>
      </c>
      <c r="D447" s="4" t="inlineStr">
        <is>
          <t>Conditionals - Additional practice</t>
        </is>
      </c>
      <c r="E447" s="4" t="n">
        <v>18</v>
      </c>
      <c r="F447" s="4" t="inlineStr">
        <is>
          <t>Rearrange Code</t>
        </is>
      </c>
      <c r="G447" s="4" t="inlineStr">
        <is>
          <t>GOPRACREARR2</t>
        </is>
      </c>
      <c r="H447" s="4" t="inlineStr"/>
      <c r="I447" s="4" t="inlineStr">
        <is>
          <t>Easy</t>
        </is>
      </c>
      <c r="J447" s="5">
        <f>HYPERLINK("https://www.codechef.com/problems/GOPRACREARR2", "https://www.codechef.com/problems/GOPRACREARR2")</f>
        <v/>
      </c>
      <c r="K447" s="4" t="inlineStr"/>
      <c r="L447" s="4" t="inlineStr"/>
      <c r="M447" s="4" t="inlineStr"/>
      <c r="N447" s="4" t="inlineStr">
        <is>
          <t>No</t>
        </is>
      </c>
      <c r="O447" s="4" t="inlineStr">
        <is>
          <t>Unattempted</t>
        </is>
      </c>
    </row>
    <row r="448">
      <c r="A448" s="2" t="inlineStr">
        <is>
          <t>Other Practice Paths</t>
        </is>
      </c>
      <c r="B448" s="2" t="inlineStr">
        <is>
          <t>Practice Go</t>
        </is>
      </c>
      <c r="C448" s="2" t="inlineStr">
        <is>
          <t>Learn the basics of Go programming with ease in this interactive and practical course. This course will provide a good base to building real world applications in go.</t>
        </is>
      </c>
      <c r="D448" s="2" t="inlineStr">
        <is>
          <t>Conditionals - Additional practice</t>
        </is>
      </c>
      <c r="E448" s="2" t="n">
        <v>19</v>
      </c>
      <c r="F448" s="2" t="inlineStr">
        <is>
          <t>My very 1st contest!</t>
        </is>
      </c>
      <c r="G448" s="2" t="inlineStr">
        <is>
          <t>MY1STCONTEST</t>
        </is>
      </c>
      <c r="H448" s="2" t="inlineStr">
        <is>
          <t>284</t>
        </is>
      </c>
      <c r="I448" s="2" t="inlineStr">
        <is>
          <t>Easy</t>
        </is>
      </c>
      <c r="J448" s="3">
        <f>HYPERLINK("https://www.codechef.com/problems/MY1STCONTEST", "https://www.codechef.com/problems/MY1STCONTEST")</f>
        <v/>
      </c>
      <c r="K448" s="2" t="inlineStr"/>
      <c r="L448" s="2" t="inlineStr"/>
      <c r="M448" s="2" t="inlineStr"/>
      <c r="N448" s="2" t="inlineStr">
        <is>
          <t>No</t>
        </is>
      </c>
      <c r="O448" s="2" t="inlineStr">
        <is>
          <t>Unattempted</t>
        </is>
      </c>
    </row>
    <row r="449">
      <c r="A449" s="4" t="inlineStr">
        <is>
          <t>Other Practice Paths</t>
        </is>
      </c>
      <c r="B449" s="4" t="inlineStr">
        <is>
          <t>Practice Go</t>
        </is>
      </c>
      <c r="C449" s="4" t="inlineStr">
        <is>
          <t>Learn the basics of Go programming with ease in this interactive and practical course. This course will provide a good base to building real world applications in go.</t>
        </is>
      </c>
      <c r="D449" s="4" t="inlineStr">
        <is>
          <t>Conditionals - Additional practice</t>
        </is>
      </c>
      <c r="E449" s="4" t="n">
        <v>20</v>
      </c>
      <c r="F449" s="4" t="inlineStr">
        <is>
          <t>Multiple Choice Question</t>
        </is>
      </c>
      <c r="G449" s="4" t="inlineStr">
        <is>
          <t>GOPRACMCQ8</t>
        </is>
      </c>
      <c r="H449" s="4" t="inlineStr"/>
      <c r="I449" s="4" t="inlineStr">
        <is>
          <t>Easy</t>
        </is>
      </c>
      <c r="J449" s="5">
        <f>HYPERLINK("https://www.codechef.com/problems/GOPRACMCQ8", "https://www.codechef.com/problems/GOPRACMCQ8")</f>
        <v/>
      </c>
      <c r="K449" s="4" t="inlineStr"/>
      <c r="L449" s="4" t="inlineStr"/>
      <c r="M449" s="4" t="inlineStr"/>
      <c r="N449" s="4" t="inlineStr">
        <is>
          <t>No</t>
        </is>
      </c>
      <c r="O449" s="4" t="inlineStr">
        <is>
          <t>Unattempted</t>
        </is>
      </c>
    </row>
    <row r="450">
      <c r="A450" s="2" t="inlineStr">
        <is>
          <t>Other Practice Paths</t>
        </is>
      </c>
      <c r="B450" s="2" t="inlineStr">
        <is>
          <t>Practice Go</t>
        </is>
      </c>
      <c r="C450" s="2" t="inlineStr">
        <is>
          <t>Learn the basics of Go programming with ease in this interactive and practical course. This course will provide a good base to building real world applications in go.</t>
        </is>
      </c>
      <c r="D450" s="2" t="inlineStr">
        <is>
          <t>Conditionals - Additional practice</t>
        </is>
      </c>
      <c r="E450" s="2" t="n">
        <v>21</v>
      </c>
      <c r="F450" s="2" t="inlineStr">
        <is>
          <t>Black cells in a chessboard</t>
        </is>
      </c>
      <c r="G450" s="2" t="inlineStr">
        <is>
          <t>BLACKCEL</t>
        </is>
      </c>
      <c r="H450" s="2" t="inlineStr">
        <is>
          <t>746</t>
        </is>
      </c>
      <c r="I450" s="2" t="inlineStr">
        <is>
          <t>Easy</t>
        </is>
      </c>
      <c r="J450" s="3">
        <f>HYPERLINK("https://www.codechef.com/problems/BLACKCEL", "https://www.codechef.com/problems/BLACKCEL")</f>
        <v/>
      </c>
      <c r="K450" s="2" t="inlineStr"/>
      <c r="L450" s="2" t="inlineStr"/>
      <c r="M450" s="2" t="inlineStr"/>
      <c r="N450" s="2" t="inlineStr">
        <is>
          <t>No</t>
        </is>
      </c>
      <c r="O450" s="2" t="inlineStr">
        <is>
          <t>Unattempted</t>
        </is>
      </c>
    </row>
    <row r="451">
      <c r="A451" s="4" t="inlineStr">
        <is>
          <t>Other Practice Paths</t>
        </is>
      </c>
      <c r="B451" s="4" t="inlineStr">
        <is>
          <t>Practice Go</t>
        </is>
      </c>
      <c r="C451" s="4" t="inlineStr">
        <is>
          <t>Learn the basics of Go programming with ease in this interactive and practical course. This course will provide a good base to building real world applications in go.</t>
        </is>
      </c>
      <c r="D451" s="4" t="inlineStr">
        <is>
          <t>Conditionals - Additional practice</t>
        </is>
      </c>
      <c r="E451" s="4" t="n">
        <v>22</v>
      </c>
      <c r="F451" s="4" t="inlineStr">
        <is>
          <t>Multiple Choice Question</t>
        </is>
      </c>
      <c r="G451" s="4" t="inlineStr">
        <is>
          <t>GOPRACMCQ7</t>
        </is>
      </c>
      <c r="H451" s="4" t="inlineStr"/>
      <c r="I451" s="4" t="inlineStr">
        <is>
          <t>Easy</t>
        </is>
      </c>
      <c r="J451" s="5">
        <f>HYPERLINK("https://www.codechef.com/problems/GOPRACMCQ7", "https://www.codechef.com/problems/GOPRACMCQ7")</f>
        <v/>
      </c>
      <c r="K451" s="4" t="inlineStr"/>
      <c r="L451" s="4" t="inlineStr"/>
      <c r="M451" s="4" t="inlineStr"/>
      <c r="N451" s="4" t="inlineStr">
        <is>
          <t>No</t>
        </is>
      </c>
      <c r="O451" s="4" t="inlineStr">
        <is>
          <t>Unattempted</t>
        </is>
      </c>
    </row>
    <row r="452">
      <c r="A452" s="2" t="inlineStr">
        <is>
          <t>Other Practice Paths</t>
        </is>
      </c>
      <c r="B452" s="2" t="inlineStr">
        <is>
          <t>Practice Go</t>
        </is>
      </c>
      <c r="C452" s="2" t="inlineStr">
        <is>
          <t>Learn the basics of Go programming with ease in this interactive and practical course. This course will provide a good base to building real world applications in go.</t>
        </is>
      </c>
      <c r="D452" s="2" t="inlineStr">
        <is>
          <t>Conditionals - Additional practice</t>
        </is>
      </c>
      <c r="E452" s="2" t="n">
        <v>23</v>
      </c>
      <c r="F452" s="2" t="inlineStr">
        <is>
          <t>AB Difference</t>
        </is>
      </c>
      <c r="G452" s="2" t="inlineStr">
        <is>
          <t>ABDIFF</t>
        </is>
      </c>
      <c r="H452" s="2" t="inlineStr">
        <is>
          <t>347</t>
        </is>
      </c>
      <c r="I452" s="2" t="inlineStr">
        <is>
          <t>Easy</t>
        </is>
      </c>
      <c r="J452" s="3">
        <f>HYPERLINK("https://www.codechef.com/problems/ABDIFF", "https://www.codechef.com/problems/ABDIFF")</f>
        <v/>
      </c>
      <c r="K452" s="2" t="inlineStr"/>
      <c r="L452" s="2" t="inlineStr"/>
      <c r="M452" s="2" t="inlineStr"/>
      <c r="N452" s="2" t="inlineStr">
        <is>
          <t>No</t>
        </is>
      </c>
      <c r="O452" s="2" t="inlineStr">
        <is>
          <t>Unattempted</t>
        </is>
      </c>
    </row>
    <row r="453">
      <c r="A453" s="4" t="inlineStr">
        <is>
          <t>Other Practice Paths</t>
        </is>
      </c>
      <c r="B453" s="4" t="inlineStr">
        <is>
          <t>Practice Go</t>
        </is>
      </c>
      <c r="C453" s="4" t="inlineStr">
        <is>
          <t>Learn the basics of Go programming with ease in this interactive and practical course. This course will provide a good base to building real world applications in go.</t>
        </is>
      </c>
      <c r="D453" s="4" t="inlineStr">
        <is>
          <t>Loops - Concept &amp; Practice</t>
        </is>
      </c>
      <c r="E453" s="4" t="n">
        <v>24</v>
      </c>
      <c r="F453" s="4" t="inlineStr">
        <is>
          <t>Rearrange Code</t>
        </is>
      </c>
      <c r="G453" s="4" t="inlineStr">
        <is>
          <t>GOPRACREARR3</t>
        </is>
      </c>
      <c r="H453" s="4" t="inlineStr"/>
      <c r="I453" s="4" t="inlineStr">
        <is>
          <t>Easy</t>
        </is>
      </c>
      <c r="J453" s="5">
        <f>HYPERLINK("https://www.codechef.com/problems/GOPRACREARR3", "https://www.codechef.com/problems/GOPRACREARR3")</f>
        <v/>
      </c>
      <c r="K453" s="4" t="inlineStr"/>
      <c r="L453" s="4" t="inlineStr"/>
      <c r="M453" s="4" t="inlineStr"/>
      <c r="N453" s="4" t="inlineStr">
        <is>
          <t>No</t>
        </is>
      </c>
      <c r="O453" s="4" t="inlineStr">
        <is>
          <t>Unattempted</t>
        </is>
      </c>
    </row>
    <row r="454">
      <c r="A454" s="2" t="inlineStr">
        <is>
          <t>Other Practice Paths</t>
        </is>
      </c>
      <c r="B454" s="2" t="inlineStr">
        <is>
          <t>Practice Go</t>
        </is>
      </c>
      <c r="C454" s="2" t="inlineStr">
        <is>
          <t>Learn the basics of Go programming with ease in this interactive and practical course. This course will provide a good base to building real world applications in go.</t>
        </is>
      </c>
      <c r="D454" s="2" t="inlineStr">
        <is>
          <t>Loops - Concept &amp; Practice</t>
        </is>
      </c>
      <c r="E454" s="2" t="n">
        <v>25</v>
      </c>
      <c r="F454" s="2" t="inlineStr">
        <is>
          <t>Add Two Numbers</t>
        </is>
      </c>
      <c r="G454" s="2" t="inlineStr">
        <is>
          <t>FLOW001</t>
        </is>
      </c>
      <c r="H454" s="2" t="inlineStr">
        <is>
          <t>242</t>
        </is>
      </c>
      <c r="I454" s="2" t="inlineStr">
        <is>
          <t>Easy</t>
        </is>
      </c>
      <c r="J454" s="3">
        <f>HYPERLINK("https://www.codechef.com/problems/FLOW001", "https://www.codechef.com/problems/FLOW001")</f>
        <v/>
      </c>
      <c r="K454" s="2" t="inlineStr"/>
      <c r="L454" s="2" t="inlineStr">
        <is>
          <t>Algorithms, Implementation</t>
        </is>
      </c>
      <c r="M454" s="2" t="inlineStr"/>
      <c r="N454" s="2" t="inlineStr">
        <is>
          <t>No</t>
        </is>
      </c>
      <c r="O454" s="2" t="inlineStr">
        <is>
          <t>Unattempted</t>
        </is>
      </c>
    </row>
    <row r="455">
      <c r="A455" s="4" t="inlineStr">
        <is>
          <t>Other Practice Paths</t>
        </is>
      </c>
      <c r="B455" s="4" t="inlineStr">
        <is>
          <t>Practice Go</t>
        </is>
      </c>
      <c r="C455" s="4" t="inlineStr">
        <is>
          <t>Learn the basics of Go programming with ease in this interactive and practical course. This course will provide a good base to building real world applications in go.</t>
        </is>
      </c>
      <c r="D455" s="4" t="inlineStr">
        <is>
          <t>Loops - Concept &amp; Practice</t>
        </is>
      </c>
      <c r="E455" s="4" t="n">
        <v>26</v>
      </c>
      <c r="F455" s="4" t="inlineStr">
        <is>
          <t>Multiple Choice Question</t>
        </is>
      </c>
      <c r="G455" s="4" t="inlineStr">
        <is>
          <t>GOPRACMCQ11</t>
        </is>
      </c>
      <c r="H455" s="4" t="inlineStr"/>
      <c r="I455" s="4" t="inlineStr">
        <is>
          <t>Easy</t>
        </is>
      </c>
      <c r="J455" s="5">
        <f>HYPERLINK("https://www.codechef.com/problems/GOPRACMCQ11", "https://www.codechef.com/problems/GOPRACMCQ11")</f>
        <v/>
      </c>
      <c r="K455" s="4" t="inlineStr"/>
      <c r="L455" s="4" t="inlineStr"/>
      <c r="M455" s="4" t="inlineStr"/>
      <c r="N455" s="4" t="inlineStr">
        <is>
          <t>No</t>
        </is>
      </c>
      <c r="O455" s="4" t="inlineStr">
        <is>
          <t>Unattempted</t>
        </is>
      </c>
    </row>
    <row r="456">
      <c r="A456" s="2" t="inlineStr">
        <is>
          <t>Other Practice Paths</t>
        </is>
      </c>
      <c r="B456" s="2" t="inlineStr">
        <is>
          <t>Practice Go</t>
        </is>
      </c>
      <c r="C456" s="2" t="inlineStr">
        <is>
          <t>Learn the basics of Go programming with ease in this interactive and practical course. This course will provide a good base to building real world applications in go.</t>
        </is>
      </c>
      <c r="D456" s="2" t="inlineStr">
        <is>
          <t>Loops - Concept &amp; Practice</t>
        </is>
      </c>
      <c r="E456" s="2" t="n">
        <v>27</v>
      </c>
      <c r="F456" s="2" t="inlineStr">
        <is>
          <t>Good Turn</t>
        </is>
      </c>
      <c r="G456" s="2" t="inlineStr">
        <is>
          <t>GDTURN</t>
        </is>
      </c>
      <c r="H456" s="2" t="inlineStr">
        <is>
          <t>238</t>
        </is>
      </c>
      <c r="I456" s="2" t="inlineStr">
        <is>
          <t>Easy</t>
        </is>
      </c>
      <c r="J456" s="3">
        <f>HYPERLINK("https://www.codechef.com/problems/GDTURN", "https://www.codechef.com/problems/GDTURN")</f>
        <v/>
      </c>
      <c r="K456" s="2" t="inlineStr"/>
      <c r="L456" s="2" t="inlineStr">
        <is>
          <t>Basic Programming Concepts, Conditional Statements</t>
        </is>
      </c>
      <c r="M456" s="2" t="inlineStr"/>
      <c r="N456" s="2" t="inlineStr">
        <is>
          <t>No</t>
        </is>
      </c>
      <c r="O456" s="2" t="inlineStr">
        <is>
          <t>Unattempted</t>
        </is>
      </c>
    </row>
    <row r="457">
      <c r="A457" s="4" t="inlineStr">
        <is>
          <t>Other Practice Paths</t>
        </is>
      </c>
      <c r="B457" s="4" t="inlineStr">
        <is>
          <t>Practice Go</t>
        </is>
      </c>
      <c r="C457" s="4" t="inlineStr">
        <is>
          <t>Learn the basics of Go programming with ease in this interactive and practical course. This course will provide a good base to building real world applications in go.</t>
        </is>
      </c>
      <c r="D457" s="4" t="inlineStr">
        <is>
          <t>Loops - Concept &amp; Practice</t>
        </is>
      </c>
      <c r="E457" s="4" t="n">
        <v>28</v>
      </c>
      <c r="F457" s="4" t="inlineStr">
        <is>
          <t>Multiple Choice Question</t>
        </is>
      </c>
      <c r="G457" s="4" t="inlineStr">
        <is>
          <t>GOPRACMCQ10</t>
        </is>
      </c>
      <c r="H457" s="4" t="inlineStr"/>
      <c r="I457" s="4" t="inlineStr">
        <is>
          <t>Easy</t>
        </is>
      </c>
      <c r="J457" s="5">
        <f>HYPERLINK("https://www.codechef.com/problems/GOPRACMCQ10", "https://www.codechef.com/problems/GOPRACMCQ10")</f>
        <v/>
      </c>
      <c r="K457" s="4" t="inlineStr"/>
      <c r="L457" s="4" t="inlineStr"/>
      <c r="M457" s="4" t="inlineStr"/>
      <c r="N457" s="4" t="inlineStr">
        <is>
          <t>No</t>
        </is>
      </c>
      <c r="O457" s="4" t="inlineStr">
        <is>
          <t>Unattempted</t>
        </is>
      </c>
    </row>
    <row r="458">
      <c r="A458" s="2" t="inlineStr">
        <is>
          <t>Other Practice Paths</t>
        </is>
      </c>
      <c r="B458" s="2" t="inlineStr">
        <is>
          <t>Practice Go</t>
        </is>
      </c>
      <c r="C458" s="2" t="inlineStr">
        <is>
          <t>Learn the basics of Go programming with ease in this interactive and practical course. This course will provide a good base to building real world applications in go.</t>
        </is>
      </c>
      <c r="D458" s="2" t="inlineStr">
        <is>
          <t>Loops - Concept &amp; Practice</t>
        </is>
      </c>
      <c r="E458" s="2" t="n">
        <v>29</v>
      </c>
      <c r="F458" s="2" t="inlineStr">
        <is>
          <t>Water Consumption</t>
        </is>
      </c>
      <c r="G458" s="2" t="inlineStr">
        <is>
          <t>WATERCONS</t>
        </is>
      </c>
      <c r="H458" s="2" t="inlineStr">
        <is>
          <t>254</t>
        </is>
      </c>
      <c r="I458" s="2" t="inlineStr">
        <is>
          <t>Easy</t>
        </is>
      </c>
      <c r="J458" s="3">
        <f>HYPERLINK("https://www.codechef.com/problems/WATERCONS", "https://www.codechef.com/problems/WATERCONS")</f>
        <v/>
      </c>
      <c r="K458" s="2" t="inlineStr"/>
      <c r="L458" s="2" t="inlineStr"/>
      <c r="M458" s="2" t="inlineStr"/>
      <c r="N458" s="2" t="inlineStr">
        <is>
          <t>No</t>
        </is>
      </c>
      <c r="O458" s="2" t="inlineStr">
        <is>
          <t>Unattempted</t>
        </is>
      </c>
    </row>
    <row r="459">
      <c r="A459" s="4" t="inlineStr">
        <is>
          <t>Other Practice Paths</t>
        </is>
      </c>
      <c r="B459" s="4" t="inlineStr">
        <is>
          <t>Practice Go</t>
        </is>
      </c>
      <c r="C459" s="4" t="inlineStr">
        <is>
          <t>Learn the basics of Go programming with ease in this interactive and practical course. This course will provide a good base to building real world applications in go.</t>
        </is>
      </c>
      <c r="D459" s="4" t="inlineStr">
        <is>
          <t>Loops - Additional practice</t>
        </is>
      </c>
      <c r="E459" s="4" t="n">
        <v>30</v>
      </c>
      <c r="F459" s="4" t="inlineStr">
        <is>
          <t>Multiple Choice Question</t>
        </is>
      </c>
      <c r="G459" s="4" t="inlineStr">
        <is>
          <t>GOPRACMCQ12</t>
        </is>
      </c>
      <c r="H459" s="4" t="inlineStr"/>
      <c r="I459" s="4" t="inlineStr">
        <is>
          <t>Easy</t>
        </is>
      </c>
      <c r="J459" s="5">
        <f>HYPERLINK("https://www.codechef.com/problems/GOPRACMCQ12", "https://www.codechef.com/problems/GOPRACMCQ12")</f>
        <v/>
      </c>
      <c r="K459" s="4" t="inlineStr"/>
      <c r="L459" s="4" t="inlineStr"/>
      <c r="M459" s="4" t="inlineStr"/>
      <c r="N459" s="4" t="inlineStr">
        <is>
          <t>No</t>
        </is>
      </c>
      <c r="O459" s="4" t="inlineStr">
        <is>
          <t>Unattempted</t>
        </is>
      </c>
    </row>
    <row r="460">
      <c r="A460" s="2" t="inlineStr">
        <is>
          <t>Other Practice Paths</t>
        </is>
      </c>
      <c r="B460" s="2" t="inlineStr">
        <is>
          <t>Practice Go</t>
        </is>
      </c>
      <c r="C460" s="2" t="inlineStr">
        <is>
          <t>Learn the basics of Go programming with ease in this interactive and practical course. This course will provide a good base to building real world applications in go.</t>
        </is>
      </c>
      <c r="D460" s="2" t="inlineStr">
        <is>
          <t>Loops - Additional practice</t>
        </is>
      </c>
      <c r="E460" s="2" t="n">
        <v>31</v>
      </c>
      <c r="F460" s="2" t="inlineStr">
        <is>
          <t>Age Limit</t>
        </is>
      </c>
      <c r="G460" s="2" t="inlineStr">
        <is>
          <t>AGELIMIT</t>
        </is>
      </c>
      <c r="H460" s="2" t="inlineStr">
        <is>
          <t>245</t>
        </is>
      </c>
      <c r="I460" s="2" t="inlineStr">
        <is>
          <t>Easy</t>
        </is>
      </c>
      <c r="J460" s="3">
        <f>HYPERLINK("https://www.codechef.com/problems/AGELIMIT", "https://www.codechef.com/problems/AGELIMIT")</f>
        <v/>
      </c>
      <c r="K460" s="2" t="inlineStr"/>
      <c r="L460" s="2" t="inlineStr"/>
      <c r="M460" s="2" t="inlineStr"/>
      <c r="N460" s="2" t="inlineStr">
        <is>
          <t>No</t>
        </is>
      </c>
      <c r="O460" s="2" t="inlineStr">
        <is>
          <t>Unattempted</t>
        </is>
      </c>
    </row>
    <row r="461">
      <c r="A461" s="4" t="inlineStr">
        <is>
          <t>Other Practice Paths</t>
        </is>
      </c>
      <c r="B461" s="4" t="inlineStr">
        <is>
          <t>Practice Go</t>
        </is>
      </c>
      <c r="C461" s="4" t="inlineStr">
        <is>
          <t>Learn the basics of Go programming with ease in this interactive and practical course. This course will provide a good base to building real world applications in go.</t>
        </is>
      </c>
      <c r="D461" s="4" t="inlineStr">
        <is>
          <t>Loops - Additional practice</t>
        </is>
      </c>
      <c r="E461" s="4" t="n">
        <v>32</v>
      </c>
      <c r="F461" s="4" t="inlineStr">
        <is>
          <t>Multiple Choice Question</t>
        </is>
      </c>
      <c r="G461" s="4" t="inlineStr">
        <is>
          <t>GOPRACMCQ13</t>
        </is>
      </c>
      <c r="H461" s="4" t="inlineStr"/>
      <c r="I461" s="4" t="inlineStr">
        <is>
          <t>Easy</t>
        </is>
      </c>
      <c r="J461" s="5">
        <f>HYPERLINK("https://www.codechef.com/problems/GOPRACMCQ13", "https://www.codechef.com/problems/GOPRACMCQ13")</f>
        <v/>
      </c>
      <c r="K461" s="4" t="inlineStr"/>
      <c r="L461" s="4" t="inlineStr"/>
      <c r="M461" s="4" t="inlineStr"/>
      <c r="N461" s="4" t="inlineStr">
        <is>
          <t>No</t>
        </is>
      </c>
      <c r="O461" s="4" t="inlineStr">
        <is>
          <t>Unattempted</t>
        </is>
      </c>
    </row>
    <row r="462">
      <c r="A462" s="2" t="inlineStr">
        <is>
          <t>Other Practice Paths</t>
        </is>
      </c>
      <c r="B462" s="2" t="inlineStr">
        <is>
          <t>Practice Go</t>
        </is>
      </c>
      <c r="C462" s="2" t="inlineStr">
        <is>
          <t>Learn the basics of Go programming with ease in this interactive and practical course. This course will provide a good base to building real world applications in go.</t>
        </is>
      </c>
      <c r="D462" s="2" t="inlineStr">
        <is>
          <t>Loops - Additional practice</t>
        </is>
      </c>
      <c r="E462" s="2" t="n">
        <v>33</v>
      </c>
      <c r="F462" s="2" t="inlineStr">
        <is>
          <t>Squats</t>
        </is>
      </c>
      <c r="G462" s="2" t="inlineStr">
        <is>
          <t>SQUATS</t>
        </is>
      </c>
      <c r="H462" s="2" t="inlineStr">
        <is>
          <t>249</t>
        </is>
      </c>
      <c r="I462" s="2" t="inlineStr">
        <is>
          <t>Easy</t>
        </is>
      </c>
      <c r="J462" s="3">
        <f>HYPERLINK("https://www.codechef.com/problems/SQUATS", "https://www.codechef.com/problems/SQUATS")</f>
        <v/>
      </c>
      <c r="K462" s="2" t="inlineStr"/>
      <c r="L462" s="2" t="inlineStr"/>
      <c r="M462" s="2" t="inlineStr"/>
      <c r="N462" s="2" t="inlineStr">
        <is>
          <t>No</t>
        </is>
      </c>
      <c r="O462" s="2" t="inlineStr">
        <is>
          <t>Unattempted</t>
        </is>
      </c>
    </row>
    <row r="463">
      <c r="A463" s="4" t="inlineStr">
        <is>
          <t>Other Practice Paths</t>
        </is>
      </c>
      <c r="B463" s="4" t="inlineStr">
        <is>
          <t>Practice for ZCO and INOI</t>
        </is>
      </c>
      <c r="C463" s="4" t="inlineStr">
        <is>
          <t>Prepare for ZCO and INOI via specially curated practice problems and past exam problems. Read our roadmap - https://www.codechef.com/blogs/prepare-for-zco-inoi-ioi-exam</t>
        </is>
      </c>
      <c r="D463" s="4" t="inlineStr">
        <is>
          <t>Practice problems - IARCS OPC Problems</t>
        </is>
      </c>
      <c r="E463" s="4" t="n">
        <v>1</v>
      </c>
      <c r="F463" s="4" t="inlineStr">
        <is>
          <t>Lead Game</t>
        </is>
      </c>
      <c r="G463" s="4" t="inlineStr">
        <is>
          <t>LEADGAME</t>
        </is>
      </c>
      <c r="H463" s="4" t="inlineStr"/>
      <c r="I463" s="4" t="inlineStr">
        <is>
          <t>Easy</t>
        </is>
      </c>
      <c r="J463" s="5">
        <f>HYPERLINK("https://www.codechef.com/problems/LEADGAME", "https://www.codechef.com/problems/LEADGAME")</f>
        <v/>
      </c>
      <c r="K463" s="4" t="inlineStr"/>
      <c r="L463" s="4" t="inlineStr"/>
      <c r="M463" s="4" t="inlineStr"/>
      <c r="N463" s="4" t="inlineStr">
        <is>
          <t>No</t>
        </is>
      </c>
      <c r="O463" s="4" t="inlineStr">
        <is>
          <t>Unattempted</t>
        </is>
      </c>
    </row>
    <row r="464">
      <c r="A464" s="2" t="inlineStr">
        <is>
          <t>Other Practice Paths</t>
        </is>
      </c>
      <c r="B464" s="2" t="inlineStr">
        <is>
          <t>Practice for ZCO and INOI</t>
        </is>
      </c>
      <c r="C464" s="2" t="inlineStr">
        <is>
          <t>Prepare for ZCO and INOI via specially curated practice problems and past exam problems. Read our roadmap - https://www.codechef.com/blogs/prepare-for-zco-inoi-ioi-exam</t>
        </is>
      </c>
      <c r="D464" s="2" t="inlineStr">
        <is>
          <t>Practice problems - IARCS OPC Problems</t>
        </is>
      </c>
      <c r="E464" s="2" t="n">
        <v>2</v>
      </c>
      <c r="F464" s="2" t="inlineStr">
        <is>
          <t>List of Books</t>
        </is>
      </c>
      <c r="G464" s="2" t="inlineStr">
        <is>
          <t>BOOKLIST</t>
        </is>
      </c>
      <c r="H464" s="2" t="inlineStr"/>
      <c r="I464" s="2" t="inlineStr">
        <is>
          <t>Hard</t>
        </is>
      </c>
      <c r="J464" s="3">
        <f>HYPERLINK("https://www.codechef.com/problems/BOOKLIST", "https://www.codechef.com/problems/BOOKLIST")</f>
        <v/>
      </c>
      <c r="K464" s="2" t="inlineStr"/>
      <c r="L464" s="2" t="inlineStr"/>
      <c r="M464" s="2" t="inlineStr"/>
      <c r="N464" s="2" t="inlineStr">
        <is>
          <t>No</t>
        </is>
      </c>
      <c r="O464" s="2" t="inlineStr">
        <is>
          <t>Unattempted</t>
        </is>
      </c>
    </row>
    <row r="465">
      <c r="A465" s="4" t="inlineStr">
        <is>
          <t>Other Practice Paths</t>
        </is>
      </c>
      <c r="B465" s="4" t="inlineStr">
        <is>
          <t>Practice for ZCO and INOI</t>
        </is>
      </c>
      <c r="C465" s="4" t="inlineStr">
        <is>
          <t>Prepare for ZCO and INOI via specially curated practice problems and past exam problems. Read our roadmap - https://www.codechef.com/blogs/prepare-for-zco-inoi-ioi-exam</t>
        </is>
      </c>
      <c r="D465" s="4" t="inlineStr">
        <is>
          <t>Practice problems - IARCS OPC Problems</t>
        </is>
      </c>
      <c r="E465" s="4" t="n">
        <v>3</v>
      </c>
      <c r="F465" s="4" t="inlineStr">
        <is>
          <t>Longest Palindrome</t>
        </is>
      </c>
      <c r="G465" s="4" t="inlineStr">
        <is>
          <t>LONGPALI</t>
        </is>
      </c>
      <c r="H465" s="4" t="inlineStr"/>
      <c r="I465" s="4" t="inlineStr">
        <is>
          <t>Hard</t>
        </is>
      </c>
      <c r="J465" s="5">
        <f>HYPERLINK("https://www.codechef.com/problems/LONGPALI", "https://www.codechef.com/problems/LONGPALI")</f>
        <v/>
      </c>
      <c r="K465" s="4" t="inlineStr"/>
      <c r="L465" s="4" t="inlineStr"/>
      <c r="M465" s="4" t="inlineStr"/>
      <c r="N465" s="4" t="inlineStr">
        <is>
          <t>No</t>
        </is>
      </c>
      <c r="O465" s="4" t="inlineStr">
        <is>
          <t>Unattempted</t>
        </is>
      </c>
    </row>
    <row r="466">
      <c r="A466" s="2" t="inlineStr">
        <is>
          <t>Other Practice Paths</t>
        </is>
      </c>
      <c r="B466" s="2" t="inlineStr">
        <is>
          <t>Practice for ZCO and INOI</t>
        </is>
      </c>
      <c r="C466" s="2" t="inlineStr">
        <is>
          <t>Prepare for ZCO and INOI via specially curated practice problems and past exam problems. Read our roadmap - https://www.codechef.com/blogs/prepare-for-zco-inoi-ioi-exam</t>
        </is>
      </c>
      <c r="D466" s="2" t="inlineStr">
        <is>
          <t>Practice problems - IARCS OPC Problems</t>
        </is>
      </c>
      <c r="E466" s="2" t="n">
        <v>4</v>
      </c>
      <c r="F466" s="2" t="inlineStr">
        <is>
          <t>End of Corruption</t>
        </is>
      </c>
      <c r="G466" s="2" t="inlineStr">
        <is>
          <t>ENDCORR</t>
        </is>
      </c>
      <c r="H466" s="2" t="inlineStr"/>
      <c r="I466" s="2" t="inlineStr">
        <is>
          <t>Medium</t>
        </is>
      </c>
      <c r="J466" s="3">
        <f>HYPERLINK("https://www.codechef.com/problems/ENDCORR", "https://www.codechef.com/problems/ENDCORR")</f>
        <v/>
      </c>
      <c r="K466" s="2" t="inlineStr"/>
      <c r="L466" s="2" t="inlineStr"/>
      <c r="M466" s="2" t="inlineStr"/>
      <c r="N466" s="2" t="inlineStr">
        <is>
          <t>No</t>
        </is>
      </c>
      <c r="O466" s="2" t="inlineStr">
        <is>
          <t>Unattempted</t>
        </is>
      </c>
    </row>
    <row r="467">
      <c r="A467" s="4" t="inlineStr">
        <is>
          <t>Other Practice Paths</t>
        </is>
      </c>
      <c r="B467" s="4" t="inlineStr">
        <is>
          <t>Practice for ZCO and INOI</t>
        </is>
      </c>
      <c r="C467" s="4" t="inlineStr">
        <is>
          <t>Prepare for ZCO and INOI via specially curated practice problems and past exam problems. Read our roadmap - https://www.codechef.com/blogs/prepare-for-zco-inoi-ioi-exam</t>
        </is>
      </c>
      <c r="D467" s="4" t="inlineStr">
        <is>
          <t>Practice problems - IARCS OPC Problems</t>
        </is>
      </c>
      <c r="E467" s="4" t="n">
        <v>5</v>
      </c>
      <c r="F467" s="4" t="inlineStr">
        <is>
          <t>Discrepancies in the Voters List</t>
        </is>
      </c>
      <c r="G467" s="4" t="inlineStr">
        <is>
          <t>VOTERSDI</t>
        </is>
      </c>
      <c r="H467" s="4" t="inlineStr"/>
      <c r="I467" s="4" t="inlineStr">
        <is>
          <t>Medium</t>
        </is>
      </c>
      <c r="J467" s="5">
        <f>HYPERLINK("https://www.codechef.com/problems/VOTERSDI", "https://www.codechef.com/problems/VOTERSDI")</f>
        <v/>
      </c>
      <c r="K467" s="4" t="inlineStr"/>
      <c r="L467" s="4" t="inlineStr"/>
      <c r="M467" s="4" t="inlineStr"/>
      <c r="N467" s="4" t="inlineStr">
        <is>
          <t>No</t>
        </is>
      </c>
      <c r="O467" s="4" t="inlineStr">
        <is>
          <t>Unattempted</t>
        </is>
      </c>
    </row>
    <row r="468">
      <c r="A468" s="2" t="inlineStr">
        <is>
          <t>Other Practice Paths</t>
        </is>
      </c>
      <c r="B468" s="2" t="inlineStr">
        <is>
          <t>Practice for ZCO and INOI</t>
        </is>
      </c>
      <c r="C468" s="2" t="inlineStr">
        <is>
          <t>Prepare for ZCO and INOI via specially curated practice problems and past exam problems. Read our roadmap - https://www.codechef.com/blogs/prepare-for-zco-inoi-ioi-exam</t>
        </is>
      </c>
      <c r="D468" s="2" t="inlineStr">
        <is>
          <t>Practice problems - IARCS OPC Problems</t>
        </is>
      </c>
      <c r="E468" s="2" t="n">
        <v>6</v>
      </c>
      <c r="F468" s="2" t="inlineStr">
        <is>
          <t>Reverse</t>
        </is>
      </c>
      <c r="G468" s="2" t="inlineStr">
        <is>
          <t>IAREVERS</t>
        </is>
      </c>
      <c r="H468" s="2" t="inlineStr"/>
      <c r="I468" s="2" t="inlineStr">
        <is>
          <t>Medium</t>
        </is>
      </c>
      <c r="J468" s="3">
        <f>HYPERLINK("https://www.codechef.com/problems/IAREVERS", "https://www.codechef.com/problems/IAREVERS")</f>
        <v/>
      </c>
      <c r="K468" s="2" t="inlineStr"/>
      <c r="L468" s="2" t="inlineStr"/>
      <c r="M468" s="2" t="inlineStr"/>
      <c r="N468" s="2" t="inlineStr">
        <is>
          <t>No</t>
        </is>
      </c>
      <c r="O468" s="2" t="inlineStr">
        <is>
          <t>Unattempted</t>
        </is>
      </c>
    </row>
    <row r="469">
      <c r="A469" s="4" t="inlineStr">
        <is>
          <t>Other Practice Paths</t>
        </is>
      </c>
      <c r="B469" s="4" t="inlineStr">
        <is>
          <t>Practice for ZCO and INOI</t>
        </is>
      </c>
      <c r="C469" s="4" t="inlineStr">
        <is>
          <t>Prepare for ZCO and INOI via specially curated practice problems and past exam problems. Read our roadmap - https://www.codechef.com/blogs/prepare-for-zco-inoi-ioi-exam</t>
        </is>
      </c>
      <c r="D469" s="4" t="inlineStr">
        <is>
          <t>Practice problems - IARCS OPC Problems</t>
        </is>
      </c>
      <c r="E469" s="4" t="n">
        <v>7</v>
      </c>
      <c r="F469" s="4" t="inlineStr">
        <is>
          <t>Zero One Tiles</t>
        </is>
      </c>
      <c r="G469" s="4" t="inlineStr">
        <is>
          <t>TILES01</t>
        </is>
      </c>
      <c r="H469" s="4" t="inlineStr"/>
      <c r="I469" s="4" t="inlineStr">
        <is>
          <t>Medium</t>
        </is>
      </c>
      <c r="J469" s="5">
        <f>HYPERLINK("https://www.codechef.com/problems/TILES01", "https://www.codechef.com/problems/TILES01")</f>
        <v/>
      </c>
      <c r="K469" s="4" t="inlineStr"/>
      <c r="L469" s="4" t="inlineStr"/>
      <c r="M469" s="4" t="inlineStr"/>
      <c r="N469" s="4" t="inlineStr">
        <is>
          <t>No</t>
        </is>
      </c>
      <c r="O469" s="4" t="inlineStr">
        <is>
          <t>Unattempted</t>
        </is>
      </c>
    </row>
    <row r="470">
      <c r="A470" s="2" t="inlineStr">
        <is>
          <t>Other Practice Paths</t>
        </is>
      </c>
      <c r="B470" s="2" t="inlineStr">
        <is>
          <t>Practice for ZCO and INOI</t>
        </is>
      </c>
      <c r="C470" s="2" t="inlineStr">
        <is>
          <t>Prepare for ZCO and INOI via specially curated practice problems and past exam problems. Read our roadmap - https://www.codechef.com/blogs/prepare-for-zco-inoi-ioi-exam</t>
        </is>
      </c>
      <c r="D470" s="2" t="inlineStr">
        <is>
          <t>Practice problems - IARCS OPC Problems</t>
        </is>
      </c>
      <c r="E470" s="2" t="n">
        <v>8</v>
      </c>
      <c r="F470" s="2" t="inlineStr">
        <is>
          <t>Next Permutation</t>
        </is>
      </c>
      <c r="G470" s="2" t="inlineStr">
        <is>
          <t>NEXTPERM</t>
        </is>
      </c>
      <c r="H470" s="2" t="inlineStr"/>
      <c r="I470" s="2" t="inlineStr">
        <is>
          <t>Hard</t>
        </is>
      </c>
      <c r="J470" s="3">
        <f>HYPERLINK("https://www.codechef.com/problems/NEXTPERM", "https://www.codechef.com/problems/NEXTPERM")</f>
        <v/>
      </c>
      <c r="K470" s="2" t="inlineStr"/>
      <c r="L470" s="2" t="inlineStr"/>
      <c r="M470" s="2" t="inlineStr"/>
      <c r="N470" s="2" t="inlineStr">
        <is>
          <t>No</t>
        </is>
      </c>
      <c r="O470" s="2" t="inlineStr">
        <is>
          <t>Unattempted</t>
        </is>
      </c>
    </row>
    <row r="471">
      <c r="A471" s="4" t="inlineStr">
        <is>
          <t>Other Practice Paths</t>
        </is>
      </c>
      <c r="B471" s="4" t="inlineStr">
        <is>
          <t>Practice for ZCO and INOI</t>
        </is>
      </c>
      <c r="C471" s="4" t="inlineStr">
        <is>
          <t>Prepare for ZCO and INOI via specially curated practice problems and past exam problems. Read our roadmap - https://www.codechef.com/blogs/prepare-for-zco-inoi-ioi-exam</t>
        </is>
      </c>
      <c r="D471" s="4" t="inlineStr">
        <is>
          <t>Practice problems - IARCS OPC Problems</t>
        </is>
      </c>
      <c r="E471" s="4" t="n">
        <v>9</v>
      </c>
      <c r="F471" s="4" t="inlineStr">
        <is>
          <t>Sorting Rows of Numbers</t>
        </is>
      </c>
      <c r="G471" s="4" t="inlineStr">
        <is>
          <t>SORTROWS</t>
        </is>
      </c>
      <c r="H471" s="4" t="inlineStr"/>
      <c r="I471" s="4" t="inlineStr">
        <is>
          <t>Medium</t>
        </is>
      </c>
      <c r="J471" s="5">
        <f>HYPERLINK("https://www.codechef.com/problems/SORTROWS", "https://www.codechef.com/problems/SORTROWS")</f>
        <v/>
      </c>
      <c r="K471" s="4" t="inlineStr"/>
      <c r="L471" s="4" t="inlineStr"/>
      <c r="M471" s="4" t="inlineStr"/>
      <c r="N471" s="4" t="inlineStr">
        <is>
          <t>No</t>
        </is>
      </c>
      <c r="O471" s="4" t="inlineStr">
        <is>
          <t>Unattempted</t>
        </is>
      </c>
    </row>
    <row r="472">
      <c r="A472" s="2" t="inlineStr">
        <is>
          <t>Other Practice Paths</t>
        </is>
      </c>
      <c r="B472" s="2" t="inlineStr">
        <is>
          <t>Practice for ZCO and INOI</t>
        </is>
      </c>
      <c r="C472" s="2" t="inlineStr">
        <is>
          <t>Prepare for ZCO and INOI via specially curated practice problems and past exam problems. Read our roadmap - https://www.codechef.com/blogs/prepare-for-zco-inoi-ioi-exam</t>
        </is>
      </c>
      <c r="D472" s="2" t="inlineStr">
        <is>
          <t>Practice problems - IARCS OPC Problems</t>
        </is>
      </c>
      <c r="E472" s="2" t="n">
        <v>10</v>
      </c>
      <c r="F472" s="2" t="inlineStr">
        <is>
          <t>Whats the Rank</t>
        </is>
      </c>
      <c r="G472" s="2" t="inlineStr">
        <is>
          <t>IARANK</t>
        </is>
      </c>
      <c r="H472" s="2" t="inlineStr"/>
      <c r="I472" s="2" t="inlineStr">
        <is>
          <t>Hard</t>
        </is>
      </c>
      <c r="J472" s="3">
        <f>HYPERLINK("https://www.codechef.com/problems/IARANK", "https://www.codechef.com/problems/IARANK")</f>
        <v/>
      </c>
      <c r="K472" s="2" t="inlineStr"/>
      <c r="L472" s="2" t="inlineStr"/>
      <c r="M472" s="2" t="inlineStr"/>
      <c r="N472" s="2" t="inlineStr">
        <is>
          <t>No</t>
        </is>
      </c>
      <c r="O472" s="2" t="inlineStr">
        <is>
          <t>Unattempted</t>
        </is>
      </c>
    </row>
    <row r="473">
      <c r="A473" s="4" t="inlineStr">
        <is>
          <t>Other Practice Paths</t>
        </is>
      </c>
      <c r="B473" s="4" t="inlineStr">
        <is>
          <t>Practice for ZCO and INOI</t>
        </is>
      </c>
      <c r="C473" s="4" t="inlineStr">
        <is>
          <t>Prepare for ZCO and INOI via specially curated practice problems and past exam problems. Read our roadmap - https://www.codechef.com/blogs/prepare-for-zco-inoi-ioi-exam</t>
        </is>
      </c>
      <c r="D473" s="4" t="inlineStr">
        <is>
          <t>Practice problems - IARCS OPC Problems</t>
        </is>
      </c>
      <c r="E473" s="4" t="n">
        <v>11</v>
      </c>
      <c r="F473" s="4" t="inlineStr">
        <is>
          <t>Dividing Sequences</t>
        </is>
      </c>
      <c r="G473" s="4" t="inlineStr">
        <is>
          <t>DIVSEQ</t>
        </is>
      </c>
      <c r="H473" s="4" t="inlineStr"/>
      <c r="I473" s="4" t="inlineStr">
        <is>
          <t>Hard</t>
        </is>
      </c>
      <c r="J473" s="5">
        <f>HYPERLINK("https://www.codechef.com/problems/DIVSEQ", "https://www.codechef.com/problems/DIVSEQ")</f>
        <v/>
      </c>
      <c r="K473" s="4" t="inlineStr"/>
      <c r="L473" s="4" t="inlineStr"/>
      <c r="M473" s="4" t="inlineStr"/>
      <c r="N473" s="4" t="inlineStr">
        <is>
          <t>No</t>
        </is>
      </c>
      <c r="O473" s="4" t="inlineStr">
        <is>
          <t>Unattempted</t>
        </is>
      </c>
    </row>
    <row r="474">
      <c r="A474" s="2" t="inlineStr">
        <is>
          <t>Other Practice Paths</t>
        </is>
      </c>
      <c r="B474" s="2" t="inlineStr">
        <is>
          <t>Practice for ZCO and INOI</t>
        </is>
      </c>
      <c r="C474" s="2" t="inlineStr">
        <is>
          <t>Prepare for ZCO and INOI via specially curated practice problems and past exam problems. Read our roadmap - https://www.codechef.com/blogs/prepare-for-zco-inoi-ioi-exam</t>
        </is>
      </c>
      <c r="D474" s="2" t="inlineStr">
        <is>
          <t>Practice problems - IARCS OPC Problems</t>
        </is>
      </c>
      <c r="E474" s="2" t="n">
        <v>12</v>
      </c>
      <c r="F474" s="2" t="inlineStr">
        <is>
          <t>Average</t>
        </is>
      </c>
      <c r="G474" s="2" t="inlineStr">
        <is>
          <t>AVERAGE</t>
        </is>
      </c>
      <c r="H474" s="2" t="inlineStr"/>
      <c r="I474" s="2" t="inlineStr">
        <is>
          <t>Medium</t>
        </is>
      </c>
      <c r="J474" s="3">
        <f>HYPERLINK("https://www.codechef.com/problems/AVERAGE", "https://www.codechef.com/problems/AVERAGE")</f>
        <v/>
      </c>
      <c r="K474" s="2" t="inlineStr"/>
      <c r="L474" s="2" t="inlineStr"/>
      <c r="M474" s="2" t="inlineStr"/>
      <c r="N474" s="2" t="inlineStr">
        <is>
          <t>No</t>
        </is>
      </c>
      <c r="O474" s="2" t="inlineStr">
        <is>
          <t>Unattempted</t>
        </is>
      </c>
    </row>
    <row r="475">
      <c r="A475" s="4" t="inlineStr">
        <is>
          <t>Other Practice Paths</t>
        </is>
      </c>
      <c r="B475" s="4" t="inlineStr">
        <is>
          <t>Practice for ZCO and INOI</t>
        </is>
      </c>
      <c r="C475" s="4" t="inlineStr">
        <is>
          <t>Prepare for ZCO and INOI via specially curated practice problems and past exam problems. Read our roadmap - https://www.codechef.com/blogs/prepare-for-zco-inoi-ioi-exam</t>
        </is>
      </c>
      <c r="D475" s="4" t="inlineStr">
        <is>
          <t>Practice problems - IARCS OPC Problems</t>
        </is>
      </c>
      <c r="E475" s="4" t="n">
        <v>13</v>
      </c>
      <c r="F475" s="4" t="inlineStr">
        <is>
          <t>Word List</t>
        </is>
      </c>
      <c r="G475" s="4" t="inlineStr">
        <is>
          <t>WORDLIST</t>
        </is>
      </c>
      <c r="H475" s="4" t="inlineStr"/>
      <c r="I475" s="4" t="inlineStr">
        <is>
          <t>Medium</t>
        </is>
      </c>
      <c r="J475" s="5">
        <f>HYPERLINK("https://www.codechef.com/problems/WORDLIST", "https://www.codechef.com/problems/WORDLIST")</f>
        <v/>
      </c>
      <c r="K475" s="4" t="inlineStr"/>
      <c r="L475" s="4" t="inlineStr"/>
      <c r="M475" s="4" t="inlineStr"/>
      <c r="N475" s="4" t="inlineStr">
        <is>
          <t>No</t>
        </is>
      </c>
      <c r="O475" s="4" t="inlineStr">
        <is>
          <t>Unattempted</t>
        </is>
      </c>
    </row>
    <row r="476">
      <c r="A476" s="2" t="inlineStr">
        <is>
          <t>Other Practice Paths</t>
        </is>
      </c>
      <c r="B476" s="2" t="inlineStr">
        <is>
          <t>Practice for ZCO and INOI</t>
        </is>
      </c>
      <c r="C476" s="2" t="inlineStr">
        <is>
          <t>Prepare for ZCO and INOI via specially curated practice problems and past exam problems. Read our roadmap - https://www.codechef.com/blogs/prepare-for-zco-inoi-ioi-exam</t>
        </is>
      </c>
      <c r="D476" s="2" t="inlineStr">
        <is>
          <t>Practice problems - IARCS OPC Problems</t>
        </is>
      </c>
      <c r="E476" s="2" t="n">
        <v>14</v>
      </c>
      <c r="F476" s="2" t="inlineStr">
        <is>
          <t>Permutation Cycles</t>
        </is>
      </c>
      <c r="G476" s="2" t="inlineStr">
        <is>
          <t>CYCLEPER</t>
        </is>
      </c>
      <c r="H476" s="2" t="inlineStr"/>
      <c r="I476" s="2" t="inlineStr">
        <is>
          <t>Medium</t>
        </is>
      </c>
      <c r="J476" s="3">
        <f>HYPERLINK("https://www.codechef.com/problems/CYCLEPER", "https://www.codechef.com/problems/CYCLEPER")</f>
        <v/>
      </c>
      <c r="K476" s="2" t="inlineStr"/>
      <c r="L476" s="2" t="inlineStr"/>
      <c r="M476" s="2" t="inlineStr"/>
      <c r="N476" s="2" t="inlineStr">
        <is>
          <t>No</t>
        </is>
      </c>
      <c r="O476" s="2" t="inlineStr">
        <is>
          <t>Unattempted</t>
        </is>
      </c>
    </row>
    <row r="477">
      <c r="A477" s="4" t="inlineStr">
        <is>
          <t>Other Practice Paths</t>
        </is>
      </c>
      <c r="B477" s="4" t="inlineStr">
        <is>
          <t>Practice for ZCO and INOI</t>
        </is>
      </c>
      <c r="C477" s="4" t="inlineStr">
        <is>
          <t>Prepare for ZCO and INOI via specially curated practice problems and past exam problems. Read our roadmap - https://www.codechef.com/blogs/prepare-for-zco-inoi-ioi-exam</t>
        </is>
      </c>
      <c r="D477" s="4" t="inlineStr">
        <is>
          <t>Practice problems - IARCS OPC Problems</t>
        </is>
      </c>
      <c r="E477" s="4" t="n">
        <v>15</v>
      </c>
      <c r="F477" s="4" t="inlineStr">
        <is>
          <t>The Great Escape</t>
        </is>
      </c>
      <c r="G477" s="4" t="inlineStr">
        <is>
          <t>GREATESC</t>
        </is>
      </c>
      <c r="H477" s="4" t="inlineStr"/>
      <c r="I477" s="4" t="inlineStr">
        <is>
          <t>Medium</t>
        </is>
      </c>
      <c r="J477" s="5">
        <f>HYPERLINK("https://www.codechef.com/problems/GREATESC", "https://www.codechef.com/problems/GREATESC")</f>
        <v/>
      </c>
      <c r="K477" s="4" t="inlineStr"/>
      <c r="L477" s="4" t="inlineStr"/>
      <c r="M477" s="4" t="inlineStr"/>
      <c r="N477" s="4" t="inlineStr">
        <is>
          <t>No</t>
        </is>
      </c>
      <c r="O477" s="4" t="inlineStr">
        <is>
          <t>Unattempted</t>
        </is>
      </c>
    </row>
    <row r="478">
      <c r="A478" s="2" t="inlineStr">
        <is>
          <t>Other Practice Paths</t>
        </is>
      </c>
      <c r="B478" s="2" t="inlineStr">
        <is>
          <t>Practice for ZCO and INOI</t>
        </is>
      </c>
      <c r="C478" s="2" t="inlineStr">
        <is>
          <t>Prepare for ZCO and INOI via specially curated practice problems and past exam problems. Read our roadmap - https://www.codechef.com/blogs/prepare-for-zco-inoi-ioi-exam</t>
        </is>
      </c>
      <c r="D478" s="2" t="inlineStr">
        <is>
          <t>Practice problems - IARCS OPC Problems</t>
        </is>
      </c>
      <c r="E478" s="2" t="n">
        <v>16</v>
      </c>
      <c r="F478" s="2" t="inlineStr">
        <is>
          <t>Number of Tilings</t>
        </is>
      </c>
      <c r="G478" s="2" t="inlineStr">
        <is>
          <t>TILINGS</t>
        </is>
      </c>
      <c r="H478" s="2" t="inlineStr"/>
      <c r="I478" s="2" t="inlineStr">
        <is>
          <t>Hard</t>
        </is>
      </c>
      <c r="J478" s="3">
        <f>HYPERLINK("https://www.codechef.com/problems/TILINGS", "https://www.codechef.com/problems/TILINGS")</f>
        <v/>
      </c>
      <c r="K478" s="2" t="inlineStr"/>
      <c r="L478" s="2" t="inlineStr"/>
      <c r="M478" s="2" t="inlineStr"/>
      <c r="N478" s="2" t="inlineStr">
        <is>
          <t>No</t>
        </is>
      </c>
      <c r="O478" s="2" t="inlineStr">
        <is>
          <t>Unattempted</t>
        </is>
      </c>
    </row>
    <row r="479">
      <c r="A479" s="4" t="inlineStr">
        <is>
          <t>Other Practice Paths</t>
        </is>
      </c>
      <c r="B479" s="4" t="inlineStr">
        <is>
          <t>Practice for ZCO and INOI</t>
        </is>
      </c>
      <c r="C479" s="4" t="inlineStr">
        <is>
          <t>Prepare for ZCO and INOI via specially curated practice problems and past exam problems. Read our roadmap - https://www.codechef.com/blogs/prepare-for-zco-inoi-ioi-exam</t>
        </is>
      </c>
      <c r="D479" s="4" t="inlineStr">
        <is>
          <t>Practice problems - IARCS OPC Problems</t>
        </is>
      </c>
      <c r="E479" s="4" t="n">
        <v>17</v>
      </c>
      <c r="F479" s="4" t="inlineStr">
        <is>
          <t>Find the Numbers</t>
        </is>
      </c>
      <c r="G479" s="4" t="inlineStr">
        <is>
          <t>FINDNUMS</t>
        </is>
      </c>
      <c r="H479" s="4" t="inlineStr"/>
      <c r="I479" s="4" t="inlineStr">
        <is>
          <t>Medium</t>
        </is>
      </c>
      <c r="J479" s="5">
        <f>HYPERLINK("https://www.codechef.com/problems/FINDNUMS", "https://www.codechef.com/problems/FINDNUMS")</f>
        <v/>
      </c>
      <c r="K479" s="4" t="inlineStr"/>
      <c r="L479" s="4" t="inlineStr"/>
      <c r="M479" s="4" t="inlineStr"/>
      <c r="N479" s="4" t="inlineStr">
        <is>
          <t>No</t>
        </is>
      </c>
      <c r="O479" s="4" t="inlineStr">
        <is>
          <t>Unattempted</t>
        </is>
      </c>
    </row>
    <row r="480">
      <c r="A480" s="2" t="inlineStr">
        <is>
          <t>Other Practice Paths</t>
        </is>
      </c>
      <c r="B480" s="2" t="inlineStr">
        <is>
          <t>Practice for ZCO and INOI</t>
        </is>
      </c>
      <c r="C480" s="2" t="inlineStr">
        <is>
          <t>Prepare for ZCO and INOI via specially curated practice problems and past exam problems. Read our roadmap - https://www.codechef.com/blogs/prepare-for-zco-inoi-ioi-exam</t>
        </is>
      </c>
      <c r="D480" s="2" t="inlineStr">
        <is>
          <t>Practice problems - IARCS OPC Problems</t>
        </is>
      </c>
      <c r="E480" s="2" t="n">
        <v>18</v>
      </c>
      <c r="F480" s="2" t="inlineStr">
        <is>
          <t>Repetition Free Numbers</t>
        </is>
      </c>
      <c r="G480" s="2" t="inlineStr">
        <is>
          <t>REPFREE</t>
        </is>
      </c>
      <c r="H480" s="2" t="inlineStr"/>
      <c r="I480" s="2" t="inlineStr">
        <is>
          <t>Hard</t>
        </is>
      </c>
      <c r="J480" s="3">
        <f>HYPERLINK("https://www.codechef.com/problems/REPFREE", "https://www.codechef.com/problems/REPFREE")</f>
        <v/>
      </c>
      <c r="K480" s="2" t="inlineStr"/>
      <c r="L480" s="2" t="inlineStr"/>
      <c r="M480" s="2" t="inlineStr"/>
      <c r="N480" s="2" t="inlineStr">
        <is>
          <t>No</t>
        </is>
      </c>
      <c r="O480" s="2" t="inlineStr">
        <is>
          <t>Unattempted</t>
        </is>
      </c>
    </row>
    <row r="481">
      <c r="A481" s="4" t="inlineStr">
        <is>
          <t>Other Practice Paths</t>
        </is>
      </c>
      <c r="B481" s="4" t="inlineStr">
        <is>
          <t>Practice for ZCO and INOI</t>
        </is>
      </c>
      <c r="C481" s="4" t="inlineStr">
        <is>
          <t>Prepare for ZCO and INOI via specially curated practice problems and past exam problems. Read our roadmap - https://www.codechef.com/blogs/prepare-for-zco-inoi-ioi-exam</t>
        </is>
      </c>
      <c r="D481" s="4" t="inlineStr">
        <is>
          <t>Practice problems - IARCS OPC Problems</t>
        </is>
      </c>
      <c r="E481" s="4" t="n">
        <v>19</v>
      </c>
      <c r="F481" s="4" t="inlineStr">
        <is>
          <t>Indraneels Pyramid</t>
        </is>
      </c>
      <c r="G481" s="4" t="inlineStr">
        <is>
          <t>PYRAMID</t>
        </is>
      </c>
      <c r="H481" s="4" t="inlineStr"/>
      <c r="I481" s="4" t="inlineStr">
        <is>
          <t>Medium</t>
        </is>
      </c>
      <c r="J481" s="5">
        <f>HYPERLINK("https://www.codechef.com/problems/PYRAMID", "https://www.codechef.com/problems/PYRAMID")</f>
        <v/>
      </c>
      <c r="K481" s="4" t="inlineStr"/>
      <c r="L481" s="4" t="inlineStr"/>
      <c r="M481" s="4" t="inlineStr"/>
      <c r="N481" s="4" t="inlineStr">
        <is>
          <t>No</t>
        </is>
      </c>
      <c r="O481" s="4" t="inlineStr">
        <is>
          <t>Unattempted</t>
        </is>
      </c>
    </row>
    <row r="482">
      <c r="A482" s="2" t="inlineStr">
        <is>
          <t>Other Practice Paths</t>
        </is>
      </c>
      <c r="B482" s="2" t="inlineStr">
        <is>
          <t>Practice for ZCO and INOI</t>
        </is>
      </c>
      <c r="C482" s="2" t="inlineStr">
        <is>
          <t>Prepare for ZCO and INOI via specially curated practice problems and past exam problems. Read our roadmap - https://www.codechef.com/blogs/prepare-for-zco-inoi-ioi-exam</t>
        </is>
      </c>
      <c r="D482" s="2" t="inlineStr">
        <is>
          <t>Practice problems - IARCS OPC Problems</t>
        </is>
      </c>
      <c r="E482" s="2" t="n">
        <v>20</v>
      </c>
      <c r="F482" s="2" t="inlineStr">
        <is>
          <t>The Siruseri Sports Stadium</t>
        </is>
      </c>
      <c r="G482" s="2" t="inlineStr">
        <is>
          <t>STADIUM</t>
        </is>
      </c>
      <c r="H482" s="2" t="inlineStr"/>
      <c r="I482" s="2" t="inlineStr">
        <is>
          <t>Hard</t>
        </is>
      </c>
      <c r="J482" s="3">
        <f>HYPERLINK("https://www.codechef.com/problems/STADIUM", "https://www.codechef.com/problems/STADIUM")</f>
        <v/>
      </c>
      <c r="K482" s="2" t="inlineStr"/>
      <c r="L482" s="2" t="inlineStr"/>
      <c r="M482" s="2" t="inlineStr"/>
      <c r="N482" s="2" t="inlineStr">
        <is>
          <t>No</t>
        </is>
      </c>
      <c r="O482" s="2" t="inlineStr">
        <is>
          <t>Unattempted</t>
        </is>
      </c>
    </row>
    <row r="483">
      <c r="A483" s="4" t="inlineStr">
        <is>
          <t>Other Practice Paths</t>
        </is>
      </c>
      <c r="B483" s="4" t="inlineStr">
        <is>
          <t>Practice for ZCO and INOI</t>
        </is>
      </c>
      <c r="C483" s="4" t="inlineStr">
        <is>
          <t>Prepare for ZCO and INOI via specially curated practice problems and past exam problems. Read our roadmap - https://www.codechef.com/blogs/prepare-for-zco-inoi-ioi-exam</t>
        </is>
      </c>
      <c r="D483" s="4" t="inlineStr">
        <is>
          <t>Practice problems - IARCS OPC Problems</t>
        </is>
      </c>
      <c r="E483" s="4" t="n">
        <v>21</v>
      </c>
      <c r="F483" s="4" t="inlineStr">
        <is>
          <t>Equal Gifts</t>
        </is>
      </c>
      <c r="G483" s="4" t="inlineStr">
        <is>
          <t>EQGIFTS</t>
        </is>
      </c>
      <c r="H483" s="4" t="inlineStr"/>
      <c r="I483" s="4" t="inlineStr">
        <is>
          <t>Hard</t>
        </is>
      </c>
      <c r="J483" s="5">
        <f>HYPERLINK("https://www.codechef.com/problems/EQGIFTS", "https://www.codechef.com/problems/EQGIFTS")</f>
        <v/>
      </c>
      <c r="K483" s="4" t="inlineStr"/>
      <c r="L483" s="4" t="inlineStr"/>
      <c r="M483" s="4" t="inlineStr"/>
      <c r="N483" s="4" t="inlineStr">
        <is>
          <t>No</t>
        </is>
      </c>
      <c r="O483" s="4" t="inlineStr">
        <is>
          <t>Unattempted</t>
        </is>
      </c>
    </row>
    <row r="484">
      <c r="A484" s="2" t="inlineStr">
        <is>
          <t>Other Practice Paths</t>
        </is>
      </c>
      <c r="B484" s="2" t="inlineStr">
        <is>
          <t>Practice for ZCO and INOI</t>
        </is>
      </c>
      <c r="C484" s="2" t="inlineStr">
        <is>
          <t>Prepare for ZCO and INOI via specially curated practice problems and past exam problems. Read our roadmap - https://www.codechef.com/blogs/prepare-for-zco-inoi-ioi-exam</t>
        </is>
      </c>
      <c r="D484" s="2" t="inlineStr">
        <is>
          <t>Practice problems - IARCS OPC Problems</t>
        </is>
      </c>
      <c r="E484" s="2" t="n">
        <v>22</v>
      </c>
      <c r="F484" s="2" t="inlineStr">
        <is>
          <t>Find the Permutation</t>
        </is>
      </c>
      <c r="G484" s="2" t="inlineStr">
        <is>
          <t>FINDPERM</t>
        </is>
      </c>
      <c r="H484" s="2" t="inlineStr"/>
      <c r="I484" s="2" t="inlineStr">
        <is>
          <t>Hard</t>
        </is>
      </c>
      <c r="J484" s="3">
        <f>HYPERLINK("https://www.codechef.com/problems/FINDPERM", "https://www.codechef.com/problems/FINDPERM")</f>
        <v/>
      </c>
      <c r="K484" s="2" t="inlineStr"/>
      <c r="L484" s="2" t="inlineStr"/>
      <c r="M484" s="2" t="inlineStr"/>
      <c r="N484" s="2" t="inlineStr">
        <is>
          <t>No</t>
        </is>
      </c>
      <c r="O484" s="2" t="inlineStr">
        <is>
          <t>Unattempted</t>
        </is>
      </c>
    </row>
    <row r="485">
      <c r="A485" s="4" t="inlineStr">
        <is>
          <t>Other Practice Paths</t>
        </is>
      </c>
      <c r="B485" s="4" t="inlineStr">
        <is>
          <t>Practice for ZCO and INOI</t>
        </is>
      </c>
      <c r="C485" s="4" t="inlineStr">
        <is>
          <t>Prepare for ZCO and INOI via specially curated practice problems and past exam problems. Read our roadmap - https://www.codechef.com/blogs/prepare-for-zco-inoi-ioi-exam</t>
        </is>
      </c>
      <c r="D485" s="4" t="inlineStr">
        <is>
          <t>Practice problems - IARCS OPC Problems</t>
        </is>
      </c>
      <c r="E485" s="4" t="n">
        <v>23</v>
      </c>
      <c r="F485" s="4" t="inlineStr">
        <is>
          <t>Railway Caterers</t>
        </is>
      </c>
      <c r="G485" s="4" t="inlineStr">
        <is>
          <t>RAILCTER</t>
        </is>
      </c>
      <c r="H485" s="4" t="inlineStr"/>
      <c r="I485" s="4" t="inlineStr">
        <is>
          <t>Medium</t>
        </is>
      </c>
      <c r="J485" s="5">
        <f>HYPERLINK("https://www.codechef.com/problems/RAILCTER", "https://www.codechef.com/problems/RAILCTER")</f>
        <v/>
      </c>
      <c r="K485" s="4" t="inlineStr"/>
      <c r="L485" s="4" t="inlineStr"/>
      <c r="M485" s="4" t="inlineStr"/>
      <c r="N485" s="4" t="inlineStr">
        <is>
          <t>No</t>
        </is>
      </c>
      <c r="O485" s="4" t="inlineStr">
        <is>
          <t>Unattempted</t>
        </is>
      </c>
    </row>
    <row r="486">
      <c r="A486" s="2" t="inlineStr">
        <is>
          <t>Other Practice Paths</t>
        </is>
      </c>
      <c r="B486" s="2" t="inlineStr">
        <is>
          <t>Practice for ZCO and INOI</t>
        </is>
      </c>
      <c r="C486" s="2" t="inlineStr">
        <is>
          <t>Prepare for ZCO and INOI via specially curated practice problems and past exam problems. Read our roadmap - https://www.codechef.com/blogs/prepare-for-zco-inoi-ioi-exam</t>
        </is>
      </c>
      <c r="D486" s="2" t="inlineStr">
        <is>
          <t>Practice problems - IARCS OPC Problems</t>
        </is>
      </c>
      <c r="E486" s="2" t="n">
        <v>24</v>
      </c>
      <c r="F486" s="2" t="inlineStr">
        <is>
          <t>Speculating on Buffaloes</t>
        </is>
      </c>
      <c r="G486" s="2" t="inlineStr">
        <is>
          <t>BUFFALOE</t>
        </is>
      </c>
      <c r="H486" s="2" t="inlineStr"/>
      <c r="I486" s="2" t="inlineStr">
        <is>
          <t>Hard</t>
        </is>
      </c>
      <c r="J486" s="3">
        <f>HYPERLINK("https://www.codechef.com/problems/BUFFALOE", "https://www.codechef.com/problems/BUFFALOE")</f>
        <v/>
      </c>
      <c r="K486" s="2" t="inlineStr"/>
      <c r="L486" s="2" t="inlineStr"/>
      <c r="M486" s="2" t="inlineStr"/>
      <c r="N486" s="2" t="inlineStr">
        <is>
          <t>No</t>
        </is>
      </c>
      <c r="O486" s="2" t="inlineStr">
        <is>
          <t>Unattempted</t>
        </is>
      </c>
    </row>
    <row r="487">
      <c r="A487" s="4" t="inlineStr">
        <is>
          <t>Other Practice Paths</t>
        </is>
      </c>
      <c r="B487" s="4" t="inlineStr">
        <is>
          <t>Practice for ZCO and INOI</t>
        </is>
      </c>
      <c r="C487" s="4" t="inlineStr">
        <is>
          <t>Prepare for ZCO and INOI via specially curated practice problems and past exam problems. Read our roadmap - https://www.codechef.com/blogs/prepare-for-zco-inoi-ioi-exam</t>
        </is>
      </c>
      <c r="D487" s="4" t="inlineStr">
        <is>
          <t>Practice problems - IARCS OPC Problems</t>
        </is>
      </c>
      <c r="E487" s="4" t="n">
        <v>25</v>
      </c>
      <c r="F487" s="4" t="inlineStr">
        <is>
          <t>Sorting Books</t>
        </is>
      </c>
      <c r="G487" s="4" t="inlineStr">
        <is>
          <t>BOOKSORT</t>
        </is>
      </c>
      <c r="H487" s="4" t="inlineStr"/>
      <c r="I487" s="4" t="inlineStr">
        <is>
          <t>Hard</t>
        </is>
      </c>
      <c r="J487" s="5">
        <f>HYPERLINK("https://www.codechef.com/problems/BOOKSORT", "https://www.codechef.com/problems/BOOKSORT")</f>
        <v/>
      </c>
      <c r="K487" s="4" t="inlineStr"/>
      <c r="L487" s="4" t="inlineStr"/>
      <c r="M487" s="4" t="inlineStr"/>
      <c r="N487" s="4" t="inlineStr">
        <is>
          <t>No</t>
        </is>
      </c>
      <c r="O487" s="4" t="inlineStr">
        <is>
          <t>Unattempted</t>
        </is>
      </c>
    </row>
    <row r="488">
      <c r="A488" s="2" t="inlineStr">
        <is>
          <t>Other Practice Paths</t>
        </is>
      </c>
      <c r="B488" s="2" t="inlineStr">
        <is>
          <t>Practice for ZCO and INOI</t>
        </is>
      </c>
      <c r="C488" s="2" t="inlineStr">
        <is>
          <t>Prepare for ZCO and INOI via specially curated practice problems and past exam problems. Read our roadmap - https://www.codechef.com/blogs/prepare-for-zco-inoi-ioi-exam</t>
        </is>
      </c>
      <c r="D488" s="2" t="inlineStr">
        <is>
          <t>Practice problems - IARCS OPC Problems</t>
        </is>
      </c>
      <c r="E488" s="2" t="n">
        <v>26</v>
      </c>
      <c r="F488" s="2" t="inlineStr">
        <is>
          <t>The Timber Auction</t>
        </is>
      </c>
      <c r="G488" s="2" t="inlineStr">
        <is>
          <t>TIMBER</t>
        </is>
      </c>
      <c r="H488" s="2" t="inlineStr"/>
      <c r="I488" s="2" t="inlineStr">
        <is>
          <t>Medium</t>
        </is>
      </c>
      <c r="J488" s="3">
        <f>HYPERLINK("https://www.codechef.com/problems/TIMBER", "https://www.codechef.com/problems/TIMBER")</f>
        <v/>
      </c>
      <c r="K488" s="2" t="inlineStr"/>
      <c r="L488" s="2" t="inlineStr"/>
      <c r="M488" s="2" t="inlineStr"/>
      <c r="N488" s="2" t="inlineStr">
        <is>
          <t>No</t>
        </is>
      </c>
      <c r="O488" s="2" t="inlineStr">
        <is>
          <t>Unattempted</t>
        </is>
      </c>
    </row>
    <row r="489">
      <c r="A489" s="4" t="inlineStr">
        <is>
          <t>Other Practice Paths</t>
        </is>
      </c>
      <c r="B489" s="4" t="inlineStr">
        <is>
          <t>Practice for ZCO and INOI</t>
        </is>
      </c>
      <c r="C489" s="4" t="inlineStr">
        <is>
          <t>Prepare for ZCO and INOI via specially curated practice problems and past exam problems. Read our roadmap - https://www.codechef.com/blogs/prepare-for-zco-inoi-ioi-exam</t>
        </is>
      </c>
      <c r="D489" s="4" t="inlineStr">
        <is>
          <t>Practice problems - IARCS OPC Problems</t>
        </is>
      </c>
      <c r="E489" s="4" t="n">
        <v>27</v>
      </c>
      <c r="F489" s="4" t="inlineStr">
        <is>
          <t>Draw Fixing</t>
        </is>
      </c>
      <c r="G489" s="4" t="inlineStr">
        <is>
          <t>DRAWFIX</t>
        </is>
      </c>
      <c r="H489" s="4" t="inlineStr"/>
      <c r="I489" s="4" t="inlineStr">
        <is>
          <t>Hard</t>
        </is>
      </c>
      <c r="J489" s="5">
        <f>HYPERLINK("https://www.codechef.com/problems/DRAWFIX", "https://www.codechef.com/problems/DRAWFIX")</f>
        <v/>
      </c>
      <c r="K489" s="4" t="inlineStr"/>
      <c r="L489" s="4" t="inlineStr"/>
      <c r="M489" s="4" t="inlineStr"/>
      <c r="N489" s="4" t="inlineStr">
        <is>
          <t>No</t>
        </is>
      </c>
      <c r="O489" s="4" t="inlineStr">
        <is>
          <t>Unattempted</t>
        </is>
      </c>
    </row>
    <row r="490">
      <c r="A490" s="2" t="inlineStr">
        <is>
          <t>Other Practice Paths</t>
        </is>
      </c>
      <c r="B490" s="2" t="inlineStr">
        <is>
          <t>Practice for ZCO and INOI</t>
        </is>
      </c>
      <c r="C490" s="2" t="inlineStr">
        <is>
          <t>Prepare for ZCO and INOI via specially curated practice problems and past exam problems. Read our roadmap - https://www.codechef.com/blogs/prepare-for-zco-inoi-ioi-exam</t>
        </is>
      </c>
      <c r="D490" s="2" t="inlineStr">
        <is>
          <t>Practice problems - IARCS OPC Problems</t>
        </is>
      </c>
      <c r="E490" s="2" t="n">
        <v>28</v>
      </c>
      <c r="F490" s="2" t="inlineStr">
        <is>
          <t>Critical Intersections</t>
        </is>
      </c>
      <c r="G490" s="2" t="inlineStr">
        <is>
          <t>CRITINTS</t>
        </is>
      </c>
      <c r="H490" s="2" t="inlineStr"/>
      <c r="I490" s="2" t="inlineStr">
        <is>
          <t>Hard</t>
        </is>
      </c>
      <c r="J490" s="3">
        <f>HYPERLINK("https://www.codechef.com/problems/CRITINTS", "https://www.codechef.com/problems/CRITINTS")</f>
        <v/>
      </c>
      <c r="K490" s="2" t="inlineStr"/>
      <c r="L490" s="2" t="inlineStr"/>
      <c r="M490" s="2" t="inlineStr"/>
      <c r="N490" s="2" t="inlineStr">
        <is>
          <t>No</t>
        </is>
      </c>
      <c r="O490" s="2" t="inlineStr">
        <is>
          <t>Unattempted</t>
        </is>
      </c>
    </row>
    <row r="491">
      <c r="A491" s="4" t="inlineStr">
        <is>
          <t>Other Practice Paths</t>
        </is>
      </c>
      <c r="B491" s="4" t="inlineStr">
        <is>
          <t>Practice for ZCO and INOI</t>
        </is>
      </c>
      <c r="C491" s="4" t="inlineStr">
        <is>
          <t>Prepare for ZCO and INOI via specially curated practice problems and past exam problems. Read our roadmap - https://www.codechef.com/blogs/prepare-for-zco-inoi-ioi-exam</t>
        </is>
      </c>
      <c r="D491" s="4" t="inlineStr">
        <is>
          <t>Practice problems - IARCS OPC Problems</t>
        </is>
      </c>
      <c r="E491" s="4" t="n">
        <v>29</v>
      </c>
      <c r="F491" s="4" t="inlineStr">
        <is>
          <t>Catering Contracts</t>
        </is>
      </c>
      <c r="G491" s="4" t="inlineStr">
        <is>
          <t>CATERCON</t>
        </is>
      </c>
      <c r="H491" s="4" t="inlineStr"/>
      <c r="I491" s="4" t="inlineStr">
        <is>
          <t>Hard</t>
        </is>
      </c>
      <c r="J491" s="5">
        <f>HYPERLINK("https://www.codechef.com/problems/CATERCON", "https://www.codechef.com/problems/CATERCON")</f>
        <v/>
      </c>
      <c r="K491" s="4" t="inlineStr"/>
      <c r="L491" s="4" t="inlineStr"/>
      <c r="M491" s="4" t="inlineStr"/>
      <c r="N491" s="4" t="inlineStr">
        <is>
          <t>No</t>
        </is>
      </c>
      <c r="O491" s="4" t="inlineStr">
        <is>
          <t>Unattempted</t>
        </is>
      </c>
    </row>
    <row r="492">
      <c r="A492" s="2" t="inlineStr">
        <is>
          <t>Other Practice Paths</t>
        </is>
      </c>
      <c r="B492" s="2" t="inlineStr">
        <is>
          <t>Practice for ZCO and INOI</t>
        </is>
      </c>
      <c r="C492" s="2" t="inlineStr">
        <is>
          <t>Prepare for ZCO and INOI via specially curated practice problems and past exam problems. Read our roadmap - https://www.codechef.com/blogs/prepare-for-zco-inoi-ioi-exam</t>
        </is>
      </c>
      <c r="D492" s="2" t="inlineStr">
        <is>
          <t>Practice problems - IARCS OPC Problems</t>
        </is>
      </c>
      <c r="E492" s="2" t="n">
        <v>30</v>
      </c>
      <c r="F492" s="2" t="inlineStr">
        <is>
          <t>Leaf Eaters</t>
        </is>
      </c>
      <c r="G492" s="2" t="inlineStr">
        <is>
          <t>LEAFEAT</t>
        </is>
      </c>
      <c r="H492" s="2" t="inlineStr"/>
      <c r="I492" s="2" t="inlineStr">
        <is>
          <t>Hard</t>
        </is>
      </c>
      <c r="J492" s="3">
        <f>HYPERLINK("https://www.codechef.com/problems/LEAFEAT", "https://www.codechef.com/problems/LEAFEAT")</f>
        <v/>
      </c>
      <c r="K492" s="2" t="inlineStr"/>
      <c r="L492" s="2" t="inlineStr"/>
      <c r="M492" s="2" t="inlineStr"/>
      <c r="N492" s="2" t="inlineStr">
        <is>
          <t>No</t>
        </is>
      </c>
      <c r="O492" s="2" t="inlineStr">
        <is>
          <t>Unattempted</t>
        </is>
      </c>
    </row>
    <row r="493">
      <c r="A493" s="4" t="inlineStr">
        <is>
          <t>Other Practice Paths</t>
        </is>
      </c>
      <c r="B493" s="4" t="inlineStr">
        <is>
          <t>Practice for ZCO and INOI</t>
        </is>
      </c>
      <c r="C493" s="4" t="inlineStr">
        <is>
          <t>Prepare for ZCO and INOI via specially curated practice problems and past exam problems. Read our roadmap - https://www.codechef.com/blogs/prepare-for-zco-inoi-ioi-exam</t>
        </is>
      </c>
      <c r="D493" s="4" t="inlineStr">
        <is>
          <t>Practice problems - IARCS OPC Problems</t>
        </is>
      </c>
      <c r="E493" s="4" t="n">
        <v>31</v>
      </c>
      <c r="F493" s="4" t="inlineStr">
        <is>
          <t>The Bickering Task Force</t>
        </is>
      </c>
      <c r="G493" s="4" t="inlineStr">
        <is>
          <t>TASKFRCE</t>
        </is>
      </c>
      <c r="H493" s="4" t="inlineStr"/>
      <c r="I493" s="4" t="inlineStr">
        <is>
          <t>Hard</t>
        </is>
      </c>
      <c r="J493" s="5">
        <f>HYPERLINK("https://www.codechef.com/problems/TASKFRCE", "https://www.codechef.com/problems/TASKFRCE")</f>
        <v/>
      </c>
      <c r="K493" s="4" t="inlineStr"/>
      <c r="L493" s="4" t="inlineStr"/>
      <c r="M493" s="4" t="inlineStr"/>
      <c r="N493" s="4" t="inlineStr">
        <is>
          <t>No</t>
        </is>
      </c>
      <c r="O493" s="4" t="inlineStr">
        <is>
          <t>Unattempted</t>
        </is>
      </c>
    </row>
    <row r="494">
      <c r="A494" s="2" t="inlineStr">
        <is>
          <t>Other Practice Paths</t>
        </is>
      </c>
      <c r="B494" s="2" t="inlineStr">
        <is>
          <t>Practice for ZCO and INOI</t>
        </is>
      </c>
      <c r="C494" s="2" t="inlineStr">
        <is>
          <t>Prepare for ZCO and INOI via specially curated practice problems and past exam problems. Read our roadmap - https://www.codechef.com/blogs/prepare-for-zco-inoi-ioi-exam</t>
        </is>
      </c>
      <c r="D494" s="2" t="inlineStr">
        <is>
          <t>Practice problems - IARCS OPC Problems</t>
        </is>
      </c>
      <c r="E494" s="2" t="n">
        <v>32</v>
      </c>
      <c r="F494" s="2" t="inlineStr">
        <is>
          <t>Word Hopping</t>
        </is>
      </c>
      <c r="G494" s="2" t="inlineStr">
        <is>
          <t>WORDHOP</t>
        </is>
      </c>
      <c r="H494" s="2" t="inlineStr"/>
      <c r="I494" s="2" t="inlineStr">
        <is>
          <t>Hard</t>
        </is>
      </c>
      <c r="J494" s="3">
        <f>HYPERLINK("https://www.codechef.com/problems/WORDHOP", "https://www.codechef.com/problems/WORDHOP")</f>
        <v/>
      </c>
      <c r="K494" s="2" t="inlineStr"/>
      <c r="L494" s="2" t="inlineStr"/>
      <c r="M494" s="2" t="inlineStr"/>
      <c r="N494" s="2" t="inlineStr">
        <is>
          <t>No</t>
        </is>
      </c>
      <c r="O494" s="2" t="inlineStr">
        <is>
          <t>Unattempted</t>
        </is>
      </c>
    </row>
    <row r="495">
      <c r="A495" s="4" t="inlineStr">
        <is>
          <t>Other Practice Paths</t>
        </is>
      </c>
      <c r="B495" s="4" t="inlineStr">
        <is>
          <t>Practice for ZCO and INOI</t>
        </is>
      </c>
      <c r="C495" s="4" t="inlineStr">
        <is>
          <t>Prepare for ZCO and INOI via specially curated practice problems and past exam problems. Read our roadmap - https://www.codechef.com/blogs/prepare-for-zco-inoi-ioi-exam</t>
        </is>
      </c>
      <c r="D495" s="4" t="inlineStr">
        <is>
          <t>Practice problems - IARCS OPC Problems</t>
        </is>
      </c>
      <c r="E495" s="4" t="n">
        <v>33</v>
      </c>
      <c r="F495" s="4" t="inlineStr">
        <is>
          <t>High Speed Network</t>
        </is>
      </c>
      <c r="G495" s="4" t="inlineStr">
        <is>
          <t>HISPDNET</t>
        </is>
      </c>
      <c r="H495" s="4" t="inlineStr"/>
      <c r="I495" s="4" t="inlineStr">
        <is>
          <t>Hard</t>
        </is>
      </c>
      <c r="J495" s="5">
        <f>HYPERLINK("https://www.codechef.com/problems/HISPDNET", "https://www.codechef.com/problems/HISPDNET")</f>
        <v/>
      </c>
      <c r="K495" s="4" t="inlineStr"/>
      <c r="L495" s="4" t="inlineStr"/>
      <c r="M495" s="4" t="inlineStr"/>
      <c r="N495" s="4" t="inlineStr">
        <is>
          <t>No</t>
        </is>
      </c>
      <c r="O495" s="4" t="inlineStr">
        <is>
          <t>Unattempted</t>
        </is>
      </c>
    </row>
    <row r="496">
      <c r="A496" s="2" t="inlineStr">
        <is>
          <t>Other Practice Paths</t>
        </is>
      </c>
      <c r="B496" s="2" t="inlineStr">
        <is>
          <t>Practice for ZCO and INOI</t>
        </is>
      </c>
      <c r="C496" s="2" t="inlineStr">
        <is>
          <t>Prepare for ZCO and INOI via specially curated practice problems and past exam problems. Read our roadmap - https://www.codechef.com/blogs/prepare-for-zco-inoi-ioi-exam</t>
        </is>
      </c>
      <c r="D496" s="2" t="inlineStr">
        <is>
          <t>Practice problems - IARCS OPC Problems</t>
        </is>
      </c>
      <c r="E496" s="2" t="n">
        <v>34</v>
      </c>
      <c r="F496" s="2" t="inlineStr">
        <is>
          <t>Medu Vada Maze</t>
        </is>
      </c>
      <c r="G496" s="2" t="inlineStr">
        <is>
          <t>MEDUVADA</t>
        </is>
      </c>
      <c r="H496" s="2" t="inlineStr"/>
      <c r="I496" s="2" t="inlineStr">
        <is>
          <t>Medium</t>
        </is>
      </c>
      <c r="J496" s="3">
        <f>HYPERLINK("https://www.codechef.com/problems/MEDUVADA", "https://www.codechef.com/problems/MEDUVADA")</f>
        <v/>
      </c>
      <c r="K496" s="2" t="inlineStr"/>
      <c r="L496" s="2" t="inlineStr"/>
      <c r="M496" s="2" t="inlineStr"/>
      <c r="N496" s="2" t="inlineStr">
        <is>
          <t>No</t>
        </is>
      </c>
      <c r="O496" s="2" t="inlineStr">
        <is>
          <t>Unattempted</t>
        </is>
      </c>
    </row>
    <row r="497">
      <c r="A497" s="4" t="inlineStr">
        <is>
          <t>Other Practice Paths</t>
        </is>
      </c>
      <c r="B497" s="4" t="inlineStr">
        <is>
          <t>Practice for ZCO and INOI</t>
        </is>
      </c>
      <c r="C497" s="4" t="inlineStr">
        <is>
          <t>Prepare for ZCO and INOI via specially curated practice problems and past exam problems. Read our roadmap - https://www.codechef.com/blogs/prepare-for-zco-inoi-ioi-exam</t>
        </is>
      </c>
      <c r="D497" s="4" t="inlineStr">
        <is>
          <t>Practice problems - IARCS OPC Problems</t>
        </is>
      </c>
      <c r="E497" s="4" t="n">
        <v>35</v>
      </c>
      <c r="F497" s="4" t="inlineStr">
        <is>
          <t>Treasure Hunt</t>
        </is>
      </c>
      <c r="G497" s="4" t="inlineStr">
        <is>
          <t>TREAHUNT</t>
        </is>
      </c>
      <c r="H497" s="4" t="inlineStr"/>
      <c r="I497" s="4" t="inlineStr">
        <is>
          <t>Hard</t>
        </is>
      </c>
      <c r="J497" s="5">
        <f>HYPERLINK("https://www.codechef.com/problems/TREAHUNT", "https://www.codechef.com/problems/TREAHUNT")</f>
        <v/>
      </c>
      <c r="K497" s="4" t="inlineStr"/>
      <c r="L497" s="4" t="inlineStr"/>
      <c r="M497" s="4" t="inlineStr"/>
      <c r="N497" s="4" t="inlineStr">
        <is>
          <t>No</t>
        </is>
      </c>
      <c r="O497" s="4" t="inlineStr">
        <is>
          <t>Unattempted</t>
        </is>
      </c>
    </row>
    <row r="498">
      <c r="A498" s="2" t="inlineStr">
        <is>
          <t>Other Practice Paths</t>
        </is>
      </c>
      <c r="B498" s="2" t="inlineStr">
        <is>
          <t>Practice for ZCO and INOI</t>
        </is>
      </c>
      <c r="C498" s="2" t="inlineStr">
        <is>
          <t>Prepare for ZCO and INOI via specially curated practice problems and past exam problems. Read our roadmap - https://www.codechef.com/blogs/prepare-for-zco-inoi-ioi-exam</t>
        </is>
      </c>
      <c r="D498" s="2" t="inlineStr">
        <is>
          <t>Practice problems - IARCS OPC Problems</t>
        </is>
      </c>
      <c r="E498" s="2" t="n">
        <v>36</v>
      </c>
      <c r="F498" s="2" t="inlineStr">
        <is>
          <t>Rank Fraud</t>
        </is>
      </c>
      <c r="G498" s="2" t="inlineStr">
        <is>
          <t>RANKFRAD</t>
        </is>
      </c>
      <c r="H498" s="2" t="inlineStr"/>
      <c r="I498" s="2" t="inlineStr">
        <is>
          <t>Hard</t>
        </is>
      </c>
      <c r="J498" s="3">
        <f>HYPERLINK("https://www.codechef.com/problems/RANKFRAD", "https://www.codechef.com/problems/RANKFRAD")</f>
        <v/>
      </c>
      <c r="K498" s="2" t="inlineStr"/>
      <c r="L498" s="2" t="inlineStr"/>
      <c r="M498" s="2" t="inlineStr"/>
      <c r="N498" s="2" t="inlineStr">
        <is>
          <t>No</t>
        </is>
      </c>
      <c r="O498" s="2" t="inlineStr">
        <is>
          <t>Unattempted</t>
        </is>
      </c>
    </row>
    <row r="499">
      <c r="A499" s="4" t="inlineStr">
        <is>
          <t>Other Practice Paths</t>
        </is>
      </c>
      <c r="B499" s="4" t="inlineStr">
        <is>
          <t>Practice for ZCO and INOI</t>
        </is>
      </c>
      <c r="C499" s="4" t="inlineStr">
        <is>
          <t>Prepare for ZCO and INOI via specially curated practice problems and past exam problems. Read our roadmap - https://www.codechef.com/blogs/prepare-for-zco-inoi-ioi-exam</t>
        </is>
      </c>
      <c r="D499" s="4" t="inlineStr">
        <is>
          <t>Practice problems - IARCS OPC Problems</t>
        </is>
      </c>
      <c r="E499" s="4" t="n">
        <v>37</v>
      </c>
      <c r="F499" s="4" t="inlineStr">
        <is>
          <t>Siruseri Metro</t>
        </is>
      </c>
      <c r="G499" s="4" t="inlineStr">
        <is>
          <t>METRO</t>
        </is>
      </c>
      <c r="H499" s="4" t="inlineStr"/>
      <c r="I499" s="4" t="inlineStr">
        <is>
          <t>Hard</t>
        </is>
      </c>
      <c r="J499" s="5">
        <f>HYPERLINK("https://www.codechef.com/problems/METRO", "https://www.codechef.com/problems/METRO")</f>
        <v/>
      </c>
      <c r="K499" s="4" t="inlineStr"/>
      <c r="L499" s="4" t="inlineStr"/>
      <c r="M499" s="4" t="inlineStr"/>
      <c r="N499" s="4" t="inlineStr">
        <is>
          <t>No</t>
        </is>
      </c>
      <c r="O499" s="4" t="inlineStr">
        <is>
          <t>Unattempted</t>
        </is>
      </c>
    </row>
    <row r="500">
      <c r="A500" s="2" t="inlineStr">
        <is>
          <t>Other Practice Paths</t>
        </is>
      </c>
      <c r="B500" s="2" t="inlineStr">
        <is>
          <t>Practice for ZCO and INOI</t>
        </is>
      </c>
      <c r="C500" s="2" t="inlineStr">
        <is>
          <t>Prepare for ZCO and INOI via specially curated practice problems and past exam problems. Read our roadmap - https://www.codechef.com/blogs/prepare-for-zco-inoi-ioi-exam</t>
        </is>
      </c>
      <c r="D500" s="2" t="inlineStr">
        <is>
          <t>Practice problems - IARCS OPC Problems</t>
        </is>
      </c>
      <c r="E500" s="2" t="n">
        <v>38</v>
      </c>
      <c r="F500" s="2" t="inlineStr">
        <is>
          <t>Devious Minister</t>
        </is>
      </c>
      <c r="G500" s="2" t="inlineStr">
        <is>
          <t>DEVIOUS</t>
        </is>
      </c>
      <c r="H500" s="2" t="inlineStr"/>
      <c r="I500" s="2" t="inlineStr">
        <is>
          <t>Hard</t>
        </is>
      </c>
      <c r="J500" s="3">
        <f>HYPERLINK("https://www.codechef.com/problems/DEVIOUS", "https://www.codechef.com/problems/DEVIOUS")</f>
        <v/>
      </c>
      <c r="K500" s="2" t="inlineStr"/>
      <c r="L500" s="2" t="inlineStr"/>
      <c r="M500" s="2" t="inlineStr"/>
      <c r="N500" s="2" t="inlineStr">
        <is>
          <t>No</t>
        </is>
      </c>
      <c r="O500" s="2" t="inlineStr">
        <is>
          <t>Unattempted</t>
        </is>
      </c>
    </row>
    <row r="501">
      <c r="A501" s="4" t="inlineStr">
        <is>
          <t>Other Practice Paths</t>
        </is>
      </c>
      <c r="B501" s="4" t="inlineStr">
        <is>
          <t>Practice for ZCO and INOI</t>
        </is>
      </c>
      <c r="C501" s="4" t="inlineStr">
        <is>
          <t>Prepare for ZCO and INOI via specially curated practice problems and past exam problems. Read our roadmap - https://www.codechef.com/blogs/prepare-for-zco-inoi-ioi-exam</t>
        </is>
      </c>
      <c r="D501" s="4" t="inlineStr">
        <is>
          <t>Practice problems - IARCS OPC Problems</t>
        </is>
      </c>
      <c r="E501" s="4" t="n">
        <v>39</v>
      </c>
      <c r="F501" s="4" t="inlineStr">
        <is>
          <t>A Puzzle</t>
        </is>
      </c>
      <c r="G501" s="4" t="inlineStr">
        <is>
          <t>APUZZLE</t>
        </is>
      </c>
      <c r="H501" s="4" t="inlineStr"/>
      <c r="I501" s="4" t="inlineStr">
        <is>
          <t>Hard</t>
        </is>
      </c>
      <c r="J501" s="5">
        <f>HYPERLINK("https://www.codechef.com/problems/APUZZLE", "https://www.codechef.com/problems/APUZZLE")</f>
        <v/>
      </c>
      <c r="K501" s="4" t="inlineStr"/>
      <c r="L501" s="4" t="inlineStr"/>
      <c r="M501" s="4" t="inlineStr"/>
      <c r="N501" s="4" t="inlineStr">
        <is>
          <t>No</t>
        </is>
      </c>
      <c r="O501" s="4" t="inlineStr">
        <is>
          <t>Unattempted</t>
        </is>
      </c>
    </row>
    <row r="502">
      <c r="A502" s="2" t="inlineStr">
        <is>
          <t>Other Practice Paths</t>
        </is>
      </c>
      <c r="B502" s="2" t="inlineStr">
        <is>
          <t>Practice for ZCO and INOI</t>
        </is>
      </c>
      <c r="C502" s="2" t="inlineStr">
        <is>
          <t>Prepare for ZCO and INOI via specially curated practice problems and past exam problems. Read our roadmap - https://www.codechef.com/blogs/prepare-for-zco-inoi-ioi-exam</t>
        </is>
      </c>
      <c r="D502" s="2" t="inlineStr">
        <is>
          <t>Practice problems - IARCS OPC Problems</t>
        </is>
      </c>
      <c r="E502" s="2" t="n">
        <v>40</v>
      </c>
      <c r="F502" s="2" t="inlineStr">
        <is>
          <t>Number Triples</t>
        </is>
      </c>
      <c r="G502" s="2" t="inlineStr">
        <is>
          <t>NUMTRIPL</t>
        </is>
      </c>
      <c r="H502" s="2" t="inlineStr"/>
      <c r="I502" s="2" t="inlineStr">
        <is>
          <t>Hard</t>
        </is>
      </c>
      <c r="J502" s="3">
        <f>HYPERLINK("https://www.codechef.com/problems/NUMTRIPL", "https://www.codechef.com/problems/NUMTRIPL")</f>
        <v/>
      </c>
      <c r="K502" s="2" t="inlineStr"/>
      <c r="L502" s="2" t="inlineStr"/>
      <c r="M502" s="2" t="inlineStr"/>
      <c r="N502" s="2" t="inlineStr">
        <is>
          <t>No</t>
        </is>
      </c>
      <c r="O502" s="2" t="inlineStr">
        <is>
          <t>Unattempted</t>
        </is>
      </c>
    </row>
    <row r="503">
      <c r="A503" s="4" t="inlineStr">
        <is>
          <t>Other Practice Paths</t>
        </is>
      </c>
      <c r="B503" s="4" t="inlineStr">
        <is>
          <t>Practice for ZCO and INOI</t>
        </is>
      </c>
      <c r="C503" s="4" t="inlineStr">
        <is>
          <t>Prepare for ZCO and INOI via specially curated practice problems and past exam problems. Read our roadmap - https://www.codechef.com/blogs/prepare-for-zco-inoi-ioi-exam</t>
        </is>
      </c>
      <c r="D503" s="4" t="inlineStr">
        <is>
          <t>Practice problems - IARCS OPC Problems</t>
        </is>
      </c>
      <c r="E503" s="4" t="n">
        <v>41</v>
      </c>
      <c r="F503" s="4" t="inlineStr">
        <is>
          <t>Indraneels Experiment</t>
        </is>
      </c>
      <c r="G503" s="4" t="inlineStr">
        <is>
          <t>EXPT</t>
        </is>
      </c>
      <c r="H503" s="4" t="inlineStr"/>
      <c r="I503" s="4" t="inlineStr">
        <is>
          <t>Hard</t>
        </is>
      </c>
      <c r="J503" s="5">
        <f>HYPERLINK("https://www.codechef.com/problems/EXPT", "https://www.codechef.com/problems/EXPT")</f>
        <v/>
      </c>
      <c r="K503" s="4" t="inlineStr"/>
      <c r="L503" s="4" t="inlineStr"/>
      <c r="M503" s="4" t="inlineStr"/>
      <c r="N503" s="4" t="inlineStr">
        <is>
          <t>No</t>
        </is>
      </c>
      <c r="O503" s="4" t="inlineStr">
        <is>
          <t>Unattempted</t>
        </is>
      </c>
    </row>
    <row r="504">
      <c r="A504" s="2" t="inlineStr">
        <is>
          <t>Other Practice Paths</t>
        </is>
      </c>
      <c r="B504" s="2" t="inlineStr">
        <is>
          <t>Practice for ZCO and INOI</t>
        </is>
      </c>
      <c r="C504" s="2" t="inlineStr">
        <is>
          <t>Prepare for ZCO and INOI via specially curated practice problems and past exam problems. Read our roadmap - https://www.codechef.com/blogs/prepare-for-zco-inoi-ioi-exam</t>
        </is>
      </c>
      <c r="D504" s="2" t="inlineStr">
        <is>
          <t>Practice problems - IARCS OPC Problems</t>
        </is>
      </c>
      <c r="E504" s="2" t="n">
        <v>42</v>
      </c>
      <c r="F504" s="2" t="inlineStr">
        <is>
          <t>Number of Routings</t>
        </is>
      </c>
      <c r="G504" s="2" t="inlineStr">
        <is>
          <t>NUMROUTE</t>
        </is>
      </c>
      <c r="H504" s="2" t="inlineStr"/>
      <c r="I504" s="2" t="inlineStr">
        <is>
          <t>Hard</t>
        </is>
      </c>
      <c r="J504" s="3">
        <f>HYPERLINK("https://www.codechef.com/problems/NUMROUTE", "https://www.codechef.com/problems/NUMROUTE")</f>
        <v/>
      </c>
      <c r="K504" s="2" t="inlineStr"/>
      <c r="L504" s="2" t="inlineStr"/>
      <c r="M504" s="2" t="inlineStr"/>
      <c r="N504" s="2" t="inlineStr">
        <is>
          <t>No</t>
        </is>
      </c>
      <c r="O504" s="2" t="inlineStr">
        <is>
          <t>Unattempted</t>
        </is>
      </c>
    </row>
    <row r="505">
      <c r="A505" s="4" t="inlineStr">
        <is>
          <t>Other Practice Paths</t>
        </is>
      </c>
      <c r="B505" s="4" t="inlineStr">
        <is>
          <t>Practice for ZCO and INOI</t>
        </is>
      </c>
      <c r="C505" s="4" t="inlineStr">
        <is>
          <t>Prepare for ZCO and INOI via specially curated practice problems and past exam problems. Read our roadmap - https://www.codechef.com/blogs/prepare-for-zco-inoi-ioi-exam</t>
        </is>
      </c>
      <c r="D505" s="4" t="inlineStr">
        <is>
          <t>Practice problems - IARCS OPC Problems</t>
        </is>
      </c>
      <c r="E505" s="4" t="n">
        <v>43</v>
      </c>
      <c r="F505" s="4" t="inlineStr">
        <is>
          <t>Min Turn Route</t>
        </is>
      </c>
      <c r="G505" s="4" t="inlineStr">
        <is>
          <t>MINTURN</t>
        </is>
      </c>
      <c r="H505" s="4" t="inlineStr"/>
      <c r="I505" s="4" t="inlineStr">
        <is>
          <t>Hard</t>
        </is>
      </c>
      <c r="J505" s="5">
        <f>HYPERLINK("https://www.codechef.com/problems/MINTURN", "https://www.codechef.com/problems/MINTURN")</f>
        <v/>
      </c>
      <c r="K505" s="4" t="inlineStr"/>
      <c r="L505" s="4" t="inlineStr"/>
      <c r="M505" s="4" t="inlineStr"/>
      <c r="N505" s="4" t="inlineStr">
        <is>
          <t>No</t>
        </is>
      </c>
      <c r="O505" s="4" t="inlineStr">
        <is>
          <t>Unattempted</t>
        </is>
      </c>
    </row>
    <row r="506">
      <c r="A506" s="2" t="inlineStr">
        <is>
          <t>Other Practice Paths</t>
        </is>
      </c>
      <c r="B506" s="2" t="inlineStr">
        <is>
          <t>Practice for ZCO and INOI</t>
        </is>
      </c>
      <c r="C506" s="2" t="inlineStr">
        <is>
          <t>Prepare for ZCO and INOI via specially curated practice problems and past exam problems. Read our roadmap - https://www.codechef.com/blogs/prepare-for-zco-inoi-ioi-exam</t>
        </is>
      </c>
      <c r="D506" s="2" t="inlineStr">
        <is>
          <t>Practice problems - IARCS OPC Problems</t>
        </is>
      </c>
      <c r="E506" s="2" t="n">
        <v>44</v>
      </c>
      <c r="F506" s="2" t="inlineStr">
        <is>
          <t>Three-Way Split</t>
        </is>
      </c>
      <c r="G506" s="2" t="inlineStr">
        <is>
          <t>SPLIT3</t>
        </is>
      </c>
      <c r="H506" s="2" t="inlineStr"/>
      <c r="I506" s="2" t="inlineStr">
        <is>
          <t>Hard</t>
        </is>
      </c>
      <c r="J506" s="3">
        <f>HYPERLINK("https://www.codechef.com/problems/SPLIT3", "https://www.codechef.com/problems/SPLIT3")</f>
        <v/>
      </c>
      <c r="K506" s="2" t="inlineStr"/>
      <c r="L506" s="2" t="inlineStr"/>
      <c r="M506" s="2" t="inlineStr"/>
      <c r="N506" s="2" t="inlineStr">
        <is>
          <t>No</t>
        </is>
      </c>
      <c r="O506" s="2" t="inlineStr">
        <is>
          <t>Unattempted</t>
        </is>
      </c>
    </row>
    <row r="507">
      <c r="A507" s="4" t="inlineStr">
        <is>
          <t>Other Practice Paths</t>
        </is>
      </c>
      <c r="B507" s="4" t="inlineStr">
        <is>
          <t>Practice for ZCO and INOI</t>
        </is>
      </c>
      <c r="C507" s="4" t="inlineStr">
        <is>
          <t>Prepare for ZCO and INOI via specially curated practice problems and past exam problems. Read our roadmap - https://www.codechef.com/blogs/prepare-for-zco-inoi-ioi-exam</t>
        </is>
      </c>
      <c r="D507" s="4" t="inlineStr">
        <is>
          <t>ZCO problems - Past ZCO problems</t>
        </is>
      </c>
      <c r="E507" s="4" t="n">
        <v>45</v>
      </c>
      <c r="F507" s="4" t="inlineStr">
        <is>
          <t>Smart Phone</t>
        </is>
      </c>
      <c r="G507" s="4" t="inlineStr">
        <is>
          <t>ZCO14003</t>
        </is>
      </c>
      <c r="H507" s="4" t="inlineStr"/>
      <c r="I507" s="4" t="inlineStr">
        <is>
          <t>Medium</t>
        </is>
      </c>
      <c r="J507" s="5">
        <f>HYPERLINK("https://www.codechef.com/problems/ZCO14003", "https://www.codechef.com/problems/ZCO14003")</f>
        <v/>
      </c>
      <c r="K507" s="4" t="inlineStr"/>
      <c r="L507" s="4" t="inlineStr"/>
      <c r="M507" s="4" t="inlineStr"/>
      <c r="N507" s="4" t="inlineStr">
        <is>
          <t>No</t>
        </is>
      </c>
      <c r="O507" s="4" t="inlineStr">
        <is>
          <t>Unattempted</t>
        </is>
      </c>
    </row>
    <row r="508">
      <c r="A508" s="2" t="inlineStr">
        <is>
          <t>Other Practice Paths</t>
        </is>
      </c>
      <c r="B508" s="2" t="inlineStr">
        <is>
          <t>Practice for ZCO and INOI</t>
        </is>
      </c>
      <c r="C508" s="2" t="inlineStr">
        <is>
          <t>Prepare for ZCO and INOI via specially curated practice problems and past exam problems. Read our roadmap - https://www.codechef.com/blogs/prepare-for-zco-inoi-ioi-exam</t>
        </is>
      </c>
      <c r="D508" s="2" t="inlineStr">
        <is>
          <t>ZCO problems - Past ZCO problems</t>
        </is>
      </c>
      <c r="E508" s="2" t="n">
        <v>46</v>
      </c>
      <c r="F508" s="2" t="inlineStr">
        <is>
          <t>Video Game</t>
        </is>
      </c>
      <c r="G508" s="2" t="inlineStr">
        <is>
          <t>ZCO14001</t>
        </is>
      </c>
      <c r="H508" s="2" t="inlineStr"/>
      <c r="I508" s="2" t="inlineStr">
        <is>
          <t>Medium</t>
        </is>
      </c>
      <c r="J508" s="3">
        <f>HYPERLINK("https://www.codechef.com/problems/ZCO14001", "https://www.codechef.com/problems/ZCO14001")</f>
        <v/>
      </c>
      <c r="K508" s="2" t="inlineStr"/>
      <c r="L508" s="2" t="inlineStr"/>
      <c r="M508" s="2" t="inlineStr"/>
      <c r="N508" s="2" t="inlineStr">
        <is>
          <t>No</t>
        </is>
      </c>
      <c r="O508" s="2" t="inlineStr">
        <is>
          <t>Unattempted</t>
        </is>
      </c>
    </row>
    <row r="509">
      <c r="A509" s="4" t="inlineStr">
        <is>
          <t>Other Practice Paths</t>
        </is>
      </c>
      <c r="B509" s="4" t="inlineStr">
        <is>
          <t>Practice for ZCO and INOI</t>
        </is>
      </c>
      <c r="C509" s="4" t="inlineStr">
        <is>
          <t>Prepare for ZCO and INOI via specially curated practice problems and past exam problems. Read our roadmap - https://www.codechef.com/blogs/prepare-for-zco-inoi-ioi-exam</t>
        </is>
      </c>
      <c r="D509" s="4" t="inlineStr">
        <is>
          <t>ZCO problems - Past ZCO problems</t>
        </is>
      </c>
      <c r="E509" s="4" t="n">
        <v>47</v>
      </c>
      <c r="F509" s="4" t="inlineStr">
        <is>
          <t>Variation</t>
        </is>
      </c>
      <c r="G509" s="4" t="inlineStr">
        <is>
          <t>ZCO15002</t>
        </is>
      </c>
      <c r="H509" s="4" t="inlineStr"/>
      <c r="I509" s="4" t="inlineStr">
        <is>
          <t>Medium</t>
        </is>
      </c>
      <c r="J509" s="5">
        <f>HYPERLINK("https://www.codechef.com/problems/ZCO15002", "https://www.codechef.com/problems/ZCO15002")</f>
        <v/>
      </c>
      <c r="K509" s="4" t="inlineStr"/>
      <c r="L509" s="4" t="inlineStr"/>
      <c r="M509" s="4" t="inlineStr"/>
      <c r="N509" s="4" t="inlineStr">
        <is>
          <t>No</t>
        </is>
      </c>
      <c r="O509" s="4" t="inlineStr">
        <is>
          <t>Unattempted</t>
        </is>
      </c>
    </row>
    <row r="510">
      <c r="A510" s="2" t="inlineStr">
        <is>
          <t>Other Practice Paths</t>
        </is>
      </c>
      <c r="B510" s="2" t="inlineStr">
        <is>
          <t>Practice for ZCO and INOI</t>
        </is>
      </c>
      <c r="C510" s="2" t="inlineStr">
        <is>
          <t>Prepare for ZCO and INOI via specially curated practice problems and past exam problems. Read our roadmap - https://www.codechef.com/blogs/prepare-for-zco-inoi-ioi-exam</t>
        </is>
      </c>
      <c r="D510" s="2" t="inlineStr">
        <is>
          <t>ZCO problems - Past ZCO problems</t>
        </is>
      </c>
      <c r="E510" s="2" t="n">
        <v>48</v>
      </c>
      <c r="F510" s="2" t="inlineStr">
        <is>
          <t>Tournament</t>
        </is>
      </c>
      <c r="G510" s="2" t="inlineStr">
        <is>
          <t>ZCO13001</t>
        </is>
      </c>
      <c r="H510" s="2" t="inlineStr"/>
      <c r="I510" s="2" t="inlineStr">
        <is>
          <t>Medium</t>
        </is>
      </c>
      <c r="J510" s="3">
        <f>HYPERLINK("https://www.codechef.com/problems/ZCO13001", "https://www.codechef.com/problems/ZCO13001")</f>
        <v/>
      </c>
      <c r="K510" s="2" t="inlineStr"/>
      <c r="L510" s="2" t="inlineStr"/>
      <c r="M510" s="2" t="inlineStr"/>
      <c r="N510" s="2" t="inlineStr">
        <is>
          <t>No</t>
        </is>
      </c>
      <c r="O510" s="2" t="inlineStr">
        <is>
          <t>Unattempted</t>
        </is>
      </c>
    </row>
    <row r="511">
      <c r="A511" s="4" t="inlineStr">
        <is>
          <t>Other Practice Paths</t>
        </is>
      </c>
      <c r="B511" s="4" t="inlineStr">
        <is>
          <t>Practice for ZCO and INOI</t>
        </is>
      </c>
      <c r="C511" s="4" t="inlineStr">
        <is>
          <t>Prepare for ZCO and INOI via specially curated practice problems and past exam problems. Read our roadmap - https://www.codechef.com/blogs/prepare-for-zco-inoi-ioi-exam</t>
        </is>
      </c>
      <c r="D511" s="4" t="inlineStr">
        <is>
          <t>ZCO problems - Past ZCO problems</t>
        </is>
      </c>
      <c r="E511" s="4" t="n">
        <v>49</v>
      </c>
      <c r="F511" s="4" t="inlineStr">
        <is>
          <t>Matched Brackets</t>
        </is>
      </c>
      <c r="G511" s="4" t="inlineStr">
        <is>
          <t>ZCO12001</t>
        </is>
      </c>
      <c r="H511" s="4" t="inlineStr"/>
      <c r="I511" s="4" t="inlineStr">
        <is>
          <t>Medium</t>
        </is>
      </c>
      <c r="J511" s="5">
        <f>HYPERLINK("https://www.codechef.com/problems/ZCO12001", "https://www.codechef.com/problems/ZCO12001")</f>
        <v/>
      </c>
      <c r="K511" s="4" t="inlineStr"/>
      <c r="L511" s="4" t="inlineStr"/>
      <c r="M511" s="4" t="inlineStr"/>
      <c r="N511" s="4" t="inlineStr">
        <is>
          <t>No</t>
        </is>
      </c>
      <c r="O511" s="4" t="inlineStr">
        <is>
          <t>Unattempted</t>
        </is>
      </c>
    </row>
    <row r="512">
      <c r="A512" s="2" t="inlineStr">
        <is>
          <t>Other Practice Paths</t>
        </is>
      </c>
      <c r="B512" s="2" t="inlineStr">
        <is>
          <t>Practice for ZCO and INOI</t>
        </is>
      </c>
      <c r="C512" s="2" t="inlineStr">
        <is>
          <t>Prepare for ZCO and INOI via specially curated practice problems and past exam problems. Read our roadmap - https://www.codechef.com/blogs/prepare-for-zco-inoi-ioi-exam</t>
        </is>
      </c>
      <c r="D512" s="2" t="inlineStr">
        <is>
          <t>ZCO problems - Past ZCO problems</t>
        </is>
      </c>
      <c r="E512" s="2" t="n">
        <v>50</v>
      </c>
      <c r="F512" s="2" t="inlineStr">
        <is>
          <t>SUPW</t>
        </is>
      </c>
      <c r="G512" s="2" t="inlineStr">
        <is>
          <t>ZCO14002</t>
        </is>
      </c>
      <c r="H512" s="2" t="inlineStr"/>
      <c r="I512" s="2" t="inlineStr">
        <is>
          <t>Medium</t>
        </is>
      </c>
      <c r="J512" s="3">
        <f>HYPERLINK("https://www.codechef.com/problems/ZCO14002", "https://www.codechef.com/problems/ZCO14002")</f>
        <v/>
      </c>
      <c r="K512" s="2" t="inlineStr"/>
      <c r="L512" s="2" t="inlineStr"/>
      <c r="M512" s="2" t="inlineStr"/>
      <c r="N512" s="2" t="inlineStr">
        <is>
          <t>No</t>
        </is>
      </c>
      <c r="O512" s="2" t="inlineStr">
        <is>
          <t>Unattempted</t>
        </is>
      </c>
    </row>
    <row r="513">
      <c r="A513" s="4" t="inlineStr">
        <is>
          <t>Other Practice Paths</t>
        </is>
      </c>
      <c r="B513" s="4" t="inlineStr">
        <is>
          <t>Practice for ZCO and INOI</t>
        </is>
      </c>
      <c r="C513" s="4" t="inlineStr">
        <is>
          <t>Prepare for ZCO and INOI via specially curated practice problems and past exam problems. Read our roadmap - https://www.codechef.com/blogs/prepare-for-zco-inoi-ioi-exam</t>
        </is>
      </c>
      <c r="D513" s="4" t="inlineStr">
        <is>
          <t>ZCO problems - Past ZCO problems</t>
        </is>
      </c>
      <c r="E513" s="4" t="n">
        <v>51</v>
      </c>
      <c r="F513" s="4" t="inlineStr">
        <is>
          <t>IPL</t>
        </is>
      </c>
      <c r="G513" s="4" t="inlineStr">
        <is>
          <t>ZCO14004</t>
        </is>
      </c>
      <c r="H513" s="4" t="inlineStr"/>
      <c r="I513" s="4" t="inlineStr">
        <is>
          <t>Hard</t>
        </is>
      </c>
      <c r="J513" s="5">
        <f>HYPERLINK("https://www.codechef.com/problems/ZCO14004", "https://www.codechef.com/problems/ZCO14004")</f>
        <v/>
      </c>
      <c r="K513" s="4" t="inlineStr"/>
      <c r="L513" s="4" t="inlineStr"/>
      <c r="M513" s="4" t="inlineStr"/>
      <c r="N513" s="4" t="inlineStr">
        <is>
          <t>No</t>
        </is>
      </c>
      <c r="O513" s="4" t="inlineStr">
        <is>
          <t>Unattempted</t>
        </is>
      </c>
    </row>
    <row r="514">
      <c r="A514" s="2" t="inlineStr">
        <is>
          <t>Other Practice Paths</t>
        </is>
      </c>
      <c r="B514" s="2" t="inlineStr">
        <is>
          <t>Practice for ZCO and INOI</t>
        </is>
      </c>
      <c r="C514" s="2" t="inlineStr">
        <is>
          <t>Prepare for ZCO and INOI via specially curated practice problems and past exam problems. Read our roadmap - https://www.codechef.com/blogs/prepare-for-zco-inoi-ioi-exam</t>
        </is>
      </c>
      <c r="D514" s="2" t="inlineStr">
        <is>
          <t>ZCO problems - Past ZCO problems</t>
        </is>
      </c>
      <c r="E514" s="2" t="n">
        <v>52</v>
      </c>
      <c r="F514" s="2" t="inlineStr">
        <is>
          <t>Chewing</t>
        </is>
      </c>
      <c r="G514" s="2" t="inlineStr">
        <is>
          <t>ZCO13003</t>
        </is>
      </c>
      <c r="H514" s="2" t="inlineStr"/>
      <c r="I514" s="2" t="inlineStr">
        <is>
          <t>Medium</t>
        </is>
      </c>
      <c r="J514" s="3">
        <f>HYPERLINK("https://www.codechef.com/problems/ZCO13003", "https://www.codechef.com/problems/ZCO13003")</f>
        <v/>
      </c>
      <c r="K514" s="2" t="inlineStr"/>
      <c r="L514" s="2" t="inlineStr"/>
      <c r="M514" s="2" t="inlineStr"/>
      <c r="N514" s="2" t="inlineStr">
        <is>
          <t>No</t>
        </is>
      </c>
      <c r="O514" s="2" t="inlineStr">
        <is>
          <t>Unattempted</t>
        </is>
      </c>
    </row>
    <row r="515">
      <c r="A515" s="4" t="inlineStr">
        <is>
          <t>Other Practice Paths</t>
        </is>
      </c>
      <c r="B515" s="4" t="inlineStr">
        <is>
          <t>Practice for ZCO and INOI</t>
        </is>
      </c>
      <c r="C515" s="4" t="inlineStr">
        <is>
          <t>Prepare for ZCO and INOI via specially curated practice problems and past exam problems. Read our roadmap - https://www.codechef.com/blogs/prepare-for-zco-inoi-ioi-exam</t>
        </is>
      </c>
      <c r="D515" s="4" t="inlineStr">
        <is>
          <t>ZCO problems - Past ZCO problems</t>
        </is>
      </c>
      <c r="E515" s="4" t="n">
        <v>53</v>
      </c>
      <c r="F515" s="4" t="inlineStr">
        <is>
          <t>Round Table</t>
        </is>
      </c>
      <c r="G515" s="4" t="inlineStr">
        <is>
          <t>ZCO12004</t>
        </is>
      </c>
      <c r="H515" s="4" t="inlineStr"/>
      <c r="I515" s="4" t="inlineStr">
        <is>
          <t>Hard</t>
        </is>
      </c>
      <c r="J515" s="5">
        <f>HYPERLINK("https://www.codechef.com/problems/ZCO12004", "https://www.codechef.com/problems/ZCO12004")</f>
        <v/>
      </c>
      <c r="K515" s="4" t="inlineStr"/>
      <c r="L515" s="4" t="inlineStr"/>
      <c r="M515" s="4" t="inlineStr"/>
      <c r="N515" s="4" t="inlineStr">
        <is>
          <t>No</t>
        </is>
      </c>
      <c r="O515" s="4" t="inlineStr">
        <is>
          <t>Unattempted</t>
        </is>
      </c>
    </row>
    <row r="516">
      <c r="A516" s="2" t="inlineStr">
        <is>
          <t>Other Practice Paths</t>
        </is>
      </c>
      <c r="B516" s="2" t="inlineStr">
        <is>
          <t>Practice for ZCO and INOI</t>
        </is>
      </c>
      <c r="C516" s="2" t="inlineStr">
        <is>
          <t>Prepare for ZCO and INOI via specially curated practice problems and past exam problems. Read our roadmap - https://www.codechef.com/blogs/prepare-for-zco-inoi-ioi-exam</t>
        </is>
      </c>
      <c r="D516" s="2" t="inlineStr">
        <is>
          <t>ZCO problems - Past ZCO problems</t>
        </is>
      </c>
      <c r="E516" s="2" t="n">
        <v>54</v>
      </c>
      <c r="F516" s="2" t="inlineStr">
        <is>
          <t>Wormholes</t>
        </is>
      </c>
      <c r="G516" s="2" t="inlineStr">
        <is>
          <t>ZCO12002</t>
        </is>
      </c>
      <c r="H516" s="2" t="inlineStr"/>
      <c r="I516" s="2" t="inlineStr">
        <is>
          <t>Hard</t>
        </is>
      </c>
      <c r="J516" s="3">
        <f>HYPERLINK("https://www.codechef.com/problems/ZCO12002", "https://www.codechef.com/problems/ZCO12002")</f>
        <v/>
      </c>
      <c r="K516" s="2" t="inlineStr"/>
      <c r="L516" s="2" t="inlineStr"/>
      <c r="M516" s="2" t="inlineStr"/>
      <c r="N516" s="2" t="inlineStr">
        <is>
          <t>No</t>
        </is>
      </c>
      <c r="O516" s="2" t="inlineStr">
        <is>
          <t>Unattempted</t>
        </is>
      </c>
    </row>
    <row r="517">
      <c r="A517" s="4" t="inlineStr">
        <is>
          <t>Other Practice Paths</t>
        </is>
      </c>
      <c r="B517" s="4" t="inlineStr">
        <is>
          <t>Practice for ZCO and INOI</t>
        </is>
      </c>
      <c r="C517" s="4" t="inlineStr">
        <is>
          <t>Prepare for ZCO and INOI via specially curated practice problems and past exam problems. Read our roadmap - https://www.codechef.com/blogs/prepare-for-zco-inoi-ioi-exam</t>
        </is>
      </c>
      <c r="D517" s="4" t="inlineStr">
        <is>
          <t>ZCO problems - Past ZCO problems</t>
        </is>
      </c>
      <c r="E517" s="4" t="n">
        <v>55</v>
      </c>
      <c r="F517" s="4" t="inlineStr">
        <is>
          <t>Break Up</t>
        </is>
      </c>
      <c r="G517" s="4" t="inlineStr">
        <is>
          <t>ZCO15001</t>
        </is>
      </c>
      <c r="H517" s="4" t="inlineStr"/>
      <c r="I517" s="4" t="inlineStr">
        <is>
          <t>Hard</t>
        </is>
      </c>
      <c r="J517" s="5">
        <f>HYPERLINK("https://www.codechef.com/problems/ZCO15001", "https://www.codechef.com/problems/ZCO15001")</f>
        <v/>
      </c>
      <c r="K517" s="4" t="inlineStr"/>
      <c r="L517" s="4" t="inlineStr"/>
      <c r="M517" s="4" t="inlineStr"/>
      <c r="N517" s="4" t="inlineStr">
        <is>
          <t>No</t>
        </is>
      </c>
      <c r="O517" s="4" t="inlineStr">
        <is>
          <t>Unattempted</t>
        </is>
      </c>
    </row>
    <row r="518">
      <c r="A518" s="2" t="inlineStr">
        <is>
          <t>Other Practice Paths</t>
        </is>
      </c>
      <c r="B518" s="2" t="inlineStr">
        <is>
          <t>Practice for ZCO and INOI</t>
        </is>
      </c>
      <c r="C518" s="2" t="inlineStr">
        <is>
          <t>Prepare for ZCO and INOI via specially curated practice problems and past exam problems. Read our roadmap - https://www.codechef.com/blogs/prepare-for-zco-inoi-ioi-exam</t>
        </is>
      </c>
      <c r="D518" s="2" t="inlineStr">
        <is>
          <t>ZCO problems - Past ZCO problems</t>
        </is>
      </c>
      <c r="E518" s="2" t="n">
        <v>56</v>
      </c>
      <c r="F518" s="2" t="inlineStr">
        <is>
          <t>Bookshelves</t>
        </is>
      </c>
      <c r="G518" s="2" t="inlineStr">
        <is>
          <t>ZCO16001</t>
        </is>
      </c>
      <c r="H518" s="2" t="inlineStr"/>
      <c r="I518" s="2" t="inlineStr">
        <is>
          <t>Hard</t>
        </is>
      </c>
      <c r="J518" s="3">
        <f>HYPERLINK("https://www.codechef.com/problems/ZCO16001", "https://www.codechef.com/problems/ZCO16001")</f>
        <v/>
      </c>
      <c r="K518" s="2" t="inlineStr"/>
      <c r="L518" s="2" t="inlineStr"/>
      <c r="M518" s="2" t="inlineStr"/>
      <c r="N518" s="2" t="inlineStr">
        <is>
          <t>No</t>
        </is>
      </c>
      <c r="O518" s="2" t="inlineStr">
        <is>
          <t>Unattempted</t>
        </is>
      </c>
    </row>
    <row r="519">
      <c r="A519" s="4" t="inlineStr">
        <is>
          <t>Other Practice Paths</t>
        </is>
      </c>
      <c r="B519" s="4" t="inlineStr">
        <is>
          <t>Practice for ZCO and INOI</t>
        </is>
      </c>
      <c r="C519" s="4" t="inlineStr">
        <is>
          <t>Prepare for ZCO and INOI via specially curated practice problems and past exam problems. Read our roadmap - https://www.codechef.com/blogs/prepare-for-zco-inoi-ioi-exam</t>
        </is>
      </c>
      <c r="D519" s="4" t="inlineStr">
        <is>
          <t>ZCO problems - Past ZCO problems</t>
        </is>
      </c>
      <c r="E519" s="4" t="n">
        <v>57</v>
      </c>
      <c r="F519" s="4" t="inlineStr">
        <is>
          <t>Covering</t>
        </is>
      </c>
      <c r="G519" s="4" t="inlineStr">
        <is>
          <t>ZCO15003</t>
        </is>
      </c>
      <c r="H519" s="4" t="inlineStr">
        <is>
          <t>1700</t>
        </is>
      </c>
      <c r="I519" s="4" t="inlineStr">
        <is>
          <t>Medium</t>
        </is>
      </c>
      <c r="J519" s="5">
        <f>HYPERLINK("https://www.codechef.com/problems/ZCO15003", "https://www.codechef.com/problems/ZCO15003")</f>
        <v/>
      </c>
      <c r="K519" s="4" t="inlineStr"/>
      <c r="L519" s="4" t="inlineStr"/>
      <c r="M519" s="4" t="inlineStr"/>
      <c r="N519" s="4" t="inlineStr">
        <is>
          <t>No</t>
        </is>
      </c>
      <c r="O519" s="4" t="inlineStr">
        <is>
          <t>Unattempted</t>
        </is>
      </c>
    </row>
    <row r="520">
      <c r="A520" s="2" t="inlineStr">
        <is>
          <t>Other Practice Paths</t>
        </is>
      </c>
      <c r="B520" s="2" t="inlineStr">
        <is>
          <t>Practice for ZCO and INOI</t>
        </is>
      </c>
      <c r="C520" s="2" t="inlineStr">
        <is>
          <t>Prepare for ZCO and INOI via specially curated practice problems and past exam problems. Read our roadmap - https://www.codechef.com/blogs/prepare-for-zco-inoi-ioi-exam</t>
        </is>
      </c>
      <c r="D520" s="2" t="inlineStr">
        <is>
          <t>ZCO problems - Past ZCO problems</t>
        </is>
      </c>
      <c r="E520" s="2" t="n">
        <v>58</v>
      </c>
      <c r="F520" s="2" t="inlineStr">
        <is>
          <t>Bamboo Art</t>
        </is>
      </c>
      <c r="G520" s="2" t="inlineStr">
        <is>
          <t>ZCO16002</t>
        </is>
      </c>
      <c r="H520" s="2" t="inlineStr"/>
      <c r="I520" s="2" t="inlineStr">
        <is>
          <t>Hard</t>
        </is>
      </c>
      <c r="J520" s="3">
        <f>HYPERLINK("https://www.codechef.com/problems/ZCO16002", "https://www.codechef.com/problems/ZCO16002")</f>
        <v/>
      </c>
      <c r="K520" s="2" t="inlineStr"/>
      <c r="L520" s="2" t="inlineStr"/>
      <c r="M520" s="2" t="inlineStr"/>
      <c r="N520" s="2" t="inlineStr">
        <is>
          <t>No</t>
        </is>
      </c>
      <c r="O520" s="2" t="inlineStr">
        <is>
          <t>Unattempted</t>
        </is>
      </c>
    </row>
    <row r="521">
      <c r="A521" s="4" t="inlineStr">
        <is>
          <t>Other Practice Paths</t>
        </is>
      </c>
      <c r="B521" s="4" t="inlineStr">
        <is>
          <t>Practice for ZCO and INOI</t>
        </is>
      </c>
      <c r="C521" s="4" t="inlineStr">
        <is>
          <t>Prepare for ZCO and INOI via specially curated practice problems and past exam problems. Read our roadmap - https://www.codechef.com/blogs/prepare-for-zco-inoi-ioi-exam</t>
        </is>
      </c>
      <c r="D521" s="4" t="inlineStr">
        <is>
          <t>ZCO problems - Past ZCO problems</t>
        </is>
      </c>
      <c r="E521" s="4" t="n">
        <v>59</v>
      </c>
      <c r="F521" s="4" t="inlineStr">
        <is>
          <t>Little Red Riding Hood</t>
        </is>
      </c>
      <c r="G521" s="4" t="inlineStr">
        <is>
          <t>ZCO13002</t>
        </is>
      </c>
      <c r="H521" s="4" t="inlineStr"/>
      <c r="I521" s="4" t="inlineStr">
        <is>
          <t>Hard</t>
        </is>
      </c>
      <c r="J521" s="5">
        <f>HYPERLINK("https://www.codechef.com/problems/ZCO13002", "https://www.codechef.com/problems/ZCO13002")</f>
        <v/>
      </c>
      <c r="K521" s="4" t="inlineStr"/>
      <c r="L521" s="4" t="inlineStr"/>
      <c r="M521" s="4" t="inlineStr"/>
      <c r="N521" s="4" t="inlineStr">
        <is>
          <t>No</t>
        </is>
      </c>
      <c r="O521" s="4" t="inlineStr">
        <is>
          <t>Unattempted</t>
        </is>
      </c>
    </row>
    <row r="522">
      <c r="A522" s="2" t="inlineStr">
        <is>
          <t>Other Practice Paths</t>
        </is>
      </c>
      <c r="B522" s="2" t="inlineStr">
        <is>
          <t>Practice for ZCO and INOI</t>
        </is>
      </c>
      <c r="C522" s="2" t="inlineStr">
        <is>
          <t>Prepare for ZCO and INOI via specially curated practice problems and past exam problems. Read our roadmap - https://www.codechef.com/blogs/prepare-for-zco-inoi-ioi-exam</t>
        </is>
      </c>
      <c r="D522" s="2" t="inlineStr">
        <is>
          <t>ZCO problems - Past ZCO problems</t>
        </is>
      </c>
      <c r="E522" s="2" t="n">
        <v>60</v>
      </c>
      <c r="F522" s="2" t="inlineStr">
        <is>
          <t>Matched Brackets 2</t>
        </is>
      </c>
      <c r="G522" s="2" t="inlineStr">
        <is>
          <t>ZCO12003</t>
        </is>
      </c>
      <c r="H522" s="2" t="inlineStr"/>
      <c r="I522" s="2" t="inlineStr">
        <is>
          <t>Hard</t>
        </is>
      </c>
      <c r="J522" s="3">
        <f>HYPERLINK("https://www.codechef.com/problems/ZCO12003", "https://www.codechef.com/problems/ZCO12003")</f>
        <v/>
      </c>
      <c r="K522" s="2" t="inlineStr"/>
      <c r="L522" s="2" t="inlineStr"/>
      <c r="M522" s="2" t="inlineStr"/>
      <c r="N522" s="2" t="inlineStr">
        <is>
          <t>No</t>
        </is>
      </c>
      <c r="O522" s="2" t="inlineStr">
        <is>
          <t>Unattempted</t>
        </is>
      </c>
    </row>
    <row r="523">
      <c r="A523" s="4" t="inlineStr">
        <is>
          <t>Other Practice Paths</t>
        </is>
      </c>
      <c r="B523" s="4" t="inlineStr">
        <is>
          <t>Practice for ZCO and INOI</t>
        </is>
      </c>
      <c r="C523" s="4" t="inlineStr">
        <is>
          <t>Prepare for ZCO and INOI via specially curated practice problems and past exam problems. Read our roadmap - https://www.codechef.com/blogs/prepare-for-zco-inoi-ioi-exam</t>
        </is>
      </c>
      <c r="D523" s="4" t="inlineStr">
        <is>
          <t>ZCO problems - Past ZCO problems</t>
        </is>
      </c>
      <c r="E523" s="4" t="n">
        <v>61</v>
      </c>
      <c r="F523" s="4" t="inlineStr">
        <is>
          <t>Rectangle</t>
        </is>
      </c>
      <c r="G523" s="4" t="inlineStr">
        <is>
          <t>ZCO15004</t>
        </is>
      </c>
      <c r="H523" s="4" t="inlineStr"/>
      <c r="I523" s="4" t="inlineStr">
        <is>
          <t>Hard</t>
        </is>
      </c>
      <c r="J523" s="5">
        <f>HYPERLINK("https://www.codechef.com/problems/ZCO15004", "https://www.codechef.com/problems/ZCO15004")</f>
        <v/>
      </c>
      <c r="K523" s="4" t="inlineStr"/>
      <c r="L523" s="4" t="inlineStr"/>
      <c r="M523" s="4" t="inlineStr"/>
      <c r="N523" s="4" t="inlineStr">
        <is>
          <t>No</t>
        </is>
      </c>
      <c r="O523" s="4" t="inlineStr">
        <is>
          <t>Unattempted</t>
        </is>
      </c>
    </row>
    <row r="524">
      <c r="A524" s="2" t="inlineStr">
        <is>
          <t>Other Practice Paths</t>
        </is>
      </c>
      <c r="B524" s="2" t="inlineStr">
        <is>
          <t>Practice for ZCO and INOI</t>
        </is>
      </c>
      <c r="C524" s="2" t="inlineStr">
        <is>
          <t>Prepare for ZCO and INOI via specially curated practice problems and past exam problems. Read our roadmap - https://www.codechef.com/blogs/prepare-for-zco-inoi-ioi-exam</t>
        </is>
      </c>
      <c r="D524" s="2" t="inlineStr">
        <is>
          <t>ZCO problems - Past ZCO problems</t>
        </is>
      </c>
      <c r="E524" s="2" t="n">
        <v>62</v>
      </c>
      <c r="F524" s="2" t="inlineStr">
        <is>
          <t>ZCO 2019 - 1 Singing Tournament</t>
        </is>
      </c>
      <c r="G524" s="2" t="inlineStr">
        <is>
          <t>SINGTOUR</t>
        </is>
      </c>
      <c r="H524" s="2" t="inlineStr"/>
      <c r="I524" s="2" t="inlineStr">
        <is>
          <t>Hard</t>
        </is>
      </c>
      <c r="J524" s="3">
        <f>HYPERLINK("https://www.codechef.com/problems/SINGTOUR", "https://www.codechef.com/problems/SINGTOUR")</f>
        <v/>
      </c>
      <c r="K524" s="2" t="inlineStr"/>
      <c r="L524" s="2" t="inlineStr"/>
      <c r="M524" s="2" t="inlineStr"/>
      <c r="N524" s="2" t="inlineStr">
        <is>
          <t>No</t>
        </is>
      </c>
      <c r="O524" s="2" t="inlineStr">
        <is>
          <t>Unattempted</t>
        </is>
      </c>
    </row>
    <row r="525">
      <c r="A525" s="4" t="inlineStr">
        <is>
          <t>Other Practice Paths</t>
        </is>
      </c>
      <c r="B525" s="4" t="inlineStr">
        <is>
          <t>Practice for ZCO and INOI</t>
        </is>
      </c>
      <c r="C525" s="4" t="inlineStr">
        <is>
          <t>Prepare for ZCO and INOI via specially curated practice problems and past exam problems. Read our roadmap - https://www.codechef.com/blogs/prepare-for-zco-inoi-ioi-exam</t>
        </is>
      </c>
      <c r="D525" s="4" t="inlineStr">
        <is>
          <t>ZCO problems - Past ZCO problems</t>
        </is>
      </c>
      <c r="E525" s="4" t="n">
        <v>63</v>
      </c>
      <c r="F525" s="4" t="inlineStr">
        <is>
          <t>Four Sum</t>
        </is>
      </c>
      <c r="G525" s="4" t="inlineStr">
        <is>
          <t>ZCO17001</t>
        </is>
      </c>
      <c r="H525" s="4" t="inlineStr"/>
      <c r="I525" s="4" t="inlineStr">
        <is>
          <t>Hard</t>
        </is>
      </c>
      <c r="J525" s="5">
        <f>HYPERLINK("https://www.codechef.com/problems/ZCO17001", "https://www.codechef.com/problems/ZCO17001")</f>
        <v/>
      </c>
      <c r="K525" s="4" t="inlineStr"/>
      <c r="L525" s="4" t="inlineStr"/>
      <c r="M525" s="4" t="inlineStr"/>
      <c r="N525" s="4" t="inlineStr">
        <is>
          <t>No</t>
        </is>
      </c>
      <c r="O525" s="4" t="inlineStr">
        <is>
          <t>Unattempted</t>
        </is>
      </c>
    </row>
    <row r="526">
      <c r="A526" s="2" t="inlineStr">
        <is>
          <t>Other Practice Paths</t>
        </is>
      </c>
      <c r="B526" s="2" t="inlineStr">
        <is>
          <t>Practice for ZCO and INOI</t>
        </is>
      </c>
      <c r="C526" s="2" t="inlineStr">
        <is>
          <t>Prepare for ZCO and INOI via specially curated practice problems and past exam problems. Read our roadmap - https://www.codechef.com/blogs/prepare-for-zco-inoi-ioi-exam</t>
        </is>
      </c>
      <c r="D526" s="2" t="inlineStr">
        <is>
          <t>ZCO problems - Past ZCO problems</t>
        </is>
      </c>
      <c r="E526" s="2" t="n">
        <v>64</v>
      </c>
      <c r="F526" s="2" t="inlineStr">
        <is>
          <t>Vacation</t>
        </is>
      </c>
      <c r="G526" s="2" t="inlineStr">
        <is>
          <t>ZCO22001</t>
        </is>
      </c>
      <c r="H526" s="2" t="inlineStr"/>
      <c r="I526" s="2" t="inlineStr">
        <is>
          <t>Hard</t>
        </is>
      </c>
      <c r="J526" s="3">
        <f>HYPERLINK("https://www.codechef.com/problems/ZCO22001", "https://www.codechef.com/problems/ZCO22001")</f>
        <v/>
      </c>
      <c r="K526" s="2" t="inlineStr"/>
      <c r="L526" s="2" t="inlineStr"/>
      <c r="M526" s="2" t="inlineStr"/>
      <c r="N526" s="2" t="inlineStr">
        <is>
          <t>No</t>
        </is>
      </c>
      <c r="O526" s="2" t="inlineStr">
        <is>
          <t>Unattempted</t>
        </is>
      </c>
    </row>
    <row r="527">
      <c r="A527" s="4" t="inlineStr">
        <is>
          <t>Other Practice Paths</t>
        </is>
      </c>
      <c r="B527" s="4" t="inlineStr">
        <is>
          <t>Practice for ZCO and INOI</t>
        </is>
      </c>
      <c r="C527" s="4" t="inlineStr">
        <is>
          <t>Prepare for ZCO and INOI via specially curated practice problems and past exam problems. Read our roadmap - https://www.codechef.com/blogs/prepare-for-zco-inoi-ioi-exam</t>
        </is>
      </c>
      <c r="D527" s="4" t="inlineStr">
        <is>
          <t>ZCO problems - Past ZCO problems</t>
        </is>
      </c>
      <c r="E527" s="4" t="n">
        <v>65</v>
      </c>
      <c r="F527" s="4" t="inlineStr">
        <is>
          <t>Save Spaceman Spiff</t>
        </is>
      </c>
      <c r="G527" s="4" t="inlineStr">
        <is>
          <t>ZCO13004</t>
        </is>
      </c>
      <c r="H527" s="4" t="inlineStr"/>
      <c r="I527" s="4" t="inlineStr">
        <is>
          <t>Hard</t>
        </is>
      </c>
      <c r="J527" s="5">
        <f>HYPERLINK("https://www.codechef.com/problems/ZCO13004", "https://www.codechef.com/problems/ZCO13004")</f>
        <v/>
      </c>
      <c r="K527" s="4" t="inlineStr"/>
      <c r="L527" s="4" t="inlineStr"/>
      <c r="M527" s="4" t="inlineStr"/>
      <c r="N527" s="4" t="inlineStr">
        <is>
          <t>No</t>
        </is>
      </c>
      <c r="O527" s="4" t="inlineStr">
        <is>
          <t>Unattempted</t>
        </is>
      </c>
    </row>
    <row r="528">
      <c r="A528" s="2" t="inlineStr">
        <is>
          <t>Other Practice Paths</t>
        </is>
      </c>
      <c r="B528" s="2" t="inlineStr">
        <is>
          <t>Practice for ZCO and INOI</t>
        </is>
      </c>
      <c r="C528" s="2" t="inlineStr">
        <is>
          <t>Prepare for ZCO and INOI via specially curated practice problems and past exam problems. Read our roadmap - https://www.codechef.com/blogs/prepare-for-zco-inoi-ioi-exam</t>
        </is>
      </c>
      <c r="D528" s="2" t="inlineStr">
        <is>
          <t>ZCO problems - Past ZCO problems</t>
        </is>
      </c>
      <c r="E528" s="2" t="n">
        <v>66</v>
      </c>
      <c r="F528" s="2" t="inlineStr">
        <is>
          <t>Moving Intervals - ZCO 2018</t>
        </is>
      </c>
      <c r="G528" s="2" t="inlineStr">
        <is>
          <t>MOVINTRL</t>
        </is>
      </c>
      <c r="H528" s="2" t="inlineStr"/>
      <c r="I528" s="2" t="inlineStr">
        <is>
          <t>Hard</t>
        </is>
      </c>
      <c r="J528" s="3">
        <f>HYPERLINK("https://www.codechef.com/problems/MOVINTRL", "https://www.codechef.com/problems/MOVINTRL")</f>
        <v/>
      </c>
      <c r="K528" s="2" t="inlineStr"/>
      <c r="L528" s="2" t="inlineStr"/>
      <c r="M528" s="2" t="inlineStr"/>
      <c r="N528" s="2" t="inlineStr">
        <is>
          <t>No</t>
        </is>
      </c>
      <c r="O528" s="2" t="inlineStr">
        <is>
          <t>Unattempted</t>
        </is>
      </c>
    </row>
    <row r="529">
      <c r="A529" s="4" t="inlineStr">
        <is>
          <t>Other Practice Paths</t>
        </is>
      </c>
      <c r="B529" s="4" t="inlineStr">
        <is>
          <t>Practice for ZCO and INOI</t>
        </is>
      </c>
      <c r="C529" s="4" t="inlineStr">
        <is>
          <t>Prepare for ZCO and INOI via specially curated practice problems and past exam problems. Read our roadmap - https://www.codechef.com/blogs/prepare-for-zco-inoi-ioi-exam</t>
        </is>
      </c>
      <c r="D529" s="4" t="inlineStr">
        <is>
          <t>ZCO problems - Past ZCO problems</t>
        </is>
      </c>
      <c r="E529" s="4" t="n">
        <v>67</v>
      </c>
      <c r="F529" s="4" t="inlineStr">
        <is>
          <t>Weird Ordering</t>
        </is>
      </c>
      <c r="G529" s="4" t="inlineStr">
        <is>
          <t>ZCO20001</t>
        </is>
      </c>
      <c r="H529" s="4" t="inlineStr"/>
      <c r="I529" s="4" t="inlineStr">
        <is>
          <t>Medium</t>
        </is>
      </c>
      <c r="J529" s="5">
        <f>HYPERLINK("https://www.codechef.com/problems/ZCO20001", "https://www.codechef.com/problems/ZCO20001")</f>
        <v/>
      </c>
      <c r="K529" s="4" t="inlineStr"/>
      <c r="L529" s="4" t="inlineStr"/>
      <c r="M529" s="4" t="inlineStr"/>
      <c r="N529" s="4" t="inlineStr">
        <is>
          <t>No</t>
        </is>
      </c>
      <c r="O529" s="4" t="inlineStr">
        <is>
          <t>Unattempted</t>
        </is>
      </c>
    </row>
    <row r="530">
      <c r="A530" s="2" t="inlineStr">
        <is>
          <t>Other Practice Paths</t>
        </is>
      </c>
      <c r="B530" s="2" t="inlineStr">
        <is>
          <t>Practice for ZCO and INOI</t>
        </is>
      </c>
      <c r="C530" s="2" t="inlineStr">
        <is>
          <t>Prepare for ZCO and INOI via specially curated practice problems and past exam problems. Read our roadmap - https://www.codechef.com/blogs/prepare-for-zco-inoi-ioi-exam</t>
        </is>
      </c>
      <c r="D530" s="2" t="inlineStr">
        <is>
          <t>ZCO problems - Past ZCO problems</t>
        </is>
      </c>
      <c r="E530" s="2" t="n">
        <v>68</v>
      </c>
      <c r="F530" s="2" t="inlineStr">
        <is>
          <t>ZCO 2019 - 2 UpDown Sequences</t>
        </is>
      </c>
      <c r="G530" s="2" t="inlineStr">
        <is>
          <t>UPDOWSEQ</t>
        </is>
      </c>
      <c r="H530" s="2" t="inlineStr"/>
      <c r="I530" s="2" t="inlineStr">
        <is>
          <t>Hard</t>
        </is>
      </c>
      <c r="J530" s="3">
        <f>HYPERLINK("https://www.codechef.com/problems/UPDOWSEQ", "https://www.codechef.com/problems/UPDOWSEQ")</f>
        <v/>
      </c>
      <c r="K530" s="2" t="inlineStr"/>
      <c r="L530" s="2" t="inlineStr"/>
      <c r="M530" s="2" t="inlineStr"/>
      <c r="N530" s="2" t="inlineStr">
        <is>
          <t>No</t>
        </is>
      </c>
      <c r="O530" s="2" t="inlineStr">
        <is>
          <t>Unattempted</t>
        </is>
      </c>
    </row>
    <row r="531">
      <c r="A531" s="4" t="inlineStr">
        <is>
          <t>Other Practice Paths</t>
        </is>
      </c>
      <c r="B531" s="4" t="inlineStr">
        <is>
          <t>Practice for ZCO and INOI</t>
        </is>
      </c>
      <c r="C531" s="4" t="inlineStr">
        <is>
          <t>Prepare for ZCO and INOI via specially curated practice problems and past exam problems. Read our roadmap - https://www.codechef.com/blogs/prepare-for-zco-inoi-ioi-exam</t>
        </is>
      </c>
      <c r="D531" s="4" t="inlineStr">
        <is>
          <t>ZCO problems - Past ZCO problems</t>
        </is>
      </c>
      <c r="E531" s="4" t="n">
        <v>69</v>
      </c>
      <c r="F531" s="4" t="inlineStr">
        <is>
          <t>Substring Importance - ZCO 2018</t>
        </is>
      </c>
      <c r="G531" s="4" t="inlineStr">
        <is>
          <t>STRIMPOR</t>
        </is>
      </c>
      <c r="H531" s="4" t="inlineStr"/>
      <c r="I531" s="4" t="inlineStr">
        <is>
          <t>Hard</t>
        </is>
      </c>
      <c r="J531" s="5">
        <f>HYPERLINK("https://www.codechef.com/problems/STRIMPOR", "https://www.codechef.com/problems/STRIMPOR")</f>
        <v/>
      </c>
      <c r="K531" s="4" t="inlineStr"/>
      <c r="L531" s="4" t="inlineStr"/>
      <c r="M531" s="4" t="inlineStr"/>
      <c r="N531" s="4" t="inlineStr">
        <is>
          <t>No</t>
        </is>
      </c>
      <c r="O531" s="4" t="inlineStr">
        <is>
          <t>Unattempted</t>
        </is>
      </c>
    </row>
    <row r="532">
      <c r="A532" s="2" t="inlineStr">
        <is>
          <t>Other Practice Paths</t>
        </is>
      </c>
      <c r="B532" s="2" t="inlineStr">
        <is>
          <t>Practice for ZCO and INOI</t>
        </is>
      </c>
      <c r="C532" s="2" t="inlineStr">
        <is>
          <t>Prepare for ZCO and INOI via specially curated practice problems and past exam problems. Read our roadmap - https://www.codechef.com/blogs/prepare-for-zco-inoi-ioi-exam</t>
        </is>
      </c>
      <c r="D532" s="2" t="inlineStr">
        <is>
          <t>ZCO problems - Past ZCO problems</t>
        </is>
      </c>
      <c r="E532" s="2" t="n">
        <v>70</v>
      </c>
      <c r="F532" s="2" t="inlineStr">
        <is>
          <t>Rays</t>
        </is>
      </c>
      <c r="G532" s="2" t="inlineStr">
        <is>
          <t>ZCO17002</t>
        </is>
      </c>
      <c r="H532" s="2" t="inlineStr"/>
      <c r="I532" s="2" t="inlineStr">
        <is>
          <t>Medium</t>
        </is>
      </c>
      <c r="J532" s="3">
        <f>HYPERLINK("https://www.codechef.com/problems/ZCO17002", "https://www.codechef.com/problems/ZCO17002")</f>
        <v/>
      </c>
      <c r="K532" s="2" t="inlineStr"/>
      <c r="L532" s="2" t="inlineStr"/>
      <c r="M532" s="2" t="inlineStr"/>
      <c r="N532" s="2" t="inlineStr">
        <is>
          <t>No</t>
        </is>
      </c>
      <c r="O532" s="2" t="inlineStr">
        <is>
          <t>Unattempted</t>
        </is>
      </c>
    </row>
    <row r="533">
      <c r="A533" s="4" t="inlineStr">
        <is>
          <t>Other Practice Paths</t>
        </is>
      </c>
      <c r="B533" s="4" t="inlineStr">
        <is>
          <t>Practice for ZCO and INOI</t>
        </is>
      </c>
      <c r="C533" s="4" t="inlineStr">
        <is>
          <t>Prepare for ZCO and INOI via specially curated practice problems and past exam problems. Read our roadmap - https://www.codechef.com/blogs/prepare-for-zco-inoi-ioi-exam</t>
        </is>
      </c>
      <c r="D533" s="4" t="inlineStr">
        <is>
          <t>ZCO problems - Past ZCO problems</t>
        </is>
      </c>
      <c r="E533" s="4" t="n">
        <v>71</v>
      </c>
      <c r="F533" s="4" t="inlineStr">
        <is>
          <t>Interleavings and Blocks</t>
        </is>
      </c>
      <c r="G533" s="4" t="inlineStr">
        <is>
          <t>ZCO20002</t>
        </is>
      </c>
      <c r="H533" s="4" t="inlineStr"/>
      <c r="I533" s="4" t="inlineStr">
        <is>
          <t>Hard</t>
        </is>
      </c>
      <c r="J533" s="5">
        <f>HYPERLINK("https://www.codechef.com/problems/ZCO20002", "https://www.codechef.com/problems/ZCO20002")</f>
        <v/>
      </c>
      <c r="K533" s="4" t="inlineStr"/>
      <c r="L533" s="4" t="inlineStr"/>
      <c r="M533" s="4" t="inlineStr"/>
      <c r="N533" s="4" t="inlineStr">
        <is>
          <t>No</t>
        </is>
      </c>
      <c r="O533" s="4" t="inlineStr">
        <is>
          <t>Unattempted</t>
        </is>
      </c>
    </row>
    <row r="534">
      <c r="A534" s="2" t="inlineStr">
        <is>
          <t>Other Practice Paths</t>
        </is>
      </c>
      <c r="B534" s="2" t="inlineStr">
        <is>
          <t>Practice for ZCO and INOI</t>
        </is>
      </c>
      <c r="C534" s="2" t="inlineStr">
        <is>
          <t>Prepare for ZCO and INOI via specially curated practice problems and past exam problems. Read our roadmap - https://www.codechef.com/blogs/prepare-for-zco-inoi-ioi-exam</t>
        </is>
      </c>
      <c r="D534" s="2" t="inlineStr">
        <is>
          <t>ZCO problems - Past ZCO problems</t>
        </is>
      </c>
      <c r="E534" s="2" t="n">
        <v>72</v>
      </c>
      <c r="F534" s="2" t="inlineStr">
        <is>
          <t>Messages</t>
        </is>
      </c>
      <c r="G534" s="2" t="inlineStr">
        <is>
          <t>ZCO22002</t>
        </is>
      </c>
      <c r="H534" s="2" t="inlineStr"/>
      <c r="I534" s="2" t="inlineStr">
        <is>
          <t>Hard</t>
        </is>
      </c>
      <c r="J534" s="3">
        <f>HYPERLINK("https://www.codechef.com/problems/ZCO22002", "https://www.codechef.com/problems/ZCO22002")</f>
        <v/>
      </c>
      <c r="K534" s="2" t="inlineStr"/>
      <c r="L534" s="2" t="inlineStr"/>
      <c r="M534" s="2" t="inlineStr"/>
      <c r="N534" s="2" t="inlineStr">
        <is>
          <t>No</t>
        </is>
      </c>
      <c r="O534" s="2" t="inlineStr">
        <is>
          <t>Unattempted</t>
        </is>
      </c>
    </row>
    <row r="535">
      <c r="A535" s="4" t="inlineStr">
        <is>
          <t>Other Practice Paths</t>
        </is>
      </c>
      <c r="B535" s="4" t="inlineStr">
        <is>
          <t>Practice for ZCO and INOI</t>
        </is>
      </c>
      <c r="C535" s="4" t="inlineStr">
        <is>
          <t>Prepare for ZCO and INOI via specially curated practice problems and past exam problems. Read our roadmap - https://www.codechef.com/blogs/prepare-for-zco-inoi-ioi-exam</t>
        </is>
      </c>
      <c r="D535" s="4" t="inlineStr">
        <is>
          <t>ZCO problems - Past ZCO problems</t>
        </is>
      </c>
      <c r="E535" s="4" t="n">
        <v>73</v>
      </c>
      <c r="F535" s="4" t="inlineStr">
        <is>
          <t>Parchment</t>
        </is>
      </c>
      <c r="G535" s="4" t="inlineStr">
        <is>
          <t>ZCO23001</t>
        </is>
      </c>
      <c r="H535" s="4" t="inlineStr"/>
      <c r="I535" s="4" t="inlineStr">
        <is>
          <t>Hard</t>
        </is>
      </c>
      <c r="J535" s="5">
        <f>HYPERLINK("https://www.codechef.com/problems/ZCO23001", "https://www.codechef.com/problems/ZCO23001")</f>
        <v/>
      </c>
      <c r="K535" s="4" t="inlineStr"/>
      <c r="L535" s="4" t="inlineStr"/>
      <c r="M535" s="4" t="inlineStr"/>
      <c r="N535" s="4" t="inlineStr">
        <is>
          <t>No</t>
        </is>
      </c>
      <c r="O535" s="4" t="inlineStr">
        <is>
          <t>Unattempted</t>
        </is>
      </c>
    </row>
    <row r="536">
      <c r="A536" s="2" t="inlineStr">
        <is>
          <t>Other Practice Paths</t>
        </is>
      </c>
      <c r="B536" s="2" t="inlineStr">
        <is>
          <t>Practice for ZCO and INOI</t>
        </is>
      </c>
      <c r="C536" s="2" t="inlineStr">
        <is>
          <t>Prepare for ZCO and INOI via specially curated practice problems and past exam problems. Read our roadmap - https://www.codechef.com/blogs/prepare-for-zco-inoi-ioi-exam</t>
        </is>
      </c>
      <c r="D536" s="2" t="inlineStr">
        <is>
          <t>ZCO problems - Past ZCO problems</t>
        </is>
      </c>
      <c r="E536" s="2" t="n">
        <v>74</v>
      </c>
      <c r="F536" s="2" t="inlineStr">
        <is>
          <t>Weightage</t>
        </is>
      </c>
      <c r="G536" s="2" t="inlineStr">
        <is>
          <t>ZCO23002</t>
        </is>
      </c>
      <c r="H536" s="2" t="inlineStr"/>
      <c r="I536" s="2" t="inlineStr">
        <is>
          <t>Hard</t>
        </is>
      </c>
      <c r="J536" s="3">
        <f>HYPERLINK("https://www.codechef.com/problems/ZCO23002", "https://www.codechef.com/problems/ZCO23002")</f>
        <v/>
      </c>
      <c r="K536" s="2" t="inlineStr"/>
      <c r="L536" s="2" t="inlineStr"/>
      <c r="M536" s="2" t="inlineStr"/>
      <c r="N536" s="2" t="inlineStr">
        <is>
          <t>No</t>
        </is>
      </c>
      <c r="O536" s="2" t="inlineStr">
        <is>
          <t>Unattempted</t>
        </is>
      </c>
    </row>
    <row r="537">
      <c r="A537" s="4" t="inlineStr">
        <is>
          <t>Other Practice Paths</t>
        </is>
      </c>
      <c r="B537" s="4" t="inlineStr">
        <is>
          <t>Practice for ZCO and INOI</t>
        </is>
      </c>
      <c r="C537" s="4" t="inlineStr">
        <is>
          <t>Prepare for ZCO and INOI via specially curated practice problems and past exam problems. Read our roadmap - https://www.codechef.com/blogs/prepare-for-zco-inoi-ioi-exam</t>
        </is>
      </c>
      <c r="D537" s="4" t="inlineStr">
        <is>
          <t>ZCO problems - Past ZCO problems</t>
        </is>
      </c>
      <c r="E537" s="4" t="n">
        <v>75</v>
      </c>
      <c r="F537" s="4" t="inlineStr">
        <is>
          <t>Queue</t>
        </is>
      </c>
      <c r="G537" s="4" t="inlineStr">
        <is>
          <t>ZCO26P1</t>
        </is>
      </c>
      <c r="H537" s="4" t="inlineStr"/>
      <c r="I537" s="4" t="inlineStr">
        <is>
          <t>Hard</t>
        </is>
      </c>
      <c r="J537" s="5">
        <f>HYPERLINK("https://www.codechef.com/problems/ZCO26P1", "https://www.codechef.com/problems/ZCO26P1")</f>
        <v/>
      </c>
      <c r="K537" s="4" t="inlineStr"/>
      <c r="L537" s="4" t="inlineStr"/>
      <c r="M537" s="4" t="inlineStr"/>
      <c r="N537" s="4" t="inlineStr">
        <is>
          <t>No</t>
        </is>
      </c>
      <c r="O537" s="4" t="inlineStr">
        <is>
          <t>Unattempted</t>
        </is>
      </c>
    </row>
    <row r="538">
      <c r="A538" s="2" t="inlineStr">
        <is>
          <t>Other Practice Paths</t>
        </is>
      </c>
      <c r="B538" s="2" t="inlineStr">
        <is>
          <t>Practice for ZCO and INOI</t>
        </is>
      </c>
      <c r="C538" s="2" t="inlineStr">
        <is>
          <t>Prepare for ZCO and INOI via specially curated practice problems and past exam problems. Read our roadmap - https://www.codechef.com/blogs/prepare-for-zco-inoi-ioi-exam</t>
        </is>
      </c>
      <c r="D538" s="2" t="inlineStr">
        <is>
          <t>ZCO problems - Past ZCO problems</t>
        </is>
      </c>
      <c r="E538" s="2" t="n">
        <v>76</v>
      </c>
      <c r="F538" s="2" t="inlineStr">
        <is>
          <t>Rows</t>
        </is>
      </c>
      <c r="G538" s="2" t="inlineStr">
        <is>
          <t>ZCO26P2</t>
        </is>
      </c>
      <c r="H538" s="2" t="inlineStr"/>
      <c r="I538" s="2" t="inlineStr">
        <is>
          <t>Hard</t>
        </is>
      </c>
      <c r="J538" s="3">
        <f>HYPERLINK("https://www.codechef.com/problems/ZCO26P2", "https://www.codechef.com/problems/ZCO26P2")</f>
        <v/>
      </c>
      <c r="K538" s="2" t="inlineStr"/>
      <c r="L538" s="2" t="inlineStr"/>
      <c r="M538" s="2" t="inlineStr"/>
      <c r="N538" s="2" t="inlineStr">
        <is>
          <t>No</t>
        </is>
      </c>
      <c r="O538" s="2" t="inlineStr">
        <is>
          <t>Unattempted</t>
        </is>
      </c>
    </row>
    <row r="539">
      <c r="A539" s="4" t="inlineStr">
        <is>
          <t>Other Practice Paths</t>
        </is>
      </c>
      <c r="B539" s="4" t="inlineStr">
        <is>
          <t>Practice for ZCO and INOI</t>
        </is>
      </c>
      <c r="C539" s="4" t="inlineStr">
        <is>
          <t>Prepare for ZCO and INOI via specially curated practice problems and past exam problems. Read our roadmap - https://www.codechef.com/blogs/prepare-for-zco-inoi-ioi-exam</t>
        </is>
      </c>
      <c r="D539" s="4" t="inlineStr">
        <is>
          <t>INOI problems - Past INOI problems</t>
        </is>
      </c>
      <c r="E539" s="4" t="n">
        <v>77</v>
      </c>
      <c r="F539" s="4" t="inlineStr">
        <is>
          <t>Free ticket</t>
        </is>
      </c>
      <c r="G539" s="4" t="inlineStr">
        <is>
          <t>INOI1402</t>
        </is>
      </c>
      <c r="H539" s="4" t="inlineStr"/>
      <c r="I539" s="4" t="inlineStr">
        <is>
          <t>Hard</t>
        </is>
      </c>
      <c r="J539" s="5">
        <f>HYPERLINK("https://www.codechef.com/problems/INOI1402", "https://www.codechef.com/problems/INOI1402")</f>
        <v/>
      </c>
      <c r="K539" s="4" t="inlineStr"/>
      <c r="L539" s="4" t="inlineStr"/>
      <c r="M539" s="4" t="inlineStr"/>
      <c r="N539" s="4" t="inlineStr">
        <is>
          <t>No</t>
        </is>
      </c>
      <c r="O539" s="4" t="inlineStr">
        <is>
          <t>Unattempted</t>
        </is>
      </c>
    </row>
    <row r="540">
      <c r="A540" s="2" t="inlineStr">
        <is>
          <t>Other Practice Paths</t>
        </is>
      </c>
      <c r="B540" s="2" t="inlineStr">
        <is>
          <t>Practice for ZCO and INOI</t>
        </is>
      </c>
      <c r="C540" s="2" t="inlineStr">
        <is>
          <t>Prepare for ZCO and INOI via specially curated practice problems and past exam problems. Read our roadmap - https://www.codechef.com/blogs/prepare-for-zco-inoi-ioi-exam</t>
        </is>
      </c>
      <c r="D540" s="2" t="inlineStr">
        <is>
          <t>INOI problems - Past INOI problems</t>
        </is>
      </c>
      <c r="E540" s="2" t="n">
        <v>78</v>
      </c>
      <c r="F540" s="2" t="inlineStr">
        <is>
          <t>Triathlon</t>
        </is>
      </c>
      <c r="G540" s="2" t="inlineStr">
        <is>
          <t>INOI1201</t>
        </is>
      </c>
      <c r="H540" s="2" t="inlineStr"/>
      <c r="I540" s="2" t="inlineStr">
        <is>
          <t>Hard</t>
        </is>
      </c>
      <c r="J540" s="3">
        <f>HYPERLINK("https://www.codechef.com/problems/INOI1201", "https://www.codechef.com/problems/INOI1201")</f>
        <v/>
      </c>
      <c r="K540" s="2" t="inlineStr"/>
      <c r="L540" s="2" t="inlineStr"/>
      <c r="M540" s="2" t="inlineStr"/>
      <c r="N540" s="2" t="inlineStr">
        <is>
          <t>No</t>
        </is>
      </c>
      <c r="O540" s="2" t="inlineStr">
        <is>
          <t>Unattempted</t>
        </is>
      </c>
    </row>
    <row r="541">
      <c r="A541" s="4" t="inlineStr">
        <is>
          <t>Other Practice Paths</t>
        </is>
      </c>
      <c r="B541" s="4" t="inlineStr">
        <is>
          <t>Practice for ZCO and INOI</t>
        </is>
      </c>
      <c r="C541" s="4" t="inlineStr">
        <is>
          <t>Prepare for ZCO and INOI via specially curated practice problems and past exam problems. Read our roadmap - https://www.codechef.com/blogs/prepare-for-zco-inoi-ioi-exam</t>
        </is>
      </c>
      <c r="D541" s="4" t="inlineStr">
        <is>
          <t>INOI problems - Past INOI problems</t>
        </is>
      </c>
      <c r="E541" s="4" t="n">
        <v>79</v>
      </c>
      <c r="F541" s="4" t="inlineStr">
        <is>
          <t>Calvins Game</t>
        </is>
      </c>
      <c r="G541" s="4" t="inlineStr">
        <is>
          <t>INOI1301</t>
        </is>
      </c>
      <c r="H541" s="4" t="inlineStr"/>
      <c r="I541" s="4" t="inlineStr">
        <is>
          <t>Hard</t>
        </is>
      </c>
      <c r="J541" s="5">
        <f>HYPERLINK("https://www.codechef.com/problems/INOI1301", "https://www.codechef.com/problems/INOI1301")</f>
        <v/>
      </c>
      <c r="K541" s="4" t="inlineStr"/>
      <c r="L541" s="4" t="inlineStr"/>
      <c r="M541" s="4" t="inlineStr"/>
      <c r="N541" s="4" t="inlineStr">
        <is>
          <t>No</t>
        </is>
      </c>
      <c r="O541" s="4" t="inlineStr">
        <is>
          <t>Unattempted</t>
        </is>
      </c>
    </row>
    <row r="542">
      <c r="A542" s="2" t="inlineStr">
        <is>
          <t>Other Practice Paths</t>
        </is>
      </c>
      <c r="B542" s="2" t="inlineStr">
        <is>
          <t>Practice for ZCO and INOI</t>
        </is>
      </c>
      <c r="C542" s="2" t="inlineStr">
        <is>
          <t>Prepare for ZCO and INOI via specially curated practice problems and past exam problems. Read our roadmap - https://www.codechef.com/blogs/prepare-for-zco-inoi-ioi-exam</t>
        </is>
      </c>
      <c r="D542" s="2" t="inlineStr">
        <is>
          <t>INOI problems - Past INOI problems</t>
        </is>
      </c>
      <c r="E542" s="2" t="n">
        <v>80</v>
      </c>
      <c r="F542" s="2" t="inlineStr">
        <is>
          <t>Sequence Land</t>
        </is>
      </c>
      <c r="G542" s="2" t="inlineStr">
        <is>
          <t>INOI1302</t>
        </is>
      </c>
      <c r="H542" s="2" t="inlineStr"/>
      <c r="I542" s="2" t="inlineStr">
        <is>
          <t>Hard</t>
        </is>
      </c>
      <c r="J542" s="3">
        <f>HYPERLINK("https://www.codechef.com/problems/INOI1302", "https://www.codechef.com/problems/INOI1302")</f>
        <v/>
      </c>
      <c r="K542" s="2" t="inlineStr"/>
      <c r="L542" s="2" t="inlineStr"/>
      <c r="M542" s="2" t="inlineStr"/>
      <c r="N542" s="2" t="inlineStr">
        <is>
          <t>No</t>
        </is>
      </c>
      <c r="O542" s="2" t="inlineStr">
        <is>
          <t>Unattempted</t>
        </is>
      </c>
    </row>
    <row r="543">
      <c r="A543" s="4" t="inlineStr">
        <is>
          <t>Other Practice Paths</t>
        </is>
      </c>
      <c r="B543" s="4" t="inlineStr">
        <is>
          <t>Practice for ZCO and INOI</t>
        </is>
      </c>
      <c r="C543" s="4" t="inlineStr">
        <is>
          <t>Prepare for ZCO and INOI via specially curated practice problems and past exam problems. Read our roadmap - https://www.codechef.com/blogs/prepare-for-zco-inoi-ioi-exam</t>
        </is>
      </c>
      <c r="D543" s="4" t="inlineStr">
        <is>
          <t>INOI problems - Past INOI problems</t>
        </is>
      </c>
      <c r="E543" s="4" t="n">
        <v>81</v>
      </c>
      <c r="F543" s="4" t="inlineStr">
        <is>
          <t>Wealth Disparity</t>
        </is>
      </c>
      <c r="G543" s="4" t="inlineStr">
        <is>
          <t>INOI1601</t>
        </is>
      </c>
      <c r="H543" s="4" t="inlineStr"/>
      <c r="I543" s="4" t="inlineStr">
        <is>
          <t>Hard</t>
        </is>
      </c>
      <c r="J543" s="5">
        <f>HYPERLINK("https://www.codechef.com/problems/INOI1601", "https://www.codechef.com/problems/INOI1601")</f>
        <v/>
      </c>
      <c r="K543" s="4" t="inlineStr"/>
      <c r="L543" s="4" t="inlineStr"/>
      <c r="M543" s="4" t="inlineStr"/>
      <c r="N543" s="4" t="inlineStr">
        <is>
          <t>No</t>
        </is>
      </c>
      <c r="O543" s="4" t="inlineStr">
        <is>
          <t>Unattempted</t>
        </is>
      </c>
    </row>
    <row r="544">
      <c r="A544" s="2" t="inlineStr">
        <is>
          <t>Other Practice Paths</t>
        </is>
      </c>
      <c r="B544" s="2" t="inlineStr">
        <is>
          <t>Practice for ZCO and INOI</t>
        </is>
      </c>
      <c r="C544" s="2" t="inlineStr">
        <is>
          <t>Prepare for ZCO and INOI via specially curated practice problems and past exam problems. Read our roadmap - https://www.codechef.com/blogs/prepare-for-zco-inoi-ioi-exam</t>
        </is>
      </c>
      <c r="D544" s="2" t="inlineStr">
        <is>
          <t>INOI problems - Past INOI problems</t>
        </is>
      </c>
      <c r="E544" s="2" t="n">
        <v>82</v>
      </c>
      <c r="F544" s="2" t="inlineStr">
        <is>
          <t>Table Sum</t>
        </is>
      </c>
      <c r="G544" s="2" t="inlineStr">
        <is>
          <t>INOI1202</t>
        </is>
      </c>
      <c r="H544" s="2" t="inlineStr"/>
      <c r="I544" s="2" t="inlineStr">
        <is>
          <t>Hard</t>
        </is>
      </c>
      <c r="J544" s="3">
        <f>HYPERLINK("https://www.codechef.com/problems/INOI1202", "https://www.codechef.com/problems/INOI1202")</f>
        <v/>
      </c>
      <c r="K544" s="2" t="inlineStr"/>
      <c r="L544" s="2" t="inlineStr"/>
      <c r="M544" s="2" t="inlineStr"/>
      <c r="N544" s="2" t="inlineStr">
        <is>
          <t>No</t>
        </is>
      </c>
      <c r="O544" s="2" t="inlineStr">
        <is>
          <t>Unattempted</t>
        </is>
      </c>
    </row>
    <row r="545">
      <c r="A545" s="4" t="inlineStr">
        <is>
          <t>Other Practice Paths</t>
        </is>
      </c>
      <c r="B545" s="4" t="inlineStr">
        <is>
          <t>Practice for ZCO and INOI</t>
        </is>
      </c>
      <c r="C545" s="4" t="inlineStr">
        <is>
          <t>Prepare for ZCO and INOI via specially curated practice problems and past exam problems. Read our roadmap - https://www.codechef.com/blogs/prepare-for-zco-inoi-ioi-exam</t>
        </is>
      </c>
      <c r="D545" s="4" t="inlineStr">
        <is>
          <t>INOI problems - Past INOI problems</t>
        </is>
      </c>
      <c r="E545" s="4" t="n">
        <v>83</v>
      </c>
      <c r="F545" s="4" t="inlineStr">
        <is>
          <t>Highway Bypass</t>
        </is>
      </c>
      <c r="G545" s="4" t="inlineStr">
        <is>
          <t>INOI1401</t>
        </is>
      </c>
      <c r="H545" s="4" t="inlineStr"/>
      <c r="I545" s="4" t="inlineStr">
        <is>
          <t>Hard</t>
        </is>
      </c>
      <c r="J545" s="5">
        <f>HYPERLINK("https://www.codechef.com/problems/INOI1401", "https://www.codechef.com/problems/INOI1401")</f>
        <v/>
      </c>
      <c r="K545" s="4" t="inlineStr"/>
      <c r="L545" s="4" t="inlineStr"/>
      <c r="M545" s="4" t="inlineStr"/>
      <c r="N545" s="4" t="inlineStr">
        <is>
          <t>No</t>
        </is>
      </c>
      <c r="O545" s="4" t="inlineStr">
        <is>
          <t>Unattempted</t>
        </is>
      </c>
    </row>
    <row r="546">
      <c r="A546" s="2" t="inlineStr">
        <is>
          <t>Other Practice Paths</t>
        </is>
      </c>
      <c r="B546" s="2" t="inlineStr">
        <is>
          <t>Practice for ZCO and INOI</t>
        </is>
      </c>
      <c r="C546" s="2" t="inlineStr">
        <is>
          <t>Prepare for ZCO and INOI via specially curated practice problems and past exam problems. Read our roadmap - https://www.codechef.com/blogs/prepare-for-zco-inoi-ioi-exam</t>
        </is>
      </c>
      <c r="D546" s="2" t="inlineStr">
        <is>
          <t>INOI problems - Past INOI problems</t>
        </is>
      </c>
      <c r="E546" s="2" t="n">
        <v>84</v>
      </c>
      <c r="F546" s="2" t="inlineStr">
        <is>
          <t>Special Sums</t>
        </is>
      </c>
      <c r="G546" s="2" t="inlineStr">
        <is>
          <t>INOI1501</t>
        </is>
      </c>
      <c r="H546" s="2" t="inlineStr"/>
      <c r="I546" s="2" t="inlineStr">
        <is>
          <t>Hard</t>
        </is>
      </c>
      <c r="J546" s="3">
        <f>HYPERLINK("https://www.codechef.com/problems/INOI1501", "https://www.codechef.com/problems/INOI1501")</f>
        <v/>
      </c>
      <c r="K546" s="2" t="inlineStr"/>
      <c r="L546" s="2" t="inlineStr"/>
      <c r="M546" s="2" t="inlineStr"/>
      <c r="N546" s="2" t="inlineStr">
        <is>
          <t>No</t>
        </is>
      </c>
      <c r="O546" s="2" t="inlineStr">
        <is>
          <t>Unattempted</t>
        </is>
      </c>
    </row>
    <row r="547">
      <c r="A547" s="4" t="inlineStr">
        <is>
          <t>Other Practice Paths</t>
        </is>
      </c>
      <c r="B547" s="4" t="inlineStr">
        <is>
          <t>Practice for ZCO and INOI</t>
        </is>
      </c>
      <c r="C547" s="4" t="inlineStr">
        <is>
          <t>Prepare for ZCO and INOI via specially curated practice problems and past exam problems. Read our roadmap - https://www.codechef.com/blogs/prepare-for-zco-inoi-ioi-exam</t>
        </is>
      </c>
      <c r="D547" s="4" t="inlineStr">
        <is>
          <t>INOI problems - Past INOI problems</t>
        </is>
      </c>
      <c r="E547" s="4" t="n">
        <v>85</v>
      </c>
      <c r="F547" s="4" t="inlineStr">
        <is>
          <t>Periodic Strings</t>
        </is>
      </c>
      <c r="G547" s="4" t="inlineStr">
        <is>
          <t>INOI1502</t>
        </is>
      </c>
      <c r="H547" s="4" t="inlineStr"/>
      <c r="I547" s="4" t="inlineStr">
        <is>
          <t>Hard</t>
        </is>
      </c>
      <c r="J547" s="5">
        <f>HYPERLINK("https://www.codechef.com/problems/INOI1502", "https://www.codechef.com/problems/INOI1502")</f>
        <v/>
      </c>
      <c r="K547" s="4" t="inlineStr"/>
      <c r="L547" s="4" t="inlineStr"/>
      <c r="M547" s="4" t="inlineStr"/>
      <c r="N547" s="4" t="inlineStr">
        <is>
          <t>No</t>
        </is>
      </c>
      <c r="O547" s="4" t="inlineStr">
        <is>
          <t>Unattempted</t>
        </is>
      </c>
    </row>
    <row r="548">
      <c r="A548" s="2" t="inlineStr">
        <is>
          <t>Other Practice Paths</t>
        </is>
      </c>
      <c r="B548" s="2" t="inlineStr">
        <is>
          <t>Practice for ZCO and INOI</t>
        </is>
      </c>
      <c r="C548" s="2" t="inlineStr">
        <is>
          <t>Prepare for ZCO and INOI via specially curated practice problems and past exam problems. Read our roadmap - https://www.codechef.com/blogs/prepare-for-zco-inoi-ioi-exam</t>
        </is>
      </c>
      <c r="D548" s="2" t="inlineStr">
        <is>
          <t>INOI problems - Past INOI problems</t>
        </is>
      </c>
      <c r="E548" s="2" t="n">
        <v>86</v>
      </c>
      <c r="F548" s="2" t="inlineStr">
        <is>
          <t>Brackets</t>
        </is>
      </c>
      <c r="G548" s="2" t="inlineStr">
        <is>
          <t>INOI1602</t>
        </is>
      </c>
      <c r="H548" s="2" t="inlineStr"/>
      <c r="I548" s="2" t="inlineStr">
        <is>
          <t>Hard</t>
        </is>
      </c>
      <c r="J548" s="3">
        <f>HYPERLINK("https://www.codechef.com/problems/INOI1602", "https://www.codechef.com/problems/INOI1602")</f>
        <v/>
      </c>
      <c r="K548" s="2" t="inlineStr"/>
      <c r="L548" s="2" t="inlineStr"/>
      <c r="M548" s="2" t="inlineStr"/>
      <c r="N548" s="2" t="inlineStr">
        <is>
          <t>No</t>
        </is>
      </c>
      <c r="O548" s="2" t="inlineStr">
        <is>
          <t>Unattempted</t>
        </is>
      </c>
    </row>
    <row r="549">
      <c r="A549" s="4" t="inlineStr">
        <is>
          <t>Other Practice Paths</t>
        </is>
      </c>
      <c r="B549" s="4" t="inlineStr">
        <is>
          <t>Practice for ZCO and INOI</t>
        </is>
      </c>
      <c r="C549" s="4" t="inlineStr">
        <is>
          <t>Prepare for ZCO and INOI via specially curated practice problems and past exam problems. Read our roadmap - https://www.codechef.com/blogs/prepare-for-zco-inoi-ioi-exam</t>
        </is>
      </c>
      <c r="D549" s="4" t="inlineStr">
        <is>
          <t>INOI problems - Past INOI problems</t>
        </is>
      </c>
      <c r="E549" s="4" t="n">
        <v>87</v>
      </c>
      <c r="F549" s="4" t="inlineStr">
        <is>
          <t>1 Road Trips and Museums - INOI 2018</t>
        </is>
      </c>
      <c r="G549" s="4" t="inlineStr">
        <is>
          <t>ROADTRIP</t>
        </is>
      </c>
      <c r="H549" s="4" t="inlineStr"/>
      <c r="I549" s="4" t="inlineStr">
        <is>
          <t>Hard</t>
        </is>
      </c>
      <c r="J549" s="5">
        <f>HYPERLINK("https://www.codechef.com/problems/ROADTRIP", "https://www.codechef.com/problems/ROADTRIP")</f>
        <v/>
      </c>
      <c r="K549" s="4" t="inlineStr"/>
      <c r="L549" s="4" t="inlineStr"/>
      <c r="M549" s="4" t="inlineStr"/>
      <c r="N549" s="4" t="inlineStr">
        <is>
          <t>No</t>
        </is>
      </c>
      <c r="O549" s="4" t="inlineStr">
        <is>
          <t>Unattempted</t>
        </is>
      </c>
    </row>
    <row r="550">
      <c r="A550" s="2" t="inlineStr">
        <is>
          <t>Other Practice Paths</t>
        </is>
      </c>
      <c r="B550" s="2" t="inlineStr">
        <is>
          <t>Practice for ZCO and INOI</t>
        </is>
      </c>
      <c r="C550" s="2" t="inlineStr">
        <is>
          <t>Prepare for ZCO and INOI via specially curated practice problems and past exam problems. Read our roadmap - https://www.codechef.com/blogs/prepare-for-zco-inoi-ioi-exam</t>
        </is>
      </c>
      <c r="D550" s="2" t="inlineStr">
        <is>
          <t>INOI problems - Past INOI problems</t>
        </is>
      </c>
      <c r="E550" s="2" t="n">
        <v>88</v>
      </c>
      <c r="F550" s="2" t="inlineStr">
        <is>
          <t>Training - INOI 2017</t>
        </is>
      </c>
      <c r="G550" s="2" t="inlineStr">
        <is>
          <t>TINOI17B</t>
        </is>
      </c>
      <c r="H550" s="2" t="inlineStr"/>
      <c r="I550" s="2" t="inlineStr">
        <is>
          <t>Hard</t>
        </is>
      </c>
      <c r="J550" s="3">
        <f>HYPERLINK("https://www.codechef.com/problems/TINOI17B", "https://www.codechef.com/problems/TINOI17B")</f>
        <v/>
      </c>
      <c r="K550" s="2" t="inlineStr"/>
      <c r="L550" s="2" t="inlineStr"/>
      <c r="M550" s="2" t="inlineStr"/>
      <c r="N550" s="2" t="inlineStr">
        <is>
          <t>No</t>
        </is>
      </c>
      <c r="O550" s="2" t="inlineStr">
        <is>
          <t>Unattempted</t>
        </is>
      </c>
    </row>
    <row r="551">
      <c r="A551" s="4" t="inlineStr">
        <is>
          <t>Other Practice Paths</t>
        </is>
      </c>
      <c r="B551" s="4" t="inlineStr">
        <is>
          <t>Practice for ZCO and INOI</t>
        </is>
      </c>
      <c r="C551" s="4" t="inlineStr">
        <is>
          <t>Prepare for ZCO and INOI via specially curated practice problems and past exam problems. Read our roadmap - https://www.codechef.com/blogs/prepare-for-zco-inoi-ioi-exam</t>
        </is>
      </c>
      <c r="D551" s="4" t="inlineStr">
        <is>
          <t>INOI problems - Past INOI problems</t>
        </is>
      </c>
      <c r="E551" s="4" t="n">
        <v>89</v>
      </c>
      <c r="F551" s="4" t="inlineStr">
        <is>
          <t>Among Us - INOI 2021</t>
        </is>
      </c>
      <c r="G551" s="4" t="inlineStr">
        <is>
          <t>AMONGUS2</t>
        </is>
      </c>
      <c r="H551" s="4" t="inlineStr"/>
      <c r="I551" s="4" t="inlineStr">
        <is>
          <t>Hard</t>
        </is>
      </c>
      <c r="J551" s="5">
        <f>HYPERLINK("https://www.codechef.com/problems/AMONGUS2", "https://www.codechef.com/problems/AMONGUS2")</f>
        <v/>
      </c>
      <c r="K551" s="4" t="inlineStr"/>
      <c r="L551" s="4" t="inlineStr"/>
      <c r="M551" s="4" t="inlineStr"/>
      <c r="N551" s="4" t="inlineStr">
        <is>
          <t>No</t>
        </is>
      </c>
      <c r="O551" s="4" t="inlineStr">
        <is>
          <t>Unattempted</t>
        </is>
      </c>
    </row>
    <row r="552">
      <c r="A552" s="2" t="inlineStr">
        <is>
          <t>Other Practice Paths</t>
        </is>
      </c>
      <c r="B552" s="2" t="inlineStr">
        <is>
          <t>Practice for ZCO and INOI</t>
        </is>
      </c>
      <c r="C552" s="2" t="inlineStr">
        <is>
          <t>Prepare for ZCO and INOI via specially curated practice problems and past exam problems. Read our roadmap - https://www.codechef.com/blogs/prepare-for-zco-inoi-ioi-exam</t>
        </is>
      </c>
      <c r="D552" s="2" t="inlineStr">
        <is>
          <t>INOI problems - Past INOI problems</t>
        </is>
      </c>
      <c r="E552" s="2" t="n">
        <v>90</v>
      </c>
      <c r="F552" s="2" t="inlineStr">
        <is>
          <t>Fence - INOI 2017</t>
        </is>
      </c>
      <c r="G552" s="2" t="inlineStr">
        <is>
          <t>TINOI17A</t>
        </is>
      </c>
      <c r="H552" s="2" t="inlineStr"/>
      <c r="I552" s="2" t="inlineStr">
        <is>
          <t>Hard</t>
        </is>
      </c>
      <c r="J552" s="3">
        <f>HYPERLINK("https://www.codechef.com/problems/TINOI17A", "https://www.codechef.com/problems/TINOI17A")</f>
        <v/>
      </c>
      <c r="K552" s="2" t="inlineStr"/>
      <c r="L552" s="2" t="inlineStr"/>
      <c r="M552" s="2" t="inlineStr"/>
      <c r="N552" s="2" t="inlineStr">
        <is>
          <t>No</t>
        </is>
      </c>
      <c r="O552" s="2" t="inlineStr">
        <is>
          <t>Unattempted</t>
        </is>
      </c>
    </row>
    <row r="553">
      <c r="A553" s="4" t="inlineStr">
        <is>
          <t>Other Practice Paths</t>
        </is>
      </c>
      <c r="B553" s="4" t="inlineStr">
        <is>
          <t>Practice for ZCO and INOI</t>
        </is>
      </c>
      <c r="C553" s="4" t="inlineStr">
        <is>
          <t>Prepare for ZCO and INOI via specially curated practice problems and past exam problems. Read our roadmap - https://www.codechef.com/blogs/prepare-for-zco-inoi-ioi-exam</t>
        </is>
      </c>
      <c r="D553" s="4" t="inlineStr">
        <is>
          <t>INOI problems - Past INOI problems</t>
        </is>
      </c>
      <c r="E553" s="4" t="n">
        <v>91</v>
      </c>
      <c r="F553" s="4" t="inlineStr">
        <is>
          <t>Department Strengths</t>
        </is>
      </c>
      <c r="G553" s="4" t="inlineStr">
        <is>
          <t>INOI2001</t>
        </is>
      </c>
      <c r="H553" s="4" t="inlineStr"/>
      <c r="I553" s="4" t="inlineStr">
        <is>
          <t>Hard</t>
        </is>
      </c>
      <c r="J553" s="5">
        <f>HYPERLINK("https://www.codechef.com/problems/INOI2001", "https://www.codechef.com/problems/INOI2001")</f>
        <v/>
      </c>
      <c r="K553" s="4" t="inlineStr"/>
      <c r="L553" s="4" t="inlineStr"/>
      <c r="M553" s="4" t="inlineStr"/>
      <c r="N553" s="4" t="inlineStr">
        <is>
          <t>No</t>
        </is>
      </c>
      <c r="O553" s="4" t="inlineStr">
        <is>
          <t>Unattempted</t>
        </is>
      </c>
    </row>
    <row r="554">
      <c r="A554" s="2" t="inlineStr">
        <is>
          <t>Other Practice Paths</t>
        </is>
      </c>
      <c r="B554" s="2" t="inlineStr">
        <is>
          <t>Practice for ZCO and INOI</t>
        </is>
      </c>
      <c r="C554" s="2" t="inlineStr">
        <is>
          <t>Prepare for ZCO and INOI via specially curated practice problems and past exam problems. Read our roadmap - https://www.codechef.com/blogs/prepare-for-zco-inoi-ioi-exam</t>
        </is>
      </c>
      <c r="D554" s="2" t="inlineStr">
        <is>
          <t>INOI problems - Past INOI problems</t>
        </is>
      </c>
      <c r="E554" s="2" t="n">
        <v>92</v>
      </c>
      <c r="F554" s="2" t="inlineStr">
        <is>
          <t>3xN Tiling</t>
        </is>
      </c>
      <c r="G554" s="2" t="inlineStr">
        <is>
          <t>INOI2002</t>
        </is>
      </c>
      <c r="H554" s="2" t="inlineStr"/>
      <c r="I554" s="2" t="inlineStr">
        <is>
          <t>Hard</t>
        </is>
      </c>
      <c r="J554" s="3">
        <f>HYPERLINK("https://www.codechef.com/problems/INOI2002", "https://www.codechef.com/problems/INOI2002")</f>
        <v/>
      </c>
      <c r="K554" s="2" t="inlineStr"/>
      <c r="L554" s="2" t="inlineStr"/>
      <c r="M554" s="2" t="inlineStr"/>
      <c r="N554" s="2" t="inlineStr">
        <is>
          <t>No</t>
        </is>
      </c>
      <c r="O554" s="2" t="inlineStr">
        <is>
          <t>Unattempted</t>
        </is>
      </c>
    </row>
    <row r="555">
      <c r="A555" s="4" t="inlineStr">
        <is>
          <t>Other Practice Paths</t>
        </is>
      </c>
      <c r="B555" s="4" t="inlineStr">
        <is>
          <t>Practice for ZCO and INOI</t>
        </is>
      </c>
      <c r="C555" s="4" t="inlineStr">
        <is>
          <t>Prepare for ZCO and INOI via specially curated practice problems and past exam problems. Read our roadmap - https://www.codechef.com/blogs/prepare-for-zco-inoi-ioi-exam</t>
        </is>
      </c>
      <c r="D555" s="4" t="inlineStr">
        <is>
          <t>INOI problems - Past INOI problems</t>
        </is>
      </c>
      <c r="E555" s="4" t="n">
        <v>93</v>
      </c>
      <c r="F555" s="4" t="inlineStr">
        <is>
          <t>2 Two Paths - INOI 2018</t>
        </is>
      </c>
      <c r="G555" s="4" t="inlineStr">
        <is>
          <t>TWOPATHS</t>
        </is>
      </c>
      <c r="H555" s="4" t="inlineStr"/>
      <c r="I555" s="4" t="inlineStr">
        <is>
          <t>Hard</t>
        </is>
      </c>
      <c r="J555" s="5">
        <f>HYPERLINK("https://www.codechef.com/problems/TWOPATHS", "https://www.codechef.com/problems/TWOPATHS")</f>
        <v/>
      </c>
      <c r="K555" s="4" t="inlineStr"/>
      <c r="L555" s="4" t="inlineStr"/>
      <c r="M555" s="4" t="inlineStr"/>
      <c r="N555" s="4" t="inlineStr">
        <is>
          <t>No</t>
        </is>
      </c>
      <c r="O555" s="4" t="inlineStr">
        <is>
          <t>Unattempted</t>
        </is>
      </c>
    </row>
    <row r="556">
      <c r="A556" s="2" t="inlineStr">
        <is>
          <t>Other Practice Paths</t>
        </is>
      </c>
      <c r="B556" s="2" t="inlineStr">
        <is>
          <t>Practice for ZCO and INOI</t>
        </is>
      </c>
      <c r="C556" s="2" t="inlineStr">
        <is>
          <t>Prepare for ZCO and INOI via specially curated practice problems and past exam problems. Read our roadmap - https://www.codechef.com/blogs/prepare-for-zco-inoi-ioi-exam</t>
        </is>
      </c>
      <c r="D556" s="2" t="inlineStr">
        <is>
          <t>INOI problems - Past INOI problems</t>
        </is>
      </c>
      <c r="E556" s="2" t="n">
        <v>94</v>
      </c>
      <c r="F556" s="2" t="inlineStr">
        <is>
          <t>Interesting Sequences</t>
        </is>
      </c>
      <c r="G556" s="2" t="inlineStr">
        <is>
          <t>INOI1902</t>
        </is>
      </c>
      <c r="H556" s="2" t="inlineStr"/>
      <c r="I556" s="2" t="inlineStr">
        <is>
          <t>Hard</t>
        </is>
      </c>
      <c r="J556" s="3">
        <f>HYPERLINK("https://www.codechef.com/problems/INOI1902", "https://www.codechef.com/problems/INOI1902")</f>
        <v/>
      </c>
      <c r="K556" s="2" t="inlineStr"/>
      <c r="L556" s="2" t="inlineStr"/>
      <c r="M556" s="2" t="inlineStr"/>
      <c r="N556" s="2" t="inlineStr">
        <is>
          <t>No</t>
        </is>
      </c>
      <c r="O556" s="2" t="inlineStr">
        <is>
          <t>Unattempted</t>
        </is>
      </c>
    </row>
    <row r="557">
      <c r="A557" s="4" t="inlineStr">
        <is>
          <t>Other Practice Paths</t>
        </is>
      </c>
      <c r="B557" s="4" t="inlineStr">
        <is>
          <t>Practice for ZCO and INOI</t>
        </is>
      </c>
      <c r="C557" s="4" t="inlineStr">
        <is>
          <t>Prepare for ZCO and INOI via specially curated practice problems and past exam problems. Read our roadmap - https://www.codechef.com/blogs/prepare-for-zco-inoi-ioi-exam</t>
        </is>
      </c>
      <c r="D557" s="4" t="inlineStr">
        <is>
          <t>INOI problems - Past INOI problems</t>
        </is>
      </c>
      <c r="E557" s="4" t="n">
        <v>95</v>
      </c>
      <c r="F557" s="4" t="inlineStr">
        <is>
          <t>Processor Scheduling</t>
        </is>
      </c>
      <c r="G557" s="4" t="inlineStr">
        <is>
          <t>INOI1901</t>
        </is>
      </c>
      <c r="H557" s="4" t="inlineStr"/>
      <c r="I557" s="4" t="inlineStr">
        <is>
          <t>Hard</t>
        </is>
      </c>
      <c r="J557" s="5">
        <f>HYPERLINK("https://www.codechef.com/problems/INOI1901", "https://www.codechef.com/problems/INOI1901")</f>
        <v/>
      </c>
      <c r="K557" s="4" t="inlineStr"/>
      <c r="L557" s="4" t="inlineStr"/>
      <c r="M557" s="4" t="inlineStr"/>
      <c r="N557" s="4" t="inlineStr">
        <is>
          <t>No</t>
        </is>
      </c>
      <c r="O557" s="4" t="inlineStr">
        <is>
          <t>Unattempted</t>
        </is>
      </c>
    </row>
    <row r="558">
      <c r="A558" s="2" t="inlineStr">
        <is>
          <t>Other Practice Paths</t>
        </is>
      </c>
      <c r="B558" s="2" t="inlineStr">
        <is>
          <t>Practice for ZCO and INOI</t>
        </is>
      </c>
      <c r="C558" s="2" t="inlineStr">
        <is>
          <t>Prepare for ZCO and INOI via specially curated practice problems and past exam problems. Read our roadmap - https://www.codechef.com/blogs/prepare-for-zco-inoi-ioi-exam</t>
        </is>
      </c>
      <c r="D558" s="2" t="inlineStr">
        <is>
          <t>INOI problems - Past INOI problems</t>
        </is>
      </c>
      <c r="E558" s="2" t="n">
        <v>96</v>
      </c>
      <c r="F558" s="2" t="inlineStr">
        <is>
          <t>Break the string - INOI 2021</t>
        </is>
      </c>
      <c r="G558" s="2" t="inlineStr">
        <is>
          <t>BREAKSTR</t>
        </is>
      </c>
      <c r="H558" s="2" t="inlineStr"/>
      <c r="I558" s="2" t="inlineStr">
        <is>
          <t>Hard</t>
        </is>
      </c>
      <c r="J558" s="3">
        <f>HYPERLINK("https://www.codechef.com/problems/BREAKSTR", "https://www.codechef.com/problems/BREAKSTR")</f>
        <v/>
      </c>
      <c r="K558" s="2" t="inlineStr"/>
      <c r="L558" s="2" t="inlineStr"/>
      <c r="M558" s="2" t="inlineStr"/>
      <c r="N558" s="2" t="inlineStr">
        <is>
          <t>No</t>
        </is>
      </c>
      <c r="O558" s="2" t="inlineStr">
        <is>
          <t>Unattempted</t>
        </is>
      </c>
    </row>
    <row r="559">
      <c r="A559" s="4" t="inlineStr">
        <is>
          <t>Other Practice Paths</t>
        </is>
      </c>
      <c r="B559" s="4" t="inlineStr">
        <is>
          <t>Practice for ZCO and INOI</t>
        </is>
      </c>
      <c r="C559" s="4" t="inlineStr">
        <is>
          <t>Prepare for ZCO and INOI via specially curated practice problems and past exam problems. Read our roadmap - https://www.codechef.com/blogs/prepare-for-zco-inoi-ioi-exam</t>
        </is>
      </c>
      <c r="D559" s="4" t="inlineStr">
        <is>
          <t>INOI problems - Past INOI problems</t>
        </is>
      </c>
      <c r="E559" s="4" t="n">
        <v>97</v>
      </c>
      <c r="F559" s="4" t="inlineStr">
        <is>
          <t>Diocletian - Part 2</t>
        </is>
      </c>
      <c r="G559" s="4" t="inlineStr">
        <is>
          <t>INOI2203B</t>
        </is>
      </c>
      <c r="H559" s="4" t="inlineStr"/>
      <c r="I559" s="4" t="inlineStr">
        <is>
          <t>Hard</t>
        </is>
      </c>
      <c r="J559" s="5">
        <f>HYPERLINK("https://www.codechef.com/problems/INOI2203B", "https://www.codechef.com/problems/INOI2203B")</f>
        <v/>
      </c>
      <c r="K559" s="4" t="inlineStr"/>
      <c r="L559" s="4" t="inlineStr"/>
      <c r="M559" s="4" t="inlineStr"/>
      <c r="N559" s="4" t="inlineStr">
        <is>
          <t>No</t>
        </is>
      </c>
      <c r="O559" s="4" t="inlineStr">
        <is>
          <t>Unattempted</t>
        </is>
      </c>
    </row>
    <row r="560">
      <c r="A560" s="2" t="inlineStr">
        <is>
          <t>Other Practice Paths</t>
        </is>
      </c>
      <c r="B560" s="2" t="inlineStr">
        <is>
          <t>Practice for ZCO and INOI</t>
        </is>
      </c>
      <c r="C560" s="2" t="inlineStr">
        <is>
          <t>Prepare for ZCO and INOI via specially curated practice problems and past exam problems. Read our roadmap - https://www.codechef.com/blogs/prepare-for-zco-inoi-ioi-exam</t>
        </is>
      </c>
      <c r="D560" s="2" t="inlineStr">
        <is>
          <t>INOI problems - Past INOI problems</t>
        </is>
      </c>
      <c r="E560" s="2" t="n">
        <v>98</v>
      </c>
      <c r="F560" s="2" t="inlineStr">
        <is>
          <t>Posting</t>
        </is>
      </c>
      <c r="G560" s="2" t="inlineStr">
        <is>
          <t>INOI2201</t>
        </is>
      </c>
      <c r="H560" s="2" t="inlineStr"/>
      <c r="I560" s="2" t="inlineStr">
        <is>
          <t>Hard</t>
        </is>
      </c>
      <c r="J560" s="3">
        <f>HYPERLINK("https://www.codechef.com/problems/INOI2201", "https://www.codechef.com/problems/INOI2201")</f>
        <v/>
      </c>
      <c r="K560" s="2" t="inlineStr"/>
      <c r="L560" s="2" t="inlineStr"/>
      <c r="M560" s="2" t="inlineStr"/>
      <c r="N560" s="2" t="inlineStr">
        <is>
          <t>No</t>
        </is>
      </c>
      <c r="O560" s="2" t="inlineStr">
        <is>
          <t>Unattempted</t>
        </is>
      </c>
    </row>
    <row r="561">
      <c r="A561" s="4" t="inlineStr">
        <is>
          <t>Other Practice Paths</t>
        </is>
      </c>
      <c r="B561" s="4" t="inlineStr">
        <is>
          <t>Practice for ZCO and INOI</t>
        </is>
      </c>
      <c r="C561" s="4" t="inlineStr">
        <is>
          <t>Prepare for ZCO and INOI via specially curated practice problems and past exam problems. Read our roadmap - https://www.codechef.com/blogs/prepare-for-zco-inoi-ioi-exam</t>
        </is>
      </c>
      <c r="D561" s="4" t="inlineStr">
        <is>
          <t>INOI problems - Past INOI problems</t>
        </is>
      </c>
      <c r="E561" s="4" t="n">
        <v>99</v>
      </c>
      <c r="F561" s="4" t="inlineStr">
        <is>
          <t>Conquest</t>
        </is>
      </c>
      <c r="G561" s="4" t="inlineStr">
        <is>
          <t>INOI2202</t>
        </is>
      </c>
      <c r="H561" s="4" t="inlineStr"/>
      <c r="I561" s="4" t="inlineStr">
        <is>
          <t>Hard</t>
        </is>
      </c>
      <c r="J561" s="5">
        <f>HYPERLINK("https://www.codechef.com/problems/INOI2202", "https://www.codechef.com/problems/INOI2202")</f>
        <v/>
      </c>
      <c r="K561" s="4" t="inlineStr"/>
      <c r="L561" s="4" t="inlineStr"/>
      <c r="M561" s="4" t="inlineStr"/>
      <c r="N561" s="4" t="inlineStr">
        <is>
          <t>No</t>
        </is>
      </c>
      <c r="O561" s="4" t="inlineStr">
        <is>
          <t>Unattempted</t>
        </is>
      </c>
    </row>
    <row r="562">
      <c r="A562" s="2" t="inlineStr">
        <is>
          <t>Other Practice Paths</t>
        </is>
      </c>
      <c r="B562" s="2" t="inlineStr">
        <is>
          <t>Practice for ZCO and INOI</t>
        </is>
      </c>
      <c r="C562" s="2" t="inlineStr">
        <is>
          <t>Prepare for ZCO and INOI via specially curated practice problems and past exam problems. Read our roadmap - https://www.codechef.com/blogs/prepare-for-zco-inoi-ioi-exam</t>
        </is>
      </c>
      <c r="D562" s="2" t="inlineStr">
        <is>
          <t>INOI problems - Past INOI problems</t>
        </is>
      </c>
      <c r="E562" s="2" t="n">
        <v>100</v>
      </c>
      <c r="F562" s="2" t="inlineStr">
        <is>
          <t>Diocletian - Part 1</t>
        </is>
      </c>
      <c r="G562" s="2" t="inlineStr">
        <is>
          <t>INOI2203A</t>
        </is>
      </c>
      <c r="H562" s="2" t="inlineStr"/>
      <c r="I562" s="2" t="inlineStr">
        <is>
          <t>Hard</t>
        </is>
      </c>
      <c r="J562" s="3">
        <f>HYPERLINK("https://www.codechef.com/problems/INOI2203A", "https://www.codechef.com/problems/INOI2203A")</f>
        <v/>
      </c>
      <c r="K562" s="2" t="inlineStr"/>
      <c r="L562" s="2" t="inlineStr"/>
      <c r="M562" s="2" t="inlineStr"/>
      <c r="N562" s="2" t="inlineStr">
        <is>
          <t>No</t>
        </is>
      </c>
      <c r="O562" s="2" t="inlineStr">
        <is>
          <t>Unattempted</t>
        </is>
      </c>
    </row>
    <row r="563">
      <c r="A563" s="4" t="inlineStr">
        <is>
          <t>Other Practice Paths</t>
        </is>
      </c>
      <c r="B563" s="4" t="inlineStr">
        <is>
          <t>Practice for ZCO and INOI</t>
        </is>
      </c>
      <c r="C563" s="4" t="inlineStr">
        <is>
          <t>Prepare for ZCO and INOI via specially curated practice problems and past exam problems. Read our roadmap - https://www.codechef.com/blogs/prepare-for-zco-inoi-ioi-exam</t>
        </is>
      </c>
      <c r="D563" s="4" t="inlineStr">
        <is>
          <t>INOI problems - Past INOI problems</t>
        </is>
      </c>
      <c r="E563" s="4" t="n">
        <v>101</v>
      </c>
      <c r="F563" s="4" t="inlineStr">
        <is>
          <t>Pillars</t>
        </is>
      </c>
      <c r="G563" s="4" t="inlineStr">
        <is>
          <t>INOI2302</t>
        </is>
      </c>
      <c r="H563" s="4" t="inlineStr"/>
      <c r="I563" s="4" t="inlineStr">
        <is>
          <t>Hard</t>
        </is>
      </c>
      <c r="J563" s="5">
        <f>HYPERLINK("https://www.codechef.com/problems/INOI2302", "https://www.codechef.com/problems/INOI2302")</f>
        <v/>
      </c>
      <c r="K563" s="4" t="inlineStr"/>
      <c r="L563" s="4" t="inlineStr"/>
      <c r="M563" s="4" t="inlineStr"/>
      <c r="N563" s="4" t="inlineStr">
        <is>
          <t>No</t>
        </is>
      </c>
      <c r="O563" s="4" t="inlineStr">
        <is>
          <t>Unattempted</t>
        </is>
      </c>
    </row>
    <row r="564">
      <c r="A564" s="2" t="inlineStr">
        <is>
          <t>Other Practice Paths</t>
        </is>
      </c>
      <c r="B564" s="2" t="inlineStr">
        <is>
          <t>Practice for ZCO and INOI</t>
        </is>
      </c>
      <c r="C564" s="2" t="inlineStr">
        <is>
          <t>Prepare for ZCO and INOI via specially curated practice problems and past exam problems. Read our roadmap - https://www.codechef.com/blogs/prepare-for-zco-inoi-ioi-exam</t>
        </is>
      </c>
      <c r="D564" s="2" t="inlineStr">
        <is>
          <t>INOI problems - Past INOI problems</t>
        </is>
      </c>
      <c r="E564" s="2" t="n">
        <v>102</v>
      </c>
      <c r="F564" s="2" t="inlineStr">
        <is>
          <t>Planet</t>
        </is>
      </c>
      <c r="G564" s="2" t="inlineStr">
        <is>
          <t>INOI2301</t>
        </is>
      </c>
      <c r="H564" s="2" t="inlineStr"/>
      <c r="I564" s="2" t="inlineStr">
        <is>
          <t>Hard</t>
        </is>
      </c>
      <c r="J564" s="3">
        <f>HYPERLINK("https://www.codechef.com/problems/INOI2301", "https://www.codechef.com/problems/INOI2301")</f>
        <v/>
      </c>
      <c r="K564" s="2" t="inlineStr"/>
      <c r="L564" s="2" t="inlineStr"/>
      <c r="M564" s="2" t="inlineStr"/>
      <c r="N564" s="2" t="inlineStr">
        <is>
          <t>No</t>
        </is>
      </c>
      <c r="O564" s="2" t="inlineStr">
        <is>
          <t>Unattempted</t>
        </is>
      </c>
    </row>
    <row r="565">
      <c r="A565" s="4" t="inlineStr">
        <is>
          <t>Other Practice Paths</t>
        </is>
      </c>
      <c r="B565" s="4" t="inlineStr">
        <is>
          <t>Practice for ZCO and INOI</t>
        </is>
      </c>
      <c r="C565" s="4" t="inlineStr">
        <is>
          <t>Prepare for ZCO and INOI via specially curated practice problems and past exam problems. Read our roadmap - https://www.codechef.com/blogs/prepare-for-zco-inoi-ioi-exam</t>
        </is>
      </c>
      <c r="D565" s="4" t="inlineStr">
        <is>
          <t>INOI problems - Past INOI problems</t>
        </is>
      </c>
      <c r="E565" s="4" t="n">
        <v>103</v>
      </c>
      <c r="F565" s="4" t="inlineStr">
        <is>
          <t>History</t>
        </is>
      </c>
      <c r="G565" s="4" t="inlineStr">
        <is>
          <t>INOI2303</t>
        </is>
      </c>
      <c r="H565" s="4" t="inlineStr"/>
      <c r="I565" s="4" t="inlineStr">
        <is>
          <t>Hard</t>
        </is>
      </c>
      <c r="J565" s="5">
        <f>HYPERLINK("https://www.codechef.com/problems/INOI2303", "https://www.codechef.com/problems/INOI2303")</f>
        <v/>
      </c>
      <c r="K565" s="4" t="inlineStr"/>
      <c r="L565" s="4" t="inlineStr"/>
      <c r="M565" s="4" t="inlineStr"/>
      <c r="N565" s="4" t="inlineStr">
        <is>
          <t>No</t>
        </is>
      </c>
      <c r="O565" s="4" t="inlineStr">
        <is>
          <t>Unattempted</t>
        </is>
      </c>
    </row>
    <row r="566">
      <c r="A566" s="2" t="inlineStr">
        <is>
          <t>Other Practice Paths</t>
        </is>
      </c>
      <c r="B566" s="2" t="inlineStr">
        <is>
          <t>Practice for ZCO and INOI</t>
        </is>
      </c>
      <c r="C566" s="2" t="inlineStr">
        <is>
          <t>Prepare for ZCO and INOI via specially curated practice problems and past exam problems. Read our roadmap - https://www.codechef.com/blogs/prepare-for-zco-inoi-ioi-exam</t>
        </is>
      </c>
      <c r="D566" s="2" t="inlineStr">
        <is>
          <t>INOI problems - Past INOI problems</t>
        </is>
      </c>
      <c r="E566" s="2" t="n">
        <v>104</v>
      </c>
      <c r="F566" s="2" t="inlineStr">
        <is>
          <t>Diff by 2</t>
        </is>
      </c>
      <c r="G566" s="2" t="inlineStr">
        <is>
          <t>INOI26P0</t>
        </is>
      </c>
      <c r="H566" s="2" t="inlineStr"/>
      <c r="I566" s="2" t="inlineStr">
        <is>
          <t>Hard</t>
        </is>
      </c>
      <c r="J566" s="3">
        <f>HYPERLINK("https://www.codechef.com/problems/INOI26P0", "https://www.codechef.com/problems/INOI26P0")</f>
        <v/>
      </c>
      <c r="K566" s="2" t="inlineStr"/>
      <c r="L566" s="2" t="inlineStr">
        <is>
          <t>raysh07_adm</t>
        </is>
      </c>
      <c r="M566" s="2" t="inlineStr"/>
      <c r="N566" s="2" t="inlineStr">
        <is>
          <t>No</t>
        </is>
      </c>
      <c r="O566" s="2" t="inlineStr">
        <is>
          <t>Unattempted</t>
        </is>
      </c>
    </row>
    <row r="567">
      <c r="A567" s="4" t="inlineStr">
        <is>
          <t>Other Practice Paths</t>
        </is>
      </c>
      <c r="B567" s="4" t="inlineStr">
        <is>
          <t>Practice for ZCO and INOI</t>
        </is>
      </c>
      <c r="C567" s="4" t="inlineStr">
        <is>
          <t>Prepare for ZCO and INOI via specially curated practice problems and past exam problems. Read our roadmap - https://www.codechef.com/blogs/prepare-for-zco-inoi-ioi-exam</t>
        </is>
      </c>
      <c r="D567" s="4" t="inlineStr">
        <is>
          <t>INOI problems - Past INOI problems</t>
        </is>
      </c>
      <c r="E567" s="4" t="n">
        <v>105</v>
      </c>
      <c r="F567" s="4" t="inlineStr">
        <is>
          <t>Smaller Sum</t>
        </is>
      </c>
      <c r="G567" s="4" t="inlineStr">
        <is>
          <t>INOI26P1</t>
        </is>
      </c>
      <c r="H567" s="4" t="inlineStr"/>
      <c r="I567" s="4" t="inlineStr">
        <is>
          <t>Hard</t>
        </is>
      </c>
      <c r="J567" s="5">
        <f>HYPERLINK("https://www.codechef.com/problems/INOI26P1", "https://www.codechef.com/problems/INOI26P1")</f>
        <v/>
      </c>
      <c r="K567" s="4" t="inlineStr"/>
      <c r="L567" s="4" t="inlineStr">
        <is>
          <t>raysh07_adm</t>
        </is>
      </c>
      <c r="M567" s="4" t="inlineStr"/>
      <c r="N567" s="4" t="inlineStr">
        <is>
          <t>No</t>
        </is>
      </c>
      <c r="O567" s="4" t="inlineStr">
        <is>
          <t>Unattempted</t>
        </is>
      </c>
    </row>
    <row r="568">
      <c r="A568" s="2" t="inlineStr">
        <is>
          <t>Other Practice Paths</t>
        </is>
      </c>
      <c r="B568" s="2" t="inlineStr">
        <is>
          <t>Practice for ZCO and INOI</t>
        </is>
      </c>
      <c r="C568" s="2" t="inlineStr">
        <is>
          <t>Prepare for ZCO and INOI via specially curated practice problems and past exam problems. Read our roadmap - https://www.codechef.com/blogs/prepare-for-zco-inoi-ioi-exam</t>
        </is>
      </c>
      <c r="D568" s="2" t="inlineStr">
        <is>
          <t>INOI problems - Past INOI problems</t>
        </is>
      </c>
      <c r="E568" s="2" t="n">
        <v>106</v>
      </c>
      <c r="F568" s="2" t="inlineStr">
        <is>
          <t>Tree Sum</t>
        </is>
      </c>
      <c r="G568" s="2" t="inlineStr">
        <is>
          <t>INOI26P2</t>
        </is>
      </c>
      <c r="H568" s="2" t="inlineStr"/>
      <c r="I568" s="2" t="inlineStr">
        <is>
          <t>Hard</t>
        </is>
      </c>
      <c r="J568" s="3">
        <f>HYPERLINK("https://www.codechef.com/problems/INOI26P2", "https://www.codechef.com/problems/INOI26P2")</f>
        <v/>
      </c>
      <c r="K568" s="2" t="inlineStr"/>
      <c r="L568" s="2" t="inlineStr">
        <is>
          <t>raysh07_adm</t>
        </is>
      </c>
      <c r="M568" s="2" t="inlineStr"/>
      <c r="N568" s="2" t="inlineStr">
        <is>
          <t>No</t>
        </is>
      </c>
      <c r="O568" s="2" t="inlineStr">
        <is>
          <t>Unattempted</t>
        </is>
      </c>
    </row>
    <row r="569">
      <c r="A569" s="4" t="inlineStr">
        <is>
          <t>Other Practice Paths</t>
        </is>
      </c>
      <c r="B569" s="4" t="inlineStr">
        <is>
          <t>Prepare for ICPC - Past Year Problems</t>
        </is>
      </c>
      <c r="C569" s="4" t="inlineStr">
        <is>
          <t>Prepare for your next ICPC online or onsite round by practicing problems of past years. Get an understanding of the pattern of questions which are asked.</t>
        </is>
      </c>
      <c r="D569" s="4" t="inlineStr">
        <is>
          <t>Asia Amritapuri Onsite Round 2019 - Asia Amritapuri Onsite Round 2019</t>
        </is>
      </c>
      <c r="E569" s="4" t="n">
        <v>1</v>
      </c>
      <c r="F569" s="4" t="inlineStr">
        <is>
          <t>Usain Bolt vs Tiger</t>
        </is>
      </c>
      <c r="G569" s="4" t="inlineStr">
        <is>
          <t>USANBOLT</t>
        </is>
      </c>
      <c r="H569" s="4" t="inlineStr"/>
      <c r="I569" s="4" t="inlineStr">
        <is>
          <t>Medium</t>
        </is>
      </c>
      <c r="J569" s="5">
        <f>HYPERLINK("https://www.codechef.com/problems/USANBOLT", "https://www.codechef.com/problems/USANBOLT")</f>
        <v/>
      </c>
      <c r="K569" s="4" t="inlineStr"/>
      <c r="L569" s="4" t="inlineStr"/>
      <c r="M569" s="4" t="inlineStr"/>
      <c r="N569" s="4" t="inlineStr">
        <is>
          <t>No</t>
        </is>
      </c>
      <c r="O569" s="4" t="inlineStr">
        <is>
          <t>Unattempted</t>
        </is>
      </c>
    </row>
    <row r="570">
      <c r="A570" s="2" t="inlineStr">
        <is>
          <t>Other Practice Paths</t>
        </is>
      </c>
      <c r="B570" s="2" t="inlineStr">
        <is>
          <t>Prepare for ICPC - Past Year Problems</t>
        </is>
      </c>
      <c r="C570" s="2" t="inlineStr">
        <is>
          <t>Prepare for your next ICPC online or onsite round by practicing problems of past years. Get an understanding of the pattern of questions which are asked.</t>
        </is>
      </c>
      <c r="D570" s="2" t="inlineStr">
        <is>
          <t>Asia Amritapuri Onsite Round 2019 - Asia Amritapuri Onsite Round 2019</t>
        </is>
      </c>
      <c r="E570" s="2" t="n">
        <v>2</v>
      </c>
      <c r="F570" s="2" t="inlineStr">
        <is>
          <t>Sufficiently different string</t>
        </is>
      </c>
      <c r="G570" s="2" t="inlineStr">
        <is>
          <t>SDIFFSTR</t>
        </is>
      </c>
      <c r="H570" s="2" t="inlineStr"/>
      <c r="I570" s="2" t="inlineStr">
        <is>
          <t>Hard</t>
        </is>
      </c>
      <c r="J570" s="3">
        <f>HYPERLINK("https://www.codechef.com/problems/SDIFFSTR", "https://www.codechef.com/problems/SDIFFSTR")</f>
        <v/>
      </c>
      <c r="K570" s="2" t="inlineStr"/>
      <c r="L570" s="2" t="inlineStr"/>
      <c r="M570" s="2" t="inlineStr"/>
      <c r="N570" s="2" t="inlineStr">
        <is>
          <t>No</t>
        </is>
      </c>
      <c r="O570" s="2" t="inlineStr">
        <is>
          <t>Unattempted</t>
        </is>
      </c>
    </row>
    <row r="571">
      <c r="A571" s="4" t="inlineStr">
        <is>
          <t>Other Practice Paths</t>
        </is>
      </c>
      <c r="B571" s="4" t="inlineStr">
        <is>
          <t>Prepare for ICPC - Past Year Problems</t>
        </is>
      </c>
      <c r="C571" s="4" t="inlineStr">
        <is>
          <t>Prepare for your next ICPC online or onsite round by practicing problems of past years. Get an understanding of the pattern of questions which are asked.</t>
        </is>
      </c>
      <c r="D571" s="4" t="inlineStr">
        <is>
          <t>Asia Amritapuri Onsite Round 2019 - Asia Amritapuri Onsite Round 2019</t>
        </is>
      </c>
      <c r="E571" s="4" t="n">
        <v>3</v>
      </c>
      <c r="F571" s="4" t="inlineStr">
        <is>
          <t>Coloring Intervals</t>
        </is>
      </c>
      <c r="G571" s="4" t="inlineStr">
        <is>
          <t>COLINT</t>
        </is>
      </c>
      <c r="H571" s="4" t="inlineStr"/>
      <c r="I571" s="4" t="inlineStr">
        <is>
          <t>Hard</t>
        </is>
      </c>
      <c r="J571" s="5">
        <f>HYPERLINK("https://www.codechef.com/problems/COLINT", "https://www.codechef.com/problems/COLINT")</f>
        <v/>
      </c>
      <c r="K571" s="4" t="inlineStr"/>
      <c r="L571" s="4" t="inlineStr">
        <is>
          <t>Algorithms, Constructive, Sorting, ad-hoc</t>
        </is>
      </c>
      <c r="M571" s="4" t="inlineStr"/>
      <c r="N571" s="4" t="inlineStr">
        <is>
          <t>No</t>
        </is>
      </c>
      <c r="O571" s="4" t="inlineStr">
        <is>
          <t>Unattempted</t>
        </is>
      </c>
    </row>
    <row r="572">
      <c r="A572" s="2" t="inlineStr">
        <is>
          <t>Other Practice Paths</t>
        </is>
      </c>
      <c r="B572" s="2" t="inlineStr">
        <is>
          <t>Prepare for ICPC - Past Year Problems</t>
        </is>
      </c>
      <c r="C572" s="2" t="inlineStr">
        <is>
          <t>Prepare for your next ICPC online or onsite round by practicing problems of past years. Get an understanding of the pattern of questions which are asked.</t>
        </is>
      </c>
      <c r="D572" s="2" t="inlineStr">
        <is>
          <t>Asia Amritapuri Onsite Round 2019 - Asia Amritapuri Onsite Round 2019</t>
        </is>
      </c>
      <c r="E572" s="2" t="n">
        <v>4</v>
      </c>
      <c r="F572" s="2" t="inlineStr">
        <is>
          <t>Expected Candies</t>
        </is>
      </c>
      <c r="G572" s="2" t="inlineStr">
        <is>
          <t>EXPCAN</t>
        </is>
      </c>
      <c r="H572" s="2" t="inlineStr"/>
      <c r="I572" s="2" t="inlineStr">
        <is>
          <t>Hard</t>
        </is>
      </c>
      <c r="J572" s="3">
        <f>HYPERLINK("https://www.codechef.com/problems/EXPCAN", "https://www.codechef.com/problems/EXPCAN")</f>
        <v/>
      </c>
      <c r="K572" s="2" t="inlineStr"/>
      <c r="L572" s="2" t="inlineStr">
        <is>
          <t>Algorithms, Basic Math, Basic Programming Concepts, Data Types, Dynamic Programming, Expected Value, Mathematics, Probability</t>
        </is>
      </c>
      <c r="M572" s="2" t="inlineStr"/>
      <c r="N572" s="2" t="inlineStr">
        <is>
          <t>No</t>
        </is>
      </c>
      <c r="O572" s="2" t="inlineStr">
        <is>
          <t>Unattempted</t>
        </is>
      </c>
    </row>
    <row r="573">
      <c r="A573" s="4" t="inlineStr">
        <is>
          <t>Other Practice Paths</t>
        </is>
      </c>
      <c r="B573" s="4" t="inlineStr">
        <is>
          <t>Prepare for ICPC - Past Year Problems</t>
        </is>
      </c>
      <c r="C573" s="4" t="inlineStr">
        <is>
          <t>Prepare for your next ICPC online or onsite round by practicing problems of past years. Get an understanding of the pattern of questions which are asked.</t>
        </is>
      </c>
      <c r="D573" s="4" t="inlineStr">
        <is>
          <t>Asia Amritapuri Onsite Round 2019 - Asia Amritapuri Onsite Round 2019</t>
        </is>
      </c>
      <c r="E573" s="4" t="n">
        <v>5</v>
      </c>
      <c r="F573" s="4" t="inlineStr">
        <is>
          <t>Rooted Tree Graph</t>
        </is>
      </c>
      <c r="G573" s="4" t="inlineStr">
        <is>
          <t>TRGRPH</t>
        </is>
      </c>
      <c r="H573" s="4" t="inlineStr"/>
      <c r="I573" s="4" t="inlineStr">
        <is>
          <t>Hard</t>
        </is>
      </c>
      <c r="J573" s="5">
        <f>HYPERLINK("https://www.codechef.com/problems/TRGRPH", "https://www.codechef.com/problems/TRGRPH")</f>
        <v/>
      </c>
      <c r="K573" s="4" t="inlineStr"/>
      <c r="L573" s="4" t="inlineStr"/>
      <c r="M573" s="4" t="inlineStr"/>
      <c r="N573" s="4" t="inlineStr">
        <is>
          <t>No</t>
        </is>
      </c>
      <c r="O573" s="4" t="inlineStr">
        <is>
          <t>Unattempted</t>
        </is>
      </c>
    </row>
    <row r="574">
      <c r="A574" s="2" t="inlineStr">
        <is>
          <t>Other Practice Paths</t>
        </is>
      </c>
      <c r="B574" s="2" t="inlineStr">
        <is>
          <t>Prepare for ICPC - Past Year Problems</t>
        </is>
      </c>
      <c r="C574" s="2" t="inlineStr">
        <is>
          <t>Prepare for your next ICPC online or onsite round by practicing problems of past years. Get an understanding of the pattern of questions which are asked.</t>
        </is>
      </c>
      <c r="D574" s="2" t="inlineStr">
        <is>
          <t>Asia Amritapuri Onsite Round 2019 - Asia Amritapuri Onsite Round 2019</t>
        </is>
      </c>
      <c r="E574" s="2" t="n">
        <v>6</v>
      </c>
      <c r="F574" s="2" t="inlineStr">
        <is>
          <t>Mortgage</t>
        </is>
      </c>
      <c r="G574" s="2" t="inlineStr">
        <is>
          <t>MORTGAGE</t>
        </is>
      </c>
      <c r="H574" s="2" t="inlineStr"/>
      <c r="I574" s="2" t="inlineStr">
        <is>
          <t>Hard</t>
        </is>
      </c>
      <c r="J574" s="3">
        <f>HYPERLINK("https://www.codechef.com/problems/MORTGAGE", "https://www.codechef.com/problems/MORTGAGE")</f>
        <v/>
      </c>
      <c r="K574" s="2" t="inlineStr"/>
      <c r="L574" s="2" t="inlineStr"/>
      <c r="M574" s="2" t="inlineStr"/>
      <c r="N574" s="2" t="inlineStr">
        <is>
          <t>No</t>
        </is>
      </c>
      <c r="O574" s="2" t="inlineStr">
        <is>
          <t>Unattempted</t>
        </is>
      </c>
    </row>
    <row r="575">
      <c r="A575" s="4" t="inlineStr">
        <is>
          <t>Other Practice Paths</t>
        </is>
      </c>
      <c r="B575" s="4" t="inlineStr">
        <is>
          <t>Prepare for ICPC - Past Year Problems</t>
        </is>
      </c>
      <c r="C575" s="4" t="inlineStr">
        <is>
          <t>Prepare for your next ICPC online or onsite round by practicing problems of past years. Get an understanding of the pattern of questions which are asked.</t>
        </is>
      </c>
      <c r="D575" s="4" t="inlineStr">
        <is>
          <t>Asia Amritapuri Onsite Round 2019 - Asia Amritapuri Onsite Round 2019</t>
        </is>
      </c>
      <c r="E575" s="4" t="n">
        <v>7</v>
      </c>
      <c r="F575" s="4" t="inlineStr">
        <is>
          <t>What is this, a crossover episode</t>
        </is>
      </c>
      <c r="G575" s="4" t="inlineStr">
        <is>
          <t>COLPOLLY</t>
        </is>
      </c>
      <c r="H575" s="4" t="inlineStr"/>
      <c r="I575" s="4" t="inlineStr">
        <is>
          <t>Hard</t>
        </is>
      </c>
      <c r="J575" s="5">
        <f>HYPERLINK("https://www.codechef.com/problems/COLPOLLY", "https://www.codechef.com/problems/COLPOLLY")</f>
        <v/>
      </c>
      <c r="K575" s="4" t="inlineStr"/>
      <c r="L575" s="4" t="inlineStr">
        <is>
          <t>Advanced Algorithms, Data Structures, Graphs, Randomized Algorithms, Sets</t>
        </is>
      </c>
      <c r="M575" s="4" t="inlineStr"/>
      <c r="N575" s="4" t="inlineStr">
        <is>
          <t>No</t>
        </is>
      </c>
      <c r="O575" s="4" t="inlineStr">
        <is>
          <t>Unattempted</t>
        </is>
      </c>
    </row>
    <row r="576">
      <c r="A576" s="2" t="inlineStr">
        <is>
          <t>Other Practice Paths</t>
        </is>
      </c>
      <c r="B576" s="2" t="inlineStr">
        <is>
          <t>Prepare for ICPC - Past Year Problems</t>
        </is>
      </c>
      <c r="C576" s="2" t="inlineStr">
        <is>
          <t>Prepare for your next ICPC online or onsite round by practicing problems of past years. Get an understanding of the pattern of questions which are asked.</t>
        </is>
      </c>
      <c r="D576" s="2" t="inlineStr">
        <is>
          <t>Asia Amritapuri Onsite Round 2019 - Asia Amritapuri Onsite Round 2019</t>
        </is>
      </c>
      <c r="E576" s="2" t="n">
        <v>8</v>
      </c>
      <c r="F576" s="2" t="inlineStr">
        <is>
          <t>Polygon Containment</t>
        </is>
      </c>
      <c r="G576" s="2" t="inlineStr">
        <is>
          <t>POLCON</t>
        </is>
      </c>
      <c r="H576" s="2" t="inlineStr"/>
      <c r="I576" s="2" t="inlineStr">
        <is>
          <t>Hard</t>
        </is>
      </c>
      <c r="J576" s="3">
        <f>HYPERLINK("https://www.codechef.com/problems/POLCON", "https://www.codechef.com/problems/POLCON")</f>
        <v/>
      </c>
      <c r="K576" s="2" t="inlineStr"/>
      <c r="L576" s="2" t="inlineStr"/>
      <c r="M576" s="2" t="inlineStr"/>
      <c r="N576" s="2" t="inlineStr">
        <is>
          <t>No</t>
        </is>
      </c>
      <c r="O576" s="2" t="inlineStr">
        <is>
          <t>Unattempted</t>
        </is>
      </c>
    </row>
    <row r="577">
      <c r="A577" s="4" t="inlineStr">
        <is>
          <t>Other Practice Paths</t>
        </is>
      </c>
      <c r="B577" s="4" t="inlineStr">
        <is>
          <t>Prepare for ICPC - Past Year Problems</t>
        </is>
      </c>
      <c r="C577" s="4" t="inlineStr">
        <is>
          <t>Prepare for your next ICPC online or onsite round by practicing problems of past years. Get an understanding of the pattern of questions which are asked.</t>
        </is>
      </c>
      <c r="D577" s="4" t="inlineStr">
        <is>
          <t>Asia Amritapuri Onsite Round 2019 - Asia Amritapuri Onsite Round 2019</t>
        </is>
      </c>
      <c r="E577" s="4" t="n">
        <v>9</v>
      </c>
      <c r="F577" s="4" t="inlineStr">
        <is>
          <t>Counting Mobiles</t>
        </is>
      </c>
      <c r="G577" s="4" t="inlineStr">
        <is>
          <t>MOBCNT</t>
        </is>
      </c>
      <c r="H577" s="4" t="inlineStr"/>
      <c r="I577" s="4" t="inlineStr">
        <is>
          <t>Hard</t>
        </is>
      </c>
      <c r="J577" s="5">
        <f>HYPERLINK("https://www.codechef.com/problems/MOBCNT", "https://www.codechef.com/problems/MOBCNT")</f>
        <v/>
      </c>
      <c r="K577" s="4" t="inlineStr"/>
      <c r="L577" s="4" t="inlineStr"/>
      <c r="M577" s="4" t="inlineStr"/>
      <c r="N577" s="4" t="inlineStr">
        <is>
          <t>No</t>
        </is>
      </c>
      <c r="O577" s="4" t="inlineStr">
        <is>
          <t>Unattempted</t>
        </is>
      </c>
    </row>
    <row r="578">
      <c r="A578" s="2" t="inlineStr">
        <is>
          <t>Other Practice Paths</t>
        </is>
      </c>
      <c r="B578" s="2" t="inlineStr">
        <is>
          <t>Prepare for ICPC - Past Year Problems</t>
        </is>
      </c>
      <c r="C578" s="2" t="inlineStr">
        <is>
          <t>Prepare for your next ICPC online or onsite round by practicing problems of past years. Get an understanding of the pattern of questions which are asked.</t>
        </is>
      </c>
      <c r="D578" s="2" t="inlineStr">
        <is>
          <t>Asia Amritapuri Onsite Round 2019 - Asia Amritapuri Onsite Round 2019</t>
        </is>
      </c>
      <c r="E578" s="2" t="n">
        <v>10</v>
      </c>
      <c r="F578" s="2" t="inlineStr">
        <is>
          <t>Permutation Distance</t>
        </is>
      </c>
      <c r="G578" s="2" t="inlineStr">
        <is>
          <t>PERMDIST</t>
        </is>
      </c>
      <c r="H578" s="2" t="inlineStr"/>
      <c r="I578" s="2" t="inlineStr">
        <is>
          <t>Hard</t>
        </is>
      </c>
      <c r="J578" s="3">
        <f>HYPERLINK("https://www.codechef.com/problems/PERMDIST", "https://www.codechef.com/problems/PERMDIST")</f>
        <v/>
      </c>
      <c r="K578" s="2" t="inlineStr"/>
      <c r="L578" s="2" t="inlineStr">
        <is>
          <t>Advanced Algorithms, Advanced Data Structures, Algorithms, Binary lifting, Graph Algos, Jump Pointers, Lowest Common Ancestor, Pre processing, Sparse Table</t>
        </is>
      </c>
      <c r="M578" s="2" t="inlineStr"/>
      <c r="N578" s="2" t="inlineStr">
        <is>
          <t>No</t>
        </is>
      </c>
      <c r="O578" s="2" t="inlineStr">
        <is>
          <t>Unattempted</t>
        </is>
      </c>
    </row>
    <row r="579">
      <c r="A579" s="4" t="inlineStr">
        <is>
          <t>Other Practice Paths</t>
        </is>
      </c>
      <c r="B579" s="4" t="inlineStr">
        <is>
          <t>Prepare for ICPC - Past Year Problems</t>
        </is>
      </c>
      <c r="C579" s="4" t="inlineStr">
        <is>
          <t>Prepare for your next ICPC online or onsite round by practicing problems of past years. Get an understanding of the pattern of questions which are asked.</t>
        </is>
      </c>
      <c r="D579" s="4" t="inlineStr">
        <is>
          <t>Asia Amritapuri Onsite Round 2019 - Asia Amritapuri Onsite Round 2019</t>
        </is>
      </c>
      <c r="E579" s="4" t="n">
        <v>11</v>
      </c>
      <c r="F579" s="4" t="inlineStr">
        <is>
          <t>A Complex Graph Problem</t>
        </is>
      </c>
      <c r="G579" s="4" t="inlineStr">
        <is>
          <t>COMPLEXG</t>
        </is>
      </c>
      <c r="H579" s="4" t="inlineStr"/>
      <c r="I579" s="4" t="inlineStr">
        <is>
          <t>Hard</t>
        </is>
      </c>
      <c r="J579" s="5">
        <f>HYPERLINK("https://www.codechef.com/problems/COMPLEXG", "https://www.codechef.com/problems/COMPLEXG")</f>
        <v/>
      </c>
      <c r="K579" s="4" t="inlineStr"/>
      <c r="L579" s="4" t="inlineStr">
        <is>
          <t>Algorithms, DFS, Data Structures, Directed Graphs, Dynamic Programming, Graph Algos, Graphs, Shortest Paths, Strongly Connected Components, Traversals</t>
        </is>
      </c>
      <c r="M579" s="4" t="inlineStr"/>
      <c r="N579" s="4" t="inlineStr">
        <is>
          <t>No</t>
        </is>
      </c>
      <c r="O579" s="4" t="inlineStr">
        <is>
          <t>Unattempted</t>
        </is>
      </c>
    </row>
    <row r="580">
      <c r="A580" s="2" t="inlineStr">
        <is>
          <t>Other Practice Paths</t>
        </is>
      </c>
      <c r="B580" s="2" t="inlineStr">
        <is>
          <t>Prepare for ICPC - Past Year Problems</t>
        </is>
      </c>
      <c r="C580" s="2" t="inlineStr">
        <is>
          <t>Prepare for your next ICPC online or onsite round by practicing problems of past years. Get an understanding of the pattern of questions which are asked.</t>
        </is>
      </c>
      <c r="D580" s="2" t="inlineStr">
        <is>
          <t>Asia Amritapuri Onsite Round 2019 - Asia Amritapuri Onsite Round 2019</t>
        </is>
      </c>
      <c r="E580" s="2" t="n">
        <v>12</v>
      </c>
      <c r="F580" s="2" t="inlineStr">
        <is>
          <t>The Fools Who Dream</t>
        </is>
      </c>
      <c r="G580" s="2" t="inlineStr">
        <is>
          <t>LALALANT</t>
        </is>
      </c>
      <c r="H580" s="2" t="inlineStr"/>
      <c r="I580" s="2" t="inlineStr">
        <is>
          <t>Hard</t>
        </is>
      </c>
      <c r="J580" s="3">
        <f>HYPERLINK("https://www.codechef.com/problems/LALALANT", "https://www.codechef.com/problems/LALALANT")</f>
        <v/>
      </c>
      <c r="K580" s="2" t="inlineStr"/>
      <c r="L580" s="2" t="inlineStr">
        <is>
          <t>kevinsogo</t>
        </is>
      </c>
      <c r="M580" s="2" t="inlineStr"/>
      <c r="N580" s="2" t="inlineStr">
        <is>
          <t>No</t>
        </is>
      </c>
      <c r="O580" s="2" t="inlineStr">
        <is>
          <t>Unattempted</t>
        </is>
      </c>
    </row>
    <row r="581">
      <c r="A581" s="4" t="inlineStr">
        <is>
          <t>Other Practice Paths</t>
        </is>
      </c>
      <c r="B581" s="4" t="inlineStr">
        <is>
          <t>Prepare for ICPC - Past Year Problems</t>
        </is>
      </c>
      <c r="C581" s="4" t="inlineStr">
        <is>
          <t>Prepare for your next ICPC online or onsite round by practicing problems of past years. Get an understanding of the pattern of questions which are asked.</t>
        </is>
      </c>
      <c r="D581" s="4" t="inlineStr">
        <is>
          <t>Gwalior - Pune Site Onsite Round 2019 - Gwalior - Pune Site Onsite Round 2019</t>
        </is>
      </c>
      <c r="E581" s="4" t="n">
        <v>13</v>
      </c>
      <c r="F581" s="4" t="inlineStr">
        <is>
          <t>Safe Robots</t>
        </is>
      </c>
      <c r="G581" s="4" t="inlineStr">
        <is>
          <t>SAFEROBO</t>
        </is>
      </c>
      <c r="H581" s="4" t="inlineStr"/>
      <c r="I581" s="4" t="inlineStr">
        <is>
          <t>Medium</t>
        </is>
      </c>
      <c r="J581" s="5">
        <f>HYPERLINK("https://www.codechef.com/problems/SAFEROBO", "https://www.codechef.com/problems/SAFEROBO")</f>
        <v/>
      </c>
      <c r="K581" s="4" t="inlineStr"/>
      <c r="L581" s="4" t="inlineStr"/>
      <c r="M581" s="4" t="inlineStr"/>
      <c r="N581" s="4" t="inlineStr">
        <is>
          <t>No</t>
        </is>
      </c>
      <c r="O581" s="4" t="inlineStr">
        <is>
          <t>Unattempted</t>
        </is>
      </c>
    </row>
    <row r="582">
      <c r="A582" s="2" t="inlineStr">
        <is>
          <t>Other Practice Paths</t>
        </is>
      </c>
      <c r="B582" s="2" t="inlineStr">
        <is>
          <t>Prepare for ICPC - Past Year Problems</t>
        </is>
      </c>
      <c r="C582" s="2" t="inlineStr">
        <is>
          <t>Prepare for your next ICPC online or onsite round by practicing problems of past years. Get an understanding of the pattern of questions which are asked.</t>
        </is>
      </c>
      <c r="D582" s="2" t="inlineStr">
        <is>
          <t>Gwalior - Pune Site Onsite Round 2019 - Gwalior - Pune Site Onsite Round 2019</t>
        </is>
      </c>
      <c r="E582" s="2" t="n">
        <v>14</v>
      </c>
      <c r="F582" s="2" t="inlineStr">
        <is>
          <t>Mean Problem</t>
        </is>
      </c>
      <c r="G582" s="2" t="inlineStr">
        <is>
          <t>MEANPROB</t>
        </is>
      </c>
      <c r="H582" s="2" t="inlineStr"/>
      <c r="I582" s="2" t="inlineStr">
        <is>
          <t>Hard</t>
        </is>
      </c>
      <c r="J582" s="3">
        <f>HYPERLINK("https://www.codechef.com/problems/MEANPROB", "https://www.codechef.com/problems/MEANPROB")</f>
        <v/>
      </c>
      <c r="K582" s="2" t="inlineStr"/>
      <c r="L582" s="2" t="inlineStr">
        <is>
          <t>1D Arrays, Advanced Algorithms, Arrays, Data Structures, Pre processing</t>
        </is>
      </c>
      <c r="M582" s="2" t="inlineStr"/>
      <c r="N582" s="2" t="inlineStr">
        <is>
          <t>No</t>
        </is>
      </c>
      <c r="O582" s="2" t="inlineStr">
        <is>
          <t>Unattempted</t>
        </is>
      </c>
    </row>
    <row r="583">
      <c r="A583" s="4" t="inlineStr">
        <is>
          <t>Other Practice Paths</t>
        </is>
      </c>
      <c r="B583" s="4" t="inlineStr">
        <is>
          <t>Prepare for ICPC - Past Year Problems</t>
        </is>
      </c>
      <c r="C583" s="4" t="inlineStr">
        <is>
          <t>Prepare for your next ICPC online or onsite round by practicing problems of past years. Get an understanding of the pattern of questions which are asked.</t>
        </is>
      </c>
      <c r="D583" s="4" t="inlineStr">
        <is>
          <t>Gwalior - Pune Site Onsite Round 2019 - Gwalior - Pune Site Onsite Round 2019</t>
        </is>
      </c>
      <c r="E583" s="4" t="n">
        <v>15</v>
      </c>
      <c r="F583" s="4" t="inlineStr">
        <is>
          <t>Telephone Network</t>
        </is>
      </c>
      <c r="G583" s="4" t="inlineStr">
        <is>
          <t>TELNET</t>
        </is>
      </c>
      <c r="H583" s="4" t="inlineStr"/>
      <c r="I583" s="4" t="inlineStr">
        <is>
          <t>Hard</t>
        </is>
      </c>
      <c r="J583" s="5">
        <f>HYPERLINK("https://www.codechef.com/problems/TELNET", "https://www.codechef.com/problems/TELNET")</f>
        <v/>
      </c>
      <c r="K583" s="4" t="inlineStr"/>
      <c r="L583" s="4" t="inlineStr"/>
      <c r="M583" s="4" t="inlineStr"/>
      <c r="N583" s="4" t="inlineStr">
        <is>
          <t>No</t>
        </is>
      </c>
      <c r="O583" s="4" t="inlineStr">
        <is>
          <t>Unattempted</t>
        </is>
      </c>
    </row>
    <row r="584">
      <c r="A584" s="2" t="inlineStr">
        <is>
          <t>Other Practice Paths</t>
        </is>
      </c>
      <c r="B584" s="2" t="inlineStr">
        <is>
          <t>Prepare for ICPC - Past Year Problems</t>
        </is>
      </c>
      <c r="C584" s="2" t="inlineStr">
        <is>
          <t>Prepare for your next ICPC online or onsite round by practicing problems of past years. Get an understanding of the pattern of questions which are asked.</t>
        </is>
      </c>
      <c r="D584" s="2" t="inlineStr">
        <is>
          <t>Gwalior - Pune Site Onsite Round 2019 - Gwalior - Pune Site Onsite Round 2019</t>
        </is>
      </c>
      <c r="E584" s="2" t="n">
        <v>16</v>
      </c>
      <c r="F584" s="2" t="inlineStr">
        <is>
          <t>Expected Area</t>
        </is>
      </c>
      <c r="G584" s="2" t="inlineStr">
        <is>
          <t>EAREA</t>
        </is>
      </c>
      <c r="H584" s="2" t="inlineStr"/>
      <c r="I584" s="2" t="inlineStr">
        <is>
          <t>Hard</t>
        </is>
      </c>
      <c r="J584" s="3">
        <f>HYPERLINK("https://www.codechef.com/problems/EAREA", "https://www.codechef.com/problems/EAREA")</f>
        <v/>
      </c>
      <c r="K584" s="2" t="inlineStr"/>
      <c r="L584" s="2" t="inlineStr">
        <is>
          <t>Algorithms, Cartesian Coordinate System, Expected Value, Geometry, Mathematics, Observation, Probability</t>
        </is>
      </c>
      <c r="M584" s="2" t="inlineStr"/>
      <c r="N584" s="2" t="inlineStr">
        <is>
          <t>No</t>
        </is>
      </c>
      <c r="O584" s="2" t="inlineStr">
        <is>
          <t>Unattempted</t>
        </is>
      </c>
    </row>
    <row r="585">
      <c r="A585" s="4" t="inlineStr">
        <is>
          <t>Other Practice Paths</t>
        </is>
      </c>
      <c r="B585" s="4" t="inlineStr">
        <is>
          <t>Prepare for ICPC - Past Year Problems</t>
        </is>
      </c>
      <c r="C585" s="4" t="inlineStr">
        <is>
          <t>Prepare for your next ICPC online or onsite round by practicing problems of past years. Get an understanding of the pattern of questions which are asked.</t>
        </is>
      </c>
      <c r="D585" s="4" t="inlineStr">
        <is>
          <t>Gwalior - Pune Site Onsite Round 2019 - Gwalior - Pune Site Onsite Round 2019</t>
        </is>
      </c>
      <c r="E585" s="4" t="n">
        <v>17</v>
      </c>
      <c r="F585" s="4" t="inlineStr">
        <is>
          <t>Yet Another Balanced Parenthesis Problem</t>
        </is>
      </c>
      <c r="G585" s="4" t="inlineStr">
        <is>
          <t>UNBAL</t>
        </is>
      </c>
      <c r="H585" s="4" t="inlineStr"/>
      <c r="I585" s="4" t="inlineStr">
        <is>
          <t>Hard</t>
        </is>
      </c>
      <c r="J585" s="5">
        <f>HYPERLINK("https://www.codechef.com/problems/UNBAL", "https://www.codechef.com/problems/UNBAL")</f>
        <v/>
      </c>
      <c r="K585" s="4" t="inlineStr"/>
      <c r="L585" s="4" t="inlineStr"/>
      <c r="M585" s="4" t="inlineStr"/>
      <c r="N585" s="4" t="inlineStr">
        <is>
          <t>No</t>
        </is>
      </c>
      <c r="O585" s="4" t="inlineStr">
        <is>
          <t>Unattempted</t>
        </is>
      </c>
    </row>
    <row r="586">
      <c r="A586" s="2" t="inlineStr">
        <is>
          <t>Other Practice Paths</t>
        </is>
      </c>
      <c r="B586" s="2" t="inlineStr">
        <is>
          <t>Prepare for ICPC - Past Year Problems</t>
        </is>
      </c>
      <c r="C586" s="2" t="inlineStr">
        <is>
          <t>Prepare for your next ICPC online or onsite round by practicing problems of past years. Get an understanding of the pattern of questions which are asked.</t>
        </is>
      </c>
      <c r="D586" s="2" t="inlineStr">
        <is>
          <t>Gwalior - Pune Site Onsite Round 2019 - Gwalior - Pune Site Onsite Round 2019</t>
        </is>
      </c>
      <c r="E586" s="2" t="n">
        <v>18</v>
      </c>
      <c r="F586" s="2" t="inlineStr">
        <is>
          <t>Game on Tree</t>
        </is>
      </c>
      <c r="G586" s="2" t="inlineStr">
        <is>
          <t>TRGAME</t>
        </is>
      </c>
      <c r="H586" s="2" t="inlineStr"/>
      <c r="I586" s="2" t="inlineStr">
        <is>
          <t>Hard</t>
        </is>
      </c>
      <c r="J586" s="3">
        <f>HYPERLINK("https://www.codechef.com/problems/TRGAME", "https://www.codechef.com/problems/TRGAME")</f>
        <v/>
      </c>
      <c r="K586" s="2" t="inlineStr"/>
      <c r="L586" s="2" t="inlineStr"/>
      <c r="M586" s="2" t="inlineStr"/>
      <c r="N586" s="2" t="inlineStr">
        <is>
          <t>No</t>
        </is>
      </c>
      <c r="O586" s="2" t="inlineStr">
        <is>
          <t>Unattempted</t>
        </is>
      </c>
    </row>
    <row r="587">
      <c r="A587" s="4" t="inlineStr">
        <is>
          <t>Other Practice Paths</t>
        </is>
      </c>
      <c r="B587" s="4" t="inlineStr">
        <is>
          <t>Prepare for ICPC - Past Year Problems</t>
        </is>
      </c>
      <c r="C587" s="4" t="inlineStr">
        <is>
          <t>Prepare for your next ICPC online or onsite round by practicing problems of past years. Get an understanding of the pattern of questions which are asked.</t>
        </is>
      </c>
      <c r="D587" s="4" t="inlineStr">
        <is>
          <t>Gwalior - Pune Site Onsite Round 2019 - Gwalior - Pune Site Onsite Round 2019</t>
        </is>
      </c>
      <c r="E587" s="4" t="n">
        <v>19</v>
      </c>
      <c r="F587" s="4" t="inlineStr">
        <is>
          <t>Disconnecting Cities</t>
        </is>
      </c>
      <c r="G587" s="4" t="inlineStr">
        <is>
          <t>DICITIES</t>
        </is>
      </c>
      <c r="H587" s="4" t="inlineStr"/>
      <c r="I587" s="4" t="inlineStr">
        <is>
          <t>Hard</t>
        </is>
      </c>
      <c r="J587" s="5">
        <f>HYPERLINK("https://www.codechef.com/problems/DICITIES", "https://www.codechef.com/problems/DICITIES")</f>
        <v/>
      </c>
      <c r="K587" s="4" t="inlineStr"/>
      <c r="L587" s="4" t="inlineStr">
        <is>
          <t>Advanced Algorithms, Advanced DP, DP Bitmask, Data Structures, Graphs</t>
        </is>
      </c>
      <c r="M587" s="4" t="inlineStr"/>
      <c r="N587" s="4" t="inlineStr">
        <is>
          <t>No</t>
        </is>
      </c>
      <c r="O587" s="4" t="inlineStr">
        <is>
          <t>Unattempted</t>
        </is>
      </c>
    </row>
    <row r="588">
      <c r="A588" s="2" t="inlineStr">
        <is>
          <t>Other Practice Paths</t>
        </is>
      </c>
      <c r="B588" s="2" t="inlineStr">
        <is>
          <t>Prepare for ICPC - Past Year Problems</t>
        </is>
      </c>
      <c r="C588" s="2" t="inlineStr">
        <is>
          <t>Prepare for your next ICPC online or onsite round by practicing problems of past years. Get an understanding of the pattern of questions which are asked.</t>
        </is>
      </c>
      <c r="D588" s="2" t="inlineStr">
        <is>
          <t>Gwalior - Pune Site Onsite Round 2019 - Gwalior - Pune Site Onsite Round 2019</t>
        </is>
      </c>
      <c r="E588" s="2" t="n">
        <v>20</v>
      </c>
      <c r="F588" s="2" t="inlineStr">
        <is>
          <t>Inequality Reduction</t>
        </is>
      </c>
      <c r="G588" s="2" t="inlineStr">
        <is>
          <t>TRANSACT</t>
        </is>
      </c>
      <c r="H588" s="2" t="inlineStr"/>
      <c r="I588" s="2" t="inlineStr">
        <is>
          <t>Hard</t>
        </is>
      </c>
      <c r="J588" s="3">
        <f>HYPERLINK("https://www.codechef.com/problems/TRANSACT", "https://www.codechef.com/problems/TRANSACT")</f>
        <v/>
      </c>
      <c r="K588" s="2" t="inlineStr"/>
      <c r="L588" s="2" t="inlineStr"/>
      <c r="M588" s="2" t="inlineStr"/>
      <c r="N588" s="2" t="inlineStr">
        <is>
          <t>No</t>
        </is>
      </c>
      <c r="O588" s="2" t="inlineStr">
        <is>
          <t>Unattempted</t>
        </is>
      </c>
    </row>
    <row r="589">
      <c r="A589" s="4" t="inlineStr">
        <is>
          <t>Other Practice Paths</t>
        </is>
      </c>
      <c r="B589" s="4" t="inlineStr">
        <is>
          <t>Prepare for ICPC - Past Year Problems</t>
        </is>
      </c>
      <c r="C589" s="4" t="inlineStr">
        <is>
          <t>Prepare for your next ICPC online or onsite round by practicing problems of past years. Get an understanding of the pattern of questions which are asked.</t>
        </is>
      </c>
      <c r="D589" s="4" t="inlineStr">
        <is>
          <t>Gwalior - Pune Site Onsite Round 2019 - Gwalior - Pune Site Onsite Round 2019</t>
        </is>
      </c>
      <c r="E589" s="4" t="n">
        <v>21</v>
      </c>
      <c r="F589" s="4" t="inlineStr">
        <is>
          <t>Guess the Middle</t>
        </is>
      </c>
      <c r="G589" s="4" t="inlineStr">
        <is>
          <t>GUESSMID</t>
        </is>
      </c>
      <c r="H589" s="4" t="inlineStr"/>
      <c r="I589" s="4" t="inlineStr">
        <is>
          <t>Hard</t>
        </is>
      </c>
      <c r="J589" s="5">
        <f>HYPERLINK("https://www.codechef.com/problems/GUESSMID", "https://www.codechef.com/problems/GUESSMID")</f>
        <v/>
      </c>
      <c r="K589" s="4" t="inlineStr"/>
      <c r="L589" s="4" t="inlineStr">
        <is>
          <t>Advanced Algorithms, Advanced DP, Algorithms, Digit DP, Mathematics, Probability, Sorting</t>
        </is>
      </c>
      <c r="M589" s="4" t="inlineStr"/>
      <c r="N589" s="4" t="inlineStr">
        <is>
          <t>No</t>
        </is>
      </c>
      <c r="O589" s="4" t="inlineStr">
        <is>
          <t>Unattempted</t>
        </is>
      </c>
    </row>
    <row r="590">
      <c r="A590" s="2" t="inlineStr">
        <is>
          <t>Other Practice Paths</t>
        </is>
      </c>
      <c r="B590" s="2" t="inlineStr">
        <is>
          <t>Prepare for ICPC - Past Year Problems</t>
        </is>
      </c>
      <c r="C590" s="2" t="inlineStr">
        <is>
          <t>Prepare for your next ICPC online or onsite round by practicing problems of past years. Get an understanding of the pattern of questions which are asked.</t>
        </is>
      </c>
      <c r="D590" s="2" t="inlineStr">
        <is>
          <t>Gwalior - Pune Site Onsite Round 2019 - Gwalior - Pune Site Onsite Round 2019</t>
        </is>
      </c>
      <c r="E590" s="2" t="n">
        <v>22</v>
      </c>
      <c r="F590" s="2" t="inlineStr">
        <is>
          <t>Binary Palindrome</t>
        </is>
      </c>
      <c r="G590" s="2" t="inlineStr">
        <is>
          <t>BINPALIN</t>
        </is>
      </c>
      <c r="H590" s="2" t="inlineStr"/>
      <c r="I590" s="2" t="inlineStr">
        <is>
          <t>Hard</t>
        </is>
      </c>
      <c r="J590" s="3">
        <f>HYPERLINK("https://www.codechef.com/problems/BINPALIN", "https://www.codechef.com/problems/BINPALIN")</f>
        <v/>
      </c>
      <c r="K590" s="2" t="inlineStr"/>
      <c r="L590" s="2" t="inlineStr">
        <is>
          <t>Advanced Data Structures, Binary, Mathematics, Number System, Suffix Structures, Suffix Trees</t>
        </is>
      </c>
      <c r="M590" s="2" t="inlineStr"/>
      <c r="N590" s="2" t="inlineStr">
        <is>
          <t>No</t>
        </is>
      </c>
      <c r="O590" s="2" t="inlineStr">
        <is>
          <t>Unattempted</t>
        </is>
      </c>
    </row>
    <row r="591">
      <c r="A591" s="4" t="inlineStr">
        <is>
          <t>Other Practice Paths</t>
        </is>
      </c>
      <c r="B591" s="4" t="inlineStr">
        <is>
          <t>Prepare for ICPC - Past Year Problems</t>
        </is>
      </c>
      <c r="C591" s="4" t="inlineStr">
        <is>
          <t>Prepare for your next ICPC online or onsite round by practicing problems of past years. Get an understanding of the pattern of questions which are asked.</t>
        </is>
      </c>
      <c r="D591" s="4" t="inlineStr">
        <is>
          <t>Gwalior - Pune Site Onsite Round 2019 - Gwalior - Pune Site Onsite Round 2019</t>
        </is>
      </c>
      <c r="E591" s="4" t="n">
        <v>23</v>
      </c>
      <c r="F591" s="4" t="inlineStr">
        <is>
          <t>F - Beautiful Walk</t>
        </is>
      </c>
      <c r="G591" s="4" t="inlineStr">
        <is>
          <t>SMTOUR</t>
        </is>
      </c>
      <c r="H591" s="4" t="inlineStr"/>
      <c r="I591" s="4" t="inlineStr">
        <is>
          <t>Hard</t>
        </is>
      </c>
      <c r="J591" s="5">
        <f>HYPERLINK("https://www.codechef.com/problems/SMTOUR", "https://www.codechef.com/problems/SMTOUR")</f>
        <v/>
      </c>
      <c r="K591" s="4" t="inlineStr"/>
      <c r="L591" s="4" t="inlineStr"/>
      <c r="M591" s="4" t="inlineStr"/>
      <c r="N591" s="4" t="inlineStr">
        <is>
          <t>No</t>
        </is>
      </c>
      <c r="O591" s="4" t="inlineStr">
        <is>
          <t>Unattempted</t>
        </is>
      </c>
    </row>
    <row r="592">
      <c r="A592" s="2" t="inlineStr">
        <is>
          <t>Other Practice Paths</t>
        </is>
      </c>
      <c r="B592" s="2" t="inlineStr">
        <is>
          <t>Prepare for ICPC - Past Year Problems</t>
        </is>
      </c>
      <c r="C592" s="2" t="inlineStr">
        <is>
          <t>Prepare for your next ICPC online or onsite round by practicing problems of past years. Get an understanding of the pattern of questions which are asked.</t>
        </is>
      </c>
      <c r="D592" s="2" t="inlineStr">
        <is>
          <t>Asia Kharagpur Onsite Regional 2019 - Asia Kharagpur Onsite Regional 2019</t>
        </is>
      </c>
      <c r="E592" s="2" t="n">
        <v>24</v>
      </c>
      <c r="F592" s="2" t="inlineStr">
        <is>
          <t>Train or Walk</t>
        </is>
      </c>
      <c r="G592" s="2" t="inlineStr">
        <is>
          <t>WALKFAST</t>
        </is>
      </c>
      <c r="H592" s="2" t="inlineStr"/>
      <c r="I592" s="2" t="inlineStr">
        <is>
          <t>Medium</t>
        </is>
      </c>
      <c r="J592" s="3">
        <f>HYPERLINK("https://www.codechef.com/problems/WALKFAST", "https://www.codechef.com/problems/WALKFAST")</f>
        <v/>
      </c>
      <c r="K592" s="2" t="inlineStr"/>
      <c r="L592" s="2" t="inlineStr"/>
      <c r="M592" s="2" t="inlineStr"/>
      <c r="N592" s="2" t="inlineStr">
        <is>
          <t>No</t>
        </is>
      </c>
      <c r="O592" s="2" t="inlineStr">
        <is>
          <t>Unattempted</t>
        </is>
      </c>
    </row>
    <row r="593">
      <c r="A593" s="4" t="inlineStr">
        <is>
          <t>Other Practice Paths</t>
        </is>
      </c>
      <c r="B593" s="4" t="inlineStr">
        <is>
          <t>Prepare for ICPC - Past Year Problems</t>
        </is>
      </c>
      <c r="C593" s="4" t="inlineStr">
        <is>
          <t>Prepare for your next ICPC online or onsite round by practicing problems of past years. Get an understanding of the pattern of questions which are asked.</t>
        </is>
      </c>
      <c r="D593" s="4" t="inlineStr">
        <is>
          <t>Asia Kharagpur Onsite Regional 2019 - Asia Kharagpur Onsite Regional 2019</t>
        </is>
      </c>
      <c r="E593" s="4" t="n">
        <v>25</v>
      </c>
      <c r="F593" s="4" t="inlineStr">
        <is>
          <t>Colliding Balls</t>
        </is>
      </c>
      <c r="G593" s="4" t="inlineStr">
        <is>
          <t>BALLCOL</t>
        </is>
      </c>
      <c r="H593" s="4" t="inlineStr"/>
      <c r="I593" s="4" t="inlineStr">
        <is>
          <t>Hard</t>
        </is>
      </c>
      <c r="J593" s="5">
        <f>HYPERLINK("https://www.codechef.com/problems/BALLCOL", "https://www.codechef.com/problems/BALLCOL")</f>
        <v/>
      </c>
      <c r="K593" s="4" t="inlineStr"/>
      <c r="L593" s="4" t="inlineStr">
        <is>
          <t>Geometry, Mathematics</t>
        </is>
      </c>
      <c r="M593" s="4" t="inlineStr"/>
      <c r="N593" s="4" t="inlineStr">
        <is>
          <t>No</t>
        </is>
      </c>
      <c r="O593" s="4" t="inlineStr">
        <is>
          <t>Unattempted</t>
        </is>
      </c>
    </row>
    <row r="594">
      <c r="A594" s="2" t="inlineStr">
        <is>
          <t>Other Practice Paths</t>
        </is>
      </c>
      <c r="B594" s="2" t="inlineStr">
        <is>
          <t>Prepare for ICPC - Past Year Problems</t>
        </is>
      </c>
      <c r="C594" s="2" t="inlineStr">
        <is>
          <t>Prepare for your next ICPC online or onsite round by practicing problems of past years. Get an understanding of the pattern of questions which are asked.</t>
        </is>
      </c>
      <c r="D594" s="2" t="inlineStr">
        <is>
          <t>Asia Kharagpur Onsite Regional 2019 - Asia Kharagpur Onsite Regional 2019</t>
        </is>
      </c>
      <c r="E594" s="2" t="n">
        <v>26</v>
      </c>
      <c r="F594" s="2" t="inlineStr">
        <is>
          <t>Maximize Diversity of an Array</t>
        </is>
      </c>
      <c r="G594" s="2" t="inlineStr">
        <is>
          <t>MAXDIVER</t>
        </is>
      </c>
      <c r="H594" s="2" t="inlineStr"/>
      <c r="I594" s="2" t="inlineStr">
        <is>
          <t>Hard</t>
        </is>
      </c>
      <c r="J594" s="3">
        <f>HYPERLINK("https://www.codechef.com/problems/MAXDIVER", "https://www.codechef.com/problems/MAXDIVER")</f>
        <v/>
      </c>
      <c r="K594" s="2" t="inlineStr"/>
      <c r="L594" s="2" t="inlineStr"/>
      <c r="M594" s="2" t="inlineStr"/>
      <c r="N594" s="2" t="inlineStr">
        <is>
          <t>No</t>
        </is>
      </c>
      <c r="O594" s="2" t="inlineStr">
        <is>
          <t>Unattempted</t>
        </is>
      </c>
    </row>
    <row r="595">
      <c r="A595" s="4" t="inlineStr">
        <is>
          <t>Other Practice Paths</t>
        </is>
      </c>
      <c r="B595" s="4" t="inlineStr">
        <is>
          <t>Prepare for ICPC - Past Year Problems</t>
        </is>
      </c>
      <c r="C595" s="4" t="inlineStr">
        <is>
          <t>Prepare for your next ICPC online or onsite round by practicing problems of past years. Get an understanding of the pattern of questions which are asked.</t>
        </is>
      </c>
      <c r="D595" s="4" t="inlineStr">
        <is>
          <t>Asia Kharagpur Onsite Regional 2019 - Asia Kharagpur Onsite Regional 2019</t>
        </is>
      </c>
      <c r="E595" s="4" t="n">
        <v>27</v>
      </c>
      <c r="F595" s="4" t="inlineStr">
        <is>
          <t>Chef and Diamonds</t>
        </is>
      </c>
      <c r="G595" s="4" t="inlineStr">
        <is>
          <t>RANDID</t>
        </is>
      </c>
      <c r="H595" s="4" t="inlineStr"/>
      <c r="I595" s="4" t="inlineStr">
        <is>
          <t>Hard</t>
        </is>
      </c>
      <c r="J595" s="5">
        <f>HYPERLINK("https://www.codechef.com/problems/RANDID", "https://www.codechef.com/problems/RANDID")</f>
        <v/>
      </c>
      <c r="K595" s="4" t="inlineStr"/>
      <c r="L595" s="4" t="inlineStr"/>
      <c r="M595" s="4" t="inlineStr"/>
      <c r="N595" s="4" t="inlineStr">
        <is>
          <t>No</t>
        </is>
      </c>
      <c r="O595" s="4" t="inlineStr">
        <is>
          <t>Unattempted</t>
        </is>
      </c>
    </row>
    <row r="596">
      <c r="A596" s="2" t="inlineStr">
        <is>
          <t>Other Practice Paths</t>
        </is>
      </c>
      <c r="B596" s="2" t="inlineStr">
        <is>
          <t>Prepare for ICPC - Past Year Problems</t>
        </is>
      </c>
      <c r="C596" s="2" t="inlineStr">
        <is>
          <t>Prepare for your next ICPC online or onsite round by practicing problems of past years. Get an understanding of the pattern of questions which are asked.</t>
        </is>
      </c>
      <c r="D596" s="2" t="inlineStr">
        <is>
          <t>Asia Kharagpur Onsite Regional 2019 - Asia Kharagpur Onsite Regional 2019</t>
        </is>
      </c>
      <c r="E596" s="2" t="n">
        <v>28</v>
      </c>
      <c r="F596" s="2" t="inlineStr">
        <is>
          <t>Awkwardness Minimization</t>
        </is>
      </c>
      <c r="G596" s="2" t="inlineStr">
        <is>
          <t>AWKMINI</t>
        </is>
      </c>
      <c r="H596" s="2" t="inlineStr"/>
      <c r="I596" s="2" t="inlineStr">
        <is>
          <t>Hard</t>
        </is>
      </c>
      <c r="J596" s="3">
        <f>HYPERLINK("https://www.codechef.com/problems/AWKMINI", "https://www.codechef.com/problems/AWKMINI")</f>
        <v/>
      </c>
      <c r="K596" s="2" t="inlineStr"/>
      <c r="L596" s="2" t="inlineStr">
        <is>
          <t>Algorithms, Constructive, Greedy, Observation</t>
        </is>
      </c>
      <c r="M596" s="2" t="inlineStr"/>
      <c r="N596" s="2" t="inlineStr">
        <is>
          <t>No</t>
        </is>
      </c>
      <c r="O596" s="2" t="inlineStr">
        <is>
          <t>Unattempted</t>
        </is>
      </c>
    </row>
    <row r="597">
      <c r="A597" s="4" t="inlineStr">
        <is>
          <t>Other Practice Paths</t>
        </is>
      </c>
      <c r="B597" s="4" t="inlineStr">
        <is>
          <t>Prepare for ICPC - Past Year Problems</t>
        </is>
      </c>
      <c r="C597" s="4" t="inlineStr">
        <is>
          <t>Prepare for your next ICPC online or onsite round by practicing problems of past years. Get an understanding of the pattern of questions which are asked.</t>
        </is>
      </c>
      <c r="D597" s="4" t="inlineStr">
        <is>
          <t>Asia Kharagpur Onsite Regional 2019 - Asia Kharagpur Onsite Regional 2019</t>
        </is>
      </c>
      <c r="E597" s="4" t="n">
        <v>29</v>
      </c>
      <c r="F597" s="4" t="inlineStr">
        <is>
          <t>Minimum Variance</t>
        </is>
      </c>
      <c r="G597" s="4" t="inlineStr">
        <is>
          <t>VARMIN</t>
        </is>
      </c>
      <c r="H597" s="4" t="inlineStr"/>
      <c r="I597" s="4" t="inlineStr">
        <is>
          <t>Hard</t>
        </is>
      </c>
      <c r="J597" s="5">
        <f>HYPERLINK("https://www.codechef.com/problems/VARMIN", "https://www.codechef.com/problems/VARMIN")</f>
        <v/>
      </c>
      <c r="K597" s="4" t="inlineStr"/>
      <c r="L597" s="4" t="inlineStr"/>
      <c r="M597" s="4" t="inlineStr"/>
      <c r="N597" s="4" t="inlineStr">
        <is>
          <t>No</t>
        </is>
      </c>
      <c r="O597" s="4" t="inlineStr">
        <is>
          <t>Unattempted</t>
        </is>
      </c>
    </row>
    <row r="598">
      <c r="A598" s="2" t="inlineStr">
        <is>
          <t>Other Practice Paths</t>
        </is>
      </c>
      <c r="B598" s="2" t="inlineStr">
        <is>
          <t>Prepare for ICPC - Past Year Problems</t>
        </is>
      </c>
      <c r="C598" s="2" t="inlineStr">
        <is>
          <t>Prepare for your next ICPC online or onsite round by practicing problems of past years. Get an understanding of the pattern of questions which are asked.</t>
        </is>
      </c>
      <c r="D598" s="2" t="inlineStr">
        <is>
          <t>Asia Kharagpur Onsite Regional 2019 - Asia Kharagpur Onsite Regional 2019</t>
        </is>
      </c>
      <c r="E598" s="2" t="n">
        <v>30</v>
      </c>
      <c r="F598" s="2" t="inlineStr">
        <is>
          <t>Direct Segments</t>
        </is>
      </c>
      <c r="G598" s="2" t="inlineStr">
        <is>
          <t>SEGDIR2</t>
        </is>
      </c>
      <c r="H598" s="2" t="inlineStr"/>
      <c r="I598" s="2" t="inlineStr">
        <is>
          <t>Hard</t>
        </is>
      </c>
      <c r="J598" s="3">
        <f>HYPERLINK("https://www.codechef.com/problems/SEGDIR2", "https://www.codechef.com/problems/SEGDIR2")</f>
        <v/>
      </c>
      <c r="K598" s="2" t="inlineStr"/>
      <c r="L598" s="2" t="inlineStr"/>
      <c r="M598" s="2" t="inlineStr"/>
      <c r="N598" s="2" t="inlineStr">
        <is>
          <t>No</t>
        </is>
      </c>
      <c r="O598" s="2" t="inlineStr">
        <is>
          <t>Unattempted</t>
        </is>
      </c>
    </row>
    <row r="599">
      <c r="A599" s="4" t="inlineStr">
        <is>
          <t>Other Practice Paths</t>
        </is>
      </c>
      <c r="B599" s="4" t="inlineStr">
        <is>
          <t>Prepare for ICPC - Past Year Problems</t>
        </is>
      </c>
      <c r="C599" s="4" t="inlineStr">
        <is>
          <t>Prepare for your next ICPC online or onsite round by practicing problems of past years. Get an understanding of the pattern of questions which are asked.</t>
        </is>
      </c>
      <c r="D599" s="4" t="inlineStr">
        <is>
          <t>Asia Kharagpur Onsite Regional 2019 - Asia Kharagpur Onsite Regional 2019</t>
        </is>
      </c>
      <c r="E599" s="4" t="n">
        <v>31</v>
      </c>
      <c r="F599" s="4" t="inlineStr">
        <is>
          <t>Substring Matching</t>
        </is>
      </c>
      <c r="G599" s="4" t="inlineStr">
        <is>
          <t>SUBMATCH</t>
        </is>
      </c>
      <c r="H599" s="4" t="inlineStr"/>
      <c r="I599" s="4" t="inlineStr">
        <is>
          <t>Hard</t>
        </is>
      </c>
      <c r="J599" s="5">
        <f>HYPERLINK("https://www.codechef.com/problems/SUBMATCH", "https://www.codechef.com/problems/SUBMATCH")</f>
        <v/>
      </c>
      <c r="K599" s="4" t="inlineStr"/>
      <c r="L599" s="4" t="inlineStr"/>
      <c r="M599" s="4" t="inlineStr"/>
      <c r="N599" s="4" t="inlineStr">
        <is>
          <t>No</t>
        </is>
      </c>
      <c r="O599" s="4" t="inlineStr">
        <is>
          <t>Unattempted</t>
        </is>
      </c>
    </row>
    <row r="600">
      <c r="A600" s="2" t="inlineStr">
        <is>
          <t>Other Practice Paths</t>
        </is>
      </c>
      <c r="B600" s="2" t="inlineStr">
        <is>
          <t>Prepare for ICPC - Past Year Problems</t>
        </is>
      </c>
      <c r="C600" s="2" t="inlineStr">
        <is>
          <t>Prepare for your next ICPC online or onsite round by practicing problems of past years. Get an understanding of the pattern of questions which are asked.</t>
        </is>
      </c>
      <c r="D600" s="2" t="inlineStr">
        <is>
          <t>Asia Kharagpur Onsite Regional 2019 - Asia Kharagpur Onsite Regional 2019</t>
        </is>
      </c>
      <c r="E600" s="2" t="n">
        <v>32</v>
      </c>
      <c r="F600" s="2" t="inlineStr">
        <is>
          <t>Special Graph Construction</t>
        </is>
      </c>
      <c r="G600" s="2" t="inlineStr">
        <is>
          <t>GRAPHCON</t>
        </is>
      </c>
      <c r="H600" s="2" t="inlineStr"/>
      <c r="I600" s="2" t="inlineStr">
        <is>
          <t>Hard</t>
        </is>
      </c>
      <c r="J600" s="3">
        <f>HYPERLINK("https://www.codechef.com/problems/GRAPHCON", "https://www.codechef.com/problems/GRAPHCON")</f>
        <v/>
      </c>
      <c r="K600" s="2" t="inlineStr"/>
      <c r="L600" s="2" t="inlineStr">
        <is>
          <t>Algorithms, Constructive</t>
        </is>
      </c>
      <c r="M600" s="2" t="inlineStr"/>
      <c r="N600" s="2" t="inlineStr">
        <is>
          <t>No</t>
        </is>
      </c>
      <c r="O600" s="2" t="inlineStr">
        <is>
          <t>Unattempted</t>
        </is>
      </c>
    </row>
    <row r="601">
      <c r="A601" s="4" t="inlineStr">
        <is>
          <t>Other Practice Paths</t>
        </is>
      </c>
      <c r="B601" s="4" t="inlineStr">
        <is>
          <t>Prepare for ICPC - Past Year Problems</t>
        </is>
      </c>
      <c r="C601" s="4" t="inlineStr">
        <is>
          <t>Prepare for your next ICPC online or onsite round by practicing problems of past years. Get an understanding of the pattern of questions which are asked.</t>
        </is>
      </c>
      <c r="D601" s="4" t="inlineStr">
        <is>
          <t>Asia Kharagpur Onsite Regional 2019 - Asia Kharagpur Onsite Regional 2019</t>
        </is>
      </c>
      <c r="E601" s="4" t="n">
        <v>33</v>
      </c>
      <c r="F601" s="4" t="inlineStr">
        <is>
          <t>Colorful Balloons</t>
        </is>
      </c>
      <c r="G601" s="4" t="inlineStr">
        <is>
          <t>BALLSUM</t>
        </is>
      </c>
      <c r="H601" s="4" t="inlineStr"/>
      <c r="I601" s="4" t="inlineStr">
        <is>
          <t>Hard</t>
        </is>
      </c>
      <c r="J601" s="5">
        <f>HYPERLINK("https://www.codechef.com/problems/BALLSUM", "https://www.codechef.com/problems/BALLSUM")</f>
        <v/>
      </c>
      <c r="K601" s="4" t="inlineStr"/>
      <c r="L601" s="4" t="inlineStr">
        <is>
          <t>Algebra, Convolution, FFT, Mathematics, Polynomial, Transformations</t>
        </is>
      </c>
      <c r="M601" s="4" t="inlineStr"/>
      <c r="N601" s="4" t="inlineStr">
        <is>
          <t>No</t>
        </is>
      </c>
      <c r="O601" s="4" t="inlineStr">
        <is>
          <t>Unattempted</t>
        </is>
      </c>
    </row>
    <row r="602">
      <c r="A602" s="2" t="inlineStr">
        <is>
          <t>Other Practice Paths</t>
        </is>
      </c>
      <c r="B602" s="2" t="inlineStr">
        <is>
          <t>Prepare for ICPC - Past Year Problems</t>
        </is>
      </c>
      <c r="C602" s="2" t="inlineStr">
        <is>
          <t>Prepare for your next ICPC online or onsite round by practicing problems of past years. Get an understanding of the pattern of questions which are asked.</t>
        </is>
      </c>
      <c r="D602" s="2" t="inlineStr">
        <is>
          <t>Asia Kharagpur Onsite Regional 2019 - Asia Kharagpur Onsite Regional 2019</t>
        </is>
      </c>
      <c r="E602" s="2" t="n">
        <v>34</v>
      </c>
      <c r="F602" s="2" t="inlineStr">
        <is>
          <t>Analytics Load Jobs</t>
        </is>
      </c>
      <c r="G602" s="2" t="inlineStr">
        <is>
          <t>ANAJOBS</t>
        </is>
      </c>
      <c r="H602" s="2" t="inlineStr"/>
      <c r="I602" s="2" t="inlineStr">
        <is>
          <t>Hard</t>
        </is>
      </c>
      <c r="J602" s="3">
        <f>HYPERLINK("https://www.codechef.com/problems/ANAJOBS", "https://www.codechef.com/problems/ANAJOBS")</f>
        <v/>
      </c>
      <c r="K602" s="2" t="inlineStr"/>
      <c r="L602" s="2" t="inlineStr">
        <is>
          <t>dpraveen_adm</t>
        </is>
      </c>
      <c r="M602" s="2" t="inlineStr"/>
      <c r="N602" s="2" t="inlineStr">
        <is>
          <t>No</t>
        </is>
      </c>
      <c r="O602" s="2" t="inlineStr">
        <is>
          <t>Unattempted</t>
        </is>
      </c>
    </row>
    <row r="603">
      <c r="A603" s="4" t="inlineStr">
        <is>
          <t>Other Practice Paths</t>
        </is>
      </c>
      <c r="B603" s="4" t="inlineStr">
        <is>
          <t>Prepare for ICPC - Past Year Problems</t>
        </is>
      </c>
      <c r="C603" s="4" t="inlineStr">
        <is>
          <t>Prepare for your next ICPC online or onsite round by practicing problems of past years. Get an understanding of the pattern of questions which are asked.</t>
        </is>
      </c>
      <c r="D603" s="4" t="inlineStr">
        <is>
          <t>Asia India Regionals Online Round 2019 - Asia India Regionals Online Round 2019</t>
        </is>
      </c>
      <c r="E603" s="4" t="n">
        <v>35</v>
      </c>
      <c r="F603" s="4" t="inlineStr">
        <is>
          <t>Discount in a Shop</t>
        </is>
      </c>
      <c r="G603" s="4" t="inlineStr">
        <is>
          <t>DISCSHOP</t>
        </is>
      </c>
      <c r="H603" s="4" t="inlineStr"/>
      <c r="I603" s="4" t="inlineStr">
        <is>
          <t>Easy</t>
        </is>
      </c>
      <c r="J603" s="5">
        <f>HYPERLINK("https://www.codechef.com/problems/DISCSHOP", "https://www.codechef.com/problems/DISCSHOP")</f>
        <v/>
      </c>
      <c r="K603" s="4" t="inlineStr"/>
      <c r="L603" s="4" t="inlineStr">
        <is>
          <t>Algorithms, Basic Programming Concepts, Brute Force, Constructive, Data Structures, Implementation, Inbuilt functions, String, ad-hoc</t>
        </is>
      </c>
      <c r="M603" s="4" t="inlineStr"/>
      <c r="N603" s="4" t="inlineStr">
        <is>
          <t>No</t>
        </is>
      </c>
      <c r="O603" s="4" t="inlineStr">
        <is>
          <t>Unattempted</t>
        </is>
      </c>
    </row>
    <row r="604">
      <c r="A604" s="2" t="inlineStr">
        <is>
          <t>Other Practice Paths</t>
        </is>
      </c>
      <c r="B604" s="2" t="inlineStr">
        <is>
          <t>Prepare for ICPC - Past Year Problems</t>
        </is>
      </c>
      <c r="C604" s="2" t="inlineStr">
        <is>
          <t>Prepare for your next ICPC online or onsite round by practicing problems of past years. Get an understanding of the pattern of questions which are asked.</t>
        </is>
      </c>
      <c r="D604" s="2" t="inlineStr">
        <is>
          <t>Asia India Regionals Online Round 2019 - Asia India Regionals Online Round 2019</t>
        </is>
      </c>
      <c r="E604" s="2" t="n">
        <v>36</v>
      </c>
      <c r="F604" s="2" t="inlineStr">
        <is>
          <t>Select Training Set</t>
        </is>
      </c>
      <c r="G604" s="2" t="inlineStr">
        <is>
          <t>TRAINSET</t>
        </is>
      </c>
      <c r="H604" s="2" t="inlineStr"/>
      <c r="I604" s="2" t="inlineStr">
        <is>
          <t>Medium</t>
        </is>
      </c>
      <c r="J604" s="3">
        <f>HYPERLINK("https://www.codechef.com/problems/TRAINSET", "https://www.codechef.com/problems/TRAINSET")</f>
        <v/>
      </c>
      <c r="K604" s="2" t="inlineStr"/>
      <c r="L604" s="2" t="inlineStr"/>
      <c r="M604" s="2" t="inlineStr"/>
      <c r="N604" s="2" t="inlineStr">
        <is>
          <t>No</t>
        </is>
      </c>
      <c r="O604" s="2" t="inlineStr">
        <is>
          <t>Unattempted</t>
        </is>
      </c>
    </row>
    <row r="605">
      <c r="A605" s="4" t="inlineStr">
        <is>
          <t>Other Practice Paths</t>
        </is>
      </c>
      <c r="B605" s="4" t="inlineStr">
        <is>
          <t>Prepare for ICPC - Past Year Problems</t>
        </is>
      </c>
      <c r="C605" s="4" t="inlineStr">
        <is>
          <t>Prepare for your next ICPC online or onsite round by practicing problems of past years. Get an understanding of the pattern of questions which are asked.</t>
        </is>
      </c>
      <c r="D605" s="4" t="inlineStr">
        <is>
          <t>Asia India Regionals Online Round 2019 - Asia India Regionals Online Round 2019</t>
        </is>
      </c>
      <c r="E605" s="4" t="n">
        <v>37</v>
      </c>
      <c r="F605" s="4" t="inlineStr">
        <is>
          <t>Pen Pineapple Apple Pen</t>
        </is>
      </c>
      <c r="G605" s="4" t="inlineStr">
        <is>
          <t>PENS</t>
        </is>
      </c>
      <c r="H605" s="4" t="inlineStr"/>
      <c r="I605" s="4" t="inlineStr">
        <is>
          <t>Hard</t>
        </is>
      </c>
      <c r="J605" s="5">
        <f>HYPERLINK("https://www.codechef.com/problems/PENS", "https://www.codechef.com/problems/PENS")</f>
        <v/>
      </c>
      <c r="K605" s="4" t="inlineStr"/>
      <c r="L605" s="4" t="inlineStr"/>
      <c r="M605" s="4" t="inlineStr"/>
      <c r="N605" s="4" t="inlineStr">
        <is>
          <t>No</t>
        </is>
      </c>
      <c r="O605" s="4" t="inlineStr">
        <is>
          <t>Unattempted</t>
        </is>
      </c>
    </row>
    <row r="606">
      <c r="A606" s="2" t="inlineStr">
        <is>
          <t>Other Practice Paths</t>
        </is>
      </c>
      <c r="B606" s="2" t="inlineStr">
        <is>
          <t>Prepare for ICPC - Past Year Problems</t>
        </is>
      </c>
      <c r="C606" s="2" t="inlineStr">
        <is>
          <t>Prepare for your next ICPC online or onsite round by practicing problems of past years. Get an understanding of the pattern of questions which are asked.</t>
        </is>
      </c>
      <c r="D606" s="2" t="inlineStr">
        <is>
          <t>Asia India Regionals Online Round 2019 - Asia India Regionals Online Round 2019</t>
        </is>
      </c>
      <c r="E606" s="2" t="n">
        <v>38</v>
      </c>
      <c r="F606" s="2" t="inlineStr">
        <is>
          <t>Beautiful Partitions</t>
        </is>
      </c>
      <c r="G606" s="2" t="inlineStr">
        <is>
          <t>BEAUTPAR</t>
        </is>
      </c>
      <c r="H606" s="2" t="inlineStr"/>
      <c r="I606" s="2" t="inlineStr">
        <is>
          <t>Hard</t>
        </is>
      </c>
      <c r="J606" s="3">
        <f>HYPERLINK("https://www.codechef.com/problems/BEAUTPAR", "https://www.codechef.com/problems/BEAUTPAR")</f>
        <v/>
      </c>
      <c r="K606" s="2" t="inlineStr"/>
      <c r="L606" s="2" t="inlineStr">
        <is>
          <t>Algorithms, DP on sequences, Dynamic Programming, Longest Increasing Subsequence, Prefix Sum, Simple Algos</t>
        </is>
      </c>
      <c r="M606" s="2" t="inlineStr"/>
      <c r="N606" s="2" t="inlineStr">
        <is>
          <t>No</t>
        </is>
      </c>
      <c r="O606" s="2" t="inlineStr">
        <is>
          <t>Unattempted</t>
        </is>
      </c>
    </row>
    <row r="607">
      <c r="A607" s="4" t="inlineStr">
        <is>
          <t>Other Practice Paths</t>
        </is>
      </c>
      <c r="B607" s="4" t="inlineStr">
        <is>
          <t>Prepare for ICPC - Past Year Problems</t>
        </is>
      </c>
      <c r="C607" s="4" t="inlineStr">
        <is>
          <t>Prepare for your next ICPC online or onsite round by practicing problems of past years. Get an understanding of the pattern of questions which are asked.</t>
        </is>
      </c>
      <c r="D607" s="4" t="inlineStr">
        <is>
          <t>Asia India Regionals Online Round 2019 - Asia India Regionals Online Round 2019</t>
        </is>
      </c>
      <c r="E607" s="4" t="n">
        <v>39</v>
      </c>
      <c r="F607" s="4" t="inlineStr">
        <is>
          <t>Grid Shuffle</t>
        </is>
      </c>
      <c r="G607" s="4" t="inlineStr">
        <is>
          <t>SHUFGRID</t>
        </is>
      </c>
      <c r="H607" s="4" t="inlineStr"/>
      <c r="I607" s="4" t="inlineStr">
        <is>
          <t>Hard</t>
        </is>
      </c>
      <c r="J607" s="5">
        <f>HYPERLINK("https://www.codechef.com/problems/SHUFGRID", "https://www.codechef.com/problems/SHUFGRID")</f>
        <v/>
      </c>
      <c r="K607" s="4" t="inlineStr"/>
      <c r="L607" s="4" t="inlineStr"/>
      <c r="M607" s="4" t="inlineStr"/>
      <c r="N607" s="4" t="inlineStr">
        <is>
          <t>No</t>
        </is>
      </c>
      <c r="O607" s="4" t="inlineStr">
        <is>
          <t>Unattempted</t>
        </is>
      </c>
    </row>
    <row r="608">
      <c r="A608" s="2" t="inlineStr">
        <is>
          <t>Other Practice Paths</t>
        </is>
      </c>
      <c r="B608" s="2" t="inlineStr">
        <is>
          <t>Prepare for ICPC - Past Year Problems</t>
        </is>
      </c>
      <c r="C608" s="2" t="inlineStr">
        <is>
          <t>Prepare for your next ICPC online or onsite round by practicing problems of past years. Get an understanding of the pattern of questions which are asked.</t>
        </is>
      </c>
      <c r="D608" s="2" t="inlineStr">
        <is>
          <t>Asia India Regionals Online Round 2019 - Asia India Regionals Online Round 2019</t>
        </is>
      </c>
      <c r="E608" s="2" t="n">
        <v>40</v>
      </c>
      <c r="F608" s="2" t="inlineStr">
        <is>
          <t>Shortest Palindromic Superstring</t>
        </is>
      </c>
      <c r="G608" s="2" t="inlineStr">
        <is>
          <t>SPS</t>
        </is>
      </c>
      <c r="H608" s="2" t="inlineStr"/>
      <c r="I608" s="2" t="inlineStr">
        <is>
          <t>Hard</t>
        </is>
      </c>
      <c r="J608" s="3">
        <f>HYPERLINK("https://www.codechef.com/problems/SPS", "https://www.codechef.com/problems/SPS")</f>
        <v/>
      </c>
      <c r="K608" s="2" t="inlineStr"/>
      <c r="L608" s="2" t="inlineStr"/>
      <c r="M608" s="2" t="inlineStr"/>
      <c r="N608" s="2" t="inlineStr">
        <is>
          <t>No</t>
        </is>
      </c>
      <c r="O608" s="2" t="inlineStr">
        <is>
          <t>Unattempted</t>
        </is>
      </c>
    </row>
    <row r="609">
      <c r="A609" s="4" t="inlineStr">
        <is>
          <t>Other Practice Paths</t>
        </is>
      </c>
      <c r="B609" s="4" t="inlineStr">
        <is>
          <t>Prepare for ICPC - Past Year Problems</t>
        </is>
      </c>
      <c r="C609" s="4" t="inlineStr">
        <is>
          <t>Prepare for your next ICPC online or onsite round by practicing problems of past years. Get an understanding of the pattern of questions which are asked.</t>
        </is>
      </c>
      <c r="D609" s="4" t="inlineStr">
        <is>
          <t>Asia India Regionals Online Round 2019 - Asia India Regionals Online Round 2019</t>
        </is>
      </c>
      <c r="E609" s="4" t="n">
        <v>41</v>
      </c>
      <c r="F609" s="4" t="inlineStr">
        <is>
          <t>Moving Segments</t>
        </is>
      </c>
      <c r="G609" s="4" t="inlineStr">
        <is>
          <t>SEGDIR</t>
        </is>
      </c>
      <c r="H609" s="4" t="inlineStr"/>
      <c r="I609" s="4" t="inlineStr">
        <is>
          <t>Hard</t>
        </is>
      </c>
      <c r="J609" s="5">
        <f>HYPERLINK("https://www.codechef.com/problems/SEGDIR", "https://www.codechef.com/problems/SEGDIR")</f>
        <v/>
      </c>
      <c r="K609" s="4" t="inlineStr"/>
      <c r="L609" s="4" t="inlineStr"/>
      <c r="M609" s="4" t="inlineStr"/>
      <c r="N609" s="4" t="inlineStr">
        <is>
          <t>No</t>
        </is>
      </c>
      <c r="O609" s="4" t="inlineStr">
        <is>
          <t>Unattempted</t>
        </is>
      </c>
    </row>
    <row r="610">
      <c r="A610" s="2" t="inlineStr">
        <is>
          <t>Other Practice Paths</t>
        </is>
      </c>
      <c r="B610" s="2" t="inlineStr">
        <is>
          <t>Prepare for ICPC - Past Year Problems</t>
        </is>
      </c>
      <c r="C610" s="2" t="inlineStr">
        <is>
          <t>Prepare for your next ICPC online or onsite round by practicing problems of past years. Get an understanding of the pattern of questions which are asked.</t>
        </is>
      </c>
      <c r="D610" s="2" t="inlineStr">
        <is>
          <t>Asia Kanpur Onsite Round 2019 - Asia Kanpur Onsite Round 2019</t>
        </is>
      </c>
      <c r="E610" s="2" t="n">
        <v>42</v>
      </c>
      <c r="F610" s="2" t="inlineStr">
        <is>
          <t>Is This a Give Away</t>
        </is>
      </c>
      <c r="G610" s="2" t="inlineStr">
        <is>
          <t>GVAWAY</t>
        </is>
      </c>
      <c r="H610" s="2" t="inlineStr"/>
      <c r="I610" s="2" t="inlineStr">
        <is>
          <t>Hard</t>
        </is>
      </c>
      <c r="J610" s="3">
        <f>HYPERLINK("https://www.codechef.com/problems/GVAWAY", "https://www.codechef.com/problems/GVAWAY")</f>
        <v/>
      </c>
      <c r="K610" s="2" t="inlineStr"/>
      <c r="L610" s="2" t="inlineStr">
        <is>
          <t>Algorithms, Expected Value, Mathematics, Observation, Probability</t>
        </is>
      </c>
      <c r="M610" s="2" t="inlineStr"/>
      <c r="N610" s="2" t="inlineStr">
        <is>
          <t>No</t>
        </is>
      </c>
      <c r="O610" s="2" t="inlineStr">
        <is>
          <t>Unattempted</t>
        </is>
      </c>
    </row>
    <row r="611">
      <c r="A611" s="4" t="inlineStr">
        <is>
          <t>Other Practice Paths</t>
        </is>
      </c>
      <c r="B611" s="4" t="inlineStr">
        <is>
          <t>Prepare for ICPC - Past Year Problems</t>
        </is>
      </c>
      <c r="C611" s="4" t="inlineStr">
        <is>
          <t>Prepare for your next ICPC online or onsite round by practicing problems of past years. Get an understanding of the pattern of questions which are asked.</t>
        </is>
      </c>
      <c r="D611" s="4" t="inlineStr">
        <is>
          <t>Asia Kanpur Onsite Round 2019 - Asia Kanpur Onsite Round 2019</t>
        </is>
      </c>
      <c r="E611" s="4" t="n">
        <v>43</v>
      </c>
      <c r="F611" s="4" t="inlineStr">
        <is>
          <t>Convolution</t>
        </is>
      </c>
      <c r="G611" s="4" t="inlineStr">
        <is>
          <t>ARRQRY</t>
        </is>
      </c>
      <c r="H611" s="4" t="inlineStr"/>
      <c r="I611" s="4" t="inlineStr">
        <is>
          <t>Hard</t>
        </is>
      </c>
      <c r="J611" s="5">
        <f>HYPERLINK("https://www.codechef.com/problems/ARRQRY", "https://www.codechef.com/problems/ARRQRY")</f>
        <v/>
      </c>
      <c r="K611" s="4" t="inlineStr"/>
      <c r="L611" s="4" t="inlineStr">
        <is>
          <t>Algorithms, Basic Math, Constructive, Mathematics, Modular Arithmetic, Observation, ad-hoc</t>
        </is>
      </c>
      <c r="M611" s="4" t="inlineStr"/>
      <c r="N611" s="4" t="inlineStr">
        <is>
          <t>No</t>
        </is>
      </c>
      <c r="O611" s="4" t="inlineStr">
        <is>
          <t>Unattempted</t>
        </is>
      </c>
    </row>
    <row r="612">
      <c r="A612" s="2" t="inlineStr">
        <is>
          <t>Other Practice Paths</t>
        </is>
      </c>
      <c r="B612" s="2" t="inlineStr">
        <is>
          <t>Prepare for ICPC - Past Year Problems</t>
        </is>
      </c>
      <c r="C612" s="2" t="inlineStr">
        <is>
          <t>Prepare for your next ICPC online or onsite round by practicing problems of past years. Get an understanding of the pattern of questions which are asked.</t>
        </is>
      </c>
      <c r="D612" s="2" t="inlineStr">
        <is>
          <t>Asia Kanpur Onsite Round 2019 - Asia Kanpur Onsite Round 2019</t>
        </is>
      </c>
      <c r="E612" s="2" t="n">
        <v>44</v>
      </c>
      <c r="F612" s="2" t="inlineStr">
        <is>
          <t>B - Prime-partite Graph</t>
        </is>
      </c>
      <c r="G612" s="2" t="inlineStr">
        <is>
          <t>PRMPRT</t>
        </is>
      </c>
      <c r="H612" s="2" t="inlineStr"/>
      <c r="I612" s="2" t="inlineStr">
        <is>
          <t>Hard</t>
        </is>
      </c>
      <c r="J612" s="3">
        <f>HYPERLINK("https://www.codechef.com/problems/PRMPRT", "https://www.codechef.com/problems/PRMPRT")</f>
        <v/>
      </c>
      <c r="K612" s="2" t="inlineStr"/>
      <c r="L612" s="2" t="inlineStr">
        <is>
          <t>Data Structures, Divisors, GCD, Graphs, Integer Factorisation, Mathematics, Number Theory, Prime Divisors, Sieve of Eratosthenes</t>
        </is>
      </c>
      <c r="M612" s="2" t="inlineStr"/>
      <c r="N612" s="2" t="inlineStr">
        <is>
          <t>No</t>
        </is>
      </c>
      <c r="O612" s="2" t="inlineStr">
        <is>
          <t>Unattempted</t>
        </is>
      </c>
    </row>
    <row r="613">
      <c r="A613" s="4" t="inlineStr">
        <is>
          <t>Other Practice Paths</t>
        </is>
      </c>
      <c r="B613" s="4" t="inlineStr">
        <is>
          <t>Prepare for ICPC - Past Year Problems</t>
        </is>
      </c>
      <c r="C613" s="4" t="inlineStr">
        <is>
          <t>Prepare for your next ICPC online or onsite round by practicing problems of past years. Get an understanding of the pattern of questions which are asked.</t>
        </is>
      </c>
      <c r="D613" s="4" t="inlineStr">
        <is>
          <t>Asia Kanpur Onsite Round 2019 - Asia Kanpur Onsite Round 2019</t>
        </is>
      </c>
      <c r="E613" s="4" t="n">
        <v>45</v>
      </c>
      <c r="F613" s="4" t="inlineStr">
        <is>
          <t>Walk 4 steps</t>
        </is>
      </c>
      <c r="G613" s="4" t="inlineStr">
        <is>
          <t>WALK4</t>
        </is>
      </c>
      <c r="H613" s="4" t="inlineStr"/>
      <c r="I613" s="4" t="inlineStr">
        <is>
          <t>Hard</t>
        </is>
      </c>
      <c r="J613" s="5">
        <f>HYPERLINK("https://www.codechef.com/problems/WALK4", "https://www.codechef.com/problems/WALK4")</f>
        <v/>
      </c>
      <c r="K613" s="4" t="inlineStr"/>
      <c r="L613" s="4" t="inlineStr"/>
      <c r="M613" s="4" t="inlineStr"/>
      <c r="N613" s="4" t="inlineStr">
        <is>
          <t>No</t>
        </is>
      </c>
      <c r="O613" s="4" t="inlineStr">
        <is>
          <t>Unattempted</t>
        </is>
      </c>
    </row>
    <row r="614">
      <c r="A614" s="2" t="inlineStr">
        <is>
          <t>Other Practice Paths</t>
        </is>
      </c>
      <c r="B614" s="2" t="inlineStr">
        <is>
          <t>Prepare for ICPC - Past Year Problems</t>
        </is>
      </c>
      <c r="C614" s="2" t="inlineStr">
        <is>
          <t>Prepare for your next ICPC online or onsite round by practicing problems of past years. Get an understanding of the pattern of questions which are asked.</t>
        </is>
      </c>
      <c r="D614" s="2" t="inlineStr">
        <is>
          <t>Asia Kanpur Onsite Round 2019 - Asia Kanpur Onsite Round 2019</t>
        </is>
      </c>
      <c r="E614" s="2" t="n">
        <v>46</v>
      </c>
      <c r="F614" s="2" t="inlineStr">
        <is>
          <t>IPL Begins</t>
        </is>
      </c>
      <c r="G614" s="2" t="inlineStr">
        <is>
          <t>FCIPL</t>
        </is>
      </c>
      <c r="H614" s="2" t="inlineStr"/>
      <c r="I614" s="2" t="inlineStr">
        <is>
          <t>Hard</t>
        </is>
      </c>
      <c r="J614" s="3">
        <f>HYPERLINK("https://www.codechef.com/problems/FCIPL", "https://www.codechef.com/problems/FCIPL")</f>
        <v/>
      </c>
      <c r="K614" s="2" t="inlineStr"/>
      <c r="L614" s="2" t="inlineStr">
        <is>
          <t>Algorithms, Combinatorics, Dynamic Programming, Mathematics, Modular Arithmetic</t>
        </is>
      </c>
      <c r="M614" s="2" t="inlineStr"/>
      <c r="N614" s="2" t="inlineStr">
        <is>
          <t>No</t>
        </is>
      </c>
      <c r="O614" s="2" t="inlineStr">
        <is>
          <t>Unattempted</t>
        </is>
      </c>
    </row>
    <row r="615">
      <c r="A615" s="4" t="inlineStr">
        <is>
          <t>Other Practice Paths</t>
        </is>
      </c>
      <c r="B615" s="4" t="inlineStr">
        <is>
          <t>Prepare for ICPC - Past Year Problems</t>
        </is>
      </c>
      <c r="C615" s="4" t="inlineStr">
        <is>
          <t>Prepare for your next ICPC online or onsite round by practicing problems of past years. Get an understanding of the pattern of questions which are asked.</t>
        </is>
      </c>
      <c r="D615" s="4" t="inlineStr">
        <is>
          <t>Asia Kanpur Onsite Round 2019 - Asia Kanpur Onsite Round 2019</t>
        </is>
      </c>
      <c r="E615" s="4" t="n">
        <v>47</v>
      </c>
      <c r="F615" s="4" t="inlineStr">
        <is>
          <t>K-Prob</t>
        </is>
      </c>
      <c r="G615" s="4" t="inlineStr">
        <is>
          <t>KPRB</t>
        </is>
      </c>
      <c r="H615" s="4" t="inlineStr"/>
      <c r="I615" s="4" t="inlineStr">
        <is>
          <t>Hard</t>
        </is>
      </c>
      <c r="J615" s="5">
        <f>HYPERLINK("https://www.codechef.com/problems/KPRB", "https://www.codechef.com/problems/KPRB")</f>
        <v/>
      </c>
      <c r="K615" s="4" t="inlineStr"/>
      <c r="L615" s="4" t="inlineStr">
        <is>
          <t>Advanced Data Structures, Algorithms, DP on sequences, Disjoint Set Union, Dynamic Programming, Longest Common Prefix, Mathematics, Probability, Suffix Arrays, Suffix Structures</t>
        </is>
      </c>
      <c r="M615" s="4" t="inlineStr"/>
      <c r="N615" s="4" t="inlineStr">
        <is>
          <t>No</t>
        </is>
      </c>
      <c r="O615" s="4" t="inlineStr">
        <is>
          <t>Unattempted</t>
        </is>
      </c>
    </row>
    <row r="616">
      <c r="A616" s="2" t="inlineStr">
        <is>
          <t>Other Practice Paths</t>
        </is>
      </c>
      <c r="B616" s="2" t="inlineStr">
        <is>
          <t>Prepare for ICPC - Past Year Problems</t>
        </is>
      </c>
      <c r="C616" s="2" t="inlineStr">
        <is>
          <t>Prepare for your next ICPC online or onsite round by practicing problems of past years. Get an understanding of the pattern of questions which are asked.</t>
        </is>
      </c>
      <c r="D616" s="2" t="inlineStr">
        <is>
          <t>Asia Kanpur Onsite Round 2019 - Asia Kanpur Onsite Round 2019</t>
        </is>
      </c>
      <c r="E616" s="2" t="n">
        <v>48</v>
      </c>
      <c r="F616" s="2" t="inlineStr">
        <is>
          <t>Weighted Necklace</t>
        </is>
      </c>
      <c r="G616" s="2" t="inlineStr">
        <is>
          <t>WGTNKLC</t>
        </is>
      </c>
      <c r="H616" s="2" t="inlineStr"/>
      <c r="I616" s="2" t="inlineStr">
        <is>
          <t>Hard</t>
        </is>
      </c>
      <c r="J616" s="3">
        <f>HYPERLINK("https://www.codechef.com/problems/WGTNKLC", "https://www.codechef.com/problems/WGTNKLC")</f>
        <v/>
      </c>
      <c r="K616" s="2" t="inlineStr"/>
      <c r="L616" s="2" t="inlineStr"/>
      <c r="M616" s="2" t="inlineStr"/>
      <c r="N616" s="2" t="inlineStr">
        <is>
          <t>No</t>
        </is>
      </c>
      <c r="O616" s="2" t="inlineStr">
        <is>
          <t>Unattempted</t>
        </is>
      </c>
    </row>
    <row r="617">
      <c r="A617" s="4" t="inlineStr">
        <is>
          <t>Other Practice Paths</t>
        </is>
      </c>
      <c r="B617" s="4" t="inlineStr">
        <is>
          <t>Prepare for ICPC - Past Year Problems</t>
        </is>
      </c>
      <c r="C617" s="4" t="inlineStr">
        <is>
          <t>Prepare for your next ICPC online or onsite round by practicing problems of past years. Get an understanding of the pattern of questions which are asked.</t>
        </is>
      </c>
      <c r="D617" s="4" t="inlineStr">
        <is>
          <t>Asia Kanpur Onsite Round 2019 - Asia Kanpur Onsite Round 2019</t>
        </is>
      </c>
      <c r="E617" s="4" t="n">
        <v>49</v>
      </c>
      <c r="F617" s="4" t="inlineStr">
        <is>
          <t>Minimize the Distance</t>
        </is>
      </c>
      <c r="G617" s="4" t="inlineStr">
        <is>
          <t>MINDIST</t>
        </is>
      </c>
      <c r="H617" s="4" t="inlineStr"/>
      <c r="I617" s="4" t="inlineStr">
        <is>
          <t>Hard</t>
        </is>
      </c>
      <c r="J617" s="5">
        <f>HYPERLINK("https://www.codechef.com/problems/MINDIST", "https://www.codechef.com/problems/MINDIST")</f>
        <v/>
      </c>
      <c r="K617" s="4" t="inlineStr"/>
      <c r="L617" s="4" t="inlineStr">
        <is>
          <t>Advanced Algorithms, Computational Geometry</t>
        </is>
      </c>
      <c r="M617" s="4" t="inlineStr"/>
      <c r="N617" s="4" t="inlineStr">
        <is>
          <t>No</t>
        </is>
      </c>
      <c r="O617" s="4" t="inlineStr">
        <is>
          <t>Unattempted</t>
        </is>
      </c>
    </row>
    <row r="618">
      <c r="A618" s="2" t="inlineStr">
        <is>
          <t>Other Practice Paths</t>
        </is>
      </c>
      <c r="B618" s="2" t="inlineStr">
        <is>
          <t>Prepare for ICPC - Past Year Problems</t>
        </is>
      </c>
      <c r="C618" s="2" t="inlineStr">
        <is>
          <t>Prepare for your next ICPC online or onsite round by practicing problems of past years. Get an understanding of the pattern of questions which are asked.</t>
        </is>
      </c>
      <c r="D618" s="2" t="inlineStr">
        <is>
          <t>Asia Kanpur Onsite Round 2019 - Asia Kanpur Onsite Round 2019</t>
        </is>
      </c>
      <c r="E618" s="2" t="n">
        <v>50</v>
      </c>
      <c r="F618" s="2" t="inlineStr">
        <is>
          <t>Beauty and The Array</t>
        </is>
      </c>
      <c r="G618" s="2" t="inlineStr">
        <is>
          <t>BEAUAR</t>
        </is>
      </c>
      <c r="H618" s="2" t="inlineStr"/>
      <c r="I618" s="2" t="inlineStr">
        <is>
          <t>Hard</t>
        </is>
      </c>
      <c r="J618" s="3">
        <f>HYPERLINK("https://www.codechef.com/problems/BEAUAR", "https://www.codechef.com/problems/BEAUAR")</f>
        <v/>
      </c>
      <c r="K618" s="2" t="inlineStr"/>
      <c r="L618" s="2" t="inlineStr">
        <is>
          <t>Advanced Algorithms, Advanced Data Structures, Computational Geometry, Convex Hull, Polygons</t>
        </is>
      </c>
      <c r="M618" s="2" t="inlineStr"/>
      <c r="N618" s="2" t="inlineStr">
        <is>
          <t>No</t>
        </is>
      </c>
      <c r="O618" s="2" t="inlineStr">
        <is>
          <t>Unattempted</t>
        </is>
      </c>
    </row>
    <row r="619">
      <c r="A619" s="4" t="inlineStr">
        <is>
          <t>Other Practice Paths</t>
        </is>
      </c>
      <c r="B619" s="4" t="inlineStr">
        <is>
          <t>Prepare for ICPC - Past Year Problems</t>
        </is>
      </c>
      <c r="C619" s="4" t="inlineStr">
        <is>
          <t>Prepare for your next ICPC online or onsite round by practicing problems of past years. Get an understanding of the pattern of questions which are asked.</t>
        </is>
      </c>
      <c r="D619" s="4" t="inlineStr">
        <is>
          <t>Asia Kanpur Onsite Round 2019 - Asia Kanpur Onsite Round 2019</t>
        </is>
      </c>
      <c r="E619" s="4" t="n">
        <v>51</v>
      </c>
      <c r="F619" s="4" t="inlineStr">
        <is>
          <t>Nicks Landing</t>
        </is>
      </c>
      <c r="G619" s="4" t="inlineStr">
        <is>
          <t>LNDNCK</t>
        </is>
      </c>
      <c r="H619" s="4" t="inlineStr"/>
      <c r="I619" s="4" t="inlineStr">
        <is>
          <t>Hard</t>
        </is>
      </c>
      <c r="J619" s="5">
        <f>HYPERLINK("https://www.codechef.com/problems/LNDNCK", "https://www.codechef.com/problems/LNDNCK")</f>
        <v/>
      </c>
      <c r="K619" s="4" t="inlineStr"/>
      <c r="L619" s="4" t="inlineStr">
        <is>
          <t>Advanced Algorithms, Algorithms, Offline Queries, Queries, Sorting, Square Root Decomposition</t>
        </is>
      </c>
      <c r="M619" s="4" t="inlineStr"/>
      <c r="N619" s="4" t="inlineStr">
        <is>
          <t>No</t>
        </is>
      </c>
      <c r="O619" s="4" t="inlineStr">
        <is>
          <t>Unattempted</t>
        </is>
      </c>
    </row>
    <row r="620">
      <c r="A620" s="2" t="inlineStr">
        <is>
          <t>Other Practice Paths</t>
        </is>
      </c>
      <c r="B620" s="2" t="inlineStr">
        <is>
          <t>Prepare for ICPC - Past Year Problems</t>
        </is>
      </c>
      <c r="C620" s="2" t="inlineStr">
        <is>
          <t>Prepare for your next ICPC online or onsite round by practicing problems of past years. Get an understanding of the pattern of questions which are asked.</t>
        </is>
      </c>
      <c r="D620" s="2" t="inlineStr">
        <is>
          <t>Gwalior - Pune Site Onsite Round 2018 - Gwalior - Pune Site Onsite Round 2018</t>
        </is>
      </c>
      <c r="E620" s="2" t="n">
        <v>52</v>
      </c>
      <c r="F620" s="2" t="inlineStr">
        <is>
          <t>Life Limited</t>
        </is>
      </c>
      <c r="G620" s="2" t="inlineStr">
        <is>
          <t>LIFELTD</t>
        </is>
      </c>
      <c r="H620" s="2" t="inlineStr"/>
      <c r="I620" s="2" t="inlineStr">
        <is>
          <t>Easy</t>
        </is>
      </c>
      <c r="J620" s="3">
        <f>HYPERLINK("https://www.codechef.com/problems/LIFELTD", "https://www.codechef.com/problems/LIFELTD")</f>
        <v/>
      </c>
      <c r="K620" s="2" t="inlineStr"/>
      <c r="L620" s="2" t="inlineStr">
        <is>
          <t>Algorithms, Basic Programming Concepts, Brute Force, Conditional Statements, Implementation</t>
        </is>
      </c>
      <c r="M620" s="2" t="inlineStr"/>
      <c r="N620" s="2" t="inlineStr">
        <is>
          <t>No</t>
        </is>
      </c>
      <c r="O620" s="2" t="inlineStr">
        <is>
          <t>Unattempted</t>
        </is>
      </c>
    </row>
    <row r="621">
      <c r="A621" s="4" t="inlineStr">
        <is>
          <t>Other Practice Paths</t>
        </is>
      </c>
      <c r="B621" s="4" t="inlineStr">
        <is>
          <t>Prepare for ICPC - Past Year Problems</t>
        </is>
      </c>
      <c r="C621" s="4" t="inlineStr">
        <is>
          <t>Prepare for your next ICPC online or onsite round by practicing problems of past years. Get an understanding of the pattern of questions which are asked.</t>
        </is>
      </c>
      <c r="D621" s="4" t="inlineStr">
        <is>
          <t>Gwalior - Pune Site Onsite Round 2018 - Gwalior - Pune Site Onsite Round 2018</t>
        </is>
      </c>
      <c r="E621" s="4" t="n">
        <v>53</v>
      </c>
      <c r="F621" s="4" t="inlineStr">
        <is>
          <t>Capturing Bird in A Camera</t>
        </is>
      </c>
      <c r="G621" s="4" t="inlineStr">
        <is>
          <t>CAPTBIRD</t>
        </is>
      </c>
      <c r="H621" s="4" t="inlineStr"/>
      <c r="I621" s="4" t="inlineStr">
        <is>
          <t>Hard</t>
        </is>
      </c>
      <c r="J621" s="5">
        <f>HYPERLINK("https://www.codechef.com/problems/CAPTBIRD", "https://www.codechef.com/problems/CAPTBIRD")</f>
        <v/>
      </c>
      <c r="K621" s="4" t="inlineStr"/>
      <c r="L621" s="4" t="inlineStr">
        <is>
          <t>Geometry, Mathematics</t>
        </is>
      </c>
      <c r="M621" s="4" t="inlineStr"/>
      <c r="N621" s="4" t="inlineStr">
        <is>
          <t>No</t>
        </is>
      </c>
      <c r="O621" s="4" t="inlineStr">
        <is>
          <t>Unattempted</t>
        </is>
      </c>
    </row>
    <row r="622">
      <c r="A622" s="2" t="inlineStr">
        <is>
          <t>Other Practice Paths</t>
        </is>
      </c>
      <c r="B622" s="2" t="inlineStr">
        <is>
          <t>Prepare for ICPC - Past Year Problems</t>
        </is>
      </c>
      <c r="C622" s="2" t="inlineStr">
        <is>
          <t>Prepare for your next ICPC online or onsite round by practicing problems of past years. Get an understanding of the pattern of questions which are asked.</t>
        </is>
      </c>
      <c r="D622" s="2" t="inlineStr">
        <is>
          <t>Gwalior - Pune Site Onsite Round 2018 - Gwalior - Pune Site Onsite Round 2018</t>
        </is>
      </c>
      <c r="E622" s="2" t="n">
        <v>54</v>
      </c>
      <c r="F622" s="2" t="inlineStr">
        <is>
          <t>A - Even Odd subsequences</t>
        </is>
      </c>
      <c r="G622" s="2" t="inlineStr">
        <is>
          <t>EOSUBSEQ</t>
        </is>
      </c>
      <c r="H622" s="2" t="inlineStr"/>
      <c r="I622" s="2" t="inlineStr">
        <is>
          <t>Hard</t>
        </is>
      </c>
      <c r="J622" s="3">
        <f>HYPERLINK("https://www.codechef.com/problems/EOSUBSEQ", "https://www.codechef.com/problems/EOSUBSEQ")</f>
        <v/>
      </c>
      <c r="K622" s="2" t="inlineStr"/>
      <c r="L622" s="2" t="inlineStr">
        <is>
          <t>Algorithms, Dynamic Programming</t>
        </is>
      </c>
      <c r="M622" s="2" t="inlineStr"/>
      <c r="N622" s="2" t="inlineStr">
        <is>
          <t>No</t>
        </is>
      </c>
      <c r="O622" s="2" t="inlineStr">
        <is>
          <t>Unattempted</t>
        </is>
      </c>
    </row>
    <row r="623">
      <c r="A623" s="4" t="inlineStr">
        <is>
          <t>Other Practice Paths</t>
        </is>
      </c>
      <c r="B623" s="4" t="inlineStr">
        <is>
          <t>Prepare for ICPC - Past Year Problems</t>
        </is>
      </c>
      <c r="C623" s="4" t="inlineStr">
        <is>
          <t>Prepare for your next ICPC online or onsite round by practicing problems of past years. Get an understanding of the pattern of questions which are asked.</t>
        </is>
      </c>
      <c r="D623" s="4" t="inlineStr">
        <is>
          <t>Gwalior - Pune Site Onsite Round 2018 - Gwalior - Pune Site Onsite Round 2018</t>
        </is>
      </c>
      <c r="E623" s="4" t="n">
        <v>55</v>
      </c>
      <c r="F623" s="4" t="inlineStr">
        <is>
          <t>Prefix Numbers</t>
        </is>
      </c>
      <c r="G623" s="4" t="inlineStr">
        <is>
          <t>PREFNUM</t>
        </is>
      </c>
      <c r="H623" s="4" t="inlineStr"/>
      <c r="I623" s="4" t="inlineStr">
        <is>
          <t>Hard</t>
        </is>
      </c>
      <c r="J623" s="5">
        <f>HYPERLINK("https://www.codechef.com/problems/PREFNUM", "https://www.codechef.com/problems/PREFNUM")</f>
        <v/>
      </c>
      <c r="K623" s="4" t="inlineStr"/>
      <c r="L623" s="4" t="inlineStr">
        <is>
          <t>Basic Math, Mathematics, Modular Arithmetic, Number Theory</t>
        </is>
      </c>
      <c r="M623" s="4" t="inlineStr"/>
      <c r="N623" s="4" t="inlineStr">
        <is>
          <t>No</t>
        </is>
      </c>
      <c r="O623" s="4" t="inlineStr">
        <is>
          <t>Unattempted</t>
        </is>
      </c>
    </row>
    <row r="624">
      <c r="A624" s="2" t="inlineStr">
        <is>
          <t>Other Practice Paths</t>
        </is>
      </c>
      <c r="B624" s="2" t="inlineStr">
        <is>
          <t>Prepare for ICPC - Past Year Problems</t>
        </is>
      </c>
      <c r="C624" s="2" t="inlineStr">
        <is>
          <t>Prepare for your next ICPC online or onsite round by practicing problems of past years. Get an understanding of the pattern of questions which are asked.</t>
        </is>
      </c>
      <c r="D624" s="2" t="inlineStr">
        <is>
          <t>Gwalior - Pune Site Onsite Round 2018 - Gwalior - Pune Site Onsite Round 2018</t>
        </is>
      </c>
      <c r="E624" s="2" t="n">
        <v>56</v>
      </c>
      <c r="F624" s="2" t="inlineStr">
        <is>
          <t>Autonomous Cars</t>
        </is>
      </c>
      <c r="G624" s="2" t="inlineStr">
        <is>
          <t>AUTOCARS</t>
        </is>
      </c>
      <c r="H624" s="2" t="inlineStr"/>
      <c r="I624" s="2" t="inlineStr">
        <is>
          <t>Hard</t>
        </is>
      </c>
      <c r="J624" s="3">
        <f>HYPERLINK("https://www.codechef.com/problems/AUTOCARS", "https://www.codechef.com/problems/AUTOCARS")</f>
        <v/>
      </c>
      <c r="K624" s="2" t="inlineStr"/>
      <c r="L624" s="2" t="inlineStr">
        <is>
          <t>admin2</t>
        </is>
      </c>
      <c r="M624" s="2" t="inlineStr"/>
      <c r="N624" s="2" t="inlineStr">
        <is>
          <t>No</t>
        </is>
      </c>
      <c r="O624" s="2" t="inlineStr">
        <is>
          <t>Unattempted</t>
        </is>
      </c>
    </row>
    <row r="625">
      <c r="A625" s="4" t="inlineStr">
        <is>
          <t>Other Practice Paths</t>
        </is>
      </c>
      <c r="B625" s="4" t="inlineStr">
        <is>
          <t>Prepare for ICPC - Past Year Problems</t>
        </is>
      </c>
      <c r="C625" s="4" t="inlineStr">
        <is>
          <t>Prepare for your next ICPC online or onsite round by practicing problems of past years. Get an understanding of the pattern of questions which are asked.</t>
        </is>
      </c>
      <c r="D625" s="4" t="inlineStr">
        <is>
          <t>Gwalior - Pune Site Onsite Round 2018 - Gwalior - Pune Site Onsite Round 2018</t>
        </is>
      </c>
      <c r="E625" s="4" t="n">
        <v>57</v>
      </c>
      <c r="F625" s="4" t="inlineStr">
        <is>
          <t>Siruseri Gerrymandering</t>
        </is>
      </c>
      <c r="G625" s="4" t="inlineStr">
        <is>
          <t>SIRUSERI</t>
        </is>
      </c>
      <c r="H625" s="4" t="inlineStr"/>
      <c r="I625" s="4" t="inlineStr">
        <is>
          <t>Hard</t>
        </is>
      </c>
      <c r="J625" s="5">
        <f>HYPERLINK("https://www.codechef.com/problems/SIRUSERI", "https://www.codechef.com/problems/SIRUSERI")</f>
        <v/>
      </c>
      <c r="K625" s="4" t="inlineStr"/>
      <c r="L625" s="4" t="inlineStr"/>
      <c r="M625" s="4" t="inlineStr"/>
      <c r="N625" s="4" t="inlineStr">
        <is>
          <t>No</t>
        </is>
      </c>
      <c r="O625" s="4" t="inlineStr">
        <is>
          <t>Unattempted</t>
        </is>
      </c>
    </row>
    <row r="626">
      <c r="A626" s="2" t="inlineStr">
        <is>
          <t>Other Practice Paths</t>
        </is>
      </c>
      <c r="B626" s="2" t="inlineStr">
        <is>
          <t>Prepare for ICPC - Past Year Problems</t>
        </is>
      </c>
      <c r="C626" s="2" t="inlineStr">
        <is>
          <t>Prepare for your next ICPC online or onsite round by practicing problems of past years. Get an understanding of the pattern of questions which are asked.</t>
        </is>
      </c>
      <c r="D626" s="2" t="inlineStr">
        <is>
          <t>Gwalior - Pune Site Onsite Round 2018 - Gwalior - Pune Site Onsite Round 2018</t>
        </is>
      </c>
      <c r="E626" s="2" t="n">
        <v>58</v>
      </c>
      <c r="F626" s="2" t="inlineStr">
        <is>
          <t>Three Strings</t>
        </is>
      </c>
      <c r="G626" s="2" t="inlineStr">
        <is>
          <t>THSTRS</t>
        </is>
      </c>
      <c r="H626" s="2" t="inlineStr"/>
      <c r="I626" s="2" t="inlineStr">
        <is>
          <t>Hard</t>
        </is>
      </c>
      <c r="J626" s="3">
        <f>HYPERLINK("https://www.codechef.com/problems/THSTRS", "https://www.codechef.com/problems/THSTRS")</f>
        <v/>
      </c>
      <c r="K626" s="2" t="inlineStr"/>
      <c r="L626" s="2" t="inlineStr"/>
      <c r="M626" s="2" t="inlineStr"/>
      <c r="N626" s="2" t="inlineStr">
        <is>
          <t>No</t>
        </is>
      </c>
      <c r="O626" s="2" t="inlineStr">
        <is>
          <t>Unattempted</t>
        </is>
      </c>
    </row>
    <row r="627">
      <c r="A627" s="4" t="inlineStr">
        <is>
          <t>Other Practice Paths</t>
        </is>
      </c>
      <c r="B627" s="4" t="inlineStr">
        <is>
          <t>Prepare for ICPC - Past Year Problems</t>
        </is>
      </c>
      <c r="C627" s="4" t="inlineStr">
        <is>
          <t>Prepare for your next ICPC online or onsite round by practicing problems of past years. Get an understanding of the pattern of questions which are asked.</t>
        </is>
      </c>
      <c r="D627" s="4" t="inlineStr">
        <is>
          <t>Gwalior - Pune Site Onsite Round 2018 - Gwalior - Pune Site Onsite Round 2018</t>
        </is>
      </c>
      <c r="E627" s="4" t="n">
        <v>59</v>
      </c>
      <c r="F627" s="4" t="inlineStr">
        <is>
          <t>Not So Random Walks</t>
        </is>
      </c>
      <c r="G627" s="4" t="inlineStr">
        <is>
          <t>WALKTREE</t>
        </is>
      </c>
      <c r="H627" s="4" t="inlineStr"/>
      <c r="I627" s="4" t="inlineStr">
        <is>
          <t>Hard</t>
        </is>
      </c>
      <c r="J627" s="5">
        <f>HYPERLINK("https://www.codechef.com/problems/WALKTREE", "https://www.codechef.com/problems/WALKTREE")</f>
        <v/>
      </c>
      <c r="K627" s="4" t="inlineStr"/>
      <c r="L627" s="4" t="inlineStr"/>
      <c r="M627" s="4" t="inlineStr"/>
      <c r="N627" s="4" t="inlineStr">
        <is>
          <t>No</t>
        </is>
      </c>
      <c r="O627" s="4" t="inlineStr">
        <is>
          <t>Unattempted</t>
        </is>
      </c>
    </row>
    <row r="628">
      <c r="A628" s="2" t="inlineStr">
        <is>
          <t>Other Practice Paths</t>
        </is>
      </c>
      <c r="B628" s="2" t="inlineStr">
        <is>
          <t>Prepare for ICPC - Past Year Problems</t>
        </is>
      </c>
      <c r="C628" s="2" t="inlineStr">
        <is>
          <t>Prepare for your next ICPC online or onsite round by practicing problems of past years. Get an understanding of the pattern of questions which are asked.</t>
        </is>
      </c>
      <c r="D628" s="2" t="inlineStr">
        <is>
          <t>Gwalior - Pune Site Onsite Round 2018 - Gwalior - Pune Site Onsite Round 2018</t>
        </is>
      </c>
      <c r="E628" s="2" t="n">
        <v>60</v>
      </c>
      <c r="F628" s="2" t="inlineStr">
        <is>
          <t>Game of numbers</t>
        </is>
      </c>
      <c r="G628" s="2" t="inlineStr">
        <is>
          <t>GAMOFNUM</t>
        </is>
      </c>
      <c r="H628" s="2" t="inlineStr"/>
      <c r="I628" s="2" t="inlineStr">
        <is>
          <t>Hard</t>
        </is>
      </c>
      <c r="J628" s="3">
        <f>HYPERLINK("https://www.codechef.com/problems/GAMOFNUM", "https://www.codechef.com/problems/GAMOFNUM")</f>
        <v/>
      </c>
      <c r="K628" s="2" t="inlineStr"/>
      <c r="L628" s="2" t="inlineStr">
        <is>
          <t>Algorithms, Divisors, Game Theory, Integer Factorisation, Mathematics, Number Theory, Prime Divisors, Sprague Grundy Theorem</t>
        </is>
      </c>
      <c r="M628" s="2" t="inlineStr"/>
      <c r="N628" s="2" t="inlineStr">
        <is>
          <t>No</t>
        </is>
      </c>
      <c r="O628" s="2" t="inlineStr">
        <is>
          <t>Unattempted</t>
        </is>
      </c>
    </row>
    <row r="629">
      <c r="A629" s="4" t="inlineStr">
        <is>
          <t>Other Practice Paths</t>
        </is>
      </c>
      <c r="B629" s="4" t="inlineStr">
        <is>
          <t>Prepare for ICPC - Past Year Problems</t>
        </is>
      </c>
      <c r="C629" s="4" t="inlineStr">
        <is>
          <t>Prepare for your next ICPC online or onsite round by practicing problems of past years. Get an understanding of the pattern of questions which are asked.</t>
        </is>
      </c>
      <c r="D629" s="4" t="inlineStr">
        <is>
          <t>Gwalior - Pune Site Onsite Round 2018 - Gwalior - Pune Site Onsite Round 2018</t>
        </is>
      </c>
      <c r="E629" s="4" t="n">
        <v>61</v>
      </c>
      <c r="F629" s="4" t="inlineStr">
        <is>
          <t>Polygon and String</t>
        </is>
      </c>
      <c r="G629" s="4" t="inlineStr">
        <is>
          <t>POLYSTR</t>
        </is>
      </c>
      <c r="H629" s="4" t="inlineStr"/>
      <c r="I629" s="4" t="inlineStr">
        <is>
          <t>Hard</t>
        </is>
      </c>
      <c r="J629" s="5">
        <f>HYPERLINK("https://www.codechef.com/problems/POLYSTR", "https://www.codechef.com/problems/POLYSTR")</f>
        <v/>
      </c>
      <c r="K629" s="4" t="inlineStr"/>
      <c r="L629" s="4" t="inlineStr">
        <is>
          <t>admin2</t>
        </is>
      </c>
      <c r="M629" s="4" t="inlineStr"/>
      <c r="N629" s="4" t="inlineStr">
        <is>
          <t>No</t>
        </is>
      </c>
      <c r="O629" s="4" t="inlineStr">
        <is>
          <t>Unattempted</t>
        </is>
      </c>
    </row>
    <row r="630">
      <c r="A630" s="2" t="inlineStr">
        <is>
          <t>Other Practice Paths</t>
        </is>
      </c>
      <c r="B630" s="2" t="inlineStr">
        <is>
          <t>Prepare for ICPC - Past Year Problems</t>
        </is>
      </c>
      <c r="C630" s="2" t="inlineStr">
        <is>
          <t>Prepare for your next ICPC online or onsite round by practicing problems of past years. Get an understanding of the pattern of questions which are asked.</t>
        </is>
      </c>
      <c r="D630" s="2" t="inlineStr">
        <is>
          <t>Gwalior - Pune Site Onsite Round 2018 - Gwalior - Pune Site Onsite Round 2018</t>
        </is>
      </c>
      <c r="E630" s="2" t="n">
        <v>62</v>
      </c>
      <c r="F630" s="2" t="inlineStr">
        <is>
          <t>Flipping Polygons</t>
        </is>
      </c>
      <c r="G630" s="2" t="inlineStr">
        <is>
          <t>NGONS</t>
        </is>
      </c>
      <c r="H630" s="2" t="inlineStr"/>
      <c r="I630" s="2" t="inlineStr">
        <is>
          <t>Hard</t>
        </is>
      </c>
      <c r="J630" s="3">
        <f>HYPERLINK("https://www.codechef.com/problems/NGONS", "https://www.codechef.com/problems/NGONS")</f>
        <v/>
      </c>
      <c r="K630" s="2" t="inlineStr"/>
      <c r="L630" s="2" t="inlineStr">
        <is>
          <t>Advanced Data Structures, Advanced Tree Structures, Geometry, Lazy Propagation, Mathematics, Segment Trees</t>
        </is>
      </c>
      <c r="M630" s="2" t="inlineStr"/>
      <c r="N630" s="2" t="inlineStr">
        <is>
          <t>No</t>
        </is>
      </c>
      <c r="O630" s="2" t="inlineStr">
        <is>
          <t>Unattempted</t>
        </is>
      </c>
    </row>
    <row r="631">
      <c r="A631" s="4" t="inlineStr">
        <is>
          <t>Other Practice Paths</t>
        </is>
      </c>
      <c r="B631" s="4" t="inlineStr">
        <is>
          <t>Prepare for ICPC - Past Year Problems</t>
        </is>
      </c>
      <c r="C631" s="4" t="inlineStr">
        <is>
          <t>Prepare for your next ICPC online or onsite round by practicing problems of past years. Get an understanding of the pattern of questions which are asked.</t>
        </is>
      </c>
      <c r="D631" s="4" t="inlineStr">
        <is>
          <t>Asia-Amritapuri Site Onsite Round 2018 - Asia-Amritapuri Site Onsite Round 2018</t>
        </is>
      </c>
      <c r="E631" s="4" t="n">
        <v>63</v>
      </c>
      <c r="F631" s="4" t="inlineStr">
        <is>
          <t>Is it a Cakewalk Problem</t>
        </is>
      </c>
      <c r="G631" s="4" t="inlineStr">
        <is>
          <t>ISITCAKE</t>
        </is>
      </c>
      <c r="H631" s="4" t="inlineStr"/>
      <c r="I631" s="4" t="inlineStr">
        <is>
          <t>Easy</t>
        </is>
      </c>
      <c r="J631" s="5">
        <f>HYPERLINK("https://www.codechef.com/problems/ISITCAKE", "https://www.codechef.com/problems/ISITCAKE")</f>
        <v/>
      </c>
      <c r="K631" s="4" t="inlineStr"/>
      <c r="L631" s="4" t="inlineStr">
        <is>
          <t>Algorithms, Brute Force, Implementation</t>
        </is>
      </c>
      <c r="M631" s="4" t="inlineStr"/>
      <c r="N631" s="4" t="inlineStr">
        <is>
          <t>No</t>
        </is>
      </c>
      <c r="O631" s="4" t="inlineStr">
        <is>
          <t>Unattempted</t>
        </is>
      </c>
    </row>
    <row r="632">
      <c r="A632" s="2" t="inlineStr">
        <is>
          <t>Other Practice Paths</t>
        </is>
      </c>
      <c r="B632" s="2" t="inlineStr">
        <is>
          <t>Prepare for ICPC - Past Year Problems</t>
        </is>
      </c>
      <c r="C632" s="2" t="inlineStr">
        <is>
          <t>Prepare for your next ICPC online or onsite round by practicing problems of past years. Get an understanding of the pattern of questions which are asked.</t>
        </is>
      </c>
      <c r="D632" s="2" t="inlineStr">
        <is>
          <t>Asia-Amritapuri Site Onsite Round 2018 - Asia-Amritapuri Site Onsite Round 2018</t>
        </is>
      </c>
      <c r="E632" s="2" t="n">
        <v>64</v>
      </c>
      <c r="F632" s="2" t="inlineStr">
        <is>
          <t>Magic School</t>
        </is>
      </c>
      <c r="G632" s="2" t="inlineStr">
        <is>
          <t>CNTFAIL</t>
        </is>
      </c>
      <c r="H632" s="2" t="inlineStr"/>
      <c r="I632" s="2" t="inlineStr">
        <is>
          <t>Medium</t>
        </is>
      </c>
      <c r="J632" s="3">
        <f>HYPERLINK("https://www.codechef.com/problems/CNTFAIL", "https://www.codechef.com/problems/CNTFAIL")</f>
        <v/>
      </c>
      <c r="K632" s="2" t="inlineStr"/>
      <c r="L632" s="2" t="inlineStr">
        <is>
          <t>Algorithms, Implementation, Observation</t>
        </is>
      </c>
      <c r="M632" s="2" t="inlineStr"/>
      <c r="N632" s="2" t="inlineStr">
        <is>
          <t>No</t>
        </is>
      </c>
      <c r="O632" s="2" t="inlineStr">
        <is>
          <t>Unattempted</t>
        </is>
      </c>
    </row>
    <row r="633">
      <c r="A633" s="4" t="inlineStr">
        <is>
          <t>Other Practice Paths</t>
        </is>
      </c>
      <c r="B633" s="4" t="inlineStr">
        <is>
          <t>Prepare for ICPC - Past Year Problems</t>
        </is>
      </c>
      <c r="C633" s="4" t="inlineStr">
        <is>
          <t>Prepare for your next ICPC online or onsite round by practicing problems of past years. Get an understanding of the pattern of questions which are asked.</t>
        </is>
      </c>
      <c r="D633" s="4" t="inlineStr">
        <is>
          <t>Asia-Amritapuri Site Onsite Round 2018 - Asia-Amritapuri Site Onsite Round 2018</t>
        </is>
      </c>
      <c r="E633" s="4" t="n">
        <v>65</v>
      </c>
      <c r="F633" s="4" t="inlineStr">
        <is>
          <t>Fighting Armies</t>
        </is>
      </c>
      <c r="G633" s="4" t="inlineStr">
        <is>
          <t>ARMYFGT</t>
        </is>
      </c>
      <c r="H633" s="4" t="inlineStr"/>
      <c r="I633" s="4" t="inlineStr">
        <is>
          <t>Medium</t>
        </is>
      </c>
      <c r="J633" s="5">
        <f>HYPERLINK("https://www.codechef.com/problems/ARMYFGT", "https://www.codechef.com/problems/ARMYFGT")</f>
        <v/>
      </c>
      <c r="K633" s="4" t="inlineStr"/>
      <c r="L633" s="4" t="inlineStr">
        <is>
          <t>LCM, Mathematics, Number Theory</t>
        </is>
      </c>
      <c r="M633" s="4" t="inlineStr"/>
      <c r="N633" s="4" t="inlineStr">
        <is>
          <t>No</t>
        </is>
      </c>
      <c r="O633" s="4" t="inlineStr">
        <is>
          <t>Unattempted</t>
        </is>
      </c>
    </row>
    <row r="634">
      <c r="A634" s="2" t="inlineStr">
        <is>
          <t>Other Practice Paths</t>
        </is>
      </c>
      <c r="B634" s="2" t="inlineStr">
        <is>
          <t>Prepare for ICPC - Past Year Problems</t>
        </is>
      </c>
      <c r="C634" s="2" t="inlineStr">
        <is>
          <t>Prepare for your next ICPC online or onsite round by practicing problems of past years. Get an understanding of the pattern of questions which are asked.</t>
        </is>
      </c>
      <c r="D634" s="2" t="inlineStr">
        <is>
          <t>Asia-Amritapuri Site Onsite Round 2018 - Asia-Amritapuri Site Onsite Round 2018</t>
        </is>
      </c>
      <c r="E634" s="2" t="n">
        <v>66</v>
      </c>
      <c r="F634" s="2" t="inlineStr">
        <is>
          <t>Availability</t>
        </is>
      </c>
      <c r="G634" s="2" t="inlineStr">
        <is>
          <t>AVLBLT</t>
        </is>
      </c>
      <c r="H634" s="2" t="inlineStr"/>
      <c r="I634" s="2" t="inlineStr">
        <is>
          <t>Medium</t>
        </is>
      </c>
      <c r="J634" s="3">
        <f>HYPERLINK("https://www.codechef.com/problems/AVLBLT", "https://www.codechef.com/problems/AVLBLT")</f>
        <v/>
      </c>
      <c r="K634" s="2" t="inlineStr"/>
      <c r="L634" s="2" t="inlineStr">
        <is>
          <t>dojiboy9</t>
        </is>
      </c>
      <c r="M634" s="2" t="inlineStr"/>
      <c r="N634" s="2" t="inlineStr">
        <is>
          <t>No</t>
        </is>
      </c>
      <c r="O634" s="2" t="inlineStr">
        <is>
          <t>Unattempted</t>
        </is>
      </c>
    </row>
    <row r="635">
      <c r="A635" s="4" t="inlineStr">
        <is>
          <t>Other Practice Paths</t>
        </is>
      </c>
      <c r="B635" s="4" t="inlineStr">
        <is>
          <t>Prepare for ICPC - Past Year Problems</t>
        </is>
      </c>
      <c r="C635" s="4" t="inlineStr">
        <is>
          <t>Prepare for your next ICPC online or onsite round by practicing problems of past years. Get an understanding of the pattern of questions which are asked.</t>
        </is>
      </c>
      <c r="D635" s="4" t="inlineStr">
        <is>
          <t>Asia-Amritapuri Site Onsite Round 2018 - Asia-Amritapuri Site Onsite Round 2018</t>
        </is>
      </c>
      <c r="E635" s="4" t="n">
        <v>67</v>
      </c>
      <c r="F635" s="4" t="inlineStr">
        <is>
          <t>Martingale</t>
        </is>
      </c>
      <c r="G635" s="4" t="inlineStr">
        <is>
          <t>MARTING1</t>
        </is>
      </c>
      <c r="H635" s="4" t="inlineStr"/>
      <c r="I635" s="4" t="inlineStr">
        <is>
          <t>Hard</t>
        </is>
      </c>
      <c r="J635" s="5">
        <f>HYPERLINK("https://www.codechef.com/problems/MARTING1", "https://www.codechef.com/problems/MARTING1")</f>
        <v/>
      </c>
      <c r="K635" s="4" t="inlineStr"/>
      <c r="L635" s="4" t="inlineStr">
        <is>
          <t>dojiboy9</t>
        </is>
      </c>
      <c r="M635" s="4" t="inlineStr"/>
      <c r="N635" s="4" t="inlineStr">
        <is>
          <t>No</t>
        </is>
      </c>
      <c r="O635" s="4" t="inlineStr">
        <is>
          <t>Unattempted</t>
        </is>
      </c>
    </row>
    <row r="636">
      <c r="A636" s="2" t="inlineStr">
        <is>
          <t>Other Practice Paths</t>
        </is>
      </c>
      <c r="B636" s="2" t="inlineStr">
        <is>
          <t>Prepare for ICPC - Past Year Problems</t>
        </is>
      </c>
      <c r="C636" s="2" t="inlineStr">
        <is>
          <t>Prepare for your next ICPC online or onsite round by practicing problems of past years. Get an understanding of the pattern of questions which are asked.</t>
        </is>
      </c>
      <c r="D636" s="2" t="inlineStr">
        <is>
          <t>Asia-Amritapuri Site Onsite Round 2018 - Asia-Amritapuri Site Onsite Round 2018</t>
        </is>
      </c>
      <c r="E636" s="2" t="n">
        <v>68</v>
      </c>
      <c r="F636" s="2" t="inlineStr">
        <is>
          <t>Palindromic Walks</t>
        </is>
      </c>
      <c r="G636" s="2" t="inlineStr">
        <is>
          <t>PALPATH</t>
        </is>
      </c>
      <c r="H636" s="2" t="inlineStr"/>
      <c r="I636" s="2" t="inlineStr">
        <is>
          <t>Hard</t>
        </is>
      </c>
      <c r="J636" s="3">
        <f>HYPERLINK("https://www.codechef.com/problems/PALPATH", "https://www.codechef.com/problems/PALPATH")</f>
        <v/>
      </c>
      <c r="K636" s="2" t="inlineStr"/>
      <c r="L636" s="2" t="inlineStr"/>
      <c r="M636" s="2" t="inlineStr"/>
      <c r="N636" s="2" t="inlineStr">
        <is>
          <t>No</t>
        </is>
      </c>
      <c r="O636" s="2" t="inlineStr">
        <is>
          <t>Unattempted</t>
        </is>
      </c>
    </row>
    <row r="637">
      <c r="A637" s="4" t="inlineStr">
        <is>
          <t>Other Practice Paths</t>
        </is>
      </c>
      <c r="B637" s="4" t="inlineStr">
        <is>
          <t>Prepare for ICPC - Past Year Problems</t>
        </is>
      </c>
      <c r="C637" s="4" t="inlineStr">
        <is>
          <t>Prepare for your next ICPC online or onsite round by practicing problems of past years. Get an understanding of the pattern of questions which are asked.</t>
        </is>
      </c>
      <c r="D637" s="4" t="inlineStr">
        <is>
          <t>Asia-Amritapuri Site Onsite Round 2018 - Asia-Amritapuri Site Onsite Round 2018</t>
        </is>
      </c>
      <c r="E637" s="4" t="n">
        <v>69</v>
      </c>
      <c r="F637" s="4" t="inlineStr">
        <is>
          <t>Sauna Cred</t>
        </is>
      </c>
      <c r="G637" s="4" t="inlineStr">
        <is>
          <t>SAUNA</t>
        </is>
      </c>
      <c r="H637" s="4" t="inlineStr"/>
      <c r="I637" s="4" t="inlineStr">
        <is>
          <t>Hard</t>
        </is>
      </c>
      <c r="J637" s="5">
        <f>HYPERLINK("https://www.codechef.com/problems/SAUNA", "https://www.codechef.com/problems/SAUNA")</f>
        <v/>
      </c>
      <c r="K637" s="4" t="inlineStr"/>
      <c r="L637" s="4" t="inlineStr"/>
      <c r="M637" s="4" t="inlineStr"/>
      <c r="N637" s="4" t="inlineStr">
        <is>
          <t>No</t>
        </is>
      </c>
      <c r="O637" s="4" t="inlineStr">
        <is>
          <t>Unattempted</t>
        </is>
      </c>
    </row>
    <row r="638">
      <c r="A638" s="2" t="inlineStr">
        <is>
          <t>Other Practice Paths</t>
        </is>
      </c>
      <c r="B638" s="2" t="inlineStr">
        <is>
          <t>Prepare for ICPC - Past Year Problems</t>
        </is>
      </c>
      <c r="C638" s="2" t="inlineStr">
        <is>
          <t>Prepare for your next ICPC online or onsite round by practicing problems of past years. Get an understanding of the pattern of questions which are asked.</t>
        </is>
      </c>
      <c r="D638" s="2" t="inlineStr">
        <is>
          <t>Asia-Amritapuri Site Onsite Round 2018 - Asia-Amritapuri Site Onsite Round 2018</t>
        </is>
      </c>
      <c r="E638" s="2" t="n">
        <v>70</v>
      </c>
      <c r="F638" s="2" t="inlineStr">
        <is>
          <t>D - Balanced Parenthesis Substrings</t>
        </is>
      </c>
      <c r="G638" s="2" t="inlineStr">
        <is>
          <t>BALSUB</t>
        </is>
      </c>
      <c r="H638" s="2" t="inlineStr"/>
      <c r="I638" s="2" t="inlineStr">
        <is>
          <t>Hard</t>
        </is>
      </c>
      <c r="J638" s="3">
        <f>HYPERLINK("https://www.codechef.com/problems/BALSUB", "https://www.codechef.com/problems/BALSUB")</f>
        <v/>
      </c>
      <c r="K638" s="2" t="inlineStr"/>
      <c r="L638" s="2" t="inlineStr">
        <is>
          <t>Algorithms, Dynamic Programming</t>
        </is>
      </c>
      <c r="M638" s="2" t="inlineStr"/>
      <c r="N638" s="2" t="inlineStr">
        <is>
          <t>No</t>
        </is>
      </c>
      <c r="O638" s="2" t="inlineStr">
        <is>
          <t>Unattempted</t>
        </is>
      </c>
    </row>
    <row r="639">
      <c r="A639" s="4" t="inlineStr">
        <is>
          <t>Other Practice Paths</t>
        </is>
      </c>
      <c r="B639" s="4" t="inlineStr">
        <is>
          <t>Prepare for ICPC - Past Year Problems</t>
        </is>
      </c>
      <c r="C639" s="4" t="inlineStr">
        <is>
          <t>Prepare for your next ICPC online or onsite round by practicing problems of past years. Get an understanding of the pattern of questions which are asked.</t>
        </is>
      </c>
      <c r="D639" s="4" t="inlineStr">
        <is>
          <t>Asia-Amritapuri Site Onsite Round 2018 - Asia-Amritapuri Site Onsite Round 2018</t>
        </is>
      </c>
      <c r="E639" s="4" t="n">
        <v>71</v>
      </c>
      <c r="F639" s="4" t="inlineStr">
        <is>
          <t>Alien Invasion</t>
        </is>
      </c>
      <c r="G639" s="4" t="inlineStr">
        <is>
          <t>ALIENINV</t>
        </is>
      </c>
      <c r="H639" s="4" t="inlineStr"/>
      <c r="I639" s="4" t="inlineStr">
        <is>
          <t>Hard</t>
        </is>
      </c>
      <c r="J639" s="5">
        <f>HYPERLINK("https://www.codechef.com/problems/ALIENINV", "https://www.codechef.com/problems/ALIENINV")</f>
        <v/>
      </c>
      <c r="K639" s="4" t="inlineStr"/>
      <c r="L639" s="4" t="inlineStr">
        <is>
          <t>balajiganapath</t>
        </is>
      </c>
      <c r="M639" s="4" t="inlineStr"/>
      <c r="N639" s="4" t="inlineStr">
        <is>
          <t>No</t>
        </is>
      </c>
      <c r="O639" s="4" t="inlineStr">
        <is>
          <t>Unattempted</t>
        </is>
      </c>
    </row>
    <row r="640">
      <c r="A640" s="2" t="inlineStr">
        <is>
          <t>Other Practice Paths</t>
        </is>
      </c>
      <c r="B640" s="2" t="inlineStr">
        <is>
          <t>Prepare for ICPC - Past Year Problems</t>
        </is>
      </c>
      <c r="C640" s="2" t="inlineStr">
        <is>
          <t>Prepare for your next ICPC online or onsite round by practicing problems of past years. Get an understanding of the pattern of questions which are asked.</t>
        </is>
      </c>
      <c r="D640" s="2" t="inlineStr">
        <is>
          <t>Asia-Amritapuri Site Onsite Round 2018 - Asia-Amritapuri Site Onsite Round 2018</t>
        </is>
      </c>
      <c r="E640" s="2" t="n">
        <v>72</v>
      </c>
      <c r="F640" s="2" t="inlineStr">
        <is>
          <t>Alohomora</t>
        </is>
      </c>
      <c r="G640" s="2" t="inlineStr">
        <is>
          <t>KHULJA</t>
        </is>
      </c>
      <c r="H640" s="2" t="inlineStr"/>
      <c r="I640" s="2" t="inlineStr">
        <is>
          <t>Hard</t>
        </is>
      </c>
      <c r="J640" s="3">
        <f>HYPERLINK("https://www.codechef.com/problems/KHULJA", "https://www.codechef.com/problems/KHULJA")</f>
        <v/>
      </c>
      <c r="K640" s="2" t="inlineStr"/>
      <c r="L640" s="2" t="inlineStr">
        <is>
          <t>Algorithms, Dynamic Programming, FFT, Mathematics, Transformations</t>
        </is>
      </c>
      <c r="M640" s="2" t="inlineStr"/>
      <c r="N640" s="2" t="inlineStr">
        <is>
          <t>No</t>
        </is>
      </c>
      <c r="O640" s="2" t="inlineStr">
        <is>
          <t>Unattempted</t>
        </is>
      </c>
    </row>
    <row r="641">
      <c r="A641" s="4" t="inlineStr">
        <is>
          <t>Other Practice Paths</t>
        </is>
      </c>
      <c r="B641" s="4" t="inlineStr">
        <is>
          <t>Prepare for ICPC - Past Year Problems</t>
        </is>
      </c>
      <c r="C641" s="4" t="inlineStr">
        <is>
          <t>Prepare for your next ICPC online or onsite round by practicing problems of past years. Get an understanding of the pattern of questions which are asked.</t>
        </is>
      </c>
      <c r="D641" s="4" t="inlineStr">
        <is>
          <t>Asia-Amritapuri Site Onsite Round 2018 - Asia-Amritapuri Site Onsite Round 2018</t>
        </is>
      </c>
      <c r="E641" s="4" t="n">
        <v>73</v>
      </c>
      <c r="F641" s="4" t="inlineStr">
        <is>
          <t>Reforms, Reforms Never Change</t>
        </is>
      </c>
      <c r="G641" s="4" t="inlineStr">
        <is>
          <t>REFORMS</t>
        </is>
      </c>
      <c r="H641" s="4" t="inlineStr"/>
      <c r="I641" s="4" t="inlineStr">
        <is>
          <t>Hard</t>
        </is>
      </c>
      <c r="J641" s="5">
        <f>HYPERLINK("https://www.codechef.com/problems/REFORMS", "https://www.codechef.com/problems/REFORMS")</f>
        <v/>
      </c>
      <c r="K641" s="4" t="inlineStr"/>
      <c r="L641" s="4" t="inlineStr"/>
      <c r="M641" s="4" t="inlineStr"/>
      <c r="N641" s="4" t="inlineStr">
        <is>
          <t>No</t>
        </is>
      </c>
      <c r="O641" s="4" t="inlineStr">
        <is>
          <t>Unattempted</t>
        </is>
      </c>
    </row>
    <row r="642">
      <c r="A642" s="2" t="inlineStr">
        <is>
          <t>Other Practice Paths</t>
        </is>
      </c>
      <c r="B642" s="2" t="inlineStr">
        <is>
          <t>Prepare for ICPC - Past Year Problems</t>
        </is>
      </c>
      <c r="C642" s="2" t="inlineStr">
        <is>
          <t>Prepare for your next ICPC online or onsite round by practicing problems of past years. Get an understanding of the pattern of questions which are asked.</t>
        </is>
      </c>
      <c r="D642" s="2" t="inlineStr">
        <is>
          <t>Asia-Amritapuri Site Onsite Round 2018 - Asia-Amritapuri Site Onsite Round 2018</t>
        </is>
      </c>
      <c r="E642" s="2" t="n">
        <v>74</v>
      </c>
      <c r="F642" s="2" t="inlineStr">
        <is>
          <t>Square in rectangles</t>
        </is>
      </c>
      <c r="G642" s="2" t="inlineStr">
        <is>
          <t>SQRECT</t>
        </is>
      </c>
      <c r="H642" s="2" t="inlineStr"/>
      <c r="I642" s="2" t="inlineStr">
        <is>
          <t>Hard</t>
        </is>
      </c>
      <c r="J642" s="3">
        <f>HYPERLINK("https://www.codechef.com/problems/SQRECT", "https://www.codechef.com/problems/SQRECT")</f>
        <v/>
      </c>
      <c r="K642" s="2" t="inlineStr"/>
      <c r="L642" s="2" t="inlineStr"/>
      <c r="M642" s="2" t="inlineStr"/>
      <c r="N642" s="2" t="inlineStr">
        <is>
          <t>No</t>
        </is>
      </c>
      <c r="O642" s="2" t="inlineStr">
        <is>
          <t>Unattempted</t>
        </is>
      </c>
    </row>
    <row r="643">
      <c r="A643" s="4" t="inlineStr">
        <is>
          <t>Other Practice Paths</t>
        </is>
      </c>
      <c r="B643" s="4" t="inlineStr">
        <is>
          <t>Prepare for ICPC - Past Year Problems</t>
        </is>
      </c>
      <c r="C643" s="4" t="inlineStr">
        <is>
          <t>Prepare for your next ICPC online or onsite round by practicing problems of past years. Get an understanding of the pattern of questions which are asked.</t>
        </is>
      </c>
      <c r="D643" s="4" t="inlineStr">
        <is>
          <t>Asia Kolkata-Kanpur Site Onsite Round 2018 -  Asia Kolkata-Kanpur Site Onsite Round 2018</t>
        </is>
      </c>
      <c r="E643" s="4" t="n">
        <v>75</v>
      </c>
      <c r="F643" s="4" t="inlineStr">
        <is>
          <t>Valid Stack Operations</t>
        </is>
      </c>
      <c r="G643" s="4" t="inlineStr">
        <is>
          <t>VALIDSTK</t>
        </is>
      </c>
      <c r="H643" s="4" t="inlineStr"/>
      <c r="I643" s="4" t="inlineStr">
        <is>
          <t>Easy</t>
        </is>
      </c>
      <c r="J643" s="5">
        <f>HYPERLINK("https://www.codechef.com/problems/VALIDSTK", "https://www.codechef.com/problems/VALIDSTK")</f>
        <v/>
      </c>
      <c r="K643" s="4" t="inlineStr"/>
      <c r="L643" s="4" t="inlineStr"/>
      <c r="M643" s="4" t="inlineStr"/>
      <c r="N643" s="4" t="inlineStr">
        <is>
          <t>No</t>
        </is>
      </c>
      <c r="O643" s="4" t="inlineStr">
        <is>
          <t>Unattempted</t>
        </is>
      </c>
    </row>
    <row r="644">
      <c r="A644" s="2" t="inlineStr">
        <is>
          <t>Other Practice Paths</t>
        </is>
      </c>
      <c r="B644" s="2" t="inlineStr">
        <is>
          <t>Prepare for ICPC - Past Year Problems</t>
        </is>
      </c>
      <c r="C644" s="2" t="inlineStr">
        <is>
          <t>Prepare for your next ICPC online or onsite round by practicing problems of past years. Get an understanding of the pattern of questions which are asked.</t>
        </is>
      </c>
      <c r="D644" s="2" t="inlineStr">
        <is>
          <t>Asia Kolkata-Kanpur Site Onsite Round 2018 -  Asia Kolkata-Kanpur Site Onsite Round 2018</t>
        </is>
      </c>
      <c r="E644" s="2" t="n">
        <v>76</v>
      </c>
      <c r="F644" s="2" t="inlineStr">
        <is>
          <t>Get a Bucket of Water</t>
        </is>
      </c>
      <c r="G644" s="2" t="inlineStr">
        <is>
          <t>BUCKETWA</t>
        </is>
      </c>
      <c r="H644" s="2" t="inlineStr"/>
      <c r="I644" s="2" t="inlineStr">
        <is>
          <t>Hard</t>
        </is>
      </c>
      <c r="J644" s="3">
        <f>HYPERLINK("https://www.codechef.com/problems/BUCKETWA", "https://www.codechef.com/problems/BUCKETWA")</f>
        <v/>
      </c>
      <c r="K644" s="2" t="inlineStr"/>
      <c r="L644" s="2" t="inlineStr">
        <is>
          <t>Algorithms, Binary Search, Searching</t>
        </is>
      </c>
      <c r="M644" s="2" t="inlineStr"/>
      <c r="N644" s="2" t="inlineStr">
        <is>
          <t>No</t>
        </is>
      </c>
      <c r="O644" s="2" t="inlineStr">
        <is>
          <t>Unattempted</t>
        </is>
      </c>
    </row>
    <row r="645">
      <c r="A645" s="4" t="inlineStr">
        <is>
          <t>Other Practice Paths</t>
        </is>
      </c>
      <c r="B645" s="4" t="inlineStr">
        <is>
          <t>Prepare for ICPC - Past Year Problems</t>
        </is>
      </c>
      <c r="C645" s="4" t="inlineStr">
        <is>
          <t>Prepare for your next ICPC online or onsite round by practicing problems of past years. Get an understanding of the pattern of questions which are asked.</t>
        </is>
      </c>
      <c r="D645" s="4" t="inlineStr">
        <is>
          <t>Asia Kolkata-Kanpur Site Onsite Round 2018 -  Asia Kolkata-Kanpur Site Onsite Round 2018</t>
        </is>
      </c>
      <c r="E645" s="4" t="n">
        <v>77</v>
      </c>
      <c r="F645" s="4" t="inlineStr">
        <is>
          <t>What is the Cost of Reading</t>
        </is>
      </c>
      <c r="G645" s="4" t="inlineStr">
        <is>
          <t>READCOST</t>
        </is>
      </c>
      <c r="H645" s="4" t="inlineStr"/>
      <c r="I645" s="4" t="inlineStr">
        <is>
          <t>Medium</t>
        </is>
      </c>
      <c r="J645" s="5">
        <f>HYPERLINK("https://www.codechef.com/problems/READCOST", "https://www.codechef.com/problems/READCOST")</f>
        <v/>
      </c>
      <c r="K645" s="4" t="inlineStr"/>
      <c r="L645" s="4" t="inlineStr"/>
      <c r="M645" s="4" t="inlineStr"/>
      <c r="N645" s="4" t="inlineStr">
        <is>
          <t>No</t>
        </is>
      </c>
      <c r="O645" s="4" t="inlineStr">
        <is>
          <t>Unattempted</t>
        </is>
      </c>
    </row>
    <row r="646">
      <c r="A646" s="2" t="inlineStr">
        <is>
          <t>Other Practice Paths</t>
        </is>
      </c>
      <c r="B646" s="2" t="inlineStr">
        <is>
          <t>Prepare for ICPC - Past Year Problems</t>
        </is>
      </c>
      <c r="C646" s="2" t="inlineStr">
        <is>
          <t>Prepare for your next ICPC online or onsite round by practicing problems of past years. Get an understanding of the pattern of questions which are asked.</t>
        </is>
      </c>
      <c r="D646" s="2" t="inlineStr">
        <is>
          <t>Asia Kolkata-Kanpur Site Onsite Round 2018 -  Asia Kolkata-Kanpur Site Onsite Round 2018</t>
        </is>
      </c>
      <c r="E646" s="2" t="n">
        <v>78</v>
      </c>
      <c r="F646" s="2" t="inlineStr">
        <is>
          <t>Beauty of Konoha</t>
        </is>
      </c>
      <c r="G646" s="2" t="inlineStr">
        <is>
          <t>BEAUKONO</t>
        </is>
      </c>
      <c r="H646" s="2" t="inlineStr"/>
      <c r="I646" s="2" t="inlineStr">
        <is>
          <t>Hard</t>
        </is>
      </c>
      <c r="J646" s="3">
        <f>HYPERLINK("https://www.codechef.com/problems/BEAUKONO", "https://www.codechef.com/problems/BEAUKONO")</f>
        <v/>
      </c>
      <c r="K646" s="2" t="inlineStr"/>
      <c r="L646" s="2" t="inlineStr">
        <is>
          <t>1D Arrays, Algorithms, Arrays, Constructive, Data Structures, Graphs, Implementation, Observation, Trees, ad-hoc</t>
        </is>
      </c>
      <c r="M646" s="2" t="inlineStr"/>
      <c r="N646" s="2" t="inlineStr">
        <is>
          <t>No</t>
        </is>
      </c>
      <c r="O646" s="2" t="inlineStr">
        <is>
          <t>Unattempted</t>
        </is>
      </c>
    </row>
    <row r="647">
      <c r="A647" s="4" t="inlineStr">
        <is>
          <t>Other Practice Paths</t>
        </is>
      </c>
      <c r="B647" s="4" t="inlineStr">
        <is>
          <t>Prepare for ICPC - Past Year Problems</t>
        </is>
      </c>
      <c r="C647" s="4" t="inlineStr">
        <is>
          <t>Prepare for your next ICPC online or onsite round by practicing problems of past years. Get an understanding of the pattern of questions which are asked.</t>
        </is>
      </c>
      <c r="D647" s="4" t="inlineStr">
        <is>
          <t>Asia Kolkata-Kanpur Site Onsite Round 2018 -  Asia Kolkata-Kanpur Site Onsite Round 2018</t>
        </is>
      </c>
      <c r="E647" s="4" t="n">
        <v>79</v>
      </c>
      <c r="F647" s="4" t="inlineStr">
        <is>
          <t>Bag of Tiles</t>
        </is>
      </c>
      <c r="G647" s="4" t="inlineStr">
        <is>
          <t>TILEBAG</t>
        </is>
      </c>
      <c r="H647" s="4" t="inlineStr"/>
      <c r="I647" s="4" t="inlineStr">
        <is>
          <t>Hard</t>
        </is>
      </c>
      <c r="J647" s="5">
        <f>HYPERLINK("https://www.codechef.com/problems/TILEBAG", "https://www.codechef.com/problems/TILEBAG")</f>
        <v/>
      </c>
      <c r="K647" s="4" t="inlineStr"/>
      <c r="L647" s="4" t="inlineStr"/>
      <c r="M647" s="4" t="inlineStr"/>
      <c r="N647" s="4" t="inlineStr">
        <is>
          <t>No</t>
        </is>
      </c>
      <c r="O647" s="4" t="inlineStr">
        <is>
          <t>Unattempted</t>
        </is>
      </c>
    </row>
    <row r="648">
      <c r="A648" s="2" t="inlineStr">
        <is>
          <t>Other Practice Paths</t>
        </is>
      </c>
      <c r="B648" s="2" t="inlineStr">
        <is>
          <t>Prepare for ICPC - Past Year Problems</t>
        </is>
      </c>
      <c r="C648" s="2" t="inlineStr">
        <is>
          <t>Prepare for your next ICPC online or onsite round by practicing problems of past years. Get an understanding of the pattern of questions which are asked.</t>
        </is>
      </c>
      <c r="D648" s="2" t="inlineStr">
        <is>
          <t>Asia Kolkata-Kanpur Site Onsite Round 2018 -  Asia Kolkata-Kanpur Site Onsite Round 2018</t>
        </is>
      </c>
      <c r="E648" s="2" t="n">
        <v>80</v>
      </c>
      <c r="F648" s="2" t="inlineStr">
        <is>
          <t>Do You Want to Build a Snowman</t>
        </is>
      </c>
      <c r="G648" s="2" t="inlineStr">
        <is>
          <t>SNOWMAN</t>
        </is>
      </c>
      <c r="H648" s="2" t="inlineStr"/>
      <c r="I648" s="2" t="inlineStr">
        <is>
          <t>Hard</t>
        </is>
      </c>
      <c r="J648" s="3">
        <f>HYPERLINK("https://www.codechef.com/problems/SNOWMAN", "https://www.codechef.com/problems/SNOWMAN")</f>
        <v/>
      </c>
      <c r="K648" s="2" t="inlineStr"/>
      <c r="L648" s="2" t="inlineStr"/>
      <c r="M648" s="2" t="inlineStr"/>
      <c r="N648" s="2" t="inlineStr">
        <is>
          <t>No</t>
        </is>
      </c>
      <c r="O648" s="2" t="inlineStr">
        <is>
          <t>Unattempted</t>
        </is>
      </c>
    </row>
    <row r="649">
      <c r="A649" s="4" t="inlineStr">
        <is>
          <t>Other Practice Paths</t>
        </is>
      </c>
      <c r="B649" s="4" t="inlineStr">
        <is>
          <t>Prepare for ICPC - Past Year Problems</t>
        </is>
      </c>
      <c r="C649" s="4" t="inlineStr">
        <is>
          <t>Prepare for your next ICPC online or onsite round by practicing problems of past years. Get an understanding of the pattern of questions which are asked.</t>
        </is>
      </c>
      <c r="D649" s="4" t="inlineStr">
        <is>
          <t>Asia Kolkata-Kanpur Site Onsite Round 2018 -  Asia Kolkata-Kanpur Site Onsite Round 2018</t>
        </is>
      </c>
      <c r="E649" s="4" t="n">
        <v>81</v>
      </c>
      <c r="F649" s="4" t="inlineStr">
        <is>
          <t>Yet another shortest path problem</t>
        </is>
      </c>
      <c r="G649" s="4" t="inlineStr">
        <is>
          <t>YASPP</t>
        </is>
      </c>
      <c r="H649" s="4" t="inlineStr"/>
      <c r="I649" s="4" t="inlineStr">
        <is>
          <t>Hard</t>
        </is>
      </c>
      <c r="J649" s="5">
        <f>HYPERLINK("https://www.codechef.com/problems/YASPP", "https://www.codechef.com/problems/YASPP")</f>
        <v/>
      </c>
      <c r="K649" s="4" t="inlineStr"/>
      <c r="L649" s="4" t="inlineStr"/>
      <c r="M649" s="4" t="inlineStr"/>
      <c r="N649" s="4" t="inlineStr">
        <is>
          <t>No</t>
        </is>
      </c>
      <c r="O649" s="4" t="inlineStr">
        <is>
          <t>Unattempted</t>
        </is>
      </c>
    </row>
    <row r="650">
      <c r="A650" s="2" t="inlineStr">
        <is>
          <t>Other Practice Paths</t>
        </is>
      </c>
      <c r="B650" s="2" t="inlineStr">
        <is>
          <t>Prepare for ICPC - Past Year Problems</t>
        </is>
      </c>
      <c r="C650" s="2" t="inlineStr">
        <is>
          <t>Prepare for your next ICPC online or onsite round by practicing problems of past years. Get an understanding of the pattern of questions which are asked.</t>
        </is>
      </c>
      <c r="D650" s="2" t="inlineStr">
        <is>
          <t>Asia Kolkata-Kanpur Site Onsite Round 2018 -  Asia Kolkata-Kanpur Site Onsite Round 2018</t>
        </is>
      </c>
      <c r="E650" s="2" t="n">
        <v>82</v>
      </c>
      <c r="F650" s="2" t="inlineStr">
        <is>
          <t>Absolute Difference Sum</t>
        </is>
      </c>
      <c r="G650" s="2" t="inlineStr">
        <is>
          <t>ABSDIFFS</t>
        </is>
      </c>
      <c r="H650" s="2" t="inlineStr"/>
      <c r="I650" s="2" t="inlineStr">
        <is>
          <t>Hard</t>
        </is>
      </c>
      <c r="J650" s="3">
        <f>HYPERLINK("https://www.codechef.com/problems/ABSDIFFS", "https://www.codechef.com/problems/ABSDIFFS")</f>
        <v/>
      </c>
      <c r="K650" s="2" t="inlineStr"/>
      <c r="L650" s="2" t="inlineStr">
        <is>
          <t>Advanced Algorithms, Advanced DP, Algorithms, Digit DP, Implementation</t>
        </is>
      </c>
      <c r="M650" s="2" t="inlineStr"/>
      <c r="N650" s="2" t="inlineStr">
        <is>
          <t>No</t>
        </is>
      </c>
      <c r="O650" s="2" t="inlineStr">
        <is>
          <t>Unattempted</t>
        </is>
      </c>
    </row>
    <row r="651">
      <c r="A651" s="4" t="inlineStr">
        <is>
          <t>Other Practice Paths</t>
        </is>
      </c>
      <c r="B651" s="4" t="inlineStr">
        <is>
          <t>Prepare for ICPC - Past Year Problems</t>
        </is>
      </c>
      <c r="C651" s="4" t="inlineStr">
        <is>
          <t>Prepare for your next ICPC online or onsite round by practicing problems of past years. Get an understanding of the pattern of questions which are asked.</t>
        </is>
      </c>
      <c r="D651" s="4" t="inlineStr">
        <is>
          <t>Asia Kolkata-Kanpur Site Onsite Round 2018 -  Asia Kolkata-Kanpur Site Onsite Round 2018</t>
        </is>
      </c>
      <c r="E651" s="4" t="n">
        <v>83</v>
      </c>
      <c r="F651" s="4" t="inlineStr">
        <is>
          <t>Chef and Alien Invasion</t>
        </is>
      </c>
      <c r="G651" s="4" t="inlineStr">
        <is>
          <t>ALIENCOW</t>
        </is>
      </c>
      <c r="H651" s="4" t="inlineStr"/>
      <c r="I651" s="4" t="inlineStr">
        <is>
          <t>Hard</t>
        </is>
      </c>
      <c r="J651" s="5">
        <f>HYPERLINK("https://www.codechef.com/problems/ALIENCOW", "https://www.codechef.com/problems/ALIENCOW")</f>
        <v/>
      </c>
      <c r="K651" s="4" t="inlineStr"/>
      <c r="L651" s="4" t="inlineStr">
        <is>
          <t>Algorithms, Combinatorics, DFS, Data Structures, Graph Algos, Maps, Mathematics, Traversals</t>
        </is>
      </c>
      <c r="M651" s="4" t="inlineStr"/>
      <c r="N651" s="4" t="inlineStr">
        <is>
          <t>No</t>
        </is>
      </c>
      <c r="O651" s="4" t="inlineStr">
        <is>
          <t>Unattempted</t>
        </is>
      </c>
    </row>
    <row r="652">
      <c r="A652" s="2" t="inlineStr">
        <is>
          <t>Other Practice Paths</t>
        </is>
      </c>
      <c r="B652" s="2" t="inlineStr">
        <is>
          <t>Prepare for ICPC - Past Year Problems</t>
        </is>
      </c>
      <c r="C652" s="2" t="inlineStr">
        <is>
          <t>Prepare for your next ICPC online or onsite round by practicing problems of past years. Get an understanding of the pattern of questions which are asked.</t>
        </is>
      </c>
      <c r="D652" s="2" t="inlineStr">
        <is>
          <t>Asia Kolkata-Kanpur Site Onsite Round 2018 -  Asia Kolkata-Kanpur Site Onsite Round 2018</t>
        </is>
      </c>
      <c r="E652" s="2" t="n">
        <v>84</v>
      </c>
      <c r="F652" s="2" t="inlineStr">
        <is>
          <t>Josephus Again</t>
        </is>
      </c>
      <c r="G652" s="2" t="inlineStr">
        <is>
          <t>JOSEPHUS</t>
        </is>
      </c>
      <c r="H652" s="2" t="inlineStr"/>
      <c r="I652" s="2" t="inlineStr">
        <is>
          <t>Hard</t>
        </is>
      </c>
      <c r="J652" s="3">
        <f>HYPERLINK("https://www.codechef.com/problems/JOSEPHUS", "https://www.codechef.com/problems/JOSEPHUS")</f>
        <v/>
      </c>
      <c r="K652" s="2" t="inlineStr"/>
      <c r="L652" s="2" t="inlineStr">
        <is>
          <t>Algorithms, Implementation, Mathematics, Modular Arithmetic</t>
        </is>
      </c>
      <c r="M652" s="2" t="inlineStr"/>
      <c r="N652" s="2" t="inlineStr">
        <is>
          <t>No</t>
        </is>
      </c>
      <c r="O652" s="2" t="inlineStr">
        <is>
          <t>Unattempted</t>
        </is>
      </c>
    </row>
    <row r="653">
      <c r="A653" s="4" t="inlineStr">
        <is>
          <t>Other Practice Paths</t>
        </is>
      </c>
      <c r="B653" s="4" t="inlineStr">
        <is>
          <t>Prepare for ICPC - Past Year Problems</t>
        </is>
      </c>
      <c r="C653" s="4" t="inlineStr">
        <is>
          <t>Prepare for your next ICPC online or onsite round by practicing problems of past years. Get an understanding of the pattern of questions which are asked.</t>
        </is>
      </c>
      <c r="D653" s="4" t="inlineStr">
        <is>
          <t>Asia Kolkata-Kanpur Site Onsite Round 2018 -  Asia Kolkata-Kanpur Site Onsite Round 2018</t>
        </is>
      </c>
      <c r="E653" s="4" t="n">
        <v>85</v>
      </c>
      <c r="F653" s="4" t="inlineStr">
        <is>
          <t>Yet another expected value problem</t>
        </is>
      </c>
      <c r="G653" s="4" t="inlineStr">
        <is>
          <t>YAEXP</t>
        </is>
      </c>
      <c r="H653" s="4" t="inlineStr"/>
      <c r="I653" s="4" t="inlineStr">
        <is>
          <t>Hard</t>
        </is>
      </c>
      <c r="J653" s="5">
        <f>HYPERLINK("https://www.codechef.com/problems/YAEXP", "https://www.codechef.com/problems/YAEXP")</f>
        <v/>
      </c>
      <c r="K653" s="4" t="inlineStr"/>
      <c r="L653" s="4" t="inlineStr"/>
      <c r="M653" s="4" t="inlineStr"/>
      <c r="N653" s="4" t="inlineStr">
        <is>
          <t>No</t>
        </is>
      </c>
      <c r="O653" s="4" t="inlineStr">
        <is>
          <t>Unattempted</t>
        </is>
      </c>
    </row>
    <row r="654">
      <c r="A654" s="2" t="inlineStr">
        <is>
          <t>Other Practice Paths</t>
        </is>
      </c>
      <c r="B654" s="2" t="inlineStr">
        <is>
          <t>Prepare for ICPC - Past Year Problems</t>
        </is>
      </c>
      <c r="C654" s="2" t="inlineStr">
        <is>
          <t>Prepare for your next ICPC online or onsite round by practicing problems of past years. Get an understanding of the pattern of questions which are asked.</t>
        </is>
      </c>
      <c r="D654" s="2" t="inlineStr">
        <is>
          <t>Asia Kolkata-Kanpur Site Onsite Round 2018 -  Asia Kolkata-Kanpur Site Onsite Round 2018</t>
        </is>
      </c>
      <c r="E654" s="2" t="n">
        <v>86</v>
      </c>
      <c r="F654" s="2" t="inlineStr">
        <is>
          <t>Again Multi-Peg Tower of Hanoi</t>
        </is>
      </c>
      <c r="G654" s="2" t="inlineStr">
        <is>
          <t>MULHANOI</t>
        </is>
      </c>
      <c r="H654" s="2" t="inlineStr"/>
      <c r="I654" s="2" t="inlineStr">
        <is>
          <t>Hard</t>
        </is>
      </c>
      <c r="J654" s="3">
        <f>HYPERLINK("https://www.codechef.com/problems/MULHANOI", "https://www.codechef.com/problems/MULHANOI")</f>
        <v/>
      </c>
      <c r="K654" s="2" t="inlineStr"/>
      <c r="L654" s="2" t="inlineStr">
        <is>
          <t>admin3</t>
        </is>
      </c>
      <c r="M654" s="2" t="inlineStr"/>
      <c r="N654" s="2" t="inlineStr">
        <is>
          <t>No</t>
        </is>
      </c>
      <c r="O654" s="2" t="inlineStr">
        <is>
          <t>Unattempted</t>
        </is>
      </c>
    </row>
    <row r="655">
      <c r="A655" s="4" t="inlineStr">
        <is>
          <t>Other Practice Paths</t>
        </is>
      </c>
      <c r="B655" s="4" t="inlineStr">
        <is>
          <t>Prepare for ICPC - Past Year Problems</t>
        </is>
      </c>
      <c r="C655" s="4" t="inlineStr">
        <is>
          <t>Prepare for your next ICPC online or onsite round by practicing problems of past years. Get an understanding of the pattern of questions which are asked.</t>
        </is>
      </c>
      <c r="D655" s="4" t="inlineStr">
        <is>
          <t>Asia India Regionals Online Round 2018 - Asia India Regionals Online Round 2018</t>
        </is>
      </c>
      <c r="E655" s="4" t="n">
        <v>87</v>
      </c>
      <c r="F655" s="4" t="inlineStr">
        <is>
          <t>A Game of Robots</t>
        </is>
      </c>
      <c r="G655" s="4" t="inlineStr">
        <is>
          <t>ROBOGAME</t>
        </is>
      </c>
      <c r="H655" s="4" t="inlineStr"/>
      <c r="I655" s="4" t="inlineStr">
        <is>
          <t>Hard</t>
        </is>
      </c>
      <c r="J655" s="5">
        <f>HYPERLINK("https://www.codechef.com/problems/ROBOGAME", "https://www.codechef.com/problems/ROBOGAME")</f>
        <v/>
      </c>
      <c r="K655" s="4" t="inlineStr"/>
      <c r="L655" s="4" t="inlineStr"/>
      <c r="M655" s="4" t="inlineStr"/>
      <c r="N655" s="4" t="inlineStr">
        <is>
          <t>No</t>
        </is>
      </c>
      <c r="O655" s="4" t="inlineStr">
        <is>
          <t>Unattempted</t>
        </is>
      </c>
    </row>
    <row r="656">
      <c r="A656" s="2" t="inlineStr">
        <is>
          <t>Other Practice Paths</t>
        </is>
      </c>
      <c r="B656" s="2" t="inlineStr">
        <is>
          <t>Prepare for ICPC - Past Year Problems</t>
        </is>
      </c>
      <c r="C656" s="2" t="inlineStr">
        <is>
          <t>Prepare for your next ICPC online or onsite round by practicing problems of past years. Get an understanding of the pattern of questions which are asked.</t>
        </is>
      </c>
      <c r="D656" s="2" t="inlineStr">
        <is>
          <t>Asia India Regionals Online Round 2018 - Asia India Regionals Online Round 2018</t>
        </is>
      </c>
      <c r="E656" s="2" t="n">
        <v>88</v>
      </c>
      <c r="F656" s="2" t="inlineStr">
        <is>
          <t>Reduction Game</t>
        </is>
      </c>
      <c r="G656" s="2" t="inlineStr">
        <is>
          <t>REDCGAME</t>
        </is>
      </c>
      <c r="H656" s="2" t="inlineStr"/>
      <c r="I656" s="2" t="inlineStr">
        <is>
          <t>Hard</t>
        </is>
      </c>
      <c r="J656" s="3">
        <f>HYPERLINK("https://www.codechef.com/problems/REDCGAME", "https://www.codechef.com/problems/REDCGAME")</f>
        <v/>
      </c>
      <c r="K656" s="2" t="inlineStr"/>
      <c r="L656" s="2" t="inlineStr"/>
      <c r="M656" s="2" t="inlineStr"/>
      <c r="N656" s="2" t="inlineStr">
        <is>
          <t>No</t>
        </is>
      </c>
      <c r="O656" s="2" t="inlineStr">
        <is>
          <t>Unattempted</t>
        </is>
      </c>
    </row>
    <row r="657">
      <c r="A657" s="4" t="inlineStr">
        <is>
          <t>Other Practice Paths</t>
        </is>
      </c>
      <c r="B657" s="4" t="inlineStr">
        <is>
          <t>Prepare for ICPC - Past Year Problems</t>
        </is>
      </c>
      <c r="C657" s="4" t="inlineStr">
        <is>
          <t>Prepare for your next ICPC online or onsite round by practicing problems of past years. Get an understanding of the pattern of questions which are asked.</t>
        </is>
      </c>
      <c r="D657" s="4" t="inlineStr">
        <is>
          <t>Asia India Regionals Online Round 2018 - Asia India Regionals Online Round 2018</t>
        </is>
      </c>
      <c r="E657" s="4" t="n">
        <v>89</v>
      </c>
      <c r="F657" s="4" t="inlineStr">
        <is>
          <t>Word Grid</t>
        </is>
      </c>
      <c r="G657" s="4" t="inlineStr">
        <is>
          <t>WORDGRID</t>
        </is>
      </c>
      <c r="H657" s="4" t="inlineStr"/>
      <c r="I657" s="4" t="inlineStr">
        <is>
          <t>Hard</t>
        </is>
      </c>
      <c r="J657" s="5">
        <f>HYPERLINK("https://www.codechef.com/problems/WORDGRID", "https://www.codechef.com/problems/WORDGRID")</f>
        <v/>
      </c>
      <c r="K657" s="4" t="inlineStr"/>
      <c r="L657" s="4" t="inlineStr"/>
      <c r="M657" s="4" t="inlineStr"/>
      <c r="N657" s="4" t="inlineStr">
        <is>
          <t>No</t>
        </is>
      </c>
      <c r="O657" s="4" t="inlineStr">
        <is>
          <t>Unattempted</t>
        </is>
      </c>
    </row>
    <row r="658">
      <c r="A658" s="2" t="inlineStr">
        <is>
          <t>Other Practice Paths</t>
        </is>
      </c>
      <c r="B658" s="2" t="inlineStr">
        <is>
          <t>Prepare for ICPC - Past Year Problems</t>
        </is>
      </c>
      <c r="C658" s="2" t="inlineStr">
        <is>
          <t>Prepare for your next ICPC online or onsite round by practicing problems of past years. Get an understanding of the pattern of questions which are asked.</t>
        </is>
      </c>
      <c r="D658" s="2" t="inlineStr">
        <is>
          <t>Asia India Regionals Online Round 2018 - Asia India Regionals Online Round 2018</t>
        </is>
      </c>
      <c r="E658" s="2" t="n">
        <v>90</v>
      </c>
      <c r="F658" s="2" t="inlineStr">
        <is>
          <t>A Family of Bipartite Graphs</t>
        </is>
      </c>
      <c r="G658" s="2" t="inlineStr">
        <is>
          <t>BIPFAMIL</t>
        </is>
      </c>
      <c r="H658" s="2" t="inlineStr"/>
      <c r="I658" s="2" t="inlineStr">
        <is>
          <t>Hard</t>
        </is>
      </c>
      <c r="J658" s="3">
        <f>HYPERLINK("https://www.codechef.com/problems/BIPFAMIL", "https://www.codechef.com/problems/BIPFAMIL")</f>
        <v/>
      </c>
      <c r="K658" s="2" t="inlineStr"/>
      <c r="L658" s="2" t="inlineStr">
        <is>
          <t>admin2</t>
        </is>
      </c>
      <c r="M658" s="2" t="inlineStr"/>
      <c r="N658" s="2" t="inlineStr">
        <is>
          <t>No</t>
        </is>
      </c>
      <c r="O658" s="2" t="inlineStr">
        <is>
          <t>Unattempted</t>
        </is>
      </c>
    </row>
    <row r="659">
      <c r="A659" s="4" t="inlineStr">
        <is>
          <t>Other Practice Paths</t>
        </is>
      </c>
      <c r="B659" s="4" t="inlineStr">
        <is>
          <t>Prepare for ICPC - Past Year Problems</t>
        </is>
      </c>
      <c r="C659" s="4" t="inlineStr">
        <is>
          <t>Prepare for your next ICPC online or onsite round by practicing problems of past years. Get an understanding of the pattern of questions which are asked.</t>
        </is>
      </c>
      <c r="D659" s="4" t="inlineStr">
        <is>
          <t>Asia India Regionals Online Round 2018 - Asia India Regionals Online Round 2018</t>
        </is>
      </c>
      <c r="E659" s="4" t="n">
        <v>91</v>
      </c>
      <c r="F659" s="4" t="inlineStr">
        <is>
          <t>The Prestige</t>
        </is>
      </c>
      <c r="G659" s="4" t="inlineStr">
        <is>
          <t>PRESTIGE</t>
        </is>
      </c>
      <c r="H659" s="4" t="inlineStr"/>
      <c r="I659" s="4" t="inlineStr">
        <is>
          <t>Hard</t>
        </is>
      </c>
      <c r="J659" s="5">
        <f>HYPERLINK("https://www.codechef.com/problems/PRESTIGE", "https://www.codechef.com/problems/PRESTIGE")</f>
        <v/>
      </c>
      <c r="K659" s="4" t="inlineStr"/>
      <c r="L659" s="4" t="inlineStr"/>
      <c r="M659" s="4" t="inlineStr"/>
      <c r="N659" s="4" t="inlineStr">
        <is>
          <t>No</t>
        </is>
      </c>
      <c r="O659" s="4" t="inlineStr">
        <is>
          <t>Unattempted</t>
        </is>
      </c>
    </row>
    <row r="660">
      <c r="A660" s="2" t="inlineStr">
        <is>
          <t>Other Practice Paths</t>
        </is>
      </c>
      <c r="B660" s="2" t="inlineStr">
        <is>
          <t>Prepare for ICPC - Past Year Problems</t>
        </is>
      </c>
      <c r="C660" s="2" t="inlineStr">
        <is>
          <t>Prepare for your next ICPC online or onsite round by practicing problems of past years. Get an understanding of the pattern of questions which are asked.</t>
        </is>
      </c>
      <c r="D660" s="2" t="inlineStr">
        <is>
          <t>Asia-Kharagpur Site Onsite Round 2018 - Asia-Kharagpur Site Onsite Round 2018</t>
        </is>
      </c>
      <c r="E660" s="2" t="n">
        <v>92</v>
      </c>
      <c r="F660" s="2" t="inlineStr">
        <is>
          <t>Maximise the Sum</t>
        </is>
      </c>
      <c r="G660" s="2" t="inlineStr">
        <is>
          <t>NOMATCH</t>
        </is>
      </c>
      <c r="H660" s="2" t="inlineStr"/>
      <c r="I660" s="2" t="inlineStr">
        <is>
          <t>Medium</t>
        </is>
      </c>
      <c r="J660" s="3">
        <f>HYPERLINK("https://www.codechef.com/problems/NOMATCH", "https://www.codechef.com/problems/NOMATCH")</f>
        <v/>
      </c>
      <c r="K660" s="2" t="inlineStr"/>
      <c r="L660" s="2" t="inlineStr">
        <is>
          <t>Algorithms, Constructive, Greedy, Simple Algos, Sorting, Two pointers, ad-hoc</t>
        </is>
      </c>
      <c r="M660" s="2" t="inlineStr"/>
      <c r="N660" s="2" t="inlineStr">
        <is>
          <t>No</t>
        </is>
      </c>
      <c r="O660" s="2" t="inlineStr">
        <is>
          <t>Unattempted</t>
        </is>
      </c>
    </row>
    <row r="661">
      <c r="A661" s="4" t="inlineStr">
        <is>
          <t>Other Practice Paths</t>
        </is>
      </c>
      <c r="B661" s="4" t="inlineStr">
        <is>
          <t>Prepare for ICPC - Past Year Problems</t>
        </is>
      </c>
      <c r="C661" s="4" t="inlineStr">
        <is>
          <t>Prepare for your next ICPC online or onsite round by practicing problems of past years. Get an understanding of the pattern of questions which are asked.</t>
        </is>
      </c>
      <c r="D661" s="4" t="inlineStr">
        <is>
          <t>Asia-Kharagpur Site Onsite Round 2018 - Asia-Kharagpur Site Onsite Round 2018</t>
        </is>
      </c>
      <c r="E661" s="4" t="n">
        <v>93</v>
      </c>
      <c r="F661" s="4" t="inlineStr">
        <is>
          <t>Count Periodic Numbers</t>
        </is>
      </c>
      <c r="G661" s="4" t="inlineStr">
        <is>
          <t>PERIODCN</t>
        </is>
      </c>
      <c r="H661" s="4" t="inlineStr"/>
      <c r="I661" s="4" t="inlineStr">
        <is>
          <t>Hard</t>
        </is>
      </c>
      <c r="J661" s="5">
        <f>HYPERLINK("https://www.codechef.com/problems/PERIODCN", "https://www.codechef.com/problems/PERIODCN")</f>
        <v/>
      </c>
      <c r="K661" s="4" t="inlineStr"/>
      <c r="L661" s="4" t="inlineStr">
        <is>
          <t>Bit Manipulation, Mathematics</t>
        </is>
      </c>
      <c r="M661" s="4" t="inlineStr"/>
      <c r="N661" s="4" t="inlineStr">
        <is>
          <t>No</t>
        </is>
      </c>
      <c r="O661" s="4" t="inlineStr">
        <is>
          <t>Unattempted</t>
        </is>
      </c>
    </row>
    <row r="662">
      <c r="A662" s="2" t="inlineStr">
        <is>
          <t>Other Practice Paths</t>
        </is>
      </c>
      <c r="B662" s="2" t="inlineStr">
        <is>
          <t>Prepare for ICPC - Past Year Problems</t>
        </is>
      </c>
      <c r="C662" s="2" t="inlineStr">
        <is>
          <t>Prepare for your next ICPC online or onsite round by practicing problems of past years. Get an understanding of the pattern of questions which are asked.</t>
        </is>
      </c>
      <c r="D662" s="2" t="inlineStr">
        <is>
          <t>Asia-Kharagpur Site Onsite Round 2018 - Asia-Kharagpur Site Onsite Round 2018</t>
        </is>
      </c>
      <c r="E662" s="2" t="n">
        <v>94</v>
      </c>
      <c r="F662" s="2" t="inlineStr">
        <is>
          <t>Pseudo Sorting Algorithm</t>
        </is>
      </c>
      <c r="G662" s="2" t="inlineStr">
        <is>
          <t>SORTALGO</t>
        </is>
      </c>
      <c r="H662" s="2" t="inlineStr"/>
      <c r="I662" s="2" t="inlineStr">
        <is>
          <t>Hard</t>
        </is>
      </c>
      <c r="J662" s="3">
        <f>HYPERLINK("https://www.codechef.com/problems/SORTALGO", "https://www.codechef.com/problems/SORTALGO")</f>
        <v/>
      </c>
      <c r="K662" s="2" t="inlineStr"/>
      <c r="L662" s="2" t="inlineStr"/>
      <c r="M662" s="2" t="inlineStr"/>
      <c r="N662" s="2" t="inlineStr">
        <is>
          <t>No</t>
        </is>
      </c>
      <c r="O662" s="2" t="inlineStr">
        <is>
          <t>Unattempted</t>
        </is>
      </c>
    </row>
    <row r="663">
      <c r="A663" s="4" t="inlineStr">
        <is>
          <t>Other Practice Paths</t>
        </is>
      </c>
      <c r="B663" s="4" t="inlineStr">
        <is>
          <t>Prepare for ICPC - Past Year Problems</t>
        </is>
      </c>
      <c r="C663" s="4" t="inlineStr">
        <is>
          <t>Prepare for your next ICPC online or onsite round by practicing problems of past years. Get an understanding of the pattern of questions which are asked.</t>
        </is>
      </c>
      <c r="D663" s="4" t="inlineStr">
        <is>
          <t>Asia-Kharagpur Site Onsite Round 2018 - Asia-Kharagpur Site Onsite Round 2018</t>
        </is>
      </c>
      <c r="E663" s="4" t="n">
        <v>95</v>
      </c>
      <c r="F663" s="4" t="inlineStr">
        <is>
          <t>1-2 Game</t>
        </is>
      </c>
      <c r="G663" s="4" t="inlineStr">
        <is>
          <t>BINGAME</t>
        </is>
      </c>
      <c r="H663" s="4" t="inlineStr"/>
      <c r="I663" s="4" t="inlineStr">
        <is>
          <t>Hard</t>
        </is>
      </c>
      <c r="J663" s="5">
        <f>HYPERLINK("https://www.codechef.com/problems/BINGAME", "https://www.codechef.com/problems/BINGAME")</f>
        <v/>
      </c>
      <c r="K663" s="4" t="inlineStr"/>
      <c r="L663" s="4" t="inlineStr">
        <is>
          <t>Algorithms, Constructive, Game Theory, ad-hoc</t>
        </is>
      </c>
      <c r="M663" s="4" t="inlineStr"/>
      <c r="N663" s="4" t="inlineStr">
        <is>
          <t>No</t>
        </is>
      </c>
      <c r="O663" s="4" t="inlineStr">
        <is>
          <t>Unattempted</t>
        </is>
      </c>
    </row>
    <row r="664">
      <c r="A664" s="2" t="inlineStr">
        <is>
          <t>Other Practice Paths</t>
        </is>
      </c>
      <c r="B664" s="2" t="inlineStr">
        <is>
          <t>Prepare for ICPC - Past Year Problems</t>
        </is>
      </c>
      <c r="C664" s="2" t="inlineStr">
        <is>
          <t>Prepare for your next ICPC online or onsite round by practicing problems of past years. Get an understanding of the pattern of questions which are asked.</t>
        </is>
      </c>
      <c r="D664" s="2" t="inlineStr">
        <is>
          <t>Asia-Kharagpur Site Onsite Round 2018 - Asia-Kharagpur Site Onsite Round 2018</t>
        </is>
      </c>
      <c r="E664" s="2" t="n">
        <v>96</v>
      </c>
      <c r="F664" s="2" t="inlineStr">
        <is>
          <t>A Triangle and Two Squares</t>
        </is>
      </c>
      <c r="G664" s="2" t="inlineStr">
        <is>
          <t>SQRTRI</t>
        </is>
      </c>
      <c r="H664" s="2" t="inlineStr"/>
      <c r="I664" s="2" t="inlineStr">
        <is>
          <t>Hard</t>
        </is>
      </c>
      <c r="J664" s="3">
        <f>HYPERLINK("https://www.codechef.com/problems/SQRTRI", "https://www.codechef.com/problems/SQRTRI")</f>
        <v/>
      </c>
      <c r="K664" s="2" t="inlineStr"/>
      <c r="L664" s="2" t="inlineStr"/>
      <c r="M664" s="2" t="inlineStr"/>
      <c r="N664" s="2" t="inlineStr">
        <is>
          <t>No</t>
        </is>
      </c>
      <c r="O664" s="2" t="inlineStr">
        <is>
          <t>Unattempted</t>
        </is>
      </c>
    </row>
    <row r="665">
      <c r="A665" s="4" t="inlineStr">
        <is>
          <t>Other Practice Paths</t>
        </is>
      </c>
      <c r="B665" s="4" t="inlineStr">
        <is>
          <t>Prepare for ICPC - Past Year Problems</t>
        </is>
      </c>
      <c r="C665" s="4" t="inlineStr">
        <is>
          <t>Prepare for your next ICPC online or onsite round by practicing problems of past years. Get an understanding of the pattern of questions which are asked.</t>
        </is>
      </c>
      <c r="D665" s="4" t="inlineStr">
        <is>
          <t>Asia-Kharagpur Site Onsite Round 2018 - Asia-Kharagpur Site Onsite Round 2018</t>
        </is>
      </c>
      <c r="E665" s="4" t="n">
        <v>97</v>
      </c>
      <c r="F665" s="4" t="inlineStr">
        <is>
          <t>AND on Graph</t>
        </is>
      </c>
      <c r="G665" s="4" t="inlineStr">
        <is>
          <t>GRAPHAND</t>
        </is>
      </c>
      <c r="H665" s="4" t="inlineStr"/>
      <c r="I665" s="4" t="inlineStr">
        <is>
          <t>Hard</t>
        </is>
      </c>
      <c r="J665" s="5">
        <f>HYPERLINK("https://www.codechef.com/problems/GRAPHAND", "https://www.codechef.com/problems/GRAPHAND")</f>
        <v/>
      </c>
      <c r="K665" s="4" t="inlineStr"/>
      <c r="L665" s="4" t="inlineStr">
        <is>
          <t>Algorithms, Bit Manipulation, Bitwise Operation, Data Structures, Dijkstra's Algorithm, Graph Algos, Graphs, Mathematics, Shortest Paths</t>
        </is>
      </c>
      <c r="M665" s="4" t="inlineStr"/>
      <c r="N665" s="4" t="inlineStr">
        <is>
          <t>No</t>
        </is>
      </c>
      <c r="O665" s="4" t="inlineStr">
        <is>
          <t>Unattempted</t>
        </is>
      </c>
    </row>
    <row r="666">
      <c r="A666" s="2" t="inlineStr">
        <is>
          <t>Other Practice Paths</t>
        </is>
      </c>
      <c r="B666" s="2" t="inlineStr">
        <is>
          <t>Prepare for ICPC - Past Year Problems</t>
        </is>
      </c>
      <c r="C666" s="2" t="inlineStr">
        <is>
          <t>Prepare for your next ICPC online or onsite round by practicing problems of past years. Get an understanding of the pattern of questions which are asked.</t>
        </is>
      </c>
      <c r="D666" s="2" t="inlineStr">
        <is>
          <t>Asia-Kharagpur Site Onsite Round 2018 - Asia-Kharagpur Site Onsite Round 2018</t>
        </is>
      </c>
      <c r="E666" s="2" t="n">
        <v>98</v>
      </c>
      <c r="F666" s="2" t="inlineStr">
        <is>
          <t>Subset Sums Revisited</t>
        </is>
      </c>
      <c r="G666" s="2" t="inlineStr">
        <is>
          <t>SUBSUMX</t>
        </is>
      </c>
      <c r="H666" s="2" t="inlineStr"/>
      <c r="I666" s="2" t="inlineStr">
        <is>
          <t>Hard</t>
        </is>
      </c>
      <c r="J666" s="3">
        <f>HYPERLINK("https://www.codechef.com/problems/SUBSUMX", "https://www.codechef.com/problems/SUBSUMX")</f>
        <v/>
      </c>
      <c r="K666" s="2" t="inlineStr"/>
      <c r="L666" s="2" t="inlineStr"/>
      <c r="M666" s="2" t="inlineStr"/>
      <c r="N666" s="2" t="inlineStr">
        <is>
          <t>No</t>
        </is>
      </c>
      <c r="O666" s="2" t="inlineStr">
        <is>
          <t>Unattempted</t>
        </is>
      </c>
    </row>
    <row r="667">
      <c r="A667" s="4" t="inlineStr">
        <is>
          <t>Other Practice Paths</t>
        </is>
      </c>
      <c r="B667" s="4" t="inlineStr">
        <is>
          <t>Prepare for ICPC - Past Year Problems</t>
        </is>
      </c>
      <c r="C667" s="4" t="inlineStr">
        <is>
          <t>Prepare for your next ICPC online or onsite round by practicing problems of past years. Get an understanding of the pattern of questions which are asked.</t>
        </is>
      </c>
      <c r="D667" s="4" t="inlineStr">
        <is>
          <t>Asia-Kharagpur Site Onsite Round 2018 - Asia-Kharagpur Site Onsite Round 2018</t>
        </is>
      </c>
      <c r="E667" s="4" t="n">
        <v>99</v>
      </c>
      <c r="F667" s="4" t="inlineStr">
        <is>
          <t>Points, Lines, Triangles and Graphs</t>
        </is>
      </c>
      <c r="G667" s="4" t="inlineStr">
        <is>
          <t>POLITRI</t>
        </is>
      </c>
      <c r="H667" s="4" t="inlineStr"/>
      <c r="I667" s="4" t="inlineStr">
        <is>
          <t>Hard</t>
        </is>
      </c>
      <c r="J667" s="5">
        <f>HYPERLINK("https://www.codechef.com/problems/POLITRI", "https://www.codechef.com/problems/POLITRI")</f>
        <v/>
      </c>
      <c r="K667" s="4" t="inlineStr"/>
      <c r="L667" s="4" t="inlineStr">
        <is>
          <t>Advanced Algorithms, Computational Geometry, Lines, Polygons</t>
        </is>
      </c>
      <c r="M667" s="4" t="inlineStr"/>
      <c r="N667" s="4" t="inlineStr">
        <is>
          <t>No</t>
        </is>
      </c>
      <c r="O667" s="4" t="inlineStr">
        <is>
          <t>Unattempted</t>
        </is>
      </c>
    </row>
    <row r="668">
      <c r="A668" s="2" t="inlineStr">
        <is>
          <t>Other Practice Paths</t>
        </is>
      </c>
      <c r="B668" s="2" t="inlineStr">
        <is>
          <t>Prepare for ICPC - Past Year Problems</t>
        </is>
      </c>
      <c r="C668" s="2" t="inlineStr">
        <is>
          <t>Prepare for your next ICPC online or onsite round by practicing problems of past years. Get an understanding of the pattern of questions which are asked.</t>
        </is>
      </c>
      <c r="D668" s="2" t="inlineStr">
        <is>
          <t>Asia-Kharagpur Site Onsite Round 2018 - Asia-Kharagpur Site Onsite Round 2018</t>
        </is>
      </c>
      <c r="E668" s="2" t="n">
        <v>100</v>
      </c>
      <c r="F668" s="2" t="inlineStr">
        <is>
          <t>Mafia Syndicate</t>
        </is>
      </c>
      <c r="G668" s="2" t="inlineStr">
        <is>
          <t>MAFIASYN</t>
        </is>
      </c>
      <c r="H668" s="2" t="inlineStr"/>
      <c r="I668" s="2" t="inlineStr">
        <is>
          <t>Hard</t>
        </is>
      </c>
      <c r="J668" s="3">
        <f>HYPERLINK("https://www.codechef.com/problems/MAFIASYN", "https://www.codechef.com/problems/MAFIASYN")</f>
        <v/>
      </c>
      <c r="K668" s="2" t="inlineStr"/>
      <c r="L668" s="2" t="inlineStr">
        <is>
          <t>Advanced Data Structures, Advanced Tree Structures, Algorithms, DFS, Data Structures, Graph Algos, Graphs, Segment Trees, Sets, Traversals, Trees</t>
        </is>
      </c>
      <c r="M668" s="2" t="inlineStr"/>
      <c r="N668" s="2" t="inlineStr">
        <is>
          <t>No</t>
        </is>
      </c>
      <c r="O668" s="2" t="inlineStr">
        <is>
          <t>Unattempted</t>
        </is>
      </c>
    </row>
    <row r="669">
      <c r="A669" s="4" t="inlineStr">
        <is>
          <t>Other Practice Paths</t>
        </is>
      </c>
      <c r="B669" s="4" t="inlineStr">
        <is>
          <t>Prepare for ICPC - Past Year Problems</t>
        </is>
      </c>
      <c r="C669" s="4" t="inlineStr">
        <is>
          <t>Prepare for your next ICPC online or onsite round by practicing problems of past years. Get an understanding of the pattern of questions which are asked.</t>
        </is>
      </c>
      <c r="D669" s="4" t="inlineStr">
        <is>
          <t>Asia-Kharagpur Site Onsite Round 2018 - Asia-Kharagpur Site Onsite Round 2018</t>
        </is>
      </c>
      <c r="E669" s="4" t="n">
        <v>101</v>
      </c>
      <c r="F669" s="4" t="inlineStr">
        <is>
          <t>Another Game of Life</t>
        </is>
      </c>
      <c r="G669" s="4" t="inlineStr">
        <is>
          <t>VASTLIFE</t>
        </is>
      </c>
      <c r="H669" s="4" t="inlineStr"/>
      <c r="I669" s="4" t="inlineStr">
        <is>
          <t>Hard</t>
        </is>
      </c>
      <c r="J669" s="5">
        <f>HYPERLINK("https://www.codechef.com/problems/VASTLIFE", "https://www.codechef.com/problems/VASTLIFE")</f>
        <v/>
      </c>
      <c r="K669" s="4" t="inlineStr"/>
      <c r="L669" s="4" t="inlineStr"/>
      <c r="M669" s="4" t="inlineStr"/>
      <c r="N669" s="4" t="inlineStr">
        <is>
          <t>No</t>
        </is>
      </c>
      <c r="O669" s="4" t="inlineStr">
        <is>
          <t>Unattempted</t>
        </is>
      </c>
    </row>
    <row r="670">
      <c r="A670" s="2" t="inlineStr">
        <is>
          <t>Other Practice Paths</t>
        </is>
      </c>
      <c r="B670" s="2" t="inlineStr">
        <is>
          <t>Prepare for ICPC - Past Year Problems</t>
        </is>
      </c>
      <c r="C670" s="2" t="inlineStr">
        <is>
          <t>Prepare for your next ICPC online or onsite round by practicing problems of past years. Get an understanding of the pattern of questions which are asked.</t>
        </is>
      </c>
      <c r="D670" s="2" t="inlineStr">
        <is>
          <t>Asia-Kharagpur Site Onsite Round 2018 - Asia-Kharagpur Site Onsite Round 2018</t>
        </is>
      </c>
      <c r="E670" s="2" t="n">
        <v>102</v>
      </c>
      <c r="F670" s="2" t="inlineStr">
        <is>
          <t>E - Make it Zero</t>
        </is>
      </c>
      <c r="G670" s="2" t="inlineStr">
        <is>
          <t>INFDIV</t>
        </is>
      </c>
      <c r="H670" s="2" t="inlineStr"/>
      <c r="I670" s="2" t="inlineStr">
        <is>
          <t>Hard</t>
        </is>
      </c>
      <c r="J670" s="3">
        <f>HYPERLINK("https://www.codechef.com/problems/INFDIV", "https://www.codechef.com/problems/INFDIV")</f>
        <v/>
      </c>
      <c r="K670" s="2" t="inlineStr"/>
      <c r="L670" s="2" t="inlineStr"/>
      <c r="M670" s="2" t="inlineStr"/>
      <c r="N670" s="2" t="inlineStr">
        <is>
          <t>No</t>
        </is>
      </c>
      <c r="O670" s="2" t="inlineStr">
        <is>
          <t>Unattempted</t>
        </is>
      </c>
    </row>
    <row r="671">
      <c r="A671" s="4" t="inlineStr">
        <is>
          <t>Other Practice Paths</t>
        </is>
      </c>
      <c r="B671" s="4" t="inlineStr">
        <is>
          <t>Prepare for ICPC - Past Year Problems</t>
        </is>
      </c>
      <c r="C671" s="4" t="inlineStr">
        <is>
          <t>Prepare for your next ICPC online or onsite round by practicing problems of past years. Get an understanding of the pattern of questions which are asked.</t>
        </is>
      </c>
      <c r="D671" s="4" t="inlineStr">
        <is>
          <t>Asia-Kharagpur Site Onsite Round 2018 - Asia-Kharagpur Site Onsite Round 2018</t>
        </is>
      </c>
      <c r="E671" s="4" t="n">
        <v>103</v>
      </c>
      <c r="F671" s="4" t="inlineStr">
        <is>
          <t>Play Piano</t>
        </is>
      </c>
      <c r="G671" s="4" t="inlineStr">
        <is>
          <t>PLAYPIAN</t>
        </is>
      </c>
      <c r="H671" s="4" t="inlineStr">
        <is>
          <t>980</t>
        </is>
      </c>
      <c r="I671" s="4" t="inlineStr">
        <is>
          <t>Easy</t>
        </is>
      </c>
      <c r="J671" s="5">
        <f>HYPERLINK("https://www.codechef.com/problems/PLAYPIAN", "https://www.codechef.com/problems/PLAYPIAN")</f>
        <v/>
      </c>
      <c r="K671" s="4" t="inlineStr"/>
      <c r="L671" s="4" t="inlineStr"/>
      <c r="M671" s="4" t="inlineStr"/>
      <c r="N671" s="4" t="inlineStr">
        <is>
          <t>No</t>
        </is>
      </c>
      <c r="O671" s="4" t="inlineStr">
        <is>
          <t>Unattempted</t>
        </is>
      </c>
    </row>
    <row r="672">
      <c r="A672" s="2" t="inlineStr">
        <is>
          <t>Other Practice Paths</t>
        </is>
      </c>
      <c r="B672" s="2" t="inlineStr">
        <is>
          <t>Prepare for ICPC - Past Year Problems</t>
        </is>
      </c>
      <c r="C672" s="2" t="inlineStr">
        <is>
          <t>Prepare for your next ICPC online or onsite round by practicing problems of past years. Get an understanding of the pattern of questions which are asked.</t>
        </is>
      </c>
      <c r="D672" s="2" t="inlineStr">
        <is>
          <t>Gwalior Site Onsite Round 2017 - Gwalior Site Onsite Round 17</t>
        </is>
      </c>
      <c r="E672" s="2" t="n">
        <v>104</v>
      </c>
      <c r="F672" s="2" t="inlineStr">
        <is>
          <t>Coupon System</t>
        </is>
      </c>
      <c r="G672" s="2" t="inlineStr">
        <is>
          <t>COUPSYS</t>
        </is>
      </c>
      <c r="H672" s="2" t="inlineStr"/>
      <c r="I672" s="2" t="inlineStr">
        <is>
          <t>Medium</t>
        </is>
      </c>
      <c r="J672" s="3">
        <f>HYPERLINK("https://www.codechef.com/problems/COUPSYS", "https://www.codechef.com/problems/COUPSYS")</f>
        <v/>
      </c>
      <c r="K672" s="2" t="inlineStr"/>
      <c r="L672" s="2" t="inlineStr">
        <is>
          <t>Algorithms, Implementation</t>
        </is>
      </c>
      <c r="M672" s="2" t="inlineStr"/>
      <c r="N672" s="2" t="inlineStr">
        <is>
          <t>No</t>
        </is>
      </c>
      <c r="O672" s="2" t="inlineStr">
        <is>
          <t>Unattempted</t>
        </is>
      </c>
    </row>
    <row r="673">
      <c r="A673" s="4" t="inlineStr">
        <is>
          <t>Other Practice Paths</t>
        </is>
      </c>
      <c r="B673" s="4" t="inlineStr">
        <is>
          <t>Prepare for ICPC - Past Year Problems</t>
        </is>
      </c>
      <c r="C673" s="4" t="inlineStr">
        <is>
          <t>Prepare for your next ICPC online or onsite round by practicing problems of past years. Get an understanding of the pattern of questions which are asked.</t>
        </is>
      </c>
      <c r="D673" s="4" t="inlineStr">
        <is>
          <t>Gwalior Site Onsite Round 2017 - Gwalior Site Onsite Round 17</t>
        </is>
      </c>
      <c r="E673" s="4" t="n">
        <v>105</v>
      </c>
      <c r="F673" s="4" t="inlineStr">
        <is>
          <t>Optimize The Slow Code</t>
        </is>
      </c>
      <c r="G673" s="4" t="inlineStr">
        <is>
          <t>OPTCODE</t>
        </is>
      </c>
      <c r="H673" s="4" t="inlineStr"/>
      <c r="I673" s="4" t="inlineStr">
        <is>
          <t>Hard</t>
        </is>
      </c>
      <c r="J673" s="5">
        <f>HYPERLINK("https://www.codechef.com/problems/OPTCODE", "https://www.codechef.com/problems/OPTCODE")</f>
        <v/>
      </c>
      <c r="K673" s="4" t="inlineStr"/>
      <c r="L673" s="4" t="inlineStr">
        <is>
          <t>Algorithms, Constructive, Greedy</t>
        </is>
      </c>
      <c r="M673" s="4" t="inlineStr"/>
      <c r="N673" s="4" t="inlineStr">
        <is>
          <t>No</t>
        </is>
      </c>
      <c r="O673" s="4" t="inlineStr">
        <is>
          <t>Unattempted</t>
        </is>
      </c>
    </row>
    <row r="674">
      <c r="A674" s="2" t="inlineStr">
        <is>
          <t>Other Practice Paths</t>
        </is>
      </c>
      <c r="B674" s="2" t="inlineStr">
        <is>
          <t>Prepare for ICPC - Past Year Problems</t>
        </is>
      </c>
      <c r="C674" s="2" t="inlineStr">
        <is>
          <t>Prepare for your next ICPC online or onsite round by practicing problems of past years. Get an understanding of the pattern of questions which are asked.</t>
        </is>
      </c>
      <c r="D674" s="2" t="inlineStr">
        <is>
          <t>Gwalior Site Onsite Round 2017 - Gwalior Site Onsite Round 17</t>
        </is>
      </c>
      <c r="E674" s="2" t="n">
        <v>106</v>
      </c>
      <c r="F674" s="2" t="inlineStr">
        <is>
          <t>A Tale of Three Squares</t>
        </is>
      </c>
      <c r="G674" s="2" t="inlineStr">
        <is>
          <t>TALESQUA</t>
        </is>
      </c>
      <c r="H674" s="2" t="inlineStr"/>
      <c r="I674" s="2" t="inlineStr">
        <is>
          <t>Hard</t>
        </is>
      </c>
      <c r="J674" s="3">
        <f>HYPERLINK("https://www.codechef.com/problems/TALESQUA", "https://www.codechef.com/problems/TALESQUA")</f>
        <v/>
      </c>
      <c r="K674" s="2" t="inlineStr"/>
      <c r="L674" s="2" t="inlineStr"/>
      <c r="M674" s="2" t="inlineStr"/>
      <c r="N674" s="2" t="inlineStr">
        <is>
          <t>No</t>
        </is>
      </c>
      <c r="O674" s="2" t="inlineStr">
        <is>
          <t>Unattempted</t>
        </is>
      </c>
    </row>
    <row r="675">
      <c r="A675" s="4" t="inlineStr">
        <is>
          <t>Other Practice Paths</t>
        </is>
      </c>
      <c r="B675" s="4" t="inlineStr">
        <is>
          <t>Prepare for ICPC - Past Year Problems</t>
        </is>
      </c>
      <c r="C675" s="4" t="inlineStr">
        <is>
          <t>Prepare for your next ICPC online or onsite round by practicing problems of past years. Get an understanding of the pattern of questions which are asked.</t>
        </is>
      </c>
      <c r="D675" s="4" t="inlineStr">
        <is>
          <t>Gwalior Site Onsite Round 2017 - Gwalior Site Onsite Round 17</t>
        </is>
      </c>
      <c r="E675" s="4" t="n">
        <v>107</v>
      </c>
      <c r="F675" s="4" t="inlineStr">
        <is>
          <t>A Tale of Two Right Angled Triangles</t>
        </is>
      </c>
      <c r="G675" s="4" t="inlineStr">
        <is>
          <t>TALETRI</t>
        </is>
      </c>
      <c r="H675" s="4" t="inlineStr"/>
      <c r="I675" s="4" t="inlineStr">
        <is>
          <t>Hard</t>
        </is>
      </c>
      <c r="J675" s="5">
        <f>HYPERLINK("https://www.codechef.com/problems/TALETRI", "https://www.codechef.com/problems/TALETRI")</f>
        <v/>
      </c>
      <c r="K675" s="4" t="inlineStr"/>
      <c r="L675" s="4" t="inlineStr"/>
      <c r="M675" s="4" t="inlineStr"/>
      <c r="N675" s="4" t="inlineStr">
        <is>
          <t>No</t>
        </is>
      </c>
      <c r="O675" s="4" t="inlineStr">
        <is>
          <t>Unattempted</t>
        </is>
      </c>
    </row>
    <row r="676">
      <c r="A676" s="2" t="inlineStr">
        <is>
          <t>Other Practice Paths</t>
        </is>
      </c>
      <c r="B676" s="2" t="inlineStr">
        <is>
          <t>Prepare for ICPC - Past Year Problems</t>
        </is>
      </c>
      <c r="C676" s="2" t="inlineStr">
        <is>
          <t>Prepare for your next ICPC online or onsite round by practicing problems of past years. Get an understanding of the pattern of questions which are asked.</t>
        </is>
      </c>
      <c r="D676" s="2" t="inlineStr">
        <is>
          <t>Gwalior Site Onsite Round 2017 - Gwalior Site Onsite Round 17</t>
        </is>
      </c>
      <c r="E676" s="2" t="n">
        <v>108</v>
      </c>
      <c r="F676" s="2" t="inlineStr">
        <is>
          <t>Chef and Triangles</t>
        </is>
      </c>
      <c r="G676" s="2" t="inlineStr">
        <is>
          <t>TRICHEF</t>
        </is>
      </c>
      <c r="H676" s="2" t="inlineStr"/>
      <c r="I676" s="2" t="inlineStr">
        <is>
          <t>Hard</t>
        </is>
      </c>
      <c r="J676" s="3">
        <f>HYPERLINK("https://www.codechef.com/problems/TRICHEF", "https://www.codechef.com/problems/TRICHEF")</f>
        <v/>
      </c>
      <c r="K676" s="2" t="inlineStr"/>
      <c r="L676" s="2" t="inlineStr"/>
      <c r="M676" s="2" t="inlineStr"/>
      <c r="N676" s="2" t="inlineStr">
        <is>
          <t>No</t>
        </is>
      </c>
      <c r="O676" s="2" t="inlineStr">
        <is>
          <t>Unattempted</t>
        </is>
      </c>
    </row>
    <row r="677">
      <c r="A677" s="4" t="inlineStr">
        <is>
          <t>Other Practice Paths</t>
        </is>
      </c>
      <c r="B677" s="4" t="inlineStr">
        <is>
          <t>Prepare for ICPC - Past Year Problems</t>
        </is>
      </c>
      <c r="C677" s="4" t="inlineStr">
        <is>
          <t>Prepare for your next ICPC online or onsite round by practicing problems of past years. Get an understanding of the pattern of questions which are asked.</t>
        </is>
      </c>
      <c r="D677" s="4" t="inlineStr">
        <is>
          <t>Gwalior Site Onsite Round 2017 - Gwalior Site Onsite Round 17</t>
        </is>
      </c>
      <c r="E677" s="4" t="n">
        <v>109</v>
      </c>
      <c r="F677" s="4" t="inlineStr">
        <is>
          <t>Queries on tree again</t>
        </is>
      </c>
      <c r="G677" s="4" t="inlineStr">
        <is>
          <t>QTRAGAIN</t>
        </is>
      </c>
      <c r="H677" s="4" t="inlineStr"/>
      <c r="I677" s="4" t="inlineStr">
        <is>
          <t>Hard</t>
        </is>
      </c>
      <c r="J677" s="5">
        <f>HYPERLINK("https://www.codechef.com/problems/QTRAGAIN", "https://www.codechef.com/problems/QTRAGAIN")</f>
        <v/>
      </c>
      <c r="K677" s="4" t="inlineStr"/>
      <c r="L677" s="4" t="inlineStr"/>
      <c r="M677" s="4" t="inlineStr"/>
      <c r="N677" s="4" t="inlineStr">
        <is>
          <t>No</t>
        </is>
      </c>
      <c r="O677" s="4" t="inlineStr">
        <is>
          <t>Unattempted</t>
        </is>
      </c>
    </row>
    <row r="678">
      <c r="A678" s="2" t="inlineStr">
        <is>
          <t>Other Practice Paths</t>
        </is>
      </c>
      <c r="B678" s="2" t="inlineStr">
        <is>
          <t>Prepare for ICPC - Past Year Problems</t>
        </is>
      </c>
      <c r="C678" s="2" t="inlineStr">
        <is>
          <t>Prepare for your next ICPC online or onsite round by practicing problems of past years. Get an understanding of the pattern of questions which are asked.</t>
        </is>
      </c>
      <c r="D678" s="2" t="inlineStr">
        <is>
          <t>Gwalior Site Onsite Round 2017 - Gwalior Site Onsite Round 17</t>
        </is>
      </c>
      <c r="E678" s="2" t="n">
        <v>110</v>
      </c>
      <c r="F678" s="2" t="inlineStr">
        <is>
          <t>Organize The Wallet</t>
        </is>
      </c>
      <c r="G678" s="2" t="inlineStr">
        <is>
          <t>ZUBWALLT</t>
        </is>
      </c>
      <c r="H678" s="2" t="inlineStr"/>
      <c r="I678" s="2" t="inlineStr">
        <is>
          <t>Medium</t>
        </is>
      </c>
      <c r="J678" s="3">
        <f>HYPERLINK("https://www.codechef.com/problems/ZUBWALLT", "https://www.codechef.com/problems/ZUBWALLT")</f>
        <v/>
      </c>
      <c r="K678" s="2" t="inlineStr"/>
      <c r="L678" s="2" t="inlineStr"/>
      <c r="M678" s="2" t="inlineStr"/>
      <c r="N678" s="2" t="inlineStr">
        <is>
          <t>No</t>
        </is>
      </c>
      <c r="O678" s="2" t="inlineStr">
        <is>
          <t>Unattempted</t>
        </is>
      </c>
    </row>
    <row r="679">
      <c r="A679" s="4" t="inlineStr">
        <is>
          <t>Other Practice Paths</t>
        </is>
      </c>
      <c r="B679" s="4" t="inlineStr">
        <is>
          <t>Prepare for ICPC - Past Year Problems</t>
        </is>
      </c>
      <c r="C679" s="4" t="inlineStr">
        <is>
          <t>Prepare for your next ICPC online or onsite round by practicing problems of past years. Get an understanding of the pattern of questions which are asked.</t>
        </is>
      </c>
      <c r="D679" s="4" t="inlineStr">
        <is>
          <t>Gwalior Site Onsite Round 2017 - Gwalior Site Onsite Round 17</t>
        </is>
      </c>
      <c r="E679" s="4" t="n">
        <v>111</v>
      </c>
      <c r="F679" s="4" t="inlineStr">
        <is>
          <t>Proprietary Probabilistic Problem</t>
        </is>
      </c>
      <c r="G679" s="4" t="inlineStr">
        <is>
          <t>KALADIN</t>
        </is>
      </c>
      <c r="H679" s="4" t="inlineStr"/>
      <c r="I679" s="4" t="inlineStr">
        <is>
          <t>Hard</t>
        </is>
      </c>
      <c r="J679" s="5">
        <f>HYPERLINK("https://www.codechef.com/problems/KALADIN", "https://www.codechef.com/problems/KALADIN")</f>
        <v/>
      </c>
      <c r="K679" s="4" t="inlineStr"/>
      <c r="L679" s="4" t="inlineStr">
        <is>
          <t>Expected Value, Mathematics, Probability</t>
        </is>
      </c>
      <c r="M679" s="4" t="inlineStr"/>
      <c r="N679" s="4" t="inlineStr">
        <is>
          <t>No</t>
        </is>
      </c>
      <c r="O679" s="4" t="inlineStr">
        <is>
          <t>Unattempted</t>
        </is>
      </c>
    </row>
    <row r="680">
      <c r="A680" s="2" t="inlineStr">
        <is>
          <t>Other Practice Paths</t>
        </is>
      </c>
      <c r="B680" s="2" t="inlineStr">
        <is>
          <t>Prepare for ICPC - Past Year Problems</t>
        </is>
      </c>
      <c r="C680" s="2" t="inlineStr">
        <is>
          <t>Prepare for your next ICPC online or onsite round by practicing problems of past years. Get an understanding of the pattern of questions which are asked.</t>
        </is>
      </c>
      <c r="D680" s="2" t="inlineStr">
        <is>
          <t>Gwalior Site Onsite Round 2017 - Gwalior Site Onsite Round 17</t>
        </is>
      </c>
      <c r="E680" s="2" t="n">
        <v>112</v>
      </c>
      <c r="F680" s="2" t="inlineStr">
        <is>
          <t>Find Lighted Area</t>
        </is>
      </c>
      <c r="G680" s="2" t="inlineStr">
        <is>
          <t>LIGHTARE</t>
        </is>
      </c>
      <c r="H680" s="2" t="inlineStr"/>
      <c r="I680" s="2" t="inlineStr">
        <is>
          <t>Hard</t>
        </is>
      </c>
      <c r="J680" s="3">
        <f>HYPERLINK("https://www.codechef.com/problems/LIGHTARE", "https://www.codechef.com/problems/LIGHTARE")</f>
        <v/>
      </c>
      <c r="K680" s="2" t="inlineStr"/>
      <c r="L680" s="2" t="inlineStr">
        <is>
          <t>admin2, geometry, gwr17rol, med-hard</t>
        </is>
      </c>
      <c r="M680" s="2" t="inlineStr"/>
      <c r="N680" s="2" t="inlineStr">
        <is>
          <t>No</t>
        </is>
      </c>
      <c r="O680" s="2" t="inlineStr">
        <is>
          <t>Unattempted</t>
        </is>
      </c>
    </row>
    <row r="681">
      <c r="A681" s="4" t="inlineStr">
        <is>
          <t>Other Practice Paths</t>
        </is>
      </c>
      <c r="B681" s="4" t="inlineStr">
        <is>
          <t>Prepare for ICPC - Past Year Problems</t>
        </is>
      </c>
      <c r="C681" s="4" t="inlineStr">
        <is>
          <t>Prepare for your next ICPC online or onsite round by practicing problems of past years. Get an understanding of the pattern of questions which are asked.</t>
        </is>
      </c>
      <c r="D681" s="4" t="inlineStr">
        <is>
          <t>Asia-Amritapuri Site Onsite Round 2017 - Asia-Amritapuri Site Onsite Round 2017</t>
        </is>
      </c>
      <c r="E681" s="4" t="n">
        <v>113</v>
      </c>
      <c r="F681" s="4" t="inlineStr">
        <is>
          <t>Coder Life Matters</t>
        </is>
      </c>
      <c r="G681" s="4" t="inlineStr">
        <is>
          <t>CODERLIF</t>
        </is>
      </c>
      <c r="H681" s="4" t="inlineStr"/>
      <c r="I681" s="4" t="inlineStr">
        <is>
          <t>Easy</t>
        </is>
      </c>
      <c r="J681" s="5">
        <f>HYPERLINK("https://www.codechef.com/problems/CODERLIF", "https://www.codechef.com/problems/CODERLIF")</f>
        <v/>
      </c>
      <c r="K681" s="4" t="inlineStr"/>
      <c r="L681" s="4" t="inlineStr">
        <is>
          <t>Algorithms, Brute Force, Implementation</t>
        </is>
      </c>
      <c r="M681" s="4" t="inlineStr"/>
      <c r="N681" s="4" t="inlineStr">
        <is>
          <t>No</t>
        </is>
      </c>
      <c r="O681" s="4" t="inlineStr">
        <is>
          <t>Unattempted</t>
        </is>
      </c>
    </row>
    <row r="682">
      <c r="A682" s="2" t="inlineStr">
        <is>
          <t>Other Practice Paths</t>
        </is>
      </c>
      <c r="B682" s="2" t="inlineStr">
        <is>
          <t>Prepare for ICPC - Past Year Problems</t>
        </is>
      </c>
      <c r="C682" s="2" t="inlineStr">
        <is>
          <t>Prepare for your next ICPC online or onsite round by practicing problems of past years. Get an understanding of the pattern of questions which are asked.</t>
        </is>
      </c>
      <c r="D682" s="2" t="inlineStr">
        <is>
          <t>Asia-Amritapuri Site Onsite Round 2017 - Asia-Amritapuri Site Onsite Round 2017</t>
        </is>
      </c>
      <c r="E682" s="2" t="n">
        <v>114</v>
      </c>
      <c r="F682" s="2" t="inlineStr">
        <is>
          <t>Quadratic Functions</t>
        </is>
      </c>
      <c r="G682" s="2" t="inlineStr">
        <is>
          <t>QUADFUNC</t>
        </is>
      </c>
      <c r="H682" s="2" t="inlineStr"/>
      <c r="I682" s="2" t="inlineStr">
        <is>
          <t>Hard</t>
        </is>
      </c>
      <c r="J682" s="3">
        <f>HYPERLINK("https://www.codechef.com/problems/QUADFUNC", "https://www.codechef.com/problems/QUADFUNC")</f>
        <v/>
      </c>
      <c r="K682" s="2" t="inlineStr"/>
      <c r="L682" s="2" t="inlineStr"/>
      <c r="M682" s="2" t="inlineStr"/>
      <c r="N682" s="2" t="inlineStr">
        <is>
          <t>No</t>
        </is>
      </c>
      <c r="O682" s="2" t="inlineStr">
        <is>
          <t>Unattempted</t>
        </is>
      </c>
    </row>
    <row r="683">
      <c r="A683" s="4" t="inlineStr">
        <is>
          <t>Other Practice Paths</t>
        </is>
      </c>
      <c r="B683" s="4" t="inlineStr">
        <is>
          <t>Prepare for ICPC - Past Year Problems</t>
        </is>
      </c>
      <c r="C683" s="4" t="inlineStr">
        <is>
          <t>Prepare for your next ICPC online or onsite round by practicing problems of past years. Get an understanding of the pattern of questions which are asked.</t>
        </is>
      </c>
      <c r="D683" s="4" t="inlineStr">
        <is>
          <t>Asia-Amritapuri Site Onsite Round 2017 - Asia-Amritapuri Site Onsite Round 2017</t>
        </is>
      </c>
      <c r="E683" s="4" t="n">
        <v>115</v>
      </c>
      <c r="F683" s="4" t="inlineStr">
        <is>
          <t>A Few Laughing Men</t>
        </is>
      </c>
      <c r="G683" s="4" t="inlineStr">
        <is>
          <t>LAUGHMEN</t>
        </is>
      </c>
      <c r="H683" s="4" t="inlineStr"/>
      <c r="I683" s="4" t="inlineStr">
        <is>
          <t>Hard</t>
        </is>
      </c>
      <c r="J683" s="5">
        <f>HYPERLINK("https://www.codechef.com/problems/LAUGHMEN", "https://www.codechef.com/problems/LAUGHMEN")</f>
        <v/>
      </c>
      <c r="K683" s="4" t="inlineStr"/>
      <c r="L683" s="4" t="inlineStr">
        <is>
          <t>Algorithms, Constructive, ad-hoc</t>
        </is>
      </c>
      <c r="M683" s="4" t="inlineStr"/>
      <c r="N683" s="4" t="inlineStr">
        <is>
          <t>No</t>
        </is>
      </c>
      <c r="O683" s="4" t="inlineStr">
        <is>
          <t>Unattempted</t>
        </is>
      </c>
    </row>
    <row r="684">
      <c r="A684" s="2" t="inlineStr">
        <is>
          <t>Other Practice Paths</t>
        </is>
      </c>
      <c r="B684" s="2" t="inlineStr">
        <is>
          <t>Prepare for ICPC - Past Year Problems</t>
        </is>
      </c>
      <c r="C684" s="2" t="inlineStr">
        <is>
          <t>Prepare for your next ICPC online or onsite round by practicing problems of past years. Get an understanding of the pattern of questions which are asked.</t>
        </is>
      </c>
      <c r="D684" s="2" t="inlineStr">
        <is>
          <t>Asia-Amritapuri Site Onsite Round 2017 - Asia-Amritapuri Site Onsite Round 2017</t>
        </is>
      </c>
      <c r="E684" s="2" t="n">
        <v>116</v>
      </c>
      <c r="F684" s="2" t="inlineStr">
        <is>
          <t>Nested Candy Boxes</t>
        </is>
      </c>
      <c r="G684" s="2" t="inlineStr">
        <is>
          <t>AMBOXES</t>
        </is>
      </c>
      <c r="H684" s="2" t="inlineStr"/>
      <c r="I684" s="2" t="inlineStr">
        <is>
          <t>Hard</t>
        </is>
      </c>
      <c r="J684" s="3">
        <f>HYPERLINK("https://www.codechef.com/problems/AMBOXES", "https://www.codechef.com/problems/AMBOXES")</f>
        <v/>
      </c>
      <c r="K684" s="2" t="inlineStr"/>
      <c r="L684" s="2" t="inlineStr">
        <is>
          <t>admin2</t>
        </is>
      </c>
      <c r="M684" s="2" t="inlineStr"/>
      <c r="N684" s="2" t="inlineStr">
        <is>
          <t>No</t>
        </is>
      </c>
      <c r="O684" s="2" t="inlineStr">
        <is>
          <t>Unattempted</t>
        </is>
      </c>
    </row>
    <row r="685">
      <c r="A685" s="4" t="inlineStr">
        <is>
          <t>Other Practice Paths</t>
        </is>
      </c>
      <c r="B685" s="4" t="inlineStr">
        <is>
          <t>Prepare for ICPC - Past Year Problems</t>
        </is>
      </c>
      <c r="C685" s="4" t="inlineStr">
        <is>
          <t>Prepare for your next ICPC online or onsite round by practicing problems of past years. Get an understanding of the pattern of questions which are asked.</t>
        </is>
      </c>
      <c r="D685" s="4" t="inlineStr">
        <is>
          <t>Asia-Amritapuri Site Onsite Round 2017 - Asia-Amritapuri Site Onsite Round 2017</t>
        </is>
      </c>
      <c r="E685" s="4" t="n">
        <v>117</v>
      </c>
      <c r="F685" s="4" t="inlineStr">
        <is>
          <t>Crypto Trading</t>
        </is>
      </c>
      <c r="G685" s="4" t="inlineStr">
        <is>
          <t>CRYPCUR</t>
        </is>
      </c>
      <c r="H685" s="4" t="inlineStr"/>
      <c r="I685" s="4" t="inlineStr">
        <is>
          <t>Hard</t>
        </is>
      </c>
      <c r="J685" s="5">
        <f>HYPERLINK("https://www.codechef.com/problems/CRYPCUR", "https://www.codechef.com/problems/CRYPCUR")</f>
        <v/>
      </c>
      <c r="K685" s="4" t="inlineStr"/>
      <c r="L685" s="4" t="inlineStr">
        <is>
          <t>Advanced Algorithms, Advanced Graph Algos, Algorithms, Binary Search, Binary Search on Answer, Connected Components, DAG Algos, Graph Algos, Searching, Topological Sorting</t>
        </is>
      </c>
      <c r="M685" s="4" t="inlineStr"/>
      <c r="N685" s="4" t="inlineStr">
        <is>
          <t>No</t>
        </is>
      </c>
      <c r="O685" s="4" t="inlineStr">
        <is>
          <t>Unattempted</t>
        </is>
      </c>
    </row>
    <row r="686">
      <c r="A686" s="2" t="inlineStr">
        <is>
          <t>Other Practice Paths</t>
        </is>
      </c>
      <c r="B686" s="2" t="inlineStr">
        <is>
          <t>Prepare for ICPC - Past Year Problems</t>
        </is>
      </c>
      <c r="C686" s="2" t="inlineStr">
        <is>
          <t>Prepare for your next ICPC online or onsite round by practicing problems of past years. Get an understanding of the pattern of questions which are asked.</t>
        </is>
      </c>
      <c r="D686" s="2" t="inlineStr">
        <is>
          <t>Asia-Amritapuri Site Onsite Round 2017 - Asia-Amritapuri Site Onsite Round 2017</t>
        </is>
      </c>
      <c r="E686" s="2" t="n">
        <v>118</v>
      </c>
      <c r="F686" s="2" t="inlineStr">
        <is>
          <t>Poetic word</t>
        </is>
      </c>
      <c r="G686" s="2" t="inlineStr">
        <is>
          <t>AMLEX</t>
        </is>
      </c>
      <c r="H686" s="2" t="inlineStr"/>
      <c r="I686" s="2" t="inlineStr">
        <is>
          <t>Hard</t>
        </is>
      </c>
      <c r="J686" s="3">
        <f>HYPERLINK("https://www.codechef.com/problems/AMLEX", "https://www.codechef.com/problems/AMLEX")</f>
        <v/>
      </c>
      <c r="K686" s="2" t="inlineStr"/>
      <c r="L686" s="2" t="inlineStr">
        <is>
          <t>Advanced Algorithms, Advanced Graph Algos, Algorithms, BFS, Data Structures, Flow Networks, Graph Algos, Graphs, Maximum Flow, Traversals</t>
        </is>
      </c>
      <c r="M686" s="2" t="inlineStr"/>
      <c r="N686" s="2" t="inlineStr">
        <is>
          <t>No</t>
        </is>
      </c>
      <c r="O686" s="2" t="inlineStr">
        <is>
          <t>Unattempted</t>
        </is>
      </c>
    </row>
    <row r="687">
      <c r="A687" s="4" t="inlineStr">
        <is>
          <t>Other Practice Paths</t>
        </is>
      </c>
      <c r="B687" s="4" t="inlineStr">
        <is>
          <t>Prepare for ICPC - Past Year Problems</t>
        </is>
      </c>
      <c r="C687" s="4" t="inlineStr">
        <is>
          <t>Prepare for your next ICPC online or onsite round by practicing problems of past years. Get an understanding of the pattern of questions which are asked.</t>
        </is>
      </c>
      <c r="D687" s="4" t="inlineStr">
        <is>
          <t>Asia-Amritapuri Site Onsite Round 2017 - Asia-Amritapuri Site Onsite Round 2017</t>
        </is>
      </c>
      <c r="E687" s="4" t="n">
        <v>119</v>
      </c>
      <c r="F687" s="4" t="inlineStr">
        <is>
          <t>Magic Board</t>
        </is>
      </c>
      <c r="G687" s="4" t="inlineStr">
        <is>
          <t>AMMAGIC</t>
        </is>
      </c>
      <c r="H687" s="4" t="inlineStr"/>
      <c r="I687" s="4" t="inlineStr">
        <is>
          <t>Hard</t>
        </is>
      </c>
      <c r="J687" s="5">
        <f>HYPERLINK("https://www.codechef.com/problems/AMMAGIC", "https://www.codechef.com/problems/AMMAGIC")</f>
        <v/>
      </c>
      <c r="K687" s="4" t="inlineStr"/>
      <c r="L687" s="4" t="inlineStr">
        <is>
          <t>Algorithms, DFS, Graph Algos, Traversals</t>
        </is>
      </c>
      <c r="M687" s="4" t="inlineStr"/>
      <c r="N687" s="4" t="inlineStr">
        <is>
          <t>No</t>
        </is>
      </c>
      <c r="O687" s="4" t="inlineStr">
        <is>
          <t>Unattempted</t>
        </is>
      </c>
    </row>
    <row r="688">
      <c r="A688" s="2" t="inlineStr">
        <is>
          <t>Other Practice Paths</t>
        </is>
      </c>
      <c r="B688" s="2" t="inlineStr">
        <is>
          <t>Prepare for ICPC - Past Year Problems</t>
        </is>
      </c>
      <c r="C688" s="2" t="inlineStr">
        <is>
          <t>Prepare for your next ICPC online or onsite round by practicing problems of past years. Get an understanding of the pattern of questions which are asked.</t>
        </is>
      </c>
      <c r="D688" s="2" t="inlineStr">
        <is>
          <t>Asia-Amritapuri Site Onsite Round 2017 - Asia-Amritapuri Site Onsite Round 2017</t>
        </is>
      </c>
      <c r="E688" s="2" t="n">
        <v>120</v>
      </c>
      <c r="F688" s="2" t="inlineStr">
        <is>
          <t>Drunk Man in Large City</t>
        </is>
      </c>
      <c r="G688" s="2" t="inlineStr">
        <is>
          <t>AMDRUNK</t>
        </is>
      </c>
      <c r="H688" s="2" t="inlineStr"/>
      <c r="I688" s="2" t="inlineStr">
        <is>
          <t>Hard</t>
        </is>
      </c>
      <c r="J688" s="3">
        <f>HYPERLINK("https://www.codechef.com/problems/AMDRUNK", "https://www.codechef.com/problems/AMDRUNK")</f>
        <v/>
      </c>
      <c r="K688" s="2" t="inlineStr"/>
      <c r="L688" s="2" t="inlineStr">
        <is>
          <t>Algorithms, Dijkstra's Algorithm, Graph Algos, Shortest Paths</t>
        </is>
      </c>
      <c r="M688" s="2" t="inlineStr"/>
      <c r="N688" s="2" t="inlineStr">
        <is>
          <t>No</t>
        </is>
      </c>
      <c r="O688" s="2" t="inlineStr">
        <is>
          <t>Unattempted</t>
        </is>
      </c>
    </row>
    <row r="689">
      <c r="A689" s="4" t="inlineStr">
        <is>
          <t>Other Practice Paths</t>
        </is>
      </c>
      <c r="B689" s="4" t="inlineStr">
        <is>
          <t>Prepare for ICPC - Past Year Problems</t>
        </is>
      </c>
      <c r="C689" s="4" t="inlineStr">
        <is>
          <t>Prepare for your next ICPC online or onsite round by practicing problems of past years. Get an understanding of the pattern of questions which are asked.</t>
        </is>
      </c>
      <c r="D689" s="4" t="inlineStr">
        <is>
          <t>Asia-Amritapuri Site Onsite Round 2017 - Asia-Amritapuri Site Onsite Round 2017</t>
        </is>
      </c>
      <c r="E689" s="4" t="n">
        <v>121</v>
      </c>
      <c r="F689" s="4" t="inlineStr">
        <is>
          <t>Longest Races</t>
        </is>
      </c>
      <c r="G689" s="4" t="inlineStr">
        <is>
          <t>AMRACES</t>
        </is>
      </c>
      <c r="H689" s="4" t="inlineStr"/>
      <c r="I689" s="4" t="inlineStr">
        <is>
          <t>Hard</t>
        </is>
      </c>
      <c r="J689" s="5">
        <f>HYPERLINK("https://www.codechef.com/problems/AMRACES", "https://www.codechef.com/problems/AMRACES")</f>
        <v/>
      </c>
      <c r="K689" s="4" t="inlineStr"/>
      <c r="L689" s="4" t="inlineStr">
        <is>
          <t>Algorithms, Constructive, DFS, Dynamic Programming, Graph Algos, Traversals</t>
        </is>
      </c>
      <c r="M689" s="4" t="inlineStr"/>
      <c r="N689" s="4" t="inlineStr">
        <is>
          <t>No</t>
        </is>
      </c>
      <c r="O689" s="4" t="inlineStr">
        <is>
          <t>Unattempted</t>
        </is>
      </c>
    </row>
    <row r="690">
      <c r="A690" s="2" t="inlineStr">
        <is>
          <t>Other Practice Paths</t>
        </is>
      </c>
      <c r="B690" s="2" t="inlineStr">
        <is>
          <t>Prepare for ICPC - Past Year Problems</t>
        </is>
      </c>
      <c r="C690" s="2" t="inlineStr">
        <is>
          <t>Prepare for your next ICPC online or onsite round by practicing problems of past years. Get an understanding of the pattern of questions which are asked.</t>
        </is>
      </c>
      <c r="D690" s="2" t="inlineStr">
        <is>
          <t>Asia-Amritapuri Site Onsite Round 2017 - Asia-Amritapuri Site Onsite Round 2017</t>
        </is>
      </c>
      <c r="E690" s="2" t="n">
        <v>122</v>
      </c>
      <c r="F690" s="2" t="inlineStr">
        <is>
          <t>Sliding Puzzle</t>
        </is>
      </c>
      <c r="G690" s="2" t="inlineStr">
        <is>
          <t>AMPUZZLE</t>
        </is>
      </c>
      <c r="H690" s="2" t="inlineStr"/>
      <c r="I690" s="2" t="inlineStr">
        <is>
          <t>Hard</t>
        </is>
      </c>
      <c r="J690" s="3">
        <f>HYPERLINK("https://www.codechef.com/problems/AMPUZZLE", "https://www.codechef.com/problems/AMPUZZLE")</f>
        <v/>
      </c>
      <c r="K690" s="2" t="inlineStr"/>
      <c r="L690" s="2" t="inlineStr">
        <is>
          <t>balajiganapath</t>
        </is>
      </c>
      <c r="M690" s="2" t="inlineStr"/>
      <c r="N690" s="2" t="inlineStr">
        <is>
          <t>No</t>
        </is>
      </c>
      <c r="O690" s="2" t="inlineStr">
        <is>
          <t>Unattempted</t>
        </is>
      </c>
    </row>
    <row r="691">
      <c r="A691" s="4" t="inlineStr">
        <is>
          <t>Other Practice Paths</t>
        </is>
      </c>
      <c r="B691" s="4" t="inlineStr">
        <is>
          <t>Prepare for ICPC - Past Year Problems</t>
        </is>
      </c>
      <c r="C691" s="4" t="inlineStr">
        <is>
          <t>Prepare for your next ICPC online or onsite round by practicing problems of past years. Get an understanding of the pattern of questions which are asked.</t>
        </is>
      </c>
      <c r="D691" s="4" t="inlineStr">
        <is>
          <t>Asia-Amritapuri Site Onsite Round 2017 - Asia-Amritapuri Site Onsite Round 2017</t>
        </is>
      </c>
      <c r="E691" s="4" t="n">
        <v>123</v>
      </c>
      <c r="F691" s="4" t="inlineStr">
        <is>
          <t>A Simple Polygon</t>
        </is>
      </c>
      <c r="G691" s="4" t="inlineStr">
        <is>
          <t>SIMPPOLY</t>
        </is>
      </c>
      <c r="H691" s="4" t="inlineStr"/>
      <c r="I691" s="4" t="inlineStr">
        <is>
          <t>Hard</t>
        </is>
      </c>
      <c r="J691" s="5">
        <f>HYPERLINK("https://www.codechef.com/problems/SIMPPOLY", "https://www.codechef.com/problems/SIMPPOLY")</f>
        <v/>
      </c>
      <c r="K691" s="4" t="inlineStr"/>
      <c r="L691" s="4" t="inlineStr"/>
      <c r="M691" s="4" t="inlineStr"/>
      <c r="N691" s="4" t="inlineStr">
        <is>
          <t>No</t>
        </is>
      </c>
      <c r="O691" s="4" t="inlineStr">
        <is>
          <t>Unattempted</t>
        </is>
      </c>
    </row>
    <row r="692">
      <c r="A692" s="2" t="inlineStr">
        <is>
          <t>Other Practice Paths</t>
        </is>
      </c>
      <c r="B692" s="2" t="inlineStr">
        <is>
          <t>Prepare for ICPC - Past Year Problems</t>
        </is>
      </c>
      <c r="C692" s="2" t="inlineStr">
        <is>
          <t>Prepare for your next ICPC online or onsite round by practicing problems of past years. Get an understanding of the pattern of questions which are asked.</t>
        </is>
      </c>
      <c r="D692" s="2" t="inlineStr">
        <is>
          <t>Asia-Chennai Site Onsite Round 2017 - Asia-Chennai Site Onsite Round 2017</t>
        </is>
      </c>
      <c r="E692" s="2" t="n">
        <v>124</v>
      </c>
      <c r="F692" s="2" t="inlineStr">
        <is>
          <t>Good and Bad Persons</t>
        </is>
      </c>
      <c r="G692" s="2" t="inlineStr">
        <is>
          <t>GOODBAD</t>
        </is>
      </c>
      <c r="H692" s="2" t="inlineStr"/>
      <c r="I692" s="2" t="inlineStr">
        <is>
          <t>Medium</t>
        </is>
      </c>
      <c r="J692" s="3">
        <f>HYPERLINK("https://www.codechef.com/problems/GOODBAD", "https://www.codechef.com/problems/GOODBAD")</f>
        <v/>
      </c>
      <c r="K692" s="2" t="inlineStr"/>
      <c r="L692" s="2" t="inlineStr">
        <is>
          <t>Algorithms, Observation</t>
        </is>
      </c>
      <c r="M692" s="2" t="inlineStr"/>
      <c r="N692" s="2" t="inlineStr">
        <is>
          <t>No</t>
        </is>
      </c>
      <c r="O692" s="2" t="inlineStr">
        <is>
          <t>Unattempted</t>
        </is>
      </c>
    </row>
    <row r="693">
      <c r="A693" s="4" t="inlineStr">
        <is>
          <t>Other Practice Paths</t>
        </is>
      </c>
      <c r="B693" s="4" t="inlineStr">
        <is>
          <t>Prepare for ICPC - Past Year Problems</t>
        </is>
      </c>
      <c r="C693" s="4" t="inlineStr">
        <is>
          <t>Prepare for your next ICPC online or onsite round by practicing problems of past years. Get an understanding of the pattern of questions which are asked.</t>
        </is>
      </c>
      <c r="D693" s="4" t="inlineStr">
        <is>
          <t>Asia-Chennai Site Onsite Round 2017 - Asia-Chennai Site Onsite Round 2017</t>
        </is>
      </c>
      <c r="E693" s="4" t="n">
        <v>125</v>
      </c>
      <c r="F693" s="4" t="inlineStr">
        <is>
          <t>Minimize the string</t>
        </is>
      </c>
      <c r="G693" s="4" t="inlineStr">
        <is>
          <t>MINSTR</t>
        </is>
      </c>
      <c r="H693" s="4" t="inlineStr"/>
      <c r="I693" s="4" t="inlineStr">
        <is>
          <t>Hard</t>
        </is>
      </c>
      <c r="J693" s="5">
        <f>HYPERLINK("https://www.codechef.com/problems/MINSTR", "https://www.codechef.com/problems/MINSTR")</f>
        <v/>
      </c>
      <c r="K693" s="4" t="inlineStr"/>
      <c r="L693" s="4" t="inlineStr">
        <is>
          <t>Algorithms, Data Structures, Greedy, String</t>
        </is>
      </c>
      <c r="M693" s="4" t="inlineStr"/>
      <c r="N693" s="4" t="inlineStr">
        <is>
          <t>No</t>
        </is>
      </c>
      <c r="O693" s="4" t="inlineStr">
        <is>
          <t>Unattempted</t>
        </is>
      </c>
    </row>
    <row r="694">
      <c r="A694" s="2" t="inlineStr">
        <is>
          <t>Other Practice Paths</t>
        </is>
      </c>
      <c r="B694" s="2" t="inlineStr">
        <is>
          <t>Prepare for ICPC - Past Year Problems</t>
        </is>
      </c>
      <c r="C694" s="2" t="inlineStr">
        <is>
          <t>Prepare for your next ICPC online or onsite round by practicing problems of past years. Get an understanding of the pattern of questions which are asked.</t>
        </is>
      </c>
      <c r="D694" s="2" t="inlineStr">
        <is>
          <t>Asia-Chennai Site Onsite Round 2017 - Asia-Chennai Site Onsite Round 2017</t>
        </is>
      </c>
      <c r="E694" s="2" t="n">
        <v>126</v>
      </c>
      <c r="F694" s="2" t="inlineStr">
        <is>
          <t>Obtain Desired Expected Value</t>
        </is>
      </c>
      <c r="G694" s="2" t="inlineStr">
        <is>
          <t>OBEXPVAL</t>
        </is>
      </c>
      <c r="H694" s="2" t="inlineStr"/>
      <c r="I694" s="2" t="inlineStr">
        <is>
          <t>Hard</t>
        </is>
      </c>
      <c r="J694" s="3">
        <f>HYPERLINK("https://www.codechef.com/problems/OBEXPVAL", "https://www.codechef.com/problems/OBEXPVAL")</f>
        <v/>
      </c>
      <c r="K694" s="2" t="inlineStr"/>
      <c r="L694" s="2" t="inlineStr"/>
      <c r="M694" s="2" t="inlineStr"/>
      <c r="N694" s="2" t="inlineStr">
        <is>
          <t>No</t>
        </is>
      </c>
      <c r="O694" s="2" t="inlineStr">
        <is>
          <t>Unattempted</t>
        </is>
      </c>
    </row>
    <row r="695">
      <c r="A695" s="4" t="inlineStr">
        <is>
          <t>Other Practice Paths</t>
        </is>
      </c>
      <c r="B695" s="4" t="inlineStr">
        <is>
          <t>Prepare for ICPC - Past Year Problems</t>
        </is>
      </c>
      <c r="C695" s="4" t="inlineStr">
        <is>
          <t>Prepare for your next ICPC online or onsite round by practicing problems of past years. Get an understanding of the pattern of questions which are asked.</t>
        </is>
      </c>
      <c r="D695" s="4" t="inlineStr">
        <is>
          <t>Asia-Chennai Site Onsite Round 2017 - Asia-Chennai Site Onsite Round 2017</t>
        </is>
      </c>
      <c r="E695" s="4" t="n">
        <v>127</v>
      </c>
      <c r="F695" s="4" t="inlineStr">
        <is>
          <t>Method Resolution Order</t>
        </is>
      </c>
      <c r="G695" s="4" t="inlineStr">
        <is>
          <t>MRO</t>
        </is>
      </c>
      <c r="H695" s="4" t="inlineStr"/>
      <c r="I695" s="4" t="inlineStr">
        <is>
          <t>Hard</t>
        </is>
      </c>
      <c r="J695" s="5">
        <f>HYPERLINK("https://www.codechef.com/problems/MRO", "https://www.codechef.com/problems/MRO")</f>
        <v/>
      </c>
      <c r="K695" s="4" t="inlineStr"/>
      <c r="L695" s="4" t="inlineStr">
        <is>
          <t>Algorithms, DAG Algos, Data Structures, Directed Acyclic Graphs, Directed Graphs, Dynamic Programming, Graph Algos, Graphs, Mathematics, Observation, Recurrence Relation, Recursion, Set Theory, Topological Sorting</t>
        </is>
      </c>
      <c r="M695" s="4" t="inlineStr"/>
      <c r="N695" s="4" t="inlineStr">
        <is>
          <t>No</t>
        </is>
      </c>
      <c r="O695" s="4" t="inlineStr">
        <is>
          <t>Unattempted</t>
        </is>
      </c>
    </row>
    <row r="696">
      <c r="A696" s="2" t="inlineStr">
        <is>
          <t>Other Practice Paths</t>
        </is>
      </c>
      <c r="B696" s="2" t="inlineStr">
        <is>
          <t>Prepare for ICPC - Past Year Problems</t>
        </is>
      </c>
      <c r="C696" s="2" t="inlineStr">
        <is>
          <t>Prepare for your next ICPC online or onsite round by practicing problems of past years. Get an understanding of the pattern of questions which are asked.</t>
        </is>
      </c>
      <c r="D696" s="2" t="inlineStr">
        <is>
          <t>Asia-Chennai Site Onsite Round 2017 - Asia-Chennai Site Onsite Round 2017</t>
        </is>
      </c>
      <c r="E696" s="2" t="n">
        <v>128</v>
      </c>
      <c r="F696" s="2" t="inlineStr">
        <is>
          <t>Area of an amazing figure</t>
        </is>
      </c>
      <c r="G696" s="2" t="inlineStr">
        <is>
          <t>AREAFIGR</t>
        </is>
      </c>
      <c r="H696" s="2" t="inlineStr"/>
      <c r="I696" s="2" t="inlineStr">
        <is>
          <t>Hard</t>
        </is>
      </c>
      <c r="J696" s="3">
        <f>HYPERLINK("https://www.codechef.com/problems/AREAFIGR", "https://www.codechef.com/problems/AREAFIGR")</f>
        <v/>
      </c>
      <c r="K696" s="2" t="inlineStr"/>
      <c r="L696" s="2" t="inlineStr">
        <is>
          <t>Advanced Algorithms, Areas, Computational Geometry, Polygons, Rectangles, Sweep line Algorithm</t>
        </is>
      </c>
      <c r="M696" s="2" t="inlineStr"/>
      <c r="N696" s="2" t="inlineStr">
        <is>
          <t>No</t>
        </is>
      </c>
      <c r="O696" s="2" t="inlineStr">
        <is>
          <t>Unattempted</t>
        </is>
      </c>
    </row>
    <row r="697">
      <c r="A697" s="4" t="inlineStr">
        <is>
          <t>Other Practice Paths</t>
        </is>
      </c>
      <c r="B697" s="4" t="inlineStr">
        <is>
          <t>Prepare for ICPC - Past Year Problems</t>
        </is>
      </c>
      <c r="C697" s="4" t="inlineStr">
        <is>
          <t>Prepare for your next ICPC online or onsite round by practicing problems of past years. Get an understanding of the pattern of questions which are asked.</t>
        </is>
      </c>
      <c r="D697" s="4" t="inlineStr">
        <is>
          <t>Asia-Chennai Site Onsite Round 2017 - Asia-Chennai Site Onsite Round 2017</t>
        </is>
      </c>
      <c r="E697" s="4" t="n">
        <v>129</v>
      </c>
      <c r="F697" s="4" t="inlineStr">
        <is>
          <t>Black and Red vertices of Tree</t>
        </is>
      </c>
      <c r="G697" s="4" t="inlineStr">
        <is>
          <t>BLREDSET</t>
        </is>
      </c>
      <c r="H697" s="4" t="inlineStr"/>
      <c r="I697" s="4" t="inlineStr">
        <is>
          <t>Hard</t>
        </is>
      </c>
      <c r="J697" s="5">
        <f>HYPERLINK("https://www.codechef.com/problems/BLREDSET", "https://www.codechef.com/problems/BLREDSET")</f>
        <v/>
      </c>
      <c r="K697" s="4" t="inlineStr"/>
      <c r="L697" s="4" t="inlineStr">
        <is>
          <t>Data Structures, Graphs, Trees</t>
        </is>
      </c>
      <c r="M697" s="4" t="inlineStr"/>
      <c r="N697" s="4" t="inlineStr">
        <is>
          <t>No</t>
        </is>
      </c>
      <c r="O697" s="4" t="inlineStr">
        <is>
          <t>Unattempted</t>
        </is>
      </c>
    </row>
    <row r="698">
      <c r="A698" s="2" t="inlineStr">
        <is>
          <t>Other Practice Paths</t>
        </is>
      </c>
      <c r="B698" s="2" t="inlineStr">
        <is>
          <t>Prepare for ICPC - Past Year Problems</t>
        </is>
      </c>
      <c r="C698" s="2" t="inlineStr">
        <is>
          <t>Prepare for your next ICPC online or onsite round by practicing problems of past years. Get an understanding of the pattern of questions which are asked.</t>
        </is>
      </c>
      <c r="D698" s="2" t="inlineStr">
        <is>
          <t>Asia-Chennai Site Onsite Round 2017 - Asia-Chennai Site Onsite Round 2017</t>
        </is>
      </c>
      <c r="E698" s="2" t="n">
        <v>130</v>
      </c>
      <c r="F698" s="2" t="inlineStr">
        <is>
          <t>Vertex Cover</t>
        </is>
      </c>
      <c r="G698" s="2" t="inlineStr">
        <is>
          <t>VRTXCOVR</t>
        </is>
      </c>
      <c r="H698" s="2" t="inlineStr"/>
      <c r="I698" s="2" t="inlineStr">
        <is>
          <t>Hard</t>
        </is>
      </c>
      <c r="J698" s="3">
        <f>HYPERLINK("https://www.codechef.com/problems/VRTXCOVR", "https://www.codechef.com/problems/VRTXCOVR")</f>
        <v/>
      </c>
      <c r="K698" s="2" t="inlineStr"/>
      <c r="L698" s="2" t="inlineStr"/>
      <c r="M698" s="2" t="inlineStr"/>
      <c r="N698" s="2" t="inlineStr">
        <is>
          <t>No</t>
        </is>
      </c>
      <c r="O698" s="2" t="inlineStr">
        <is>
          <t>Unattempted</t>
        </is>
      </c>
    </row>
    <row r="699">
      <c r="A699" s="4" t="inlineStr">
        <is>
          <t>Other Practice Paths</t>
        </is>
      </c>
      <c r="B699" s="4" t="inlineStr">
        <is>
          <t>Prepare for ICPC - Past Year Problems</t>
        </is>
      </c>
      <c r="C699" s="4" t="inlineStr">
        <is>
          <t>Prepare for your next ICPC online or onsite round by practicing problems of past years. Get an understanding of the pattern of questions which are asked.</t>
        </is>
      </c>
      <c r="D699" s="4" t="inlineStr">
        <is>
          <t>Asia-Chennai Site Onsite Round 2017 - Asia-Chennai Site Onsite Round 2017</t>
        </is>
      </c>
      <c r="E699" s="4" t="n">
        <v>131</v>
      </c>
      <c r="F699" s="4" t="inlineStr">
        <is>
          <t>Chef and Deforestation</t>
        </is>
      </c>
      <c r="G699" s="4" t="inlineStr">
        <is>
          <t>DEFOREST</t>
        </is>
      </c>
      <c r="H699" s="4" t="inlineStr"/>
      <c r="I699" s="4" t="inlineStr">
        <is>
          <t>Hard</t>
        </is>
      </c>
      <c r="J699" s="5">
        <f>HYPERLINK("https://www.codechef.com/problems/DEFOREST", "https://www.codechef.com/problems/DEFOREST")</f>
        <v/>
      </c>
      <c r="K699" s="4" t="inlineStr"/>
      <c r="L699" s="4" t="inlineStr">
        <is>
          <t>Advanced Algorithms, Advanced Data Structures, Advanced Tree Structures, Coordinate Compression, Fenwick Trees, Pre processing, Segment Trees</t>
        </is>
      </c>
      <c r="M699" s="4" t="inlineStr"/>
      <c r="N699" s="4" t="inlineStr">
        <is>
          <t>No</t>
        </is>
      </c>
      <c r="O699" s="4" t="inlineStr">
        <is>
          <t>Unattempted</t>
        </is>
      </c>
    </row>
    <row r="700">
      <c r="A700" s="2" t="inlineStr">
        <is>
          <t>Other Practice Paths</t>
        </is>
      </c>
      <c r="B700" s="2" t="inlineStr">
        <is>
          <t>Prepare for ICPC - Past Year Problems</t>
        </is>
      </c>
      <c r="C700" s="2" t="inlineStr">
        <is>
          <t>Prepare for your next ICPC online or onsite round by practicing problems of past years. Get an understanding of the pattern of questions which are asked.</t>
        </is>
      </c>
      <c r="D700" s="2" t="inlineStr">
        <is>
          <t>Asia-Chennai Site Onsite Round 2017 - Asia-Chennai Site Onsite Round 2017</t>
        </is>
      </c>
      <c r="E700" s="2" t="n">
        <v>132</v>
      </c>
      <c r="F700" s="2" t="inlineStr">
        <is>
          <t>Codie Bird</t>
        </is>
      </c>
      <c r="G700" s="2" t="inlineStr">
        <is>
          <t>CODIE</t>
        </is>
      </c>
      <c r="H700" s="2" t="inlineStr"/>
      <c r="I700" s="2" t="inlineStr">
        <is>
          <t>Hard</t>
        </is>
      </c>
      <c r="J700" s="3">
        <f>HYPERLINK("https://www.codechef.com/problems/CODIE", "https://www.codechef.com/problems/CODIE")</f>
        <v/>
      </c>
      <c r="K700" s="2" t="inlineStr"/>
      <c r="L700" s="2" t="inlineStr">
        <is>
          <t>Expected Value, Mathematics, Matrices, Matrix Exponentiation, Matrix Multiplication, Probability</t>
        </is>
      </c>
      <c r="M700" s="2" t="inlineStr"/>
      <c r="N700" s="2" t="inlineStr">
        <is>
          <t>No</t>
        </is>
      </c>
      <c r="O700" s="2" t="inlineStr">
        <is>
          <t>Unattempted</t>
        </is>
      </c>
    </row>
    <row r="701">
      <c r="A701" s="4" t="inlineStr">
        <is>
          <t>Other Practice Paths</t>
        </is>
      </c>
      <c r="B701" s="4" t="inlineStr">
        <is>
          <t>Prepare for ICPC - Past Year Problems</t>
        </is>
      </c>
      <c r="C701" s="4" t="inlineStr">
        <is>
          <t>Prepare for your next ICPC online or onsite round by practicing problems of past years. Get an understanding of the pattern of questions which are asked.</t>
        </is>
      </c>
      <c r="D701" s="4" t="inlineStr">
        <is>
          <t>Asia-Chennai Site Onsite Round 2017 - Asia-Chennai Site Onsite Round 2017</t>
        </is>
      </c>
      <c r="E701" s="4" t="n">
        <v>133</v>
      </c>
      <c r="F701" s="4" t="inlineStr">
        <is>
          <t>Chef Counts Semi-BSTs</t>
        </is>
      </c>
      <c r="G701" s="4" t="inlineStr">
        <is>
          <t>MANCBST</t>
        </is>
      </c>
      <c r="H701" s="4" t="inlineStr"/>
      <c r="I701" s="4" t="inlineStr">
        <is>
          <t>Hard</t>
        </is>
      </c>
      <c r="J701" s="5">
        <f>HYPERLINK("https://www.codechef.com/problems/MANCBST", "https://www.codechef.com/problems/MANCBST")</f>
        <v/>
      </c>
      <c r="K701" s="4" t="inlineStr"/>
      <c r="L701" s="4" t="inlineStr"/>
      <c r="M701" s="4" t="inlineStr"/>
      <c r="N701" s="4" t="inlineStr">
        <is>
          <t>No</t>
        </is>
      </c>
      <c r="O701" s="4" t="inlineStr">
        <is>
          <t>Unattempted</t>
        </is>
      </c>
    </row>
    <row r="702">
      <c r="A702" s="2" t="inlineStr">
        <is>
          <t>Other Practice Paths</t>
        </is>
      </c>
      <c r="B702" s="2" t="inlineStr">
        <is>
          <t>Prepare for ICPC - Past Year Problems</t>
        </is>
      </c>
      <c r="C702" s="2" t="inlineStr">
        <is>
          <t>Prepare for your next ICPC online or onsite round by practicing problems of past years. Get an understanding of the pattern of questions which are asked.</t>
        </is>
      </c>
      <c r="D702" s="2" t="inlineStr">
        <is>
          <t>Asia-Kolkata Site Onsite Round 2017 - Asia-Kolkata Site Onsite Round 2017</t>
        </is>
      </c>
      <c r="E702" s="2" t="n">
        <v>134</v>
      </c>
      <c r="F702" s="2" t="inlineStr">
        <is>
          <t>J - Reached Safely Or Not</t>
        </is>
      </c>
      <c r="G702" s="2" t="inlineStr">
        <is>
          <t>ZUBREACH</t>
        </is>
      </c>
      <c r="H702" s="2" t="inlineStr"/>
      <c r="I702" s="2" t="inlineStr">
        <is>
          <t>Easy</t>
        </is>
      </c>
      <c r="J702" s="3">
        <f>HYPERLINK("https://www.codechef.com/problems/ZUBREACH", "https://www.codechef.com/problems/ZUBREACH")</f>
        <v/>
      </c>
      <c r="K702" s="2" t="inlineStr"/>
      <c r="L702" s="2" t="inlineStr"/>
      <c r="M702" s="2" t="inlineStr"/>
      <c r="N702" s="2" t="inlineStr">
        <is>
          <t>No</t>
        </is>
      </c>
      <c r="O702" s="2" t="inlineStr">
        <is>
          <t>Unattempted</t>
        </is>
      </c>
    </row>
    <row r="703">
      <c r="A703" s="4" t="inlineStr">
        <is>
          <t>Other Practice Paths</t>
        </is>
      </c>
      <c r="B703" s="4" t="inlineStr">
        <is>
          <t>Prepare for ICPC - Past Year Problems</t>
        </is>
      </c>
      <c r="C703" s="4" t="inlineStr">
        <is>
          <t>Prepare for your next ICPC online or onsite round by practicing problems of past years. Get an understanding of the pattern of questions which are asked.</t>
        </is>
      </c>
      <c r="D703" s="4" t="inlineStr">
        <is>
          <t>Asia-Kolkata Site Onsite Round 2017 - Asia-Kolkata Site Onsite Round 2017</t>
        </is>
      </c>
      <c r="E703" s="4" t="n">
        <v>135</v>
      </c>
      <c r="F703" s="4" t="inlineStr">
        <is>
          <t>D - Triangle Count</t>
        </is>
      </c>
      <c r="G703" s="4" t="inlineStr">
        <is>
          <t>ZUBTRCNT</t>
        </is>
      </c>
      <c r="H703" s="4" t="inlineStr"/>
      <c r="I703" s="4" t="inlineStr">
        <is>
          <t>Hard</t>
        </is>
      </c>
      <c r="J703" s="5">
        <f>HYPERLINK("https://www.codechef.com/problems/ZUBTRCNT", "https://www.codechef.com/problems/ZUBTRCNT")</f>
        <v/>
      </c>
      <c r="K703" s="4" t="inlineStr"/>
      <c r="L703" s="4" t="inlineStr"/>
      <c r="M703" s="4" t="inlineStr"/>
      <c r="N703" s="4" t="inlineStr">
        <is>
          <t>No</t>
        </is>
      </c>
      <c r="O703" s="4" t="inlineStr">
        <is>
          <t>Unattempted</t>
        </is>
      </c>
    </row>
    <row r="704">
      <c r="A704" s="2" t="inlineStr">
        <is>
          <t>Other Practice Paths</t>
        </is>
      </c>
      <c r="B704" s="2" t="inlineStr">
        <is>
          <t>Prepare for ICPC - Past Year Problems</t>
        </is>
      </c>
      <c r="C704" s="2" t="inlineStr">
        <is>
          <t>Prepare for your next ICPC online or onsite round by practicing problems of past years. Get an understanding of the pattern of questions which are asked.</t>
        </is>
      </c>
      <c r="D704" s="2" t="inlineStr">
        <is>
          <t>Asia-Kolkata Site Onsite Round 2017 - Asia-Kolkata Site Onsite Round 2017</t>
        </is>
      </c>
      <c r="E704" s="2" t="n">
        <v>136</v>
      </c>
      <c r="F704" s="2" t="inlineStr">
        <is>
          <t>A - Appearance Count</t>
        </is>
      </c>
      <c r="G704" s="2" t="inlineStr">
        <is>
          <t>ZUBAPCNT</t>
        </is>
      </c>
      <c r="H704" s="2" t="inlineStr"/>
      <c r="I704" s="2" t="inlineStr">
        <is>
          <t>Hard</t>
        </is>
      </c>
      <c r="J704" s="3">
        <f>HYPERLINK("https://www.codechef.com/problems/ZUBAPCNT", "https://www.codechef.com/problems/ZUBAPCNT")</f>
        <v/>
      </c>
      <c r="K704" s="2" t="inlineStr"/>
      <c r="L704" s="2" t="inlineStr"/>
      <c r="M704" s="2" t="inlineStr"/>
      <c r="N704" s="2" t="inlineStr">
        <is>
          <t>No</t>
        </is>
      </c>
      <c r="O704" s="2" t="inlineStr">
        <is>
          <t>Unattempted</t>
        </is>
      </c>
    </row>
    <row r="705">
      <c r="A705" s="4" t="inlineStr">
        <is>
          <t>Other Practice Paths</t>
        </is>
      </c>
      <c r="B705" s="4" t="inlineStr">
        <is>
          <t>Prepare for ICPC - Past Year Problems</t>
        </is>
      </c>
      <c r="C705" s="4" t="inlineStr">
        <is>
          <t>Prepare for your next ICPC online or onsite round by practicing problems of past years. Get an understanding of the pattern of questions which are asked.</t>
        </is>
      </c>
      <c r="D705" s="4" t="inlineStr">
        <is>
          <t>Asia-Kolkata Site Onsite Round 2017 - Asia-Kolkata Site Onsite Round 2017</t>
        </is>
      </c>
      <c r="E705" s="4" t="n">
        <v>137</v>
      </c>
      <c r="F705" s="4" t="inlineStr">
        <is>
          <t>C - Club of Riders</t>
        </is>
      </c>
      <c r="G705" s="4" t="inlineStr">
        <is>
          <t>ZUBRIDER</t>
        </is>
      </c>
      <c r="H705" s="4" t="inlineStr"/>
      <c r="I705" s="4" t="inlineStr">
        <is>
          <t>Medium</t>
        </is>
      </c>
      <c r="J705" s="5">
        <f>HYPERLINK("https://www.codechef.com/problems/ZUBRIDER", "https://www.codechef.com/problems/ZUBRIDER")</f>
        <v/>
      </c>
      <c r="K705" s="4" t="inlineStr"/>
      <c r="L705" s="4" t="inlineStr"/>
      <c r="M705" s="4" t="inlineStr"/>
      <c r="N705" s="4" t="inlineStr">
        <is>
          <t>No</t>
        </is>
      </c>
      <c r="O705" s="4" t="inlineStr">
        <is>
          <t>Unattempted</t>
        </is>
      </c>
    </row>
    <row r="706">
      <c r="A706" s="2" t="inlineStr">
        <is>
          <t>Other Practice Paths</t>
        </is>
      </c>
      <c r="B706" s="2" t="inlineStr">
        <is>
          <t>Prepare for ICPC - Past Year Problems</t>
        </is>
      </c>
      <c r="C706" s="2" t="inlineStr">
        <is>
          <t>Prepare for your next ICPC online or onsite round by practicing problems of past years. Get an understanding of the pattern of questions which are asked.</t>
        </is>
      </c>
      <c r="D706" s="2" t="inlineStr">
        <is>
          <t>Asia-Kolkata Site Onsite Round 2017 - Asia-Kolkata Site Onsite Round 2017</t>
        </is>
      </c>
      <c r="E706" s="2" t="n">
        <v>138</v>
      </c>
      <c r="F706" s="2" t="inlineStr">
        <is>
          <t>B - Get The Gold</t>
        </is>
      </c>
      <c r="G706" s="2" t="inlineStr">
        <is>
          <t>ZUBGOLD</t>
        </is>
      </c>
      <c r="H706" s="2" t="inlineStr"/>
      <c r="I706" s="2" t="inlineStr">
        <is>
          <t>Hard</t>
        </is>
      </c>
      <c r="J706" s="3">
        <f>HYPERLINK("https://www.codechef.com/problems/ZUBGOLD", "https://www.codechef.com/problems/ZUBGOLD")</f>
        <v/>
      </c>
      <c r="K706" s="2" t="inlineStr"/>
      <c r="L706" s="2" t="inlineStr"/>
      <c r="M706" s="2" t="inlineStr"/>
      <c r="N706" s="2" t="inlineStr">
        <is>
          <t>No</t>
        </is>
      </c>
      <c r="O706" s="2" t="inlineStr">
        <is>
          <t>Unattempted</t>
        </is>
      </c>
    </row>
    <row r="707">
      <c r="A707" s="4" t="inlineStr">
        <is>
          <t>Other Practice Paths</t>
        </is>
      </c>
      <c r="B707" s="4" t="inlineStr">
        <is>
          <t>Prepare for ICPC - Past Year Problems</t>
        </is>
      </c>
      <c r="C707" s="4" t="inlineStr">
        <is>
          <t>Prepare for your next ICPC online or onsite round by practicing problems of past years. Get an understanding of the pattern of questions which are asked.</t>
        </is>
      </c>
      <c r="D707" s="4" t="inlineStr">
        <is>
          <t>Asia-Kolkata Site Onsite Round 2017 - Asia-Kolkata Site Onsite Round 2017</t>
        </is>
      </c>
      <c r="E707" s="4" t="n">
        <v>139</v>
      </c>
      <c r="F707" s="4" t="inlineStr">
        <is>
          <t>E - Password Riddle</t>
        </is>
      </c>
      <c r="G707" s="4" t="inlineStr">
        <is>
          <t>ZUBPASSR</t>
        </is>
      </c>
      <c r="H707" s="4" t="inlineStr"/>
      <c r="I707" s="4" t="inlineStr">
        <is>
          <t>Hard</t>
        </is>
      </c>
      <c r="J707" s="5">
        <f>HYPERLINK("https://www.codechef.com/problems/ZUBPASSR", "https://www.codechef.com/problems/ZUBPASSR")</f>
        <v/>
      </c>
      <c r="K707" s="4" t="inlineStr"/>
      <c r="L707" s="4" t="inlineStr"/>
      <c r="M707" s="4" t="inlineStr"/>
      <c r="N707" s="4" t="inlineStr">
        <is>
          <t>No</t>
        </is>
      </c>
      <c r="O707" s="4" t="inlineStr">
        <is>
          <t>Unattempted</t>
        </is>
      </c>
    </row>
    <row r="708">
      <c r="A708" s="2" t="inlineStr">
        <is>
          <t>Other Practice Paths</t>
        </is>
      </c>
      <c r="B708" s="2" t="inlineStr">
        <is>
          <t>Prepare for ICPC - Past Year Problems</t>
        </is>
      </c>
      <c r="C708" s="2" t="inlineStr">
        <is>
          <t>Prepare for your next ICPC online or onsite round by practicing problems of past years. Get an understanding of the pattern of questions which are asked.</t>
        </is>
      </c>
      <c r="D708" s="2" t="inlineStr">
        <is>
          <t>Asia-Kolkata Site Onsite Round 2017 - Asia-Kolkata Site Onsite Round 2017</t>
        </is>
      </c>
      <c r="E708" s="2" t="n">
        <v>140</v>
      </c>
      <c r="F708" s="2" t="inlineStr">
        <is>
          <t>K - Raw Power</t>
        </is>
      </c>
      <c r="G708" s="2" t="inlineStr">
        <is>
          <t>RAWPOWER</t>
        </is>
      </c>
      <c r="H708" s="2" t="inlineStr"/>
      <c r="I708" s="2" t="inlineStr">
        <is>
          <t>Hard</t>
        </is>
      </c>
      <c r="J708" s="3">
        <f>HYPERLINK("https://www.codechef.com/problems/RAWPOWER", "https://www.codechef.com/problems/RAWPOWER")</f>
        <v/>
      </c>
      <c r="K708" s="2" t="inlineStr"/>
      <c r="L708" s="2" t="inlineStr"/>
      <c r="M708" s="2" t="inlineStr"/>
      <c r="N708" s="2" t="inlineStr">
        <is>
          <t>No</t>
        </is>
      </c>
      <c r="O708" s="2" t="inlineStr">
        <is>
          <t>Unattempted</t>
        </is>
      </c>
    </row>
    <row r="709">
      <c r="A709" s="4" t="inlineStr">
        <is>
          <t>Other Practice Paths</t>
        </is>
      </c>
      <c r="B709" s="4" t="inlineStr">
        <is>
          <t>Prepare for ICPC - Past Year Problems</t>
        </is>
      </c>
      <c r="C709" s="4" t="inlineStr">
        <is>
          <t>Prepare for your next ICPC online or onsite round by practicing problems of past years. Get an understanding of the pattern of questions which are asked.</t>
        </is>
      </c>
      <c r="D709" s="4" t="inlineStr">
        <is>
          <t>Asia-Kolkata Site Onsite Round 2017 - Asia-Kolkata Site Onsite Round 2017</t>
        </is>
      </c>
      <c r="E709" s="4" t="n">
        <v>141</v>
      </c>
      <c r="F709" s="4" t="inlineStr">
        <is>
          <t>F - Huge Number of Trees</t>
        </is>
      </c>
      <c r="G709" s="4" t="inlineStr">
        <is>
          <t>ZUBHTREE</t>
        </is>
      </c>
      <c r="H709" s="4" t="inlineStr"/>
      <c r="I709" s="4" t="inlineStr">
        <is>
          <t>Hard</t>
        </is>
      </c>
      <c r="J709" s="5">
        <f>HYPERLINK("https://www.codechef.com/problems/ZUBHTREE", "https://www.codechef.com/problems/ZUBHTREE")</f>
        <v/>
      </c>
      <c r="K709" s="4" t="inlineStr"/>
      <c r="L709" s="4" t="inlineStr"/>
      <c r="M709" s="4" t="inlineStr"/>
      <c r="N709" s="4" t="inlineStr">
        <is>
          <t>No</t>
        </is>
      </c>
      <c r="O709" s="4" t="inlineStr">
        <is>
          <t>Unattempted</t>
        </is>
      </c>
    </row>
    <row r="710">
      <c r="A710" s="2" t="inlineStr">
        <is>
          <t>Other Practice Paths</t>
        </is>
      </c>
      <c r="B710" s="2" t="inlineStr">
        <is>
          <t>Prepare for ICPC - Past Year Problems</t>
        </is>
      </c>
      <c r="C710" s="2" t="inlineStr">
        <is>
          <t>Prepare for your next ICPC online or onsite round by practicing problems of past years. Get an understanding of the pattern of questions which are asked.</t>
        </is>
      </c>
      <c r="D710" s="2" t="inlineStr">
        <is>
          <t>Asia-Kolkata Site Onsite Round 2017 - Asia-Kolkata Site Onsite Round 2017</t>
        </is>
      </c>
      <c r="E710" s="2" t="n">
        <v>142</v>
      </c>
      <c r="F710" s="2" t="inlineStr">
        <is>
          <t>I - Secrets</t>
        </is>
      </c>
      <c r="G710" s="2" t="inlineStr">
        <is>
          <t>ZUBSECRT</t>
        </is>
      </c>
      <c r="H710" s="2" t="inlineStr"/>
      <c r="I710" s="2" t="inlineStr">
        <is>
          <t>Hard</t>
        </is>
      </c>
      <c r="J710" s="3">
        <f>HYPERLINK("https://www.codechef.com/problems/ZUBSECRT", "https://www.codechef.com/problems/ZUBSECRT")</f>
        <v/>
      </c>
      <c r="K710" s="2" t="inlineStr"/>
      <c r="L710" s="2" t="inlineStr"/>
      <c r="M710" s="2" t="inlineStr"/>
      <c r="N710" s="2" t="inlineStr">
        <is>
          <t>No</t>
        </is>
      </c>
      <c r="O710" s="2" t="inlineStr">
        <is>
          <t>Unattempted</t>
        </is>
      </c>
    </row>
    <row r="711">
      <c r="A711" s="4" t="inlineStr">
        <is>
          <t>Other Practice Paths</t>
        </is>
      </c>
      <c r="B711" s="4" t="inlineStr">
        <is>
          <t>Prepare for ICPC - Past Year Problems</t>
        </is>
      </c>
      <c r="C711" s="4" t="inlineStr">
        <is>
          <t>Prepare for your next ICPC online or onsite round by practicing problems of past years. Get an understanding of the pattern of questions which are asked.</t>
        </is>
      </c>
      <c r="D711" s="4" t="inlineStr">
        <is>
          <t>Asia-Kolkata Site Onsite Round 2017 - Asia-Kolkata Site Onsite Round 2017</t>
        </is>
      </c>
      <c r="E711" s="4" t="n">
        <v>143</v>
      </c>
      <c r="F711" s="4" t="inlineStr">
        <is>
          <t>G - Palace of King</t>
        </is>
      </c>
      <c r="G711" s="4" t="inlineStr">
        <is>
          <t>ZUBPALK</t>
        </is>
      </c>
      <c r="H711" s="4" t="inlineStr"/>
      <c r="I711" s="4" t="inlineStr">
        <is>
          <t>Hard</t>
        </is>
      </c>
      <c r="J711" s="5">
        <f>HYPERLINK("https://www.codechef.com/problems/ZUBPALK", "https://www.codechef.com/problems/ZUBPALK")</f>
        <v/>
      </c>
      <c r="K711" s="4" t="inlineStr"/>
      <c r="L711" s="4" t="inlineStr"/>
      <c r="M711" s="4" t="inlineStr"/>
      <c r="N711" s="4" t="inlineStr">
        <is>
          <t>No</t>
        </is>
      </c>
      <c r="O711" s="4" t="inlineStr">
        <is>
          <t>Unattempted</t>
        </is>
      </c>
    </row>
    <row r="712">
      <c r="A712" s="2" t="inlineStr">
        <is>
          <t>Other Practice Paths</t>
        </is>
      </c>
      <c r="B712" s="2" t="inlineStr">
        <is>
          <t>Prepare for ICPC - Past Year Problems</t>
        </is>
      </c>
      <c r="C712" s="2" t="inlineStr">
        <is>
          <t>Prepare for your next ICPC online or onsite round by practicing problems of past years. Get an understanding of the pattern of questions which are asked.</t>
        </is>
      </c>
      <c r="D712" s="2" t="inlineStr">
        <is>
          <t>Asia-Kolkata Site Onsite Round 2017 - Asia-Kolkata Site Onsite Round 2017</t>
        </is>
      </c>
      <c r="E712" s="2" t="n">
        <v>144</v>
      </c>
      <c r="F712" s="2" t="inlineStr">
        <is>
          <t>H - Unpredictable Array</t>
        </is>
      </c>
      <c r="G712" s="2" t="inlineStr">
        <is>
          <t>ZUBSPOIL</t>
        </is>
      </c>
      <c r="H712" s="2" t="inlineStr"/>
      <c r="I712" s="2" t="inlineStr">
        <is>
          <t>Hard</t>
        </is>
      </c>
      <c r="J712" s="3">
        <f>HYPERLINK("https://www.codechef.com/problems/ZUBSPOIL", "https://www.codechef.com/problems/ZUBSPOIL")</f>
        <v/>
      </c>
      <c r="K712" s="2" t="inlineStr"/>
      <c r="L712" s="2" t="inlineStr"/>
      <c r="M712" s="2" t="inlineStr"/>
      <c r="N712" s="2" t="inlineStr">
        <is>
          <t>No</t>
        </is>
      </c>
      <c r="O712" s="2" t="inlineStr">
        <is>
          <t>Unattempted</t>
        </is>
      </c>
    </row>
    <row r="713">
      <c r="A713" s="4" t="inlineStr">
        <is>
          <t>Other Practice Paths</t>
        </is>
      </c>
      <c r="B713" s="4" t="inlineStr">
        <is>
          <t>Prepare for ICPC - Past Year Problems</t>
        </is>
      </c>
      <c r="C713" s="4" t="inlineStr">
        <is>
          <t>Prepare for your next ICPC online or onsite round by practicing problems of past years. Get an understanding of the pattern of questions which are asked.</t>
        </is>
      </c>
      <c r="D713" s="4" t="inlineStr">
        <is>
          <t>Asia India Regionals Online Round 2017 - Asia India Regionals Online Round 2017</t>
        </is>
      </c>
      <c r="E713" s="4" t="n">
        <v>145</v>
      </c>
      <c r="F713" s="4" t="inlineStr">
        <is>
          <t>Ordering teams</t>
        </is>
      </c>
      <c r="G713" s="4" t="inlineStr">
        <is>
          <t>ORDTEAMS</t>
        </is>
      </c>
      <c r="H713" s="4" t="inlineStr"/>
      <c r="I713" s="4" t="inlineStr">
        <is>
          <t>Medium</t>
        </is>
      </c>
      <c r="J713" s="5">
        <f>HYPERLINK("https://www.codechef.com/problems/ORDTEAMS", "https://www.codechef.com/problems/ORDTEAMS")</f>
        <v/>
      </c>
      <c r="K713" s="4" t="inlineStr"/>
      <c r="L713" s="4" t="inlineStr">
        <is>
          <t>Algorithms, Brute Force, Sorting</t>
        </is>
      </c>
      <c r="M713" s="4" t="inlineStr"/>
      <c r="N713" s="4" t="inlineStr">
        <is>
          <t>No</t>
        </is>
      </c>
      <c r="O713" s="4" t="inlineStr">
        <is>
          <t>Unattempted</t>
        </is>
      </c>
    </row>
    <row r="714">
      <c r="A714" s="2" t="inlineStr">
        <is>
          <t>Other Practice Paths</t>
        </is>
      </c>
      <c r="B714" s="2" t="inlineStr">
        <is>
          <t>Prepare for ICPC - Past Year Problems</t>
        </is>
      </c>
      <c r="C714" s="2" t="inlineStr">
        <is>
          <t>Prepare for your next ICPC online or onsite round by practicing problems of past years. Get an understanding of the pattern of questions which are asked.</t>
        </is>
      </c>
      <c r="D714" s="2" t="inlineStr">
        <is>
          <t>Asia India Regionals Online Round 2017 - Asia India Regionals Online Round 2017</t>
        </is>
      </c>
      <c r="E714" s="2" t="n">
        <v>146</v>
      </c>
      <c r="F714" s="2" t="inlineStr">
        <is>
          <t>Obtain Desired Standard Deviation</t>
        </is>
      </c>
      <c r="G714" s="2" t="inlineStr">
        <is>
          <t>STDDEV</t>
        </is>
      </c>
      <c r="H714" s="2" t="inlineStr"/>
      <c r="I714" s="2" t="inlineStr">
        <is>
          <t>Hard</t>
        </is>
      </c>
      <c r="J714" s="3">
        <f>HYPERLINK("https://www.codechef.com/problems/STDDEV", "https://www.codechef.com/problems/STDDEV")</f>
        <v/>
      </c>
      <c r="K714" s="2" t="inlineStr"/>
      <c r="L714" s="2" t="inlineStr"/>
      <c r="M714" s="2" t="inlineStr"/>
      <c r="N714" s="2" t="inlineStr">
        <is>
          <t>No</t>
        </is>
      </c>
      <c r="O714" s="2" t="inlineStr">
        <is>
          <t>Unattempted</t>
        </is>
      </c>
    </row>
    <row r="715">
      <c r="A715" s="4" t="inlineStr">
        <is>
          <t>Other Practice Paths</t>
        </is>
      </c>
      <c r="B715" s="4" t="inlineStr">
        <is>
          <t>Prepare for ICPC - Past Year Problems</t>
        </is>
      </c>
      <c r="C715" s="4" t="inlineStr">
        <is>
          <t>Prepare for your next ICPC online or onsite round by practicing problems of past years. Get an understanding of the pattern of questions which are asked.</t>
        </is>
      </c>
      <c r="D715" s="4" t="inlineStr">
        <is>
          <t>Asia India Regionals Online Round 2017 - Asia India Regionals Online Round 2017</t>
        </is>
      </c>
      <c r="E715" s="4" t="n">
        <v>147</v>
      </c>
      <c r="F715" s="4" t="inlineStr">
        <is>
          <t>Compression Algorithm</t>
        </is>
      </c>
      <c r="G715" s="4" t="inlineStr">
        <is>
          <t>COMPEXP</t>
        </is>
      </c>
      <c r="H715" s="4" t="inlineStr"/>
      <c r="I715" s="4" t="inlineStr">
        <is>
          <t>Hard</t>
        </is>
      </c>
      <c r="J715" s="5">
        <f>HYPERLINK("https://www.codechef.com/problems/COMPEXP", "https://www.codechef.com/problems/COMPEXP")</f>
        <v/>
      </c>
      <c r="K715" s="4" t="inlineStr"/>
      <c r="L715" s="4" t="inlineStr">
        <is>
          <t>Expected Value, Mathematics, Probability</t>
        </is>
      </c>
      <c r="M715" s="4" t="inlineStr"/>
      <c r="N715" s="4" t="inlineStr">
        <is>
          <t>No</t>
        </is>
      </c>
      <c r="O715" s="4" t="inlineStr">
        <is>
          <t>Unattempted</t>
        </is>
      </c>
    </row>
    <row r="716">
      <c r="A716" s="2" t="inlineStr">
        <is>
          <t>Other Practice Paths</t>
        </is>
      </c>
      <c r="B716" s="2" t="inlineStr">
        <is>
          <t>Prepare for ICPC - Past Year Problems</t>
        </is>
      </c>
      <c r="C716" s="2" t="inlineStr">
        <is>
          <t>Prepare for your next ICPC online or onsite round by practicing problems of past years. Get an understanding of the pattern of questions which are asked.</t>
        </is>
      </c>
      <c r="D716" s="2" t="inlineStr">
        <is>
          <t>Asia India Regionals Online Round 2017 - Asia India Regionals Online Round 2017</t>
        </is>
      </c>
      <c r="E716" s="2" t="n">
        <v>148</v>
      </c>
      <c r="F716" s="2" t="inlineStr">
        <is>
          <t>Modulo Equality</t>
        </is>
      </c>
      <c r="G716" s="2" t="inlineStr">
        <is>
          <t>EQUALMOD</t>
        </is>
      </c>
      <c r="H716" s="2" t="inlineStr"/>
      <c r="I716" s="2" t="inlineStr">
        <is>
          <t>Hard</t>
        </is>
      </c>
      <c r="J716" s="3">
        <f>HYPERLINK("https://www.codechef.com/problems/EQUALMOD", "https://www.codechef.com/problems/EQUALMOD")</f>
        <v/>
      </c>
      <c r="K716" s="2" t="inlineStr"/>
      <c r="L716" s="2" t="inlineStr">
        <is>
          <t>Algorithms, Data Structures, Hashmaps, Mathematics, Modular Arithmetic, Prefix Sum, Simple Algos, Sorting</t>
        </is>
      </c>
      <c r="M716" s="2" t="inlineStr"/>
      <c r="N716" s="2" t="inlineStr">
        <is>
          <t>No</t>
        </is>
      </c>
      <c r="O716" s="2" t="inlineStr">
        <is>
          <t>Unattempted</t>
        </is>
      </c>
    </row>
    <row r="717">
      <c r="A717" s="4" t="inlineStr">
        <is>
          <t>Other Practice Paths</t>
        </is>
      </c>
      <c r="B717" s="4" t="inlineStr">
        <is>
          <t>Prepare for ICPC - Past Year Problems</t>
        </is>
      </c>
      <c r="C717" s="4" t="inlineStr">
        <is>
          <t>Prepare for your next ICPC online or onsite round by practicing problems of past years. Get an understanding of the pattern of questions which are asked.</t>
        </is>
      </c>
      <c r="D717" s="4" t="inlineStr">
        <is>
          <t>Asia India Regionals Online Round 2017 - Asia India Regionals Online Round 2017</t>
        </is>
      </c>
      <c r="E717" s="4" t="n">
        <v>149</v>
      </c>
      <c r="F717" s="4" t="inlineStr">
        <is>
          <t>A tale of two trees</t>
        </is>
      </c>
      <c r="G717" s="4" t="inlineStr">
        <is>
          <t>TWOTREES</t>
        </is>
      </c>
      <c r="H717" s="4" t="inlineStr"/>
      <c r="I717" s="4" t="inlineStr">
        <is>
          <t>Hard</t>
        </is>
      </c>
      <c r="J717" s="5">
        <f>HYPERLINK("https://www.codechef.com/problems/TWOTREES", "https://www.codechef.com/problems/TWOTREES")</f>
        <v/>
      </c>
      <c r="K717" s="4" t="inlineStr"/>
      <c r="L717" s="4" t="inlineStr"/>
      <c r="M717" s="4" t="inlineStr"/>
      <c r="N717" s="4" t="inlineStr">
        <is>
          <t>No</t>
        </is>
      </c>
      <c r="O717" s="4" t="inlineStr">
        <is>
          <t>Unattempted</t>
        </is>
      </c>
    </row>
    <row r="718">
      <c r="A718" s="2" t="inlineStr">
        <is>
          <t>Other Practice Paths</t>
        </is>
      </c>
      <c r="B718" s="2" t="inlineStr">
        <is>
          <t>Prepare for ICPC - Past Year Problems</t>
        </is>
      </c>
      <c r="C718" s="2" t="inlineStr">
        <is>
          <t>Prepare for your next ICPC online or onsite round by practicing problems of past years. Get an understanding of the pattern of questions which are asked.</t>
        </is>
      </c>
      <c r="D718" s="2" t="inlineStr">
        <is>
          <t>Asia-Kharagpur Site Onsite Round 2017 - Asia-Kharagpur Site Onsite Round 2017</t>
        </is>
      </c>
      <c r="E718" s="2" t="n">
        <v>150</v>
      </c>
      <c r="F718" s="2" t="inlineStr">
        <is>
          <t>Uniform Strings</t>
        </is>
      </c>
      <c r="G718" s="2" t="inlineStr">
        <is>
          <t>STRLBP</t>
        </is>
      </c>
      <c r="H718" s="2" t="inlineStr"/>
      <c r="I718" s="2" t="inlineStr">
        <is>
          <t>Easy</t>
        </is>
      </c>
      <c r="J718" s="3">
        <f>HYPERLINK("https://www.codechef.com/problems/STRLBP", "https://www.codechef.com/problems/STRLBP")</f>
        <v/>
      </c>
      <c r="K718" s="2" t="inlineStr"/>
      <c r="L718" s="2" t="inlineStr"/>
      <c r="M718" s="2" t="inlineStr"/>
      <c r="N718" s="2" t="inlineStr">
        <is>
          <t>No</t>
        </is>
      </c>
      <c r="O718" s="2" t="inlineStr">
        <is>
          <t>Unattempted</t>
        </is>
      </c>
    </row>
    <row r="719">
      <c r="A719" s="4" t="inlineStr">
        <is>
          <t>Other Practice Paths</t>
        </is>
      </c>
      <c r="B719" s="4" t="inlineStr">
        <is>
          <t>Prepare for ICPC - Past Year Problems</t>
        </is>
      </c>
      <c r="C719" s="4" t="inlineStr">
        <is>
          <t>Prepare for your next ICPC online or onsite round by practicing problems of past years. Get an understanding of the pattern of questions which are asked.</t>
        </is>
      </c>
      <c r="D719" s="4" t="inlineStr">
        <is>
          <t>Asia-Kharagpur Site Onsite Round 2017 - Asia-Kharagpur Site Onsite Round 2017</t>
        </is>
      </c>
      <c r="E719" s="4" t="n">
        <v>151</v>
      </c>
      <c r="F719" s="4" t="inlineStr">
        <is>
          <t>Spam Classification Using Neural Net</t>
        </is>
      </c>
      <c r="G719" s="4" t="inlineStr">
        <is>
          <t>SPAMCLAS</t>
        </is>
      </c>
      <c r="H719" s="4" t="inlineStr"/>
      <c r="I719" s="4" t="inlineStr">
        <is>
          <t>Medium</t>
        </is>
      </c>
      <c r="J719" s="5">
        <f>HYPERLINK("https://www.codechef.com/problems/SPAMCLAS", "https://www.codechef.com/problems/SPAMCLAS")</f>
        <v/>
      </c>
      <c r="K719" s="4" t="inlineStr"/>
      <c r="L719" s="4" t="inlineStr"/>
      <c r="M719" s="4" t="inlineStr"/>
      <c r="N719" s="4" t="inlineStr">
        <is>
          <t>No</t>
        </is>
      </c>
      <c r="O719" s="4" t="inlineStr">
        <is>
          <t>Unattempted</t>
        </is>
      </c>
    </row>
    <row r="720">
      <c r="A720" s="2" t="inlineStr">
        <is>
          <t>Other Practice Paths</t>
        </is>
      </c>
      <c r="B720" s="2" t="inlineStr">
        <is>
          <t>Prepare for ICPC - Past Year Problems</t>
        </is>
      </c>
      <c r="C720" s="2" t="inlineStr">
        <is>
          <t>Prepare for your next ICPC online or onsite round by practicing problems of past years. Get an understanding of the pattern of questions which are asked.</t>
        </is>
      </c>
      <c r="D720" s="2" t="inlineStr">
        <is>
          <t>Asia-Kharagpur Site Onsite Round 2017 - Asia-Kharagpur Site Onsite Round 2017</t>
        </is>
      </c>
      <c r="E720" s="2" t="n">
        <v>152</v>
      </c>
      <c r="F720" s="2" t="inlineStr">
        <is>
          <t>Generating A Permutation</t>
        </is>
      </c>
      <c r="G720" s="2" t="inlineStr">
        <is>
          <t>GENPERM</t>
        </is>
      </c>
      <c r="H720" s="2" t="inlineStr"/>
      <c r="I720" s="2" t="inlineStr">
        <is>
          <t>Hard</t>
        </is>
      </c>
      <c r="J720" s="3">
        <f>HYPERLINK("https://www.codechef.com/problems/GENPERM", "https://www.codechef.com/problems/GENPERM")</f>
        <v/>
      </c>
      <c r="K720" s="2" t="inlineStr"/>
      <c r="L720" s="2" t="inlineStr">
        <is>
          <t>acm17kgp, architk, constructive, easy-medium, kgp17rol</t>
        </is>
      </c>
      <c r="M720" s="2" t="inlineStr"/>
      <c r="N720" s="2" t="inlineStr">
        <is>
          <t>No</t>
        </is>
      </c>
      <c r="O720" s="2" t="inlineStr">
        <is>
          <t>Unattempted</t>
        </is>
      </c>
    </row>
    <row r="721">
      <c r="A721" s="4" t="inlineStr">
        <is>
          <t>Other Practice Paths</t>
        </is>
      </c>
      <c r="B721" s="4" t="inlineStr">
        <is>
          <t>Prepare for ICPC - Past Year Problems</t>
        </is>
      </c>
      <c r="C721" s="4" t="inlineStr">
        <is>
          <t>Prepare for your next ICPC online or onsite round by practicing problems of past years. Get an understanding of the pattern of questions which are asked.</t>
        </is>
      </c>
      <c r="D721" s="4" t="inlineStr">
        <is>
          <t>Asia-Kharagpur Site Onsite Round 2017 - Asia-Kharagpur Site Onsite Round 2017</t>
        </is>
      </c>
      <c r="E721" s="4" t="n">
        <v>153</v>
      </c>
      <c r="F721" s="4" t="inlineStr">
        <is>
          <t>SAD Queries</t>
        </is>
      </c>
      <c r="G721" s="4" t="inlineStr">
        <is>
          <t>SADQ</t>
        </is>
      </c>
      <c r="H721" s="4" t="inlineStr"/>
      <c r="I721" s="4" t="inlineStr">
        <is>
          <t>Hard</t>
        </is>
      </c>
      <c r="J721" s="5">
        <f>HYPERLINK("https://www.codechef.com/problems/SADQ", "https://www.codechef.com/problems/SADQ")</f>
        <v/>
      </c>
      <c r="K721" s="4" t="inlineStr"/>
      <c r="L721" s="4" t="inlineStr"/>
      <c r="M721" s="4" t="inlineStr"/>
      <c r="N721" s="4" t="inlineStr">
        <is>
          <t>No</t>
        </is>
      </c>
      <c r="O721" s="4" t="inlineStr">
        <is>
          <t>Unattempted</t>
        </is>
      </c>
    </row>
    <row r="722">
      <c r="A722" s="2" t="inlineStr">
        <is>
          <t>Other Practice Paths</t>
        </is>
      </c>
      <c r="B722" s="2" t="inlineStr">
        <is>
          <t>Prepare for ICPC - Past Year Problems</t>
        </is>
      </c>
      <c r="C722" s="2" t="inlineStr">
        <is>
          <t>Prepare for your next ICPC online or onsite round by practicing problems of past years. Get an understanding of the pattern of questions which are asked.</t>
        </is>
      </c>
      <c r="D722" s="2" t="inlineStr">
        <is>
          <t>Asia-Kharagpur Site Onsite Round 2017 - Asia-Kharagpur Site Onsite Round 2017</t>
        </is>
      </c>
      <c r="E722" s="2" t="n">
        <v>154</v>
      </c>
      <c r="F722" s="2" t="inlineStr">
        <is>
          <t>Number Game</t>
        </is>
      </c>
      <c r="G722" s="2" t="inlineStr">
        <is>
          <t>NUMBGAME</t>
        </is>
      </c>
      <c r="H722" s="2" t="inlineStr"/>
      <c r="I722" s="2" t="inlineStr">
        <is>
          <t>Hard</t>
        </is>
      </c>
      <c r="J722" s="3">
        <f>HYPERLINK("https://www.codechef.com/problems/NUMBGAME", "https://www.codechef.com/problems/NUMBGAME")</f>
        <v/>
      </c>
      <c r="K722" s="2" t="inlineStr"/>
      <c r="L722" s="2" t="inlineStr">
        <is>
          <t>acm17kgp, balajiganapath, depth-first-search, graphs, kgp17rol, medium, number-theory</t>
        </is>
      </c>
      <c r="M722" s="2" t="inlineStr"/>
      <c r="N722" s="2" t="inlineStr">
        <is>
          <t>No</t>
        </is>
      </c>
      <c r="O722" s="2" t="inlineStr">
        <is>
          <t>Unattempted</t>
        </is>
      </c>
    </row>
    <row r="723">
      <c r="A723" s="4" t="inlineStr">
        <is>
          <t>Other Practice Paths</t>
        </is>
      </c>
      <c r="B723" s="4" t="inlineStr">
        <is>
          <t>Prepare for ICPC - Past Year Problems</t>
        </is>
      </c>
      <c r="C723" s="4" t="inlineStr">
        <is>
          <t>Prepare for your next ICPC online or onsite round by practicing problems of past years. Get an understanding of the pattern of questions which are asked.</t>
        </is>
      </c>
      <c r="D723" s="4" t="inlineStr">
        <is>
          <t>Asia-Kharagpur Site Onsite Round 2017 - Asia-Kharagpur Site Onsite Round 2017</t>
        </is>
      </c>
      <c r="E723" s="4" t="n">
        <v>155</v>
      </c>
      <c r="F723" s="4" t="inlineStr">
        <is>
          <t>Taxi Making Sharp Turns</t>
        </is>
      </c>
      <c r="G723" s="4" t="inlineStr">
        <is>
          <t>TAXITURN</t>
        </is>
      </c>
      <c r="H723" s="4" t="inlineStr"/>
      <c r="I723" s="4" t="inlineStr">
        <is>
          <t>Hard</t>
        </is>
      </c>
      <c r="J723" s="5">
        <f>HYPERLINK("https://www.codechef.com/problems/TAXITURN", "https://www.codechef.com/problems/TAXITURN")</f>
        <v/>
      </c>
      <c r="K723" s="4" t="inlineStr"/>
      <c r="L723" s="4" t="inlineStr"/>
      <c r="M723" s="4" t="inlineStr"/>
      <c r="N723" s="4" t="inlineStr">
        <is>
          <t>No</t>
        </is>
      </c>
      <c r="O723" s="4" t="inlineStr">
        <is>
          <t>Unattempted</t>
        </is>
      </c>
    </row>
    <row r="724">
      <c r="A724" s="2" t="inlineStr">
        <is>
          <t>Other Practice Paths</t>
        </is>
      </c>
      <c r="B724" s="2" t="inlineStr">
        <is>
          <t>Prepare for ICPC - Past Year Problems</t>
        </is>
      </c>
      <c r="C724" s="2" t="inlineStr">
        <is>
          <t>Prepare for your next ICPC online or onsite round by practicing problems of past years. Get an understanding of the pattern of questions which are asked.</t>
        </is>
      </c>
      <c r="D724" s="2" t="inlineStr">
        <is>
          <t>Asia-Kharagpur Site Onsite Round 2017 - Asia-Kharagpur Site Onsite Round 2017</t>
        </is>
      </c>
      <c r="E724" s="2" t="n">
        <v>156</v>
      </c>
      <c r="F724" s="2" t="inlineStr">
        <is>
          <t>Non Overlapping Segments</t>
        </is>
      </c>
      <c r="G724" s="2" t="inlineStr">
        <is>
          <t>NONOVSEG</t>
        </is>
      </c>
      <c r="H724" s="2" t="inlineStr"/>
      <c r="I724" s="2" t="inlineStr">
        <is>
          <t>Hard</t>
        </is>
      </c>
      <c r="J724" s="3">
        <f>HYPERLINK("https://www.codechef.com/problems/NONOVSEG", "https://www.codechef.com/problems/NONOVSEG")</f>
        <v/>
      </c>
      <c r="K724" s="2" t="inlineStr"/>
      <c r="L724" s="2" t="inlineStr">
        <is>
          <t>Algorithms, Dynamic Programming, Sorting</t>
        </is>
      </c>
      <c r="M724" s="2" t="inlineStr"/>
      <c r="N724" s="2" t="inlineStr">
        <is>
          <t>No</t>
        </is>
      </c>
      <c r="O724" s="2" t="inlineStr">
        <is>
          <t>Unattempted</t>
        </is>
      </c>
    </row>
    <row r="725">
      <c r="A725" s="4" t="inlineStr">
        <is>
          <t>Other Practice Paths</t>
        </is>
      </c>
      <c r="B725" s="4" t="inlineStr">
        <is>
          <t>Prepare for ICPC - Past Year Problems</t>
        </is>
      </c>
      <c r="C725" s="4" t="inlineStr">
        <is>
          <t>Prepare for your next ICPC online or onsite round by practicing problems of past years. Get an understanding of the pattern of questions which are asked.</t>
        </is>
      </c>
      <c r="D725" s="4" t="inlineStr">
        <is>
          <t>Asia-Kharagpur Site Onsite Round 2017 - Asia-Kharagpur Site Onsite Round 2017</t>
        </is>
      </c>
      <c r="E725" s="4" t="n">
        <v>157</v>
      </c>
      <c r="F725" s="4" t="inlineStr">
        <is>
          <t>Chef and XOR Queries</t>
        </is>
      </c>
      <c r="G725" s="4" t="inlineStr">
        <is>
          <t>XORQUERY</t>
        </is>
      </c>
      <c r="H725" s="4" t="inlineStr"/>
      <c r="I725" s="4" t="inlineStr">
        <is>
          <t>Hard</t>
        </is>
      </c>
      <c r="J725" s="5">
        <f>HYPERLINK("https://www.codechef.com/problems/XORQUERY", "https://www.codechef.com/problems/XORQUERY")</f>
        <v/>
      </c>
      <c r="K725" s="4" t="inlineStr"/>
      <c r="L725" s="4" t="inlineStr"/>
      <c r="M725" s="4" t="inlineStr"/>
      <c r="N725" s="4" t="inlineStr">
        <is>
          <t>No</t>
        </is>
      </c>
      <c r="O725" s="4" t="inlineStr">
        <is>
          <t>Unattempted</t>
        </is>
      </c>
    </row>
    <row r="726">
      <c r="A726" s="2" t="inlineStr">
        <is>
          <t>Other Practice Paths</t>
        </is>
      </c>
      <c r="B726" s="2" t="inlineStr">
        <is>
          <t>Prepare for ICPC - Past Year Problems</t>
        </is>
      </c>
      <c r="C726" s="2" t="inlineStr">
        <is>
          <t>Prepare for your next ICPC online or onsite round by practicing problems of past years. Get an understanding of the pattern of questions which are asked.</t>
        </is>
      </c>
      <c r="D726" s="2" t="inlineStr">
        <is>
          <t>Asia-Kharagpur Site Onsite Round 2017 - Asia-Kharagpur Site Onsite Round 2017</t>
        </is>
      </c>
      <c r="E726" s="2" t="n">
        <v>158</v>
      </c>
      <c r="F726" s="2" t="inlineStr">
        <is>
          <t>Science Fair</t>
        </is>
      </c>
      <c r="G726" s="2" t="inlineStr">
        <is>
          <t>SCIENCEF</t>
        </is>
      </c>
      <c r="H726" s="2" t="inlineStr"/>
      <c r="I726" s="2" t="inlineStr">
        <is>
          <t>Hard</t>
        </is>
      </c>
      <c r="J726" s="3">
        <f>HYPERLINK("https://www.codechef.com/problems/SCIENCEF", "https://www.codechef.com/problems/SCIENCEF")</f>
        <v/>
      </c>
      <c r="K726" s="2" t="inlineStr"/>
      <c r="L726" s="2" t="inlineStr"/>
      <c r="M726" s="2" t="inlineStr"/>
      <c r="N726" s="2" t="inlineStr">
        <is>
          <t>No</t>
        </is>
      </c>
      <c r="O726" s="2" t="inlineStr">
        <is>
          <t>Unattempted</t>
        </is>
      </c>
    </row>
    <row r="727">
      <c r="A727" s="4" t="inlineStr">
        <is>
          <t>Other Practice Paths</t>
        </is>
      </c>
      <c r="B727" s="4" t="inlineStr">
        <is>
          <t>Prepare for ICPC - Past Year Problems</t>
        </is>
      </c>
      <c r="C727" s="4" t="inlineStr">
        <is>
          <t>Prepare for your next ICPC online or onsite round by practicing problems of past years. Get an understanding of the pattern of questions which are asked.</t>
        </is>
      </c>
      <c r="D727" s="4" t="inlineStr">
        <is>
          <t>Asia-Kharagpur Site Onsite Round 2017 - Asia-Kharagpur Site Onsite Round 2017</t>
        </is>
      </c>
      <c r="E727" s="4" t="n">
        <v>159</v>
      </c>
      <c r="F727" s="4" t="inlineStr">
        <is>
          <t>Black Discs</t>
        </is>
      </c>
      <c r="G727" s="4" t="inlineStr">
        <is>
          <t>DISCAREA</t>
        </is>
      </c>
      <c r="H727" s="4" t="inlineStr"/>
      <c r="I727" s="4" t="inlineStr">
        <is>
          <t>Hard</t>
        </is>
      </c>
      <c r="J727" s="5">
        <f>HYPERLINK("https://www.codechef.com/problems/DISCAREA", "https://www.codechef.com/problems/DISCAREA")</f>
        <v/>
      </c>
      <c r="K727" s="4" t="inlineStr"/>
      <c r="L727" s="4" t="inlineStr">
        <is>
          <t>acm17kgp, convex-hull, geometry, hard, kgp17rol, monte-carlo, triveni</t>
        </is>
      </c>
      <c r="M727" s="4" t="inlineStr"/>
      <c r="N727" s="4" t="inlineStr">
        <is>
          <t>No</t>
        </is>
      </c>
      <c r="O727" s="4" t="inlineStr">
        <is>
          <t>Unattempted</t>
        </is>
      </c>
    </row>
    <row r="728">
      <c r="A728" s="2" t="inlineStr">
        <is>
          <t>Other Practice Paths</t>
        </is>
      </c>
      <c r="B728" s="2" t="inlineStr">
        <is>
          <t>Prepare for ICPC - Past Year Problems</t>
        </is>
      </c>
      <c r="C728" s="2" t="inlineStr">
        <is>
          <t>Prepare for your next ICPC online or onsite round by practicing problems of past years. Get an understanding of the pattern of questions which are asked.</t>
        </is>
      </c>
      <c r="D728" s="2" t="inlineStr">
        <is>
          <t>Asia-Kolkata Site Onsite Round 2016 - Asia-Kolkata Site Onsite Round 2016</t>
        </is>
      </c>
      <c r="E728" s="2" t="n">
        <v>160</v>
      </c>
      <c r="F728" s="2" t="inlineStr">
        <is>
          <t>Extreme Encoding</t>
        </is>
      </c>
      <c r="G728" s="2" t="inlineStr">
        <is>
          <t>KOL16B</t>
        </is>
      </c>
      <c r="H728" s="2" t="inlineStr"/>
      <c r="I728" s="2" t="inlineStr">
        <is>
          <t>Medium</t>
        </is>
      </c>
      <c r="J728" s="3">
        <f>HYPERLINK("https://www.codechef.com/problems/KOL16B", "https://www.codechef.com/problems/KOL16B")</f>
        <v/>
      </c>
      <c r="K728" s="2" t="inlineStr"/>
      <c r="L728" s="2" t="inlineStr">
        <is>
          <t>Algorithms, Bit Manipulation, Mathematics, Observation</t>
        </is>
      </c>
      <c r="M728" s="2" t="inlineStr"/>
      <c r="N728" s="2" t="inlineStr">
        <is>
          <t>No</t>
        </is>
      </c>
      <c r="O728" s="2" t="inlineStr">
        <is>
          <t>Unattempted</t>
        </is>
      </c>
    </row>
    <row r="729">
      <c r="A729" s="4" t="inlineStr">
        <is>
          <t>Other Practice Paths</t>
        </is>
      </c>
      <c r="B729" s="4" t="inlineStr">
        <is>
          <t>Prepare for ICPC - Past Year Problems</t>
        </is>
      </c>
      <c r="C729" s="4" t="inlineStr">
        <is>
          <t>Prepare for your next ICPC online or onsite round by practicing problems of past years. Get an understanding of the pattern of questions which are asked.</t>
        </is>
      </c>
      <c r="D729" s="4" t="inlineStr">
        <is>
          <t>Asia-Kolkata Site Onsite Round 2016 - Asia-Kolkata Site Onsite Round 2016</t>
        </is>
      </c>
      <c r="E729" s="4" t="n">
        <v>161</v>
      </c>
      <c r="F729" s="4" t="inlineStr">
        <is>
          <t>Quentin Tarantino</t>
        </is>
      </c>
      <c r="G729" s="4" t="inlineStr">
        <is>
          <t>KOL16J</t>
        </is>
      </c>
      <c r="H729" s="4" t="inlineStr"/>
      <c r="I729" s="4" t="inlineStr">
        <is>
          <t>Easy</t>
        </is>
      </c>
      <c r="J729" s="5">
        <f>HYPERLINK("https://www.codechef.com/problems/KOL16J", "https://www.codechef.com/problems/KOL16J")</f>
        <v/>
      </c>
      <c r="K729" s="4" t="inlineStr"/>
      <c r="L729" s="4" t="inlineStr">
        <is>
          <t>Algorithms, Implementation, Sorting</t>
        </is>
      </c>
      <c r="M729" s="4" t="inlineStr"/>
      <c r="N729" s="4" t="inlineStr">
        <is>
          <t>No</t>
        </is>
      </c>
      <c r="O729" s="4" t="inlineStr">
        <is>
          <t>Unattempted</t>
        </is>
      </c>
    </row>
    <row r="730">
      <c r="A730" s="2" t="inlineStr">
        <is>
          <t>Other Practice Paths</t>
        </is>
      </c>
      <c r="B730" s="2" t="inlineStr">
        <is>
          <t>Prepare for ICPC - Past Year Problems</t>
        </is>
      </c>
      <c r="C730" s="2" t="inlineStr">
        <is>
          <t>Prepare for your next ICPC online or onsite round by practicing problems of past years. Get an understanding of the pattern of questions which are asked.</t>
        </is>
      </c>
      <c r="D730" s="2" t="inlineStr">
        <is>
          <t>Asia-Kolkata Site Onsite Round 2016 - Asia-Kolkata Site Onsite Round 2016</t>
        </is>
      </c>
      <c r="E730" s="2" t="n">
        <v>162</v>
      </c>
      <c r="F730" s="2" t="inlineStr">
        <is>
          <t>Mr Wireless</t>
        </is>
      </c>
      <c r="G730" s="2" t="inlineStr">
        <is>
          <t>KOL16H</t>
        </is>
      </c>
      <c r="H730" s="2" t="inlineStr"/>
      <c r="I730" s="2" t="inlineStr">
        <is>
          <t>Hard</t>
        </is>
      </c>
      <c r="J730" s="3">
        <f>HYPERLINK("https://www.codechef.com/problems/KOL16H", "https://www.codechef.com/problems/KOL16H")</f>
        <v/>
      </c>
      <c r="K730" s="2" t="inlineStr"/>
      <c r="L730" s="2" t="inlineStr">
        <is>
          <t>Binary, Gray code, Mathematics, Number System</t>
        </is>
      </c>
      <c r="M730" s="2" t="inlineStr"/>
      <c r="N730" s="2" t="inlineStr">
        <is>
          <t>No</t>
        </is>
      </c>
      <c r="O730" s="2" t="inlineStr">
        <is>
          <t>Unattempted</t>
        </is>
      </c>
    </row>
    <row r="731">
      <c r="A731" s="4" t="inlineStr">
        <is>
          <t>Other Practice Paths</t>
        </is>
      </c>
      <c r="B731" s="4" t="inlineStr">
        <is>
          <t>Prepare for ICPC - Past Year Problems</t>
        </is>
      </c>
      <c r="C731" s="4" t="inlineStr">
        <is>
          <t>Prepare for your next ICPC online or onsite round by practicing problems of past years. Get an understanding of the pattern of questions which are asked.</t>
        </is>
      </c>
      <c r="D731" s="4" t="inlineStr">
        <is>
          <t>Asia-Kolkata Site Onsite Round 2016 - Asia-Kolkata Site Onsite Round 2016</t>
        </is>
      </c>
      <c r="E731" s="4" t="n">
        <v>163</v>
      </c>
      <c r="F731" s="4" t="inlineStr">
        <is>
          <t>Precious Stones</t>
        </is>
      </c>
      <c r="G731" s="4" t="inlineStr">
        <is>
          <t>KOL16F</t>
        </is>
      </c>
      <c r="H731" s="4" t="inlineStr"/>
      <c r="I731" s="4" t="inlineStr">
        <is>
          <t>Hard</t>
        </is>
      </c>
      <c r="J731" s="5">
        <f>HYPERLINK("https://www.codechef.com/problems/KOL16F", "https://www.codechef.com/problems/KOL16F")</f>
        <v/>
      </c>
      <c r="K731" s="4" t="inlineStr"/>
      <c r="L731" s="4" t="inlineStr">
        <is>
          <t>Algorithms, Basic Programming Concepts, Case work, Conditional Statements, Constructive, Loops, Observation, Sorting, Special, ad-hoc</t>
        </is>
      </c>
      <c r="M731" s="4" t="inlineStr"/>
      <c r="N731" s="4" t="inlineStr">
        <is>
          <t>No</t>
        </is>
      </c>
      <c r="O731" s="4" t="inlineStr">
        <is>
          <t>Unattempted</t>
        </is>
      </c>
    </row>
    <row r="732">
      <c r="A732" s="2" t="inlineStr">
        <is>
          <t>Other Practice Paths</t>
        </is>
      </c>
      <c r="B732" s="2" t="inlineStr">
        <is>
          <t>Prepare for ICPC - Past Year Problems</t>
        </is>
      </c>
      <c r="C732" s="2" t="inlineStr">
        <is>
          <t>Prepare for your next ICPC online or onsite round by practicing problems of past years. Get an understanding of the pattern of questions which are asked.</t>
        </is>
      </c>
      <c r="D732" s="2" t="inlineStr">
        <is>
          <t>Asia-Kolkata Site Onsite Round 2016 - Asia-Kolkata Site Onsite Round 2016</t>
        </is>
      </c>
      <c r="E732" s="2" t="n">
        <v>164</v>
      </c>
      <c r="F732" s="2" t="inlineStr">
        <is>
          <t>Divide Me Please</t>
        </is>
      </c>
      <c r="G732" s="2" t="inlineStr">
        <is>
          <t>KOL16E</t>
        </is>
      </c>
      <c r="H732" s="2" t="inlineStr"/>
      <c r="I732" s="2" t="inlineStr">
        <is>
          <t>Hard</t>
        </is>
      </c>
      <c r="J732" s="3">
        <f>HYPERLINK("https://www.codechef.com/problems/KOL16E", "https://www.codechef.com/problems/KOL16E")</f>
        <v/>
      </c>
      <c r="K732" s="2" t="inlineStr"/>
      <c r="L732" s="2" t="inlineStr">
        <is>
          <t>Fermat's Little Theorem, Mathematics, Modular Arithmetic, Modulo Multiplicative Inverse</t>
        </is>
      </c>
      <c r="M732" s="2" t="inlineStr"/>
      <c r="N732" s="2" t="inlineStr">
        <is>
          <t>No</t>
        </is>
      </c>
      <c r="O732" s="2" t="inlineStr">
        <is>
          <t>Unattempted</t>
        </is>
      </c>
    </row>
    <row r="733">
      <c r="A733" s="4" t="inlineStr">
        <is>
          <t>Other Practice Paths</t>
        </is>
      </c>
      <c r="B733" s="4" t="inlineStr">
        <is>
          <t>Prepare for ICPC - Past Year Problems</t>
        </is>
      </c>
      <c r="C733" s="4" t="inlineStr">
        <is>
          <t>Prepare for your next ICPC online or onsite round by practicing problems of past years. Get an understanding of the pattern of questions which are asked.</t>
        </is>
      </c>
      <c r="D733" s="4" t="inlineStr">
        <is>
          <t>Asia-Kolkata Site Onsite Round 2016 - Asia-Kolkata Site Onsite Round 2016</t>
        </is>
      </c>
      <c r="E733" s="4" t="n">
        <v>165</v>
      </c>
      <c r="F733" s="4" t="inlineStr">
        <is>
          <t>Chef and Points</t>
        </is>
      </c>
      <c r="G733" s="4" t="inlineStr">
        <is>
          <t>KOL16K</t>
        </is>
      </c>
      <c r="H733" s="4" t="inlineStr"/>
      <c r="I733" s="4" t="inlineStr">
        <is>
          <t>Hard</t>
        </is>
      </c>
      <c r="J733" s="5">
        <f>HYPERLINK("https://www.codechef.com/problems/KOL16K", "https://www.codechef.com/problems/KOL16K")</f>
        <v/>
      </c>
      <c r="K733" s="4" t="inlineStr"/>
      <c r="L733" s="4" t="inlineStr">
        <is>
          <t>Advanced Algorithms, Algorithms, Binary Search, Dynamic Programming, Geometry, Mathematics, Pre processing, Searching, Sorting</t>
        </is>
      </c>
      <c r="M733" s="4" t="inlineStr"/>
      <c r="N733" s="4" t="inlineStr">
        <is>
          <t>No</t>
        </is>
      </c>
      <c r="O733" s="4" t="inlineStr">
        <is>
          <t>Unattempted</t>
        </is>
      </c>
    </row>
    <row r="734">
      <c r="A734" s="2" t="inlineStr">
        <is>
          <t>Other Practice Paths</t>
        </is>
      </c>
      <c r="B734" s="2" t="inlineStr">
        <is>
          <t>Prepare for ICPC - Past Year Problems</t>
        </is>
      </c>
      <c r="C734" s="2" t="inlineStr">
        <is>
          <t>Prepare for your next ICPC online or onsite round by practicing problems of past years. Get an understanding of the pattern of questions which are asked.</t>
        </is>
      </c>
      <c r="D734" s="2" t="inlineStr">
        <is>
          <t>Asia-Kolkata Site Onsite Round 2016 - Asia-Kolkata Site Onsite Round 2016</t>
        </is>
      </c>
      <c r="E734" s="2" t="n">
        <v>166</v>
      </c>
      <c r="F734" s="2" t="inlineStr">
        <is>
          <t>Playing World War II</t>
        </is>
      </c>
      <c r="G734" s="2" t="inlineStr">
        <is>
          <t>KOL16A</t>
        </is>
      </c>
      <c r="H734" s="2" t="inlineStr"/>
      <c r="I734" s="2" t="inlineStr">
        <is>
          <t>Hard</t>
        </is>
      </c>
      <c r="J734" s="3">
        <f>HYPERLINK("https://www.codechef.com/problems/KOL16A", "https://www.codechef.com/problems/KOL16A")</f>
        <v/>
      </c>
      <c r="K734" s="2" t="inlineStr"/>
      <c r="L734" s="2" t="inlineStr">
        <is>
          <t>Algorithms, DP Approach, Dynamic Programming, Memoization, Recursion</t>
        </is>
      </c>
      <c r="M734" s="2" t="inlineStr"/>
      <c r="N734" s="2" t="inlineStr">
        <is>
          <t>No</t>
        </is>
      </c>
      <c r="O734" s="2" t="inlineStr">
        <is>
          <t>Unattempted</t>
        </is>
      </c>
    </row>
    <row r="735">
      <c r="A735" s="4" t="inlineStr">
        <is>
          <t>Other Practice Paths</t>
        </is>
      </c>
      <c r="B735" s="4" t="inlineStr">
        <is>
          <t>Prepare for ICPC - Past Year Problems</t>
        </is>
      </c>
      <c r="C735" s="4" t="inlineStr">
        <is>
          <t>Prepare for your next ICPC online or onsite round by practicing problems of past years. Get an understanding of the pattern of questions which are asked.</t>
        </is>
      </c>
      <c r="D735" s="4" t="inlineStr">
        <is>
          <t>Asia-Kolkata Site Onsite Round 2016 - Asia-Kolkata Site Onsite Round 2016</t>
        </is>
      </c>
      <c r="E735" s="4" t="n">
        <v>167</v>
      </c>
      <c r="F735" s="4" t="inlineStr">
        <is>
          <t>Optimal BST Revisited</t>
        </is>
      </c>
      <c r="G735" s="4" t="inlineStr">
        <is>
          <t>KOL16L</t>
        </is>
      </c>
      <c r="H735" s="4" t="inlineStr"/>
      <c r="I735" s="4" t="inlineStr">
        <is>
          <t>Hard</t>
        </is>
      </c>
      <c r="J735" s="5">
        <f>HYPERLINK("https://www.codechef.com/problems/KOL16L", "https://www.codechef.com/problems/KOL16L")</f>
        <v/>
      </c>
      <c r="K735" s="4" t="inlineStr"/>
      <c r="L735" s="4" t="inlineStr">
        <is>
          <t>Algorithms, Binary Search Tree, Data Structures, Dynamic Programming, Prefix Sum, Simple Algos, Tree Data Structure</t>
        </is>
      </c>
      <c r="M735" s="4" t="inlineStr"/>
      <c r="N735" s="4" t="inlineStr">
        <is>
          <t>No</t>
        </is>
      </c>
      <c r="O735" s="4" t="inlineStr">
        <is>
          <t>Unattempted</t>
        </is>
      </c>
    </row>
    <row r="736">
      <c r="A736" s="2" t="inlineStr">
        <is>
          <t>Other Practice Paths</t>
        </is>
      </c>
      <c r="B736" s="2" t="inlineStr">
        <is>
          <t>Prepare for ICPC - Past Year Problems</t>
        </is>
      </c>
      <c r="C736" s="2" t="inlineStr">
        <is>
          <t>Prepare for your next ICPC online or onsite round by practicing problems of past years. Get an understanding of the pattern of questions which are asked.</t>
        </is>
      </c>
      <c r="D736" s="2" t="inlineStr">
        <is>
          <t>Asia-Kolkata Site Onsite Round 2016 - Asia-Kolkata Site Onsite Round 2016</t>
        </is>
      </c>
      <c r="E736" s="2" t="n">
        <v>168</v>
      </c>
      <c r="F736" s="2" t="inlineStr">
        <is>
          <t>Zeroes VII</t>
        </is>
      </c>
      <c r="G736" s="2" t="inlineStr">
        <is>
          <t>KOL16C</t>
        </is>
      </c>
      <c r="H736" s="2" t="inlineStr"/>
      <c r="I736" s="2" t="inlineStr">
        <is>
          <t>Hard</t>
        </is>
      </c>
      <c r="J736" s="3">
        <f>HYPERLINK("https://www.codechef.com/problems/KOL16C", "https://www.codechef.com/problems/KOL16C")</f>
        <v/>
      </c>
      <c r="K736" s="2" t="inlineStr"/>
      <c r="L736" s="2" t="inlineStr">
        <is>
          <t>Algorithms, Binary Search, Mathematics, Number Theory, Searching, Sieve of Eratosthenes</t>
        </is>
      </c>
      <c r="M736" s="2" t="inlineStr"/>
      <c r="N736" s="2" t="inlineStr">
        <is>
          <t>No</t>
        </is>
      </c>
      <c r="O736" s="2" t="inlineStr">
        <is>
          <t>Unattempted</t>
        </is>
      </c>
    </row>
    <row r="737">
      <c r="A737" s="4" t="inlineStr">
        <is>
          <t>Other Practice Paths</t>
        </is>
      </c>
      <c r="B737" s="4" t="inlineStr">
        <is>
          <t>Prepare for ICPC - Past Year Problems</t>
        </is>
      </c>
      <c r="C737" s="4" t="inlineStr">
        <is>
          <t>Prepare for your next ICPC online or onsite round by practicing problems of past years. Get an understanding of the pattern of questions which are asked.</t>
        </is>
      </c>
      <c r="D737" s="4" t="inlineStr">
        <is>
          <t>Asia-Kolkata Site Onsite Round 2016 - Asia-Kolkata Site Onsite Round 2016</t>
        </is>
      </c>
      <c r="E737" s="4" t="n">
        <v>169</v>
      </c>
      <c r="F737" s="4" t="inlineStr">
        <is>
          <t>Men and Horses</t>
        </is>
      </c>
      <c r="G737" s="4" t="inlineStr">
        <is>
          <t>KOL16D</t>
        </is>
      </c>
      <c r="H737" s="4" t="inlineStr"/>
      <c r="I737" s="4" t="inlineStr">
        <is>
          <t>Hard</t>
        </is>
      </c>
      <c r="J737" s="5">
        <f>HYPERLINK("https://www.codechef.com/problems/KOL16D", "https://www.codechef.com/problems/KOL16D")</f>
        <v/>
      </c>
      <c r="K737" s="4" t="inlineStr"/>
      <c r="L737" s="4" t="inlineStr">
        <is>
          <t>Algorithms, Constructive, Mathematics, Physics, Special, ad-hoc</t>
        </is>
      </c>
      <c r="M737" s="4" t="inlineStr"/>
      <c r="N737" s="4" t="inlineStr">
        <is>
          <t>No</t>
        </is>
      </c>
      <c r="O737" s="4" t="inlineStr">
        <is>
          <t>Unattempted</t>
        </is>
      </c>
    </row>
    <row r="738">
      <c r="A738" s="2" t="inlineStr">
        <is>
          <t>Other Practice Paths</t>
        </is>
      </c>
      <c r="B738" s="2" t="inlineStr">
        <is>
          <t>Prepare for ICPC - Past Year Problems</t>
        </is>
      </c>
      <c r="C738" s="2" t="inlineStr">
        <is>
          <t>Prepare for your next ICPC online or onsite round by practicing problems of past years. Get an understanding of the pattern of questions which are asked.</t>
        </is>
      </c>
      <c r="D738" s="2" t="inlineStr">
        <is>
          <t>Asia-Kolkata Site Onsite Round 2016 - Asia-Kolkata Site Onsite Round 2016</t>
        </is>
      </c>
      <c r="E738" s="2" t="n">
        <v>170</v>
      </c>
      <c r="F738" s="2" t="inlineStr">
        <is>
          <t>Roads</t>
        </is>
      </c>
      <c r="G738" s="2" t="inlineStr">
        <is>
          <t>KOL16I</t>
        </is>
      </c>
      <c r="H738" s="2" t="inlineStr"/>
      <c r="I738" s="2" t="inlineStr">
        <is>
          <t>Hard</t>
        </is>
      </c>
      <c r="J738" s="3">
        <f>HYPERLINK("https://www.codechef.com/problems/KOL16I", "https://www.codechef.com/problems/KOL16I")</f>
        <v/>
      </c>
      <c r="K738" s="2" t="inlineStr"/>
      <c r="L738" s="2" t="inlineStr">
        <is>
          <t>Algorithms, Case work, Constructive, Data Structures, Graphs, Special, Trees</t>
        </is>
      </c>
      <c r="M738" s="2" t="inlineStr"/>
      <c r="N738" s="2" t="inlineStr">
        <is>
          <t>No</t>
        </is>
      </c>
      <c r="O738" s="2" t="inlineStr">
        <is>
          <t>Unattempted</t>
        </is>
      </c>
    </row>
    <row r="739">
      <c r="A739" s="4" t="inlineStr">
        <is>
          <t>Other Practice Paths</t>
        </is>
      </c>
      <c r="B739" s="4" t="inlineStr">
        <is>
          <t>Prepare for ICPC - Past Year Problems</t>
        </is>
      </c>
      <c r="C739" s="4" t="inlineStr">
        <is>
          <t>Prepare for your next ICPC online or onsite round by practicing problems of past years. Get an understanding of the pattern of questions which are asked.</t>
        </is>
      </c>
      <c r="D739" s="4" t="inlineStr">
        <is>
          <t>Asia-Kolkata Site Onsite Round 2016 - Asia-Kolkata Site Onsite Round 2016</t>
        </is>
      </c>
      <c r="E739" s="4" t="n">
        <v>171</v>
      </c>
      <c r="F739" s="4" t="inlineStr">
        <is>
          <t>Optimal use of Nuclear Power plant</t>
        </is>
      </c>
      <c r="G739" s="4" t="inlineStr">
        <is>
          <t>KOL16G</t>
        </is>
      </c>
      <c r="H739" s="4" t="inlineStr"/>
      <c r="I739" s="4" t="inlineStr">
        <is>
          <t>Hard</t>
        </is>
      </c>
      <c r="J739" s="5">
        <f>HYPERLINK("https://www.codechef.com/problems/KOL16G", "https://www.codechef.com/problems/KOL16G")</f>
        <v/>
      </c>
      <c r="K739" s="4" t="inlineStr"/>
      <c r="L739" s="4" t="inlineStr">
        <is>
          <t>Algorithms, Binary Search, Calculus, Geometry, Integration, Mathematics, Searching</t>
        </is>
      </c>
      <c r="M739" s="4" t="inlineStr"/>
      <c r="N739" s="4" t="inlineStr">
        <is>
          <t>No</t>
        </is>
      </c>
      <c r="O739" s="4" t="inlineStr">
        <is>
          <t>Unattempted</t>
        </is>
      </c>
    </row>
    <row r="740">
      <c r="A740" s="2" t="inlineStr">
        <is>
          <t>Other Practice Paths</t>
        </is>
      </c>
      <c r="B740" s="2" t="inlineStr">
        <is>
          <t>Prepare for ICPC - Past Year Problems</t>
        </is>
      </c>
      <c r="C740" s="2" t="inlineStr">
        <is>
          <t>Prepare for your next ICPC online or onsite round by practicing problems of past years. Get an understanding of the pattern of questions which are asked.</t>
        </is>
      </c>
      <c r="D740" s="2" t="inlineStr">
        <is>
          <t>Asia-Amritapuri Site Onsite Round 2016 - Asia-Amritapuri Site Onsite Round 2016</t>
        </is>
      </c>
      <c r="E740" s="2" t="n">
        <v>172</v>
      </c>
      <c r="F740" s="2" t="inlineStr">
        <is>
          <t>Tim and BSTs</t>
        </is>
      </c>
      <c r="G740" s="2" t="inlineStr">
        <is>
          <t>AMR16A</t>
        </is>
      </c>
      <c r="H740" s="2" t="inlineStr"/>
      <c r="I740" s="2" t="inlineStr">
        <is>
          <t>Hard</t>
        </is>
      </c>
      <c r="J740" s="3">
        <f>HYPERLINK("https://www.codechef.com/problems/AMR16A", "https://www.codechef.com/problems/AMR16A")</f>
        <v/>
      </c>
      <c r="K740" s="2" t="inlineStr"/>
      <c r="L740" s="2" t="inlineStr">
        <is>
          <t>admin3</t>
        </is>
      </c>
      <c r="M740" s="2" t="inlineStr"/>
      <c r="N740" s="2" t="inlineStr">
        <is>
          <t>No</t>
        </is>
      </c>
      <c r="O740" s="2" t="inlineStr">
        <is>
          <t>Unattempted</t>
        </is>
      </c>
    </row>
    <row r="741">
      <c r="A741" s="4" t="inlineStr">
        <is>
          <t>Other Practice Paths</t>
        </is>
      </c>
      <c r="B741" s="4" t="inlineStr">
        <is>
          <t>Prepare for ICPC - Past Year Problems</t>
        </is>
      </c>
      <c r="C741" s="4" t="inlineStr">
        <is>
          <t>Prepare for your next ICPC online or onsite round by practicing problems of past years. Get an understanding of the pattern of questions which are asked.</t>
        </is>
      </c>
      <c r="D741" s="4" t="inlineStr">
        <is>
          <t>Asia-Amritapuri Site Onsite Round 2016 - Asia-Amritapuri Site Onsite Round 2016</t>
        </is>
      </c>
      <c r="E741" s="4" t="n">
        <v>173</v>
      </c>
      <c r="F741" s="4" t="inlineStr">
        <is>
          <t>A Historic Discussion</t>
        </is>
      </c>
      <c r="G741" s="4" t="inlineStr">
        <is>
          <t>AMR16B</t>
        </is>
      </c>
      <c r="H741" s="4" t="inlineStr"/>
      <c r="I741" s="4" t="inlineStr">
        <is>
          <t>Hard</t>
        </is>
      </c>
      <c r="J741" s="5">
        <f>HYPERLINK("https://www.codechef.com/problems/AMR16B", "https://www.codechef.com/problems/AMR16B")</f>
        <v/>
      </c>
      <c r="K741" s="4" t="inlineStr"/>
      <c r="L741" s="4" t="inlineStr">
        <is>
          <t>admin3</t>
        </is>
      </c>
      <c r="M741" s="4" t="inlineStr"/>
      <c r="N741" s="4" t="inlineStr">
        <is>
          <t>No</t>
        </is>
      </c>
      <c r="O741" s="4" t="inlineStr">
        <is>
          <t>Unattempted</t>
        </is>
      </c>
    </row>
    <row r="742">
      <c r="A742" s="2" t="inlineStr">
        <is>
          <t>Other Practice Paths</t>
        </is>
      </c>
      <c r="B742" s="2" t="inlineStr">
        <is>
          <t>Prepare for ICPC - Past Year Problems</t>
        </is>
      </c>
      <c r="C742" s="2" t="inlineStr">
        <is>
          <t>Prepare for your next ICPC online or onsite round by practicing problems of past years. Get an understanding of the pattern of questions which are asked.</t>
        </is>
      </c>
      <c r="D742" s="2" t="inlineStr">
        <is>
          <t>Asia-Amritapuri Site Onsite Round 2016 - Asia-Amritapuri Site Onsite Round 2016</t>
        </is>
      </c>
      <c r="E742" s="2" t="n">
        <v>174</v>
      </c>
      <c r="F742" s="2" t="inlineStr">
        <is>
          <t>Influence on Social media</t>
        </is>
      </c>
      <c r="G742" s="2" t="inlineStr">
        <is>
          <t>AMR16C</t>
        </is>
      </c>
      <c r="H742" s="2" t="inlineStr"/>
      <c r="I742" s="2" t="inlineStr">
        <is>
          <t>Hard</t>
        </is>
      </c>
      <c r="J742" s="3">
        <f>HYPERLINK("https://www.codechef.com/problems/AMR16C", "https://www.codechef.com/problems/AMR16C")</f>
        <v/>
      </c>
      <c r="K742" s="2" t="inlineStr"/>
      <c r="L742" s="2" t="inlineStr">
        <is>
          <t>admin3, amr16, binary-search, easy, icpc2016, sorting</t>
        </is>
      </c>
      <c r="M742" s="2" t="inlineStr"/>
      <c r="N742" s="2" t="inlineStr">
        <is>
          <t>No</t>
        </is>
      </c>
      <c r="O742" s="2" t="inlineStr">
        <is>
          <t>Unattempted</t>
        </is>
      </c>
    </row>
    <row r="743">
      <c r="A743" s="4" t="inlineStr">
        <is>
          <t>Other Practice Paths</t>
        </is>
      </c>
      <c r="B743" s="4" t="inlineStr">
        <is>
          <t>Prepare for ICPC - Past Year Problems</t>
        </is>
      </c>
      <c r="C743" s="4" t="inlineStr">
        <is>
          <t>Prepare for your next ICPC online or onsite round by practicing problems of past years. Get an understanding of the pattern of questions which are asked.</t>
        </is>
      </c>
      <c r="D743" s="4" t="inlineStr">
        <is>
          <t>Asia-Amritapuri Site Onsite Round 2016 - Asia-Amritapuri Site Onsite Round 2016</t>
        </is>
      </c>
      <c r="E743" s="4" t="n">
        <v>175</v>
      </c>
      <c r="F743" s="4" t="inlineStr">
        <is>
          <t>ATM queue</t>
        </is>
      </c>
      <c r="G743" s="4" t="inlineStr">
        <is>
          <t>AMR16D</t>
        </is>
      </c>
      <c r="H743" s="4" t="inlineStr"/>
      <c r="I743" s="4" t="inlineStr">
        <is>
          <t>Easy</t>
        </is>
      </c>
      <c r="J743" s="5">
        <f>HYPERLINK("https://www.codechef.com/problems/AMR16D", "https://www.codechef.com/problems/AMR16D")</f>
        <v/>
      </c>
      <c r="K743" s="4" t="inlineStr"/>
      <c r="L743" s="4" t="inlineStr">
        <is>
          <t>admin3</t>
        </is>
      </c>
      <c r="M743" s="4" t="inlineStr"/>
      <c r="N743" s="4" t="inlineStr">
        <is>
          <t>No</t>
        </is>
      </c>
      <c r="O743" s="4" t="inlineStr">
        <is>
          <t>Unattempted</t>
        </is>
      </c>
    </row>
    <row r="744">
      <c r="A744" s="2" t="inlineStr">
        <is>
          <t>Other Practice Paths</t>
        </is>
      </c>
      <c r="B744" s="2" t="inlineStr">
        <is>
          <t>Prepare for ICPC - Past Year Problems</t>
        </is>
      </c>
      <c r="C744" s="2" t="inlineStr">
        <is>
          <t>Prepare for your next ICPC online or onsite round by practicing problems of past years. Get an understanding of the pattern of questions which are asked.</t>
        </is>
      </c>
      <c r="D744" s="2" t="inlineStr">
        <is>
          <t>Asia-Amritapuri Site Onsite Round 2016 - Asia-Amritapuri Site Onsite Round 2016</t>
        </is>
      </c>
      <c r="E744" s="2" t="n">
        <v>176</v>
      </c>
      <c r="F744" s="2" t="inlineStr">
        <is>
          <t>Notes and GPS Chips</t>
        </is>
      </c>
      <c r="G744" s="2" t="inlineStr">
        <is>
          <t>AMR16F</t>
        </is>
      </c>
      <c r="H744" s="2" t="inlineStr"/>
      <c r="I744" s="2" t="inlineStr">
        <is>
          <t>Hard</t>
        </is>
      </c>
      <c r="J744" s="3">
        <f>HYPERLINK("https://www.codechef.com/problems/AMR16F", "https://www.codechef.com/problems/AMR16F")</f>
        <v/>
      </c>
      <c r="K744" s="2" t="inlineStr"/>
      <c r="L744" s="2" t="inlineStr">
        <is>
          <t>admin3, amr16, icpc2016</t>
        </is>
      </c>
      <c r="M744" s="2" t="inlineStr"/>
      <c r="N744" s="2" t="inlineStr">
        <is>
          <t>No</t>
        </is>
      </c>
      <c r="O744" s="2" t="inlineStr">
        <is>
          <t>Unattempted</t>
        </is>
      </c>
    </row>
    <row r="745">
      <c r="A745" s="4" t="inlineStr">
        <is>
          <t>Other Practice Paths</t>
        </is>
      </c>
      <c r="B745" s="4" t="inlineStr">
        <is>
          <t>Prepare for ICPC - Past Year Problems</t>
        </is>
      </c>
      <c r="C745" s="4" t="inlineStr">
        <is>
          <t>Prepare for your next ICPC online or onsite round by practicing problems of past years. Get an understanding of the pattern of questions which are asked.</t>
        </is>
      </c>
      <c r="D745" s="4" t="inlineStr">
        <is>
          <t>Asia-Amritapuri Site Onsite Round 2016 - Asia-Amritapuri Site Onsite Round 2016</t>
        </is>
      </c>
      <c r="E745" s="4" t="n">
        <v>177</v>
      </c>
      <c r="F745" s="4" t="inlineStr">
        <is>
          <t>Netcoin Verification</t>
        </is>
      </c>
      <c r="G745" s="4" t="inlineStr">
        <is>
          <t>AMR16H</t>
        </is>
      </c>
      <c r="H745" s="4" t="inlineStr"/>
      <c r="I745" s="4" t="inlineStr">
        <is>
          <t>Hard</t>
        </is>
      </c>
      <c r="J745" s="5">
        <f>HYPERLINK("https://www.codechef.com/problems/AMR16H", "https://www.codechef.com/problems/AMR16H")</f>
        <v/>
      </c>
      <c r="K745" s="4" t="inlineStr"/>
      <c r="L745" s="4" t="inlineStr">
        <is>
          <t>admin3, amr16, icpc2016</t>
        </is>
      </c>
      <c r="M745" s="4" t="inlineStr"/>
      <c r="N745" s="4" t="inlineStr">
        <is>
          <t>No</t>
        </is>
      </c>
      <c r="O745" s="4" t="inlineStr">
        <is>
          <t>Unattempted</t>
        </is>
      </c>
    </row>
    <row r="746">
      <c r="A746" s="2" t="inlineStr">
        <is>
          <t>Other Practice Paths</t>
        </is>
      </c>
      <c r="B746" s="2" t="inlineStr">
        <is>
          <t>Prepare for ICPC - Past Year Problems</t>
        </is>
      </c>
      <c r="C746" s="2" t="inlineStr">
        <is>
          <t>Prepare for your next ICPC online or onsite round by practicing problems of past years. Get an understanding of the pattern of questions which are asked.</t>
        </is>
      </c>
      <c r="D746" s="2" t="inlineStr">
        <is>
          <t>Asia-Amritapuri Site Onsite Round 2016 - Asia-Amritapuri Site Onsite Round 2016</t>
        </is>
      </c>
      <c r="E746" s="2" t="n">
        <v>178</v>
      </c>
      <c r="F746" s="2" t="inlineStr">
        <is>
          <t>Hawala Arrests</t>
        </is>
      </c>
      <c r="G746" s="2" t="inlineStr">
        <is>
          <t>AMR16G</t>
        </is>
      </c>
      <c r="H746" s="2" t="inlineStr"/>
      <c r="I746" s="2" t="inlineStr">
        <is>
          <t>Hard</t>
        </is>
      </c>
      <c r="J746" s="3">
        <f>HYPERLINK("https://www.codechef.com/problems/AMR16G", "https://www.codechef.com/problems/AMR16G")</f>
        <v/>
      </c>
      <c r="K746" s="2" t="inlineStr"/>
      <c r="L746" s="2" t="inlineStr">
        <is>
          <t>admin3</t>
        </is>
      </c>
      <c r="M746" s="2" t="inlineStr"/>
      <c r="N746" s="2" t="inlineStr">
        <is>
          <t>No</t>
        </is>
      </c>
      <c r="O746" s="2" t="inlineStr">
        <is>
          <t>Unattempted</t>
        </is>
      </c>
    </row>
    <row r="747">
      <c r="A747" s="4" t="inlineStr">
        <is>
          <t>Other Practice Paths</t>
        </is>
      </c>
      <c r="B747" s="4" t="inlineStr">
        <is>
          <t>Prepare for ICPC - Past Year Problems</t>
        </is>
      </c>
      <c r="C747" s="4" t="inlineStr">
        <is>
          <t>Prepare for your next ICPC online or onsite round by practicing problems of past years. Get an understanding of the pattern of questions which are asked.</t>
        </is>
      </c>
      <c r="D747" s="4" t="inlineStr">
        <is>
          <t>Asia-Amritapuri Site Onsite Round 2016 - Asia-Amritapuri Site Onsite Round 2016</t>
        </is>
      </c>
      <c r="E747" s="4" t="n">
        <v>179</v>
      </c>
      <c r="F747" s="4" t="inlineStr">
        <is>
          <t>Mancunian Hoards Black Money</t>
        </is>
      </c>
      <c r="G747" s="4" t="inlineStr">
        <is>
          <t>AMR16I</t>
        </is>
      </c>
      <c r="H747" s="4" t="inlineStr"/>
      <c r="I747" s="4" t="inlineStr">
        <is>
          <t>Hard</t>
        </is>
      </c>
      <c r="J747" s="5">
        <f>HYPERLINK("https://www.codechef.com/problems/AMR16I", "https://www.codechef.com/problems/AMR16I")</f>
        <v/>
      </c>
      <c r="K747" s="4" t="inlineStr"/>
      <c r="L747" s="4" t="inlineStr">
        <is>
          <t>admin3, amr16, amr16mos, icpc2016</t>
        </is>
      </c>
      <c r="M747" s="4" t="inlineStr"/>
      <c r="N747" s="4" t="inlineStr">
        <is>
          <t>No</t>
        </is>
      </c>
      <c r="O747" s="4" t="inlineStr">
        <is>
          <t>Unattempted</t>
        </is>
      </c>
    </row>
    <row r="748">
      <c r="A748" s="2" t="inlineStr">
        <is>
          <t>Other Practice Paths</t>
        </is>
      </c>
      <c r="B748" s="2" t="inlineStr">
        <is>
          <t>Prepare for ICPC - Past Year Problems</t>
        </is>
      </c>
      <c r="C748" s="2" t="inlineStr">
        <is>
          <t>Prepare for your next ICPC online or onsite round by practicing problems of past years. Get an understanding of the pattern of questions which are asked.</t>
        </is>
      </c>
      <c r="D748" s="2" t="inlineStr">
        <is>
          <t>Asia-Amritapuri Site Onsite Round 2016 - Asia-Amritapuri Site Onsite Round 2016</t>
        </is>
      </c>
      <c r="E748" s="2" t="n">
        <v>180</v>
      </c>
      <c r="F748" s="2" t="inlineStr">
        <is>
          <t>Bob vs ATM</t>
        </is>
      </c>
      <c r="G748" s="2" t="inlineStr">
        <is>
          <t>AMR16J</t>
        </is>
      </c>
      <c r="H748" s="2" t="inlineStr"/>
      <c r="I748" s="2" t="inlineStr">
        <is>
          <t>Hard</t>
        </is>
      </c>
      <c r="J748" s="3">
        <f>HYPERLINK("https://www.codechef.com/problems/AMR16J", "https://www.codechef.com/problems/AMR16J")</f>
        <v/>
      </c>
      <c r="K748" s="2" t="inlineStr"/>
      <c r="L748" s="2" t="inlineStr">
        <is>
          <t>admin3, amr16, icpc2016</t>
        </is>
      </c>
      <c r="M748" s="2" t="inlineStr"/>
      <c r="N748" s="2" t="inlineStr">
        <is>
          <t>No</t>
        </is>
      </c>
      <c r="O748" s="2" t="inlineStr">
        <is>
          <t>Unattempted</t>
        </is>
      </c>
    </row>
    <row r="749">
      <c r="A749" s="4" t="inlineStr">
        <is>
          <t>Other Practice Paths</t>
        </is>
      </c>
      <c r="B749" s="4" t="inlineStr">
        <is>
          <t>Prepare for ICPC - Past Year Problems</t>
        </is>
      </c>
      <c r="C749" s="4" t="inlineStr">
        <is>
          <t>Prepare for your next ICPC online or onsite round by practicing problems of past years. Get an understanding of the pattern of questions which are asked.</t>
        </is>
      </c>
      <c r="D749" s="4" t="inlineStr">
        <is>
          <t>Asia-Amritapuri Site Onsite Round 2016 - Asia-Amritapuri Site Onsite Round 2016</t>
        </is>
      </c>
      <c r="E749" s="4" t="n">
        <v>181</v>
      </c>
      <c r="F749" s="4" t="inlineStr">
        <is>
          <t>Hide Them All</t>
        </is>
      </c>
      <c r="G749" s="4" t="inlineStr">
        <is>
          <t>AMR16L</t>
        </is>
      </c>
      <c r="H749" s="4" t="inlineStr"/>
      <c r="I749" s="4" t="inlineStr">
        <is>
          <t>Hard</t>
        </is>
      </c>
      <c r="J749" s="5">
        <f>HYPERLINK("https://www.codechef.com/problems/AMR16L", "https://www.codechef.com/problems/AMR16L")</f>
        <v/>
      </c>
      <c r="K749" s="4" t="inlineStr"/>
      <c r="L749" s="4" t="inlineStr"/>
      <c r="M749" s="4" t="inlineStr"/>
      <c r="N749" s="4" t="inlineStr">
        <is>
          <t>No</t>
        </is>
      </c>
      <c r="O749" s="4" t="inlineStr">
        <is>
          <t>Unattempted</t>
        </is>
      </c>
    </row>
    <row r="750">
      <c r="A750" s="2" t="inlineStr">
        <is>
          <t>Other Practice Paths</t>
        </is>
      </c>
      <c r="B750" s="2" t="inlineStr">
        <is>
          <t>Prepare for ICPC - Past Year Problems</t>
        </is>
      </c>
      <c r="C750" s="2" t="inlineStr">
        <is>
          <t>Prepare for your next ICPC online or onsite round by practicing problems of past years. Get an understanding of the pattern of questions which are asked.</t>
        </is>
      </c>
      <c r="D750" s="2" t="inlineStr">
        <is>
          <t>Asia-Chennai Site Onsite Round 2016 - Asia-Chennai Site Onsite Round 2016</t>
        </is>
      </c>
      <c r="E750" s="2" t="n">
        <v>182</v>
      </c>
      <c r="F750" s="2" t="inlineStr">
        <is>
          <t>Voting Fraud</t>
        </is>
      </c>
      <c r="G750" s="2" t="inlineStr">
        <is>
          <t>CHN16G</t>
        </is>
      </c>
      <c r="H750" s="2" t="inlineStr"/>
      <c r="I750" s="2" t="inlineStr">
        <is>
          <t>Easy</t>
        </is>
      </c>
      <c r="J750" s="3">
        <f>HYPERLINK("https://www.codechef.com/problems/CHN16G", "https://www.codechef.com/problems/CHN16G")</f>
        <v/>
      </c>
      <c r="K750" s="2" t="inlineStr"/>
      <c r="L750" s="2" t="inlineStr">
        <is>
          <t>admin3</t>
        </is>
      </c>
      <c r="M750" s="2" t="inlineStr"/>
      <c r="N750" s="2" t="inlineStr">
        <is>
          <t>No</t>
        </is>
      </c>
      <c r="O750" s="2" t="inlineStr">
        <is>
          <t>Unattempted</t>
        </is>
      </c>
    </row>
    <row r="751">
      <c r="A751" s="4" t="inlineStr">
        <is>
          <t>Other Practice Paths</t>
        </is>
      </c>
      <c r="B751" s="4" t="inlineStr">
        <is>
          <t>Prepare for ICPC - Past Year Problems</t>
        </is>
      </c>
      <c r="C751" s="4" t="inlineStr">
        <is>
          <t>Prepare for your next ICPC online or onsite round by practicing problems of past years. Get an understanding of the pattern of questions which are asked.</t>
        </is>
      </c>
      <c r="D751" s="4" t="inlineStr">
        <is>
          <t>Asia-Chennai Site Onsite Round 2016 - Asia-Chennai Site Onsite Round 2016</t>
        </is>
      </c>
      <c r="E751" s="4" t="n">
        <v>183</v>
      </c>
      <c r="F751" s="4" t="inlineStr">
        <is>
          <t>ACM ICPC World Finals Accommodation</t>
        </is>
      </c>
      <c r="G751" s="4" t="inlineStr">
        <is>
          <t>CHN16F</t>
        </is>
      </c>
      <c r="H751" s="4" t="inlineStr"/>
      <c r="I751" s="4" t="inlineStr">
        <is>
          <t>Hard</t>
        </is>
      </c>
      <c r="J751" s="5">
        <f>HYPERLINK("https://www.codechef.com/problems/CHN16F", "https://www.codechef.com/problems/CHN16F")</f>
        <v/>
      </c>
      <c r="K751" s="4" t="inlineStr"/>
      <c r="L751" s="4" t="inlineStr">
        <is>
          <t>admin3</t>
        </is>
      </c>
      <c r="M751" s="4" t="inlineStr"/>
      <c r="N751" s="4" t="inlineStr">
        <is>
          <t>No</t>
        </is>
      </c>
      <c r="O751" s="4" t="inlineStr">
        <is>
          <t>Unattempted</t>
        </is>
      </c>
    </row>
    <row r="752">
      <c r="A752" s="2" t="inlineStr">
        <is>
          <t>Other Practice Paths</t>
        </is>
      </c>
      <c r="B752" s="2" t="inlineStr">
        <is>
          <t>Prepare for ICPC - Past Year Problems</t>
        </is>
      </c>
      <c r="C752" s="2" t="inlineStr">
        <is>
          <t>Prepare for your next ICPC online or onsite round by practicing problems of past years. Get an understanding of the pattern of questions which are asked.</t>
        </is>
      </c>
      <c r="D752" s="2" t="inlineStr">
        <is>
          <t>Asia-Chennai Site Onsite Round 2016 - Asia-Chennai Site Onsite Round 2016</t>
        </is>
      </c>
      <c r="E752" s="2" t="n">
        <v>184</v>
      </c>
      <c r="F752" s="2" t="inlineStr">
        <is>
          <t>Birthday Pizza Party</t>
        </is>
      </c>
      <c r="G752" s="2" t="inlineStr">
        <is>
          <t>CHN16C</t>
        </is>
      </c>
      <c r="H752" s="2" t="inlineStr"/>
      <c r="I752" s="2" t="inlineStr">
        <is>
          <t>Medium</t>
        </is>
      </c>
      <c r="J752" s="3">
        <f>HYPERLINK("https://www.codechef.com/problems/CHN16C", "https://www.codechef.com/problems/CHN16C")</f>
        <v/>
      </c>
      <c r="K752" s="2" t="inlineStr"/>
      <c r="L752" s="2" t="inlineStr">
        <is>
          <t>admin3</t>
        </is>
      </c>
      <c r="M752" s="2" t="inlineStr"/>
      <c r="N752" s="2" t="inlineStr">
        <is>
          <t>No</t>
        </is>
      </c>
      <c r="O752" s="2" t="inlineStr">
        <is>
          <t>Unattempted</t>
        </is>
      </c>
    </row>
    <row r="753">
      <c r="A753" s="4" t="inlineStr">
        <is>
          <t>Other Practice Paths</t>
        </is>
      </c>
      <c r="B753" s="4" t="inlineStr">
        <is>
          <t>Prepare for ICPC - Past Year Problems</t>
        </is>
      </c>
      <c r="C753" s="4" t="inlineStr">
        <is>
          <t>Prepare for your next ICPC online or onsite round by practicing problems of past years. Get an understanding of the pattern of questions which are asked.</t>
        </is>
      </c>
      <c r="D753" s="4" t="inlineStr">
        <is>
          <t>Asia-Chennai Site Onsite Round 2016 - Asia-Chennai Site Onsite Round 2016</t>
        </is>
      </c>
      <c r="E753" s="4" t="n">
        <v>185</v>
      </c>
      <c r="F753" s="4" t="inlineStr">
        <is>
          <t>Alice and Bob play Contact</t>
        </is>
      </c>
      <c r="G753" s="4" t="inlineStr">
        <is>
          <t>CHN16I</t>
        </is>
      </c>
      <c r="H753" s="4" t="inlineStr"/>
      <c r="I753" s="4" t="inlineStr">
        <is>
          <t>Hard</t>
        </is>
      </c>
      <c r="J753" s="5">
        <f>HYPERLINK("https://www.codechef.com/problems/CHN16I", "https://www.codechef.com/problems/CHN16I")</f>
        <v/>
      </c>
      <c r="K753" s="4" t="inlineStr"/>
      <c r="L753" s="4" t="inlineStr">
        <is>
          <t>admin3</t>
        </is>
      </c>
      <c r="M753" s="4" t="inlineStr"/>
      <c r="N753" s="4" t="inlineStr">
        <is>
          <t>No</t>
        </is>
      </c>
      <c r="O753" s="4" t="inlineStr">
        <is>
          <t>Unattempted</t>
        </is>
      </c>
    </row>
    <row r="754">
      <c r="A754" s="2" t="inlineStr">
        <is>
          <t>Other Practice Paths</t>
        </is>
      </c>
      <c r="B754" s="2" t="inlineStr">
        <is>
          <t>Prepare for ICPC - Past Year Problems</t>
        </is>
      </c>
      <c r="C754" s="2" t="inlineStr">
        <is>
          <t>Prepare for your next ICPC online or onsite round by practicing problems of past years. Get an understanding of the pattern of questions which are asked.</t>
        </is>
      </c>
      <c r="D754" s="2" t="inlineStr">
        <is>
          <t>Asia-Chennai Site Onsite Round 2016 - Asia-Chennai Site Onsite Round 2016</t>
        </is>
      </c>
      <c r="E754" s="2" t="n">
        <v>186</v>
      </c>
      <c r="F754" s="2" t="inlineStr">
        <is>
          <t>Mancunian Candidate Master Forever</t>
        </is>
      </c>
      <c r="G754" s="2" t="inlineStr">
        <is>
          <t>CHN16B</t>
        </is>
      </c>
      <c r="H754" s="2" t="inlineStr"/>
      <c r="I754" s="2" t="inlineStr">
        <is>
          <t>Hard</t>
        </is>
      </c>
      <c r="J754" s="3">
        <f>HYPERLINK("https://www.codechef.com/problems/CHN16B", "https://www.codechef.com/problems/CHN16B")</f>
        <v/>
      </c>
      <c r="K754" s="2" t="inlineStr"/>
      <c r="L754" s="2" t="inlineStr">
        <is>
          <t>admin3</t>
        </is>
      </c>
      <c r="M754" s="2" t="inlineStr"/>
      <c r="N754" s="2" t="inlineStr">
        <is>
          <t>No</t>
        </is>
      </c>
      <c r="O754" s="2" t="inlineStr">
        <is>
          <t>Unattempted</t>
        </is>
      </c>
    </row>
    <row r="755">
      <c r="A755" s="4" t="inlineStr">
        <is>
          <t>Other Practice Paths</t>
        </is>
      </c>
      <c r="B755" s="4" t="inlineStr">
        <is>
          <t>Prepare for ICPC - Past Year Problems</t>
        </is>
      </c>
      <c r="C755" s="4" t="inlineStr">
        <is>
          <t>Prepare for your next ICPC online or onsite round by practicing problems of past years. Get an understanding of the pattern of questions which are asked.</t>
        </is>
      </c>
      <c r="D755" s="4" t="inlineStr">
        <is>
          <t>Asia-Chennai Site Onsite Round 2016 - Asia-Chennai Site Onsite Round 2016</t>
        </is>
      </c>
      <c r="E755" s="4" t="n">
        <v>187</v>
      </c>
      <c r="F755" s="4" t="inlineStr">
        <is>
          <t>Mancunian and Sonu Generate Strings</t>
        </is>
      </c>
      <c r="G755" s="4" t="inlineStr">
        <is>
          <t>CHN16A</t>
        </is>
      </c>
      <c r="H755" s="4" t="inlineStr"/>
      <c r="I755" s="4" t="inlineStr">
        <is>
          <t>Hard</t>
        </is>
      </c>
      <c r="J755" s="5">
        <f>HYPERLINK("https://www.codechef.com/problems/CHN16A", "https://www.codechef.com/problems/CHN16A")</f>
        <v/>
      </c>
      <c r="K755" s="4" t="inlineStr"/>
      <c r="L755" s="4" t="inlineStr">
        <is>
          <t>admin3</t>
        </is>
      </c>
      <c r="M755" s="4" t="inlineStr"/>
      <c r="N755" s="4" t="inlineStr">
        <is>
          <t>No</t>
        </is>
      </c>
      <c r="O755" s="4" t="inlineStr">
        <is>
          <t>Unattempted</t>
        </is>
      </c>
    </row>
    <row r="756">
      <c r="A756" s="2" t="inlineStr">
        <is>
          <t>Other Practice Paths</t>
        </is>
      </c>
      <c r="B756" s="2" t="inlineStr">
        <is>
          <t>Prepare for ICPC - Past Year Problems</t>
        </is>
      </c>
      <c r="C756" s="2" t="inlineStr">
        <is>
          <t>Prepare for your next ICPC online or onsite round by practicing problems of past years. Get an understanding of the pattern of questions which are asked.</t>
        </is>
      </c>
      <c r="D756" s="2" t="inlineStr">
        <is>
          <t>Asia-Chennai Site Onsite Round 2016 - Asia-Chennai Site Onsite Round 2016</t>
        </is>
      </c>
      <c r="E756" s="2" t="n">
        <v>188</v>
      </c>
      <c r="F756" s="2" t="inlineStr">
        <is>
          <t>Kingdom of Chef</t>
        </is>
      </c>
      <c r="G756" s="2" t="inlineStr">
        <is>
          <t>CHN16J</t>
        </is>
      </c>
      <c r="H756" s="2" t="inlineStr"/>
      <c r="I756" s="2" t="inlineStr">
        <is>
          <t>Hard</t>
        </is>
      </c>
      <c r="J756" s="3">
        <f>HYPERLINK("https://www.codechef.com/problems/CHN16J", "https://www.codechef.com/problems/CHN16J")</f>
        <v/>
      </c>
      <c r="K756" s="2" t="inlineStr"/>
      <c r="L756" s="2" t="inlineStr">
        <is>
          <t>admin3</t>
        </is>
      </c>
      <c r="M756" s="2" t="inlineStr"/>
      <c r="N756" s="2" t="inlineStr">
        <is>
          <t>No</t>
        </is>
      </c>
      <c r="O756" s="2" t="inlineStr">
        <is>
          <t>Unattempted</t>
        </is>
      </c>
    </row>
    <row r="757">
      <c r="A757" s="4" t="inlineStr">
        <is>
          <t>Other Practice Paths</t>
        </is>
      </c>
      <c r="B757" s="4" t="inlineStr">
        <is>
          <t>Prepare for ICPC - Past Year Problems</t>
        </is>
      </c>
      <c r="C757" s="4" t="inlineStr">
        <is>
          <t>Prepare for your next ICPC online or onsite round by practicing problems of past years. Get an understanding of the pattern of questions which are asked.</t>
        </is>
      </c>
      <c r="D757" s="4" t="inlineStr">
        <is>
          <t>Asia-Chennai Site Onsite Round 2016 - Asia-Chennai Site Onsite Round 2016</t>
        </is>
      </c>
      <c r="E757" s="4" t="n">
        <v>189</v>
      </c>
      <c r="F757" s="4" t="inlineStr">
        <is>
          <t>ATM Queue</t>
        </is>
      </c>
      <c r="G757" s="4" t="inlineStr">
        <is>
          <t>CHN16D</t>
        </is>
      </c>
      <c r="H757" s="4" t="inlineStr"/>
      <c r="I757" s="4" t="inlineStr">
        <is>
          <t>Hard</t>
        </is>
      </c>
      <c r="J757" s="5">
        <f>HYPERLINK("https://www.codechef.com/problems/CHN16D", "https://www.codechef.com/problems/CHN16D")</f>
        <v/>
      </c>
      <c r="K757" s="4" t="inlineStr"/>
      <c r="L757" s="4" t="inlineStr">
        <is>
          <t>admin3</t>
        </is>
      </c>
      <c r="M757" s="4" t="inlineStr"/>
      <c r="N757" s="4" t="inlineStr">
        <is>
          <t>No</t>
        </is>
      </c>
      <c r="O757" s="4" t="inlineStr">
        <is>
          <t>Unattempted</t>
        </is>
      </c>
    </row>
    <row r="758">
      <c r="A758" s="2" t="inlineStr">
        <is>
          <t>Other Practice Paths</t>
        </is>
      </c>
      <c r="B758" s="2" t="inlineStr">
        <is>
          <t>Prepare for ICPC - Past Year Problems</t>
        </is>
      </c>
      <c r="C758" s="2" t="inlineStr">
        <is>
          <t>Prepare for your next ICPC online or onsite round by practicing problems of past years. Get an understanding of the pattern of questions which are asked.</t>
        </is>
      </c>
      <c r="D758" s="2" t="inlineStr">
        <is>
          <t>Asia-Chennai Site Onsite Round 2016 - Asia-Chennai Site Onsite Round 2016</t>
        </is>
      </c>
      <c r="E758" s="2" t="n">
        <v>190</v>
      </c>
      <c r="F758" s="2" t="inlineStr">
        <is>
          <t>Moving Clams</t>
        </is>
      </c>
      <c r="G758" s="2" t="inlineStr">
        <is>
          <t>CHN16E</t>
        </is>
      </c>
      <c r="H758" s="2" t="inlineStr"/>
      <c r="I758" s="2" t="inlineStr">
        <is>
          <t>Hard</t>
        </is>
      </c>
      <c r="J758" s="3">
        <f>HYPERLINK("https://www.codechef.com/problems/CHN16E", "https://www.codechef.com/problems/CHN16E")</f>
        <v/>
      </c>
      <c r="K758" s="2" t="inlineStr"/>
      <c r="L758" s="2" t="inlineStr">
        <is>
          <t>admin3</t>
        </is>
      </c>
      <c r="M758" s="2" t="inlineStr"/>
      <c r="N758" s="2" t="inlineStr">
        <is>
          <t>No</t>
        </is>
      </c>
      <c r="O758" s="2" t="inlineStr">
        <is>
          <t>Unattempted</t>
        </is>
      </c>
    </row>
    <row r="759">
      <c r="A759" s="4" t="inlineStr">
        <is>
          <t>Other Practice Paths</t>
        </is>
      </c>
      <c r="B759" s="4" t="inlineStr">
        <is>
          <t>Prepare for ICPC - Past Year Problems</t>
        </is>
      </c>
      <c r="C759" s="4" t="inlineStr">
        <is>
          <t>Prepare for your next ICPC online or onsite round by practicing problems of past years. Get an understanding of the pattern of questions which are asked.</t>
        </is>
      </c>
      <c r="D759" s="4" t="inlineStr">
        <is>
          <t>Asia-Chennai Site Onsite Round 2016 - Asia-Chennai Site Onsite Round 2016</t>
        </is>
      </c>
      <c r="E759" s="4" t="n">
        <v>191</v>
      </c>
      <c r="F759" s="4" t="inlineStr">
        <is>
          <t>Sum and Xor</t>
        </is>
      </c>
      <c r="G759" s="4" t="inlineStr">
        <is>
          <t>CHN16H</t>
        </is>
      </c>
      <c r="H759" s="4" t="inlineStr"/>
      <c r="I759" s="4" t="inlineStr">
        <is>
          <t>Hard</t>
        </is>
      </c>
      <c r="J759" s="5">
        <f>HYPERLINK("https://www.codechef.com/problems/CHN16H", "https://www.codechef.com/problems/CHN16H")</f>
        <v/>
      </c>
      <c r="K759" s="4" t="inlineStr"/>
      <c r="L759" s="4" t="inlineStr">
        <is>
          <t>admin3</t>
        </is>
      </c>
      <c r="M759" s="4" t="inlineStr"/>
      <c r="N759" s="4" t="inlineStr">
        <is>
          <t>No</t>
        </is>
      </c>
      <c r="O759" s="4" t="inlineStr">
        <is>
          <t>Unattempted</t>
        </is>
      </c>
    </row>
    <row r="760">
      <c r="A760" s="2" t="inlineStr">
        <is>
          <t>Other Practice Paths</t>
        </is>
      </c>
      <c r="B760" s="2" t="inlineStr">
        <is>
          <t>Prepare for ICPC - Past Year Problems</t>
        </is>
      </c>
      <c r="C760" s="2" t="inlineStr">
        <is>
          <t>Prepare for your next ICPC online or onsite round by practicing problems of past years. Get an understanding of the pattern of questions which are asked.</t>
        </is>
      </c>
      <c r="D760" s="2" t="inlineStr">
        <is>
          <t>Asia-Kharagpur Site Onsite Round 2016 - Asia-Kharagpur Site Onsite Round 2016</t>
        </is>
      </c>
      <c r="E760" s="2" t="n">
        <v>192</v>
      </c>
      <c r="F760" s="2" t="inlineStr">
        <is>
          <t>Coal Mafia and Toll Tax</t>
        </is>
      </c>
      <c r="G760" s="2" t="inlineStr">
        <is>
          <t>KGP16H</t>
        </is>
      </c>
      <c r="H760" s="2" t="inlineStr"/>
      <c r="I760" s="2" t="inlineStr">
        <is>
          <t>Hard</t>
        </is>
      </c>
      <c r="J760" s="3">
        <f>HYPERLINK("https://www.codechef.com/problems/KGP16H", "https://www.codechef.com/problems/KGP16H")</f>
        <v/>
      </c>
      <c r="K760" s="2" t="inlineStr"/>
      <c r="L760" s="2" t="inlineStr">
        <is>
          <t>acm-icpc, admin3, kgp16</t>
        </is>
      </c>
      <c r="M760" s="2" t="inlineStr"/>
      <c r="N760" s="2" t="inlineStr">
        <is>
          <t>No</t>
        </is>
      </c>
      <c r="O760" s="2" t="inlineStr">
        <is>
          <t>Unattempted</t>
        </is>
      </c>
    </row>
    <row r="761">
      <c r="A761" s="4" t="inlineStr">
        <is>
          <t>Other Practice Paths</t>
        </is>
      </c>
      <c r="B761" s="4" t="inlineStr">
        <is>
          <t>Prepare for ICPC - Past Year Problems</t>
        </is>
      </c>
      <c r="C761" s="4" t="inlineStr">
        <is>
          <t>Prepare for your next ICPC online or onsite round by practicing problems of past years. Get an understanding of the pattern of questions which are asked.</t>
        </is>
      </c>
      <c r="D761" s="4" t="inlineStr">
        <is>
          <t>Asia-Kharagpur Site Onsite Round 2016 - Asia-Kharagpur Site Onsite Round 2016</t>
        </is>
      </c>
      <c r="E761" s="4" t="n">
        <v>193</v>
      </c>
      <c r="F761" s="4" t="inlineStr">
        <is>
          <t>Coal mines of Kharagpur</t>
        </is>
      </c>
      <c r="G761" s="4" t="inlineStr">
        <is>
          <t>KGP16E</t>
        </is>
      </c>
      <c r="H761" s="4" t="inlineStr"/>
      <c r="I761" s="4" t="inlineStr">
        <is>
          <t>Hard</t>
        </is>
      </c>
      <c r="J761" s="5">
        <f>HYPERLINK("https://www.codechef.com/problems/KGP16E", "https://www.codechef.com/problems/KGP16E")</f>
        <v/>
      </c>
      <c r="K761" s="4" t="inlineStr"/>
      <c r="L761" s="4" t="inlineStr">
        <is>
          <t>admin3</t>
        </is>
      </c>
      <c r="M761" s="4" t="inlineStr"/>
      <c r="N761" s="4" t="inlineStr">
        <is>
          <t>No</t>
        </is>
      </c>
      <c r="O761" s="4" t="inlineStr">
        <is>
          <t>Unattempted</t>
        </is>
      </c>
    </row>
    <row r="762">
      <c r="A762" s="2" t="inlineStr">
        <is>
          <t>Other Practice Paths</t>
        </is>
      </c>
      <c r="B762" s="2" t="inlineStr">
        <is>
          <t>Prepare for ICPC - Past Year Problems</t>
        </is>
      </c>
      <c r="C762" s="2" t="inlineStr">
        <is>
          <t>Prepare for your next ICPC online or onsite round by practicing problems of past years. Get an understanding of the pattern of questions which are asked.</t>
        </is>
      </c>
      <c r="D762" s="2" t="inlineStr">
        <is>
          <t>Asia-Kharagpur Site Onsite Round 2016 - Asia-Kharagpur Site Onsite Round 2016</t>
        </is>
      </c>
      <c r="E762" s="2" t="n">
        <v>194</v>
      </c>
      <c r="F762" s="2" t="inlineStr">
        <is>
          <t>Optimal Partition</t>
        </is>
      </c>
      <c r="G762" s="2" t="inlineStr">
        <is>
          <t>KGP16F</t>
        </is>
      </c>
      <c r="H762" s="2" t="inlineStr"/>
      <c r="I762" s="2" t="inlineStr">
        <is>
          <t>Hard</t>
        </is>
      </c>
      <c r="J762" s="3">
        <f>HYPERLINK("https://www.codechef.com/problems/KGP16F", "https://www.codechef.com/problems/KGP16F")</f>
        <v/>
      </c>
      <c r="K762" s="2" t="inlineStr"/>
      <c r="L762" s="2" t="inlineStr">
        <is>
          <t>acm16, admin3, dynamic-programming, icpc2016, kgp16, programming</t>
        </is>
      </c>
      <c r="M762" s="2" t="inlineStr"/>
      <c r="N762" s="2" t="inlineStr">
        <is>
          <t>No</t>
        </is>
      </c>
      <c r="O762" s="2" t="inlineStr">
        <is>
          <t>Unattempted</t>
        </is>
      </c>
    </row>
    <row r="763">
      <c r="A763" s="4" t="inlineStr">
        <is>
          <t>Other Practice Paths</t>
        </is>
      </c>
      <c r="B763" s="4" t="inlineStr">
        <is>
          <t>Prepare for ICPC - Past Year Problems</t>
        </is>
      </c>
      <c r="C763" s="4" t="inlineStr">
        <is>
          <t>Prepare for your next ICPC online or onsite round by practicing problems of past years. Get an understanding of the pattern of questions which are asked.</t>
        </is>
      </c>
      <c r="D763" s="4" t="inlineStr">
        <is>
          <t>Asia-Kharagpur Site Onsite Round 2016 - Asia-Kharagpur Site Onsite Round 2016</t>
        </is>
      </c>
      <c r="E763" s="4" t="n">
        <v>195</v>
      </c>
      <c r="F763" s="4" t="inlineStr">
        <is>
          <t>Sweet Shops of Kolkata</t>
        </is>
      </c>
      <c r="G763" s="4" t="inlineStr">
        <is>
          <t>KGP16D</t>
        </is>
      </c>
      <c r="H763" s="4" t="inlineStr"/>
      <c r="I763" s="4" t="inlineStr">
        <is>
          <t>Hard</t>
        </is>
      </c>
      <c r="J763" s="5">
        <f>HYPERLINK("https://www.codechef.com/problems/KGP16D", "https://www.codechef.com/problems/KGP16D")</f>
        <v/>
      </c>
      <c r="K763" s="4" t="inlineStr"/>
      <c r="L763" s="4" t="inlineStr">
        <is>
          <t>admin3, array, constructive, icpc2016, kgp16, looping</t>
        </is>
      </c>
      <c r="M763" s="4" t="inlineStr"/>
      <c r="N763" s="4" t="inlineStr">
        <is>
          <t>No</t>
        </is>
      </c>
      <c r="O763" s="4" t="inlineStr">
        <is>
          <t>Unattempted</t>
        </is>
      </c>
    </row>
    <row r="764">
      <c r="A764" s="2" t="inlineStr">
        <is>
          <t>Other Practice Paths</t>
        </is>
      </c>
      <c r="B764" s="2" t="inlineStr">
        <is>
          <t>Prepare for ICPC - Past Year Problems</t>
        </is>
      </c>
      <c r="C764" s="2" t="inlineStr">
        <is>
          <t>Prepare for your next ICPC online or onsite round by practicing problems of past years. Get an understanding of the pattern of questions which are asked.</t>
        </is>
      </c>
      <c r="D764" s="2" t="inlineStr">
        <is>
          <t>Asia-Kharagpur Site Onsite Round 2016 - Asia-Kharagpur Site Onsite Round 2016</t>
        </is>
      </c>
      <c r="E764" s="2" t="n">
        <v>196</v>
      </c>
      <c r="F764" s="2" t="inlineStr">
        <is>
          <t>Timestamps</t>
        </is>
      </c>
      <c r="G764" s="2" t="inlineStr">
        <is>
          <t>KGP16C</t>
        </is>
      </c>
      <c r="H764" s="2" t="inlineStr"/>
      <c r="I764" s="2" t="inlineStr">
        <is>
          <t>Hard</t>
        </is>
      </c>
      <c r="J764" s="3">
        <f>HYPERLINK("https://www.codechef.com/problems/KGP16C", "https://www.codechef.com/problems/KGP16C")</f>
        <v/>
      </c>
      <c r="K764" s="2" t="inlineStr"/>
      <c r="L764" s="2" t="inlineStr">
        <is>
          <t>acm16, admin3, greedy, icpc2016, implementation, kgp16</t>
        </is>
      </c>
      <c r="M764" s="2" t="inlineStr"/>
      <c r="N764" s="2" t="inlineStr">
        <is>
          <t>No</t>
        </is>
      </c>
      <c r="O764" s="2" t="inlineStr">
        <is>
          <t>Unattempted</t>
        </is>
      </c>
    </row>
    <row r="765">
      <c r="A765" s="4" t="inlineStr">
        <is>
          <t>Other Practice Paths</t>
        </is>
      </c>
      <c r="B765" s="4" t="inlineStr">
        <is>
          <t>Prepare for ICPC - Past Year Problems</t>
        </is>
      </c>
      <c r="C765" s="4" t="inlineStr">
        <is>
          <t>Prepare for your next ICPC online or onsite round by practicing problems of past years. Get an understanding of the pattern of questions which are asked.</t>
        </is>
      </c>
      <c r="D765" s="4" t="inlineStr">
        <is>
          <t>Asia-Kharagpur Site Onsite Round 2016 - Asia-Kharagpur Site Onsite Round 2016</t>
        </is>
      </c>
      <c r="E765" s="4" t="n">
        <v>197</v>
      </c>
      <c r="F765" s="4" t="inlineStr">
        <is>
          <t>Cookie Flavors</t>
        </is>
      </c>
      <c r="G765" s="4" t="inlineStr">
        <is>
          <t>KGP16K</t>
        </is>
      </c>
      <c r="H765" s="4" t="inlineStr"/>
      <c r="I765" s="4" t="inlineStr">
        <is>
          <t>Hard</t>
        </is>
      </c>
      <c r="J765" s="5">
        <f>HYPERLINK("https://www.codechef.com/problems/KGP16K", "https://www.codechef.com/problems/KGP16K")</f>
        <v/>
      </c>
      <c r="K765" s="4" t="inlineStr"/>
      <c r="L765" s="4" t="inlineStr">
        <is>
          <t>acm-icpc, acm16, admin3, kgp16, knuth-morris-pratt-algorithm, looping</t>
        </is>
      </c>
      <c r="M765" s="4" t="inlineStr"/>
      <c r="N765" s="4" t="inlineStr">
        <is>
          <t>No</t>
        </is>
      </c>
      <c r="O765" s="4" t="inlineStr">
        <is>
          <t>Unattempted</t>
        </is>
      </c>
    </row>
    <row r="766">
      <c r="A766" s="2" t="inlineStr">
        <is>
          <t>Other Practice Paths</t>
        </is>
      </c>
      <c r="B766" s="2" t="inlineStr">
        <is>
          <t>Prepare for ICPC - Past Year Problems</t>
        </is>
      </c>
      <c r="C766" s="2" t="inlineStr">
        <is>
          <t>Prepare for your next ICPC online or onsite round by practicing problems of past years. Get an understanding of the pattern of questions which are asked.</t>
        </is>
      </c>
      <c r="D766" s="2" t="inlineStr">
        <is>
          <t>Asia-Kharagpur Site Onsite Round 2016 - Asia-Kharagpur Site Onsite Round 2016</t>
        </is>
      </c>
      <c r="E766" s="2" t="n">
        <v>198</v>
      </c>
      <c r="F766" s="2" t="inlineStr">
        <is>
          <t>Path by a Castle</t>
        </is>
      </c>
      <c r="G766" s="2" t="inlineStr">
        <is>
          <t>KGP16B</t>
        </is>
      </c>
      <c r="H766" s="2" t="inlineStr"/>
      <c r="I766" s="2" t="inlineStr">
        <is>
          <t>Hard</t>
        </is>
      </c>
      <c r="J766" s="3">
        <f>HYPERLINK("https://www.codechef.com/problems/KGP16B", "https://www.codechef.com/problems/KGP16B")</f>
        <v/>
      </c>
      <c r="K766" s="2" t="inlineStr"/>
      <c r="L766" s="2" t="inlineStr">
        <is>
          <t>acm16, admin3, geometry, icpc2016, kgp16, mathspuzzle, point-in-polygon</t>
        </is>
      </c>
      <c r="M766" s="2" t="inlineStr"/>
      <c r="N766" s="2" t="inlineStr">
        <is>
          <t>No</t>
        </is>
      </c>
      <c r="O766" s="2" t="inlineStr">
        <is>
          <t>Unattempted</t>
        </is>
      </c>
    </row>
    <row r="767">
      <c r="A767" s="4" t="inlineStr">
        <is>
          <t>Other Practice Paths</t>
        </is>
      </c>
      <c r="B767" s="4" t="inlineStr">
        <is>
          <t>Prepare for ICPC - Past Year Problems</t>
        </is>
      </c>
      <c r="C767" s="4" t="inlineStr">
        <is>
          <t>Prepare for your next ICPC online or onsite round by practicing problems of past years. Get an understanding of the pattern of questions which are asked.</t>
        </is>
      </c>
      <c r="D767" s="4" t="inlineStr">
        <is>
          <t>Asia-Kharagpur Site Onsite Round 2016 - Asia-Kharagpur Site Onsite Round 2016</t>
        </is>
      </c>
      <c r="E767" s="4" t="n">
        <v>199</v>
      </c>
      <c r="F767" s="4" t="inlineStr">
        <is>
          <t>Bus Routes</t>
        </is>
      </c>
      <c r="G767" s="4" t="inlineStr">
        <is>
          <t>KGP16J</t>
        </is>
      </c>
      <c r="H767" s="4" t="inlineStr"/>
      <c r="I767" s="4" t="inlineStr">
        <is>
          <t>Hard</t>
        </is>
      </c>
      <c r="J767" s="5">
        <f>HYPERLINK("https://www.codechef.com/problems/KGP16J", "https://www.codechef.com/problems/KGP16J")</f>
        <v/>
      </c>
      <c r="K767" s="4" t="inlineStr"/>
      <c r="L767" s="4" t="inlineStr">
        <is>
          <t>acm16kol, admin3, bellman-ford, graphs, kgp16, mincut-maxflow</t>
        </is>
      </c>
      <c r="M767" s="4" t="inlineStr"/>
      <c r="N767" s="4" t="inlineStr">
        <is>
          <t>No</t>
        </is>
      </c>
      <c r="O767" s="4" t="inlineStr">
        <is>
          <t>Unattempted</t>
        </is>
      </c>
    </row>
    <row r="768">
      <c r="A768" s="2" t="inlineStr">
        <is>
          <t>Other Practice Paths</t>
        </is>
      </c>
      <c r="B768" s="2" t="inlineStr">
        <is>
          <t>Prepare for ICPC - Past Year Problems</t>
        </is>
      </c>
      <c r="C768" s="2" t="inlineStr">
        <is>
          <t>Prepare for your next ICPC online or onsite round by practicing problems of past years. Get an understanding of the pattern of questions which are asked.</t>
        </is>
      </c>
      <c r="D768" s="2" t="inlineStr">
        <is>
          <t>Asia-Kharagpur Site Onsite Round 2016 - Asia-Kharagpur Site Onsite Round 2016</t>
        </is>
      </c>
      <c r="E768" s="2" t="n">
        <v>200</v>
      </c>
      <c r="F768" s="2" t="inlineStr">
        <is>
          <t>Finding Seats</t>
        </is>
      </c>
      <c r="G768" s="2" t="inlineStr">
        <is>
          <t>KGP16A</t>
        </is>
      </c>
      <c r="H768" s="2" t="inlineStr"/>
      <c r="I768" s="2" t="inlineStr">
        <is>
          <t>Hard</t>
        </is>
      </c>
      <c r="J768" s="3">
        <f>HYPERLINK("https://www.codechef.com/problems/KGP16A", "https://www.codechef.com/problems/KGP16A")</f>
        <v/>
      </c>
      <c r="K768" s="2" t="inlineStr"/>
      <c r="L768" s="2" t="inlineStr">
        <is>
          <t>acm16, admin3, dynamic-programming, icpc2016, kgp16, vijju123</t>
        </is>
      </c>
      <c r="M768" s="2" t="inlineStr"/>
      <c r="N768" s="2" t="inlineStr">
        <is>
          <t>No</t>
        </is>
      </c>
      <c r="O768" s="2" t="inlineStr">
        <is>
          <t>Unattempted</t>
        </is>
      </c>
    </row>
    <row r="769">
      <c r="A769" s="4" t="inlineStr">
        <is>
          <t>Other Practice Paths</t>
        </is>
      </c>
      <c r="B769" s="4" t="inlineStr">
        <is>
          <t>Prepare for ICPC - Past Year Problems</t>
        </is>
      </c>
      <c r="C769" s="4" t="inlineStr">
        <is>
          <t>Prepare for your next ICPC online or onsite round by practicing problems of past years. Get an understanding of the pattern of questions which are asked.</t>
        </is>
      </c>
      <c r="D769" s="4" t="inlineStr">
        <is>
          <t>Asia-Kharagpur Site Onsite Round 2016 - Asia-Kharagpur Site Onsite Round 2016</t>
        </is>
      </c>
      <c r="E769" s="4" t="n">
        <v>201</v>
      </c>
      <c r="F769" s="4" t="inlineStr">
        <is>
          <t>Painting a Town</t>
        </is>
      </c>
      <c r="G769" s="4" t="inlineStr">
        <is>
          <t>KGP16G</t>
        </is>
      </c>
      <c r="H769" s="4" t="inlineStr"/>
      <c r="I769" s="4" t="inlineStr">
        <is>
          <t>Hard</t>
        </is>
      </c>
      <c r="J769" s="5">
        <f>HYPERLINK("https://www.codechef.com/problems/KGP16G", "https://www.codechef.com/problems/KGP16G")</f>
        <v/>
      </c>
      <c r="K769" s="4" t="inlineStr"/>
      <c r="L769" s="4" t="inlineStr">
        <is>
          <t>admin3, binary-search, breadth-first-search, brute-force, expected-value, icpc2016, kgp16, pre-computation, probability</t>
        </is>
      </c>
      <c r="M769" s="4" t="inlineStr"/>
      <c r="N769" s="4" t="inlineStr">
        <is>
          <t>No</t>
        </is>
      </c>
      <c r="O769" s="4" t="inlineStr">
        <is>
          <t>Unattempted</t>
        </is>
      </c>
    </row>
    <row r="770">
      <c r="A770" s="2" t="inlineStr">
        <is>
          <t>Other Practice Paths</t>
        </is>
      </c>
      <c r="B770" s="2" t="inlineStr">
        <is>
          <t>Prepare for ICPC - Past Year Problems</t>
        </is>
      </c>
      <c r="C770" s="2" t="inlineStr">
        <is>
          <t>Prepare for your next ICPC online or onsite round by practicing problems of past years. Get an understanding of the pattern of questions which are asked.</t>
        </is>
      </c>
      <c r="D770" s="2" t="inlineStr">
        <is>
          <t>Asia-Kharagpur Site Onsite Round 2016 - Asia-Kharagpur Site Onsite Round 2016</t>
        </is>
      </c>
      <c r="E770" s="2" t="n">
        <v>202</v>
      </c>
      <c r="F770" s="2" t="inlineStr">
        <is>
          <t>Monetize Mania</t>
        </is>
      </c>
      <c r="G770" s="2" t="inlineStr">
        <is>
          <t>KGP16I</t>
        </is>
      </c>
      <c r="H770" s="2" t="inlineStr"/>
      <c r="I770" s="2" t="inlineStr">
        <is>
          <t>Hard</t>
        </is>
      </c>
      <c r="J770" s="3">
        <f>HYPERLINK("https://www.codechef.com/problems/KGP16I", "https://www.codechef.com/problems/KGP16I")</f>
        <v/>
      </c>
      <c r="K770" s="2" t="inlineStr"/>
      <c r="L770" s="2" t="inlineStr">
        <is>
          <t>admin3</t>
        </is>
      </c>
      <c r="M770" s="2" t="inlineStr"/>
      <c r="N770" s="2" t="inlineStr">
        <is>
          <t>No</t>
        </is>
      </c>
      <c r="O770" s="2" t="inlineStr">
        <is>
          <t>Unattempted</t>
        </is>
      </c>
    </row>
    <row r="771">
      <c r="A771" s="4" t="inlineStr">
        <is>
          <t>Other Practice Paths</t>
        </is>
      </c>
      <c r="B771" s="4" t="inlineStr">
        <is>
          <t>Prepare for ICPC - Past Year Problems</t>
        </is>
      </c>
      <c r="C771" s="4" t="inlineStr">
        <is>
          <t>Prepare for your next ICPC online or onsite round by practicing problems of past years. Get an understanding of the pattern of questions which are asked.</t>
        </is>
      </c>
      <c r="D771" s="4" t="inlineStr">
        <is>
          <t>Asia India Regionals Online Round 2016 - Asia India Regionals Online Round 2016</t>
        </is>
      </c>
      <c r="E771" s="4" t="n">
        <v>203</v>
      </c>
      <c r="F771" s="4" t="inlineStr">
        <is>
          <t>Help Lost Robot!</t>
        </is>
      </c>
      <c r="G771" s="4" t="inlineStr">
        <is>
          <t>ICPC16A</t>
        </is>
      </c>
      <c r="H771" s="4" t="inlineStr"/>
      <c r="I771" s="4" t="inlineStr">
        <is>
          <t>Easy</t>
        </is>
      </c>
      <c r="J771" s="5">
        <f>HYPERLINK("https://www.codechef.com/problems/ICPC16A", "https://www.codechef.com/problems/ICPC16A")</f>
        <v/>
      </c>
      <c r="K771" s="4" t="inlineStr"/>
      <c r="L771" s="4" t="inlineStr">
        <is>
          <t>admin3</t>
        </is>
      </c>
      <c r="M771" s="4" t="inlineStr"/>
      <c r="N771" s="4" t="inlineStr">
        <is>
          <t>No</t>
        </is>
      </c>
      <c r="O771" s="4" t="inlineStr">
        <is>
          <t>Unattempted</t>
        </is>
      </c>
    </row>
    <row r="772">
      <c r="A772" s="2" t="inlineStr">
        <is>
          <t>Other Practice Paths</t>
        </is>
      </c>
      <c r="B772" s="2" t="inlineStr">
        <is>
          <t>Prepare for ICPC - Past Year Problems</t>
        </is>
      </c>
      <c r="C772" s="2" t="inlineStr">
        <is>
          <t>Prepare for your next ICPC online or onsite round by practicing problems of past years. Get an understanding of the pattern of questions which are asked.</t>
        </is>
      </c>
      <c r="D772" s="2" t="inlineStr">
        <is>
          <t>Asia India Regionals Online Round 2016 - Asia India Regionals Online Round 2016</t>
        </is>
      </c>
      <c r="E772" s="2" t="n">
        <v>204</v>
      </c>
      <c r="F772" s="2" t="inlineStr">
        <is>
          <t>Beautiful Arrays</t>
        </is>
      </c>
      <c r="G772" s="2" t="inlineStr">
        <is>
          <t>ICPC16B</t>
        </is>
      </c>
      <c r="H772" s="2" t="inlineStr"/>
      <c r="I772" s="2" t="inlineStr">
        <is>
          <t>Hard</t>
        </is>
      </c>
      <c r="J772" s="3">
        <f>HYPERLINK("https://www.codechef.com/problems/ICPC16B", "https://www.codechef.com/problems/ICPC16B")</f>
        <v/>
      </c>
      <c r="K772" s="2" t="inlineStr"/>
      <c r="L772" s="2" t="inlineStr">
        <is>
          <t>admin3</t>
        </is>
      </c>
      <c r="M772" s="2" t="inlineStr"/>
      <c r="N772" s="2" t="inlineStr">
        <is>
          <t>No</t>
        </is>
      </c>
      <c r="O772" s="2" t="inlineStr">
        <is>
          <t>Unattempted</t>
        </is>
      </c>
    </row>
    <row r="773">
      <c r="A773" s="4" t="inlineStr">
        <is>
          <t>Other Practice Paths</t>
        </is>
      </c>
      <c r="B773" s="4" t="inlineStr">
        <is>
          <t>Prepare for ICPC - Past Year Problems</t>
        </is>
      </c>
      <c r="C773" s="4" t="inlineStr">
        <is>
          <t>Prepare for your next ICPC online or onsite round by practicing problems of past years. Get an understanding of the pattern of questions which are asked.</t>
        </is>
      </c>
      <c r="D773" s="4" t="inlineStr">
        <is>
          <t>Asia India Regionals Online Round 2016 - Asia India Regionals Online Round 2016</t>
        </is>
      </c>
      <c r="E773" s="4" t="n">
        <v>205</v>
      </c>
      <c r="F773" s="4" t="inlineStr">
        <is>
          <t>Watson and Digit Sums</t>
        </is>
      </c>
      <c r="G773" s="4" t="inlineStr">
        <is>
          <t>ICPC16C</t>
        </is>
      </c>
      <c r="H773" s="4" t="inlineStr"/>
      <c r="I773" s="4" t="inlineStr">
        <is>
          <t>Hard</t>
        </is>
      </c>
      <c r="J773" s="5">
        <f>HYPERLINK("https://www.codechef.com/problems/ICPC16C", "https://www.codechef.com/problems/ICPC16C")</f>
        <v/>
      </c>
      <c r="K773" s="4" t="inlineStr"/>
      <c r="L773" s="4" t="inlineStr">
        <is>
          <t>admin3</t>
        </is>
      </c>
      <c r="M773" s="4" t="inlineStr"/>
      <c r="N773" s="4" t="inlineStr">
        <is>
          <t>No</t>
        </is>
      </c>
      <c r="O773" s="4" t="inlineStr">
        <is>
          <t>Unattempted</t>
        </is>
      </c>
    </row>
    <row r="774">
      <c r="A774" s="2" t="inlineStr">
        <is>
          <t>Other Practice Paths</t>
        </is>
      </c>
      <c r="B774" s="2" t="inlineStr">
        <is>
          <t>Prepare for ICPC - Past Year Problems</t>
        </is>
      </c>
      <c r="C774" s="2" t="inlineStr">
        <is>
          <t>Prepare for your next ICPC online or onsite round by practicing problems of past years. Get an understanding of the pattern of questions which are asked.</t>
        </is>
      </c>
      <c r="D774" s="2" t="inlineStr">
        <is>
          <t>Asia India Regionals Online Round 2016 - Asia India Regionals Online Round 2016</t>
        </is>
      </c>
      <c r="E774" s="2" t="n">
        <v>206</v>
      </c>
      <c r="F774" s="2" t="inlineStr">
        <is>
          <t>Good Sets</t>
        </is>
      </c>
      <c r="G774" s="2" t="inlineStr">
        <is>
          <t>ICPC16D</t>
        </is>
      </c>
      <c r="H774" s="2" t="inlineStr"/>
      <c r="I774" s="2" t="inlineStr">
        <is>
          <t>Hard</t>
        </is>
      </c>
      <c r="J774" s="3">
        <f>HYPERLINK("https://www.codechef.com/problems/ICPC16D", "https://www.codechef.com/problems/ICPC16D")</f>
        <v/>
      </c>
      <c r="K774" s="2" t="inlineStr"/>
      <c r="L774" s="2" t="inlineStr">
        <is>
          <t>admin3</t>
        </is>
      </c>
      <c r="M774" s="2" t="inlineStr"/>
      <c r="N774" s="2" t="inlineStr">
        <is>
          <t>No</t>
        </is>
      </c>
      <c r="O774" s="2" t="inlineStr">
        <is>
          <t>Unattempted</t>
        </is>
      </c>
    </row>
    <row r="775">
      <c r="A775" s="4" t="inlineStr">
        <is>
          <t>Other Practice Paths</t>
        </is>
      </c>
      <c r="B775" s="4" t="inlineStr">
        <is>
          <t>Prepare for ICPC - Past Year Problems</t>
        </is>
      </c>
      <c r="C775" s="4" t="inlineStr">
        <is>
          <t>Prepare for your next ICPC online or onsite round by practicing problems of past years. Get an understanding of the pattern of questions which are asked.</t>
        </is>
      </c>
      <c r="D775" s="4" t="inlineStr">
        <is>
          <t>Asia India Regionals Online Round 2016 - Asia India Regionals Online Round 2016</t>
        </is>
      </c>
      <c r="E775" s="4" t="n">
        <v>207</v>
      </c>
      <c r="F775" s="4" t="inlineStr">
        <is>
          <t>Colorful Grids</t>
        </is>
      </c>
      <c r="G775" s="4" t="inlineStr">
        <is>
          <t>ICPC16E</t>
        </is>
      </c>
      <c r="H775" s="4" t="inlineStr"/>
      <c r="I775" s="4" t="inlineStr">
        <is>
          <t>Hard</t>
        </is>
      </c>
      <c r="J775" s="5">
        <f>HYPERLINK("https://www.codechef.com/problems/ICPC16E", "https://www.codechef.com/problems/ICPC16E")</f>
        <v/>
      </c>
      <c r="K775" s="4" t="inlineStr"/>
      <c r="L775" s="4" t="inlineStr">
        <is>
          <t>admin3</t>
        </is>
      </c>
      <c r="M775" s="4" t="inlineStr"/>
      <c r="N775" s="4" t="inlineStr">
        <is>
          <t>No</t>
        </is>
      </c>
      <c r="O775" s="4" t="inlineStr">
        <is>
          <t>Unattempted</t>
        </is>
      </c>
    </row>
    <row r="776">
      <c r="A776" s="2" t="inlineStr">
        <is>
          <t>Other Practice Paths</t>
        </is>
      </c>
      <c r="B776" s="2" t="inlineStr">
        <is>
          <t>Prepare for ICPC - Past Year Problems</t>
        </is>
      </c>
      <c r="C776" s="2" t="inlineStr">
        <is>
          <t>Prepare for your next ICPC online or onsite round by practicing problems of past years. Get an understanding of the pattern of questions which are asked.</t>
        </is>
      </c>
      <c r="D776" s="2" t="inlineStr">
        <is>
          <t>Asia India Regionals Online Round 2016 - Asia India Regionals Online Round 2016</t>
        </is>
      </c>
      <c r="E776" s="2" t="n">
        <v>208</v>
      </c>
      <c r="F776" s="2" t="inlineStr">
        <is>
          <t>Robolympic Batons</t>
        </is>
      </c>
      <c r="G776" s="2" t="inlineStr">
        <is>
          <t>ICPC16G</t>
        </is>
      </c>
      <c r="H776" s="2" t="inlineStr"/>
      <c r="I776" s="2" t="inlineStr">
        <is>
          <t>Hard</t>
        </is>
      </c>
      <c r="J776" s="3">
        <f>HYPERLINK("https://www.codechef.com/problems/ICPC16G", "https://www.codechef.com/problems/ICPC16G")</f>
        <v/>
      </c>
      <c r="K776" s="2" t="inlineStr"/>
      <c r="L776" s="2" t="inlineStr">
        <is>
          <t>Combinatorics, FFT, Mathematics, Transformations</t>
        </is>
      </c>
      <c r="M776" s="2" t="inlineStr"/>
      <c r="N776" s="2" t="inlineStr">
        <is>
          <t>No</t>
        </is>
      </c>
      <c r="O776" s="2" t="inlineStr">
        <is>
          <t>Unattempted</t>
        </is>
      </c>
    </row>
    <row r="777">
      <c r="A777" s="4" t="inlineStr">
        <is>
          <t>Other Practice Paths</t>
        </is>
      </c>
      <c r="B777" s="4" t="inlineStr">
        <is>
          <t>Prepare for ICPC - Past Year Problems</t>
        </is>
      </c>
      <c r="C777" s="4" t="inlineStr">
        <is>
          <t>Prepare for your next ICPC online or onsite round by practicing problems of past years. Get an understanding of the pattern of questions which are asked.</t>
        </is>
      </c>
      <c r="D777" s="4" t="inlineStr">
        <is>
          <t>Asia India Regionals Online Round 2016 - Asia India Regionals Online Round 2016</t>
        </is>
      </c>
      <c r="E777" s="4" t="n">
        <v>209</v>
      </c>
      <c r="F777" s="4" t="inlineStr">
        <is>
          <t>Chef and Bipartite Graphs</t>
        </is>
      </c>
      <c r="G777" s="4" t="inlineStr">
        <is>
          <t>ICPC16F</t>
        </is>
      </c>
      <c r="H777" s="4" t="inlineStr"/>
      <c r="I777" s="4" t="inlineStr">
        <is>
          <t>Hard</t>
        </is>
      </c>
      <c r="J777" s="5">
        <f>HYPERLINK("https://www.codechef.com/problems/ICPC16F", "https://www.codechef.com/problems/ICPC16F")</f>
        <v/>
      </c>
      <c r="K777" s="4" t="inlineStr"/>
      <c r="L777" s="4" t="inlineStr">
        <is>
          <t>Algorithms, Bipartite Graphs, Constructive, DP Approach, Data Structures, Dynamic Programming, Graphs, ad-hoc</t>
        </is>
      </c>
      <c r="M777" s="4" t="inlineStr"/>
      <c r="N777" s="4" t="inlineStr">
        <is>
          <t>No</t>
        </is>
      </c>
      <c r="O777" s="4" t="inlineStr">
        <is>
          <t>Unattempted</t>
        </is>
      </c>
    </row>
    <row r="778">
      <c r="A778" s="2" t="inlineStr">
        <is>
          <t>Other Practice Paths</t>
        </is>
      </c>
      <c r="B778" s="2" t="inlineStr">
        <is>
          <t>Prepare for ICPC - Past Year Problems</t>
        </is>
      </c>
      <c r="C778" s="2" t="inlineStr">
        <is>
          <t>Prepare for your next ICPC online or onsite round by practicing problems of past years. Get an understanding of the pattern of questions which are asked.</t>
        </is>
      </c>
      <c r="D778" s="2" t="inlineStr">
        <is>
          <t>Asia-India Finals Onsite Round 2016 - Asia-India Finals Onsite Round 2016</t>
        </is>
      </c>
      <c r="E778" s="2" t="n">
        <v>210</v>
      </c>
      <c r="F778" s="2" t="inlineStr">
        <is>
          <t>Pacman</t>
        </is>
      </c>
      <c r="G778" s="2" t="inlineStr">
        <is>
          <t>INF16I</t>
        </is>
      </c>
      <c r="H778" s="2" t="inlineStr"/>
      <c r="I778" s="2" t="inlineStr">
        <is>
          <t>Hard</t>
        </is>
      </c>
      <c r="J778" s="3">
        <f>HYPERLINK("https://www.codechef.com/problems/INF16I", "https://www.codechef.com/problems/INF16I")</f>
        <v/>
      </c>
      <c r="K778" s="2" t="inlineStr"/>
      <c r="L778" s="2" t="inlineStr">
        <is>
          <t>admin3</t>
        </is>
      </c>
      <c r="M778" s="2" t="inlineStr"/>
      <c r="N778" s="2" t="inlineStr">
        <is>
          <t>No</t>
        </is>
      </c>
      <c r="O778" s="2" t="inlineStr">
        <is>
          <t>Unattempted</t>
        </is>
      </c>
    </row>
    <row r="779">
      <c r="A779" s="4" t="inlineStr">
        <is>
          <t>Other Practice Paths</t>
        </is>
      </c>
      <c r="B779" s="4" t="inlineStr">
        <is>
          <t>Prepare for ICPC - Past Year Problems</t>
        </is>
      </c>
      <c r="C779" s="4" t="inlineStr">
        <is>
          <t>Prepare for your next ICPC online or onsite round by practicing problems of past years. Get an understanding of the pattern of questions which are asked.</t>
        </is>
      </c>
      <c r="D779" s="4" t="inlineStr">
        <is>
          <t>Asia-India Finals Onsite Round 2016 - Asia-India Finals Onsite Round 2016</t>
        </is>
      </c>
      <c r="E779" s="4" t="n">
        <v>211</v>
      </c>
      <c r="F779" s="4" t="inlineStr">
        <is>
          <t>Jumping Frogs III</t>
        </is>
      </c>
      <c r="G779" s="4" t="inlineStr">
        <is>
          <t>INF16E</t>
        </is>
      </c>
      <c r="H779" s="4" t="inlineStr"/>
      <c r="I779" s="4" t="inlineStr">
        <is>
          <t>Hard</t>
        </is>
      </c>
      <c r="J779" s="5">
        <f>HYPERLINK("https://www.codechef.com/problems/INF16E", "https://www.codechef.com/problems/INF16E")</f>
        <v/>
      </c>
      <c r="K779" s="4" t="inlineStr"/>
      <c r="L779" s="4" t="inlineStr">
        <is>
          <t>kol_adm</t>
        </is>
      </c>
      <c r="M779" s="4" t="inlineStr"/>
      <c r="N779" s="4" t="inlineStr">
        <is>
          <t>No</t>
        </is>
      </c>
      <c r="O779" s="4" t="inlineStr">
        <is>
          <t>Unattempted</t>
        </is>
      </c>
    </row>
    <row r="780">
      <c r="A780" s="2" t="inlineStr">
        <is>
          <t>Other Practice Paths</t>
        </is>
      </c>
      <c r="B780" s="2" t="inlineStr">
        <is>
          <t>Prepare for ICPC - Past Year Problems</t>
        </is>
      </c>
      <c r="C780" s="2" t="inlineStr">
        <is>
          <t>Prepare for your next ICPC online or onsite round by practicing problems of past years. Get an understanding of the pattern of questions which are asked.</t>
        </is>
      </c>
      <c r="D780" s="2" t="inlineStr">
        <is>
          <t>Asia-India Finals Onsite Round 2016 - Asia-India Finals Onsite Round 2016</t>
        </is>
      </c>
      <c r="E780" s="2" t="n">
        <v>212</v>
      </c>
      <c r="F780" s="2" t="inlineStr">
        <is>
          <t>Employee Voice Surveys</t>
        </is>
      </c>
      <c r="G780" s="2" t="inlineStr">
        <is>
          <t>INF16H</t>
        </is>
      </c>
      <c r="H780" s="2" t="inlineStr"/>
      <c r="I780" s="2" t="inlineStr">
        <is>
          <t>Hard</t>
        </is>
      </c>
      <c r="J780" s="3">
        <f>HYPERLINK("https://www.codechef.com/problems/INF16H", "https://www.codechef.com/problems/INF16H")</f>
        <v/>
      </c>
      <c r="K780" s="2" t="inlineStr"/>
      <c r="L780" s="2" t="inlineStr">
        <is>
          <t>kol_adm</t>
        </is>
      </c>
      <c r="M780" s="2" t="inlineStr"/>
      <c r="N780" s="2" t="inlineStr">
        <is>
          <t>No</t>
        </is>
      </c>
      <c r="O780" s="2" t="inlineStr">
        <is>
          <t>Unattempted</t>
        </is>
      </c>
    </row>
    <row r="781">
      <c r="A781" s="4" t="inlineStr">
        <is>
          <t>Other Practice Paths</t>
        </is>
      </c>
      <c r="B781" s="4" t="inlineStr">
        <is>
          <t>Prepare for ICPC - Past Year Problems</t>
        </is>
      </c>
      <c r="C781" s="4" t="inlineStr">
        <is>
          <t>Prepare for your next ICPC online or onsite round by practicing problems of past years. Get an understanding of the pattern of questions which are asked.</t>
        </is>
      </c>
      <c r="D781" s="4" t="inlineStr">
        <is>
          <t>Asia-India Finals Onsite Round 2016 - Asia-India Finals Onsite Round 2016</t>
        </is>
      </c>
      <c r="E781" s="4" t="n">
        <v>213</v>
      </c>
      <c r="F781" s="4" t="inlineStr">
        <is>
          <t>Forming Teams Again</t>
        </is>
      </c>
      <c r="G781" s="4" t="inlineStr">
        <is>
          <t>INF16A</t>
        </is>
      </c>
      <c r="H781" s="4" t="inlineStr"/>
      <c r="I781" s="4" t="inlineStr">
        <is>
          <t>Hard</t>
        </is>
      </c>
      <c r="J781" s="5">
        <f>HYPERLINK("https://www.codechef.com/problems/INF16A", "https://www.codechef.com/problems/INF16A")</f>
        <v/>
      </c>
      <c r="K781" s="4" t="inlineStr"/>
      <c r="L781" s="4" t="inlineStr">
        <is>
          <t>kol_adm</t>
        </is>
      </c>
      <c r="M781" s="4" t="inlineStr"/>
      <c r="N781" s="4" t="inlineStr">
        <is>
          <t>No</t>
        </is>
      </c>
      <c r="O781" s="4" t="inlineStr">
        <is>
          <t>Unattempted</t>
        </is>
      </c>
    </row>
    <row r="782">
      <c r="A782" s="2" t="inlineStr">
        <is>
          <t>Other Practice Paths</t>
        </is>
      </c>
      <c r="B782" s="2" t="inlineStr">
        <is>
          <t>Prepare for ICPC - Past Year Problems</t>
        </is>
      </c>
      <c r="C782" s="2" t="inlineStr">
        <is>
          <t>Prepare for your next ICPC online or onsite round by practicing problems of past years. Get an understanding of the pattern of questions which are asked.</t>
        </is>
      </c>
      <c r="D782" s="2" t="inlineStr">
        <is>
          <t>Asia-India Finals Onsite Round 2016 - Asia-India Finals Onsite Round 2016</t>
        </is>
      </c>
      <c r="E782" s="2" t="n">
        <v>214</v>
      </c>
      <c r="F782" s="2" t="inlineStr">
        <is>
          <t>Maximizing Minimum Distance</t>
        </is>
      </c>
      <c r="G782" s="2" t="inlineStr">
        <is>
          <t>INF16C</t>
        </is>
      </c>
      <c r="H782" s="2" t="inlineStr"/>
      <c r="I782" s="2" t="inlineStr">
        <is>
          <t>Hard</t>
        </is>
      </c>
      <c r="J782" s="3">
        <f>HYPERLINK("https://www.codechef.com/problems/INF16C", "https://www.codechef.com/problems/INF16C")</f>
        <v/>
      </c>
      <c r="K782" s="2" t="inlineStr"/>
      <c r="L782" s="2" t="inlineStr">
        <is>
          <t>kol_adm</t>
        </is>
      </c>
      <c r="M782" s="2" t="inlineStr"/>
      <c r="N782" s="2" t="inlineStr">
        <is>
          <t>No</t>
        </is>
      </c>
      <c r="O782" s="2" t="inlineStr">
        <is>
          <t>Unattempted</t>
        </is>
      </c>
    </row>
    <row r="783">
      <c r="A783" s="4" t="inlineStr">
        <is>
          <t>Other Practice Paths</t>
        </is>
      </c>
      <c r="B783" s="4" t="inlineStr">
        <is>
          <t>Prepare for ICPC - Past Year Problems</t>
        </is>
      </c>
      <c r="C783" s="4" t="inlineStr">
        <is>
          <t>Prepare for your next ICPC online or onsite round by practicing problems of past years. Get an understanding of the pattern of questions which are asked.</t>
        </is>
      </c>
      <c r="D783" s="4" t="inlineStr">
        <is>
          <t>Asia-India Finals Onsite Round 2016 - Asia-India Finals Onsite Round 2016</t>
        </is>
      </c>
      <c r="E783" s="4" t="n">
        <v>215</v>
      </c>
      <c r="F783" s="4" t="inlineStr">
        <is>
          <t>Pinocchio</t>
        </is>
      </c>
      <c r="G783" s="4" t="inlineStr">
        <is>
          <t>INF16D</t>
        </is>
      </c>
      <c r="H783" s="4" t="inlineStr"/>
      <c r="I783" s="4" t="inlineStr">
        <is>
          <t>Hard</t>
        </is>
      </c>
      <c r="J783" s="5">
        <f>HYPERLINK("https://www.codechef.com/problems/INF16D", "https://www.codechef.com/problems/INF16D")</f>
        <v/>
      </c>
      <c r="K783" s="4" t="inlineStr"/>
      <c r="L783" s="4" t="inlineStr">
        <is>
          <t>kol_adm</t>
        </is>
      </c>
      <c r="M783" s="4" t="inlineStr"/>
      <c r="N783" s="4" t="inlineStr">
        <is>
          <t>No</t>
        </is>
      </c>
      <c r="O783" s="4" t="inlineStr">
        <is>
          <t>Unattempted</t>
        </is>
      </c>
    </row>
    <row r="784">
      <c r="A784" s="2" t="inlineStr">
        <is>
          <t>Other Practice Paths</t>
        </is>
      </c>
      <c r="B784" s="2" t="inlineStr">
        <is>
          <t>Prepare for ICPC - Past Year Problems</t>
        </is>
      </c>
      <c r="C784" s="2" t="inlineStr">
        <is>
          <t>Prepare for your next ICPC online or onsite round by practicing problems of past years. Get an understanding of the pattern of questions which are asked.</t>
        </is>
      </c>
      <c r="D784" s="2" t="inlineStr">
        <is>
          <t>Asia-India Finals Onsite Round 2016 - Asia-India Finals Onsite Round 2016</t>
        </is>
      </c>
      <c r="E784" s="2" t="n">
        <v>216</v>
      </c>
      <c r="F784" s="2" t="inlineStr">
        <is>
          <t>WiFi Expenses</t>
        </is>
      </c>
      <c r="G784" s="2" t="inlineStr">
        <is>
          <t>INF16L</t>
        </is>
      </c>
      <c r="H784" s="2" t="inlineStr"/>
      <c r="I784" s="2" t="inlineStr">
        <is>
          <t>Hard</t>
        </is>
      </c>
      <c r="J784" s="3">
        <f>HYPERLINK("https://www.codechef.com/problems/INF16L", "https://www.codechef.com/problems/INF16L")</f>
        <v/>
      </c>
      <c r="K784" s="2" t="inlineStr"/>
      <c r="L784" s="2" t="inlineStr">
        <is>
          <t>admin3</t>
        </is>
      </c>
      <c r="M784" s="2" t="inlineStr"/>
      <c r="N784" s="2" t="inlineStr">
        <is>
          <t>No</t>
        </is>
      </c>
      <c r="O784" s="2" t="inlineStr">
        <is>
          <t>Unattempted</t>
        </is>
      </c>
    </row>
    <row r="785">
      <c r="A785" s="4" t="inlineStr">
        <is>
          <t>Other Practice Paths</t>
        </is>
      </c>
      <c r="B785" s="4" t="inlineStr">
        <is>
          <t>Prepare for ICPC - Past Year Problems</t>
        </is>
      </c>
      <c r="C785" s="4" t="inlineStr">
        <is>
          <t>Prepare for your next ICPC online or onsite round by practicing problems of past years. Get an understanding of the pattern of questions which are asked.</t>
        </is>
      </c>
      <c r="D785" s="4" t="inlineStr">
        <is>
          <t>Asia-India Finals Onsite Round 2016 - Asia-India Finals Onsite Round 2016</t>
        </is>
      </c>
      <c r="E785" s="4" t="n">
        <v>217</v>
      </c>
      <c r="F785" s="4" t="inlineStr">
        <is>
          <t>Robbery 101</t>
        </is>
      </c>
      <c r="G785" s="4" t="inlineStr">
        <is>
          <t>INF16B</t>
        </is>
      </c>
      <c r="H785" s="4" t="inlineStr"/>
      <c r="I785" s="4" t="inlineStr">
        <is>
          <t>Hard</t>
        </is>
      </c>
      <c r="J785" s="5">
        <f>HYPERLINK("https://www.codechef.com/problems/INF16B", "https://www.codechef.com/problems/INF16B")</f>
        <v/>
      </c>
      <c r="K785" s="4" t="inlineStr"/>
      <c r="L785" s="4" t="inlineStr">
        <is>
          <t>kol_adm</t>
        </is>
      </c>
      <c r="M785" s="4" t="inlineStr"/>
      <c r="N785" s="4" t="inlineStr">
        <is>
          <t>No</t>
        </is>
      </c>
      <c r="O785" s="4" t="inlineStr">
        <is>
          <t>Unattempted</t>
        </is>
      </c>
    </row>
    <row r="786">
      <c r="A786" s="2" t="inlineStr">
        <is>
          <t>Other Practice Paths</t>
        </is>
      </c>
      <c r="B786" s="2" t="inlineStr">
        <is>
          <t>Prepare for ICPC - Past Year Problems</t>
        </is>
      </c>
      <c r="C786" s="2" t="inlineStr">
        <is>
          <t>Prepare for your next ICPC online or onsite round by practicing problems of past years. Get an understanding of the pattern of questions which are asked.</t>
        </is>
      </c>
      <c r="D786" s="2" t="inlineStr">
        <is>
          <t>Asia-India Finals Onsite Round 2016 - Asia-India Finals Onsite Round 2016</t>
        </is>
      </c>
      <c r="E786" s="2" t="n">
        <v>218</v>
      </c>
      <c r="F786" s="2" t="inlineStr">
        <is>
          <t>Lost in the Cave</t>
        </is>
      </c>
      <c r="G786" s="2" t="inlineStr">
        <is>
          <t>INF16F</t>
        </is>
      </c>
      <c r="H786" s="2" t="inlineStr"/>
      <c r="I786" s="2" t="inlineStr">
        <is>
          <t>Hard</t>
        </is>
      </c>
      <c r="J786" s="3">
        <f>HYPERLINK("https://www.codechef.com/problems/INF16F", "https://www.codechef.com/problems/INF16F")</f>
        <v/>
      </c>
      <c r="K786" s="2" t="inlineStr"/>
      <c r="L786" s="2" t="inlineStr">
        <is>
          <t>kol_adm</t>
        </is>
      </c>
      <c r="M786" s="2" t="inlineStr"/>
      <c r="N786" s="2" t="inlineStr">
        <is>
          <t>No</t>
        </is>
      </c>
      <c r="O786" s="2" t="inlineStr">
        <is>
          <t>Unattempted</t>
        </is>
      </c>
    </row>
    <row r="787">
      <c r="A787" s="4" t="inlineStr">
        <is>
          <t>Other Practice Paths</t>
        </is>
      </c>
      <c r="B787" s="4" t="inlineStr">
        <is>
          <t>Prepare for ICPC - Past Year Problems</t>
        </is>
      </c>
      <c r="C787" s="4" t="inlineStr">
        <is>
          <t>Prepare for your next ICPC online or onsite round by practicing problems of past years. Get an understanding of the pattern of questions which are asked.</t>
        </is>
      </c>
      <c r="D787" s="4" t="inlineStr">
        <is>
          <t>Asia-India Finals Onsite Round 2016 - Asia-India Finals Onsite Round 2016</t>
        </is>
      </c>
      <c r="E787" s="4" t="n">
        <v>219</v>
      </c>
      <c r="F787" s="4" t="inlineStr">
        <is>
          <t>Robots of Robin</t>
        </is>
      </c>
      <c r="G787" s="4" t="inlineStr">
        <is>
          <t>INF16J</t>
        </is>
      </c>
      <c r="H787" s="4" t="inlineStr"/>
      <c r="I787" s="4" t="inlineStr">
        <is>
          <t>Hard</t>
        </is>
      </c>
      <c r="J787" s="5">
        <f>HYPERLINK("https://www.codechef.com/problems/INF16J", "https://www.codechef.com/problems/INF16J")</f>
        <v/>
      </c>
      <c r="K787" s="4" t="inlineStr"/>
      <c r="L787" s="4" t="inlineStr">
        <is>
          <t>admin3</t>
        </is>
      </c>
      <c r="M787" s="4" t="inlineStr"/>
      <c r="N787" s="4" t="inlineStr">
        <is>
          <t>No</t>
        </is>
      </c>
      <c r="O787" s="4" t="inlineStr">
        <is>
          <t>Unattempted</t>
        </is>
      </c>
    </row>
    <row r="788">
      <c r="A788" s="2" t="inlineStr">
        <is>
          <t>Other Practice Paths</t>
        </is>
      </c>
      <c r="B788" s="2" t="inlineStr">
        <is>
          <t>Prepare for ICPC - Past Year Problems</t>
        </is>
      </c>
      <c r="C788" s="2" t="inlineStr">
        <is>
          <t>Prepare for your next ICPC online or onsite round by practicing problems of past years. Get an understanding of the pattern of questions which are asked.</t>
        </is>
      </c>
      <c r="D788" s="2" t="inlineStr">
        <is>
          <t>Asia-India Finals Onsite Round 2016 - Asia-India Finals Onsite Round 2016</t>
        </is>
      </c>
      <c r="E788" s="2" t="n">
        <v>220</v>
      </c>
      <c r="F788" s="2" t="inlineStr">
        <is>
          <t>Road Maintenance</t>
        </is>
      </c>
      <c r="G788" s="2" t="inlineStr">
        <is>
          <t>INF16K</t>
        </is>
      </c>
      <c r="H788" s="2" t="inlineStr"/>
      <c r="I788" s="2" t="inlineStr">
        <is>
          <t>Hard</t>
        </is>
      </c>
      <c r="J788" s="3">
        <f>HYPERLINK("https://www.codechef.com/problems/INF16K", "https://www.codechef.com/problems/INF16K")</f>
        <v/>
      </c>
      <c r="K788" s="2" t="inlineStr"/>
      <c r="L788" s="2" t="inlineStr">
        <is>
          <t>admin3</t>
        </is>
      </c>
      <c r="M788" s="2" t="inlineStr"/>
      <c r="N788" s="2" t="inlineStr">
        <is>
          <t>No</t>
        </is>
      </c>
      <c r="O788" s="2" t="inlineStr">
        <is>
          <t>Unattempted</t>
        </is>
      </c>
    </row>
    <row r="789">
      <c r="A789" s="4" t="inlineStr">
        <is>
          <t>Other Practice Paths</t>
        </is>
      </c>
      <c r="B789" s="4" t="inlineStr">
        <is>
          <t>Prepare for ICPC - Past Year Problems</t>
        </is>
      </c>
      <c r="C789" s="4" t="inlineStr">
        <is>
          <t>Prepare for your next ICPC online or onsite round by practicing problems of past years. Get an understanding of the pattern of questions which are asked.</t>
        </is>
      </c>
      <c r="D789" s="4" t="inlineStr">
        <is>
          <t>Asia-Chennai Site Onsite Round 2015 - Asia-Chennai Site Onsite Round 2015</t>
        </is>
      </c>
      <c r="E789" s="4" t="n">
        <v>221</v>
      </c>
      <c r="F789" s="4" t="inlineStr">
        <is>
          <t>Malvika conducts a Programming Camp</t>
        </is>
      </c>
      <c r="G789" s="4" t="inlineStr">
        <is>
          <t>CHN05</t>
        </is>
      </c>
      <c r="H789" s="4" t="inlineStr"/>
      <c r="I789" s="4" t="inlineStr">
        <is>
          <t>Hard</t>
        </is>
      </c>
      <c r="J789" s="5">
        <f>HYPERLINK("https://www.codechef.com/problems/CHN05", "https://www.codechef.com/problems/CHN05")</f>
        <v/>
      </c>
      <c r="K789" s="4" t="inlineStr"/>
      <c r="L789" s="4" t="inlineStr">
        <is>
          <t>Algorithms, Basic Math, Constructive, Greedy, Mathematics, ad-hoc</t>
        </is>
      </c>
      <c r="M789" s="4" t="inlineStr"/>
      <c r="N789" s="4" t="inlineStr">
        <is>
          <t>No</t>
        </is>
      </c>
      <c r="O789" s="4" t="inlineStr">
        <is>
          <t>Unattempted</t>
        </is>
      </c>
    </row>
    <row r="790">
      <c r="A790" s="2" t="inlineStr">
        <is>
          <t>Other Practice Paths</t>
        </is>
      </c>
      <c r="B790" s="2" t="inlineStr">
        <is>
          <t>Prepare for ICPC - Past Year Problems</t>
        </is>
      </c>
      <c r="C790" s="2" t="inlineStr">
        <is>
          <t>Prepare for your next ICPC online or onsite round by practicing problems of past years. Get an understanding of the pattern of questions which are asked.</t>
        </is>
      </c>
      <c r="D790" s="2" t="inlineStr">
        <is>
          <t>Asia-Chennai Site Onsite Round 2015 - Asia-Chennai Site Onsite Round 2015</t>
        </is>
      </c>
      <c r="E790" s="2" t="n">
        <v>222</v>
      </c>
      <c r="F790" s="2" t="inlineStr">
        <is>
          <t>Crazy Malvika discovers Crazy Fibonacci function</t>
        </is>
      </c>
      <c r="G790" s="2" t="inlineStr">
        <is>
          <t>CHN08</t>
        </is>
      </c>
      <c r="H790" s="2" t="inlineStr"/>
      <c r="I790" s="2" t="inlineStr">
        <is>
          <t>Hard</t>
        </is>
      </c>
      <c r="J790" s="3">
        <f>HYPERLINK("https://www.codechef.com/problems/CHN08", "https://www.codechef.com/problems/CHN08")</f>
        <v/>
      </c>
      <c r="K790" s="2" t="inlineStr"/>
      <c r="L790" s="2" t="inlineStr">
        <is>
          <t>acm15chn, admin2, modulo, recurrence</t>
        </is>
      </c>
      <c r="M790" s="2" t="inlineStr"/>
      <c r="N790" s="2" t="inlineStr">
        <is>
          <t>No</t>
        </is>
      </c>
      <c r="O790" s="2" t="inlineStr">
        <is>
          <t>Unattempted</t>
        </is>
      </c>
    </row>
    <row r="791">
      <c r="A791" s="4" t="inlineStr">
        <is>
          <t>Other Practice Paths</t>
        </is>
      </c>
      <c r="B791" s="4" t="inlineStr">
        <is>
          <t>Prepare for ICPC - Past Year Problems</t>
        </is>
      </c>
      <c r="C791" s="4" t="inlineStr">
        <is>
          <t>Prepare for your next ICPC online or onsite round by practicing problems of past years. Get an understanding of the pattern of questions which are asked.</t>
        </is>
      </c>
      <c r="D791" s="4" t="inlineStr">
        <is>
          <t>Asia-Chennai Site Onsite Round 2015 - Asia-Chennai Site Onsite Round 2015</t>
        </is>
      </c>
      <c r="E791" s="4" t="n">
        <v>223</v>
      </c>
      <c r="F791" s="4" t="inlineStr">
        <is>
          <t>Malvika conducts her own ACM-ICPC contest series</t>
        </is>
      </c>
      <c r="G791" s="4" t="inlineStr">
        <is>
          <t>CHN01</t>
        </is>
      </c>
      <c r="H791" s="4" t="inlineStr"/>
      <c r="I791" s="4" t="inlineStr">
        <is>
          <t>Medium</t>
        </is>
      </c>
      <c r="J791" s="5">
        <f>HYPERLINK("https://www.codechef.com/problems/CHN01", "https://www.codechef.com/problems/CHN01")</f>
        <v/>
      </c>
      <c r="K791" s="4" t="inlineStr"/>
      <c r="L791" s="4" t="inlineStr">
        <is>
          <t>acm15chn, admin2, binary-search</t>
        </is>
      </c>
      <c r="M791" s="4" t="inlineStr"/>
      <c r="N791" s="4" t="inlineStr">
        <is>
          <t>No</t>
        </is>
      </c>
      <c r="O791" s="4" t="inlineStr">
        <is>
          <t>Unattempted</t>
        </is>
      </c>
    </row>
    <row r="792">
      <c r="A792" s="2" t="inlineStr">
        <is>
          <t>Other Practice Paths</t>
        </is>
      </c>
      <c r="B792" s="2" t="inlineStr">
        <is>
          <t>Prepare for ICPC - Past Year Problems</t>
        </is>
      </c>
      <c r="C792" s="2" t="inlineStr">
        <is>
          <t>Prepare for your next ICPC online or onsite round by practicing problems of past years. Get an understanding of the pattern of questions which are asked.</t>
        </is>
      </c>
      <c r="D792" s="2" t="inlineStr">
        <is>
          <t>Asia-Chennai Site Onsite Round 2015 - Asia-Chennai Site Onsite Round 2015</t>
        </is>
      </c>
      <c r="E792" s="2" t="n">
        <v>224</v>
      </c>
      <c r="F792" s="2" t="inlineStr">
        <is>
          <t>Animesh practices some programming contests</t>
        </is>
      </c>
      <c r="G792" s="2" t="inlineStr">
        <is>
          <t>CHN03</t>
        </is>
      </c>
      <c r="H792" s="2" t="inlineStr"/>
      <c r="I792" s="2" t="inlineStr">
        <is>
          <t>Hard</t>
        </is>
      </c>
      <c r="J792" s="3">
        <f>HYPERLINK("https://www.codechef.com/problems/CHN03", "https://www.codechef.com/problems/CHN03")</f>
        <v/>
      </c>
      <c r="K792" s="2" t="inlineStr"/>
      <c r="L792" s="2" t="inlineStr">
        <is>
          <t>acm15chn, admin2, dynamic-programming</t>
        </is>
      </c>
      <c r="M792" s="2" t="inlineStr"/>
      <c r="N792" s="2" t="inlineStr">
        <is>
          <t>No</t>
        </is>
      </c>
      <c r="O792" s="2" t="inlineStr">
        <is>
          <t>Unattempted</t>
        </is>
      </c>
    </row>
    <row r="793">
      <c r="A793" s="4" t="inlineStr">
        <is>
          <t>Other Practice Paths</t>
        </is>
      </c>
      <c r="B793" s="4" t="inlineStr">
        <is>
          <t>Prepare for ICPC - Past Year Problems</t>
        </is>
      </c>
      <c r="C793" s="4" t="inlineStr">
        <is>
          <t>Prepare for your next ICPC online or onsite round by practicing problems of past years. Get an understanding of the pattern of questions which are asked.</t>
        </is>
      </c>
      <c r="D793" s="4" t="inlineStr">
        <is>
          <t>Asia-Chennai Site Onsite Round 2015 - Asia-Chennai Site Onsite Round 2015</t>
        </is>
      </c>
      <c r="E793" s="4" t="n">
        <v>225</v>
      </c>
      <c r="F793" s="4" t="inlineStr">
        <is>
          <t>Malvika and Animesh play Red-Blue cards Game</t>
        </is>
      </c>
      <c r="G793" s="4" t="inlineStr">
        <is>
          <t>CHN07</t>
        </is>
      </c>
      <c r="H793" s="4" t="inlineStr"/>
      <c r="I793" s="4" t="inlineStr">
        <is>
          <t>Hard</t>
        </is>
      </c>
      <c r="J793" s="5">
        <f>HYPERLINK("https://www.codechef.com/problems/CHN07", "https://www.codechef.com/problems/CHN07")</f>
        <v/>
      </c>
      <c r="K793" s="4" t="inlineStr"/>
      <c r="L793" s="4" t="inlineStr">
        <is>
          <t>Algorithms, Game Theory, Mathematics</t>
        </is>
      </c>
      <c r="M793" s="4" t="inlineStr"/>
      <c r="N793" s="4" t="inlineStr">
        <is>
          <t>No</t>
        </is>
      </c>
      <c r="O793" s="4" t="inlineStr">
        <is>
          <t>Unattempted</t>
        </is>
      </c>
    </row>
    <row r="794">
      <c r="A794" s="2" t="inlineStr">
        <is>
          <t>Other Practice Paths</t>
        </is>
      </c>
      <c r="B794" s="2" t="inlineStr">
        <is>
          <t>Prepare for ICPC - Past Year Problems</t>
        </is>
      </c>
      <c r="C794" s="2" t="inlineStr">
        <is>
          <t>Prepare for your next ICPC online or onsite round by practicing problems of past years. Get an understanding of the pattern of questions which are asked.</t>
        </is>
      </c>
      <c r="D794" s="2" t="inlineStr">
        <is>
          <t>Asia-Chennai Site Onsite Round 2015 - Asia-Chennai Site Onsite Round 2015</t>
        </is>
      </c>
      <c r="E794" s="2" t="n">
        <v>226</v>
      </c>
      <c r="F794" s="2" t="inlineStr">
        <is>
          <t>Animesh decides to settle down</t>
        </is>
      </c>
      <c r="G794" s="2" t="inlineStr">
        <is>
          <t>CHN02</t>
        </is>
      </c>
      <c r="H794" s="2" t="inlineStr"/>
      <c r="I794" s="2" t="inlineStr">
        <is>
          <t>Hard</t>
        </is>
      </c>
      <c r="J794" s="3">
        <f>HYPERLINK("https://www.codechef.com/problems/CHN02", "https://www.codechef.com/problems/CHN02")</f>
        <v/>
      </c>
      <c r="K794" s="2" t="inlineStr"/>
      <c r="L794" s="2" t="inlineStr">
        <is>
          <t>Advanced Algorithms, Computational Geometry, Convex Hull, Half-plane intersection, Polygons</t>
        </is>
      </c>
      <c r="M794" s="2" t="inlineStr"/>
      <c r="N794" s="2" t="inlineStr">
        <is>
          <t>No</t>
        </is>
      </c>
      <c r="O794" s="2" t="inlineStr">
        <is>
          <t>Unattempted</t>
        </is>
      </c>
    </row>
    <row r="795">
      <c r="A795" s="4" t="inlineStr">
        <is>
          <t>Other Practice Paths</t>
        </is>
      </c>
      <c r="B795" s="4" t="inlineStr">
        <is>
          <t>Prepare for ICPC - Past Year Problems</t>
        </is>
      </c>
      <c r="C795" s="4" t="inlineStr">
        <is>
          <t>Prepare for your next ICPC online or onsite round by practicing problems of past years. Get an understanding of the pattern of questions which are asked.</t>
        </is>
      </c>
      <c r="D795" s="4" t="inlineStr">
        <is>
          <t>Asia-Chennai Site Onsite Round 2015 - Asia-Chennai Site Onsite Round 2015</t>
        </is>
      </c>
      <c r="E795" s="4" t="n">
        <v>227</v>
      </c>
      <c r="F795" s="4" t="inlineStr">
        <is>
          <t>Animesh does not gift Malvika on her birthday</t>
        </is>
      </c>
      <c r="G795" s="4" t="inlineStr">
        <is>
          <t>CHN10</t>
        </is>
      </c>
      <c r="H795" s="4" t="inlineStr"/>
      <c r="I795" s="4" t="inlineStr">
        <is>
          <t>Hard</t>
        </is>
      </c>
      <c r="J795" s="5">
        <f>HYPERLINK("https://www.codechef.com/problems/CHN10", "https://www.codechef.com/problems/CHN10")</f>
        <v/>
      </c>
      <c r="K795" s="4" t="inlineStr"/>
      <c r="L795" s="4" t="inlineStr">
        <is>
          <t>Algorithms, DFS, Graph Algos, Mathematics, Modular Arithmetic, Modular Exponentiation, Traversals</t>
        </is>
      </c>
      <c r="M795" s="4" t="inlineStr"/>
      <c r="N795" s="4" t="inlineStr">
        <is>
          <t>No</t>
        </is>
      </c>
      <c r="O795" s="4" t="inlineStr">
        <is>
          <t>Unattempted</t>
        </is>
      </c>
    </row>
    <row r="796">
      <c r="A796" s="2" t="inlineStr">
        <is>
          <t>Other Practice Paths</t>
        </is>
      </c>
      <c r="B796" s="2" t="inlineStr">
        <is>
          <t>Prepare for ICPC - Past Year Problems</t>
        </is>
      </c>
      <c r="C796" s="2" t="inlineStr">
        <is>
          <t>Prepare for your next ICPC online or onsite round by practicing problems of past years. Get an understanding of the pattern of questions which are asked.</t>
        </is>
      </c>
      <c r="D796" s="2" t="inlineStr">
        <is>
          <t>Asia-Chennai Site Onsite Round 2015 - Asia-Chennai Site Onsite Round 2015</t>
        </is>
      </c>
      <c r="E796" s="2" t="n">
        <v>228</v>
      </c>
      <c r="F796" s="2" t="inlineStr">
        <is>
          <t>Malvika gets bored along with her Cats</t>
        </is>
      </c>
      <c r="G796" s="2" t="inlineStr">
        <is>
          <t>CHN04</t>
        </is>
      </c>
      <c r="H796" s="2" t="inlineStr"/>
      <c r="I796" s="2" t="inlineStr">
        <is>
          <t>Hard</t>
        </is>
      </c>
      <c r="J796" s="3">
        <f>HYPERLINK("https://www.codechef.com/problems/CHN04", "https://www.codechef.com/problems/CHN04")</f>
        <v/>
      </c>
      <c r="K796" s="2" t="inlineStr"/>
      <c r="L796" s="2" t="inlineStr">
        <is>
          <t>acm15chn, admin2, dynamic-programming, sqrt-decomp</t>
        </is>
      </c>
      <c r="M796" s="2" t="inlineStr"/>
      <c r="N796" s="2" t="inlineStr">
        <is>
          <t>No</t>
        </is>
      </c>
      <c r="O796" s="2" t="inlineStr">
        <is>
          <t>Unattempted</t>
        </is>
      </c>
    </row>
    <row r="797">
      <c r="A797" s="4" t="inlineStr">
        <is>
          <t>Other Practice Paths</t>
        </is>
      </c>
      <c r="B797" s="4" t="inlineStr">
        <is>
          <t>Prepare for ICPC - Past Year Problems</t>
        </is>
      </c>
      <c r="C797" s="4" t="inlineStr">
        <is>
          <t>Prepare for your next ICPC online or onsite round by practicing problems of past years. Get an understanding of the pattern of questions which are asked.</t>
        </is>
      </c>
      <c r="D797" s="4" t="inlineStr">
        <is>
          <t>Asia-Chennai Site Onsite Round 2015 - Asia-Chennai Site Onsite Round 2015</t>
        </is>
      </c>
      <c r="E797" s="4" t="n">
        <v>229</v>
      </c>
      <c r="F797" s="4" t="inlineStr">
        <is>
          <t>King Animesh decides to have a voyage to the sun</t>
        </is>
      </c>
      <c r="G797" s="4" t="inlineStr">
        <is>
          <t>CHN06</t>
        </is>
      </c>
      <c r="H797" s="4" t="inlineStr"/>
      <c r="I797" s="4" t="inlineStr">
        <is>
          <t>Hard</t>
        </is>
      </c>
      <c r="J797" s="5">
        <f>HYPERLINK("https://www.codechef.com/problems/CHN06", "https://www.codechef.com/problems/CHN06")</f>
        <v/>
      </c>
      <c r="K797" s="4" t="inlineStr"/>
      <c r="L797" s="4" t="inlineStr">
        <is>
          <t>Advanced Algorithms, Advanced Graph Algos, Algorithms, DFS, Flow Networks, Graph Algos, Maximum Bipartite Matching, Traversals</t>
        </is>
      </c>
      <c r="M797" s="4" t="inlineStr"/>
      <c r="N797" s="4" t="inlineStr">
        <is>
          <t>No</t>
        </is>
      </c>
      <c r="O797" s="4" t="inlineStr">
        <is>
          <t>Unattempted</t>
        </is>
      </c>
    </row>
    <row r="798">
      <c r="A798" s="2" t="inlineStr">
        <is>
          <t>Other Practice Paths</t>
        </is>
      </c>
      <c r="B798" s="2" t="inlineStr">
        <is>
          <t>Prepare for ICPC - Past Year Problems</t>
        </is>
      </c>
      <c r="C798" s="2" t="inlineStr">
        <is>
          <t>Prepare for your next ICPC online or onsite round by practicing problems of past years. Get an understanding of the pattern of questions which are asked.</t>
        </is>
      </c>
      <c r="D798" s="2" t="inlineStr">
        <is>
          <t>Asia-Chennai Site Onsite Round 2015 - Asia-Chennai Site Onsite Round 2015</t>
        </is>
      </c>
      <c r="E798" s="2" t="n">
        <v>230</v>
      </c>
      <c r="F798" s="2" t="inlineStr">
        <is>
          <t>Malvika is peculiar about color of balloons</t>
        </is>
      </c>
      <c r="G798" s="2" t="inlineStr">
        <is>
          <t>CHN09</t>
        </is>
      </c>
      <c r="H798" s="2" t="inlineStr">
        <is>
          <t>988</t>
        </is>
      </c>
      <c r="I798" s="2" t="inlineStr">
        <is>
          <t>Easy</t>
        </is>
      </c>
      <c r="J798" s="3">
        <f>HYPERLINK("https://www.codechef.com/problems/CHN09", "https://www.codechef.com/problems/CHN09")</f>
        <v/>
      </c>
      <c r="K798" s="2" t="inlineStr"/>
      <c r="L798" s="2" t="inlineStr">
        <is>
          <t>Algorithms, Brute Force, Implementation</t>
        </is>
      </c>
      <c r="M798" s="2" t="inlineStr"/>
      <c r="N798" s="2" t="inlineStr">
        <is>
          <t>No</t>
        </is>
      </c>
      <c r="O798" s="2" t="inlineStr">
        <is>
          <t>Unattempted</t>
        </is>
      </c>
    </row>
    <row r="799">
      <c r="A799" s="4" t="inlineStr">
        <is>
          <t>Other Practice Paths</t>
        </is>
      </c>
      <c r="B799" s="4" t="inlineStr">
        <is>
          <t>Prepare for ICPC - Past Year Problems</t>
        </is>
      </c>
      <c r="C799" s="4" t="inlineStr">
        <is>
          <t>Prepare for your next ICPC online or onsite round by practicing problems of past years. Get an understanding of the pattern of questions which are asked.</t>
        </is>
      </c>
      <c r="D799" s="4" t="inlineStr">
        <is>
          <t>Asia-Chennai Site Onsite Round 2015 - Asia-Chennai Site Onsite Round 2015</t>
        </is>
      </c>
      <c r="E799" s="4" t="n">
        <v>231</v>
      </c>
      <c r="F799" s="4" t="inlineStr">
        <is>
          <t>Animesh has a war with tribal leader Malvika</t>
        </is>
      </c>
      <c r="G799" s="4" t="inlineStr">
        <is>
          <t>CHN11</t>
        </is>
      </c>
      <c r="H799" s="4" t="inlineStr"/>
      <c r="I799" s="4" t="inlineStr">
        <is>
          <t>Hard</t>
        </is>
      </c>
      <c r="J799" s="5">
        <f>HYPERLINK("https://www.codechef.com/problems/CHN11", "https://www.codechef.com/problems/CHN11")</f>
        <v/>
      </c>
      <c r="K799" s="4" t="inlineStr"/>
      <c r="L799" s="4" t="inlineStr">
        <is>
          <t>Algorithms, Arrays, Combinatorics, Data Structures, Frequency Arrays, Hashmaps, Mathematics, Sorting</t>
        </is>
      </c>
      <c r="M799" s="4" t="inlineStr"/>
      <c r="N799" s="4" t="inlineStr">
        <is>
          <t>No</t>
        </is>
      </c>
      <c r="O799" s="4" t="inlineStr">
        <is>
          <t>Unattempted</t>
        </is>
      </c>
    </row>
    <row r="800">
      <c r="A800" s="2" t="inlineStr">
        <is>
          <t>Other Practice Paths</t>
        </is>
      </c>
      <c r="B800" s="2" t="inlineStr">
        <is>
          <t>Prepare for ICPC - Past Year Problems</t>
        </is>
      </c>
      <c r="C800" s="2" t="inlineStr">
        <is>
          <t>Prepare for your next ICPC online or onsite round by practicing problems of past years. Get an understanding of the pattern of questions which are asked.</t>
        </is>
      </c>
      <c r="D800" s="2" t="inlineStr">
        <is>
          <t>Asia-Chennai Site Onsite Round 2015 - Asia-Chennai Site Onsite Round 2015</t>
        </is>
      </c>
      <c r="E800" s="2" t="n">
        <v>232</v>
      </c>
      <c r="F800" s="2" t="inlineStr">
        <is>
          <t>Praveen falls from a tall tree</t>
        </is>
      </c>
      <c r="G800" s="2" t="inlineStr">
        <is>
          <t>CHN12</t>
        </is>
      </c>
      <c r="H800" s="2" t="inlineStr"/>
      <c r="I800" s="2" t="inlineStr">
        <is>
          <t>Hard</t>
        </is>
      </c>
      <c r="J800" s="3">
        <f>HYPERLINK("https://www.codechef.com/problems/CHN12", "https://www.codechef.com/problems/CHN12")</f>
        <v/>
      </c>
      <c r="K800" s="2" t="inlineStr"/>
      <c r="L800" s="2" t="inlineStr">
        <is>
          <t>acm15chn, admin2, lowest-common-ancestor, trees</t>
        </is>
      </c>
      <c r="M800" s="2" t="inlineStr"/>
      <c r="N800" s="2" t="inlineStr">
        <is>
          <t>No</t>
        </is>
      </c>
      <c r="O800" s="2" t="inlineStr">
        <is>
          <t>Unattempted</t>
        </is>
      </c>
    </row>
    <row r="801">
      <c r="A801" s="4" t="inlineStr">
        <is>
          <t>Other Practice Paths</t>
        </is>
      </c>
      <c r="B801" s="4" t="inlineStr">
        <is>
          <t>Prepare for ICPC - Past Year Problems</t>
        </is>
      </c>
      <c r="C801" s="4" t="inlineStr">
        <is>
          <t>Prepare for your next ICPC online or onsite round by practicing problems of past years. Get an understanding of the pattern of questions which are asked.</t>
        </is>
      </c>
      <c r="D801" s="4" t="inlineStr">
        <is>
          <t>Asia-Kolkata Site Onsite Round 2015 - Asia-Kolkata Site Onsite Round 2015</t>
        </is>
      </c>
      <c r="E801" s="4" t="n">
        <v>233</v>
      </c>
      <c r="F801" s="4" t="inlineStr">
        <is>
          <t>Jalebi Bai and Decks of Sweets</t>
        </is>
      </c>
      <c r="G801" s="4" t="inlineStr">
        <is>
          <t>KOL1505</t>
        </is>
      </c>
      <c r="H801" s="4" t="inlineStr"/>
      <c r="I801" s="4" t="inlineStr">
        <is>
          <t>Medium</t>
        </is>
      </c>
      <c r="J801" s="5">
        <f>HYPERLINK("https://www.codechef.com/problems/KOL1505", "https://www.codechef.com/problems/KOL1505")</f>
        <v/>
      </c>
      <c r="K801" s="4" t="inlineStr"/>
      <c r="L801" s="4" t="inlineStr">
        <is>
          <t>Data Structures, String</t>
        </is>
      </c>
      <c r="M801" s="4" t="inlineStr"/>
      <c r="N801" s="4" t="inlineStr">
        <is>
          <t>No</t>
        </is>
      </c>
      <c r="O801" s="4" t="inlineStr">
        <is>
          <t>Unattempted</t>
        </is>
      </c>
    </row>
    <row r="802">
      <c r="A802" s="2" t="inlineStr">
        <is>
          <t>Other Practice Paths</t>
        </is>
      </c>
      <c r="B802" s="2" t="inlineStr">
        <is>
          <t>Prepare for ICPC - Past Year Problems</t>
        </is>
      </c>
      <c r="C802" s="2" t="inlineStr">
        <is>
          <t>Prepare for your next ICPC online or onsite round by practicing problems of past years. Get an understanding of the pattern of questions which are asked.</t>
        </is>
      </c>
      <c r="D802" s="2" t="inlineStr">
        <is>
          <t>Asia-Kolkata Site Onsite Round 2015 - Asia-Kolkata Site Onsite Round 2015</t>
        </is>
      </c>
      <c r="E802" s="2" t="n">
        <v>234</v>
      </c>
      <c r="F802" s="2" t="inlineStr">
        <is>
          <t>The making of a cake</t>
        </is>
      </c>
      <c r="G802" s="2" t="inlineStr">
        <is>
          <t>KOL1504</t>
        </is>
      </c>
      <c r="H802" s="2" t="inlineStr"/>
      <c r="I802" s="2" t="inlineStr">
        <is>
          <t>Hard</t>
        </is>
      </c>
      <c r="J802" s="3">
        <f>HYPERLINK("https://www.codechef.com/problems/KOL1504", "https://www.codechef.com/problems/KOL1504")</f>
        <v/>
      </c>
      <c r="K802" s="2" t="inlineStr"/>
      <c r="L802" s="2" t="inlineStr">
        <is>
          <t>Algorithms, Basic Math, Constructive, Mathematics, ad-hoc</t>
        </is>
      </c>
      <c r="M802" s="2" t="inlineStr"/>
      <c r="N802" s="2" t="inlineStr">
        <is>
          <t>No</t>
        </is>
      </c>
      <c r="O802" s="2" t="inlineStr">
        <is>
          <t>Unattempted</t>
        </is>
      </c>
    </row>
    <row r="803">
      <c r="A803" s="4" t="inlineStr">
        <is>
          <t>Other Practice Paths</t>
        </is>
      </c>
      <c r="B803" s="4" t="inlineStr">
        <is>
          <t>Prepare for ICPC - Past Year Problems</t>
        </is>
      </c>
      <c r="C803" s="4" t="inlineStr">
        <is>
          <t>Prepare for your next ICPC online or onsite round by practicing problems of past years. Get an understanding of the pattern of questions which are asked.</t>
        </is>
      </c>
      <c r="D803" s="4" t="inlineStr">
        <is>
          <t>Asia-Kolkata Site Onsite Round 2015 - Asia-Kolkata Site Onsite Round 2015</t>
        </is>
      </c>
      <c r="E803" s="4" t="n">
        <v>235</v>
      </c>
      <c r="F803" s="4" t="inlineStr">
        <is>
          <t>The Christmas Gift</t>
        </is>
      </c>
      <c r="G803" s="4" t="inlineStr">
        <is>
          <t>KOL1502</t>
        </is>
      </c>
      <c r="H803" s="4" t="inlineStr"/>
      <c r="I803" s="4" t="inlineStr">
        <is>
          <t>Hard</t>
        </is>
      </c>
      <c r="J803" s="5">
        <f>HYPERLINK("https://www.codechef.com/problems/KOL1502", "https://www.codechef.com/problems/KOL1502")</f>
        <v/>
      </c>
      <c r="K803" s="4" t="inlineStr"/>
      <c r="L803" s="4" t="inlineStr">
        <is>
          <t>Algorithms, Dynamic Programming, Recurrence Relation, Recursion</t>
        </is>
      </c>
      <c r="M803" s="4" t="inlineStr"/>
      <c r="N803" s="4" t="inlineStr">
        <is>
          <t>No</t>
        </is>
      </c>
      <c r="O803" s="4" t="inlineStr">
        <is>
          <t>Unattempted</t>
        </is>
      </c>
    </row>
    <row r="804">
      <c r="A804" s="2" t="inlineStr">
        <is>
          <t>Other Practice Paths</t>
        </is>
      </c>
      <c r="B804" s="2" t="inlineStr">
        <is>
          <t>Prepare for ICPC - Past Year Problems</t>
        </is>
      </c>
      <c r="C804" s="2" t="inlineStr">
        <is>
          <t>Prepare for your next ICPC online or onsite round by practicing problems of past years. Get an understanding of the pattern of questions which are asked.</t>
        </is>
      </c>
      <c r="D804" s="2" t="inlineStr">
        <is>
          <t>Asia-Kolkata Site Onsite Round 2015 - Asia-Kolkata Site Onsite Round 2015</t>
        </is>
      </c>
      <c r="E804" s="2" t="n">
        <v>236</v>
      </c>
      <c r="F804" s="2" t="inlineStr">
        <is>
          <t>Save The Trees</t>
        </is>
      </c>
      <c r="G804" s="2" t="inlineStr">
        <is>
          <t>KOL1509</t>
        </is>
      </c>
      <c r="H804" s="2" t="inlineStr"/>
      <c r="I804" s="2" t="inlineStr">
        <is>
          <t>Hard</t>
        </is>
      </c>
      <c r="J804" s="3">
        <f>HYPERLINK("https://www.codechef.com/problems/KOL1509", "https://www.codechef.com/problems/KOL1509")</f>
        <v/>
      </c>
      <c r="K804" s="2" t="inlineStr"/>
      <c r="L804" s="2" t="inlineStr">
        <is>
          <t>Advanced Algorithms, Algorithms, Basic Math, Cartesian Coordinate System, Computational Geometry, Constructive, Convex Hull, Geometry, Mathematics, Observation, Polygons, ad-hoc</t>
        </is>
      </c>
      <c r="M804" s="2" t="inlineStr"/>
      <c r="N804" s="2" t="inlineStr">
        <is>
          <t>No</t>
        </is>
      </c>
      <c r="O804" s="2" t="inlineStr">
        <is>
          <t>Unattempted</t>
        </is>
      </c>
    </row>
    <row r="805">
      <c r="A805" s="4" t="inlineStr">
        <is>
          <t>Other Practice Paths</t>
        </is>
      </c>
      <c r="B805" s="4" t="inlineStr">
        <is>
          <t>Prepare for ICPC - Past Year Problems</t>
        </is>
      </c>
      <c r="C805" s="4" t="inlineStr">
        <is>
          <t>Prepare for your next ICPC online or onsite round by practicing problems of past years. Get an understanding of the pattern of questions which are asked.</t>
        </is>
      </c>
      <c r="D805" s="4" t="inlineStr">
        <is>
          <t>Asia-Kolkata Site Onsite Round 2015 - Asia-Kolkata Site Onsite Round 2015</t>
        </is>
      </c>
      <c r="E805" s="4" t="n">
        <v>237</v>
      </c>
      <c r="F805" s="4" t="inlineStr">
        <is>
          <t>Samosa Bhai and his Courier Company</t>
        </is>
      </c>
      <c r="G805" s="4" t="inlineStr">
        <is>
          <t>KOL1506</t>
        </is>
      </c>
      <c r="H805" s="4" t="inlineStr"/>
      <c r="I805" s="4" t="inlineStr">
        <is>
          <t>Hard</t>
        </is>
      </c>
      <c r="J805" s="5">
        <f>HYPERLINK("https://www.codechef.com/problems/KOL1506", "https://www.codechef.com/problems/KOL1506")</f>
        <v/>
      </c>
      <c r="K805" s="4" t="inlineStr"/>
      <c r="L805" s="4" t="inlineStr">
        <is>
          <t>Advanced Algorithms, Algebra, Algorithms, Binomial Theorem, Bottom-up, DP Approach, Dynamic Programming, Mathematics, Modular Arithmetic, Pre processing, Top-down</t>
        </is>
      </c>
      <c r="M805" s="4" t="inlineStr"/>
      <c r="N805" s="4" t="inlineStr">
        <is>
          <t>No</t>
        </is>
      </c>
      <c r="O805" s="4" t="inlineStr">
        <is>
          <t>Unattempted</t>
        </is>
      </c>
    </row>
    <row r="806">
      <c r="A806" s="2" t="inlineStr">
        <is>
          <t>Other Practice Paths</t>
        </is>
      </c>
      <c r="B806" s="2" t="inlineStr">
        <is>
          <t>Prepare for ICPC - Past Year Problems</t>
        </is>
      </c>
      <c r="C806" s="2" t="inlineStr">
        <is>
          <t>Prepare for your next ICPC online or onsite round by practicing problems of past years. Get an understanding of the pattern of questions which are asked.</t>
        </is>
      </c>
      <c r="D806" s="2" t="inlineStr">
        <is>
          <t>Asia-Kolkata Site Onsite Round 2015 - Asia-Kolkata Site Onsite Round 2015</t>
        </is>
      </c>
      <c r="E806" s="2" t="n">
        <v>238</v>
      </c>
      <c r="F806" s="2" t="inlineStr">
        <is>
          <t>The Revenge of Jalebi Bai</t>
        </is>
      </c>
      <c r="G806" s="2" t="inlineStr">
        <is>
          <t>KOL1510</t>
        </is>
      </c>
      <c r="H806" s="2" t="inlineStr"/>
      <c r="I806" s="2" t="inlineStr">
        <is>
          <t>Hard</t>
        </is>
      </c>
      <c r="J806" s="3">
        <f>HYPERLINK("https://www.codechef.com/problems/KOL1510", "https://www.codechef.com/problems/KOL1510")</f>
        <v/>
      </c>
      <c r="K806" s="2" t="inlineStr"/>
      <c r="L806" s="2" t="inlineStr">
        <is>
          <t>Algorithms, Backtracking, Bit Manipulation, Bitmasking, Complete Search, Implementation, Mathematics</t>
        </is>
      </c>
      <c r="M806" s="2" t="inlineStr"/>
      <c r="N806" s="2" t="inlineStr">
        <is>
          <t>No</t>
        </is>
      </c>
      <c r="O806" s="2" t="inlineStr">
        <is>
          <t>Unattempted</t>
        </is>
      </c>
    </row>
    <row r="807">
      <c r="A807" s="4" t="inlineStr">
        <is>
          <t>Other Practice Paths</t>
        </is>
      </c>
      <c r="B807" s="4" t="inlineStr">
        <is>
          <t>Prepare for ICPC - Past Year Problems</t>
        </is>
      </c>
      <c r="C807" s="4" t="inlineStr">
        <is>
          <t>Prepare for your next ICPC online or onsite round by practicing problems of past years. Get an understanding of the pattern of questions which are asked.</t>
        </is>
      </c>
      <c r="D807" s="4" t="inlineStr">
        <is>
          <t>Asia-Kolkata Site Onsite Round 2015 - Asia-Kolkata Site Onsite Round 2015</t>
        </is>
      </c>
      <c r="E807" s="4" t="n">
        <v>239</v>
      </c>
      <c r="F807" s="4" t="inlineStr">
        <is>
          <t>The Parenthesis Tree</t>
        </is>
      </c>
      <c r="G807" s="4" t="inlineStr">
        <is>
          <t>KOL1503</t>
        </is>
      </c>
      <c r="H807" s="4" t="inlineStr"/>
      <c r="I807" s="4" t="inlineStr">
        <is>
          <t>Hard</t>
        </is>
      </c>
      <c r="J807" s="5">
        <f>HYPERLINK("https://www.codechef.com/problems/KOL1503", "https://www.codechef.com/problems/KOL1503")</f>
        <v/>
      </c>
      <c r="K807" s="4" t="inlineStr"/>
      <c r="L807" s="4" t="inlineStr">
        <is>
          <t>Algorithms, Binary lifting, DFS, Data Structures, Graph Algos, Graphs, Lowest Common Ancestor, Traversals, Trees</t>
        </is>
      </c>
      <c r="M807" s="4" t="inlineStr"/>
      <c r="N807" s="4" t="inlineStr">
        <is>
          <t>No</t>
        </is>
      </c>
      <c r="O807" s="4" t="inlineStr">
        <is>
          <t>Unattempted</t>
        </is>
      </c>
    </row>
    <row r="808">
      <c r="A808" s="2" t="inlineStr">
        <is>
          <t>Other Practice Paths</t>
        </is>
      </c>
      <c r="B808" s="2" t="inlineStr">
        <is>
          <t>Prepare for ICPC - Past Year Problems</t>
        </is>
      </c>
      <c r="C808" s="2" t="inlineStr">
        <is>
          <t>Prepare for your next ICPC online or onsite round by practicing problems of past years. Get an understanding of the pattern of questions which are asked.</t>
        </is>
      </c>
      <c r="D808" s="2" t="inlineStr">
        <is>
          <t>Asia-Kolkata Site Onsite Round 2015 - Asia-Kolkata Site Onsite Round 2015</t>
        </is>
      </c>
      <c r="E808" s="2" t="n">
        <v>240</v>
      </c>
      <c r="F808" s="2" t="inlineStr">
        <is>
          <t>Antichains</t>
        </is>
      </c>
      <c r="G808" s="2" t="inlineStr">
        <is>
          <t>KOL1508</t>
        </is>
      </c>
      <c r="H808" s="2" t="inlineStr"/>
      <c r="I808" s="2" t="inlineStr">
        <is>
          <t>Hard</t>
        </is>
      </c>
      <c r="J808" s="3">
        <f>HYPERLINK("https://www.codechef.com/problems/KOL1508", "https://www.codechef.com/problems/KOL1508")</f>
        <v/>
      </c>
      <c r="K808" s="2" t="inlineStr"/>
      <c r="L808" s="2" t="inlineStr">
        <is>
          <t>Combinatorics, Fermat's Little Theorem, Mathematics, Modular Arithmetic, Number Theory, Permutations &amp; Combinations, Sperner's Theorem</t>
        </is>
      </c>
      <c r="M808" s="2" t="inlineStr"/>
      <c r="N808" s="2" t="inlineStr">
        <is>
          <t>No</t>
        </is>
      </c>
      <c r="O808" s="2" t="inlineStr">
        <is>
          <t>Unattempted</t>
        </is>
      </c>
    </row>
    <row r="809">
      <c r="A809" s="4" t="inlineStr">
        <is>
          <t>Other Practice Paths</t>
        </is>
      </c>
      <c r="B809" s="4" t="inlineStr">
        <is>
          <t>Prepare for ICPC - Past Year Problems</t>
        </is>
      </c>
      <c r="C809" s="4" t="inlineStr">
        <is>
          <t>Prepare for your next ICPC online or onsite round by practicing problems of past years. Get an understanding of the pattern of questions which are asked.</t>
        </is>
      </c>
      <c r="D809" s="4" t="inlineStr">
        <is>
          <t>Asia-Kolkata Site Onsite Round 2015 - Asia-Kolkata Site Onsite Round 2015</t>
        </is>
      </c>
      <c r="E809" s="4" t="n">
        <v>241</v>
      </c>
      <c r="F809" s="4" t="inlineStr">
        <is>
          <t>The Christmas Cookies</t>
        </is>
      </c>
      <c r="G809" s="4" t="inlineStr">
        <is>
          <t>KOL1507</t>
        </is>
      </c>
      <c r="H809" s="4" t="inlineStr"/>
      <c r="I809" s="4" t="inlineStr">
        <is>
          <t>Hard</t>
        </is>
      </c>
      <c r="J809" s="5">
        <f>HYPERLINK("https://www.codechef.com/problems/KOL1507", "https://www.codechef.com/problems/KOL1507")</f>
        <v/>
      </c>
      <c r="K809" s="4" t="inlineStr"/>
      <c r="L809" s="4" t="inlineStr">
        <is>
          <t>Advanced Algorithms, Advanced Graph Algos, Algorithms, Graph Algos, HLD, Minimum Spanning Trees, Offline Queries, Queries, Range Queries, Tree Algos</t>
        </is>
      </c>
      <c r="M809" s="4" t="inlineStr"/>
      <c r="N809" s="4" t="inlineStr">
        <is>
          <t>No</t>
        </is>
      </c>
      <c r="O809" s="4" t="inlineStr">
        <is>
          <t>Unattempted</t>
        </is>
      </c>
    </row>
    <row r="810">
      <c r="A810" s="2" t="inlineStr">
        <is>
          <t>Other Practice Paths</t>
        </is>
      </c>
      <c r="B810" s="2" t="inlineStr">
        <is>
          <t>Prepare for ICPC - Past Year Problems</t>
        </is>
      </c>
      <c r="C810" s="2" t="inlineStr">
        <is>
          <t>Prepare for your next ICPC online or onsite round by practicing problems of past years. Get an understanding of the pattern of questions which are asked.</t>
        </is>
      </c>
      <c r="D810" s="2" t="inlineStr">
        <is>
          <t>Asia-Kolkata Site Onsite Round 2015 - Asia-Kolkata Site Onsite Round 2015</t>
        </is>
      </c>
      <c r="E810" s="2" t="n">
        <v>242</v>
      </c>
      <c r="F810" s="2" t="inlineStr">
        <is>
          <t>In a planet far far away</t>
        </is>
      </c>
      <c r="G810" s="2" t="inlineStr">
        <is>
          <t>KOL1501</t>
        </is>
      </c>
      <c r="H810" s="2" t="inlineStr"/>
      <c r="I810" s="2" t="inlineStr">
        <is>
          <t>Hard</t>
        </is>
      </c>
      <c r="J810" s="3">
        <f>HYPERLINK("https://www.codechef.com/problems/KOL1501", "https://www.codechef.com/problems/KOL1501")</f>
        <v/>
      </c>
      <c r="K810" s="2" t="inlineStr"/>
      <c r="L810" s="2" t="inlineStr">
        <is>
          <t>Algorithms, Dynamic Programming</t>
        </is>
      </c>
      <c r="M810" s="2" t="inlineStr"/>
      <c r="N810" s="2" t="inlineStr">
        <is>
          <t>No</t>
        </is>
      </c>
      <c r="O810" s="2" t="inlineStr">
        <is>
          <t>Unattempted</t>
        </is>
      </c>
    </row>
    <row r="811">
      <c r="A811" s="4" t="inlineStr">
        <is>
          <t>Other Practice Paths</t>
        </is>
      </c>
      <c r="B811" s="4" t="inlineStr">
        <is>
          <t>Prepare for ICPC - Past Year Problems</t>
        </is>
      </c>
      <c r="C811" s="4" t="inlineStr">
        <is>
          <t>Prepare for your next ICPC online or onsite round by practicing problems of past years. Get an understanding of the pattern of questions which are asked.</t>
        </is>
      </c>
      <c r="D811" s="4" t="inlineStr">
        <is>
          <t>Asia-Kolkata Site Onsite Round 2015 - Asia-Kolkata Site Onsite Round 2015</t>
        </is>
      </c>
      <c r="E811" s="4" t="n">
        <v>243</v>
      </c>
      <c r="F811" s="4" t="inlineStr">
        <is>
          <t>Wait for it</t>
        </is>
      </c>
      <c r="G811" s="4" t="inlineStr">
        <is>
          <t>KOL1511</t>
        </is>
      </c>
      <c r="H811" s="4" t="inlineStr"/>
      <c r="I811" s="4" t="inlineStr">
        <is>
          <t>Hard</t>
        </is>
      </c>
      <c r="J811" s="5">
        <f>HYPERLINK("https://www.codechef.com/problems/KOL1511", "https://www.codechef.com/problems/KOL1511")</f>
        <v/>
      </c>
      <c r="K811" s="4" t="inlineStr"/>
      <c r="L811" s="4" t="inlineStr">
        <is>
          <t>Algorithms, Euclid's Algorithm, Euler Totient Function, Euler Tour, Extended Euclid's Algorithm, GCD, Graph Algos, Mathematics, Number Theory, Traversals</t>
        </is>
      </c>
      <c r="M811" s="4" t="inlineStr"/>
      <c r="N811" s="4" t="inlineStr">
        <is>
          <t>No</t>
        </is>
      </c>
      <c r="O811" s="4" t="inlineStr">
        <is>
          <t>Unattempted</t>
        </is>
      </c>
    </row>
    <row r="812">
      <c r="A812" s="2" t="inlineStr">
        <is>
          <t>Other Practice Paths</t>
        </is>
      </c>
      <c r="B812" s="2" t="inlineStr">
        <is>
          <t>Prepare for ICPC - Past Year Problems</t>
        </is>
      </c>
      <c r="C812" s="2" t="inlineStr">
        <is>
          <t>Prepare for your next ICPC online or onsite round by practicing problems of past years. Get an understanding of the pattern of questions which are asked.</t>
        </is>
      </c>
      <c r="D812" s="2" t="inlineStr">
        <is>
          <t>Asia-Amritapuri Site Onsite Round 2015 - Asia-Amritapuri Site Onsite Round 2015</t>
        </is>
      </c>
      <c r="E812" s="2" t="n">
        <v>244</v>
      </c>
      <c r="F812" s="2" t="inlineStr">
        <is>
          <t>Jump on Buildings</t>
        </is>
      </c>
      <c r="G812" s="2" t="inlineStr">
        <is>
          <t>AMJMP</t>
        </is>
      </c>
      <c r="H812" s="2" t="inlineStr"/>
      <c r="I812" s="2" t="inlineStr">
        <is>
          <t>Hard</t>
        </is>
      </c>
      <c r="J812" s="3">
        <f>HYPERLINK("https://www.codechef.com/problems/AMJMP", "https://www.codechef.com/problems/AMJMP")</f>
        <v/>
      </c>
      <c r="K812" s="2" t="inlineStr"/>
      <c r="L812" s="2" t="inlineStr">
        <is>
          <t>akash4983</t>
        </is>
      </c>
      <c r="M812" s="2" t="inlineStr"/>
      <c r="N812" s="2" t="inlineStr">
        <is>
          <t>No</t>
        </is>
      </c>
      <c r="O812" s="2" t="inlineStr">
        <is>
          <t>Unattempted</t>
        </is>
      </c>
    </row>
    <row r="813">
      <c r="A813" s="4" t="inlineStr">
        <is>
          <t>Other Practice Paths</t>
        </is>
      </c>
      <c r="B813" s="4" t="inlineStr">
        <is>
          <t>Prepare for ICPC - Past Year Problems</t>
        </is>
      </c>
      <c r="C813" s="4" t="inlineStr">
        <is>
          <t>Prepare for your next ICPC online or onsite round by practicing problems of past years. Get an understanding of the pattern of questions which are asked.</t>
        </is>
      </c>
      <c r="D813" s="4" t="inlineStr">
        <is>
          <t>Asia-Amritapuri Site Onsite Round 2015 - Asia-Amritapuri Site Onsite Round 2015</t>
        </is>
      </c>
      <c r="E813" s="4" t="n">
        <v>245</v>
      </c>
      <c r="F813" s="4" t="inlineStr">
        <is>
          <t>Similar Strings</t>
        </is>
      </c>
      <c r="G813" s="4" t="inlineStr">
        <is>
          <t>AMSS</t>
        </is>
      </c>
      <c r="H813" s="4" t="inlineStr"/>
      <c r="I813" s="4" t="inlineStr">
        <is>
          <t>Hard</t>
        </is>
      </c>
      <c r="J813" s="5">
        <f>HYPERLINK("https://www.codechef.com/problems/AMSS", "https://www.codechef.com/problems/AMSS")</f>
        <v/>
      </c>
      <c r="K813" s="4" t="inlineStr"/>
      <c r="L813" s="4" t="inlineStr">
        <is>
          <t>acm15amr, admin2, combinatorics, maths</t>
        </is>
      </c>
      <c r="M813" s="4" t="inlineStr"/>
      <c r="N813" s="4" t="inlineStr">
        <is>
          <t>No</t>
        </is>
      </c>
      <c r="O813" s="4" t="inlineStr">
        <is>
          <t>Unattempted</t>
        </is>
      </c>
    </row>
    <row r="814">
      <c r="A814" s="2" t="inlineStr">
        <is>
          <t>Other Practice Paths</t>
        </is>
      </c>
      <c r="B814" s="2" t="inlineStr">
        <is>
          <t>Prepare for ICPC - Past Year Problems</t>
        </is>
      </c>
      <c r="C814" s="2" t="inlineStr">
        <is>
          <t>Prepare for your next ICPC online or onsite round by practicing problems of past years. Get an understanding of the pattern of questions which are asked.</t>
        </is>
      </c>
      <c r="D814" s="2" t="inlineStr">
        <is>
          <t>Asia-Amritapuri Site Onsite Round 2015 - Asia-Amritapuri Site Onsite Round 2015</t>
        </is>
      </c>
      <c r="E814" s="2" t="n">
        <v>246</v>
      </c>
      <c r="F814" s="2" t="inlineStr">
        <is>
          <t>Longest Palindrome</t>
        </is>
      </c>
      <c r="G814" s="2" t="inlineStr">
        <is>
          <t>AMLPALIN</t>
        </is>
      </c>
      <c r="H814" s="2" t="inlineStr"/>
      <c r="I814" s="2" t="inlineStr">
        <is>
          <t>Hard</t>
        </is>
      </c>
      <c r="J814" s="3">
        <f>HYPERLINK("https://www.codechef.com/problems/AMLPALIN", "https://www.codechef.com/problems/AMLPALIN")</f>
        <v/>
      </c>
      <c r="K814" s="2" t="inlineStr"/>
      <c r="L814" s="2" t="inlineStr">
        <is>
          <t>acm15amr, ad-hoc, balajiganapath, greedy</t>
        </is>
      </c>
      <c r="M814" s="2" t="inlineStr"/>
      <c r="N814" s="2" t="inlineStr">
        <is>
          <t>No</t>
        </is>
      </c>
      <c r="O814" s="2" t="inlineStr">
        <is>
          <t>Unattempted</t>
        </is>
      </c>
    </row>
    <row r="815">
      <c r="A815" s="4" t="inlineStr">
        <is>
          <t>Other Practice Paths</t>
        </is>
      </c>
      <c r="B815" s="4" t="inlineStr">
        <is>
          <t>Prepare for ICPC - Past Year Problems</t>
        </is>
      </c>
      <c r="C815" s="4" t="inlineStr">
        <is>
          <t>Prepare for your next ICPC online or onsite round by practicing problems of past years. Get an understanding of the pattern of questions which are asked.</t>
        </is>
      </c>
      <c r="D815" s="4" t="inlineStr">
        <is>
          <t>Asia-Amritapuri Site Onsite Round 2015 - Asia-Amritapuri Site Onsite Round 2015</t>
        </is>
      </c>
      <c r="E815" s="4" t="n">
        <v>247</v>
      </c>
      <c r="F815" s="4" t="inlineStr">
        <is>
          <t>git</t>
        </is>
      </c>
      <c r="G815" s="4" t="inlineStr">
        <is>
          <t>AMGIT</t>
        </is>
      </c>
      <c r="H815" s="4" t="inlineStr"/>
      <c r="I815" s="4" t="inlineStr">
        <is>
          <t>Hard</t>
        </is>
      </c>
      <c r="J815" s="5">
        <f>HYPERLINK("https://www.codechef.com/problems/AMGIT", "https://www.codechef.com/problems/AMGIT")</f>
        <v/>
      </c>
      <c r="K815" s="4" t="inlineStr"/>
      <c r="L815" s="4" t="inlineStr">
        <is>
          <t>acm15amr, balajiganapath, dynamic-programming, hashing, strings, trees</t>
        </is>
      </c>
      <c r="M815" s="4" t="inlineStr"/>
      <c r="N815" s="4" t="inlineStr">
        <is>
          <t>No</t>
        </is>
      </c>
      <c r="O815" s="4" t="inlineStr">
        <is>
          <t>Unattempted</t>
        </is>
      </c>
    </row>
    <row r="816">
      <c r="A816" s="2" t="inlineStr">
        <is>
          <t>Other Practice Paths</t>
        </is>
      </c>
      <c r="B816" s="2" t="inlineStr">
        <is>
          <t>Prepare for ICPC - Past Year Problems</t>
        </is>
      </c>
      <c r="C816" s="2" t="inlineStr">
        <is>
          <t>Prepare for your next ICPC online or onsite round by practicing problems of past years. Get an understanding of the pattern of questions which are asked.</t>
        </is>
      </c>
      <c r="D816" s="2" t="inlineStr">
        <is>
          <t>Asia-Amritapuri Site Onsite Round 2015 - Asia-Amritapuri Site Onsite Round 2015</t>
        </is>
      </c>
      <c r="E816" s="2" t="n">
        <v>248</v>
      </c>
      <c r="F816" s="2" t="inlineStr">
        <is>
          <t>Chota Mouse and his birthday cake</t>
        </is>
      </c>
      <c r="G816" s="2" t="inlineStr">
        <is>
          <t>AMBDAY</t>
        </is>
      </c>
      <c r="H816" s="2" t="inlineStr"/>
      <c r="I816" s="2" t="inlineStr">
        <is>
          <t>Medium</t>
        </is>
      </c>
      <c r="J816" s="3">
        <f>HYPERLINK("https://www.codechef.com/problems/AMBDAY", "https://www.codechef.com/problems/AMBDAY")</f>
        <v/>
      </c>
      <c r="K816" s="2" t="inlineStr"/>
      <c r="L816" s="2" t="inlineStr">
        <is>
          <t>acm15amr, ad-hoc, admin2, greedy</t>
        </is>
      </c>
      <c r="M816" s="2" t="inlineStr"/>
      <c r="N816" s="2" t="inlineStr">
        <is>
          <t>No</t>
        </is>
      </c>
      <c r="O816" s="2" t="inlineStr">
        <is>
          <t>Unattempted</t>
        </is>
      </c>
    </row>
    <row r="817">
      <c r="A817" s="4" t="inlineStr">
        <is>
          <t>Other Practice Paths</t>
        </is>
      </c>
      <c r="B817" s="4" t="inlineStr">
        <is>
          <t>Prepare for ICPC - Past Year Problems</t>
        </is>
      </c>
      <c r="C817" s="4" t="inlineStr">
        <is>
          <t>Prepare for your next ICPC online or onsite round by practicing problems of past years. Get an understanding of the pattern of questions which are asked.</t>
        </is>
      </c>
      <c r="D817" s="4" t="inlineStr">
        <is>
          <t>Asia-Amritapuri Site Onsite Round 2015 - Asia-Amritapuri Site Onsite Round 2015</t>
        </is>
      </c>
      <c r="E817" s="4" t="n">
        <v>249</v>
      </c>
      <c r="F817" s="4" t="inlineStr">
        <is>
          <t>Circles and Squares</t>
        </is>
      </c>
      <c r="G817" s="4" t="inlineStr">
        <is>
          <t>AMCAS</t>
        </is>
      </c>
      <c r="H817" s="4" t="inlineStr"/>
      <c r="I817" s="4" t="inlineStr">
        <is>
          <t>Hard</t>
        </is>
      </c>
      <c r="J817" s="5">
        <f>HYPERLINK("https://www.codechef.com/problems/AMCAS", "https://www.codechef.com/problems/AMCAS")</f>
        <v/>
      </c>
      <c r="K817" s="4" t="inlineStr"/>
      <c r="L817" s="4" t="inlineStr">
        <is>
          <t>acm15amr, akash4983, combinatorics, expected-value, geometry</t>
        </is>
      </c>
      <c r="M817" s="4" t="inlineStr"/>
      <c r="N817" s="4" t="inlineStr">
        <is>
          <t>No</t>
        </is>
      </c>
      <c r="O817" s="4" t="inlineStr">
        <is>
          <t>Unattempted</t>
        </is>
      </c>
    </row>
    <row r="818">
      <c r="A818" s="2" t="inlineStr">
        <is>
          <t>Other Practice Paths</t>
        </is>
      </c>
      <c r="B818" s="2" t="inlineStr">
        <is>
          <t>Prepare for ICPC - Past Year Problems</t>
        </is>
      </c>
      <c r="C818" s="2" t="inlineStr">
        <is>
          <t>Prepare for your next ICPC online or onsite round by practicing problems of past years. Get an understanding of the pattern of questions which are asked.</t>
        </is>
      </c>
      <c r="D818" s="2" t="inlineStr">
        <is>
          <t>Asia-Amritapuri Site Onsite Round 2015 - Asia-Amritapuri Site Onsite Round 2015</t>
        </is>
      </c>
      <c r="E818" s="2" t="n">
        <v>250</v>
      </c>
      <c r="F818" s="2" t="inlineStr">
        <is>
          <t>Cat and Mouse</t>
        </is>
      </c>
      <c r="G818" s="2" t="inlineStr">
        <is>
          <t>AMCAM</t>
        </is>
      </c>
      <c r="H818" s="2" t="inlineStr"/>
      <c r="I818" s="2" t="inlineStr">
        <is>
          <t>Hard</t>
        </is>
      </c>
      <c r="J818" s="3">
        <f>HYPERLINK("https://www.codechef.com/problems/AMCAM", "https://www.codechef.com/problems/AMCAM")</f>
        <v/>
      </c>
      <c r="K818" s="2" t="inlineStr"/>
      <c r="L818" s="2" t="inlineStr">
        <is>
          <t>acm15amr, amitpandeykgp, binary-search, matching</t>
        </is>
      </c>
      <c r="M818" s="2" t="inlineStr"/>
      <c r="N818" s="2" t="inlineStr">
        <is>
          <t>No</t>
        </is>
      </c>
      <c r="O818" s="2" t="inlineStr">
        <is>
          <t>Unattempted</t>
        </is>
      </c>
    </row>
    <row r="819">
      <c r="A819" s="4" t="inlineStr">
        <is>
          <t>Other Practice Paths</t>
        </is>
      </c>
      <c r="B819" s="4" t="inlineStr">
        <is>
          <t>Prepare for ICPC - Past Year Problems</t>
        </is>
      </c>
      <c r="C819" s="4" t="inlineStr">
        <is>
          <t>Prepare for your next ICPC online or onsite round by practicing problems of past years. Get an understanding of the pattern of questions which are asked.</t>
        </is>
      </c>
      <c r="D819" s="4" t="inlineStr">
        <is>
          <t>Asia-Amritapuri Site Onsite Round 2015 - Asia-Amritapuri Site Onsite Round 2015</t>
        </is>
      </c>
      <c r="E819" s="4" t="n">
        <v>251</v>
      </c>
      <c r="F819" s="4" t="inlineStr">
        <is>
          <t>Magical Matrix</t>
        </is>
      </c>
      <c r="G819" s="4" t="inlineStr">
        <is>
          <t>AMMAM</t>
        </is>
      </c>
      <c r="H819" s="4" t="inlineStr"/>
      <c r="I819" s="4" t="inlineStr">
        <is>
          <t>Hard</t>
        </is>
      </c>
      <c r="J819" s="5">
        <f>HYPERLINK("https://www.codechef.com/problems/AMMAM", "https://www.codechef.com/problems/AMMAM")</f>
        <v/>
      </c>
      <c r="K819" s="4" t="inlineStr"/>
      <c r="L819" s="4" t="inlineStr">
        <is>
          <t>acm15amr, akash4983, divide-and-conquer, two-pointers</t>
        </is>
      </c>
      <c r="M819" s="4" t="inlineStr"/>
      <c r="N819" s="4" t="inlineStr">
        <is>
          <t>No</t>
        </is>
      </c>
      <c r="O819" s="4" t="inlineStr">
        <is>
          <t>Unattempted</t>
        </is>
      </c>
    </row>
    <row r="820">
      <c r="A820" s="2" t="inlineStr">
        <is>
          <t>Other Practice Paths</t>
        </is>
      </c>
      <c r="B820" s="2" t="inlineStr">
        <is>
          <t>Prepare for ICPC - Past Year Problems</t>
        </is>
      </c>
      <c r="C820" s="2" t="inlineStr">
        <is>
          <t>Prepare for your next ICPC online or onsite round by practicing problems of past years. Get an understanding of the pattern of questions which are asked.</t>
        </is>
      </c>
      <c r="D820" s="2" t="inlineStr">
        <is>
          <t>Asia-Amritapuri Site Onsite Round 2015 - Asia-Amritapuri Site Onsite Round 2015</t>
        </is>
      </c>
      <c r="E820" s="2" t="n">
        <v>252</v>
      </c>
      <c r="F820" s="2" t="inlineStr">
        <is>
          <t>COINS</t>
        </is>
      </c>
      <c r="G820" s="2" t="inlineStr">
        <is>
          <t>AMCOINS</t>
        </is>
      </c>
      <c r="H820" s="2" t="inlineStr"/>
      <c r="I820" s="2" t="inlineStr">
        <is>
          <t>Hard</t>
        </is>
      </c>
      <c r="J820" s="3">
        <f>HYPERLINK("https://www.codechef.com/problems/AMCOINS", "https://www.codechef.com/problems/AMCOINS")</f>
        <v/>
      </c>
      <c r="K820" s="2" t="inlineStr"/>
      <c r="L820" s="2" t="inlineStr">
        <is>
          <t>surya_adm</t>
        </is>
      </c>
      <c r="M820" s="2" t="inlineStr"/>
      <c r="N820" s="2" t="inlineStr">
        <is>
          <t>No</t>
        </is>
      </c>
      <c r="O820" s="2" t="inlineStr">
        <is>
          <t>Unattempted</t>
        </is>
      </c>
    </row>
    <row r="821">
      <c r="A821" s="4" t="inlineStr">
        <is>
          <t>Other Practice Paths</t>
        </is>
      </c>
      <c r="B821" s="4" t="inlineStr">
        <is>
          <t>Prepare for ICPC - Past Year Problems</t>
        </is>
      </c>
      <c r="C821" s="4" t="inlineStr">
        <is>
          <t>Prepare for your next ICPC online or onsite round by practicing problems of past years. Get an understanding of the pattern of questions which are asked.</t>
        </is>
      </c>
      <c r="D821" s="4" t="inlineStr">
        <is>
          <t>Asia-Amritapuri Site Onsite Round 2015 - Asia-Amritapuri Site Onsite Round 2015</t>
        </is>
      </c>
      <c r="E821" s="4" t="n">
        <v>253</v>
      </c>
      <c r="F821" s="4" t="inlineStr">
        <is>
          <t>COPRIMES</t>
        </is>
      </c>
      <c r="G821" s="4" t="inlineStr">
        <is>
          <t>AMCOP</t>
        </is>
      </c>
      <c r="H821" s="4" t="inlineStr"/>
      <c r="I821" s="4" t="inlineStr">
        <is>
          <t>Hard</t>
        </is>
      </c>
      <c r="J821" s="5">
        <f>HYPERLINK("https://www.codechef.com/problems/AMCOP", "https://www.codechef.com/problems/AMCOP")</f>
        <v/>
      </c>
      <c r="K821" s="4" t="inlineStr"/>
      <c r="L821" s="4" t="inlineStr">
        <is>
          <t>acm15amr, math, mobius-function, mos-algorithm, surya_adm</t>
        </is>
      </c>
      <c r="M821" s="4" t="inlineStr"/>
      <c r="N821" s="4" t="inlineStr">
        <is>
          <t>No</t>
        </is>
      </c>
      <c r="O821" s="4" t="inlineStr">
        <is>
          <t>Unattempted</t>
        </is>
      </c>
    </row>
    <row r="822">
      <c r="A822" s="2" t="inlineStr">
        <is>
          <t>Other Practice Paths</t>
        </is>
      </c>
      <c r="B822" s="2" t="inlineStr">
        <is>
          <t>Prepare for ICPC - Past Year Problems</t>
        </is>
      </c>
      <c r="C822" s="2" t="inlineStr">
        <is>
          <t>Prepare for your next ICPC online or onsite round by practicing problems of past years. Get an understanding of the pattern of questions which are asked.</t>
        </is>
      </c>
      <c r="D822" s="2" t="inlineStr">
        <is>
          <t>Kharagpur Onsite Regionals 2013  - Kharagpur Onsite Regionals 2013</t>
        </is>
      </c>
      <c r="E822" s="2" t="n">
        <v>254</v>
      </c>
      <c r="F822" s="2" t="inlineStr">
        <is>
          <t>Olympic Village</t>
        </is>
      </c>
      <c r="G822" s="2" t="inlineStr">
        <is>
          <t>KGP13B</t>
        </is>
      </c>
      <c r="H822" s="2" t="inlineStr"/>
      <c r="I822" s="2" t="inlineStr">
        <is>
          <t>Hard</t>
        </is>
      </c>
      <c r="J822" s="3">
        <f>HYPERLINK("https://www.codechef.com/problems/KGP13B", "https://www.codechef.com/problems/KGP13B")</f>
        <v/>
      </c>
      <c r="K822" s="2" t="inlineStr"/>
      <c r="L822" s="2" t="inlineStr">
        <is>
          <t>jingbo_adm, kgp13acm, sorting</t>
        </is>
      </c>
      <c r="M822" s="2" t="inlineStr"/>
      <c r="N822" s="2" t="inlineStr">
        <is>
          <t>No</t>
        </is>
      </c>
      <c r="O822" s="2" t="inlineStr">
        <is>
          <t>Unattempted</t>
        </is>
      </c>
    </row>
    <row r="823">
      <c r="A823" s="4" t="inlineStr">
        <is>
          <t>Other Practice Paths</t>
        </is>
      </c>
      <c r="B823" s="4" t="inlineStr">
        <is>
          <t>Prepare for ICPC - Past Year Problems</t>
        </is>
      </c>
      <c r="C823" s="4" t="inlineStr">
        <is>
          <t>Prepare for your next ICPC online or onsite round by practicing problems of past years. Get an understanding of the pattern of questions which are asked.</t>
        </is>
      </c>
      <c r="D823" s="4" t="inlineStr">
        <is>
          <t>Kharagpur Onsite Regionals 2013  - Kharagpur Onsite Regionals 2013</t>
        </is>
      </c>
      <c r="E823" s="4" t="n">
        <v>255</v>
      </c>
      <c r="F823" s="4" t="inlineStr">
        <is>
          <t>Ant Colony</t>
        </is>
      </c>
      <c r="G823" s="4" t="inlineStr">
        <is>
          <t>KGP13F</t>
        </is>
      </c>
      <c r="H823" s="4" t="inlineStr"/>
      <c r="I823" s="4" t="inlineStr">
        <is>
          <t>Hard</t>
        </is>
      </c>
      <c r="J823" s="5">
        <f>HYPERLINK("https://www.codechef.com/problems/KGP13F", "https://www.codechef.com/problems/KGP13F")</f>
        <v/>
      </c>
      <c r="K823" s="4" t="inlineStr"/>
      <c r="L823" s="4" t="inlineStr">
        <is>
          <t>easy, jingbo_adm, kgp13acm</t>
        </is>
      </c>
      <c r="M823" s="4" t="inlineStr"/>
      <c r="N823" s="4" t="inlineStr">
        <is>
          <t>No</t>
        </is>
      </c>
      <c r="O823" s="4" t="inlineStr">
        <is>
          <t>Unattempted</t>
        </is>
      </c>
    </row>
    <row r="824">
      <c r="A824" s="2" t="inlineStr">
        <is>
          <t>Other Practice Paths</t>
        </is>
      </c>
      <c r="B824" s="2" t="inlineStr">
        <is>
          <t>Prepare for ICPC - Past Year Problems</t>
        </is>
      </c>
      <c r="C824" s="2" t="inlineStr">
        <is>
          <t>Prepare for your next ICPC online or onsite round by practicing problems of past years. Get an understanding of the pattern of questions which are asked.</t>
        </is>
      </c>
      <c r="D824" s="2" t="inlineStr">
        <is>
          <t>Kharagpur Onsite Regionals 2013  - Kharagpur Onsite Regionals 2013</t>
        </is>
      </c>
      <c r="E824" s="2" t="n">
        <v>256</v>
      </c>
      <c r="F824" s="2" t="inlineStr">
        <is>
          <t>Election Campaign</t>
        </is>
      </c>
      <c r="G824" s="2" t="inlineStr">
        <is>
          <t>KGP13A</t>
        </is>
      </c>
      <c r="H824" s="2" t="inlineStr"/>
      <c r="I824" s="2" t="inlineStr">
        <is>
          <t>Hard</t>
        </is>
      </c>
      <c r="J824" s="3">
        <f>HYPERLINK("https://www.codechef.com/problems/KGP13A", "https://www.codechef.com/problems/KGP13A")</f>
        <v/>
      </c>
      <c r="K824" s="2" t="inlineStr"/>
      <c r="L824" s="2" t="inlineStr">
        <is>
          <t>floyd-warshall, jingbo_adm, kgp13acm, trees</t>
        </is>
      </c>
      <c r="M824" s="2" t="inlineStr"/>
      <c r="N824" s="2" t="inlineStr">
        <is>
          <t>No</t>
        </is>
      </c>
      <c r="O824" s="2" t="inlineStr">
        <is>
          <t>Unattempted</t>
        </is>
      </c>
    </row>
    <row r="825">
      <c r="A825" s="4" t="inlineStr">
        <is>
          <t>Other Practice Paths</t>
        </is>
      </c>
      <c r="B825" s="4" t="inlineStr">
        <is>
          <t>Prepare for ICPC - Past Year Problems</t>
        </is>
      </c>
      <c r="C825" s="4" t="inlineStr">
        <is>
          <t>Prepare for your next ICPC online or onsite round by practicing problems of past years. Get an understanding of the pattern of questions which are asked.</t>
        </is>
      </c>
      <c r="D825" s="4" t="inlineStr">
        <is>
          <t>Kharagpur Onsite Regionals 2013  - Kharagpur Onsite Regionals 2013</t>
        </is>
      </c>
      <c r="E825" s="4" t="n">
        <v>257</v>
      </c>
      <c r="F825" s="4" t="inlineStr">
        <is>
          <t>Sequence Alignment</t>
        </is>
      </c>
      <c r="G825" s="4" t="inlineStr">
        <is>
          <t>KGP13I</t>
        </is>
      </c>
      <c r="H825" s="4" t="inlineStr"/>
      <c r="I825" s="4" t="inlineStr">
        <is>
          <t>Hard</t>
        </is>
      </c>
      <c r="J825" s="5">
        <f>HYPERLINK("https://www.codechef.com/problems/KGP13I", "https://www.codechef.com/problems/KGP13I")</f>
        <v/>
      </c>
      <c r="K825" s="4" t="inlineStr"/>
      <c r="L825" s="4" t="inlineStr">
        <is>
          <t>dynamic-programming, easy-medium, jingbo_adm, kgp13acm</t>
        </is>
      </c>
      <c r="M825" s="4" t="inlineStr"/>
      <c r="N825" s="4" t="inlineStr">
        <is>
          <t>No</t>
        </is>
      </c>
      <c r="O825" s="4" t="inlineStr">
        <is>
          <t>Unattempted</t>
        </is>
      </c>
    </row>
    <row r="826">
      <c r="A826" s="2" t="inlineStr">
        <is>
          <t>Other Practice Paths</t>
        </is>
      </c>
      <c r="B826" s="2" t="inlineStr">
        <is>
          <t>Prepare for ICPC - Past Year Problems</t>
        </is>
      </c>
      <c r="C826" s="2" t="inlineStr">
        <is>
          <t>Prepare for your next ICPC online or onsite round by practicing problems of past years. Get an understanding of the pattern of questions which are asked.</t>
        </is>
      </c>
      <c r="D826" s="2" t="inlineStr">
        <is>
          <t>Kharagpur Onsite Regionals 2013  - Kharagpur Onsite Regionals 2013</t>
        </is>
      </c>
      <c r="E826" s="2" t="n">
        <v>258</v>
      </c>
      <c r="F826" s="2" t="inlineStr">
        <is>
          <t>Message Coding</t>
        </is>
      </c>
      <c r="G826" s="2" t="inlineStr">
        <is>
          <t>KGP13G</t>
        </is>
      </c>
      <c r="H826" s="2" t="inlineStr"/>
      <c r="I826" s="2" t="inlineStr">
        <is>
          <t>Hard</t>
        </is>
      </c>
      <c r="J826" s="3">
        <f>HYPERLINK("https://www.codechef.com/problems/KGP13G", "https://www.codechef.com/problems/KGP13G")</f>
        <v/>
      </c>
      <c r="K826" s="2" t="inlineStr"/>
      <c r="L826" s="2" t="inlineStr">
        <is>
          <t>dynamic-programming, easy-medium, jingbo_adm, kgp13acm, trie</t>
        </is>
      </c>
      <c r="M826" s="2" t="inlineStr"/>
      <c r="N826" s="2" t="inlineStr">
        <is>
          <t>No</t>
        </is>
      </c>
      <c r="O826" s="2" t="inlineStr">
        <is>
          <t>Unattempted</t>
        </is>
      </c>
    </row>
    <row r="827">
      <c r="A827" s="4" t="inlineStr">
        <is>
          <t>Other Practice Paths</t>
        </is>
      </c>
      <c r="B827" s="4" t="inlineStr">
        <is>
          <t>Prepare for ICPC - Past Year Problems</t>
        </is>
      </c>
      <c r="C827" s="4" t="inlineStr">
        <is>
          <t>Prepare for your next ICPC online or onsite round by practicing problems of past years. Get an understanding of the pattern of questions which are asked.</t>
        </is>
      </c>
      <c r="D827" s="4" t="inlineStr">
        <is>
          <t>Kharagpur Onsite Regionals 2013  - Kharagpur Onsite Regionals 2013</t>
        </is>
      </c>
      <c r="E827" s="4" t="n">
        <v>259</v>
      </c>
      <c r="F827" s="4" t="inlineStr">
        <is>
          <t>Stairway Reduction</t>
        </is>
      </c>
      <c r="G827" s="4" t="inlineStr">
        <is>
          <t>KGP13C</t>
        </is>
      </c>
      <c r="H827" s="4" t="inlineStr"/>
      <c r="I827" s="4" t="inlineStr">
        <is>
          <t>Hard</t>
        </is>
      </c>
      <c r="J827" s="5">
        <f>HYPERLINK("https://www.codechef.com/problems/KGP13C", "https://www.codechef.com/problems/KGP13C")</f>
        <v/>
      </c>
      <c r="K827" s="4" t="inlineStr"/>
      <c r="L827" s="4" t="inlineStr">
        <is>
          <t>dynamic-programming, easy-medium, jingbo_adm, kgp13acm</t>
        </is>
      </c>
      <c r="M827" s="4" t="inlineStr"/>
      <c r="N827" s="4" t="inlineStr">
        <is>
          <t>No</t>
        </is>
      </c>
      <c r="O827" s="4" t="inlineStr">
        <is>
          <t>Unattempted</t>
        </is>
      </c>
    </row>
    <row r="828">
      <c r="A828" s="2" t="inlineStr">
        <is>
          <t>Other Practice Paths</t>
        </is>
      </c>
      <c r="B828" s="2" t="inlineStr">
        <is>
          <t>Prepare for ICPC - Past Year Problems</t>
        </is>
      </c>
      <c r="C828" s="2" t="inlineStr">
        <is>
          <t>Prepare for your next ICPC online or onsite round by practicing problems of past years. Get an understanding of the pattern of questions which are asked.</t>
        </is>
      </c>
      <c r="D828" s="2" t="inlineStr">
        <is>
          <t>Kharagpur Onsite Regionals 2013  - Kharagpur Onsite Regionals 2013</t>
        </is>
      </c>
      <c r="E828" s="2" t="n">
        <v>260</v>
      </c>
      <c r="F828" s="2" t="inlineStr">
        <is>
          <t>Toy Exchange</t>
        </is>
      </c>
      <c r="G828" s="2" t="inlineStr">
        <is>
          <t>KGP13H</t>
        </is>
      </c>
      <c r="H828" s="2" t="inlineStr"/>
      <c r="I828" s="2" t="inlineStr">
        <is>
          <t>Hard</t>
        </is>
      </c>
      <c r="J828" s="3">
        <f>HYPERLINK("https://www.codechef.com/problems/KGP13H", "https://www.codechef.com/problems/KGP13H")</f>
        <v/>
      </c>
      <c r="K828" s="2" t="inlineStr"/>
      <c r="L828" s="2" t="inlineStr">
        <is>
          <t>jingbo_adm, kgp13acm, medium-hard</t>
        </is>
      </c>
      <c r="M828" s="2" t="inlineStr"/>
      <c r="N828" s="2" t="inlineStr">
        <is>
          <t>No</t>
        </is>
      </c>
      <c r="O828" s="2" t="inlineStr">
        <is>
          <t>Unattempted</t>
        </is>
      </c>
    </row>
    <row r="829">
      <c r="A829" s="4" t="inlineStr">
        <is>
          <t>Other Practice Paths</t>
        </is>
      </c>
      <c r="B829" s="4" t="inlineStr">
        <is>
          <t>Prepare for ICPC - Past Year Problems</t>
        </is>
      </c>
      <c r="C829" s="4" t="inlineStr">
        <is>
          <t>Prepare for your next ICPC online or onsite round by practicing problems of past years. Get an understanding of the pattern of questions which are asked.</t>
        </is>
      </c>
      <c r="D829" s="4" t="inlineStr">
        <is>
          <t>Kharagpur Onsite Regionals 2013  - Kharagpur Onsite Regionals 2013</t>
        </is>
      </c>
      <c r="E829" s="4" t="n">
        <v>261</v>
      </c>
      <c r="F829" s="4" t="inlineStr">
        <is>
          <t>One-Way Roads</t>
        </is>
      </c>
      <c r="G829" s="4" t="inlineStr">
        <is>
          <t>KGP13E</t>
        </is>
      </c>
      <c r="H829" s="4" t="inlineStr"/>
      <c r="I829" s="4" t="inlineStr">
        <is>
          <t>Hard</t>
        </is>
      </c>
      <c r="J829" s="5">
        <f>HYPERLINK("https://www.codechef.com/problems/KGP13E", "https://www.codechef.com/problems/KGP13E")</f>
        <v/>
      </c>
      <c r="K829" s="4" t="inlineStr"/>
      <c r="L829" s="4" t="inlineStr">
        <is>
          <t>cakewalk, jingbo_adm, kgp13acm, manhattan</t>
        </is>
      </c>
      <c r="M829" s="4" t="inlineStr"/>
      <c r="N829" s="4" t="inlineStr">
        <is>
          <t>No</t>
        </is>
      </c>
      <c r="O829" s="4" t="inlineStr">
        <is>
          <t>Unattempted</t>
        </is>
      </c>
    </row>
    <row r="830">
      <c r="A830" s="2" t="inlineStr">
        <is>
          <t>Other Practice Paths</t>
        </is>
      </c>
      <c r="B830" s="2" t="inlineStr">
        <is>
          <t>Prepare for ICPC - Past Year Problems</t>
        </is>
      </c>
      <c r="C830" s="2" t="inlineStr">
        <is>
          <t>Prepare for your next ICPC online or onsite round by practicing problems of past years. Get an understanding of the pattern of questions which are asked.</t>
        </is>
      </c>
      <c r="D830" s="2" t="inlineStr">
        <is>
          <t>Kharagpur Onsite Regionals 2013  - Kharagpur Onsite Regionals 2013</t>
        </is>
      </c>
      <c r="E830" s="2" t="n">
        <v>262</v>
      </c>
      <c r="F830" s="2" t="inlineStr">
        <is>
          <t>Nomad Camp</t>
        </is>
      </c>
      <c r="G830" s="2" t="inlineStr">
        <is>
          <t>KGP13J</t>
        </is>
      </c>
      <c r="H830" s="2" t="inlineStr"/>
      <c r="I830" s="2" t="inlineStr">
        <is>
          <t>Hard</t>
        </is>
      </c>
      <c r="J830" s="3">
        <f>HYPERLINK("https://www.codechef.com/problems/KGP13J", "https://www.codechef.com/problems/KGP13J")</f>
        <v/>
      </c>
      <c r="K830" s="2" t="inlineStr"/>
      <c r="L830" s="2" t="inlineStr">
        <is>
          <t>hard, jingbo_adm, kgp13acm, voronoi-diagram</t>
        </is>
      </c>
      <c r="M830" s="2" t="inlineStr"/>
      <c r="N830" s="2" t="inlineStr">
        <is>
          <t>No</t>
        </is>
      </c>
      <c r="O830" s="2" t="inlineStr">
        <is>
          <t>Unattempted</t>
        </is>
      </c>
    </row>
    <row r="831">
      <c r="A831" s="4" t="inlineStr">
        <is>
          <t>Other Practice Paths</t>
        </is>
      </c>
      <c r="B831" s="4" t="inlineStr">
        <is>
          <t>Prepare for ICPC - Past Year Problems</t>
        </is>
      </c>
      <c r="C831" s="4" t="inlineStr">
        <is>
          <t>Prepare for your next ICPC online or onsite round by practicing problems of past years. Get an understanding of the pattern of questions which are asked.</t>
        </is>
      </c>
      <c r="D831" s="4" t="inlineStr">
        <is>
          <t>Kharagpur Onsite Regionals 2013  - Kharagpur Onsite Regionals 2013</t>
        </is>
      </c>
      <c r="E831" s="4" t="n">
        <v>263</v>
      </c>
      <c r="F831" s="4" t="inlineStr">
        <is>
          <t>Building Township</t>
        </is>
      </c>
      <c r="G831" s="4" t="inlineStr">
        <is>
          <t>KGP13D</t>
        </is>
      </c>
      <c r="H831" s="4" t="inlineStr"/>
      <c r="I831" s="4" t="inlineStr">
        <is>
          <t>Hard</t>
        </is>
      </c>
      <c r="J831" s="5">
        <f>HYPERLINK("https://www.codechef.com/problems/KGP13D", "https://www.codechef.com/problems/KGP13D")</f>
        <v/>
      </c>
      <c r="K831" s="4" t="inlineStr"/>
      <c r="L831" s="4" t="inlineStr">
        <is>
          <t>dynamic-programming, easy-medium, graphs, jingbo_adm, kgp13acm</t>
        </is>
      </c>
      <c r="M831" s="4" t="inlineStr"/>
      <c r="N831" s="4" t="inlineStr">
        <is>
          <t>No</t>
        </is>
      </c>
      <c r="O831" s="4" t="inlineStr">
        <is>
          <t>Unattempted</t>
        </is>
      </c>
    </row>
    <row r="832">
      <c r="A832" s="2" t="inlineStr">
        <is>
          <t>Other Practice Paths</t>
        </is>
      </c>
      <c r="B832" s="2" t="inlineStr">
        <is>
          <t>Prepare for ICPC - Past Year Problems</t>
        </is>
      </c>
      <c r="C832" s="2" t="inlineStr">
        <is>
          <t>Prepare for your next ICPC online or onsite round by practicing problems of past years. Get an understanding of the pattern of questions which are asked.</t>
        </is>
      </c>
      <c r="D832" s="2" t="inlineStr">
        <is>
          <t>Kanpur Onsite Regionals 2013 - Kanpur Onsite Regionals 2013</t>
        </is>
      </c>
      <c r="E832" s="2" t="n">
        <v>264</v>
      </c>
      <c r="F832" s="2" t="inlineStr">
        <is>
          <t>Rich Rhyme</t>
        </is>
      </c>
      <c r="G832" s="2" t="inlineStr">
        <is>
          <t>KAN13C</t>
        </is>
      </c>
      <c r="H832" s="2" t="inlineStr"/>
      <c r="I832" s="2" t="inlineStr">
        <is>
          <t>Hard</t>
        </is>
      </c>
      <c r="J832" s="3">
        <f>HYPERLINK("https://www.codechef.com/problems/KAN13C", "https://www.codechef.com/problems/KAN13C")</f>
        <v/>
      </c>
      <c r="K832" s="2" t="inlineStr"/>
      <c r="L832" s="2" t="inlineStr">
        <is>
          <t>jingbo_adm, kan13acm, knuth-morris-pratt-algorithm, medium</t>
        </is>
      </c>
      <c r="M832" s="2" t="inlineStr"/>
      <c r="N832" s="2" t="inlineStr">
        <is>
          <t>No</t>
        </is>
      </c>
      <c r="O832" s="2" t="inlineStr">
        <is>
          <t>Unattempted</t>
        </is>
      </c>
    </row>
    <row r="833">
      <c r="A833" s="4" t="inlineStr">
        <is>
          <t>Other Practice Paths</t>
        </is>
      </c>
      <c r="B833" s="4" t="inlineStr">
        <is>
          <t>Prepare for ICPC - Past Year Problems</t>
        </is>
      </c>
      <c r="C833" s="4" t="inlineStr">
        <is>
          <t>Prepare for your next ICPC online or onsite round by practicing problems of past years. Get an understanding of the pattern of questions which are asked.</t>
        </is>
      </c>
      <c r="D833" s="4" t="inlineStr">
        <is>
          <t>Kanpur Onsite Regionals 2013 - Kanpur Onsite Regionals 2013</t>
        </is>
      </c>
      <c r="E833" s="4" t="n">
        <v>265</v>
      </c>
      <c r="F833" s="4" t="inlineStr">
        <is>
          <t>Changing Money</t>
        </is>
      </c>
      <c r="G833" s="4" t="inlineStr">
        <is>
          <t>KAN13G</t>
        </is>
      </c>
      <c r="H833" s="4" t="inlineStr"/>
      <c r="I833" s="4" t="inlineStr">
        <is>
          <t>Medium</t>
        </is>
      </c>
      <c r="J833" s="5">
        <f>HYPERLINK("https://www.codechef.com/problems/KAN13G", "https://www.codechef.com/problems/KAN13G")</f>
        <v/>
      </c>
      <c r="K833" s="4" t="inlineStr"/>
      <c r="L833" s="4" t="inlineStr">
        <is>
          <t>easy, greedy, jingbo_adm, kan13acm</t>
        </is>
      </c>
      <c r="M833" s="4" t="inlineStr"/>
      <c r="N833" s="4" t="inlineStr">
        <is>
          <t>No</t>
        </is>
      </c>
      <c r="O833" s="4" t="inlineStr">
        <is>
          <t>Unattempted</t>
        </is>
      </c>
    </row>
    <row r="834">
      <c r="A834" s="2" t="inlineStr">
        <is>
          <t>Other Practice Paths</t>
        </is>
      </c>
      <c r="B834" s="2" t="inlineStr">
        <is>
          <t>Prepare for ICPC - Past Year Problems</t>
        </is>
      </c>
      <c r="C834" s="2" t="inlineStr">
        <is>
          <t>Prepare for your next ICPC online or onsite round by practicing problems of past years. Get an understanding of the pattern of questions which are asked.</t>
        </is>
      </c>
      <c r="D834" s="2" t="inlineStr">
        <is>
          <t>Kanpur Onsite Regionals 2013 - Kanpur Onsite Regionals 2013</t>
        </is>
      </c>
      <c r="E834" s="2" t="n">
        <v>266</v>
      </c>
      <c r="F834" s="2" t="inlineStr">
        <is>
          <t>Hard Disk</t>
        </is>
      </c>
      <c r="G834" s="2" t="inlineStr">
        <is>
          <t>KAN13A</t>
        </is>
      </c>
      <c r="H834" s="2" t="inlineStr"/>
      <c r="I834" s="2" t="inlineStr">
        <is>
          <t>Hard</t>
        </is>
      </c>
      <c r="J834" s="3">
        <f>HYPERLINK("https://www.codechef.com/problems/KAN13A", "https://www.codechef.com/problems/KAN13A")</f>
        <v/>
      </c>
      <c r="K834" s="2" t="inlineStr"/>
      <c r="L834" s="2" t="inlineStr">
        <is>
          <t>dynamic-programming, easy-medium, jingbo_adm, kan13acm</t>
        </is>
      </c>
      <c r="M834" s="2" t="inlineStr"/>
      <c r="N834" s="2" t="inlineStr">
        <is>
          <t>No</t>
        </is>
      </c>
      <c r="O834" s="2" t="inlineStr">
        <is>
          <t>Unattempted</t>
        </is>
      </c>
    </row>
    <row r="835">
      <c r="A835" s="4" t="inlineStr">
        <is>
          <t>Other Practice Paths</t>
        </is>
      </c>
      <c r="B835" s="4" t="inlineStr">
        <is>
          <t>Prepare for ICPC - Past Year Problems</t>
        </is>
      </c>
      <c r="C835" s="4" t="inlineStr">
        <is>
          <t>Prepare for your next ICPC online or onsite round by practicing problems of past years. Get an understanding of the pattern of questions which are asked.</t>
        </is>
      </c>
      <c r="D835" s="4" t="inlineStr">
        <is>
          <t>Kanpur Onsite Regionals 2013 - Kanpur Onsite Regionals 2013</t>
        </is>
      </c>
      <c r="E835" s="4" t="n">
        <v>267</v>
      </c>
      <c r="F835" s="4" t="inlineStr">
        <is>
          <t>Chocolate Division</t>
        </is>
      </c>
      <c r="G835" s="4" t="inlineStr">
        <is>
          <t>KAN13E</t>
        </is>
      </c>
      <c r="H835" s="4" t="inlineStr"/>
      <c r="I835" s="4" t="inlineStr">
        <is>
          <t>Hard</t>
        </is>
      </c>
      <c r="J835" s="5">
        <f>HYPERLINK("https://www.codechef.com/problems/KAN13E", "https://www.codechef.com/problems/KAN13E")</f>
        <v/>
      </c>
      <c r="K835" s="4" t="inlineStr"/>
      <c r="L835" s="4" t="inlineStr">
        <is>
          <t>jingbo_adm, kan13acm, medium-hard, split-graph</t>
        </is>
      </c>
      <c r="M835" s="4" t="inlineStr"/>
      <c r="N835" s="4" t="inlineStr">
        <is>
          <t>No</t>
        </is>
      </c>
      <c r="O835" s="4" t="inlineStr">
        <is>
          <t>Unattempted</t>
        </is>
      </c>
    </row>
    <row r="836">
      <c r="A836" s="2" t="inlineStr">
        <is>
          <t>Other Practice Paths</t>
        </is>
      </c>
      <c r="B836" s="2" t="inlineStr">
        <is>
          <t>Prepare for ICPC - Past Year Problems</t>
        </is>
      </c>
      <c r="C836" s="2" t="inlineStr">
        <is>
          <t>Prepare for your next ICPC online or onsite round by practicing problems of past years. Get an understanding of the pattern of questions which are asked.</t>
        </is>
      </c>
      <c r="D836" s="2" t="inlineStr">
        <is>
          <t>Kanpur Onsite Regionals 2013 - Kanpur Onsite Regionals 2013</t>
        </is>
      </c>
      <c r="E836" s="2" t="n">
        <v>268</v>
      </c>
      <c r="F836" s="2" t="inlineStr">
        <is>
          <t>Merging Files</t>
        </is>
      </c>
      <c r="G836" s="2" t="inlineStr">
        <is>
          <t>KAN13F</t>
        </is>
      </c>
      <c r="H836" s="2" t="inlineStr"/>
      <c r="I836" s="2" t="inlineStr">
        <is>
          <t>Hard</t>
        </is>
      </c>
      <c r="J836" s="3">
        <f>HYPERLINK("https://www.codechef.com/problems/KAN13F", "https://www.codechef.com/problems/KAN13F")</f>
        <v/>
      </c>
      <c r="K836" s="2" t="inlineStr"/>
      <c r="L836" s="2" t="inlineStr">
        <is>
          <t>greedy, jingbo_adm, kan13acm, medium-hard</t>
        </is>
      </c>
      <c r="M836" s="2" t="inlineStr"/>
      <c r="N836" s="2" t="inlineStr">
        <is>
          <t>No</t>
        </is>
      </c>
      <c r="O836" s="2" t="inlineStr">
        <is>
          <t>Unattempted</t>
        </is>
      </c>
    </row>
    <row r="837">
      <c r="A837" s="4" t="inlineStr">
        <is>
          <t>Other Practice Paths</t>
        </is>
      </c>
      <c r="B837" s="4" t="inlineStr">
        <is>
          <t>Prepare for ICPC - Past Year Problems</t>
        </is>
      </c>
      <c r="C837" s="4" t="inlineStr">
        <is>
          <t>Prepare for your next ICPC online or onsite round by practicing problems of past years. Get an understanding of the pattern of questions which are asked.</t>
        </is>
      </c>
      <c r="D837" s="4" t="inlineStr">
        <is>
          <t>Kanpur Onsite Regionals 2013 - Kanpur Onsite Regionals 2013</t>
        </is>
      </c>
      <c r="E837" s="4" t="n">
        <v>269</v>
      </c>
      <c r="F837" s="4" t="inlineStr">
        <is>
          <t>Walking Path</t>
        </is>
      </c>
      <c r="G837" s="4" t="inlineStr">
        <is>
          <t>KAN13B</t>
        </is>
      </c>
      <c r="H837" s="4" t="inlineStr"/>
      <c r="I837" s="4" t="inlineStr">
        <is>
          <t>Hard</t>
        </is>
      </c>
      <c r="J837" s="5">
        <f>HYPERLINK("https://www.codechef.com/problems/KAN13B", "https://www.codechef.com/problems/KAN13B")</f>
        <v/>
      </c>
      <c r="K837" s="4" t="inlineStr"/>
      <c r="L837" s="4" t="inlineStr">
        <is>
          <t>binary-heap, dijkstra-algorithm, jingbo_adm, kan13acm, medium</t>
        </is>
      </c>
      <c r="M837" s="4" t="inlineStr"/>
      <c r="N837" s="4" t="inlineStr">
        <is>
          <t>No</t>
        </is>
      </c>
      <c r="O837" s="4" t="inlineStr">
        <is>
          <t>Unattempted</t>
        </is>
      </c>
    </row>
    <row r="838">
      <c r="A838" s="2" t="inlineStr">
        <is>
          <t>Other Practice Paths</t>
        </is>
      </c>
      <c r="B838" s="2" t="inlineStr">
        <is>
          <t>Prepare for ICPC - Past Year Problems</t>
        </is>
      </c>
      <c r="C838" s="2" t="inlineStr">
        <is>
          <t>Prepare for your next ICPC online or onsite round by practicing problems of past years. Get an understanding of the pattern of questions which are asked.</t>
        </is>
      </c>
      <c r="D838" s="2" t="inlineStr">
        <is>
          <t>Kanpur Onsite Regionals 2013 - Kanpur Onsite Regionals 2013</t>
        </is>
      </c>
      <c r="E838" s="2" t="n">
        <v>270</v>
      </c>
      <c r="F838" s="2" t="inlineStr">
        <is>
          <t>Family of Recurrences</t>
        </is>
      </c>
      <c r="G838" s="2" t="inlineStr">
        <is>
          <t>KAN13D</t>
        </is>
      </c>
      <c r="H838" s="2" t="inlineStr"/>
      <c r="I838" s="2" t="inlineStr">
        <is>
          <t>Hard</t>
        </is>
      </c>
      <c r="J838" s="3">
        <f>HYPERLINK("https://www.codechef.com/problems/KAN13D", "https://www.codechef.com/problems/KAN13D")</f>
        <v/>
      </c>
      <c r="K838" s="2" t="inlineStr"/>
      <c r="L838" s="2" t="inlineStr">
        <is>
          <t>jingbo_adm, kan13acm, matrix-exponentiation, medium</t>
        </is>
      </c>
      <c r="M838" s="2" t="inlineStr"/>
      <c r="N838" s="2" t="inlineStr">
        <is>
          <t>No</t>
        </is>
      </c>
      <c r="O838" s="2" t="inlineStr">
        <is>
          <t>Unattempted</t>
        </is>
      </c>
    </row>
    <row r="839">
      <c r="A839" s="4" t="inlineStr">
        <is>
          <t>Other Practice Paths</t>
        </is>
      </c>
      <c r="B839" s="4" t="inlineStr">
        <is>
          <t>Prepare for ICPC - Past Year Problems</t>
        </is>
      </c>
      <c r="C839" s="4" t="inlineStr">
        <is>
          <t>Prepare for your next ICPC online or onsite round by practicing problems of past years. Get an understanding of the pattern of questions which are asked.</t>
        </is>
      </c>
      <c r="D839" s="4" t="inlineStr">
        <is>
          <t>Kanpur Onsite Regionals 2013 - Kanpur Onsite Regionals 2013</t>
        </is>
      </c>
      <c r="E839" s="4" t="n">
        <v>271</v>
      </c>
      <c r="F839" s="4" t="inlineStr">
        <is>
          <t>Multi-Peg Tower of Hanoi</t>
        </is>
      </c>
      <c r="G839" s="4" t="inlineStr">
        <is>
          <t>KAN13H</t>
        </is>
      </c>
      <c r="H839" s="4" t="inlineStr"/>
      <c r="I839" s="4" t="inlineStr">
        <is>
          <t>Hard</t>
        </is>
      </c>
      <c r="J839" s="5">
        <f>HYPERLINK("https://www.codechef.com/problems/KAN13H", "https://www.codechef.com/problems/KAN13H")</f>
        <v/>
      </c>
      <c r="K839" s="4" t="inlineStr"/>
      <c r="L839" s="4" t="inlineStr">
        <is>
          <t>dynamic-programming, easy-medium, jingbo_adm, kan13acm</t>
        </is>
      </c>
      <c r="M839" s="4" t="inlineStr"/>
      <c r="N839" s="4" t="inlineStr">
        <is>
          <t>No</t>
        </is>
      </c>
      <c r="O839" s="4" t="inlineStr">
        <is>
          <t>Unattempted</t>
        </is>
      </c>
    </row>
    <row r="840">
      <c r="A840" s="2" t="inlineStr">
        <is>
          <t>Other Practice Paths</t>
        </is>
      </c>
      <c r="B840" s="2" t="inlineStr">
        <is>
          <t>Prepare for ICPC - Past Year Problems</t>
        </is>
      </c>
      <c r="C840" s="2" t="inlineStr">
        <is>
          <t>Prepare for your next ICPC online or onsite round by practicing problems of past years. Get an understanding of the pattern of questions which are asked.</t>
        </is>
      </c>
      <c r="D840" s="2" t="inlineStr">
        <is>
          <t>Kanpur Onsite Regionals 2013 - Kanpur Onsite Regionals 2013</t>
        </is>
      </c>
      <c r="E840" s="2" t="n">
        <v>272</v>
      </c>
      <c r="F840" s="2" t="inlineStr">
        <is>
          <t>Rewarding the Priests</t>
        </is>
      </c>
      <c r="G840" s="2" t="inlineStr">
        <is>
          <t>KAN13I</t>
        </is>
      </c>
      <c r="H840" s="2" t="inlineStr"/>
      <c r="I840" s="2" t="inlineStr">
        <is>
          <t>Hard</t>
        </is>
      </c>
      <c r="J840" s="3">
        <f>HYPERLINK("https://www.codechef.com/problems/KAN13I", "https://www.codechef.com/problems/KAN13I")</f>
        <v/>
      </c>
      <c r="K840" s="2" t="inlineStr"/>
      <c r="L840" s="2" t="inlineStr">
        <is>
          <t>easy-medium, fractions, jingbo_adm, kan13acm</t>
        </is>
      </c>
      <c r="M840" s="2" t="inlineStr"/>
      <c r="N840" s="2" t="inlineStr">
        <is>
          <t>No</t>
        </is>
      </c>
      <c r="O840" s="2" t="inlineStr">
        <is>
          <t>Unattempted</t>
        </is>
      </c>
    </row>
    <row r="841">
      <c r="A841" s="4" t="inlineStr">
        <is>
          <t>Other Practice Paths</t>
        </is>
      </c>
      <c r="B841" s="4" t="inlineStr">
        <is>
          <t>Prepare for ICPC - Past Year Problems</t>
        </is>
      </c>
      <c r="C841" s="4" t="inlineStr">
        <is>
          <t>Prepare for your next ICPC online or onsite round by practicing problems of past years. Get an understanding of the pattern of questions which are asked.</t>
        </is>
      </c>
      <c r="D841" s="4" t="inlineStr">
        <is>
          <t>Amritapuri Onsite Regionals 2012 - Amritapuri Onsite Regionals 2012</t>
        </is>
      </c>
      <c r="E841" s="4" t="n">
        <v>273</v>
      </c>
      <c r="F841" s="4" t="inlineStr">
        <is>
          <t>The Mirror of Galadriel</t>
        </is>
      </c>
      <c r="G841" s="4" t="inlineStr">
        <is>
          <t>MSTRINGS</t>
        </is>
      </c>
      <c r="H841" s="4" t="inlineStr"/>
      <c r="I841" s="4" t="inlineStr">
        <is>
          <t>Hard</t>
        </is>
      </c>
      <c r="J841" s="5">
        <f>HYPERLINK("https://www.codechef.com/problems/MSTRINGS", "https://www.codechef.com/problems/MSTRINGS")</f>
        <v/>
      </c>
      <c r="K841" s="4" t="inlineStr"/>
      <c r="L841" s="4" t="inlineStr">
        <is>
          <t>acmamr12, admin</t>
        </is>
      </c>
      <c r="M841" s="4" t="inlineStr"/>
      <c r="N841" s="4" t="inlineStr">
        <is>
          <t>No</t>
        </is>
      </c>
      <c r="O841" s="4" t="inlineStr">
        <is>
          <t>Unattempted</t>
        </is>
      </c>
    </row>
    <row r="842">
      <c r="A842" s="2" t="inlineStr">
        <is>
          <t>Other Practice Paths</t>
        </is>
      </c>
      <c r="B842" s="2" t="inlineStr">
        <is>
          <t>Prepare for ICPC - Past Year Problems</t>
        </is>
      </c>
      <c r="C842" s="2" t="inlineStr">
        <is>
          <t>Prepare for your next ICPC online or onsite round by practicing problems of past years. Get an understanding of the pattern of questions which are asked.</t>
        </is>
      </c>
      <c r="D842" s="2" t="inlineStr">
        <is>
          <t>Amritapuri Onsite Regionals 2012 - Amritapuri Onsite Regionals 2012</t>
        </is>
      </c>
      <c r="E842" s="2" t="n">
        <v>274</v>
      </c>
      <c r="F842" s="2" t="inlineStr">
        <is>
          <t>The Glittering Caves of Aglarond</t>
        </is>
      </c>
      <c r="G842" s="2" t="inlineStr">
        <is>
          <t>LIGHTS</t>
        </is>
      </c>
      <c r="H842" s="2" t="inlineStr"/>
      <c r="I842" s="2" t="inlineStr">
        <is>
          <t>Hard</t>
        </is>
      </c>
      <c r="J842" s="3">
        <f>HYPERLINK("https://www.codechef.com/problems/LIGHTS", "https://www.codechef.com/problems/LIGHTS")</f>
        <v/>
      </c>
      <c r="K842" s="2" t="inlineStr"/>
      <c r="L842" s="2" t="inlineStr">
        <is>
          <t>acmamr12, admin</t>
        </is>
      </c>
      <c r="M842" s="2" t="inlineStr"/>
      <c r="N842" s="2" t="inlineStr">
        <is>
          <t>No</t>
        </is>
      </c>
      <c r="O842" s="2" t="inlineStr">
        <is>
          <t>Unattempted</t>
        </is>
      </c>
    </row>
    <row r="843">
      <c r="A843" s="4" t="inlineStr">
        <is>
          <t>Other Practice Paths</t>
        </is>
      </c>
      <c r="B843" s="4" t="inlineStr">
        <is>
          <t>Prepare for ICPC - Past Year Problems</t>
        </is>
      </c>
      <c r="C843" s="4" t="inlineStr">
        <is>
          <t>Prepare for your next ICPC online or onsite round by practicing problems of past years. Get an understanding of the pattern of questions which are asked.</t>
        </is>
      </c>
      <c r="D843" s="4" t="inlineStr">
        <is>
          <t>Amritapuri Onsite Regionals 2012 - Amritapuri Onsite Regionals 2012</t>
        </is>
      </c>
      <c r="E843" s="4" t="n">
        <v>275</v>
      </c>
      <c r="F843" s="4" t="inlineStr">
        <is>
          <t>Saruman of Many Colours</t>
        </is>
      </c>
      <c r="G843" s="4" t="inlineStr">
        <is>
          <t>CBLOCKS</t>
        </is>
      </c>
      <c r="H843" s="4" t="inlineStr"/>
      <c r="I843" s="4" t="inlineStr">
        <is>
          <t>Hard</t>
        </is>
      </c>
      <c r="J843" s="5">
        <f>HYPERLINK("https://www.codechef.com/problems/CBLOCKS", "https://www.codechef.com/problems/CBLOCKS")</f>
        <v/>
      </c>
      <c r="K843" s="4" t="inlineStr"/>
      <c r="L843" s="4" t="inlineStr">
        <is>
          <t>acmamr12, admin</t>
        </is>
      </c>
      <c r="M843" s="4" t="inlineStr"/>
      <c r="N843" s="4" t="inlineStr">
        <is>
          <t>No</t>
        </is>
      </c>
      <c r="O843" s="4" t="inlineStr">
        <is>
          <t>Unattempted</t>
        </is>
      </c>
    </row>
    <row r="844">
      <c r="A844" s="2" t="inlineStr">
        <is>
          <t>Other Practice Paths</t>
        </is>
      </c>
      <c r="B844" s="2" t="inlineStr">
        <is>
          <t>Prepare for ICPC - Past Year Problems</t>
        </is>
      </c>
      <c r="C844" s="2" t="inlineStr">
        <is>
          <t>Prepare for your next ICPC online or onsite round by practicing problems of past years. Get an understanding of the pattern of questions which are asked.</t>
        </is>
      </c>
      <c r="D844" s="2" t="inlineStr">
        <is>
          <t>Amritapuri Onsite Regionals 2012 - Amritapuri Onsite Regionals 2012</t>
        </is>
      </c>
      <c r="E844" s="2" t="n">
        <v>276</v>
      </c>
      <c r="F844" s="2" t="inlineStr">
        <is>
          <t>Gandalf vs the Balrog</t>
        </is>
      </c>
      <c r="G844" s="2" t="inlineStr">
        <is>
          <t>ATKCTR</t>
        </is>
      </c>
      <c r="H844" s="2" t="inlineStr"/>
      <c r="I844" s="2" t="inlineStr">
        <is>
          <t>Hard</t>
        </is>
      </c>
      <c r="J844" s="3">
        <f>HYPERLINK("https://www.codechef.com/problems/ATKCTR", "https://www.codechef.com/problems/ATKCTR")</f>
        <v/>
      </c>
      <c r="K844" s="2" t="inlineStr"/>
      <c r="L844" s="2" t="inlineStr">
        <is>
          <t>acmamr12, admin</t>
        </is>
      </c>
      <c r="M844" s="2" t="inlineStr"/>
      <c r="N844" s="2" t="inlineStr">
        <is>
          <t>No</t>
        </is>
      </c>
      <c r="O844" s="2" t="inlineStr">
        <is>
          <t>Unattempted</t>
        </is>
      </c>
    </row>
    <row r="845">
      <c r="A845" s="4" t="inlineStr">
        <is>
          <t>Other Practice Paths</t>
        </is>
      </c>
      <c r="B845" s="4" t="inlineStr">
        <is>
          <t>Prepare for ICPC - Past Year Problems</t>
        </is>
      </c>
      <c r="C845" s="4" t="inlineStr">
        <is>
          <t>Prepare for your next ICPC online or onsite round by practicing problems of past years. Get an understanding of the pattern of questions which are asked.</t>
        </is>
      </c>
      <c r="D845" s="4" t="inlineStr">
        <is>
          <t>Amritapuri Onsite Regionals 2012 - Amritapuri Onsite Regionals 2012</t>
        </is>
      </c>
      <c r="E845" s="4" t="n">
        <v>277</v>
      </c>
      <c r="F845" s="4" t="inlineStr">
        <is>
          <t>The Loyalty of the Orcs</t>
        </is>
      </c>
      <c r="G845" s="4" t="inlineStr">
        <is>
          <t>FSSYNC</t>
        </is>
      </c>
      <c r="H845" s="4" t="inlineStr"/>
      <c r="I845" s="4" t="inlineStr">
        <is>
          <t>Hard</t>
        </is>
      </c>
      <c r="J845" s="5">
        <f>HYPERLINK("https://www.codechef.com/problems/FSSYNC", "https://www.codechef.com/problems/FSSYNC")</f>
        <v/>
      </c>
      <c r="K845" s="4" t="inlineStr"/>
      <c r="L845" s="4" t="inlineStr">
        <is>
          <t>acmamr12, admin</t>
        </is>
      </c>
      <c r="M845" s="4" t="inlineStr"/>
      <c r="N845" s="4" t="inlineStr">
        <is>
          <t>No</t>
        </is>
      </c>
      <c r="O845" s="4" t="inlineStr">
        <is>
          <t>Unattempted</t>
        </is>
      </c>
    </row>
    <row r="846">
      <c r="A846" s="2" t="inlineStr">
        <is>
          <t>Other Practice Paths</t>
        </is>
      </c>
      <c r="B846" s="2" t="inlineStr">
        <is>
          <t>Prepare for ICPC - Past Year Problems</t>
        </is>
      </c>
      <c r="C846" s="2" t="inlineStr">
        <is>
          <t>Prepare for your next ICPC online or onsite round by practicing problems of past years. Get an understanding of the pattern of questions which are asked.</t>
        </is>
      </c>
      <c r="D846" s="2" t="inlineStr">
        <is>
          <t>Amritapuri Onsite Regionals 2012 - Amritapuri Onsite Regionals 2012</t>
        </is>
      </c>
      <c r="E846" s="2" t="n">
        <v>278</v>
      </c>
      <c r="F846" s="2" t="inlineStr">
        <is>
          <t>Dyslexic Gollum</t>
        </is>
      </c>
      <c r="G846" s="2" t="inlineStr">
        <is>
          <t>PSTRINGS</t>
        </is>
      </c>
      <c r="H846" s="2" t="inlineStr"/>
      <c r="I846" s="2" t="inlineStr">
        <is>
          <t>Hard</t>
        </is>
      </c>
      <c r="J846" s="3">
        <f>HYPERLINK("https://www.codechef.com/problems/PSTRINGS", "https://www.codechef.com/problems/PSTRINGS")</f>
        <v/>
      </c>
      <c r="K846" s="2" t="inlineStr"/>
      <c r="L846" s="2" t="inlineStr">
        <is>
          <t>acmamr12, admin</t>
        </is>
      </c>
      <c r="M846" s="2" t="inlineStr"/>
      <c r="N846" s="2" t="inlineStr">
        <is>
          <t>No</t>
        </is>
      </c>
      <c r="O846" s="2" t="inlineStr">
        <is>
          <t>Unattempted</t>
        </is>
      </c>
    </row>
    <row r="847">
      <c r="A847" s="4" t="inlineStr">
        <is>
          <t>Other Practice Paths</t>
        </is>
      </c>
      <c r="B847" s="4" t="inlineStr">
        <is>
          <t>Prepare for ICPC - Past Year Problems</t>
        </is>
      </c>
      <c r="C847" s="4" t="inlineStr">
        <is>
          <t>Prepare for your next ICPC online or onsite round by practicing problems of past years. Get an understanding of the pattern of questions which are asked.</t>
        </is>
      </c>
      <c r="D847" s="4" t="inlineStr">
        <is>
          <t>Amritapuri Onsite Regionals 2012 - Amritapuri Onsite Regionals 2012</t>
        </is>
      </c>
      <c r="E847" s="4" t="n">
        <v>279</v>
      </c>
      <c r="F847" s="4" t="inlineStr">
        <is>
          <t>Escape from the Mines</t>
        </is>
      </c>
      <c r="G847" s="4" t="inlineStr">
        <is>
          <t>RNEST</t>
        </is>
      </c>
      <c r="H847" s="4" t="inlineStr"/>
      <c r="I847" s="4" t="inlineStr">
        <is>
          <t>Hard</t>
        </is>
      </c>
      <c r="J847" s="5">
        <f>HYPERLINK("https://www.codechef.com/problems/RNEST", "https://www.codechef.com/problems/RNEST")</f>
        <v/>
      </c>
      <c r="K847" s="4" t="inlineStr"/>
      <c r="L847" s="4" t="inlineStr"/>
      <c r="M847" s="4" t="inlineStr"/>
      <c r="N847" s="4" t="inlineStr">
        <is>
          <t>No</t>
        </is>
      </c>
      <c r="O847" s="4" t="inlineStr">
        <is>
          <t>Unattempted</t>
        </is>
      </c>
    </row>
    <row r="848">
      <c r="A848" s="2" t="inlineStr">
        <is>
          <t>Other Practice Paths</t>
        </is>
      </c>
      <c r="B848" s="2" t="inlineStr">
        <is>
          <t>Prepare for ICPC - Past Year Problems</t>
        </is>
      </c>
      <c r="C848" s="2" t="inlineStr">
        <is>
          <t>Prepare for your next ICPC online or onsite round by practicing problems of past years. Get an understanding of the pattern of questions which are asked.</t>
        </is>
      </c>
      <c r="D848" s="2" t="inlineStr">
        <is>
          <t>Amritapuri Onsite Regionals 2012 - Amritapuri Onsite Regionals 2012</t>
        </is>
      </c>
      <c r="E848" s="2" t="n">
        <v>280</v>
      </c>
      <c r="F848" s="2" t="inlineStr">
        <is>
          <t>Entmoot</t>
        </is>
      </c>
      <c r="G848" s="2" t="inlineStr">
        <is>
          <t>BALL</t>
        </is>
      </c>
      <c r="H848" s="2" t="inlineStr"/>
      <c r="I848" s="2" t="inlineStr">
        <is>
          <t>Hard</t>
        </is>
      </c>
      <c r="J848" s="3">
        <f>HYPERLINK("https://www.codechef.com/problems/BALL", "https://www.codechef.com/problems/BALL")</f>
        <v/>
      </c>
      <c r="K848" s="2" t="inlineStr"/>
      <c r="L848" s="2" t="inlineStr">
        <is>
          <t>acmamr12, admin</t>
        </is>
      </c>
      <c r="M848" s="2" t="inlineStr"/>
      <c r="N848" s="2" t="inlineStr">
        <is>
          <t>No</t>
        </is>
      </c>
      <c r="O848" s="2" t="inlineStr">
        <is>
          <t>Unattempted</t>
        </is>
      </c>
    </row>
    <row r="849">
      <c r="A849" s="4" t="inlineStr">
        <is>
          <t>Other Practice Paths</t>
        </is>
      </c>
      <c r="B849" s="4" t="inlineStr">
        <is>
          <t>Prepare for ICPC - Past Year Problems</t>
        </is>
      </c>
      <c r="C849" s="4" t="inlineStr">
        <is>
          <t>Prepare for your next ICPC online or onsite round by practicing problems of past years. Get an understanding of the pattern of questions which are asked.</t>
        </is>
      </c>
      <c r="D849" s="4" t="inlineStr">
        <is>
          <t>Amritapuri Onsite Regionals 2012 - Amritapuri Onsite Regionals 2012</t>
        </is>
      </c>
      <c r="E849" s="4" t="n">
        <v>281</v>
      </c>
      <c r="F849" s="4" t="inlineStr">
        <is>
          <t>Wormtongues Mind</t>
        </is>
      </c>
      <c r="G849" s="4" t="inlineStr">
        <is>
          <t>MINMAX</t>
        </is>
      </c>
      <c r="H849" s="4" t="inlineStr"/>
      <c r="I849" s="4" t="inlineStr">
        <is>
          <t>Hard</t>
        </is>
      </c>
      <c r="J849" s="5">
        <f>HYPERLINK("https://www.codechef.com/problems/MINMAX", "https://www.codechef.com/problems/MINMAX")</f>
        <v/>
      </c>
      <c r="K849" s="4" t="inlineStr"/>
      <c r="L849" s="4" t="inlineStr">
        <is>
          <t>acmamr12, admin, medium, probability</t>
        </is>
      </c>
      <c r="M849" s="4" t="inlineStr"/>
      <c r="N849" s="4" t="inlineStr">
        <is>
          <t>No</t>
        </is>
      </c>
      <c r="O849" s="4" t="inlineStr">
        <is>
          <t>Unattempted</t>
        </is>
      </c>
    </row>
    <row r="850">
      <c r="A850" s="2" t="inlineStr">
        <is>
          <t>Other Practice Paths</t>
        </is>
      </c>
      <c r="B850" s="2" t="inlineStr">
        <is>
          <t>Prepare for ICPC - Past Year Problems</t>
        </is>
      </c>
      <c r="C850" s="2" t="inlineStr">
        <is>
          <t>Prepare for your next ICPC online or onsite round by practicing problems of past years. Get an understanding of the pattern of questions which are asked.</t>
        </is>
      </c>
      <c r="D850" s="2" t="inlineStr">
        <is>
          <t>Amritapuri Onsite Regionals 2012 - Amritapuri Onsite Regionals 2012</t>
        </is>
      </c>
      <c r="E850" s="2" t="n">
        <v>282</v>
      </c>
      <c r="F850" s="2" t="inlineStr">
        <is>
          <t>finding holes</t>
        </is>
      </c>
      <c r="G850" s="2" t="inlineStr">
        <is>
          <t>FINDHOLES</t>
        </is>
      </c>
      <c r="H850" s="2" t="inlineStr"/>
      <c r="I850" s="2" t="inlineStr">
        <is>
          <t>Hard</t>
        </is>
      </c>
      <c r="J850" s="3">
        <f>HYPERLINK("https://www.codechef.com/problems/FINDHOLES", "https://www.codechef.com/problems/FINDHOLES")</f>
        <v/>
      </c>
      <c r="K850" s="2" t="inlineStr"/>
      <c r="L850" s="2" t="inlineStr"/>
      <c r="M850" s="2" t="inlineStr"/>
      <c r="N850" s="2" t="inlineStr">
        <is>
          <t>No</t>
        </is>
      </c>
      <c r="O850" s="2" t="inlineStr">
        <is>
          <t>Unattempted</t>
        </is>
      </c>
    </row>
    <row r="851">
      <c r="A851" s="4" t="inlineStr">
        <is>
          <t>Other Practice Paths</t>
        </is>
      </c>
      <c r="B851" s="4" t="inlineStr">
        <is>
          <t>Prepare for ICPC - Past Year Problems</t>
        </is>
      </c>
      <c r="C851" s="4" t="inlineStr">
        <is>
          <t>Prepare for your next ICPC online or onsite round by practicing problems of past years. Get an understanding of the pattern of questions which are asked.</t>
        </is>
      </c>
      <c r="D851" s="4" t="inlineStr">
        <is>
          <t>Amritapuri Onsite Regionals 2012 - Amritapuri Onsite Regionals 2012</t>
        </is>
      </c>
      <c r="E851" s="4" t="n">
        <v>283</v>
      </c>
      <c r="F851" s="4" t="inlineStr">
        <is>
          <t>Denethors Decryption of Dequeue permutations</t>
        </is>
      </c>
      <c r="G851" s="4" t="inlineStr">
        <is>
          <t>DQPERMS</t>
        </is>
      </c>
      <c r="H851" s="4" t="inlineStr"/>
      <c r="I851" s="4" t="inlineStr">
        <is>
          <t>Hard</t>
        </is>
      </c>
      <c r="J851" s="5">
        <f>HYPERLINK("https://www.codechef.com/problems/DQPERMS", "https://www.codechef.com/problems/DQPERMS")</f>
        <v/>
      </c>
      <c r="K851" s="4" t="inlineStr"/>
      <c r="L851" s="4" t="inlineStr">
        <is>
          <t>acmamr12, admin, combinatorics, hard</t>
        </is>
      </c>
      <c r="M851" s="4" t="inlineStr"/>
      <c r="N851" s="4" t="inlineStr">
        <is>
          <t>No</t>
        </is>
      </c>
      <c r="O851" s="4" t="inlineStr">
        <is>
          <t>Unattempted</t>
        </is>
      </c>
    </row>
    <row r="852">
      <c r="A852" s="2" t="inlineStr">
        <is>
          <t>Other Practice Paths</t>
        </is>
      </c>
      <c r="B852" s="2" t="inlineStr">
        <is>
          <t>Practice NumPy - Coding Problems and Challenges</t>
        </is>
      </c>
      <c r="C852" s="2" t="inlineStr">
        <is>
          <t>Practice the essential Python library for scientific computing. Master array manipulation, statistical operations, and start your journey to efficient, data-driven insights today!</t>
        </is>
      </c>
      <c r="D852" s="2" t="inlineStr">
        <is>
          <t>NumPy Array creation - NumPy Array creation</t>
        </is>
      </c>
      <c r="E852" s="2" t="n">
        <v>1</v>
      </c>
      <c r="F852" s="2" t="inlineStr">
        <is>
          <t>Create NumPy array from exam scores</t>
        </is>
      </c>
      <c r="G852" s="2" t="inlineStr">
        <is>
          <t>FKLJMW01</t>
        </is>
      </c>
      <c r="H852" s="2" t="inlineStr"/>
      <c r="I852" s="2" t="inlineStr">
        <is>
          <t>Easy</t>
        </is>
      </c>
      <c r="J852" s="3">
        <f>HYPERLINK("https://www.codechef.com/problems/FKLJMW01", "https://www.codechef.com/problems/FKLJMW01")</f>
        <v/>
      </c>
      <c r="K852" s="2" t="inlineStr"/>
      <c r="L852" s="2" t="inlineStr"/>
      <c r="M852" s="2" t="inlineStr"/>
      <c r="N852" s="2" t="inlineStr">
        <is>
          <t>No</t>
        </is>
      </c>
      <c r="O852" s="2" t="inlineStr">
        <is>
          <t>Unattempted</t>
        </is>
      </c>
    </row>
    <row r="853">
      <c r="A853" s="4" t="inlineStr">
        <is>
          <t>Other Practice Paths</t>
        </is>
      </c>
      <c r="B853" s="4" t="inlineStr">
        <is>
          <t>Practice NumPy - Coding Problems and Challenges</t>
        </is>
      </c>
      <c r="C853" s="4" t="inlineStr">
        <is>
          <t>Practice the essential Python library for scientific computing. Master array manipulation, statistical operations, and start your journey to efficient, data-driven insights today!</t>
        </is>
      </c>
      <c r="D853" s="4" t="inlineStr">
        <is>
          <t>NumPy Array creation - NumPy Array creation</t>
        </is>
      </c>
      <c r="E853" s="4" t="n">
        <v>2</v>
      </c>
      <c r="F853" s="4" t="inlineStr">
        <is>
          <t>Random Dice Roll Simulator</t>
        </is>
      </c>
      <c r="G853" s="4" t="inlineStr">
        <is>
          <t>FKLJMW02</t>
        </is>
      </c>
      <c r="H853" s="4" t="inlineStr"/>
      <c r="I853" s="4" t="inlineStr">
        <is>
          <t>Easy</t>
        </is>
      </c>
      <c r="J853" s="5">
        <f>HYPERLINK("https://www.codechef.com/problems/FKLJMW02", "https://www.codechef.com/problems/FKLJMW02")</f>
        <v/>
      </c>
      <c r="K853" s="4" t="inlineStr"/>
      <c r="L853" s="4" t="inlineStr"/>
      <c r="M853" s="4" t="inlineStr"/>
      <c r="N853" s="4" t="inlineStr">
        <is>
          <t>No</t>
        </is>
      </c>
      <c r="O853" s="4" t="inlineStr">
        <is>
          <t>Unattempted</t>
        </is>
      </c>
    </row>
    <row r="854">
      <c r="A854" s="2" t="inlineStr">
        <is>
          <t>Other Practice Paths</t>
        </is>
      </c>
      <c r="B854" s="2" t="inlineStr">
        <is>
          <t>Practice NumPy - Coding Problems and Challenges</t>
        </is>
      </c>
      <c r="C854" s="2" t="inlineStr">
        <is>
          <t>Practice the essential Python library for scientific computing. Master array manipulation, statistical operations, and start your journey to efficient, data-driven insights today!</t>
        </is>
      </c>
      <c r="D854" s="2" t="inlineStr">
        <is>
          <t>NumPy Array creation - NumPy Array creation</t>
        </is>
      </c>
      <c r="E854" s="2" t="n">
        <v>3</v>
      </c>
      <c r="F854" s="2" t="inlineStr">
        <is>
          <t>Generate a sequence of odd numbers</t>
        </is>
      </c>
      <c r="G854" s="2" t="inlineStr">
        <is>
          <t>FKLJMW03</t>
        </is>
      </c>
      <c r="H854" s="2" t="inlineStr"/>
      <c r="I854" s="2" t="inlineStr">
        <is>
          <t>Medium</t>
        </is>
      </c>
      <c r="J854" s="3">
        <f>HYPERLINK("https://www.codechef.com/problems/FKLJMW03", "https://www.codechef.com/problems/FKLJMW03")</f>
        <v/>
      </c>
      <c r="K854" s="2" t="inlineStr"/>
      <c r="L854" s="2" t="inlineStr"/>
      <c r="M854" s="2" t="inlineStr"/>
      <c r="N854" s="2" t="inlineStr">
        <is>
          <t>No</t>
        </is>
      </c>
      <c r="O854" s="2" t="inlineStr">
        <is>
          <t>Unattempted</t>
        </is>
      </c>
    </row>
    <row r="855">
      <c r="A855" s="4" t="inlineStr">
        <is>
          <t>Other Practice Paths</t>
        </is>
      </c>
      <c r="B855" s="4" t="inlineStr">
        <is>
          <t>Practice NumPy - Coding Problems and Challenges</t>
        </is>
      </c>
      <c r="C855" s="4" t="inlineStr">
        <is>
          <t>Practice the essential Python library for scientific computing. Master array manipulation, statistical operations, and start your journey to efficient, data-driven insights today!</t>
        </is>
      </c>
      <c r="D855" s="4" t="inlineStr">
        <is>
          <t>Numpy datatypes - Numpy datatypes</t>
        </is>
      </c>
      <c r="E855" s="4" t="n">
        <v>4</v>
      </c>
      <c r="F855" s="4" t="inlineStr">
        <is>
          <t>Even Number Boolean Mapper</t>
        </is>
      </c>
      <c r="G855" s="4" t="inlineStr">
        <is>
          <t>QCROZK01</t>
        </is>
      </c>
      <c r="H855" s="4" t="inlineStr"/>
      <c r="I855" s="4" t="inlineStr">
        <is>
          <t>Easy</t>
        </is>
      </c>
      <c r="J855" s="5">
        <f>HYPERLINK("https://www.codechef.com/problems/QCROZK01", "https://www.codechef.com/problems/QCROZK01")</f>
        <v/>
      </c>
      <c r="K855" s="4" t="inlineStr"/>
      <c r="L855" s="4" t="inlineStr"/>
      <c r="M855" s="4" t="inlineStr"/>
      <c r="N855" s="4" t="inlineStr">
        <is>
          <t>No</t>
        </is>
      </c>
      <c r="O855" s="4" t="inlineStr">
        <is>
          <t>Unattempted</t>
        </is>
      </c>
    </row>
    <row r="856">
      <c r="A856" s="2" t="inlineStr">
        <is>
          <t>Other Practice Paths</t>
        </is>
      </c>
      <c r="B856" s="2" t="inlineStr">
        <is>
          <t>Practice NumPy - Coding Problems and Challenges</t>
        </is>
      </c>
      <c r="C856" s="2" t="inlineStr">
        <is>
          <t>Practice the essential Python library for scientific computing. Master array manipulation, statistical operations, and start your journey to efficient, data-driven insights today!</t>
        </is>
      </c>
      <c r="D856" s="2" t="inlineStr">
        <is>
          <t>Numpy datatypes - Numpy datatypes</t>
        </is>
      </c>
      <c r="E856" s="2" t="n">
        <v>5</v>
      </c>
      <c r="F856" s="2" t="inlineStr">
        <is>
          <t>Convert numeric scores to letter grades</t>
        </is>
      </c>
      <c r="G856" s="2" t="inlineStr">
        <is>
          <t>QCROZK02</t>
        </is>
      </c>
      <c r="H856" s="2" t="inlineStr"/>
      <c r="I856" s="2" t="inlineStr">
        <is>
          <t>Medium</t>
        </is>
      </c>
      <c r="J856" s="3">
        <f>HYPERLINK("https://www.codechef.com/problems/QCROZK02", "https://www.codechef.com/problems/QCROZK02")</f>
        <v/>
      </c>
      <c r="K856" s="2" t="inlineStr"/>
      <c r="L856" s="2" t="inlineStr"/>
      <c r="M856" s="2" t="inlineStr"/>
      <c r="N856" s="2" t="inlineStr">
        <is>
          <t>No</t>
        </is>
      </c>
      <c r="O856" s="2" t="inlineStr">
        <is>
          <t>Unattempted</t>
        </is>
      </c>
    </row>
    <row r="857">
      <c r="A857" s="4" t="inlineStr">
        <is>
          <t>Other Practice Paths</t>
        </is>
      </c>
      <c r="B857" s="4" t="inlineStr">
        <is>
          <t>Practice NumPy - Coding Problems and Challenges</t>
        </is>
      </c>
      <c r="C857" s="4" t="inlineStr">
        <is>
          <t>Practice the essential Python library for scientific computing. Master array manipulation, statistical operations, and start your journey to efficient, data-driven insights today!</t>
        </is>
      </c>
      <c r="D857" s="4" t="inlineStr">
        <is>
          <t>Numpy array indexing and slicing - Numpy array indexing and slicing</t>
        </is>
      </c>
      <c r="E857" s="4" t="n">
        <v>6</v>
      </c>
      <c r="F857" s="4" t="inlineStr">
        <is>
          <t>Extract every third element from an array</t>
        </is>
      </c>
      <c r="G857" s="4" t="inlineStr">
        <is>
          <t>GFOLDX01</t>
        </is>
      </c>
      <c r="H857" s="4" t="inlineStr"/>
      <c r="I857" s="4" t="inlineStr">
        <is>
          <t>Easy</t>
        </is>
      </c>
      <c r="J857" s="5">
        <f>HYPERLINK("https://www.codechef.com/problems/GFOLDX01", "https://www.codechef.com/problems/GFOLDX01")</f>
        <v/>
      </c>
      <c r="K857" s="4" t="inlineStr"/>
      <c r="L857" s="4" t="inlineStr"/>
      <c r="M857" s="4" t="inlineStr"/>
      <c r="N857" s="4" t="inlineStr">
        <is>
          <t>No</t>
        </is>
      </c>
      <c r="O857" s="4" t="inlineStr">
        <is>
          <t>Unattempted</t>
        </is>
      </c>
    </row>
    <row r="858">
      <c r="A858" s="2" t="inlineStr">
        <is>
          <t>Other Practice Paths</t>
        </is>
      </c>
      <c r="B858" s="2" t="inlineStr">
        <is>
          <t>Practice NumPy - Coding Problems and Challenges</t>
        </is>
      </c>
      <c r="C858" s="2" t="inlineStr">
        <is>
          <t>Practice the essential Python library for scientific computing. Master array manipulation, statistical operations, and start your journey to efficient, data-driven insights today!</t>
        </is>
      </c>
      <c r="D858" s="2" t="inlineStr">
        <is>
          <t>Numpy array indexing and slicing - Numpy array indexing and slicing</t>
        </is>
      </c>
      <c r="E858" s="2" t="n">
        <v>7</v>
      </c>
      <c r="F858" s="2" t="inlineStr">
        <is>
          <t>Reverse a NumPy array using slicing</t>
        </is>
      </c>
      <c r="G858" s="2" t="inlineStr">
        <is>
          <t>GFOLDX02</t>
        </is>
      </c>
      <c r="H858" s="2" t="inlineStr"/>
      <c r="I858" s="2" t="inlineStr">
        <is>
          <t>Easy</t>
        </is>
      </c>
      <c r="J858" s="3">
        <f>HYPERLINK("https://www.codechef.com/problems/GFOLDX02", "https://www.codechef.com/problems/GFOLDX02")</f>
        <v/>
      </c>
      <c r="K858" s="2" t="inlineStr"/>
      <c r="L858" s="2" t="inlineStr"/>
      <c r="M858" s="2" t="inlineStr"/>
      <c r="N858" s="2" t="inlineStr">
        <is>
          <t>No</t>
        </is>
      </c>
      <c r="O858" s="2" t="inlineStr">
        <is>
          <t>Unattempted</t>
        </is>
      </c>
    </row>
    <row r="859">
      <c r="A859" s="4" t="inlineStr">
        <is>
          <t>Other Practice Paths</t>
        </is>
      </c>
      <c r="B859" s="4" t="inlineStr">
        <is>
          <t>Practice NumPy - Coding Problems and Challenges</t>
        </is>
      </c>
      <c r="C859" s="4" t="inlineStr">
        <is>
          <t>Practice the essential Python library for scientific computing. Master array manipulation, statistical operations, and start your journey to efficient, data-driven insights today!</t>
        </is>
      </c>
      <c r="D859" s="4" t="inlineStr">
        <is>
          <t>Numpy array indexing and slicing - Numpy array indexing and slicing</t>
        </is>
      </c>
      <c r="E859" s="4" t="n">
        <v>8</v>
      </c>
      <c r="F859" s="4" t="inlineStr">
        <is>
          <t>Mask negative numbers in a NumPy array</t>
        </is>
      </c>
      <c r="G859" s="4" t="inlineStr">
        <is>
          <t>GFOLDX03</t>
        </is>
      </c>
      <c r="H859" s="4" t="inlineStr"/>
      <c r="I859" s="4" t="inlineStr">
        <is>
          <t>Easy</t>
        </is>
      </c>
      <c r="J859" s="5">
        <f>HYPERLINK("https://www.codechef.com/problems/GFOLDX03", "https://www.codechef.com/problems/GFOLDX03")</f>
        <v/>
      </c>
      <c r="K859" s="4" t="inlineStr"/>
      <c r="L859" s="4" t="inlineStr"/>
      <c r="M859" s="4" t="inlineStr"/>
      <c r="N859" s="4" t="inlineStr">
        <is>
          <t>No</t>
        </is>
      </c>
      <c r="O859" s="4" t="inlineStr">
        <is>
          <t>Unattempted</t>
        </is>
      </c>
    </row>
    <row r="860">
      <c r="A860" s="2" t="inlineStr">
        <is>
          <t>Other Practice Paths</t>
        </is>
      </c>
      <c r="B860" s="2" t="inlineStr">
        <is>
          <t>Practice NumPy - Coding Problems and Challenges</t>
        </is>
      </c>
      <c r="C860" s="2" t="inlineStr">
        <is>
          <t>Practice the essential Python library for scientific computing. Master array manipulation, statistical operations, and start your journey to efficient, data-driven insights today!</t>
        </is>
      </c>
      <c r="D860" s="2" t="inlineStr">
        <is>
          <t>Numpy array indexing and slicing - Numpy array indexing and slicing</t>
        </is>
      </c>
      <c r="E860" s="2" t="n">
        <v>9</v>
      </c>
      <c r="F860" s="2" t="inlineStr">
        <is>
          <t>Filter temperatures above 50 and even numbers</t>
        </is>
      </c>
      <c r="G860" s="2" t="inlineStr">
        <is>
          <t>GFOLDX04</t>
        </is>
      </c>
      <c r="H860" s="2" t="inlineStr"/>
      <c r="I860" s="2" t="inlineStr">
        <is>
          <t>Easy</t>
        </is>
      </c>
      <c r="J860" s="3">
        <f>HYPERLINK("https://www.codechef.com/problems/GFOLDX04", "https://www.codechef.com/problems/GFOLDX04")</f>
        <v/>
      </c>
      <c r="K860" s="2" t="inlineStr"/>
      <c r="L860" s="2" t="inlineStr"/>
      <c r="M860" s="2" t="inlineStr"/>
      <c r="N860" s="2" t="inlineStr">
        <is>
          <t>No</t>
        </is>
      </c>
      <c r="O860" s="2" t="inlineStr">
        <is>
          <t>Unattempted</t>
        </is>
      </c>
    </row>
    <row r="861">
      <c r="A861" s="4" t="inlineStr">
        <is>
          <t>Other Practice Paths</t>
        </is>
      </c>
      <c r="B861" s="4" t="inlineStr">
        <is>
          <t>Practice NumPy - Coding Problems and Challenges</t>
        </is>
      </c>
      <c r="C861" s="4" t="inlineStr">
        <is>
          <t>Practice the essential Python library for scientific computing. Master array manipulation, statistical operations, and start your journey to efficient, data-driven insights today!</t>
        </is>
      </c>
      <c r="D861" s="4" t="inlineStr">
        <is>
          <t>Numpy array indexing and slicing - Numpy array indexing and slicing</t>
        </is>
      </c>
      <c r="E861" s="4" t="n">
        <v>10</v>
      </c>
      <c r="F861" s="4" t="inlineStr">
        <is>
          <t>Create a playlist from song indices</t>
        </is>
      </c>
      <c r="G861" s="4" t="inlineStr">
        <is>
          <t>GFOLDX05</t>
        </is>
      </c>
      <c r="H861" s="4" t="inlineStr"/>
      <c r="I861" s="4" t="inlineStr">
        <is>
          <t>Easy</t>
        </is>
      </c>
      <c r="J861" s="5">
        <f>HYPERLINK("https://www.codechef.com/problems/GFOLDX05", "https://www.codechef.com/problems/GFOLDX05")</f>
        <v/>
      </c>
      <c r="K861" s="4" t="inlineStr"/>
      <c r="L861" s="4" t="inlineStr"/>
      <c r="M861" s="4" t="inlineStr"/>
      <c r="N861" s="4" t="inlineStr">
        <is>
          <t>No</t>
        </is>
      </c>
      <c r="O861" s="4" t="inlineStr">
        <is>
          <t>Unattempted</t>
        </is>
      </c>
    </row>
    <row r="862">
      <c r="A862" s="2" t="inlineStr">
        <is>
          <t>Other Practice Paths</t>
        </is>
      </c>
      <c r="B862" s="2" t="inlineStr">
        <is>
          <t>Practice NumPy - Coding Problems and Challenges</t>
        </is>
      </c>
      <c r="C862" s="2" t="inlineStr">
        <is>
          <t>Practice the essential Python library for scientific computing. Master array manipulation, statistical operations, and start your journey to efficient, data-driven insights today!</t>
        </is>
      </c>
      <c r="D862" s="2" t="inlineStr">
        <is>
          <t>N-dimensional NumPy arrays - N-dimensional NumPy arrays</t>
        </is>
      </c>
      <c r="E862" s="2" t="n">
        <v>11</v>
      </c>
      <c r="F862" s="2" t="inlineStr">
        <is>
          <t>Generate 3D array of ones with custom dimensions</t>
        </is>
      </c>
      <c r="G862" s="2" t="inlineStr">
        <is>
          <t>JGCFSS01</t>
        </is>
      </c>
      <c r="H862" s="2" t="inlineStr"/>
      <c r="I862" s="2" t="inlineStr">
        <is>
          <t>Easy</t>
        </is>
      </c>
      <c r="J862" s="3">
        <f>HYPERLINK("https://www.codechef.com/problems/JGCFSS01", "https://www.codechef.com/problems/JGCFSS01")</f>
        <v/>
      </c>
      <c r="K862" s="2" t="inlineStr"/>
      <c r="L862" s="2" t="inlineStr"/>
      <c r="M862" s="2" t="inlineStr"/>
      <c r="N862" s="2" t="inlineStr">
        <is>
          <t>No</t>
        </is>
      </c>
      <c r="O862" s="2" t="inlineStr">
        <is>
          <t>Unattempted</t>
        </is>
      </c>
    </row>
    <row r="863">
      <c r="A863" s="4" t="inlineStr">
        <is>
          <t>Other Practice Paths</t>
        </is>
      </c>
      <c r="B863" s="4" t="inlineStr">
        <is>
          <t>Practice NumPy - Coding Problems and Challenges</t>
        </is>
      </c>
      <c r="C863" s="4" t="inlineStr">
        <is>
          <t>Practice the essential Python library for scientific computing. Master array manipulation, statistical operations, and start your journey to efficient, data-driven insights today!</t>
        </is>
      </c>
      <c r="D863" s="4" t="inlineStr">
        <is>
          <t>N-dimensional NumPy arrays - N-dimensional NumPy arrays</t>
        </is>
      </c>
      <c r="E863" s="4" t="n">
        <v>12</v>
      </c>
      <c r="F863" s="4" t="inlineStr">
        <is>
          <t>Reshape array to user specs</t>
        </is>
      </c>
      <c r="G863" s="4" t="inlineStr">
        <is>
          <t>JGCFSS02</t>
        </is>
      </c>
      <c r="H863" s="4" t="inlineStr"/>
      <c r="I863" s="4" t="inlineStr">
        <is>
          <t>Easy</t>
        </is>
      </c>
      <c r="J863" s="5">
        <f>HYPERLINK("https://www.codechef.com/problems/JGCFSS02", "https://www.codechef.com/problems/JGCFSS02")</f>
        <v/>
      </c>
      <c r="K863" s="4" t="inlineStr"/>
      <c r="L863" s="4" t="inlineStr"/>
      <c r="M863" s="4" t="inlineStr"/>
      <c r="N863" s="4" t="inlineStr">
        <is>
          <t>No</t>
        </is>
      </c>
      <c r="O863" s="4" t="inlineStr">
        <is>
          <t>Unattempted</t>
        </is>
      </c>
    </row>
    <row r="864">
      <c r="A864" s="2" t="inlineStr">
        <is>
          <t>Other Practice Paths</t>
        </is>
      </c>
      <c r="B864" s="2" t="inlineStr">
        <is>
          <t>Practice NumPy - Coding Problems and Challenges</t>
        </is>
      </c>
      <c r="C864" s="2" t="inlineStr">
        <is>
          <t>Practice the essential Python library for scientific computing. Master array manipulation, statistical operations, and start your journey to efficient, data-driven insights today!</t>
        </is>
      </c>
      <c r="D864" s="2" t="inlineStr">
        <is>
          <t>N-dimensional NumPy arrays - N-dimensional NumPy arrays</t>
        </is>
      </c>
      <c r="E864" s="2" t="n">
        <v>13</v>
      </c>
      <c r="F864" s="2" t="inlineStr">
        <is>
          <t>Chessboard Square Extractor</t>
        </is>
      </c>
      <c r="G864" s="2" t="inlineStr">
        <is>
          <t>JGCFSS03</t>
        </is>
      </c>
      <c r="H864" s="2" t="inlineStr"/>
      <c r="I864" s="2" t="inlineStr">
        <is>
          <t>Medium</t>
        </is>
      </c>
      <c r="J864" s="3">
        <f>HYPERLINK("https://www.codechef.com/problems/JGCFSS03", "https://www.codechef.com/problems/JGCFSS03")</f>
        <v/>
      </c>
      <c r="K864" s="2" t="inlineStr"/>
      <c r="L864" s="2" t="inlineStr"/>
      <c r="M864" s="2" t="inlineStr"/>
      <c r="N864" s="2" t="inlineStr">
        <is>
          <t>No</t>
        </is>
      </c>
      <c r="O864" s="2" t="inlineStr">
        <is>
          <t>Unattempted</t>
        </is>
      </c>
    </row>
    <row r="865">
      <c r="A865" s="4" t="inlineStr">
        <is>
          <t>Other Practice Paths</t>
        </is>
      </c>
      <c r="B865" s="4" t="inlineStr">
        <is>
          <t>Practice NumPy - Coding Problems and Challenges</t>
        </is>
      </c>
      <c r="C865" s="4" t="inlineStr">
        <is>
          <t>Practice the essential Python library for scientific computing. Master array manipulation, statistical operations, and start your journey to efficient, data-driven insights today!</t>
        </is>
      </c>
      <c r="D865" s="4" t="inlineStr">
        <is>
          <t>N-dimensional NumPy arrays - N-dimensional NumPy arrays</t>
        </is>
      </c>
      <c r="E865" s="4" t="n">
        <v>14</v>
      </c>
      <c r="F865" s="4" t="inlineStr">
        <is>
          <t>Extract a cube from within a 3D array</t>
        </is>
      </c>
      <c r="G865" s="4" t="inlineStr">
        <is>
          <t>JGCFSS04</t>
        </is>
      </c>
      <c r="H865" s="4" t="inlineStr"/>
      <c r="I865" s="4" t="inlineStr">
        <is>
          <t>Easy</t>
        </is>
      </c>
      <c r="J865" s="5">
        <f>HYPERLINK("https://www.codechef.com/problems/JGCFSS04", "https://www.codechef.com/problems/JGCFSS04")</f>
        <v/>
      </c>
      <c r="K865" s="4" t="inlineStr"/>
      <c r="L865" s="4" t="inlineStr"/>
      <c r="M865" s="4" t="inlineStr"/>
      <c r="N865" s="4" t="inlineStr">
        <is>
          <t>No</t>
        </is>
      </c>
      <c r="O865" s="4" t="inlineStr">
        <is>
          <t>Unattempted</t>
        </is>
      </c>
    </row>
    <row r="866">
      <c r="A866" s="2" t="inlineStr">
        <is>
          <t>Other Practice Paths</t>
        </is>
      </c>
      <c r="B866" s="2" t="inlineStr">
        <is>
          <t>Practice NumPy - Coding Problems and Challenges</t>
        </is>
      </c>
      <c r="C866" s="2" t="inlineStr">
        <is>
          <t>Practice the essential Python library for scientific computing. Master array manipulation, statistical operations, and start your journey to efficient, data-driven insights today!</t>
        </is>
      </c>
      <c r="D866" s="2" t="inlineStr">
        <is>
          <t>N-dimensional NumPy arrays - N-dimensional NumPy arrays</t>
        </is>
      </c>
      <c r="E866" s="2" t="n">
        <v>15</v>
      </c>
      <c r="F866" s="2" t="inlineStr">
        <is>
          <t>Extract specific rows from all layers of 3D array</t>
        </is>
      </c>
      <c r="G866" s="2" t="inlineStr">
        <is>
          <t>JGCFSS05</t>
        </is>
      </c>
      <c r="H866" s="2" t="inlineStr"/>
      <c r="I866" s="2" t="inlineStr">
        <is>
          <t>Medium</t>
        </is>
      </c>
      <c r="J866" s="3">
        <f>HYPERLINK("https://www.codechef.com/problems/JGCFSS05", "https://www.codechef.com/problems/JGCFSS05")</f>
        <v/>
      </c>
      <c r="K866" s="2" t="inlineStr"/>
      <c r="L866" s="2" t="inlineStr"/>
      <c r="M866" s="2" t="inlineStr"/>
      <c r="N866" s="2" t="inlineStr">
        <is>
          <t>No</t>
        </is>
      </c>
      <c r="O866" s="2" t="inlineStr">
        <is>
          <t>Unattempted</t>
        </is>
      </c>
    </row>
    <row r="867">
      <c r="A867" s="4" t="inlineStr">
        <is>
          <t>Other Practice Paths</t>
        </is>
      </c>
      <c r="B867" s="4" t="inlineStr">
        <is>
          <t>Practice NumPy - Coding Problems and Challenges</t>
        </is>
      </c>
      <c r="C867" s="4" t="inlineStr">
        <is>
          <t>Practice the essential Python library for scientific computing. Master array manipulation, statistical operations, and start your journey to efficient, data-driven insights today!</t>
        </is>
      </c>
      <c r="D867" s="4" t="inlineStr">
        <is>
          <t>Basic arithmetic operations - Basic arithmetic operations</t>
        </is>
      </c>
      <c r="E867" s="4" t="n">
        <v>16</v>
      </c>
      <c r="F867" s="4" t="inlineStr">
        <is>
          <t>Combine Scores from Two Exams</t>
        </is>
      </c>
      <c r="G867" s="4" t="inlineStr">
        <is>
          <t>RWQVQU01</t>
        </is>
      </c>
      <c r="H867" s="4" t="inlineStr"/>
      <c r="I867" s="4" t="inlineStr">
        <is>
          <t>Easy</t>
        </is>
      </c>
      <c r="J867" s="5">
        <f>HYPERLINK("https://www.codechef.com/problems/RWQVQU01", "https://www.codechef.com/problems/RWQVQU01")</f>
        <v/>
      </c>
      <c r="K867" s="4" t="inlineStr"/>
      <c r="L867" s="4" t="inlineStr"/>
      <c r="M867" s="4" t="inlineStr"/>
      <c r="N867" s="4" t="inlineStr">
        <is>
          <t>No</t>
        </is>
      </c>
      <c r="O867" s="4" t="inlineStr">
        <is>
          <t>Unattempted</t>
        </is>
      </c>
    </row>
    <row r="868">
      <c r="A868" s="2" t="inlineStr">
        <is>
          <t>Other Practice Paths</t>
        </is>
      </c>
      <c r="B868" s="2" t="inlineStr">
        <is>
          <t>Practice NumPy - Coding Problems and Challenges</t>
        </is>
      </c>
      <c r="C868" s="2" t="inlineStr">
        <is>
          <t>Practice the essential Python library for scientific computing. Master array manipulation, statistical operations, and start your journey to efficient, data-driven insights today!</t>
        </is>
      </c>
      <c r="D868" s="2" t="inlineStr">
        <is>
          <t>Basic arithmetic operations - Basic arithmetic operations</t>
        </is>
      </c>
      <c r="E868" s="2" t="n">
        <v>17</v>
      </c>
      <c r="F868" s="2" t="inlineStr">
        <is>
          <t>Recipe Ingredient Adjuster</t>
        </is>
      </c>
      <c r="G868" s="2" t="inlineStr">
        <is>
          <t>RWQVQU02</t>
        </is>
      </c>
      <c r="H868" s="2" t="inlineStr"/>
      <c r="I868" s="2" t="inlineStr">
        <is>
          <t>Easy</t>
        </is>
      </c>
      <c r="J868" s="3">
        <f>HYPERLINK("https://www.codechef.com/problems/RWQVQU02", "https://www.codechef.com/problems/RWQVQU02")</f>
        <v/>
      </c>
      <c r="K868" s="2" t="inlineStr"/>
      <c r="L868" s="2" t="inlineStr"/>
      <c r="M868" s="2" t="inlineStr"/>
      <c r="N868" s="2" t="inlineStr">
        <is>
          <t>No</t>
        </is>
      </c>
      <c r="O868" s="2" t="inlineStr">
        <is>
          <t>Unattempted</t>
        </is>
      </c>
    </row>
    <row r="869">
      <c r="A869" s="4" t="inlineStr">
        <is>
          <t>Other Practice Paths</t>
        </is>
      </c>
      <c r="B869" s="4" t="inlineStr">
        <is>
          <t>Practice NumPy - Coding Problems and Challenges</t>
        </is>
      </c>
      <c r="C869" s="4" t="inlineStr">
        <is>
          <t>Practice the essential Python library for scientific computing. Master array manipulation, statistical operations, and start your journey to efficient, data-driven insights today!</t>
        </is>
      </c>
      <c r="D869" s="4" t="inlineStr">
        <is>
          <t>Basic arithmetic operations - Basic arithmetic operations</t>
        </is>
      </c>
      <c r="E869" s="4" t="n">
        <v>18</v>
      </c>
      <c r="F869" s="4" t="inlineStr">
        <is>
          <t>Calculate Factorial Using Numpy Array Product</t>
        </is>
      </c>
      <c r="G869" s="4" t="inlineStr">
        <is>
          <t>RWQVQU03</t>
        </is>
      </c>
      <c r="H869" s="4" t="inlineStr"/>
      <c r="I869" s="4" t="inlineStr">
        <is>
          <t>Easy</t>
        </is>
      </c>
      <c r="J869" s="5">
        <f>HYPERLINK("https://www.codechef.com/problems/RWQVQU03", "https://www.codechef.com/problems/RWQVQU03")</f>
        <v/>
      </c>
      <c r="K869" s="4" t="inlineStr"/>
      <c r="L869" s="4" t="inlineStr"/>
      <c r="M869" s="4" t="inlineStr"/>
      <c r="N869" s="4" t="inlineStr">
        <is>
          <t>No</t>
        </is>
      </c>
      <c r="O869" s="4" t="inlineStr">
        <is>
          <t>Unattempted</t>
        </is>
      </c>
    </row>
    <row r="870">
      <c r="A870" s="2" t="inlineStr">
        <is>
          <t>Other Practice Paths</t>
        </is>
      </c>
      <c r="B870" s="2" t="inlineStr">
        <is>
          <t>Practice NumPy - Coding Problems and Challenges</t>
        </is>
      </c>
      <c r="C870" s="2" t="inlineStr">
        <is>
          <t>Practice the essential Python library for scientific computing. Master array manipulation, statistical operations, and start your journey to efficient, data-driven insights today!</t>
        </is>
      </c>
      <c r="D870" s="2" t="inlineStr">
        <is>
          <t>Basic arithmetic operations - Basic arithmetic operations</t>
        </is>
      </c>
      <c r="E870" s="2" t="n">
        <v>19</v>
      </c>
      <c r="F870" s="2" t="inlineStr">
        <is>
          <t>Calculate Cumulative Exam Scores</t>
        </is>
      </c>
      <c r="G870" s="2" t="inlineStr">
        <is>
          <t>RWQVQU04</t>
        </is>
      </c>
      <c r="H870" s="2" t="inlineStr"/>
      <c r="I870" s="2" t="inlineStr">
        <is>
          <t>Easy</t>
        </is>
      </c>
      <c r="J870" s="3">
        <f>HYPERLINK("https://www.codechef.com/problems/RWQVQU04", "https://www.codechef.com/problems/RWQVQU04")</f>
        <v/>
      </c>
      <c r="K870" s="2" t="inlineStr"/>
      <c r="L870" s="2" t="inlineStr"/>
      <c r="M870" s="2" t="inlineStr"/>
      <c r="N870" s="2" t="inlineStr">
        <is>
          <t>No</t>
        </is>
      </c>
      <c r="O870" s="2" t="inlineStr">
        <is>
          <t>Unattempted</t>
        </is>
      </c>
    </row>
    <row r="871">
      <c r="A871" s="4" t="inlineStr">
        <is>
          <t>Other Practice Paths</t>
        </is>
      </c>
      <c r="B871" s="4" t="inlineStr">
        <is>
          <t>Practice NumPy - Coding Problems and Challenges</t>
        </is>
      </c>
      <c r="C871" s="4" t="inlineStr">
        <is>
          <t>Practice the essential Python library for scientific computing. Master array manipulation, statistical operations, and start your journey to efficient, data-driven insights today!</t>
        </is>
      </c>
      <c r="D871" s="4" t="inlineStr">
        <is>
          <t>Comparison / Logical functions - Comparison / Logical functions</t>
        </is>
      </c>
      <c r="E871" s="4" t="n">
        <v>20</v>
      </c>
      <c r="F871" s="4" t="inlineStr">
        <is>
          <t>Compare Athlete Performance with Qualifying Times</t>
        </is>
      </c>
      <c r="G871" s="4" t="inlineStr">
        <is>
          <t>HZBXOB01</t>
        </is>
      </c>
      <c r="H871" s="4" t="inlineStr"/>
      <c r="I871" s="4" t="inlineStr">
        <is>
          <t>Easy</t>
        </is>
      </c>
      <c r="J871" s="5">
        <f>HYPERLINK("https://www.codechef.com/problems/HZBXOB01", "https://www.codechef.com/problems/HZBXOB01")</f>
        <v/>
      </c>
      <c r="K871" s="4" t="inlineStr"/>
      <c r="L871" s="4" t="inlineStr"/>
      <c r="M871" s="4" t="inlineStr"/>
      <c r="N871" s="4" t="inlineStr">
        <is>
          <t>No</t>
        </is>
      </c>
      <c r="O871" s="4" t="inlineStr">
        <is>
          <t>Unattempted</t>
        </is>
      </c>
    </row>
    <row r="872">
      <c r="A872" s="2" t="inlineStr">
        <is>
          <t>Other Practice Paths</t>
        </is>
      </c>
      <c r="B872" s="2" t="inlineStr">
        <is>
          <t>Practice NumPy - Coding Problems and Challenges</t>
        </is>
      </c>
      <c r="C872" s="2" t="inlineStr">
        <is>
          <t>Practice the essential Python library for scientific computing. Master array manipulation, statistical operations, and start your journey to efficient, data-driven insights today!</t>
        </is>
      </c>
      <c r="D872" s="2" t="inlineStr">
        <is>
          <t>Comparison / Logical functions - Comparison / Logical functions</t>
        </is>
      </c>
      <c r="E872" s="2" t="n">
        <v>21</v>
      </c>
      <c r="F872" s="2" t="inlineStr">
        <is>
          <t>Combine student scores from two tests</t>
        </is>
      </c>
      <c r="G872" s="2" t="inlineStr">
        <is>
          <t>HZBXOB02</t>
        </is>
      </c>
      <c r="H872" s="2" t="inlineStr"/>
      <c r="I872" s="2" t="inlineStr">
        <is>
          <t>Easy</t>
        </is>
      </c>
      <c r="J872" s="3">
        <f>HYPERLINK("https://www.codechef.com/problems/HZBXOB02", "https://www.codechef.com/problems/HZBXOB02")</f>
        <v/>
      </c>
      <c r="K872" s="2" t="inlineStr"/>
      <c r="L872" s="2" t="inlineStr"/>
      <c r="M872" s="2" t="inlineStr"/>
      <c r="N872" s="2" t="inlineStr">
        <is>
          <t>No</t>
        </is>
      </c>
      <c r="O872" s="2" t="inlineStr">
        <is>
          <t>Unattempted</t>
        </is>
      </c>
    </row>
    <row r="873">
      <c r="A873" s="4" t="inlineStr">
        <is>
          <t>Other Practice Paths</t>
        </is>
      </c>
      <c r="B873" s="4" t="inlineStr">
        <is>
          <t>Practice NumPy - Coding Problems and Challenges</t>
        </is>
      </c>
      <c r="C873" s="4" t="inlineStr">
        <is>
          <t>Practice the essential Python library for scientific computing. Master array manipulation, statistical operations, and start your journey to efficient, data-driven insights today!</t>
        </is>
      </c>
      <c r="D873" s="4" t="inlineStr">
        <is>
          <t>Comparison / Logical functions - Comparison / Logical functions</t>
        </is>
      </c>
      <c r="E873" s="4" t="n">
        <v>22</v>
      </c>
      <c r="F873" s="4" t="inlineStr">
        <is>
          <t>Compare student grades across subjects</t>
        </is>
      </c>
      <c r="G873" s="4" t="inlineStr">
        <is>
          <t>HZBXOB03</t>
        </is>
      </c>
      <c r="H873" s="4" t="inlineStr"/>
      <c r="I873" s="4" t="inlineStr">
        <is>
          <t>Medium</t>
        </is>
      </c>
      <c r="J873" s="5">
        <f>HYPERLINK("https://www.codechef.com/problems/HZBXOB03", "https://www.codechef.com/problems/HZBXOB03")</f>
        <v/>
      </c>
      <c r="K873" s="4" t="inlineStr"/>
      <c r="L873" s="4" t="inlineStr"/>
      <c r="M873" s="4" t="inlineStr"/>
      <c r="N873" s="4" t="inlineStr">
        <is>
          <t>No</t>
        </is>
      </c>
      <c r="O873" s="4" t="inlineStr">
        <is>
          <t>Unattempted</t>
        </is>
      </c>
    </row>
    <row r="874">
      <c r="A874" s="2" t="inlineStr">
        <is>
          <t>Other Practice Paths</t>
        </is>
      </c>
      <c r="B874" s="2" t="inlineStr">
        <is>
          <t>Practice NumPy - Coding Problems and Challenges</t>
        </is>
      </c>
      <c r="C874" s="2" t="inlineStr">
        <is>
          <t>Practice the essential Python library for scientific computing. Master array manipulation, statistical operations, and start your journey to efficient, data-driven insights today!</t>
        </is>
      </c>
      <c r="D874" s="2" t="inlineStr">
        <is>
          <t>Comparison / Logical functions - Comparison / Logical functions</t>
        </is>
      </c>
      <c r="E874" s="2" t="n">
        <v>23</v>
      </c>
      <c r="F874" s="2" t="inlineStr">
        <is>
          <t>Student Grade Filtering System</t>
        </is>
      </c>
      <c r="G874" s="2" t="inlineStr">
        <is>
          <t>HZBXOB04</t>
        </is>
      </c>
      <c r="H874" s="2" t="inlineStr"/>
      <c r="I874" s="2" t="inlineStr">
        <is>
          <t>Medium</t>
        </is>
      </c>
      <c r="J874" s="3">
        <f>HYPERLINK("https://www.codechef.com/problems/HZBXOB04", "https://www.codechef.com/problems/HZBXOB04")</f>
        <v/>
      </c>
      <c r="K874" s="2" t="inlineStr"/>
      <c r="L874" s="2" t="inlineStr"/>
      <c r="M874" s="2" t="inlineStr"/>
      <c r="N874" s="2" t="inlineStr">
        <is>
          <t>No</t>
        </is>
      </c>
      <c r="O874" s="2" t="inlineStr">
        <is>
          <t>Unattempted</t>
        </is>
      </c>
    </row>
    <row r="875">
      <c r="A875" s="4" t="inlineStr">
        <is>
          <t>Other Practice Paths</t>
        </is>
      </c>
      <c r="B875" s="4" t="inlineStr">
        <is>
          <t>Practice NumPy - Coding Problems and Challenges</t>
        </is>
      </c>
      <c r="C875" s="4" t="inlineStr">
        <is>
          <t>Practice the essential Python library for scientific computing. Master array manipulation, statistical operations, and start your journey to efficient, data-driven insights today!</t>
        </is>
      </c>
      <c r="D875" s="4" t="inlineStr">
        <is>
          <t>Statistical functions - Statistical functions</t>
        </is>
      </c>
      <c r="E875" s="4" t="n">
        <v>24</v>
      </c>
      <c r="F875" s="4" t="inlineStr">
        <is>
          <t>Analyze Temperature Data with Mean and Median</t>
        </is>
      </c>
      <c r="G875" s="4" t="inlineStr">
        <is>
          <t>SBZUNI01</t>
        </is>
      </c>
      <c r="H875" s="4" t="inlineStr"/>
      <c r="I875" s="4" t="inlineStr">
        <is>
          <t>Easy</t>
        </is>
      </c>
      <c r="J875" s="5">
        <f>HYPERLINK("https://www.codechef.com/problems/SBZUNI01", "https://www.codechef.com/problems/SBZUNI01")</f>
        <v/>
      </c>
      <c r="K875" s="4" t="inlineStr"/>
      <c r="L875" s="4" t="inlineStr"/>
      <c r="M875" s="4" t="inlineStr"/>
      <c r="N875" s="4" t="inlineStr">
        <is>
          <t>No</t>
        </is>
      </c>
      <c r="O875" s="4" t="inlineStr">
        <is>
          <t>Unattempted</t>
        </is>
      </c>
    </row>
    <row r="876">
      <c r="A876" s="2" t="inlineStr">
        <is>
          <t>Other Practice Paths</t>
        </is>
      </c>
      <c r="B876" s="2" t="inlineStr">
        <is>
          <t>Practice NumPy - Coding Problems and Challenges</t>
        </is>
      </c>
      <c r="C876" s="2" t="inlineStr">
        <is>
          <t>Practice the essential Python library for scientific computing. Master array manipulation, statistical operations, and start your journey to efficient, data-driven insights today!</t>
        </is>
      </c>
      <c r="D876" s="2" t="inlineStr">
        <is>
          <t>Statistical functions - Statistical functions</t>
        </is>
      </c>
      <c r="E876" s="2" t="n">
        <v>25</v>
      </c>
      <c r="F876" s="2" t="inlineStr">
        <is>
          <t>Analyze spread of test scores across subjects</t>
        </is>
      </c>
      <c r="G876" s="2" t="inlineStr">
        <is>
          <t>SBZUNI02</t>
        </is>
      </c>
      <c r="H876" s="2" t="inlineStr"/>
      <c r="I876" s="2" t="inlineStr">
        <is>
          <t>Easy</t>
        </is>
      </c>
      <c r="J876" s="3">
        <f>HYPERLINK("https://www.codechef.com/problems/SBZUNI02", "https://www.codechef.com/problems/SBZUNI02")</f>
        <v/>
      </c>
      <c r="K876" s="2" t="inlineStr"/>
      <c r="L876" s="2" t="inlineStr"/>
      <c r="M876" s="2" t="inlineStr"/>
      <c r="N876" s="2" t="inlineStr">
        <is>
          <t>No</t>
        </is>
      </c>
      <c r="O876" s="2" t="inlineStr">
        <is>
          <t>Unattempted</t>
        </is>
      </c>
    </row>
    <row r="877">
      <c r="A877" s="4" t="inlineStr">
        <is>
          <t>Other Practice Paths</t>
        </is>
      </c>
      <c r="B877" s="4" t="inlineStr">
        <is>
          <t>Practice NumPy - Coding Problems and Challenges</t>
        </is>
      </c>
      <c r="C877" s="4" t="inlineStr">
        <is>
          <t>Practice the essential Python library for scientific computing. Master array manipulation, statistical operations, and start your journey to efficient, data-driven insights today!</t>
        </is>
      </c>
      <c r="D877" s="4" t="inlineStr">
        <is>
          <t>Statistical functions - Statistical functions</t>
        </is>
      </c>
      <c r="E877" s="4" t="n">
        <v>26</v>
      </c>
      <c r="F877" s="4" t="inlineStr">
        <is>
          <t>Calculate percentiles of student heights</t>
        </is>
      </c>
      <c r="G877" s="4" t="inlineStr">
        <is>
          <t>SBZUNI03</t>
        </is>
      </c>
      <c r="H877" s="4" t="inlineStr"/>
      <c r="I877" s="4" t="inlineStr">
        <is>
          <t>Easy</t>
        </is>
      </c>
      <c r="J877" s="5">
        <f>HYPERLINK("https://www.codechef.com/problems/SBZUNI03", "https://www.codechef.com/problems/SBZUNI03")</f>
        <v/>
      </c>
      <c r="K877" s="4" t="inlineStr"/>
      <c r="L877" s="4" t="inlineStr"/>
      <c r="M877" s="4" t="inlineStr"/>
      <c r="N877" s="4" t="inlineStr">
        <is>
          <t>No</t>
        </is>
      </c>
      <c r="O877" s="4" t="inlineStr">
        <is>
          <t>Unattempted</t>
        </is>
      </c>
    </row>
    <row r="878">
      <c r="A878" s="2" t="inlineStr">
        <is>
          <t>Other Practice Paths</t>
        </is>
      </c>
      <c r="B878" s="2" t="inlineStr">
        <is>
          <t>Practice NumPy - Coding Problems and Challenges</t>
        </is>
      </c>
      <c r="C878" s="2" t="inlineStr">
        <is>
          <t>Practice the essential Python library for scientific computing. Master array manipulation, statistical operations, and start your journey to efficient, data-driven insights today!</t>
        </is>
      </c>
      <c r="D878" s="2" t="inlineStr">
        <is>
          <t>Statistical functions - Statistical functions</t>
        </is>
      </c>
      <c r="E878" s="2" t="n">
        <v>27</v>
      </c>
      <c r="F878" s="2" t="inlineStr">
        <is>
          <t>Calculate class performance metrics</t>
        </is>
      </c>
      <c r="G878" s="2" t="inlineStr">
        <is>
          <t>SBZUNI04</t>
        </is>
      </c>
      <c r="H878" s="2" t="inlineStr"/>
      <c r="I878" s="2" t="inlineStr">
        <is>
          <t>Medium</t>
        </is>
      </c>
      <c r="J878" s="3">
        <f>HYPERLINK("https://www.codechef.com/problems/SBZUNI04", "https://www.codechef.com/problems/SBZUNI04")</f>
        <v/>
      </c>
      <c r="K878" s="2" t="inlineStr"/>
      <c r="L878" s="2" t="inlineStr"/>
      <c r="M878" s="2" t="inlineStr"/>
      <c r="N878" s="2" t="inlineStr">
        <is>
          <t>No</t>
        </is>
      </c>
      <c r="O878" s="2" t="inlineStr">
        <is>
          <t>Unattempted</t>
        </is>
      </c>
    </row>
    <row r="879">
      <c r="A879" s="4" t="inlineStr">
        <is>
          <t>Other Practice Paths</t>
        </is>
      </c>
      <c r="B879" s="4" t="inlineStr">
        <is>
          <t>Practice NumPy - Coding Problems and Challenges</t>
        </is>
      </c>
      <c r="C879" s="4" t="inlineStr">
        <is>
          <t>Practice the essential Python library for scientific computing. Master array manipulation, statistical operations, and start your journey to efficient, data-driven insights today!</t>
        </is>
      </c>
      <c r="D879" s="4" t="inlineStr">
        <is>
          <t>String functions - String functions</t>
        </is>
      </c>
      <c r="E879" s="4" t="n">
        <v>28</v>
      </c>
      <c r="F879" s="4" t="inlineStr">
        <is>
          <t>Merge Student Scores from Two Classes</t>
        </is>
      </c>
      <c r="G879" s="4" t="inlineStr">
        <is>
          <t>RLQUIY01</t>
        </is>
      </c>
      <c r="H879" s="4" t="inlineStr"/>
      <c r="I879" s="4" t="inlineStr">
        <is>
          <t>Easy</t>
        </is>
      </c>
      <c r="J879" s="5">
        <f>HYPERLINK("https://www.codechef.com/problems/RLQUIY01", "https://www.codechef.com/problems/RLQUIY01")</f>
        <v/>
      </c>
      <c r="K879" s="4" t="inlineStr"/>
      <c r="L879" s="4" t="inlineStr"/>
      <c r="M879" s="4" t="inlineStr"/>
      <c r="N879" s="4" t="inlineStr">
        <is>
          <t>No</t>
        </is>
      </c>
      <c r="O879" s="4" t="inlineStr">
        <is>
          <t>Unattempted</t>
        </is>
      </c>
    </row>
    <row r="880">
      <c r="A880" s="2" t="inlineStr">
        <is>
          <t>Other Practice Paths</t>
        </is>
      </c>
      <c r="B880" s="2" t="inlineStr">
        <is>
          <t>Practice NumPy - Coding Problems and Challenges</t>
        </is>
      </c>
      <c r="C880" s="2" t="inlineStr">
        <is>
          <t>Practice the essential Python library for scientific computing. Master array manipulation, statistical operations, and start your journey to efficient, data-driven insights today!</t>
        </is>
      </c>
      <c r="D880" s="2" t="inlineStr">
        <is>
          <t>String functions - String functions</t>
        </is>
      </c>
      <c r="E880" s="2" t="n">
        <v>29</v>
      </c>
      <c r="F880" s="2" t="inlineStr">
        <is>
          <t>Create a repeating DNA sequence</t>
        </is>
      </c>
      <c r="G880" s="2" t="inlineStr">
        <is>
          <t>RLQUIY02</t>
        </is>
      </c>
      <c r="H880" s="2" t="inlineStr"/>
      <c r="I880" s="2" t="inlineStr">
        <is>
          <t>Easy</t>
        </is>
      </c>
      <c r="J880" s="3">
        <f>HYPERLINK("https://www.codechef.com/problems/RLQUIY02", "https://www.codechef.com/problems/RLQUIY02")</f>
        <v/>
      </c>
      <c r="K880" s="2" t="inlineStr"/>
      <c r="L880" s="2" t="inlineStr"/>
      <c r="M880" s="2" t="inlineStr"/>
      <c r="N880" s="2" t="inlineStr">
        <is>
          <t>No</t>
        </is>
      </c>
      <c r="O880" s="2" t="inlineStr">
        <is>
          <t>Unattempted</t>
        </is>
      </c>
    </row>
    <row r="881">
      <c r="A881" s="4" t="inlineStr">
        <is>
          <t>Other Practice Paths</t>
        </is>
      </c>
      <c r="B881" s="4" t="inlineStr">
        <is>
          <t>Practice NumPy - Coding Problems and Challenges</t>
        </is>
      </c>
      <c r="C881" s="4" t="inlineStr">
        <is>
          <t>Practice the essential Python library for scientific computing. Master array manipulation, statistical operations, and start your journey to efficient, data-driven insights today!</t>
        </is>
      </c>
      <c r="D881" s="4" t="inlineStr">
        <is>
          <t>String functions - String functions</t>
        </is>
      </c>
      <c r="E881" s="4" t="n">
        <v>30</v>
      </c>
      <c r="F881" s="4" t="inlineStr">
        <is>
          <t>Convert country names to uppercase</t>
        </is>
      </c>
      <c r="G881" s="4" t="inlineStr">
        <is>
          <t>RLQUIY03</t>
        </is>
      </c>
      <c r="H881" s="4" t="inlineStr"/>
      <c r="I881" s="4" t="inlineStr">
        <is>
          <t>Easy</t>
        </is>
      </c>
      <c r="J881" s="5">
        <f>HYPERLINK("https://www.codechef.com/problems/RLQUIY03", "https://www.codechef.com/problems/RLQUIY03")</f>
        <v/>
      </c>
      <c r="K881" s="4" t="inlineStr"/>
      <c r="L881" s="4" t="inlineStr"/>
      <c r="M881" s="4" t="inlineStr"/>
      <c r="N881" s="4" t="inlineStr">
        <is>
          <t>No</t>
        </is>
      </c>
      <c r="O881" s="4" t="inlineStr">
        <is>
          <t>Unattempted</t>
        </is>
      </c>
    </row>
    <row r="882">
      <c r="A882" s="2" t="inlineStr">
        <is>
          <t>Other Practice Paths</t>
        </is>
      </c>
      <c r="B882" s="2" t="inlineStr">
        <is>
          <t>Practice NumPy - Coding Problems and Challenges</t>
        </is>
      </c>
      <c r="C882" s="2" t="inlineStr">
        <is>
          <t>Practice the essential Python library for scientific computing. Master array manipulation, statistical operations, and start your journey to efficient, data-driven insights today!</t>
        </is>
      </c>
      <c r="D882" s="2" t="inlineStr">
        <is>
          <t>String functions - String functions</t>
        </is>
      </c>
      <c r="E882" s="2" t="n">
        <v>31</v>
      </c>
      <c r="F882" s="2" t="inlineStr">
        <is>
          <t>Title Case Converter for Movie Titles</t>
        </is>
      </c>
      <c r="G882" s="2" t="inlineStr">
        <is>
          <t>RLQUIY04</t>
        </is>
      </c>
      <c r="H882" s="2" t="inlineStr"/>
      <c r="I882" s="2" t="inlineStr">
        <is>
          <t>Medium</t>
        </is>
      </c>
      <c r="J882" s="3">
        <f>HYPERLINK("https://www.codechef.com/problems/RLQUIY04", "https://www.codechef.com/problems/RLQUIY04")</f>
        <v/>
      </c>
      <c r="K882" s="2" t="inlineStr"/>
      <c r="L882" s="2" t="inlineStr"/>
      <c r="M882" s="2" t="inlineStr"/>
      <c r="N882" s="2" t="inlineStr">
        <is>
          <t>No</t>
        </is>
      </c>
      <c r="O882" s="2" t="inlineStr">
        <is>
          <t>Unattempted</t>
        </is>
      </c>
    </row>
    <row r="883">
      <c r="A883" s="4" t="inlineStr">
        <is>
          <t>Other Practice Paths</t>
        </is>
      </c>
      <c r="B883" s="4" t="inlineStr">
        <is>
          <t>Practice NumPy - Coding Problems and Challenges</t>
        </is>
      </c>
      <c r="C883" s="4" t="inlineStr">
        <is>
          <t>Practice the essential Python library for scientific computing. Master array manipulation, statistical operations, and start your journey to efficient, data-driven insights today!</t>
        </is>
      </c>
      <c r="D883" s="4" t="inlineStr">
        <is>
          <t>String functions - String functions</t>
        </is>
      </c>
      <c r="E883" s="4" t="n">
        <v>32</v>
      </c>
      <c r="F883" s="4" t="inlineStr">
        <is>
          <t>Parse CSV - Split CSV data into a NumPy array</t>
        </is>
      </c>
      <c r="G883" s="4" t="inlineStr">
        <is>
          <t>RLQUIY05</t>
        </is>
      </c>
      <c r="H883" s="4" t="inlineStr"/>
      <c r="I883" s="4" t="inlineStr">
        <is>
          <t>Easy</t>
        </is>
      </c>
      <c r="J883" s="5">
        <f>HYPERLINK("https://www.codechef.com/problems/RLQUIY05", "https://www.codechef.com/problems/RLQUIY05")</f>
        <v/>
      </c>
      <c r="K883" s="4" t="inlineStr"/>
      <c r="L883" s="4" t="inlineStr"/>
      <c r="M883" s="4" t="inlineStr"/>
      <c r="N883" s="4" t="inlineStr">
        <is>
          <t>No</t>
        </is>
      </c>
      <c r="O883" s="4" t="inlineStr">
        <is>
          <t>Unattempted</t>
        </is>
      </c>
    </row>
    <row r="884">
      <c r="A884" s="2" t="inlineStr">
        <is>
          <t>Other Practice Paths</t>
        </is>
      </c>
      <c r="B884" s="2" t="inlineStr">
        <is>
          <t>Practice NumPy - Coding Problems and Challenges</t>
        </is>
      </c>
      <c r="C884" s="2" t="inlineStr">
        <is>
          <t>Practice the essential Python library for scientific computing. Master array manipulation, statistical operations, and start your journey to efficient, data-driven insights today!</t>
        </is>
      </c>
      <c r="D884" s="2" t="inlineStr">
        <is>
          <t>String functions - String functions</t>
        </is>
      </c>
      <c r="E884" s="2" t="n">
        <v>33</v>
      </c>
      <c r="F884" s="2" t="inlineStr">
        <is>
          <t>Join Student Names for Attendance</t>
        </is>
      </c>
      <c r="G884" s="2" t="inlineStr">
        <is>
          <t>RLQUIY06</t>
        </is>
      </c>
      <c r="H884" s="2" t="inlineStr"/>
      <c r="I884" s="2" t="inlineStr">
        <is>
          <t>Easy</t>
        </is>
      </c>
      <c r="J884" s="3">
        <f>HYPERLINK("https://www.codechef.com/problems/RLQUIY06", "https://www.codechef.com/problems/RLQUIY06")</f>
        <v/>
      </c>
      <c r="K884" s="2" t="inlineStr"/>
      <c r="L884" s="2" t="inlineStr"/>
      <c r="M884" s="2" t="inlineStr"/>
      <c r="N884" s="2" t="inlineStr">
        <is>
          <t>No</t>
        </is>
      </c>
      <c r="O884" s="2" t="inlineStr">
        <is>
          <t>Unattempted</t>
        </is>
      </c>
    </row>
    <row r="885">
      <c r="A885" s="4" t="inlineStr">
        <is>
          <t>Other Practice Paths</t>
        </is>
      </c>
      <c r="B885" s="4" t="inlineStr">
        <is>
          <t>Practice NumPy - Coding Problems and Challenges</t>
        </is>
      </c>
      <c r="C885" s="4" t="inlineStr">
        <is>
          <t>Practice the essential Python library for scientific computing. Master array manipulation, statistical operations, and start your journey to efficient, data-driven insights today!</t>
        </is>
      </c>
      <c r="D885" s="4" t="inlineStr">
        <is>
          <t>String functions - String functions</t>
        </is>
      </c>
      <c r="E885" s="4" t="n">
        <v>34</v>
      </c>
      <c r="F885" s="4" t="inlineStr">
        <is>
          <t>Find occurrences of a substring in a NumPy array</t>
        </is>
      </c>
      <c r="G885" s="4" t="inlineStr">
        <is>
          <t>RLQUIY07</t>
        </is>
      </c>
      <c r="H885" s="4" t="inlineStr"/>
      <c r="I885" s="4" t="inlineStr">
        <is>
          <t>Medium</t>
        </is>
      </c>
      <c r="J885" s="5">
        <f>HYPERLINK("https://www.codechef.com/problems/RLQUIY07", "https://www.codechef.com/problems/RLQUIY07")</f>
        <v/>
      </c>
      <c r="K885" s="4" t="inlineStr"/>
      <c r="L885" s="4" t="inlineStr"/>
      <c r="M885" s="4" t="inlineStr"/>
      <c r="N885" s="4" t="inlineStr">
        <is>
          <t>No</t>
        </is>
      </c>
      <c r="O885" s="4" t="inlineStr">
        <is>
          <t>Unattempted</t>
        </is>
      </c>
    </row>
    <row r="886">
      <c r="A886" s="2" t="inlineStr">
        <is>
          <t>Other Practice Paths</t>
        </is>
      </c>
      <c r="B886" s="2" t="inlineStr">
        <is>
          <t>Practice NumPy - Coding Problems and Challenges</t>
        </is>
      </c>
      <c r="C886" s="2" t="inlineStr">
        <is>
          <t>Practice the essential Python library for scientific computing. Master array manipulation, statistical operations, and start your journey to efficient, data-driven insights today!</t>
        </is>
      </c>
      <c r="D886" s="2" t="inlineStr">
        <is>
          <t>String functions - String functions</t>
        </is>
      </c>
      <c r="E886" s="2" t="n">
        <v>35</v>
      </c>
      <c r="F886" s="2" t="inlineStr">
        <is>
          <t>Replace vowels in a NumPy array of strings</t>
        </is>
      </c>
      <c r="G886" s="2" t="inlineStr">
        <is>
          <t>RLQUIY08</t>
        </is>
      </c>
      <c r="H886" s="2" t="inlineStr"/>
      <c r="I886" s="2" t="inlineStr">
        <is>
          <t>Medium</t>
        </is>
      </c>
      <c r="J886" s="3">
        <f>HYPERLINK("https://www.codechef.com/problems/RLQUIY08", "https://www.codechef.com/problems/RLQUIY08")</f>
        <v/>
      </c>
      <c r="K886" s="2" t="inlineStr"/>
      <c r="L886" s="2" t="inlineStr"/>
      <c r="M886" s="2" t="inlineStr"/>
      <c r="N886" s="2" t="inlineStr">
        <is>
          <t>No</t>
        </is>
      </c>
      <c r="O886" s="2" t="inlineStr">
        <is>
          <t>Unattempted</t>
        </is>
      </c>
    </row>
    <row r="887">
      <c r="A887" s="4" t="inlineStr">
        <is>
          <t>Other Practice Paths</t>
        </is>
      </c>
      <c r="B887" s="4" t="inlineStr">
        <is>
          <t>Practice NumPy - Coding Problems and Challenges</t>
        </is>
      </c>
      <c r="C887" s="4" t="inlineStr">
        <is>
          <t>Practice the essential Python library for scientific computing. Master array manipulation, statistical operations, and start your journey to efficient, data-driven insights today!</t>
        </is>
      </c>
      <c r="D887" s="4" t="inlineStr">
        <is>
          <t>String functions - String functions</t>
        </is>
      </c>
      <c r="E887" s="4" t="n">
        <v>36</v>
      </c>
      <c r="F887" s="4" t="inlineStr">
        <is>
          <t>Remove spaces from scientist names</t>
        </is>
      </c>
      <c r="G887" s="4" t="inlineStr">
        <is>
          <t>RLQUIY09</t>
        </is>
      </c>
      <c r="H887" s="4" t="inlineStr"/>
      <c r="I887" s="4" t="inlineStr">
        <is>
          <t>Easy</t>
        </is>
      </c>
      <c r="J887" s="5">
        <f>HYPERLINK("https://www.codechef.com/problems/RLQUIY09", "https://www.codechef.com/problems/RLQUIY09")</f>
        <v/>
      </c>
      <c r="K887" s="4" t="inlineStr"/>
      <c r="L887" s="4" t="inlineStr"/>
      <c r="M887" s="4" t="inlineStr"/>
      <c r="N887" s="4" t="inlineStr">
        <is>
          <t>No</t>
        </is>
      </c>
      <c r="O887" s="4" t="inlineStr">
        <is>
          <t>Unattempted</t>
        </is>
      </c>
    </row>
    <row r="888">
      <c r="A888" s="2" t="inlineStr">
        <is>
          <t>Other Practice Paths</t>
        </is>
      </c>
      <c r="B888" s="2" t="inlineStr">
        <is>
          <t>Practice NumPy - Coding Problems and Challenges</t>
        </is>
      </c>
      <c r="C888" s="2" t="inlineStr">
        <is>
          <t>Practice the essential Python library for scientific computing. Master array manipulation, statistical operations, and start your journey to efficient, data-driven insights today!</t>
        </is>
      </c>
      <c r="D888" s="2" t="inlineStr">
        <is>
          <t>String functions - String functions</t>
        </is>
      </c>
      <c r="E888" s="2" t="n">
        <v>37</v>
      </c>
      <c r="F888" s="2" t="inlineStr">
        <is>
          <t>Character Type Counter</t>
        </is>
      </c>
      <c r="G888" s="2" t="inlineStr">
        <is>
          <t>RLQUIY10</t>
        </is>
      </c>
      <c r="H888" s="2" t="inlineStr"/>
      <c r="I888" s="2" t="inlineStr">
        <is>
          <t>Easy</t>
        </is>
      </c>
      <c r="J888" s="3">
        <f>HYPERLINK("https://www.codechef.com/problems/RLQUIY10", "https://www.codechef.com/problems/RLQUIY10")</f>
        <v/>
      </c>
      <c r="K888" s="2" t="inlineStr"/>
      <c r="L888" s="2" t="inlineStr"/>
      <c r="M888" s="2" t="inlineStr"/>
      <c r="N888" s="2" t="inlineStr">
        <is>
          <t>No</t>
        </is>
      </c>
      <c r="O888" s="2" t="inlineStr">
        <is>
          <t>Unattempted</t>
        </is>
      </c>
    </row>
    <row r="889">
      <c r="A889" s="4" t="inlineStr">
        <is>
          <t>Other Practice Paths</t>
        </is>
      </c>
      <c r="B889" s="4" t="inlineStr">
        <is>
          <t>Practice NumPy - Coding Problems and Challenges</t>
        </is>
      </c>
      <c r="C889" s="4" t="inlineStr">
        <is>
          <t>Practice the essential Python library for scientific computing. Master array manipulation, statistical operations, and start your journey to efficient, data-driven insights today!</t>
        </is>
      </c>
      <c r="D889" s="4" t="inlineStr">
        <is>
          <t>Array broadcasting - Array broadcasting</t>
        </is>
      </c>
      <c r="E889" s="4" t="n">
        <v>38</v>
      </c>
      <c r="F889" s="4" t="inlineStr">
        <is>
          <t>Temperature Conversion Calculator</t>
        </is>
      </c>
      <c r="G889" s="4" t="inlineStr">
        <is>
          <t>ZGOROH01</t>
        </is>
      </c>
      <c r="H889" s="4" t="inlineStr"/>
      <c r="I889" s="4" t="inlineStr">
        <is>
          <t>Easy</t>
        </is>
      </c>
      <c r="J889" s="5">
        <f>HYPERLINK("https://www.codechef.com/problems/ZGOROH01", "https://www.codechef.com/problems/ZGOROH01")</f>
        <v/>
      </c>
      <c r="K889" s="4" t="inlineStr"/>
      <c r="L889" s="4" t="inlineStr"/>
      <c r="M889" s="4" t="inlineStr"/>
      <c r="N889" s="4" t="inlineStr">
        <is>
          <t>No</t>
        </is>
      </c>
      <c r="O889" s="4" t="inlineStr">
        <is>
          <t>Unattempted</t>
        </is>
      </c>
    </row>
    <row r="890">
      <c r="A890" s="2" t="inlineStr">
        <is>
          <t>Other Practice Paths</t>
        </is>
      </c>
      <c r="B890" s="2" t="inlineStr">
        <is>
          <t>Practice NumPy - Coding Problems and Challenges</t>
        </is>
      </c>
      <c r="C890" s="2" t="inlineStr">
        <is>
          <t>Practice the essential Python library for scientific computing. Master array manipulation, statistical operations, and start your journey to efficient, data-driven insights today!</t>
        </is>
      </c>
      <c r="D890" s="2" t="inlineStr">
        <is>
          <t>Array broadcasting - Array broadcasting</t>
        </is>
      </c>
      <c r="E890" s="2" t="n">
        <v>39</v>
      </c>
      <c r="F890" s="2" t="inlineStr">
        <is>
          <t>Temperature Conversion Grid</t>
        </is>
      </c>
      <c r="G890" s="2" t="inlineStr">
        <is>
          <t>ZGOROH02</t>
        </is>
      </c>
      <c r="H890" s="2" t="inlineStr"/>
      <c r="I890" s="2" t="inlineStr">
        <is>
          <t>Easy</t>
        </is>
      </c>
      <c r="J890" s="3">
        <f>HYPERLINK("https://www.codechef.com/problems/ZGOROH02", "https://www.codechef.com/problems/ZGOROH02")</f>
        <v/>
      </c>
      <c r="K890" s="2" t="inlineStr"/>
      <c r="L890" s="2" t="inlineStr"/>
      <c r="M890" s="2" t="inlineStr"/>
      <c r="N890" s="2" t="inlineStr">
        <is>
          <t>No</t>
        </is>
      </c>
      <c r="O890" s="2" t="inlineStr">
        <is>
          <t>Unattempted</t>
        </is>
      </c>
    </row>
    <row r="891">
      <c r="A891" s="4" t="inlineStr">
        <is>
          <t>Other Practice Paths</t>
        </is>
      </c>
      <c r="B891" s="4" t="inlineStr">
        <is>
          <t>Practice NumPy - Coding Problems and Challenges</t>
        </is>
      </c>
      <c r="C891" s="4" t="inlineStr">
        <is>
          <t>Practice the essential Python library for scientific computing. Master array manipulation, statistical operations, and start your journey to efficient, data-driven insights today!</t>
        </is>
      </c>
      <c r="D891" s="4" t="inlineStr">
        <is>
          <t>Array broadcasting - Array broadcasting</t>
        </is>
      </c>
      <c r="E891" s="4" t="n">
        <v>40</v>
      </c>
      <c r="F891" s="4" t="inlineStr">
        <is>
          <t>Array Broadcasting for Temperature Conversion</t>
        </is>
      </c>
      <c r="G891" s="4" t="inlineStr">
        <is>
          <t>ZGOROH03</t>
        </is>
      </c>
      <c r="H891" s="4" t="inlineStr"/>
      <c r="I891" s="4" t="inlineStr">
        <is>
          <t>Medium</t>
        </is>
      </c>
      <c r="J891" s="5">
        <f>HYPERLINK("https://www.codechef.com/problems/ZGOROH03", "https://www.codechef.com/problems/ZGOROH03")</f>
        <v/>
      </c>
      <c r="K891" s="4" t="inlineStr"/>
      <c r="L891" s="4" t="inlineStr"/>
      <c r="M891" s="4" t="inlineStr"/>
      <c r="N891" s="4" t="inlineStr">
        <is>
          <t>No</t>
        </is>
      </c>
      <c r="O891" s="4" t="inlineStr">
        <is>
          <t>Unattempted</t>
        </is>
      </c>
    </row>
    <row r="892">
      <c r="A892" s="2" t="inlineStr">
        <is>
          <t>Other Practice Paths</t>
        </is>
      </c>
      <c r="B892" s="2" t="inlineStr">
        <is>
          <t>Practice NumPy - Coding Problems and Challenges</t>
        </is>
      </c>
      <c r="C892" s="2" t="inlineStr">
        <is>
          <t>Practice the essential Python library for scientific computing. Master array manipulation, statistical operations, and start your journey to efficient, data-driven insights today!</t>
        </is>
      </c>
      <c r="D892" s="2" t="inlineStr">
        <is>
          <t>Matrix operations - Matrix operations</t>
        </is>
      </c>
      <c r="E892" s="2" t="n">
        <v>41</v>
      </c>
      <c r="F892" s="2" t="inlineStr">
        <is>
          <t>Compare weather data between two cities</t>
        </is>
      </c>
      <c r="G892" s="2" t="inlineStr">
        <is>
          <t>SFRSHO01</t>
        </is>
      </c>
      <c r="H892" s="2" t="inlineStr"/>
      <c r="I892" s="2" t="inlineStr">
        <is>
          <t>Easy</t>
        </is>
      </c>
      <c r="J892" s="3">
        <f>HYPERLINK("https://www.codechef.com/problems/SFRSHO01", "https://www.codechef.com/problems/SFRSHO01")</f>
        <v/>
      </c>
      <c r="K892" s="2" t="inlineStr"/>
      <c r="L892" s="2" t="inlineStr"/>
      <c r="M892" s="2" t="inlineStr"/>
      <c r="N892" s="2" t="inlineStr">
        <is>
          <t>No</t>
        </is>
      </c>
      <c r="O892" s="2" t="inlineStr">
        <is>
          <t>Unattempted</t>
        </is>
      </c>
    </row>
    <row r="893">
      <c r="A893" s="4" t="inlineStr">
        <is>
          <t>Other Practice Paths</t>
        </is>
      </c>
      <c r="B893" s="4" t="inlineStr">
        <is>
          <t>Practice NumPy - Coding Problems and Challenges</t>
        </is>
      </c>
      <c r="C893" s="4" t="inlineStr">
        <is>
          <t>Practice the essential Python library for scientific computing. Master array manipulation, statistical operations, and start your journey to efficient, data-driven insights today!</t>
        </is>
      </c>
      <c r="D893" s="4" t="inlineStr">
        <is>
          <t>Matrix operations - Matrix operations</t>
        </is>
      </c>
      <c r="E893" s="4" t="n">
        <v>42</v>
      </c>
      <c r="F893" s="4" t="inlineStr">
        <is>
          <t>Calculate Product Sales Across Stores</t>
        </is>
      </c>
      <c r="G893" s="4" t="inlineStr">
        <is>
          <t>SFRSHO02</t>
        </is>
      </c>
      <c r="H893" s="4" t="inlineStr"/>
      <c r="I893" s="4" t="inlineStr">
        <is>
          <t>Easy</t>
        </is>
      </c>
      <c r="J893" s="5">
        <f>HYPERLINK("https://www.codechef.com/problems/SFRSHO02", "https://www.codechef.com/problems/SFRSHO02")</f>
        <v/>
      </c>
      <c r="K893" s="4" t="inlineStr"/>
      <c r="L893" s="4" t="inlineStr"/>
      <c r="M893" s="4" t="inlineStr"/>
      <c r="N893" s="4" t="inlineStr">
        <is>
          <t>No</t>
        </is>
      </c>
      <c r="O893" s="4" t="inlineStr">
        <is>
          <t>Unattempted</t>
        </is>
      </c>
    </row>
    <row r="894">
      <c r="A894" s="2" t="inlineStr">
        <is>
          <t>Other Practice Paths</t>
        </is>
      </c>
      <c r="B894" s="2" t="inlineStr">
        <is>
          <t>Practice NumPy - Coding Problems and Challenges</t>
        </is>
      </c>
      <c r="C894" s="2" t="inlineStr">
        <is>
          <t>Practice the essential Python library for scientific computing. Master array manipulation, statistical operations, and start your journey to efficient, data-driven insights today!</t>
        </is>
      </c>
      <c r="D894" s="2" t="inlineStr">
        <is>
          <t>Matrix operations - Matrix operations</t>
        </is>
      </c>
      <c r="E894" s="2" t="n">
        <v>43</v>
      </c>
      <c r="F894" s="2" t="inlineStr">
        <is>
          <t>Symmetric Matrix Checker</t>
        </is>
      </c>
      <c r="G894" s="2" t="inlineStr">
        <is>
          <t>SFRSHO03</t>
        </is>
      </c>
      <c r="H894" s="2" t="inlineStr"/>
      <c r="I894" s="2" t="inlineStr">
        <is>
          <t>Easy</t>
        </is>
      </c>
      <c r="J894" s="3">
        <f>HYPERLINK("https://www.codechef.com/problems/SFRSHO03", "https://www.codechef.com/problems/SFRSHO03")</f>
        <v/>
      </c>
      <c r="K894" s="2" t="inlineStr"/>
      <c r="L894" s="2" t="inlineStr"/>
      <c r="M894" s="2" t="inlineStr"/>
      <c r="N894" s="2" t="inlineStr">
        <is>
          <t>No</t>
        </is>
      </c>
      <c r="O894" s="2" t="inlineStr">
        <is>
          <t>Unattempted</t>
        </is>
      </c>
    </row>
    <row r="895">
      <c r="A895" s="4" t="inlineStr">
        <is>
          <t>Other Practice Paths</t>
        </is>
      </c>
      <c r="B895" s="4" t="inlineStr">
        <is>
          <t>Practice NumPy - Coding Problems and Challenges</t>
        </is>
      </c>
      <c r="C895" s="4" t="inlineStr">
        <is>
          <t>Practice the essential Python library for scientific computing. Master array manipulation, statistical operations, and start your journey to efficient, data-driven insights today!</t>
        </is>
      </c>
      <c r="D895" s="4" t="inlineStr">
        <is>
          <t>Matrix operations - Matrix operations</t>
        </is>
      </c>
      <c r="E895" s="4" t="n">
        <v>44</v>
      </c>
      <c r="F895" s="4" t="inlineStr">
        <is>
          <t>Decode a secret message using matrix inversion</t>
        </is>
      </c>
      <c r="G895" s="4" t="inlineStr">
        <is>
          <t>SFRSHO04</t>
        </is>
      </c>
      <c r="H895" s="4" t="inlineStr"/>
      <c r="I895" s="4" t="inlineStr">
        <is>
          <t>Medium</t>
        </is>
      </c>
      <c r="J895" s="5">
        <f>HYPERLINK("https://www.codechef.com/problems/SFRSHO04", "https://www.codechef.com/problems/SFRSHO04")</f>
        <v/>
      </c>
      <c r="K895" s="4" t="inlineStr"/>
      <c r="L895" s="4" t="inlineStr"/>
      <c r="M895" s="4" t="inlineStr"/>
      <c r="N895" s="4" t="inlineStr">
        <is>
          <t>No</t>
        </is>
      </c>
      <c r="O895" s="4" t="inlineStr">
        <is>
          <t>Unattempted</t>
        </is>
      </c>
    </row>
    <row r="896">
      <c r="A896" s="2" t="inlineStr">
        <is>
          <t>Other Practice Paths</t>
        </is>
      </c>
      <c r="B896" s="2" t="inlineStr">
        <is>
          <t>Practice NumPy - Coding Problems and Challenges</t>
        </is>
      </c>
      <c r="C896" s="2" t="inlineStr">
        <is>
          <t>Practice the essential Python library for scientific computing. Master array manipulation, statistical operations, and start your journey to efficient, data-driven insights today!</t>
        </is>
      </c>
      <c r="D896" s="2" t="inlineStr">
        <is>
          <t>Matrix operations - Matrix operations</t>
        </is>
      </c>
      <c r="E896" s="2" t="n">
        <v>45</v>
      </c>
      <c r="F896" s="2" t="inlineStr">
        <is>
          <t>Matrix Stability Analyzer</t>
        </is>
      </c>
      <c r="G896" s="2" t="inlineStr">
        <is>
          <t>SFRSHO05</t>
        </is>
      </c>
      <c r="H896" s="2" t="inlineStr"/>
      <c r="I896" s="2" t="inlineStr">
        <is>
          <t>Medium</t>
        </is>
      </c>
      <c r="J896" s="3">
        <f>HYPERLINK("https://www.codechef.com/problems/SFRSHO05", "https://www.codechef.com/problems/SFRSHO05")</f>
        <v/>
      </c>
      <c r="K896" s="2" t="inlineStr"/>
      <c r="L896" s="2" t="inlineStr"/>
      <c r="M896" s="2" t="inlineStr"/>
      <c r="N896" s="2" t="inlineStr">
        <is>
          <t>No</t>
        </is>
      </c>
      <c r="O896" s="2" t="inlineStr">
        <is>
          <t>Unattempted</t>
        </is>
      </c>
    </row>
    <row r="897">
      <c r="A897" s="4" t="inlineStr">
        <is>
          <t>Other Practice Paths</t>
        </is>
      </c>
      <c r="B897" s="4" t="inlineStr">
        <is>
          <t>Practice NumPy - Coding Problems and Challenges</t>
        </is>
      </c>
      <c r="C897" s="4" t="inlineStr">
        <is>
          <t>Practice the essential Python library for scientific computing. Master array manipulation, statistical operations, and start your journey to efficient, data-driven insights today!</t>
        </is>
      </c>
      <c r="D897" s="4" t="inlineStr">
        <is>
          <t>Matrix operations - Matrix operations</t>
        </is>
      </c>
      <c r="E897" s="4" t="n">
        <v>46</v>
      </c>
      <c r="F897" s="4" t="inlineStr">
        <is>
          <t>Check Orthogonal Matrix</t>
        </is>
      </c>
      <c r="G897" s="4" t="inlineStr">
        <is>
          <t>SFRSHO06</t>
        </is>
      </c>
      <c r="H897" s="4" t="inlineStr"/>
      <c r="I897" s="4" t="inlineStr">
        <is>
          <t>Easy</t>
        </is>
      </c>
      <c r="J897" s="5">
        <f>HYPERLINK("https://www.codechef.com/problems/SFRSHO06", "https://www.codechef.com/problems/SFRSHO06")</f>
        <v/>
      </c>
      <c r="K897" s="4" t="inlineStr"/>
      <c r="L897" s="4" t="inlineStr"/>
      <c r="M897" s="4" t="inlineStr"/>
      <c r="N897" s="4" t="inlineStr">
        <is>
          <t>No</t>
        </is>
      </c>
      <c r="O897" s="4" t="inlineStr">
        <is>
          <t>Unattempted</t>
        </is>
      </c>
    </row>
    <row r="898">
      <c r="A898" s="2" t="inlineStr">
        <is>
          <t>Other Practice Paths</t>
        </is>
      </c>
      <c r="B898" s="2" t="inlineStr">
        <is>
          <t>Pandas - Practice problems</t>
        </is>
      </c>
      <c r="C898" s="2" t="inlineStr">
        <is>
          <t>Unlock the power of data with by solving our Pandas practice problems for Beginners! Perfect for aspiring data scientists, this practice path covers Pandas, Series, DataFrames, data cleaning, preprocessing, and analysis. Learn via coding exercises.</t>
        </is>
      </c>
      <c r="D898" s="2" t="inlineStr">
        <is>
          <t>Pandas series - Pandas series</t>
        </is>
      </c>
      <c r="E898" s="2" t="n">
        <v>1</v>
      </c>
      <c r="F898" s="2" t="inlineStr">
        <is>
          <t>Create Series from List</t>
        </is>
      </c>
      <c r="G898" s="2" t="inlineStr">
        <is>
          <t>YAZFDJ01</t>
        </is>
      </c>
      <c r="H898" s="2" t="inlineStr"/>
      <c r="I898" s="2" t="inlineStr">
        <is>
          <t>Easy</t>
        </is>
      </c>
      <c r="J898" s="3">
        <f>HYPERLINK("https://www.codechef.com/problems/YAZFDJ01", "https://www.codechef.com/problems/YAZFDJ01")</f>
        <v/>
      </c>
      <c r="K898" s="2" t="inlineStr"/>
      <c r="L898" s="2" t="inlineStr"/>
      <c r="M898" s="2" t="inlineStr"/>
      <c r="N898" s="2" t="inlineStr">
        <is>
          <t>No</t>
        </is>
      </c>
      <c r="O898" s="2" t="inlineStr">
        <is>
          <t>Unattempted</t>
        </is>
      </c>
    </row>
    <row r="899">
      <c r="A899" s="4" t="inlineStr">
        <is>
          <t>Other Practice Paths</t>
        </is>
      </c>
      <c r="B899" s="4" t="inlineStr">
        <is>
          <t>Pandas - Practice problems</t>
        </is>
      </c>
      <c r="C899" s="4" t="inlineStr">
        <is>
          <t>Unlock the power of data with by solving our Pandas practice problems for Beginners! Perfect for aspiring data scientists, this practice path covers Pandas, Series, DataFrames, data cleaning, preprocessing, and analysis. Learn via coding exercises.</t>
        </is>
      </c>
      <c r="D899" s="4" t="inlineStr">
        <is>
          <t>Pandas series - Pandas series</t>
        </is>
      </c>
      <c r="E899" s="4" t="n">
        <v>2</v>
      </c>
      <c r="F899" s="4" t="inlineStr">
        <is>
          <t>Create Series from mixed list</t>
        </is>
      </c>
      <c r="G899" s="4" t="inlineStr">
        <is>
          <t>YAZFDJ02</t>
        </is>
      </c>
      <c r="H899" s="4" t="inlineStr"/>
      <c r="I899" s="4" t="inlineStr">
        <is>
          <t>Easy</t>
        </is>
      </c>
      <c r="J899" s="5">
        <f>HYPERLINK("https://www.codechef.com/problems/YAZFDJ02", "https://www.codechef.com/problems/YAZFDJ02")</f>
        <v/>
      </c>
      <c r="K899" s="4" t="inlineStr"/>
      <c r="L899" s="4" t="inlineStr"/>
      <c r="M899" s="4" t="inlineStr"/>
      <c r="N899" s="4" t="inlineStr">
        <is>
          <t>No</t>
        </is>
      </c>
      <c r="O899" s="4" t="inlineStr">
        <is>
          <t>Unattempted</t>
        </is>
      </c>
    </row>
    <row r="900">
      <c r="A900" s="2" t="inlineStr">
        <is>
          <t>Other Practice Paths</t>
        </is>
      </c>
      <c r="B900" s="2" t="inlineStr">
        <is>
          <t>Pandas - Practice problems</t>
        </is>
      </c>
      <c r="C900" s="2" t="inlineStr">
        <is>
          <t>Unlock the power of data with by solving our Pandas practice problems for Beginners! Perfect for aspiring data scientists, this practice path covers Pandas, Series, DataFrames, data cleaning, preprocessing, and analysis. Learn via coding exercises.</t>
        </is>
      </c>
      <c r="D900" s="2" t="inlineStr">
        <is>
          <t>Pandas series - Pandas series</t>
        </is>
      </c>
      <c r="E900" s="2" t="n">
        <v>3</v>
      </c>
      <c r="F900" s="2" t="inlineStr">
        <is>
          <t>Accessing a Series Element</t>
        </is>
      </c>
      <c r="G900" s="2" t="inlineStr">
        <is>
          <t>YAZFDJ03</t>
        </is>
      </c>
      <c r="H900" s="2" t="inlineStr"/>
      <c r="I900" s="2" t="inlineStr">
        <is>
          <t>Easy</t>
        </is>
      </c>
      <c r="J900" s="3">
        <f>HYPERLINK("https://www.codechef.com/problems/YAZFDJ03", "https://www.codechef.com/problems/YAZFDJ03")</f>
        <v/>
      </c>
      <c r="K900" s="2" t="inlineStr"/>
      <c r="L900" s="2" t="inlineStr"/>
      <c r="M900" s="2" t="inlineStr"/>
      <c r="N900" s="2" t="inlineStr">
        <is>
          <t>No</t>
        </is>
      </c>
      <c r="O900" s="2" t="inlineStr">
        <is>
          <t>Unattempted</t>
        </is>
      </c>
    </row>
    <row r="901">
      <c r="A901" s="4" t="inlineStr">
        <is>
          <t>Other Practice Paths</t>
        </is>
      </c>
      <c r="B901" s="4" t="inlineStr">
        <is>
          <t>Pandas - Practice problems</t>
        </is>
      </c>
      <c r="C901" s="4" t="inlineStr">
        <is>
          <t>Unlock the power of data with by solving our Pandas practice problems for Beginners! Perfect for aspiring data scientists, this practice path covers Pandas, Series, DataFrames, data cleaning, preprocessing, and analysis. Learn via coding exercises.</t>
        </is>
      </c>
      <c r="D901" s="4" t="inlineStr">
        <is>
          <t>Introduction to dataframes - Introduction to dataframes</t>
        </is>
      </c>
      <c r="E901" s="4" t="n">
        <v>4</v>
      </c>
      <c r="F901" s="4" t="inlineStr">
        <is>
          <t>Create DataFrame from Dictionary of Series</t>
        </is>
      </c>
      <c r="G901" s="4" t="inlineStr">
        <is>
          <t>WEFWTL01</t>
        </is>
      </c>
      <c r="H901" s="4" t="inlineStr"/>
      <c r="I901" s="4" t="inlineStr">
        <is>
          <t>Easy</t>
        </is>
      </c>
      <c r="J901" s="5">
        <f>HYPERLINK("https://www.codechef.com/problems/WEFWTL01", "https://www.codechef.com/problems/WEFWTL01")</f>
        <v/>
      </c>
      <c r="K901" s="4" t="inlineStr"/>
      <c r="L901" s="4" t="inlineStr"/>
      <c r="M901" s="4" t="inlineStr"/>
      <c r="N901" s="4" t="inlineStr">
        <is>
          <t>No</t>
        </is>
      </c>
      <c r="O901" s="4" t="inlineStr">
        <is>
          <t>Unattempted</t>
        </is>
      </c>
    </row>
    <row r="902">
      <c r="A902" s="2" t="inlineStr">
        <is>
          <t>Other Practice Paths</t>
        </is>
      </c>
      <c r="B902" s="2" t="inlineStr">
        <is>
          <t>Pandas - Practice problems</t>
        </is>
      </c>
      <c r="C902" s="2" t="inlineStr">
        <is>
          <t>Unlock the power of data with by solving our Pandas practice problems for Beginners! Perfect for aspiring data scientists, this practice path covers Pandas, Series, DataFrames, data cleaning, preprocessing, and analysis. Learn via coding exercises.</t>
        </is>
      </c>
      <c r="D902" s="2" t="inlineStr">
        <is>
          <t>Introduction to dataframes - Introduction to dataframes</t>
        </is>
      </c>
      <c r="E902" s="2" t="n">
        <v>5</v>
      </c>
      <c r="F902" s="2" t="inlineStr">
        <is>
          <t>Create DataFrame from Dictionary of Lists</t>
        </is>
      </c>
      <c r="G902" s="2" t="inlineStr">
        <is>
          <t>WEFWTL02</t>
        </is>
      </c>
      <c r="H902" s="2" t="inlineStr"/>
      <c r="I902" s="2" t="inlineStr">
        <is>
          <t>Easy</t>
        </is>
      </c>
      <c r="J902" s="3">
        <f>HYPERLINK("https://www.codechef.com/problems/WEFWTL02", "https://www.codechef.com/problems/WEFWTL02")</f>
        <v/>
      </c>
      <c r="K902" s="2" t="inlineStr"/>
      <c r="L902" s="2" t="inlineStr"/>
      <c r="M902" s="2" t="inlineStr"/>
      <c r="N902" s="2" t="inlineStr">
        <is>
          <t>No</t>
        </is>
      </c>
      <c r="O902" s="2" t="inlineStr">
        <is>
          <t>Unattempted</t>
        </is>
      </c>
    </row>
    <row r="903">
      <c r="A903" s="4" t="inlineStr">
        <is>
          <t>Other Practice Paths</t>
        </is>
      </c>
      <c r="B903" s="4" t="inlineStr">
        <is>
          <t>Pandas - Practice problems</t>
        </is>
      </c>
      <c r="C903" s="4" t="inlineStr">
        <is>
          <t>Unlock the power of data with by solving our Pandas practice problems for Beginners! Perfect for aspiring data scientists, this practice path covers Pandas, Series, DataFrames, data cleaning, preprocessing, and analysis. Learn via coding exercises.</t>
        </is>
      </c>
      <c r="D903" s="4" t="inlineStr">
        <is>
          <t>Introduction to dataframes - Introduction to dataframes</t>
        </is>
      </c>
      <c r="E903" s="4" t="n">
        <v>6</v>
      </c>
      <c r="F903" s="4" t="inlineStr">
        <is>
          <t>Create DataFrame from dictionary</t>
        </is>
      </c>
      <c r="G903" s="4" t="inlineStr">
        <is>
          <t>WEFWTL03</t>
        </is>
      </c>
      <c r="H903" s="4" t="inlineStr"/>
      <c r="I903" s="4" t="inlineStr">
        <is>
          <t>Easy</t>
        </is>
      </c>
      <c r="J903" s="5">
        <f>HYPERLINK("https://www.codechef.com/problems/WEFWTL03", "https://www.codechef.com/problems/WEFWTL03")</f>
        <v/>
      </c>
      <c r="K903" s="4" t="inlineStr"/>
      <c r="L903" s="4" t="inlineStr"/>
      <c r="M903" s="4" t="inlineStr"/>
      <c r="N903" s="4" t="inlineStr">
        <is>
          <t>No</t>
        </is>
      </c>
      <c r="O903" s="4" t="inlineStr">
        <is>
          <t>Unattempted</t>
        </is>
      </c>
    </row>
    <row r="904">
      <c r="A904" s="2" t="inlineStr">
        <is>
          <t>Other Practice Paths</t>
        </is>
      </c>
      <c r="B904" s="2" t="inlineStr">
        <is>
          <t>Pandas - Practice problems</t>
        </is>
      </c>
      <c r="C904" s="2" t="inlineStr">
        <is>
          <t>Unlock the power of data with by solving our Pandas practice problems for Beginners! Perfect for aspiring data scientists, this practice path covers Pandas, Series, DataFrames, data cleaning, preprocessing, and analysis. Learn via coding exercises.</t>
        </is>
      </c>
      <c r="D904" s="2" t="inlineStr">
        <is>
          <t>View, access and manipulate rows - View, access and manipulate rows</t>
        </is>
      </c>
      <c r="E904" s="2" t="n">
        <v>7</v>
      </c>
      <c r="F904" s="2" t="inlineStr">
        <is>
          <t>Select rows by index label</t>
        </is>
      </c>
      <c r="G904" s="2" t="inlineStr">
        <is>
          <t>XZYZQE01</t>
        </is>
      </c>
      <c r="H904" s="2" t="inlineStr"/>
      <c r="I904" s="2" t="inlineStr">
        <is>
          <t>Easy</t>
        </is>
      </c>
      <c r="J904" s="3">
        <f>HYPERLINK("https://www.codechef.com/problems/XZYZQE01", "https://www.codechef.com/problems/XZYZQE01")</f>
        <v/>
      </c>
      <c r="K904" s="2" t="inlineStr"/>
      <c r="L904" s="2" t="inlineStr"/>
      <c r="M904" s="2" t="inlineStr"/>
      <c r="N904" s="2" t="inlineStr">
        <is>
          <t>No</t>
        </is>
      </c>
      <c r="O904" s="2" t="inlineStr">
        <is>
          <t>Unattempted</t>
        </is>
      </c>
    </row>
    <row r="905">
      <c r="A905" s="4" t="inlineStr">
        <is>
          <t>Other Practice Paths</t>
        </is>
      </c>
      <c r="B905" s="4" t="inlineStr">
        <is>
          <t>Pandas - Practice problems</t>
        </is>
      </c>
      <c r="C905" s="4" t="inlineStr">
        <is>
          <t>Unlock the power of data with by solving our Pandas practice problems for Beginners! Perfect for aspiring data scientists, this practice path covers Pandas, Series, DataFrames, data cleaning, preprocessing, and analysis. Learn via coding exercises.</t>
        </is>
      </c>
      <c r="D905" s="4" t="inlineStr">
        <is>
          <t>View, access and manipulate rows - View, access and manipulate rows</t>
        </is>
      </c>
      <c r="E905" s="4" t="n">
        <v>8</v>
      </c>
      <c r="F905" s="4" t="inlineStr">
        <is>
          <t>Access row by integer position</t>
        </is>
      </c>
      <c r="G905" s="4" t="inlineStr">
        <is>
          <t>XZYZQE02</t>
        </is>
      </c>
      <c r="H905" s="4" t="inlineStr"/>
      <c r="I905" s="4" t="inlineStr">
        <is>
          <t>Easy</t>
        </is>
      </c>
      <c r="J905" s="5">
        <f>HYPERLINK("https://www.codechef.com/problems/XZYZQE02", "https://www.codechef.com/problems/XZYZQE02")</f>
        <v/>
      </c>
      <c r="K905" s="4" t="inlineStr"/>
      <c r="L905" s="4" t="inlineStr"/>
      <c r="M905" s="4" t="inlineStr"/>
      <c r="N905" s="4" t="inlineStr">
        <is>
          <t>No</t>
        </is>
      </c>
      <c r="O905" s="4" t="inlineStr">
        <is>
          <t>Unattempted</t>
        </is>
      </c>
    </row>
    <row r="906">
      <c r="A906" s="2" t="inlineStr">
        <is>
          <t>Other Practice Paths</t>
        </is>
      </c>
      <c r="B906" s="2" t="inlineStr">
        <is>
          <t>Pandas - Practice problems</t>
        </is>
      </c>
      <c r="C906" s="2" t="inlineStr">
        <is>
          <t>Unlock the power of data with by solving our Pandas practice problems for Beginners! Perfect for aspiring data scientists, this practice path covers Pandas, Series, DataFrames, data cleaning, preprocessing, and analysis. Learn via coding exercises.</t>
        </is>
      </c>
      <c r="D906" s="2" t="inlineStr">
        <is>
          <t>View, access and manipulate rows - View, access and manipulate rows</t>
        </is>
      </c>
      <c r="E906" s="2" t="n">
        <v>9</v>
      </c>
      <c r="F906" s="2" t="inlineStr">
        <is>
          <t>Accessing a Row by Index Name</t>
        </is>
      </c>
      <c r="G906" s="2" t="inlineStr">
        <is>
          <t>XZYZQE03</t>
        </is>
      </c>
      <c r="H906" s="2" t="inlineStr"/>
      <c r="I906" s="2" t="inlineStr">
        <is>
          <t>Easy</t>
        </is>
      </c>
      <c r="J906" s="3">
        <f>HYPERLINK("https://www.codechef.com/problems/XZYZQE03", "https://www.codechef.com/problems/XZYZQE03")</f>
        <v/>
      </c>
      <c r="K906" s="2" t="inlineStr"/>
      <c r="L906" s="2" t="inlineStr"/>
      <c r="M906" s="2" t="inlineStr"/>
      <c r="N906" s="2" t="inlineStr">
        <is>
          <t>No</t>
        </is>
      </c>
      <c r="O906" s="2" t="inlineStr">
        <is>
          <t>Unattempted</t>
        </is>
      </c>
    </row>
    <row r="907">
      <c r="A907" s="4" t="inlineStr">
        <is>
          <t>Other Practice Paths</t>
        </is>
      </c>
      <c r="B907" s="4" t="inlineStr">
        <is>
          <t>Pandas - Practice problems</t>
        </is>
      </c>
      <c r="C907" s="4" t="inlineStr">
        <is>
          <t>Unlock the power of data with by solving our Pandas practice problems for Beginners! Perfect for aspiring data scientists, this practice path covers Pandas, Series, DataFrames, data cleaning, preprocessing, and analysis. Learn via coding exercises.</t>
        </is>
      </c>
      <c r="D907" s="4" t="inlineStr">
        <is>
          <t>Handling missing data - Handling missing data</t>
        </is>
      </c>
      <c r="E907" s="4" t="n">
        <v>10</v>
      </c>
      <c r="F907" s="4" t="inlineStr">
        <is>
          <t>Fill missing scores with average</t>
        </is>
      </c>
      <c r="G907" s="4" t="inlineStr">
        <is>
          <t>NHWUBU01</t>
        </is>
      </c>
      <c r="H907" s="4" t="inlineStr"/>
      <c r="I907" s="4" t="inlineStr">
        <is>
          <t>Easy</t>
        </is>
      </c>
      <c r="J907" s="5">
        <f>HYPERLINK("https://www.codechef.com/problems/NHWUBU01", "https://www.codechef.com/problems/NHWUBU01")</f>
        <v/>
      </c>
      <c r="K907" s="4" t="inlineStr"/>
      <c r="L907" s="4" t="inlineStr"/>
      <c r="M907" s="4" t="inlineStr"/>
      <c r="N907" s="4" t="inlineStr">
        <is>
          <t>No</t>
        </is>
      </c>
      <c r="O907" s="4" t="inlineStr">
        <is>
          <t>Unattempted</t>
        </is>
      </c>
    </row>
    <row r="908">
      <c r="A908" s="2" t="inlineStr">
        <is>
          <t>Other Practice Paths</t>
        </is>
      </c>
      <c r="B908" s="2" t="inlineStr">
        <is>
          <t>Pandas - Practice problems</t>
        </is>
      </c>
      <c r="C908" s="2" t="inlineStr">
        <is>
          <t>Unlock the power of data with by solving our Pandas practice problems for Beginners! Perfect for aspiring data scientists, this practice path covers Pandas, Series, DataFrames, data cleaning, preprocessing, and analysis. Learn via coding exercises.</t>
        </is>
      </c>
      <c r="D908" s="2" t="inlineStr">
        <is>
          <t>Handling missing data - Handling missing data</t>
        </is>
      </c>
      <c r="E908" s="2" t="n">
        <v>11</v>
      </c>
      <c r="F908" s="2" t="inlineStr">
        <is>
          <t>Fill missing values with median</t>
        </is>
      </c>
      <c r="G908" s="2" t="inlineStr">
        <is>
          <t>NHWUBU02</t>
        </is>
      </c>
      <c r="H908" s="2" t="inlineStr"/>
      <c r="I908" s="2" t="inlineStr">
        <is>
          <t>Easy</t>
        </is>
      </c>
      <c r="J908" s="3">
        <f>HYPERLINK("https://www.codechef.com/problems/NHWUBU02", "https://www.codechef.com/problems/NHWUBU02")</f>
        <v/>
      </c>
      <c r="K908" s="2" t="inlineStr"/>
      <c r="L908" s="2" t="inlineStr"/>
      <c r="M908" s="2" t="inlineStr"/>
      <c r="N908" s="2" t="inlineStr">
        <is>
          <t>No</t>
        </is>
      </c>
      <c r="O908" s="2" t="inlineStr">
        <is>
          <t>Unattempted</t>
        </is>
      </c>
    </row>
    <row r="909">
      <c r="A909" s="4" t="inlineStr">
        <is>
          <t>Other Practice Paths</t>
        </is>
      </c>
      <c r="B909" s="4" t="inlineStr">
        <is>
          <t>Pandas - Practice problems</t>
        </is>
      </c>
      <c r="C909" s="4" t="inlineStr">
        <is>
          <t>Unlock the power of data with by solving our Pandas practice problems for Beginners! Perfect for aspiring data scientists, this practice path covers Pandas, Series, DataFrames, data cleaning, preprocessing, and analysis. Learn via coding exercises.</t>
        </is>
      </c>
      <c r="D909" s="4" t="inlineStr">
        <is>
          <t>Handling missing data - Handling missing data</t>
        </is>
      </c>
      <c r="E909" s="4" t="n">
        <v>12</v>
      </c>
      <c r="F909" s="4" t="inlineStr">
        <is>
          <t>Count Missing Values</t>
        </is>
      </c>
      <c r="G909" s="4" t="inlineStr">
        <is>
          <t>NHWUBU03</t>
        </is>
      </c>
      <c r="H909" s="4" t="inlineStr"/>
      <c r="I909" s="4" t="inlineStr">
        <is>
          <t>Easy</t>
        </is>
      </c>
      <c r="J909" s="5">
        <f>HYPERLINK("https://www.codechef.com/problems/NHWUBU03", "https://www.codechef.com/problems/NHWUBU03")</f>
        <v/>
      </c>
      <c r="K909" s="4" t="inlineStr"/>
      <c r="L909" s="4" t="inlineStr"/>
      <c r="M909" s="4" t="inlineStr"/>
      <c r="N909" s="4" t="inlineStr">
        <is>
          <t>No</t>
        </is>
      </c>
      <c r="O909" s="4" t="inlineStr">
        <is>
          <t>Unattempted</t>
        </is>
      </c>
    </row>
    <row r="910">
      <c r="A910" s="2" t="inlineStr">
        <is>
          <t>Other Practice Paths</t>
        </is>
      </c>
      <c r="B910" s="2" t="inlineStr">
        <is>
          <t>Pandas - Practice problems</t>
        </is>
      </c>
      <c r="C910" s="2" t="inlineStr">
        <is>
          <t>Unlock the power of data with by solving our Pandas practice problems for Beginners! Perfect for aspiring data scientists, this practice path covers Pandas, Series, DataFrames, data cleaning, preprocessing, and analysis. Learn via coding exercises.</t>
        </is>
      </c>
      <c r="D910" s="2" t="inlineStr">
        <is>
          <t>Data type conversion - Data type conversion</t>
        </is>
      </c>
      <c r="E910" s="2" t="n">
        <v>13</v>
      </c>
      <c r="F910" s="2" t="inlineStr">
        <is>
          <t>Convert String Numbers to Integers</t>
        </is>
      </c>
      <c r="G910" s="2" t="inlineStr">
        <is>
          <t>LHZKML01</t>
        </is>
      </c>
      <c r="H910" s="2" t="inlineStr"/>
      <c r="I910" s="2" t="inlineStr">
        <is>
          <t>Easy</t>
        </is>
      </c>
      <c r="J910" s="3">
        <f>HYPERLINK("https://www.codechef.com/problems/LHZKML01", "https://www.codechef.com/problems/LHZKML01")</f>
        <v/>
      </c>
      <c r="K910" s="2" t="inlineStr"/>
      <c r="L910" s="2" t="inlineStr"/>
      <c r="M910" s="2" t="inlineStr"/>
      <c r="N910" s="2" t="inlineStr">
        <is>
          <t>No</t>
        </is>
      </c>
      <c r="O910" s="2" t="inlineStr">
        <is>
          <t>Unattempted</t>
        </is>
      </c>
    </row>
    <row r="911">
      <c r="A911" s="4" t="inlineStr">
        <is>
          <t>Other Practice Paths</t>
        </is>
      </c>
      <c r="B911" s="4" t="inlineStr">
        <is>
          <t>Pandas - Practice problems</t>
        </is>
      </c>
      <c r="C911" s="4" t="inlineStr">
        <is>
          <t>Unlock the power of data with by solving our Pandas practice problems for Beginners! Perfect for aspiring data scientists, this practice path covers Pandas, Series, DataFrames, data cleaning, preprocessing, and analysis. Learn via coding exercises.</t>
        </is>
      </c>
      <c r="D911" s="4" t="inlineStr">
        <is>
          <t>Data type conversion - Data type conversion</t>
        </is>
      </c>
      <c r="E911" s="4" t="n">
        <v>14</v>
      </c>
      <c r="F911" s="4" t="inlineStr">
        <is>
          <t>Convert String Prices to Numeric</t>
        </is>
      </c>
      <c r="G911" s="4" t="inlineStr">
        <is>
          <t>LHZKML02</t>
        </is>
      </c>
      <c r="H911" s="4" t="inlineStr"/>
      <c r="I911" s="4" t="inlineStr">
        <is>
          <t>Easy</t>
        </is>
      </c>
      <c r="J911" s="5">
        <f>HYPERLINK("https://www.codechef.com/problems/LHZKML02", "https://www.codechef.com/problems/LHZKML02")</f>
        <v/>
      </c>
      <c r="K911" s="4" t="inlineStr"/>
      <c r="L911" s="4" t="inlineStr"/>
      <c r="M911" s="4" t="inlineStr"/>
      <c r="N911" s="4" t="inlineStr">
        <is>
          <t>No</t>
        </is>
      </c>
      <c r="O911" s="4" t="inlineStr">
        <is>
          <t>Unattempted</t>
        </is>
      </c>
    </row>
    <row r="912">
      <c r="A912" s="2" t="inlineStr">
        <is>
          <t>Other Practice Paths</t>
        </is>
      </c>
      <c r="B912" s="2" t="inlineStr">
        <is>
          <t>Pandas - Practice problems</t>
        </is>
      </c>
      <c r="C912" s="2" t="inlineStr">
        <is>
          <t>Unlock the power of data with by solving our Pandas practice problems for Beginners! Perfect for aspiring data scientists, this practice path covers Pandas, Series, DataFrames, data cleaning, preprocessing, and analysis. Learn via coding exercises.</t>
        </is>
      </c>
      <c r="D912" s="2" t="inlineStr">
        <is>
          <t>Renaming and reordering columns - Renaming and reordering columns</t>
        </is>
      </c>
      <c r="E912" s="2" t="n">
        <v>15</v>
      </c>
      <c r="F912" s="2" t="inlineStr">
        <is>
          <t>Rename and Reorder Two Columns</t>
        </is>
      </c>
      <c r="G912" s="2" t="inlineStr">
        <is>
          <t>XJPJKI03</t>
        </is>
      </c>
      <c r="H912" s="2" t="inlineStr"/>
      <c r="I912" s="2" t="inlineStr">
        <is>
          <t>Easy</t>
        </is>
      </c>
      <c r="J912" s="3">
        <f>HYPERLINK("https://www.codechef.com/problems/XJPJKI03", "https://www.codechef.com/problems/XJPJKI03")</f>
        <v/>
      </c>
      <c r="K912" s="2" t="inlineStr"/>
      <c r="L912" s="2" t="inlineStr"/>
      <c r="M912" s="2" t="inlineStr"/>
      <c r="N912" s="2" t="inlineStr">
        <is>
          <t>No</t>
        </is>
      </c>
      <c r="O912" s="2" t="inlineStr">
        <is>
          <t>Unattempted</t>
        </is>
      </c>
    </row>
    <row r="913">
      <c r="A913" s="4" t="inlineStr">
        <is>
          <t>Other Practice Paths</t>
        </is>
      </c>
      <c r="B913" s="4" t="inlineStr">
        <is>
          <t>Pandas - Practice problems</t>
        </is>
      </c>
      <c r="C913" s="4" t="inlineStr">
        <is>
          <t>Unlock the power of data with by solving our Pandas practice problems for Beginners! Perfect for aspiring data scientists, this practice path covers Pandas, Series, DataFrames, data cleaning, preprocessing, and analysis. Learn via coding exercises.</t>
        </is>
      </c>
      <c r="D913" s="4" t="inlineStr">
        <is>
          <t>Renaming and reordering columns - Renaming and reordering columns</t>
        </is>
      </c>
      <c r="E913" s="4" t="n">
        <v>16</v>
      </c>
      <c r="F913" s="4" t="inlineStr">
        <is>
          <t>Rename and Reorder Basic DataFrame</t>
        </is>
      </c>
      <c r="G913" s="4" t="inlineStr">
        <is>
          <t>XJPJKI01</t>
        </is>
      </c>
      <c r="H913" s="4" t="inlineStr"/>
      <c r="I913" s="4" t="inlineStr">
        <is>
          <t>Easy</t>
        </is>
      </c>
      <c r="J913" s="5">
        <f>HYPERLINK("https://www.codechef.com/problems/XJPJKI01", "https://www.codechef.com/problems/XJPJKI01")</f>
        <v/>
      </c>
      <c r="K913" s="4" t="inlineStr"/>
      <c r="L913" s="4" t="inlineStr"/>
      <c r="M913" s="4" t="inlineStr"/>
      <c r="N913" s="4" t="inlineStr">
        <is>
          <t>No</t>
        </is>
      </c>
      <c r="O913" s="4" t="inlineStr">
        <is>
          <t>Unattempted</t>
        </is>
      </c>
    </row>
    <row r="914">
      <c r="A914" s="2" t="inlineStr">
        <is>
          <t>Other Practice Paths</t>
        </is>
      </c>
      <c r="B914" s="2" t="inlineStr">
        <is>
          <t>Pandas - Practice problems</t>
        </is>
      </c>
      <c r="C914" s="2" t="inlineStr">
        <is>
          <t>Unlock the power of data with by solving our Pandas practice problems for Beginners! Perfect for aspiring data scientists, this practice path covers Pandas, Series, DataFrames, data cleaning, preprocessing, and analysis. Learn via coding exercises.</t>
        </is>
      </c>
      <c r="D914" s="2" t="inlineStr">
        <is>
          <t>Renaming and reordering columns - Renaming and reordering columns</t>
        </is>
      </c>
      <c r="E914" s="2" t="n">
        <v>17</v>
      </c>
      <c r="F914" s="2" t="inlineStr">
        <is>
          <t>Rename and Reorder Simple DataFrame Columns</t>
        </is>
      </c>
      <c r="G914" s="2" t="inlineStr">
        <is>
          <t>XJPJKI02</t>
        </is>
      </c>
      <c r="H914" s="2" t="inlineStr"/>
      <c r="I914" s="2" t="inlineStr">
        <is>
          <t>Easy</t>
        </is>
      </c>
      <c r="J914" s="3">
        <f>HYPERLINK("https://www.codechef.com/problems/XJPJKI02", "https://www.codechef.com/problems/XJPJKI02")</f>
        <v/>
      </c>
      <c r="K914" s="2" t="inlineStr"/>
      <c r="L914" s="2" t="inlineStr"/>
      <c r="M914" s="2" t="inlineStr"/>
      <c r="N914" s="2" t="inlineStr">
        <is>
          <t>No</t>
        </is>
      </c>
      <c r="O914" s="2" t="inlineStr">
        <is>
          <t>Unattempted</t>
        </is>
      </c>
    </row>
    <row r="915">
      <c r="A915" s="4" t="inlineStr">
        <is>
          <t>Other Practice Paths</t>
        </is>
      </c>
      <c r="B915" s="4" t="inlineStr">
        <is>
          <t>Pandas - Practice problems</t>
        </is>
      </c>
      <c r="C915" s="4" t="inlineStr">
        <is>
          <t>Unlock the power of data with by solving our Pandas practice problems for Beginners! Perfect for aspiring data scientists, this practice path covers Pandas, Series, DataFrames, data cleaning, preprocessing, and analysis. Learn via coding exercises.</t>
        </is>
      </c>
      <c r="D915" s="4" t="inlineStr">
        <is>
          <t>Handling duplicates - Handling duplicates</t>
        </is>
      </c>
      <c r="E915" s="4" t="n">
        <v>18</v>
      </c>
      <c r="F915" s="4" t="inlineStr">
        <is>
          <t>Dropping all duplicate rows</t>
        </is>
      </c>
      <c r="G915" s="4" t="inlineStr">
        <is>
          <t>CAICFV03</t>
        </is>
      </c>
      <c r="H915" s="4" t="inlineStr"/>
      <c r="I915" s="4" t="inlineStr">
        <is>
          <t>Easy</t>
        </is>
      </c>
      <c r="J915" s="5">
        <f>HYPERLINK("https://www.codechef.com/problems/CAICFV03", "https://www.codechef.com/problems/CAICFV03")</f>
        <v/>
      </c>
      <c r="K915" s="4" t="inlineStr"/>
      <c r="L915" s="4" t="inlineStr"/>
      <c r="M915" s="4" t="inlineStr"/>
      <c r="N915" s="4" t="inlineStr">
        <is>
          <t>No</t>
        </is>
      </c>
      <c r="O915" s="4" t="inlineStr">
        <is>
          <t>Unattempted</t>
        </is>
      </c>
    </row>
    <row r="916">
      <c r="A916" s="2" t="inlineStr">
        <is>
          <t>Other Practice Paths</t>
        </is>
      </c>
      <c r="B916" s="2" t="inlineStr">
        <is>
          <t>Pandas - Practice problems</t>
        </is>
      </c>
      <c r="C916" s="2" t="inlineStr">
        <is>
          <t>Unlock the power of data with by solving our Pandas practice problems for Beginners! Perfect for aspiring data scientists, this practice path covers Pandas, Series, DataFrames, data cleaning, preprocessing, and analysis. Learn via coding exercises.</t>
        </is>
      </c>
      <c r="D916" s="2" t="inlineStr">
        <is>
          <t>Handling duplicates - Handling duplicates</t>
        </is>
      </c>
      <c r="E916" s="2" t="n">
        <v>19</v>
      </c>
      <c r="F916" s="2" t="inlineStr">
        <is>
          <t>Remove duplicate rows</t>
        </is>
      </c>
      <c r="G916" s="2" t="inlineStr">
        <is>
          <t>CAICFV01</t>
        </is>
      </c>
      <c r="H916" s="2" t="inlineStr"/>
      <c r="I916" s="2" t="inlineStr">
        <is>
          <t>Easy</t>
        </is>
      </c>
      <c r="J916" s="3">
        <f>HYPERLINK("https://www.codechef.com/problems/CAICFV01", "https://www.codechef.com/problems/CAICFV01")</f>
        <v/>
      </c>
      <c r="K916" s="2" t="inlineStr"/>
      <c r="L916" s="2" t="inlineStr"/>
      <c r="M916" s="2" t="inlineStr"/>
      <c r="N916" s="2" t="inlineStr">
        <is>
          <t>No</t>
        </is>
      </c>
      <c r="O916" s="2" t="inlineStr">
        <is>
          <t>Unattempted</t>
        </is>
      </c>
    </row>
    <row r="917">
      <c r="A917" s="4" t="inlineStr">
        <is>
          <t>Other Practice Paths</t>
        </is>
      </c>
      <c r="B917" s="4" t="inlineStr">
        <is>
          <t>Pandas - Practice problems</t>
        </is>
      </c>
      <c r="C917" s="4" t="inlineStr">
        <is>
          <t>Unlock the power of data with by solving our Pandas practice problems for Beginners! Perfect for aspiring data scientists, this practice path covers Pandas, Series, DataFrames, data cleaning, preprocessing, and analysis. Learn via coding exercises.</t>
        </is>
      </c>
      <c r="D917" s="4" t="inlineStr">
        <is>
          <t>Handling duplicates - Handling duplicates</t>
        </is>
      </c>
      <c r="E917" s="4" t="n">
        <v>20</v>
      </c>
      <c r="F917" s="4" t="inlineStr">
        <is>
          <t>Remove duplicates based on a specific column</t>
        </is>
      </c>
      <c r="G917" s="4" t="inlineStr">
        <is>
          <t>CAICFV02</t>
        </is>
      </c>
      <c r="H917" s="4" t="inlineStr"/>
      <c r="I917" s="4" t="inlineStr">
        <is>
          <t>Easy</t>
        </is>
      </c>
      <c r="J917" s="5">
        <f>HYPERLINK("https://www.codechef.com/problems/CAICFV02", "https://www.codechef.com/problems/CAICFV02")</f>
        <v/>
      </c>
      <c r="K917" s="4" t="inlineStr"/>
      <c r="L917" s="4" t="inlineStr"/>
      <c r="M917" s="4" t="inlineStr"/>
      <c r="N917" s="4" t="inlineStr">
        <is>
          <t>No</t>
        </is>
      </c>
      <c r="O917" s="4" t="inlineStr">
        <is>
          <t>Unattempted</t>
        </is>
      </c>
    </row>
    <row r="918">
      <c r="A918" s="2" t="inlineStr">
        <is>
          <t>Other Practice Paths</t>
        </is>
      </c>
      <c r="B918" s="2" t="inlineStr">
        <is>
          <t>Pandas - Practice problems</t>
        </is>
      </c>
      <c r="C918" s="2" t="inlineStr">
        <is>
          <t>Unlock the power of data with by solving our Pandas practice problems for Beginners! Perfect for aspiring data scientists, this practice path covers Pandas, Series, DataFrames, data cleaning, preprocessing, and analysis. Learn via coding exercises.</t>
        </is>
      </c>
      <c r="D918" s="2" t="inlineStr">
        <is>
          <t>Grouping and aggregation - Grouping and aggregation</t>
        </is>
      </c>
      <c r="E918" s="2" t="n">
        <v>21</v>
      </c>
      <c r="F918" s="2" t="inlineStr">
        <is>
          <t>Count products per category</t>
        </is>
      </c>
      <c r="G918" s="2" t="inlineStr">
        <is>
          <t>JDAELJ03</t>
        </is>
      </c>
      <c r="H918" s="2" t="inlineStr"/>
      <c r="I918" s="2" t="inlineStr">
        <is>
          <t>Easy</t>
        </is>
      </c>
      <c r="J918" s="3">
        <f>HYPERLINK("https://www.codechef.com/problems/JDAELJ03", "https://www.codechef.com/problems/JDAELJ03")</f>
        <v/>
      </c>
      <c r="K918" s="2" t="inlineStr"/>
      <c r="L918" s="2" t="inlineStr"/>
      <c r="M918" s="2" t="inlineStr"/>
      <c r="N918" s="2" t="inlineStr">
        <is>
          <t>No</t>
        </is>
      </c>
      <c r="O918" s="2" t="inlineStr">
        <is>
          <t>Unattempted</t>
        </is>
      </c>
    </row>
    <row r="919">
      <c r="A919" s="4" t="inlineStr">
        <is>
          <t>Other Practice Paths</t>
        </is>
      </c>
      <c r="B919" s="4" t="inlineStr">
        <is>
          <t>Pandas - Practice problems</t>
        </is>
      </c>
      <c r="C919" s="4" t="inlineStr">
        <is>
          <t>Unlock the power of data with by solving our Pandas practice problems for Beginners! Perfect for aspiring data scientists, this practice path covers Pandas, Series, DataFrames, data cleaning, preprocessing, and analysis. Learn via coding exercises.</t>
        </is>
      </c>
      <c r="D919" s="4" t="inlineStr">
        <is>
          <t>Grouping and aggregation - Grouping and aggregation</t>
        </is>
      </c>
      <c r="E919" s="4" t="n">
        <v>22</v>
      </c>
      <c r="F919" s="4" t="inlineStr">
        <is>
          <t>Calculate Average Salary by Department</t>
        </is>
      </c>
      <c r="G919" s="4" t="inlineStr">
        <is>
          <t>JDAELJ01</t>
        </is>
      </c>
      <c r="H919" s="4" t="inlineStr"/>
      <c r="I919" s="4" t="inlineStr">
        <is>
          <t>Easy</t>
        </is>
      </c>
      <c r="J919" s="5">
        <f>HYPERLINK("https://www.codechef.com/problems/JDAELJ01", "https://www.codechef.com/problems/JDAELJ01")</f>
        <v/>
      </c>
      <c r="K919" s="4" t="inlineStr"/>
      <c r="L919" s="4" t="inlineStr"/>
      <c r="M919" s="4" t="inlineStr"/>
      <c r="N919" s="4" t="inlineStr">
        <is>
          <t>No</t>
        </is>
      </c>
      <c r="O919" s="4" t="inlineStr">
        <is>
          <t>Unattempted</t>
        </is>
      </c>
    </row>
    <row r="920">
      <c r="A920" s="2" t="inlineStr">
        <is>
          <t>Other Practice Paths</t>
        </is>
      </c>
      <c r="B920" s="2" t="inlineStr">
        <is>
          <t>Pandas - Practice problems</t>
        </is>
      </c>
      <c r="C920" s="2" t="inlineStr">
        <is>
          <t>Unlock the power of data with by solving our Pandas practice problems for Beginners! Perfect for aspiring data scientists, this practice path covers Pandas, Series, DataFrames, data cleaning, preprocessing, and analysis. Learn via coding exercises.</t>
        </is>
      </c>
      <c r="D920" s="2" t="inlineStr">
        <is>
          <t>Grouping and aggregation - Grouping and aggregation</t>
        </is>
      </c>
      <c r="E920" s="2" t="n">
        <v>23</v>
      </c>
      <c r="F920" s="2" t="inlineStr">
        <is>
          <t>Average Price by Category</t>
        </is>
      </c>
      <c r="G920" s="2" t="inlineStr">
        <is>
          <t>JDAELJ02</t>
        </is>
      </c>
      <c r="H920" s="2" t="inlineStr"/>
      <c r="I920" s="2" t="inlineStr">
        <is>
          <t>Easy</t>
        </is>
      </c>
      <c r="J920" s="3">
        <f>HYPERLINK("https://www.codechef.com/problems/JDAELJ02", "https://www.codechef.com/problems/JDAELJ02")</f>
        <v/>
      </c>
      <c r="K920" s="2" t="inlineStr"/>
      <c r="L920" s="2" t="inlineStr"/>
      <c r="M920" s="2" t="inlineStr"/>
      <c r="N920" s="2" t="inlineStr">
        <is>
          <t>No</t>
        </is>
      </c>
      <c r="O920" s="2" t="inlineStr">
        <is>
          <t>Unattempted</t>
        </is>
      </c>
    </row>
    <row r="921">
      <c r="A921" s="4" t="inlineStr">
        <is>
          <t>Other Practice Paths</t>
        </is>
      </c>
      <c r="B921" s="4" t="inlineStr">
        <is>
          <t>Pandas - Practice problems</t>
        </is>
      </c>
      <c r="C921" s="4" t="inlineStr">
        <is>
          <t>Unlock the power of data with by solving our Pandas practice problems for Beginners! Perfect for aspiring data scientists, this practice path covers Pandas, Series, DataFrames, data cleaning, preprocessing, and analysis. Learn via coding exercises.</t>
        </is>
      </c>
      <c r="D921" s="4" t="inlineStr">
        <is>
          <t>Merging and joining dataframes - Merging and joining dataframes</t>
        </is>
      </c>
      <c r="E921" s="4" t="n">
        <v>24</v>
      </c>
      <c r="F921" s="4" t="inlineStr">
        <is>
          <t>Basic DataFrame Merge</t>
        </is>
      </c>
      <c r="G921" s="4" t="inlineStr">
        <is>
          <t>GKLGAP03</t>
        </is>
      </c>
      <c r="H921" s="4" t="inlineStr"/>
      <c r="I921" s="4" t="inlineStr">
        <is>
          <t>Easy</t>
        </is>
      </c>
      <c r="J921" s="5">
        <f>HYPERLINK("https://www.codechef.com/problems/GKLGAP03", "https://www.codechef.com/problems/GKLGAP03")</f>
        <v/>
      </c>
      <c r="K921" s="4" t="inlineStr"/>
      <c r="L921" s="4" t="inlineStr"/>
      <c r="M921" s="4" t="inlineStr"/>
      <c r="N921" s="4" t="inlineStr">
        <is>
          <t>No</t>
        </is>
      </c>
      <c r="O921" s="4" t="inlineStr">
        <is>
          <t>Unattempted</t>
        </is>
      </c>
    </row>
    <row r="922">
      <c r="A922" s="2" t="inlineStr">
        <is>
          <t>Other Practice Paths</t>
        </is>
      </c>
      <c r="B922" s="2" t="inlineStr">
        <is>
          <t>Pandas - Practice problems</t>
        </is>
      </c>
      <c r="C922" s="2" t="inlineStr">
        <is>
          <t>Unlock the power of data with by solving our Pandas practice problems for Beginners! Perfect for aspiring data scientists, this practice path covers Pandas, Series, DataFrames, data cleaning, preprocessing, and analysis. Learn via coding exercises.</t>
        </is>
      </c>
      <c r="D922" s="2" t="inlineStr">
        <is>
          <t>Merging and joining dataframes - Merging and joining dataframes</t>
        </is>
      </c>
      <c r="E922" s="2" t="n">
        <v>25</v>
      </c>
      <c r="F922" s="2" t="inlineStr">
        <is>
          <t>Merge Customer Data with Order Details</t>
        </is>
      </c>
      <c r="G922" s="2" t="inlineStr">
        <is>
          <t>GKLGAP01</t>
        </is>
      </c>
      <c r="H922" s="2" t="inlineStr"/>
      <c r="I922" s="2" t="inlineStr">
        <is>
          <t>Easy</t>
        </is>
      </c>
      <c r="J922" s="3">
        <f>HYPERLINK("https://www.codechef.com/problems/GKLGAP01", "https://www.codechef.com/problems/GKLGAP01")</f>
        <v/>
      </c>
      <c r="K922" s="2" t="inlineStr"/>
      <c r="L922" s="2" t="inlineStr"/>
      <c r="M922" s="2" t="inlineStr"/>
      <c r="N922" s="2" t="inlineStr">
        <is>
          <t>No</t>
        </is>
      </c>
      <c r="O922" s="2" t="inlineStr">
        <is>
          <t>Unattempted</t>
        </is>
      </c>
    </row>
    <row r="923">
      <c r="A923" s="4" t="inlineStr">
        <is>
          <t>Other Practice Paths</t>
        </is>
      </c>
      <c r="B923" s="4" t="inlineStr">
        <is>
          <t>Pandas - Practice problems</t>
        </is>
      </c>
      <c r="C923" s="4" t="inlineStr">
        <is>
          <t>Unlock the power of data with by solving our Pandas practice problems for Beginners! Perfect for aspiring data scientists, this practice path covers Pandas, Series, DataFrames, data cleaning, preprocessing, and analysis. Learn via coding exercises.</t>
        </is>
      </c>
      <c r="D923" s="4" t="inlineStr">
        <is>
          <t>Merging and joining dataframes - Merging and joining dataframes</t>
        </is>
      </c>
      <c r="E923" s="4" t="n">
        <v>26</v>
      </c>
      <c r="F923" s="4" t="inlineStr">
        <is>
          <t>Merge two DataFrames on a single column</t>
        </is>
      </c>
      <c r="G923" s="4" t="inlineStr">
        <is>
          <t>GKLGAP02</t>
        </is>
      </c>
      <c r="H923" s="4" t="inlineStr"/>
      <c r="I923" s="4" t="inlineStr">
        <is>
          <t>Easy</t>
        </is>
      </c>
      <c r="J923" s="5">
        <f>HYPERLINK("https://www.codechef.com/problems/GKLGAP02", "https://www.codechef.com/problems/GKLGAP02")</f>
        <v/>
      </c>
      <c r="K923" s="4" t="inlineStr"/>
      <c r="L923" s="4" t="inlineStr"/>
      <c r="M923" s="4" t="inlineStr"/>
      <c r="N923" s="4" t="inlineStr">
        <is>
          <t>No</t>
        </is>
      </c>
      <c r="O923" s="4" t="inlineStr">
        <is>
          <t>Unattempted</t>
        </is>
      </c>
    </row>
    <row r="924">
      <c r="A924" s="2" t="inlineStr">
        <is>
          <t>Other Practice Paths</t>
        </is>
      </c>
      <c r="B924" s="2" t="inlineStr">
        <is>
          <t>Pandas - Practice problems</t>
        </is>
      </c>
      <c r="C924" s="2" t="inlineStr">
        <is>
          <t>Unlock the power of data with by solving our Pandas practice problems for Beginners! Perfect for aspiring data scientists, this practice path covers Pandas, Series, DataFrames, data cleaning, preprocessing, and analysis. Learn via coding exercises.</t>
        </is>
      </c>
      <c r="D924" s="2" t="inlineStr">
        <is>
          <t>Reshaping data - Reshaping data</t>
        </is>
      </c>
      <c r="E924" s="2" t="n">
        <v>27</v>
      </c>
      <c r="F924" s="2" t="inlineStr">
        <is>
          <t>Reshape Sales Data</t>
        </is>
      </c>
      <c r="G924" s="2" t="inlineStr">
        <is>
          <t>LWEECH03</t>
        </is>
      </c>
      <c r="H924" s="2" t="inlineStr"/>
      <c r="I924" s="2" t="inlineStr">
        <is>
          <t>Medium</t>
        </is>
      </c>
      <c r="J924" s="3">
        <f>HYPERLINK("https://www.codechef.com/problems/LWEECH03", "https://www.codechef.com/problems/LWEECH03")</f>
        <v/>
      </c>
      <c r="K924" s="2" t="inlineStr"/>
      <c r="L924" s="2" t="inlineStr"/>
      <c r="M924" s="2" t="inlineStr"/>
      <c r="N924" s="2" t="inlineStr">
        <is>
          <t>No</t>
        </is>
      </c>
      <c r="O924" s="2" t="inlineStr">
        <is>
          <t>Unattempted</t>
        </is>
      </c>
    </row>
    <row r="925">
      <c r="A925" s="4" t="inlineStr">
        <is>
          <t>Other Practice Paths</t>
        </is>
      </c>
      <c r="B925" s="4" t="inlineStr">
        <is>
          <t>Pandas - Practice problems</t>
        </is>
      </c>
      <c r="C925" s="4" t="inlineStr">
        <is>
          <t>Unlock the power of data with by solving our Pandas practice problems for Beginners! Perfect for aspiring data scientists, this practice path covers Pandas, Series, DataFrames, data cleaning, preprocessing, and analysis. Learn via coding exercises.</t>
        </is>
      </c>
      <c r="D925" s="4" t="inlineStr">
        <is>
          <t>Reshaping data - Reshaping data</t>
        </is>
      </c>
      <c r="E925" s="4" t="n">
        <v>28</v>
      </c>
      <c r="F925" s="4" t="inlineStr">
        <is>
          <t>Reshape Student Grades</t>
        </is>
      </c>
      <c r="G925" s="4" t="inlineStr">
        <is>
          <t>LWEECH01</t>
        </is>
      </c>
      <c r="H925" s="4" t="inlineStr"/>
      <c r="I925" s="4" t="inlineStr">
        <is>
          <t>Medium</t>
        </is>
      </c>
      <c r="J925" s="5">
        <f>HYPERLINK("https://www.codechef.com/problems/LWEECH01", "https://www.codechef.com/problems/LWEECH01")</f>
        <v/>
      </c>
      <c r="K925" s="4" t="inlineStr"/>
      <c r="L925" s="4" t="inlineStr"/>
      <c r="M925" s="4" t="inlineStr"/>
      <c r="N925" s="4" t="inlineStr">
        <is>
          <t>No</t>
        </is>
      </c>
      <c r="O925" s="4" t="inlineStr">
        <is>
          <t>Unattempted</t>
        </is>
      </c>
    </row>
    <row r="926">
      <c r="A926" s="2" t="inlineStr">
        <is>
          <t>Other Practice Paths</t>
        </is>
      </c>
      <c r="B926" s="2" t="inlineStr">
        <is>
          <t>Pandas - Practice problems</t>
        </is>
      </c>
      <c r="C926" s="2" t="inlineStr">
        <is>
          <t>Unlock the power of data with by solving our Pandas practice problems for Beginners! Perfect for aspiring data scientists, this practice path covers Pandas, Series, DataFrames, data cleaning, preprocessing, and analysis. Learn via coding exercises.</t>
        </is>
      </c>
      <c r="D926" s="2" t="inlineStr">
        <is>
          <t>Reshaping data - Reshaping data</t>
        </is>
      </c>
      <c r="E926" s="2" t="n">
        <v>29</v>
      </c>
      <c r="F926" s="2" t="inlineStr">
        <is>
          <t>Reshape Employee Role Data</t>
        </is>
      </c>
      <c r="G926" s="2" t="inlineStr">
        <is>
          <t>LWEECH02</t>
        </is>
      </c>
      <c r="H926" s="2" t="inlineStr"/>
      <c r="I926" s="2" t="inlineStr">
        <is>
          <t>Medium</t>
        </is>
      </c>
      <c r="J926" s="3">
        <f>HYPERLINK("https://www.codechef.com/problems/LWEECH02", "https://www.codechef.com/problems/LWEECH02")</f>
        <v/>
      </c>
      <c r="K926" s="2" t="inlineStr"/>
      <c r="L926" s="2" t="inlineStr"/>
      <c r="M926" s="2" t="inlineStr"/>
      <c r="N926" s="2" t="inlineStr">
        <is>
          <t>No</t>
        </is>
      </c>
      <c r="O926" s="2" t="inlineStr">
        <is>
          <t>Unattempted</t>
        </is>
      </c>
    </row>
    <row r="927">
      <c r="A927" s="4" t="inlineStr">
        <is>
          <t>Other Practice Paths</t>
        </is>
      </c>
      <c r="B927" s="4" t="inlineStr">
        <is>
          <t>Pandas - Practice problems</t>
        </is>
      </c>
      <c r="C927" s="4" t="inlineStr">
        <is>
          <t>Unlock the power of data with by solving our Pandas practice problems for Beginners! Perfect for aspiring data scientists, this practice path covers Pandas, Series, DataFrames, data cleaning, preprocessing, and analysis. Learn via coding exercises.</t>
        </is>
      </c>
      <c r="D927" s="4" t="inlineStr">
        <is>
          <t>Time series basics in pandas - Time series basics in pandas</t>
        </is>
      </c>
      <c r="E927" s="4" t="n">
        <v>30</v>
      </c>
      <c r="F927" s="4" t="inlineStr">
        <is>
          <t>Accessing a specific date in a time series</t>
        </is>
      </c>
      <c r="G927" s="4" t="inlineStr">
        <is>
          <t>JTGJPW03</t>
        </is>
      </c>
      <c r="H927" s="4" t="inlineStr"/>
      <c r="I927" s="4" t="inlineStr">
        <is>
          <t>Easy</t>
        </is>
      </c>
      <c r="J927" s="5">
        <f>HYPERLINK("https://www.codechef.com/problems/JTGJPW03", "https://www.codechef.com/problems/JTGJPW03")</f>
        <v/>
      </c>
      <c r="K927" s="4" t="inlineStr"/>
      <c r="L927" s="4" t="inlineStr"/>
      <c r="M927" s="4" t="inlineStr"/>
      <c r="N927" s="4" t="inlineStr">
        <is>
          <t>No</t>
        </is>
      </c>
      <c r="O927" s="4" t="inlineStr">
        <is>
          <t>Unattempted</t>
        </is>
      </c>
    </row>
    <row r="928">
      <c r="A928" s="2" t="inlineStr">
        <is>
          <t>Other Practice Paths</t>
        </is>
      </c>
      <c r="B928" s="2" t="inlineStr">
        <is>
          <t>Pandas - Practice problems</t>
        </is>
      </c>
      <c r="C928" s="2" t="inlineStr">
        <is>
          <t>Unlock the power of data with by solving our Pandas practice problems for Beginners! Perfect for aspiring data scientists, this practice path covers Pandas, Series, DataFrames, data cleaning, preprocessing, and analysis. Learn via coding exercises.</t>
        </is>
      </c>
      <c r="D928" s="2" t="inlineStr">
        <is>
          <t>Time series basics in pandas - Time series basics in pandas</t>
        </is>
      </c>
      <c r="E928" s="2" t="n">
        <v>31</v>
      </c>
      <c r="F928" s="2" t="inlineStr">
        <is>
          <t>Create Time Series from List</t>
        </is>
      </c>
      <c r="G928" s="2" t="inlineStr">
        <is>
          <t>JTGJPW01</t>
        </is>
      </c>
      <c r="H928" s="2" t="inlineStr"/>
      <c r="I928" s="2" t="inlineStr">
        <is>
          <t>Easy</t>
        </is>
      </c>
      <c r="J928" s="3">
        <f>HYPERLINK("https://www.codechef.com/problems/JTGJPW01", "https://www.codechef.com/problems/JTGJPW01")</f>
        <v/>
      </c>
      <c r="K928" s="2" t="inlineStr"/>
      <c r="L928" s="2" t="inlineStr"/>
      <c r="M928" s="2" t="inlineStr"/>
      <c r="N928" s="2" t="inlineStr">
        <is>
          <t>No</t>
        </is>
      </c>
      <c r="O928" s="2" t="inlineStr">
        <is>
          <t>Unattempted</t>
        </is>
      </c>
    </row>
    <row r="929">
      <c r="A929" s="4" t="inlineStr">
        <is>
          <t>Other Practice Paths</t>
        </is>
      </c>
      <c r="B929" s="4" t="inlineStr">
        <is>
          <t>Pandas - Practice problems</t>
        </is>
      </c>
      <c r="C929" s="4" t="inlineStr">
        <is>
          <t>Unlock the power of data with by solving our Pandas practice problems for Beginners! Perfect for aspiring data scientists, this practice path covers Pandas, Series, DataFrames, data cleaning, preprocessing, and analysis. Learn via coding exercises.</t>
        </is>
      </c>
      <c r="D929" s="4" t="inlineStr">
        <is>
          <t>Time series basics in pandas - Time series basics in pandas</t>
        </is>
      </c>
      <c r="E929" s="4" t="n">
        <v>32</v>
      </c>
      <c r="F929" s="4" t="inlineStr">
        <is>
          <t>Create time series with daily data</t>
        </is>
      </c>
      <c r="G929" s="4" t="inlineStr">
        <is>
          <t>JTGJPW02</t>
        </is>
      </c>
      <c r="H929" s="4" t="inlineStr"/>
      <c r="I929" s="4" t="inlineStr">
        <is>
          <t>Easy</t>
        </is>
      </c>
      <c r="J929" s="5">
        <f>HYPERLINK("https://www.codechef.com/problems/JTGJPW02", "https://www.codechef.com/problems/JTGJPW02")</f>
        <v/>
      </c>
      <c r="K929" s="4" t="inlineStr"/>
      <c r="L929" s="4" t="inlineStr"/>
      <c r="M929" s="4" t="inlineStr"/>
      <c r="N929" s="4" t="inlineStr">
        <is>
          <t>No</t>
        </is>
      </c>
      <c r="O929" s="4" t="inlineStr">
        <is>
          <t>Unattempted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2026-08-01T19:10:16Z</dcterms:created>
  <dcterms:modified xsi:type="dcterms:W3CDTF">2026-08-01T19:10:18Z</dcterms:modified>
</cp:coreProperties>
</file>