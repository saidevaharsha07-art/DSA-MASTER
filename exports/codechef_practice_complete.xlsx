
<file path=[Content_Types].xml><?xml version="1.0" encoding="utf-8"?>
<Types xmlns="http://schemas.openxmlformats.org/package/2006/content-type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0" yWindow="590" windowWidth="18880" windowHeight="7240" firstSheet="7" activeTab="10"/>
  </bookViews>
  <sheets>
    <sheet name="INDEX" sheetId="1" r:id="rId1"/>
    <sheet name="SUMMARY" sheetId="2" r:id="rId2"/>
    <sheet name="Beginner DSA" sheetId="3" r:id="rId3"/>
    <sheet name="Data Structures" sheetId="4" r:id="rId4"/>
    <sheet name="Algorithms" sheetId="5" r:id="rId5"/>
    <sheet name="Difficulty Rating Wise" sheetId="6" r:id="rId6"/>
    <sheet name="Star Wise Paths" sheetId="7" r:id="rId7"/>
    <sheet name="Interview Questions" sheetId="8" r:id="rId8"/>
    <sheet name="Other Practice Paths" sheetId="9" r:id="rId9"/>
    <sheet name="Company Based Questions" sheetId="10" r:id="rId10"/>
    <sheet name="Advanced Coding Challenges" sheetId="11" r:id="rId11"/>
  </sheets>
  <calcPr calcId="124519"/>
</workbook>
</file>

<file path=xl/calcChain.xml><?xml version="1.0" encoding="utf-8"?>
<calcChain xmlns="http://schemas.openxmlformats.org/spreadsheetml/2006/main">
  <c r="J43" i="11"/>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J591" i="10"/>
  <c r="J590"/>
  <c r="J589"/>
  <c r="J588"/>
  <c r="J587"/>
  <c r="J586"/>
  <c r="J585"/>
  <c r="J584"/>
  <c r="J583"/>
  <c r="J582"/>
  <c r="J581"/>
  <c r="J580"/>
  <c r="J579"/>
  <c r="J578"/>
  <c r="J577"/>
  <c r="J576"/>
  <c r="J575"/>
  <c r="J574"/>
  <c r="J573"/>
  <c r="J572"/>
  <c r="J571"/>
  <c r="J570"/>
  <c r="J569"/>
  <c r="J568"/>
  <c r="J567"/>
  <c r="J566"/>
  <c r="J565"/>
  <c r="J564"/>
  <c r="J563"/>
  <c r="J562"/>
  <c r="J561"/>
  <c r="J560"/>
  <c r="J559"/>
  <c r="J558"/>
  <c r="J557"/>
  <c r="J556"/>
  <c r="J555"/>
  <c r="J554"/>
  <c r="J553"/>
  <c r="J552"/>
  <c r="J551"/>
  <c r="J550"/>
  <c r="J549"/>
  <c r="J548"/>
  <c r="J547"/>
  <c r="J546"/>
  <c r="J545"/>
  <c r="J544"/>
  <c r="J543"/>
  <c r="J542"/>
  <c r="J541"/>
  <c r="J540"/>
  <c r="J539"/>
  <c r="J538"/>
  <c r="J537"/>
  <c r="J536"/>
  <c r="J535"/>
  <c r="J534"/>
  <c r="J533"/>
  <c r="J532"/>
  <c r="J531"/>
  <c r="J530"/>
  <c r="J529"/>
  <c r="J528"/>
  <c r="J527"/>
  <c r="J526"/>
  <c r="J525"/>
  <c r="J524"/>
  <c r="J523"/>
  <c r="J522"/>
  <c r="J521"/>
  <c r="J520"/>
  <c r="J519"/>
  <c r="J518"/>
  <c r="J517"/>
  <c r="J516"/>
  <c r="J515"/>
  <c r="J514"/>
  <c r="J513"/>
  <c r="J512"/>
  <c r="J511"/>
  <c r="J510"/>
  <c r="J509"/>
  <c r="J508"/>
  <c r="J507"/>
  <c r="J506"/>
  <c r="J505"/>
  <c r="J504"/>
  <c r="J503"/>
  <c r="J502"/>
  <c r="J501"/>
  <c r="J500"/>
  <c r="J499"/>
  <c r="J498"/>
  <c r="J497"/>
  <c r="J496"/>
  <c r="J495"/>
  <c r="J494"/>
  <c r="J493"/>
  <c r="J492"/>
  <c r="J491"/>
  <c r="J490"/>
  <c r="J489"/>
  <c r="J488"/>
  <c r="J487"/>
  <c r="J486"/>
  <c r="J485"/>
  <c r="J484"/>
  <c r="J483"/>
  <c r="J482"/>
  <c r="J481"/>
  <c r="J480"/>
  <c r="J479"/>
  <c r="J478"/>
  <c r="J477"/>
  <c r="J476"/>
  <c r="J475"/>
  <c r="J474"/>
  <c r="J473"/>
  <c r="J472"/>
  <c r="J471"/>
  <c r="J470"/>
  <c r="J469"/>
  <c r="J468"/>
  <c r="J467"/>
  <c r="J466"/>
  <c r="J465"/>
  <c r="J464"/>
  <c r="J463"/>
  <c r="J462"/>
  <c r="J461"/>
  <c r="J460"/>
  <c r="J459"/>
  <c r="J458"/>
  <c r="J457"/>
  <c r="J456"/>
  <c r="J455"/>
  <c r="J454"/>
  <c r="J453"/>
  <c r="J452"/>
  <c r="J451"/>
  <c r="J450"/>
  <c r="J449"/>
  <c r="J448"/>
  <c r="J447"/>
  <c r="J446"/>
  <c r="J445"/>
  <c r="J444"/>
  <c r="J443"/>
  <c r="J442"/>
  <c r="J441"/>
  <c r="J440"/>
  <c r="J439"/>
  <c r="J438"/>
  <c r="J437"/>
  <c r="J436"/>
  <c r="J435"/>
  <c r="J434"/>
  <c r="J433"/>
  <c r="J432"/>
  <c r="J431"/>
  <c r="J430"/>
  <c r="J429"/>
  <c r="J428"/>
  <c r="J427"/>
  <c r="J426"/>
  <c r="J425"/>
  <c r="J424"/>
  <c r="J423"/>
  <c r="J422"/>
  <c r="J421"/>
  <c r="J420"/>
  <c r="J419"/>
  <c r="J418"/>
  <c r="J417"/>
  <c r="J416"/>
  <c r="J415"/>
  <c r="J414"/>
  <c r="J413"/>
  <c r="J412"/>
  <c r="J411"/>
  <c r="J410"/>
  <c r="J409"/>
  <c r="J408"/>
  <c r="J407"/>
  <c r="J406"/>
  <c r="J405"/>
  <c r="J404"/>
  <c r="J403"/>
  <c r="J402"/>
  <c r="J401"/>
  <c r="J400"/>
  <c r="J399"/>
  <c r="J398"/>
  <c r="J397"/>
  <c r="J396"/>
  <c r="J395"/>
  <c r="J394"/>
  <c r="J393"/>
  <c r="J392"/>
  <c r="J391"/>
  <c r="J390"/>
  <c r="J389"/>
  <c r="J388"/>
  <c r="J387"/>
  <c r="J386"/>
  <c r="J385"/>
  <c r="J384"/>
  <c r="J383"/>
  <c r="J382"/>
  <c r="J381"/>
  <c r="J380"/>
  <c r="J379"/>
  <c r="J378"/>
  <c r="J377"/>
  <c r="J376"/>
  <c r="J375"/>
  <c r="J374"/>
  <c r="J373"/>
  <c r="J372"/>
  <c r="J371"/>
  <c r="J370"/>
  <c r="J369"/>
  <c r="J368"/>
  <c r="J367"/>
  <c r="J366"/>
  <c r="J365"/>
  <c r="J364"/>
  <c r="J363"/>
  <c r="J362"/>
  <c r="J361"/>
  <c r="J360"/>
  <c r="J359"/>
  <c r="J358"/>
  <c r="J357"/>
  <c r="J356"/>
  <c r="J355"/>
  <c r="J354"/>
  <c r="J353"/>
  <c r="J352"/>
  <c r="J351"/>
  <c r="J350"/>
  <c r="J349"/>
  <c r="J348"/>
  <c r="J347"/>
  <c r="J346"/>
  <c r="J345"/>
  <c r="J344"/>
  <c r="J343"/>
  <c r="J342"/>
  <c r="J341"/>
  <c r="J340"/>
  <c r="J339"/>
  <c r="J338"/>
  <c r="J337"/>
  <c r="J336"/>
  <c r="J335"/>
  <c r="J334"/>
  <c r="J333"/>
  <c r="J332"/>
  <c r="J331"/>
  <c r="J330"/>
  <c r="J329"/>
  <c r="J328"/>
  <c r="J327"/>
  <c r="J326"/>
  <c r="J325"/>
  <c r="J324"/>
  <c r="J323"/>
  <c r="J322"/>
  <c r="J321"/>
  <c r="J320"/>
  <c r="J319"/>
  <c r="J318"/>
  <c r="J317"/>
  <c r="J316"/>
  <c r="J315"/>
  <c r="J314"/>
  <c r="J313"/>
  <c r="J312"/>
  <c r="J311"/>
  <c r="J310"/>
  <c r="J309"/>
  <c r="J308"/>
  <c r="J307"/>
  <c r="J306"/>
  <c r="J305"/>
  <c r="J304"/>
  <c r="J303"/>
  <c r="J302"/>
  <c r="J301"/>
  <c r="J300"/>
  <c r="J299"/>
  <c r="J298"/>
  <c r="J297"/>
  <c r="J296"/>
  <c r="J295"/>
  <c r="J294"/>
  <c r="J293"/>
  <c r="J292"/>
  <c r="J291"/>
  <c r="J290"/>
  <c r="J289"/>
  <c r="J288"/>
  <c r="J287"/>
  <c r="J286"/>
  <c r="J285"/>
  <c r="J284"/>
  <c r="J283"/>
  <c r="J282"/>
  <c r="J281"/>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J929" i="9"/>
  <c r="J928"/>
  <c r="J927"/>
  <c r="J926"/>
  <c r="J925"/>
  <c r="J924"/>
  <c r="J923"/>
  <c r="J922"/>
  <c r="J921"/>
  <c r="J920"/>
  <c r="J919"/>
  <c r="J918"/>
  <c r="J917"/>
  <c r="J916"/>
  <c r="J915"/>
  <c r="J914"/>
  <c r="J913"/>
  <c r="J912"/>
  <c r="J911"/>
  <c r="J910"/>
  <c r="J909"/>
  <c r="J908"/>
  <c r="J907"/>
  <c r="J906"/>
  <c r="J905"/>
  <c r="J904"/>
  <c r="J903"/>
  <c r="J902"/>
  <c r="J901"/>
  <c r="J900"/>
  <c r="J899"/>
  <c r="J898"/>
  <c r="J897"/>
  <c r="J896"/>
  <c r="J895"/>
  <c r="J894"/>
  <c r="J893"/>
  <c r="J892"/>
  <c r="J891"/>
  <c r="J890"/>
  <c r="J889"/>
  <c r="J888"/>
  <c r="J887"/>
  <c r="J886"/>
  <c r="J885"/>
  <c r="J884"/>
  <c r="J883"/>
  <c r="J882"/>
  <c r="J881"/>
  <c r="J880"/>
  <c r="J879"/>
  <c r="J878"/>
  <c r="J877"/>
  <c r="J876"/>
  <c r="J875"/>
  <c r="J874"/>
  <c r="J873"/>
  <c r="J872"/>
  <c r="J871"/>
  <c r="J870"/>
  <c r="J869"/>
  <c r="J868"/>
  <c r="J867"/>
  <c r="J866"/>
  <c r="J865"/>
  <c r="J864"/>
  <c r="J863"/>
  <c r="J862"/>
  <c r="J861"/>
  <c r="J860"/>
  <c r="J859"/>
  <c r="J858"/>
  <c r="J857"/>
  <c r="J856"/>
  <c r="J855"/>
  <c r="J854"/>
  <c r="J853"/>
  <c r="J852"/>
  <c r="J851"/>
  <c r="J850"/>
  <c r="J849"/>
  <c r="J848"/>
  <c r="J847"/>
  <c r="J846"/>
  <c r="J845"/>
  <c r="J844"/>
  <c r="J843"/>
  <c r="J842"/>
  <c r="J841"/>
  <c r="J840"/>
  <c r="J839"/>
  <c r="J838"/>
  <c r="J837"/>
  <c r="J836"/>
  <c r="J835"/>
  <c r="J834"/>
  <c r="J833"/>
  <c r="J832"/>
  <c r="J831"/>
  <c r="J830"/>
  <c r="J829"/>
  <c r="J828"/>
  <c r="J827"/>
  <c r="J826"/>
  <c r="J825"/>
  <c r="J824"/>
  <c r="J823"/>
  <c r="J822"/>
  <c r="J821"/>
  <c r="J820"/>
  <c r="J819"/>
  <c r="J818"/>
  <c r="J817"/>
  <c r="J816"/>
  <c r="J815"/>
  <c r="J814"/>
  <c r="J813"/>
  <c r="J812"/>
  <c r="J811"/>
  <c r="J810"/>
  <c r="J809"/>
  <c r="J808"/>
  <c r="J807"/>
  <c r="J806"/>
  <c r="J805"/>
  <c r="J804"/>
  <c r="J803"/>
  <c r="J802"/>
  <c r="J801"/>
  <c r="J800"/>
  <c r="J799"/>
  <c r="J798"/>
  <c r="J797"/>
  <c r="J796"/>
  <c r="J795"/>
  <c r="J794"/>
  <c r="J793"/>
  <c r="J792"/>
  <c r="J791"/>
  <c r="J790"/>
  <c r="J789"/>
  <c r="J788"/>
  <c r="J787"/>
  <c r="J786"/>
  <c r="J785"/>
  <c r="J784"/>
  <c r="J783"/>
  <c r="J782"/>
  <c r="J781"/>
  <c r="J780"/>
  <c r="J779"/>
  <c r="J778"/>
  <c r="J777"/>
  <c r="J776"/>
  <c r="J775"/>
  <c r="J774"/>
  <c r="J773"/>
  <c r="J772"/>
  <c r="J771"/>
  <c r="J770"/>
  <c r="J769"/>
  <c r="J768"/>
  <c r="J767"/>
  <c r="J766"/>
  <c r="J765"/>
  <c r="J764"/>
  <c r="J763"/>
  <c r="J762"/>
  <c r="J761"/>
  <c r="J760"/>
  <c r="J759"/>
  <c r="J758"/>
  <c r="J757"/>
  <c r="J756"/>
  <c r="J755"/>
  <c r="J754"/>
  <c r="J753"/>
  <c r="J752"/>
  <c r="J751"/>
  <c r="J750"/>
  <c r="J749"/>
  <c r="J748"/>
  <c r="J747"/>
  <c r="J746"/>
  <c r="J745"/>
  <c r="J744"/>
  <c r="J743"/>
  <c r="J742"/>
  <c r="J741"/>
  <c r="J740"/>
  <c r="J739"/>
  <c r="J738"/>
  <c r="J737"/>
  <c r="J736"/>
  <c r="J735"/>
  <c r="J734"/>
  <c r="J733"/>
  <c r="J732"/>
  <c r="J731"/>
  <c r="J730"/>
  <c r="J729"/>
  <c r="J728"/>
  <c r="J727"/>
  <c r="J726"/>
  <c r="J725"/>
  <c r="J724"/>
  <c r="J723"/>
  <c r="J722"/>
  <c r="J721"/>
  <c r="J720"/>
  <c r="J719"/>
  <c r="J718"/>
  <c r="J717"/>
  <c r="J716"/>
  <c r="J715"/>
  <c r="J714"/>
  <c r="J713"/>
  <c r="J712"/>
  <c r="J711"/>
  <c r="J710"/>
  <c r="J709"/>
  <c r="J708"/>
  <c r="J707"/>
  <c r="J706"/>
  <c r="J705"/>
  <c r="J704"/>
  <c r="J703"/>
  <c r="J702"/>
  <c r="J701"/>
  <c r="J700"/>
  <c r="J699"/>
  <c r="J698"/>
  <c r="J697"/>
  <c r="J696"/>
  <c r="J695"/>
  <c r="J694"/>
  <c r="J693"/>
  <c r="J692"/>
  <c r="J691"/>
  <c r="J690"/>
  <c r="J689"/>
  <c r="J688"/>
  <c r="J687"/>
  <c r="J686"/>
  <c r="J685"/>
  <c r="J684"/>
  <c r="J683"/>
  <c r="J682"/>
  <c r="J681"/>
  <c r="J680"/>
  <c r="J679"/>
  <c r="J678"/>
  <c r="J677"/>
  <c r="J676"/>
  <c r="J675"/>
  <c r="J674"/>
  <c r="J673"/>
  <c r="J672"/>
  <c r="J671"/>
  <c r="J670"/>
  <c r="J669"/>
  <c r="J668"/>
  <c r="J667"/>
  <c r="J666"/>
  <c r="J665"/>
  <c r="J664"/>
  <c r="J663"/>
  <c r="J662"/>
  <c r="J661"/>
  <c r="J660"/>
  <c r="J659"/>
  <c r="J658"/>
  <c r="J657"/>
  <c r="J656"/>
  <c r="J655"/>
  <c r="J654"/>
  <c r="J653"/>
  <c r="J652"/>
  <c r="J651"/>
  <c r="J650"/>
  <c r="J649"/>
  <c r="J648"/>
  <c r="J647"/>
  <c r="J646"/>
  <c r="J645"/>
  <c r="J644"/>
  <c r="J643"/>
  <c r="J642"/>
  <c r="J641"/>
  <c r="J640"/>
  <c r="J639"/>
  <c r="J638"/>
  <c r="J637"/>
  <c r="J636"/>
  <c r="J635"/>
  <c r="J634"/>
  <c r="J633"/>
  <c r="J632"/>
  <c r="J631"/>
  <c r="J630"/>
  <c r="J629"/>
  <c r="J628"/>
  <c r="J627"/>
  <c r="J626"/>
  <c r="J625"/>
  <c r="J624"/>
  <c r="J623"/>
  <c r="J622"/>
  <c r="J621"/>
  <c r="J620"/>
  <c r="J619"/>
  <c r="J618"/>
  <c r="J617"/>
  <c r="J616"/>
  <c r="J615"/>
  <c r="J614"/>
  <c r="J613"/>
  <c r="J612"/>
  <c r="J611"/>
  <c r="J610"/>
  <c r="J609"/>
  <c r="J608"/>
  <c r="J607"/>
  <c r="J606"/>
  <c r="J605"/>
  <c r="J604"/>
  <c r="J603"/>
  <c r="J602"/>
  <c r="J601"/>
  <c r="J600"/>
  <c r="J599"/>
  <c r="J598"/>
  <c r="J597"/>
  <c r="J596"/>
  <c r="J595"/>
  <c r="J594"/>
  <c r="J593"/>
  <c r="J592"/>
  <c r="J591"/>
  <c r="J590"/>
  <c r="J589"/>
  <c r="J588"/>
  <c r="J587"/>
  <c r="J586"/>
  <c r="J585"/>
  <c r="J584"/>
  <c r="J583"/>
  <c r="J582"/>
  <c r="J581"/>
  <c r="J580"/>
  <c r="J579"/>
  <c r="J578"/>
  <c r="J577"/>
  <c r="J576"/>
  <c r="J575"/>
  <c r="J574"/>
  <c r="J573"/>
  <c r="J572"/>
  <c r="J571"/>
  <c r="J570"/>
  <c r="J569"/>
  <c r="J568"/>
  <c r="J567"/>
  <c r="J566"/>
  <c r="J565"/>
  <c r="J564"/>
  <c r="J563"/>
  <c r="J562"/>
  <c r="J561"/>
  <c r="J560"/>
  <c r="J559"/>
  <c r="J558"/>
  <c r="J557"/>
  <c r="J556"/>
  <c r="J555"/>
  <c r="J554"/>
  <c r="J553"/>
  <c r="J552"/>
  <c r="J551"/>
  <c r="J550"/>
  <c r="J549"/>
  <c r="J548"/>
  <c r="J547"/>
  <c r="J546"/>
  <c r="J545"/>
  <c r="J544"/>
  <c r="J543"/>
  <c r="J542"/>
  <c r="J541"/>
  <c r="J540"/>
  <c r="J539"/>
  <c r="J538"/>
  <c r="J537"/>
  <c r="J536"/>
  <c r="J535"/>
  <c r="J534"/>
  <c r="J533"/>
  <c r="J532"/>
  <c r="J531"/>
  <c r="J530"/>
  <c r="J529"/>
  <c r="J528"/>
  <c r="J527"/>
  <c r="J526"/>
  <c r="J525"/>
  <c r="J524"/>
  <c r="J523"/>
  <c r="J522"/>
  <c r="J521"/>
  <c r="J520"/>
  <c r="J519"/>
  <c r="J518"/>
  <c r="J517"/>
  <c r="J516"/>
  <c r="J515"/>
  <c r="J514"/>
  <c r="J513"/>
  <c r="J512"/>
  <c r="J511"/>
  <c r="J510"/>
  <c r="J509"/>
  <c r="J508"/>
  <c r="J507"/>
  <c r="J506"/>
  <c r="J505"/>
  <c r="J504"/>
  <c r="J503"/>
  <c r="J502"/>
  <c r="J501"/>
  <c r="J500"/>
  <c r="J499"/>
  <c r="J498"/>
  <c r="J497"/>
  <c r="J496"/>
  <c r="J495"/>
  <c r="J494"/>
  <c r="J493"/>
  <c r="J492"/>
  <c r="J491"/>
  <c r="J490"/>
  <c r="J489"/>
  <c r="J488"/>
  <c r="J487"/>
  <c r="J486"/>
  <c r="J485"/>
  <c r="J484"/>
  <c r="J483"/>
  <c r="J482"/>
  <c r="J481"/>
  <c r="J480"/>
  <c r="J479"/>
  <c r="J478"/>
  <c r="J477"/>
  <c r="J476"/>
  <c r="J475"/>
  <c r="J474"/>
  <c r="J473"/>
  <c r="J472"/>
  <c r="J471"/>
  <c r="J470"/>
  <c r="J469"/>
  <c r="J468"/>
  <c r="J467"/>
  <c r="J466"/>
  <c r="J465"/>
  <c r="J464"/>
  <c r="J463"/>
  <c r="J462"/>
  <c r="J461"/>
  <c r="J460"/>
  <c r="J459"/>
  <c r="J458"/>
  <c r="J457"/>
  <c r="J456"/>
  <c r="J455"/>
  <c r="J454"/>
  <c r="J453"/>
  <c r="J452"/>
  <c r="J451"/>
  <c r="J450"/>
  <c r="J449"/>
  <c r="J448"/>
  <c r="J447"/>
  <c r="J446"/>
  <c r="J445"/>
  <c r="J444"/>
  <c r="J443"/>
  <c r="J442"/>
  <c r="J441"/>
  <c r="J440"/>
  <c r="J439"/>
  <c r="J438"/>
  <c r="J437"/>
  <c r="J436"/>
  <c r="J435"/>
  <c r="J434"/>
  <c r="J433"/>
  <c r="J432"/>
  <c r="J431"/>
  <c r="J430"/>
  <c r="J429"/>
  <c r="J428"/>
  <c r="J427"/>
  <c r="J426"/>
  <c r="J425"/>
  <c r="J424"/>
  <c r="J423"/>
  <c r="J422"/>
  <c r="J421"/>
  <c r="J420"/>
  <c r="J419"/>
  <c r="J418"/>
  <c r="J417"/>
  <c r="J416"/>
  <c r="J415"/>
  <c r="J414"/>
  <c r="J413"/>
  <c r="J412"/>
  <c r="J411"/>
  <c r="J410"/>
  <c r="J409"/>
  <c r="J408"/>
  <c r="J407"/>
  <c r="J406"/>
  <c r="J405"/>
  <c r="J404"/>
  <c r="J403"/>
  <c r="J402"/>
  <c r="J401"/>
  <c r="J400"/>
  <c r="J399"/>
  <c r="J398"/>
  <c r="J397"/>
  <c r="J396"/>
  <c r="J395"/>
  <c r="J394"/>
  <c r="J393"/>
  <c r="J392"/>
  <c r="J391"/>
  <c r="J390"/>
  <c r="J389"/>
  <c r="J388"/>
  <c r="J387"/>
  <c r="J386"/>
  <c r="J385"/>
  <c r="J384"/>
  <c r="J383"/>
  <c r="J382"/>
  <c r="J381"/>
  <c r="J380"/>
  <c r="J379"/>
  <c r="J378"/>
  <c r="J377"/>
  <c r="J376"/>
  <c r="J375"/>
  <c r="J374"/>
  <c r="J373"/>
  <c r="J372"/>
  <c r="J371"/>
  <c r="J370"/>
  <c r="J369"/>
  <c r="J368"/>
  <c r="J367"/>
  <c r="J366"/>
  <c r="J365"/>
  <c r="J364"/>
  <c r="J363"/>
  <c r="J362"/>
  <c r="J361"/>
  <c r="J360"/>
  <c r="J359"/>
  <c r="J358"/>
  <c r="J357"/>
  <c r="J356"/>
  <c r="J355"/>
  <c r="J354"/>
  <c r="J353"/>
  <c r="J352"/>
  <c r="J351"/>
  <c r="J350"/>
  <c r="J349"/>
  <c r="J348"/>
  <c r="J347"/>
  <c r="J346"/>
  <c r="J345"/>
  <c r="J344"/>
  <c r="J343"/>
  <c r="J342"/>
  <c r="J341"/>
  <c r="J340"/>
  <c r="J339"/>
  <c r="J338"/>
  <c r="J337"/>
  <c r="J336"/>
  <c r="J335"/>
  <c r="J334"/>
  <c r="J333"/>
  <c r="J332"/>
  <c r="J331"/>
  <c r="J330"/>
  <c r="J329"/>
  <c r="J328"/>
  <c r="J327"/>
  <c r="J326"/>
  <c r="J325"/>
  <c r="J324"/>
  <c r="J323"/>
  <c r="J322"/>
  <c r="J321"/>
  <c r="J320"/>
  <c r="J319"/>
  <c r="J318"/>
  <c r="J317"/>
  <c r="J316"/>
  <c r="J315"/>
  <c r="J314"/>
  <c r="J313"/>
  <c r="J312"/>
  <c r="J311"/>
  <c r="J310"/>
  <c r="J309"/>
  <c r="J308"/>
  <c r="J307"/>
  <c r="J306"/>
  <c r="J305"/>
  <c r="J304"/>
  <c r="J303"/>
  <c r="J302"/>
  <c r="J301"/>
  <c r="J300"/>
  <c r="J299"/>
  <c r="J298"/>
  <c r="J297"/>
  <c r="J296"/>
  <c r="J295"/>
  <c r="J294"/>
  <c r="J293"/>
  <c r="J292"/>
  <c r="J291"/>
  <c r="J290"/>
  <c r="J289"/>
  <c r="J288"/>
  <c r="J287"/>
  <c r="J286"/>
  <c r="J285"/>
  <c r="J284"/>
  <c r="J283"/>
  <c r="J282"/>
  <c r="J281"/>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J1368" i="8"/>
  <c r="J1367"/>
  <c r="J1366"/>
  <c r="J1365"/>
  <c r="J1364"/>
  <c r="J1363"/>
  <c r="J1362"/>
  <c r="J1361"/>
  <c r="J1360"/>
  <c r="J1359"/>
  <c r="J1358"/>
  <c r="J1357"/>
  <c r="J1356"/>
  <c r="J1355"/>
  <c r="J1354"/>
  <c r="J1353"/>
  <c r="J1352"/>
  <c r="J1351"/>
  <c r="J1350"/>
  <c r="J1349"/>
  <c r="J1348"/>
  <c r="J1347"/>
  <c r="J1346"/>
  <c r="J1345"/>
  <c r="J1344"/>
  <c r="J1343"/>
  <c r="J1342"/>
  <c r="J1341"/>
  <c r="J1340"/>
  <c r="J1339"/>
  <c r="J1338"/>
  <c r="J1337"/>
  <c r="J1336"/>
  <c r="J1335"/>
  <c r="J1334"/>
  <c r="J1333"/>
  <c r="J1332"/>
  <c r="J1331"/>
  <c r="J1330"/>
  <c r="J1329"/>
  <c r="J1328"/>
  <c r="J1327"/>
  <c r="J1326"/>
  <c r="J1325"/>
  <c r="J1324"/>
  <c r="J1323"/>
  <c r="J1322"/>
  <c r="J1321"/>
  <c r="J1320"/>
  <c r="J1319"/>
  <c r="J1318"/>
  <c r="J1317"/>
  <c r="J1316"/>
  <c r="J1315"/>
  <c r="J1314"/>
  <c r="J1313"/>
  <c r="J1312"/>
  <c r="J1311"/>
  <c r="J1310"/>
  <c r="J1309"/>
  <c r="J1308"/>
  <c r="J1307"/>
  <c r="J1306"/>
  <c r="J1305"/>
  <c r="J1304"/>
  <c r="J1303"/>
  <c r="J1302"/>
  <c r="J1301"/>
  <c r="J1300"/>
  <c r="J1299"/>
  <c r="J1298"/>
  <c r="J1297"/>
  <c r="J1296"/>
  <c r="J1295"/>
  <c r="J1294"/>
  <c r="J1293"/>
  <c r="J1292"/>
  <c r="J1291"/>
  <c r="J1290"/>
  <c r="J1289"/>
  <c r="J1288"/>
  <c r="J1287"/>
  <c r="J1286"/>
  <c r="J1285"/>
  <c r="J1284"/>
  <c r="J1283"/>
  <c r="J1282"/>
  <c r="J1281"/>
  <c r="J1280"/>
  <c r="J1279"/>
  <c r="J1278"/>
  <c r="J1277"/>
  <c r="J1276"/>
  <c r="J1275"/>
  <c r="J1274"/>
  <c r="J1273"/>
  <c r="J1272"/>
  <c r="J1271"/>
  <c r="J1270"/>
  <c r="J1269"/>
  <c r="J1268"/>
  <c r="J1267"/>
  <c r="J1266"/>
  <c r="J1265"/>
  <c r="J1264"/>
  <c r="J1263"/>
  <c r="J1262"/>
  <c r="J1261"/>
  <c r="J1260"/>
  <c r="J1259"/>
  <c r="J1258"/>
  <c r="J1257"/>
  <c r="J1256"/>
  <c r="J1255"/>
  <c r="J1254"/>
  <c r="J1253"/>
  <c r="J1252"/>
  <c r="J1251"/>
  <c r="J1250"/>
  <c r="J1249"/>
  <c r="J1248"/>
  <c r="J1247"/>
  <c r="J1246"/>
  <c r="J1245"/>
  <c r="J1244"/>
  <c r="J1243"/>
  <c r="J1242"/>
  <c r="J1241"/>
  <c r="J1240"/>
  <c r="J1239"/>
  <c r="J1238"/>
  <c r="J1237"/>
  <c r="J1236"/>
  <c r="J1235"/>
  <c r="J1234"/>
  <c r="J1233"/>
  <c r="J1232"/>
  <c r="J1231"/>
  <c r="J1230"/>
  <c r="J1229"/>
  <c r="J1228"/>
  <c r="J1227"/>
  <c r="J1226"/>
  <c r="J1225"/>
  <c r="J1224"/>
  <c r="J1223"/>
  <c r="J1222"/>
  <c r="J1221"/>
  <c r="J1220"/>
  <c r="J1219"/>
  <c r="J1218"/>
  <c r="J1217"/>
  <c r="J1216"/>
  <c r="J1215"/>
  <c r="J1214"/>
  <c r="J1213"/>
  <c r="J1212"/>
  <c r="J1211"/>
  <c r="J1210"/>
  <c r="J1209"/>
  <c r="J1208"/>
  <c r="J1207"/>
  <c r="J1206"/>
  <c r="J1205"/>
  <c r="J1204"/>
  <c r="J1203"/>
  <c r="J1202"/>
  <c r="J1201"/>
  <c r="J1200"/>
  <c r="J1199"/>
  <c r="J1198"/>
  <c r="J1197"/>
  <c r="J1196"/>
  <c r="J1195"/>
  <c r="J1194"/>
  <c r="J1193"/>
  <c r="J1192"/>
  <c r="J1191"/>
  <c r="J1190"/>
  <c r="J1189"/>
  <c r="J1188"/>
  <c r="J1187"/>
  <c r="J1186"/>
  <c r="J1185"/>
  <c r="J1184"/>
  <c r="J1183"/>
  <c r="J1182"/>
  <c r="J1181"/>
  <c r="J1180"/>
  <c r="J1179"/>
  <c r="J1178"/>
  <c r="J1177"/>
  <c r="J1176"/>
  <c r="J1175"/>
  <c r="J1174"/>
  <c r="J1173"/>
  <c r="J1172"/>
  <c r="J1171"/>
  <c r="J1170"/>
  <c r="J1169"/>
  <c r="J1168"/>
  <c r="J1167"/>
  <c r="J1166"/>
  <c r="J1165"/>
  <c r="J1164"/>
  <c r="J1163"/>
  <c r="J1162"/>
  <c r="J1161"/>
  <c r="J1160"/>
  <c r="J1159"/>
  <c r="J1158"/>
  <c r="J1157"/>
  <c r="J1156"/>
  <c r="J1155"/>
  <c r="J1154"/>
  <c r="J1153"/>
  <c r="J1152"/>
  <c r="J1151"/>
  <c r="J1150"/>
  <c r="J1149"/>
  <c r="J1148"/>
  <c r="J1147"/>
  <c r="J1146"/>
  <c r="J1145"/>
  <c r="J1144"/>
  <c r="J1143"/>
  <c r="J1142"/>
  <c r="J1141"/>
  <c r="J1140"/>
  <c r="J1139"/>
  <c r="J1138"/>
  <c r="J1137"/>
  <c r="J1136"/>
  <c r="J1135"/>
  <c r="J1134"/>
  <c r="J1133"/>
  <c r="J1132"/>
  <c r="J1131"/>
  <c r="J1130"/>
  <c r="J1129"/>
  <c r="J1128"/>
  <c r="J1127"/>
  <c r="J1126"/>
  <c r="J1125"/>
  <c r="J1124"/>
  <c r="J1123"/>
  <c r="J1122"/>
  <c r="J1121"/>
  <c r="J1120"/>
  <c r="J1119"/>
  <c r="J1118"/>
  <c r="J1117"/>
  <c r="J1116"/>
  <c r="J1115"/>
  <c r="J1114"/>
  <c r="J1113"/>
  <c r="J1112"/>
  <c r="J1111"/>
  <c r="J1110"/>
  <c r="J1109"/>
  <c r="J1108"/>
  <c r="J1107"/>
  <c r="J1106"/>
  <c r="J1105"/>
  <c r="J1104"/>
  <c r="J1103"/>
  <c r="J1102"/>
  <c r="J1101"/>
  <c r="J1100"/>
  <c r="J1099"/>
  <c r="J1098"/>
  <c r="J1097"/>
  <c r="J1096"/>
  <c r="J1095"/>
  <c r="J1094"/>
  <c r="J1093"/>
  <c r="J1092"/>
  <c r="J1091"/>
  <c r="J1090"/>
  <c r="J1089"/>
  <c r="J1088"/>
  <c r="J1087"/>
  <c r="J1086"/>
  <c r="J1085"/>
  <c r="J1084"/>
  <c r="J1083"/>
  <c r="J1082"/>
  <c r="J1081"/>
  <c r="J1080"/>
  <c r="J1079"/>
  <c r="J1078"/>
  <c r="J1077"/>
  <c r="J1076"/>
  <c r="J1075"/>
  <c r="J1074"/>
  <c r="J1073"/>
  <c r="J1072"/>
  <c r="J1071"/>
  <c r="J1070"/>
  <c r="J1069"/>
  <c r="J1068"/>
  <c r="J1067"/>
  <c r="J1066"/>
  <c r="J1065"/>
  <c r="J1064"/>
  <c r="J1063"/>
  <c r="J1062"/>
  <c r="J1061"/>
  <c r="J1060"/>
  <c r="J1059"/>
  <c r="J1058"/>
  <c r="J1057"/>
  <c r="J1056"/>
  <c r="J1055"/>
  <c r="J1054"/>
  <c r="J1053"/>
  <c r="J1052"/>
  <c r="J1051"/>
  <c r="J1050"/>
  <c r="J1049"/>
  <c r="J1048"/>
  <c r="J1047"/>
  <c r="J1046"/>
  <c r="J1045"/>
  <c r="J1044"/>
  <c r="J1043"/>
  <c r="J1042"/>
  <c r="J1041"/>
  <c r="J1040"/>
  <c r="J1039"/>
  <c r="J1038"/>
  <c r="J1037"/>
  <c r="J1036"/>
  <c r="J1035"/>
  <c r="J1034"/>
  <c r="J1033"/>
  <c r="J1032"/>
  <c r="J1031"/>
  <c r="J1030"/>
  <c r="J1029"/>
  <c r="J1028"/>
  <c r="J1027"/>
  <c r="J1026"/>
  <c r="J1025"/>
  <c r="J1024"/>
  <c r="J1023"/>
  <c r="J1022"/>
  <c r="J1021"/>
  <c r="J1020"/>
  <c r="J1019"/>
  <c r="J1018"/>
  <c r="J1017"/>
  <c r="J1016"/>
  <c r="J1015"/>
  <c r="J1014"/>
  <c r="J1013"/>
  <c r="J1012"/>
  <c r="J1011"/>
  <c r="J1010"/>
  <c r="J1009"/>
  <c r="J1008"/>
  <c r="J1007"/>
  <c r="J1006"/>
  <c r="J1005"/>
  <c r="J1004"/>
  <c r="J1003"/>
  <c r="J1002"/>
  <c r="J1001"/>
  <c r="J1000"/>
  <c r="J999"/>
  <c r="J998"/>
  <c r="J997"/>
  <c r="J996"/>
  <c r="J995"/>
  <c r="J994"/>
  <c r="J993"/>
  <c r="J992"/>
  <c r="J991"/>
  <c r="J990"/>
  <c r="J989"/>
  <c r="J988"/>
  <c r="J987"/>
  <c r="J986"/>
  <c r="J985"/>
  <c r="J984"/>
  <c r="J983"/>
  <c r="J982"/>
  <c r="J981"/>
  <c r="J980"/>
  <c r="J979"/>
  <c r="J978"/>
  <c r="J977"/>
  <c r="J976"/>
  <c r="J975"/>
  <c r="J974"/>
  <c r="J973"/>
  <c r="J972"/>
  <c r="J971"/>
  <c r="J970"/>
  <c r="J969"/>
  <c r="J968"/>
  <c r="J967"/>
  <c r="J966"/>
  <c r="J965"/>
  <c r="J964"/>
  <c r="J963"/>
  <c r="J962"/>
  <c r="J961"/>
  <c r="J960"/>
  <c r="J959"/>
  <c r="J958"/>
  <c r="J957"/>
  <c r="J956"/>
  <c r="J955"/>
  <c r="J954"/>
  <c r="J953"/>
  <c r="J952"/>
  <c r="J951"/>
  <c r="J950"/>
  <c r="J949"/>
  <c r="J948"/>
  <c r="J947"/>
  <c r="J946"/>
  <c r="J945"/>
  <c r="J944"/>
  <c r="J943"/>
  <c r="J942"/>
  <c r="J941"/>
  <c r="J940"/>
  <c r="J939"/>
  <c r="J938"/>
  <c r="J937"/>
  <c r="J936"/>
  <c r="J935"/>
  <c r="J934"/>
  <c r="J933"/>
  <c r="J932"/>
  <c r="J931"/>
  <c r="J930"/>
  <c r="J929"/>
  <c r="J928"/>
  <c r="J927"/>
  <c r="J926"/>
  <c r="J925"/>
  <c r="J924"/>
  <c r="J923"/>
  <c r="J922"/>
  <c r="J921"/>
  <c r="J920"/>
  <c r="J919"/>
  <c r="J918"/>
  <c r="J917"/>
  <c r="J916"/>
  <c r="J915"/>
  <c r="J914"/>
  <c r="J913"/>
  <c r="J912"/>
  <c r="J911"/>
  <c r="J910"/>
  <c r="J909"/>
  <c r="J908"/>
  <c r="J907"/>
  <c r="J906"/>
  <c r="J905"/>
  <c r="J904"/>
  <c r="J903"/>
  <c r="J902"/>
  <c r="J901"/>
  <c r="J900"/>
  <c r="J899"/>
  <c r="J898"/>
  <c r="J897"/>
  <c r="J896"/>
  <c r="J895"/>
  <c r="J894"/>
  <c r="J893"/>
  <c r="J892"/>
  <c r="J891"/>
  <c r="J890"/>
  <c r="J889"/>
  <c r="J888"/>
  <c r="J887"/>
  <c r="J886"/>
  <c r="J885"/>
  <c r="J884"/>
  <c r="J883"/>
  <c r="J882"/>
  <c r="J881"/>
  <c r="J880"/>
  <c r="J879"/>
  <c r="J878"/>
  <c r="J877"/>
  <c r="J876"/>
  <c r="J875"/>
  <c r="J874"/>
  <c r="J873"/>
  <c r="J872"/>
  <c r="J871"/>
  <c r="J870"/>
  <c r="J869"/>
  <c r="J868"/>
  <c r="J867"/>
  <c r="J866"/>
  <c r="J865"/>
  <c r="J864"/>
  <c r="J863"/>
  <c r="J862"/>
  <c r="J861"/>
  <c r="J860"/>
  <c r="J859"/>
  <c r="J858"/>
  <c r="J857"/>
  <c r="J856"/>
  <c r="J855"/>
  <c r="J854"/>
  <c r="J853"/>
  <c r="J852"/>
  <c r="J851"/>
  <c r="J850"/>
  <c r="J849"/>
  <c r="J848"/>
  <c r="J847"/>
  <c r="J846"/>
  <c r="J845"/>
  <c r="J844"/>
  <c r="J843"/>
  <c r="J842"/>
  <c r="J841"/>
  <c r="J840"/>
  <c r="J839"/>
  <c r="J838"/>
  <c r="J837"/>
  <c r="J836"/>
  <c r="J835"/>
  <c r="J834"/>
  <c r="J833"/>
  <c r="J832"/>
  <c r="J831"/>
  <c r="J830"/>
  <c r="J829"/>
  <c r="J828"/>
  <c r="J827"/>
  <c r="J826"/>
  <c r="J825"/>
  <c r="J824"/>
  <c r="J823"/>
  <c r="J822"/>
  <c r="J821"/>
  <c r="J820"/>
  <c r="J819"/>
  <c r="J818"/>
  <c r="J817"/>
  <c r="J816"/>
  <c r="J815"/>
  <c r="J814"/>
  <c r="J813"/>
  <c r="J812"/>
  <c r="J811"/>
  <c r="J810"/>
  <c r="J809"/>
  <c r="J808"/>
  <c r="J807"/>
  <c r="J806"/>
  <c r="J805"/>
  <c r="J804"/>
  <c r="J803"/>
  <c r="J802"/>
  <c r="J801"/>
  <c r="J800"/>
  <c r="J799"/>
  <c r="J798"/>
  <c r="J797"/>
  <c r="J796"/>
  <c r="J795"/>
  <c r="J794"/>
  <c r="J793"/>
  <c r="J792"/>
  <c r="J791"/>
  <c r="J790"/>
  <c r="J789"/>
  <c r="J788"/>
  <c r="J787"/>
  <c r="J786"/>
  <c r="J785"/>
  <c r="J784"/>
  <c r="J783"/>
  <c r="J782"/>
  <c r="J781"/>
  <c r="J780"/>
  <c r="J779"/>
  <c r="J778"/>
  <c r="J777"/>
  <c r="J776"/>
  <c r="J775"/>
  <c r="J774"/>
  <c r="J773"/>
  <c r="J772"/>
  <c r="J771"/>
  <c r="J770"/>
  <c r="J769"/>
  <c r="J768"/>
  <c r="J767"/>
  <c r="J766"/>
  <c r="J765"/>
  <c r="J764"/>
  <c r="J763"/>
  <c r="J762"/>
  <c r="J761"/>
  <c r="J760"/>
  <c r="J759"/>
  <c r="J758"/>
  <c r="J757"/>
  <c r="J756"/>
  <c r="J755"/>
  <c r="J754"/>
  <c r="J753"/>
  <c r="J752"/>
  <c r="J751"/>
  <c r="J750"/>
  <c r="J749"/>
  <c r="J748"/>
  <c r="J747"/>
  <c r="J746"/>
  <c r="J745"/>
  <c r="J744"/>
  <c r="J743"/>
  <c r="J742"/>
  <c r="J741"/>
  <c r="J740"/>
  <c r="J739"/>
  <c r="J738"/>
  <c r="J737"/>
  <c r="J736"/>
  <c r="J735"/>
  <c r="J734"/>
  <c r="J733"/>
  <c r="J732"/>
  <c r="J731"/>
  <c r="J730"/>
  <c r="J729"/>
  <c r="J728"/>
  <c r="J727"/>
  <c r="J726"/>
  <c r="J725"/>
  <c r="J724"/>
  <c r="J723"/>
  <c r="J722"/>
  <c r="J721"/>
  <c r="J720"/>
  <c r="J719"/>
  <c r="J718"/>
  <c r="J717"/>
  <c r="J716"/>
  <c r="J715"/>
  <c r="J714"/>
  <c r="J713"/>
  <c r="J712"/>
  <c r="J711"/>
  <c r="J710"/>
  <c r="J709"/>
  <c r="J708"/>
  <c r="J707"/>
  <c r="J706"/>
  <c r="J705"/>
  <c r="J704"/>
  <c r="J703"/>
  <c r="J702"/>
  <c r="J701"/>
  <c r="J700"/>
  <c r="J699"/>
  <c r="J698"/>
  <c r="J697"/>
  <c r="J696"/>
  <c r="J695"/>
  <c r="J694"/>
  <c r="J693"/>
  <c r="J692"/>
  <c r="J691"/>
  <c r="J690"/>
  <c r="J689"/>
  <c r="J688"/>
  <c r="J687"/>
  <c r="J686"/>
  <c r="J685"/>
  <c r="J684"/>
  <c r="J683"/>
  <c r="J682"/>
  <c r="J681"/>
  <c r="J680"/>
  <c r="J679"/>
  <c r="J678"/>
  <c r="J677"/>
  <c r="J676"/>
  <c r="J675"/>
  <c r="J674"/>
  <c r="J673"/>
  <c r="J672"/>
  <c r="J671"/>
  <c r="J670"/>
  <c r="J669"/>
  <c r="J668"/>
  <c r="J667"/>
  <c r="J666"/>
  <c r="J665"/>
  <c r="J664"/>
  <c r="J663"/>
  <c r="J662"/>
  <c r="J661"/>
  <c r="J660"/>
  <c r="J659"/>
  <c r="J658"/>
  <c r="J657"/>
  <c r="J656"/>
  <c r="J655"/>
  <c r="J654"/>
  <c r="J653"/>
  <c r="J652"/>
  <c r="J651"/>
  <c r="J650"/>
  <c r="J649"/>
  <c r="J648"/>
  <c r="J647"/>
  <c r="J646"/>
  <c r="J645"/>
  <c r="J644"/>
  <c r="J643"/>
  <c r="J642"/>
  <c r="J641"/>
  <c r="J640"/>
  <c r="J639"/>
  <c r="J638"/>
  <c r="J637"/>
  <c r="J636"/>
  <c r="J635"/>
  <c r="J634"/>
  <c r="J633"/>
  <c r="J632"/>
  <c r="J631"/>
  <c r="J630"/>
  <c r="J629"/>
  <c r="J628"/>
  <c r="J627"/>
  <c r="J626"/>
  <c r="J625"/>
  <c r="J624"/>
  <c r="J623"/>
  <c r="J622"/>
  <c r="J621"/>
  <c r="J620"/>
  <c r="J619"/>
  <c r="J618"/>
  <c r="J617"/>
  <c r="J616"/>
  <c r="J615"/>
  <c r="J614"/>
  <c r="J613"/>
  <c r="J612"/>
  <c r="J611"/>
  <c r="J610"/>
  <c r="J609"/>
  <c r="J608"/>
  <c r="J607"/>
  <c r="J606"/>
  <c r="J605"/>
  <c r="J604"/>
  <c r="J603"/>
  <c r="J602"/>
  <c r="J601"/>
  <c r="J600"/>
  <c r="J599"/>
  <c r="J598"/>
  <c r="J597"/>
  <c r="J596"/>
  <c r="J595"/>
  <c r="J594"/>
  <c r="J593"/>
  <c r="J592"/>
  <c r="J591"/>
  <c r="J590"/>
  <c r="J589"/>
  <c r="J588"/>
  <c r="J587"/>
  <c r="J586"/>
  <c r="J585"/>
  <c r="J584"/>
  <c r="J583"/>
  <c r="J582"/>
  <c r="J581"/>
  <c r="J580"/>
  <c r="J579"/>
  <c r="J578"/>
  <c r="J577"/>
  <c r="J576"/>
  <c r="J575"/>
  <c r="J574"/>
  <c r="J573"/>
  <c r="J572"/>
  <c r="J571"/>
  <c r="J570"/>
  <c r="J569"/>
  <c r="J568"/>
  <c r="J567"/>
  <c r="J566"/>
  <c r="J565"/>
  <c r="J564"/>
  <c r="J563"/>
  <c r="J562"/>
  <c r="J561"/>
  <c r="J560"/>
  <c r="J559"/>
  <c r="J558"/>
  <c r="J557"/>
  <c r="J556"/>
  <c r="J555"/>
  <c r="J554"/>
  <c r="J553"/>
  <c r="J552"/>
  <c r="J551"/>
  <c r="J550"/>
  <c r="J549"/>
  <c r="J548"/>
  <c r="J547"/>
  <c r="J546"/>
  <c r="J545"/>
  <c r="J544"/>
  <c r="J543"/>
  <c r="J542"/>
  <c r="J541"/>
  <c r="J540"/>
  <c r="J539"/>
  <c r="J538"/>
  <c r="J537"/>
  <c r="J536"/>
  <c r="J535"/>
  <c r="J534"/>
  <c r="J533"/>
  <c r="J532"/>
  <c r="J531"/>
  <c r="J530"/>
  <c r="J529"/>
  <c r="J528"/>
  <c r="J527"/>
  <c r="J526"/>
  <c r="J525"/>
  <c r="J524"/>
  <c r="J523"/>
  <c r="J522"/>
  <c r="J521"/>
  <c r="J520"/>
  <c r="J519"/>
  <c r="J518"/>
  <c r="J517"/>
  <c r="J516"/>
  <c r="J515"/>
  <c r="J514"/>
  <c r="J513"/>
  <c r="J512"/>
  <c r="J511"/>
  <c r="J510"/>
  <c r="J509"/>
  <c r="J508"/>
  <c r="J507"/>
  <c r="J506"/>
  <c r="J505"/>
  <c r="J504"/>
  <c r="J503"/>
  <c r="J502"/>
  <c r="J501"/>
  <c r="J500"/>
  <c r="J499"/>
  <c r="J498"/>
  <c r="J497"/>
  <c r="J496"/>
  <c r="J495"/>
  <c r="J494"/>
  <c r="J493"/>
  <c r="J492"/>
  <c r="J491"/>
  <c r="J490"/>
  <c r="J489"/>
  <c r="J488"/>
  <c r="J487"/>
  <c r="J486"/>
  <c r="J485"/>
  <c r="J484"/>
  <c r="J483"/>
  <c r="J482"/>
  <c r="J481"/>
  <c r="J480"/>
  <c r="J479"/>
  <c r="J478"/>
  <c r="J477"/>
  <c r="J476"/>
  <c r="J475"/>
  <c r="J474"/>
  <c r="J473"/>
  <c r="J472"/>
  <c r="J471"/>
  <c r="J470"/>
  <c r="J469"/>
  <c r="J468"/>
  <c r="J467"/>
  <c r="J466"/>
  <c r="J465"/>
  <c r="J464"/>
  <c r="J463"/>
  <c r="J462"/>
  <c r="J461"/>
  <c r="J460"/>
  <c r="J459"/>
  <c r="J458"/>
  <c r="J457"/>
  <c r="J456"/>
  <c r="J455"/>
  <c r="J454"/>
  <c r="J453"/>
  <c r="J452"/>
  <c r="J451"/>
  <c r="J450"/>
  <c r="J449"/>
  <c r="J448"/>
  <c r="J447"/>
  <c r="J446"/>
  <c r="J445"/>
  <c r="J444"/>
  <c r="J443"/>
  <c r="J442"/>
  <c r="J441"/>
  <c r="J440"/>
  <c r="J439"/>
  <c r="J438"/>
  <c r="J437"/>
  <c r="J436"/>
  <c r="J435"/>
  <c r="J434"/>
  <c r="J433"/>
  <c r="J432"/>
  <c r="J431"/>
  <c r="J430"/>
  <c r="J429"/>
  <c r="J428"/>
  <c r="J427"/>
  <c r="J426"/>
  <c r="J425"/>
  <c r="J424"/>
  <c r="J423"/>
  <c r="J422"/>
  <c r="J421"/>
  <c r="J420"/>
  <c r="J419"/>
  <c r="J418"/>
  <c r="J417"/>
  <c r="J416"/>
  <c r="J415"/>
  <c r="J414"/>
  <c r="J413"/>
  <c r="J412"/>
  <c r="J411"/>
  <c r="J410"/>
  <c r="J409"/>
  <c r="J408"/>
  <c r="J407"/>
  <c r="J406"/>
  <c r="J405"/>
  <c r="J404"/>
  <c r="J403"/>
  <c r="J402"/>
  <c r="J401"/>
  <c r="J400"/>
  <c r="J399"/>
  <c r="J398"/>
  <c r="J397"/>
  <c r="J396"/>
  <c r="J395"/>
  <c r="J394"/>
  <c r="J393"/>
  <c r="J392"/>
  <c r="J391"/>
  <c r="J390"/>
  <c r="J389"/>
  <c r="J388"/>
  <c r="J387"/>
  <c r="J386"/>
  <c r="J385"/>
  <c r="J384"/>
  <c r="J383"/>
  <c r="J382"/>
  <c r="J381"/>
  <c r="J380"/>
  <c r="J379"/>
  <c r="J378"/>
  <c r="J377"/>
  <c r="J376"/>
  <c r="J375"/>
  <c r="J374"/>
  <c r="J373"/>
  <c r="J372"/>
  <c r="J371"/>
  <c r="J370"/>
  <c r="J369"/>
  <c r="J368"/>
  <c r="J367"/>
  <c r="J366"/>
  <c r="J365"/>
  <c r="J364"/>
  <c r="J363"/>
  <c r="J362"/>
  <c r="J361"/>
  <c r="J360"/>
  <c r="J359"/>
  <c r="J358"/>
  <c r="J357"/>
  <c r="J356"/>
  <c r="J355"/>
  <c r="J354"/>
  <c r="J353"/>
  <c r="J352"/>
  <c r="J351"/>
  <c r="J350"/>
  <c r="J349"/>
  <c r="J348"/>
  <c r="J347"/>
  <c r="J346"/>
  <c r="J345"/>
  <c r="J344"/>
  <c r="J343"/>
  <c r="J342"/>
  <c r="J341"/>
  <c r="J340"/>
  <c r="J339"/>
  <c r="J338"/>
  <c r="J337"/>
  <c r="J336"/>
  <c r="J335"/>
  <c r="J334"/>
  <c r="J333"/>
  <c r="J332"/>
  <c r="J331"/>
  <c r="J330"/>
  <c r="J329"/>
  <c r="J328"/>
  <c r="J327"/>
  <c r="J326"/>
  <c r="J325"/>
  <c r="J324"/>
  <c r="J323"/>
  <c r="J322"/>
  <c r="J321"/>
  <c r="J320"/>
  <c r="J319"/>
  <c r="J318"/>
  <c r="J317"/>
  <c r="J316"/>
  <c r="J315"/>
  <c r="J314"/>
  <c r="J313"/>
  <c r="J312"/>
  <c r="J311"/>
  <c r="J310"/>
  <c r="J309"/>
  <c r="J308"/>
  <c r="J307"/>
  <c r="J306"/>
  <c r="J305"/>
  <c r="J304"/>
  <c r="J303"/>
  <c r="J302"/>
  <c r="J301"/>
  <c r="J300"/>
  <c r="J299"/>
  <c r="J298"/>
  <c r="J297"/>
  <c r="J296"/>
  <c r="J295"/>
  <c r="J294"/>
  <c r="J293"/>
  <c r="J292"/>
  <c r="J291"/>
  <c r="J290"/>
  <c r="J289"/>
  <c r="J288"/>
  <c r="J287"/>
  <c r="J286"/>
  <c r="J285"/>
  <c r="J284"/>
  <c r="J283"/>
  <c r="J282"/>
  <c r="J281"/>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J281" i="7"/>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J865" i="6"/>
  <c r="J864"/>
  <c r="J863"/>
  <c r="J862"/>
  <c r="J861"/>
  <c r="J860"/>
  <c r="J859"/>
  <c r="J858"/>
  <c r="J857"/>
  <c r="J856"/>
  <c r="J855"/>
  <c r="J854"/>
  <c r="J853"/>
  <c r="J852"/>
  <c r="J851"/>
  <c r="J850"/>
  <c r="J849"/>
  <c r="J848"/>
  <c r="J847"/>
  <c r="J846"/>
  <c r="J845"/>
  <c r="J844"/>
  <c r="J843"/>
  <c r="J842"/>
  <c r="J841"/>
  <c r="J840"/>
  <c r="J839"/>
  <c r="J838"/>
  <c r="J837"/>
  <c r="J836"/>
  <c r="J835"/>
  <c r="J834"/>
  <c r="J833"/>
  <c r="J832"/>
  <c r="J831"/>
  <c r="J830"/>
  <c r="J829"/>
  <c r="J828"/>
  <c r="J827"/>
  <c r="J826"/>
  <c r="J825"/>
  <c r="J824"/>
  <c r="J823"/>
  <c r="J822"/>
  <c r="J821"/>
  <c r="J820"/>
  <c r="J819"/>
  <c r="J818"/>
  <c r="J817"/>
  <c r="J816"/>
  <c r="J815"/>
  <c r="J814"/>
  <c r="J813"/>
  <c r="J812"/>
  <c r="J811"/>
  <c r="J810"/>
  <c r="J809"/>
  <c r="J808"/>
  <c r="J807"/>
  <c r="J806"/>
  <c r="J805"/>
  <c r="J804"/>
  <c r="J803"/>
  <c r="J802"/>
  <c r="J801"/>
  <c r="J800"/>
  <c r="J799"/>
  <c r="J798"/>
  <c r="J797"/>
  <c r="J796"/>
  <c r="J795"/>
  <c r="J794"/>
  <c r="J793"/>
  <c r="J792"/>
  <c r="J791"/>
  <c r="J790"/>
  <c r="J789"/>
  <c r="J788"/>
  <c r="J787"/>
  <c r="J786"/>
  <c r="J785"/>
  <c r="J784"/>
  <c r="J783"/>
  <c r="J782"/>
  <c r="J781"/>
  <c r="J780"/>
  <c r="J779"/>
  <c r="J778"/>
  <c r="J777"/>
  <c r="J776"/>
  <c r="J775"/>
  <c r="J774"/>
  <c r="J773"/>
  <c r="J772"/>
  <c r="J771"/>
  <c r="J770"/>
  <c r="J769"/>
  <c r="J768"/>
  <c r="J767"/>
  <c r="J766"/>
  <c r="J765"/>
  <c r="J764"/>
  <c r="J763"/>
  <c r="J762"/>
  <c r="J761"/>
  <c r="J760"/>
  <c r="J759"/>
  <c r="J758"/>
  <c r="J757"/>
  <c r="J756"/>
  <c r="J755"/>
  <c r="J754"/>
  <c r="J753"/>
  <c r="J752"/>
  <c r="J751"/>
  <c r="J750"/>
  <c r="J749"/>
  <c r="J748"/>
  <c r="J747"/>
  <c r="J746"/>
  <c r="J745"/>
  <c r="J744"/>
  <c r="J743"/>
  <c r="J742"/>
  <c r="J741"/>
  <c r="J740"/>
  <c r="J739"/>
  <c r="J738"/>
  <c r="J737"/>
  <c r="J736"/>
  <c r="J735"/>
  <c r="J734"/>
  <c r="J733"/>
  <c r="J732"/>
  <c r="J731"/>
  <c r="J730"/>
  <c r="J729"/>
  <c r="J728"/>
  <c r="J727"/>
  <c r="J726"/>
  <c r="J725"/>
  <c r="J724"/>
  <c r="J723"/>
  <c r="J722"/>
  <c r="J721"/>
  <c r="J720"/>
  <c r="J719"/>
  <c r="J718"/>
  <c r="J717"/>
  <c r="J716"/>
  <c r="J715"/>
  <c r="J714"/>
  <c r="J713"/>
  <c r="J712"/>
  <c r="J711"/>
  <c r="J710"/>
  <c r="J709"/>
  <c r="J708"/>
  <c r="J707"/>
  <c r="J706"/>
  <c r="J705"/>
  <c r="J704"/>
  <c r="J703"/>
  <c r="J702"/>
  <c r="J701"/>
  <c r="J700"/>
  <c r="J699"/>
  <c r="J698"/>
  <c r="J697"/>
  <c r="J696"/>
  <c r="J695"/>
  <c r="J694"/>
  <c r="J693"/>
  <c r="J692"/>
  <c r="J691"/>
  <c r="J690"/>
  <c r="J689"/>
  <c r="J688"/>
  <c r="J687"/>
  <c r="J686"/>
  <c r="J685"/>
  <c r="J684"/>
  <c r="J683"/>
  <c r="J682"/>
  <c r="J681"/>
  <c r="J680"/>
  <c r="J679"/>
  <c r="J678"/>
  <c r="J677"/>
  <c r="J676"/>
  <c r="J675"/>
  <c r="J674"/>
  <c r="J673"/>
  <c r="J672"/>
  <c r="J671"/>
  <c r="J670"/>
  <c r="J669"/>
  <c r="J668"/>
  <c r="J667"/>
  <c r="J666"/>
  <c r="J665"/>
  <c r="J664"/>
  <c r="J663"/>
  <c r="J662"/>
  <c r="J661"/>
  <c r="J660"/>
  <c r="J659"/>
  <c r="J658"/>
  <c r="J657"/>
  <c r="J656"/>
  <c r="J655"/>
  <c r="J654"/>
  <c r="J653"/>
  <c r="J652"/>
  <c r="J651"/>
  <c r="J650"/>
  <c r="J649"/>
  <c r="J648"/>
  <c r="J647"/>
  <c r="J646"/>
  <c r="J645"/>
  <c r="J644"/>
  <c r="J643"/>
  <c r="J642"/>
  <c r="J641"/>
  <c r="J640"/>
  <c r="J639"/>
  <c r="J638"/>
  <c r="J637"/>
  <c r="J636"/>
  <c r="J635"/>
  <c r="J634"/>
  <c r="J633"/>
  <c r="J632"/>
  <c r="J631"/>
  <c r="J630"/>
  <c r="J629"/>
  <c r="J628"/>
  <c r="J627"/>
  <c r="J626"/>
  <c r="J625"/>
  <c r="J624"/>
  <c r="J623"/>
  <c r="J622"/>
  <c r="J621"/>
  <c r="J620"/>
  <c r="J619"/>
  <c r="J618"/>
  <c r="J617"/>
  <c r="J616"/>
  <c r="J615"/>
  <c r="J614"/>
  <c r="J613"/>
  <c r="J612"/>
  <c r="J611"/>
  <c r="J610"/>
  <c r="J609"/>
  <c r="J608"/>
  <c r="J607"/>
  <c r="J606"/>
  <c r="J605"/>
  <c r="J604"/>
  <c r="J603"/>
  <c r="J602"/>
  <c r="J601"/>
  <c r="J600"/>
  <c r="J599"/>
  <c r="J598"/>
  <c r="J597"/>
  <c r="J596"/>
  <c r="J595"/>
  <c r="J594"/>
  <c r="J593"/>
  <c r="J592"/>
  <c r="J591"/>
  <c r="J590"/>
  <c r="J589"/>
  <c r="J588"/>
  <c r="J587"/>
  <c r="J586"/>
  <c r="J585"/>
  <c r="J584"/>
  <c r="J583"/>
  <c r="J582"/>
  <c r="J581"/>
  <c r="J580"/>
  <c r="J579"/>
  <c r="J578"/>
  <c r="J577"/>
  <c r="J576"/>
  <c r="J575"/>
  <c r="J574"/>
  <c r="J573"/>
  <c r="J572"/>
  <c r="J571"/>
  <c r="J570"/>
  <c r="J569"/>
  <c r="J568"/>
  <c r="J567"/>
  <c r="J566"/>
  <c r="J565"/>
  <c r="J564"/>
  <c r="J563"/>
  <c r="J562"/>
  <c r="J561"/>
  <c r="J560"/>
  <c r="J559"/>
  <c r="J558"/>
  <c r="J557"/>
  <c r="J556"/>
  <c r="J555"/>
  <c r="J554"/>
  <c r="J553"/>
  <c r="J552"/>
  <c r="J551"/>
  <c r="J550"/>
  <c r="J549"/>
  <c r="J548"/>
  <c r="J547"/>
  <c r="J546"/>
  <c r="J545"/>
  <c r="J544"/>
  <c r="J543"/>
  <c r="J542"/>
  <c r="J541"/>
  <c r="J540"/>
  <c r="J539"/>
  <c r="J538"/>
  <c r="J537"/>
  <c r="J536"/>
  <c r="J535"/>
  <c r="J534"/>
  <c r="J533"/>
  <c r="J532"/>
  <c r="J531"/>
  <c r="J530"/>
  <c r="J529"/>
  <c r="J528"/>
  <c r="J527"/>
  <c r="J526"/>
  <c r="J525"/>
  <c r="J524"/>
  <c r="J523"/>
  <c r="J522"/>
  <c r="J521"/>
  <c r="J520"/>
  <c r="J519"/>
  <c r="J518"/>
  <c r="J517"/>
  <c r="J516"/>
  <c r="J515"/>
  <c r="J514"/>
  <c r="J513"/>
  <c r="J512"/>
  <c r="J511"/>
  <c r="J510"/>
  <c r="J509"/>
  <c r="J508"/>
  <c r="J507"/>
  <c r="J506"/>
  <c r="J505"/>
  <c r="J504"/>
  <c r="J503"/>
  <c r="J502"/>
  <c r="J501"/>
  <c r="J500"/>
  <c r="J499"/>
  <c r="J498"/>
  <c r="J497"/>
  <c r="J496"/>
  <c r="J495"/>
  <c r="J494"/>
  <c r="J493"/>
  <c r="J492"/>
  <c r="J491"/>
  <c r="J490"/>
  <c r="J489"/>
  <c r="J488"/>
  <c r="J487"/>
  <c r="J486"/>
  <c r="J485"/>
  <c r="J484"/>
  <c r="J483"/>
  <c r="J482"/>
  <c r="J481"/>
  <c r="J480"/>
  <c r="J479"/>
  <c r="J478"/>
  <c r="J477"/>
  <c r="J476"/>
  <c r="J475"/>
  <c r="J474"/>
  <c r="J473"/>
  <c r="J472"/>
  <c r="J471"/>
  <c r="J470"/>
  <c r="J469"/>
  <c r="J468"/>
  <c r="J467"/>
  <c r="J466"/>
  <c r="J465"/>
  <c r="J464"/>
  <c r="J463"/>
  <c r="J462"/>
  <c r="J461"/>
  <c r="J460"/>
  <c r="J459"/>
  <c r="J458"/>
  <c r="J457"/>
  <c r="J456"/>
  <c r="J455"/>
  <c r="J454"/>
  <c r="J453"/>
  <c r="J452"/>
  <c r="J451"/>
  <c r="J450"/>
  <c r="J449"/>
  <c r="J448"/>
  <c r="J447"/>
  <c r="J446"/>
  <c r="J445"/>
  <c r="J444"/>
  <c r="J443"/>
  <c r="J442"/>
  <c r="J441"/>
  <c r="J440"/>
  <c r="J439"/>
  <c r="J438"/>
  <c r="J437"/>
  <c r="J436"/>
  <c r="J435"/>
  <c r="J434"/>
  <c r="J433"/>
  <c r="J432"/>
  <c r="J431"/>
  <c r="J430"/>
  <c r="J429"/>
  <c r="J428"/>
  <c r="J427"/>
  <c r="J426"/>
  <c r="J425"/>
  <c r="J424"/>
  <c r="J423"/>
  <c r="J422"/>
  <c r="J421"/>
  <c r="J420"/>
  <c r="J419"/>
  <c r="J418"/>
  <c r="J417"/>
  <c r="J416"/>
  <c r="J415"/>
  <c r="J414"/>
  <c r="J413"/>
  <c r="J412"/>
  <c r="J411"/>
  <c r="J410"/>
  <c r="J409"/>
  <c r="J408"/>
  <c r="J407"/>
  <c r="J406"/>
  <c r="J405"/>
  <c r="J404"/>
  <c r="J403"/>
  <c r="J402"/>
  <c r="J401"/>
  <c r="J400"/>
  <c r="J399"/>
  <c r="J398"/>
  <c r="J397"/>
  <c r="J396"/>
  <c r="J395"/>
  <c r="J394"/>
  <c r="J393"/>
  <c r="J392"/>
  <c r="J391"/>
  <c r="J390"/>
  <c r="J389"/>
  <c r="J388"/>
  <c r="J387"/>
  <c r="J386"/>
  <c r="J385"/>
  <c r="J384"/>
  <c r="J383"/>
  <c r="J382"/>
  <c r="J381"/>
  <c r="J380"/>
  <c r="J379"/>
  <c r="J378"/>
  <c r="J377"/>
  <c r="J376"/>
  <c r="J375"/>
  <c r="J374"/>
  <c r="J373"/>
  <c r="J372"/>
  <c r="J371"/>
  <c r="J370"/>
  <c r="J369"/>
  <c r="J368"/>
  <c r="J367"/>
  <c r="J366"/>
  <c r="J365"/>
  <c r="J364"/>
  <c r="J363"/>
  <c r="J362"/>
  <c r="J361"/>
  <c r="J360"/>
  <c r="J359"/>
  <c r="J358"/>
  <c r="J357"/>
  <c r="J356"/>
  <c r="J355"/>
  <c r="J354"/>
  <c r="J353"/>
  <c r="J352"/>
  <c r="J351"/>
  <c r="J350"/>
  <c r="J349"/>
  <c r="J348"/>
  <c r="J347"/>
  <c r="J346"/>
  <c r="J345"/>
  <c r="J344"/>
  <c r="J343"/>
  <c r="J342"/>
  <c r="J341"/>
  <c r="J340"/>
  <c r="J339"/>
  <c r="J338"/>
  <c r="J337"/>
  <c r="J336"/>
  <c r="J335"/>
  <c r="J334"/>
  <c r="J333"/>
  <c r="J332"/>
  <c r="J331"/>
  <c r="J330"/>
  <c r="J329"/>
  <c r="J328"/>
  <c r="J327"/>
  <c r="J326"/>
  <c r="J325"/>
  <c r="J324"/>
  <c r="J323"/>
  <c r="J322"/>
  <c r="J321"/>
  <c r="J320"/>
  <c r="J319"/>
  <c r="J318"/>
  <c r="J317"/>
  <c r="J316"/>
  <c r="J315"/>
  <c r="J314"/>
  <c r="J313"/>
  <c r="J312"/>
  <c r="J311"/>
  <c r="J310"/>
  <c r="J309"/>
  <c r="J308"/>
  <c r="J307"/>
  <c r="J306"/>
  <c r="J305"/>
  <c r="J304"/>
  <c r="J303"/>
  <c r="J302"/>
  <c r="J301"/>
  <c r="J300"/>
  <c r="J299"/>
  <c r="J298"/>
  <c r="J297"/>
  <c r="J296"/>
  <c r="J295"/>
  <c r="J294"/>
  <c r="J293"/>
  <c r="J292"/>
  <c r="J291"/>
  <c r="J290"/>
  <c r="J289"/>
  <c r="J288"/>
  <c r="J287"/>
  <c r="J286"/>
  <c r="J285"/>
  <c r="J284"/>
  <c r="J283"/>
  <c r="J282"/>
  <c r="J281"/>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J260" i="5"/>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J361" i="4"/>
  <c r="J360"/>
  <c r="J359"/>
  <c r="J358"/>
  <c r="J357"/>
  <c r="J356"/>
  <c r="J355"/>
  <c r="J354"/>
  <c r="J353"/>
  <c r="J352"/>
  <c r="J351"/>
  <c r="J350"/>
  <c r="J349"/>
  <c r="J348"/>
  <c r="J347"/>
  <c r="J346"/>
  <c r="J345"/>
  <c r="J344"/>
  <c r="J343"/>
  <c r="J342"/>
  <c r="J341"/>
  <c r="J340"/>
  <c r="J339"/>
  <c r="J338"/>
  <c r="J337"/>
  <c r="J336"/>
  <c r="J335"/>
  <c r="J334"/>
  <c r="J333"/>
  <c r="J332"/>
  <c r="J331"/>
  <c r="J330"/>
  <c r="J329"/>
  <c r="J328"/>
  <c r="J327"/>
  <c r="J326"/>
  <c r="J325"/>
  <c r="J324"/>
  <c r="J323"/>
  <c r="J322"/>
  <c r="J321"/>
  <c r="J320"/>
  <c r="J319"/>
  <c r="J318"/>
  <c r="J317"/>
  <c r="J316"/>
  <c r="J315"/>
  <c r="J314"/>
  <c r="J313"/>
  <c r="J312"/>
  <c r="J311"/>
  <c r="J310"/>
  <c r="J309"/>
  <c r="J308"/>
  <c r="J307"/>
  <c r="J306"/>
  <c r="J305"/>
  <c r="J304"/>
  <c r="J303"/>
  <c r="J302"/>
  <c r="J301"/>
  <c r="J300"/>
  <c r="J299"/>
  <c r="J298"/>
  <c r="J297"/>
  <c r="J296"/>
  <c r="J295"/>
  <c r="J294"/>
  <c r="J293"/>
  <c r="J292"/>
  <c r="J291"/>
  <c r="J290"/>
  <c r="J289"/>
  <c r="J288"/>
  <c r="J287"/>
  <c r="J286"/>
  <c r="J285"/>
  <c r="J284"/>
  <c r="J283"/>
  <c r="J282"/>
  <c r="J281"/>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J75" i="3"/>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J3"/>
  <c r="J2"/>
  <c r="F13" i="1"/>
  <c r="F12"/>
  <c r="F11"/>
  <c r="F10"/>
  <c r="F9"/>
  <c r="F8"/>
  <c r="F7"/>
  <c r="F6"/>
  <c r="F5"/>
</calcChain>
</file>

<file path=xl/sharedStrings.xml><?xml version="1.0" encoding="utf-8"?>
<sst xmlns="http://schemas.openxmlformats.org/spreadsheetml/2006/main" count="45571" uniqueCount="10326">
  <si>
    <t>CodeChef Practice Master Index</t>
  </si>
  <si>
    <t>Complete Master Directory of Practice Sections and Paths</t>
  </si>
  <si>
    <t>Section Index</t>
  </si>
  <si>
    <t>Section Name</t>
  </si>
  <si>
    <t>Practice Paths</t>
  </si>
  <si>
    <t>Total Problems</t>
  </si>
  <si>
    <t>Worksheet Name</t>
  </si>
  <si>
    <t>Official URL</t>
  </si>
  <si>
    <t>Beginner DSA</t>
  </si>
  <si>
    <t>Data Structures</t>
  </si>
  <si>
    <t>Algorithms</t>
  </si>
  <si>
    <t>Difficulty Rating Wise</t>
  </si>
  <si>
    <t>Star Wise Paths</t>
  </si>
  <si>
    <t>Interview Questions</t>
  </si>
  <si>
    <t>Other Practice Paths</t>
  </si>
  <si>
    <t>Company Based Questions</t>
  </si>
  <si>
    <t>Advanced Coding Challenges</t>
  </si>
  <si>
    <t>CodeChef Practice Data Crawl Summary</t>
  </si>
  <si>
    <t>Metric</t>
  </si>
  <si>
    <t>Value</t>
  </si>
  <si>
    <t>Total Sections</t>
  </si>
  <si>
    <t>Total Practice Paths</t>
  </si>
  <si>
    <t>Total Problems Extracted</t>
  </si>
  <si>
    <t>Expected Problems Total</t>
  </si>
  <si>
    <t>Problem Count Difference</t>
  </si>
  <si>
    <t>Path Verification Pass Rate</t>
  </si>
  <si>
    <t>100.0%</t>
  </si>
  <si>
    <t>Validation Status</t>
  </si>
  <si>
    <t>100% COMPLETE &amp; VERIFIED</t>
  </si>
  <si>
    <t>Section</t>
  </si>
  <si>
    <t>Practice Path</t>
  </si>
  <si>
    <t>Description</t>
  </si>
  <si>
    <t>Lesson</t>
  </si>
  <si>
    <t>Problem Order</t>
  </si>
  <si>
    <t>Problem Name</t>
  </si>
  <si>
    <t>Problem Code</t>
  </si>
  <si>
    <t>Difficulty Rating</t>
  </si>
  <si>
    <t>Difficulty Label</t>
  </si>
  <si>
    <t>Estimated Time</t>
  </si>
  <si>
    <t>Tags</t>
  </si>
  <si>
    <t>Companies</t>
  </si>
  <si>
    <t>Certificate</t>
  </si>
  <si>
    <t>Status</t>
  </si>
  <si>
    <t>Practice Strings</t>
  </si>
  <si>
    <t>Solve these beginner level questions on Strings and prepare yourself for handling text based data.</t>
  </si>
  <si>
    <t>Strings - Strings basic</t>
  </si>
  <si>
    <t>World Chess Championship</t>
  </si>
  <si>
    <t>WCC</t>
  </si>
  <si>
    <t>935</t>
  </si>
  <si>
    <t>Easy</t>
  </si>
  <si>
    <t>No</t>
  </si>
  <si>
    <t>Unattempted</t>
  </si>
  <si>
    <t>DDMM or MMDD</t>
  </si>
  <si>
    <t>DDMMORMMDD</t>
  </si>
  <si>
    <t>992</t>
  </si>
  <si>
    <t>Largest Odd Substring</t>
  </si>
  <si>
    <t>LARGODDSTRIN</t>
  </si>
  <si>
    <t>mayank_pardhi</t>
  </si>
  <si>
    <t>Convert String to Title Case</t>
  </si>
  <si>
    <t>TITLECASE</t>
  </si>
  <si>
    <t>900</t>
  </si>
  <si>
    <t>Studying Alphabet</t>
  </si>
  <si>
    <t>ALPHABET</t>
  </si>
  <si>
    <t>1123</t>
  </si>
  <si>
    <t>Malvika is peculiar about color of balloons</t>
  </si>
  <si>
    <t>CHN09</t>
  </si>
  <si>
    <t>988</t>
  </si>
  <si>
    <t>Algorithms, Brute Force, Implementation</t>
  </si>
  <si>
    <t>N Buttons 1 Bulb</t>
  </si>
  <si>
    <t>ON_OFF</t>
  </si>
  <si>
    <t>977</t>
  </si>
  <si>
    <t>Play Piano</t>
  </si>
  <si>
    <t>PLAYPIAN</t>
  </si>
  <si>
    <t>980</t>
  </si>
  <si>
    <t>Chef and Feedback</t>
  </si>
  <si>
    <t>ERROR</t>
  </si>
  <si>
    <t>1199</t>
  </si>
  <si>
    <t>Practice Arrays</t>
  </si>
  <si>
    <t>Solve Arrays coding problems to start learning data structures and algorithms.</t>
  </si>
  <si>
    <t>Arrays - Basic arrays</t>
  </si>
  <si>
    <t>Search an element in an array</t>
  </si>
  <si>
    <t>SEARCHINARR</t>
  </si>
  <si>
    <t>600</t>
  </si>
  <si>
    <t>Find maximum in an Array</t>
  </si>
  <si>
    <t>UWCOI20A</t>
  </si>
  <si>
    <t>650</t>
  </si>
  <si>
    <t>Largest and Second Largest</t>
  </si>
  <si>
    <t>LARGESECOND</t>
  </si>
  <si>
    <t>928</t>
  </si>
  <si>
    <t>Arrays using C++, Basic Programming Concepts, CPP, Loops</t>
  </si>
  <si>
    <t>MIN To MAX</t>
  </si>
  <si>
    <t>OPMIN</t>
  </si>
  <si>
    <t>838</t>
  </si>
  <si>
    <t>Copy and Paste</t>
  </si>
  <si>
    <t>NCOPIES</t>
  </si>
  <si>
    <t>1745</t>
  </si>
  <si>
    <t>Medium</t>
  </si>
  <si>
    <t>Algorithms, Basic Math, Binary Search, Data Structures, Mathematics, Prefix Sum, Searching, Simple Algos, String, Suffix Sum</t>
  </si>
  <si>
    <t>Red Light, Green Light</t>
  </si>
  <si>
    <t>DOLL</t>
  </si>
  <si>
    <t>984</t>
  </si>
  <si>
    <t>1D Arrays, Algorithms, Arrays, Constructive, Data Structures, Observation, ad-hoc</t>
  </si>
  <si>
    <t>Compress the Video</t>
  </si>
  <si>
    <t>COMPRESSVD</t>
  </si>
  <si>
    <t>940</t>
  </si>
  <si>
    <t>Data Structures, String</t>
  </si>
  <si>
    <t>Difficulty Rating Order</t>
  </si>
  <si>
    <t>RATINGINPRAC</t>
  </si>
  <si>
    <t>930</t>
  </si>
  <si>
    <t>The Squid Game</t>
  </si>
  <si>
    <t>SQUIDRULE</t>
  </si>
  <si>
    <t>970</t>
  </si>
  <si>
    <t>Chef and Consecutive Ones</t>
  </si>
  <si>
    <t>MAXCONSECU</t>
  </si>
  <si>
    <t>CodeChef Streak</t>
  </si>
  <si>
    <t>CS2023_STK</t>
  </si>
  <si>
    <t>1009</t>
  </si>
  <si>
    <t>Algorithms, Basic Programming Concepts, Implementation, Loops</t>
  </si>
  <si>
    <t>Arrays - Additional practice</t>
  </si>
  <si>
    <t>Snapchat</t>
  </si>
  <si>
    <t>SNAPCHAT</t>
  </si>
  <si>
    <t>965</t>
  </si>
  <si>
    <t>Cost of Groceries</t>
  </si>
  <si>
    <t>KITCHENCOST</t>
  </si>
  <si>
    <t>799</t>
  </si>
  <si>
    <t>Basic Programming Concepts</t>
  </si>
  <si>
    <t>Take discount or Not</t>
  </si>
  <si>
    <t>DISCOUNTT</t>
  </si>
  <si>
    <t>700</t>
  </si>
  <si>
    <t>Running Comparison</t>
  </si>
  <si>
    <t>RUNCOMPARE</t>
  </si>
  <si>
    <t>899</t>
  </si>
  <si>
    <t>Sum of Smaller Elements</t>
  </si>
  <si>
    <t>SMLSUM</t>
  </si>
  <si>
    <t>Workers</t>
  </si>
  <si>
    <t>CHEFWORK</t>
  </si>
  <si>
    <t>1146</t>
  </si>
  <si>
    <t>Bomb the base</t>
  </si>
  <si>
    <t>BOMBTHEBASE</t>
  </si>
  <si>
    <t>982</t>
  </si>
  <si>
    <t>Algorithms, Greedy</t>
  </si>
  <si>
    <t>Kitchen Timetable</t>
  </si>
  <si>
    <t>KTTABLE</t>
  </si>
  <si>
    <t>997</t>
  </si>
  <si>
    <t>Basic Programming Concepts, Conditional Statements, Loops</t>
  </si>
  <si>
    <t>Cops and the Thief Devu</t>
  </si>
  <si>
    <t>COPS</t>
  </si>
  <si>
    <t>1242</t>
  </si>
  <si>
    <t>Find the peak elements in an array</t>
  </si>
  <si>
    <t>PEAKINARRAY</t>
  </si>
  <si>
    <t>950</t>
  </si>
  <si>
    <t>Count of Maximum</t>
  </si>
  <si>
    <t>MAXCOUNT</t>
  </si>
  <si>
    <t>1180</t>
  </si>
  <si>
    <t>easy, feb12, nikhil_adm</t>
  </si>
  <si>
    <t>Candies</t>
  </si>
  <si>
    <t>CNDY</t>
  </si>
  <si>
    <t>1018</t>
  </si>
  <si>
    <t>Basic Programming Concepts, Loops</t>
  </si>
  <si>
    <t>Missing number in permutation</t>
  </si>
  <si>
    <t>MISSINPERM</t>
  </si>
  <si>
    <t>Single number in multiple numbers</t>
  </si>
  <si>
    <t>SINGLENUM</t>
  </si>
  <si>
    <t>Array - Pascals or Khayyams triangle</t>
  </si>
  <si>
    <t>PREP01</t>
  </si>
  <si>
    <t>Arrays - Prefix sums</t>
  </si>
  <si>
    <t>Creating Prefix Array</t>
  </si>
  <si>
    <t>PREFPRO1</t>
  </si>
  <si>
    <t>Optimization Using Prefix Array</t>
  </si>
  <si>
    <t>PREFPRO2</t>
  </si>
  <si>
    <t>Counting Pretty Numbers</t>
  </si>
  <si>
    <t>NUM239</t>
  </si>
  <si>
    <t>873</t>
  </si>
  <si>
    <t>Algorithms, Brute Force, Prefix Sum, Simple Algos</t>
  </si>
  <si>
    <t>Little Chef and Sums</t>
  </si>
  <si>
    <t>CHEFSUM</t>
  </si>
  <si>
    <t>1252</t>
  </si>
  <si>
    <t>Algorithms, Prefix Sum, Simple Algos, Suffix Sum</t>
  </si>
  <si>
    <t>Suffix Arrays</t>
  </si>
  <si>
    <t>PREFPRO5</t>
  </si>
  <si>
    <t>1200</t>
  </si>
  <si>
    <t>Practice Basic Math</t>
  </si>
  <si>
    <t>Basic Math includes problems on topics like arithmetic, sequences, and counting, which are fundamental to proper understanding of algorithmic logic.</t>
  </si>
  <si>
    <t>Basic Math - Free problems</t>
  </si>
  <si>
    <t>Fitness</t>
  </si>
  <si>
    <t>FIT</t>
  </si>
  <si>
    <t>258</t>
  </si>
  <si>
    <t>Basic Math, Basic Programming Concepts, Mathematics</t>
  </si>
  <si>
    <t>Second Max of Three Numbers</t>
  </si>
  <si>
    <t>SNDMAX</t>
  </si>
  <si>
    <t>300</t>
  </si>
  <si>
    <t>Chef and Chocolates</t>
  </si>
  <si>
    <t>CCHOCOLATES</t>
  </si>
  <si>
    <t>405</t>
  </si>
  <si>
    <t>Basic Math, Mathematics</t>
  </si>
  <si>
    <t>Find Remainder</t>
  </si>
  <si>
    <t>FLOW002</t>
  </si>
  <si>
    <t>421</t>
  </si>
  <si>
    <t>Algorithms, Brute Force, Mathematics, Modular Arithmetic</t>
  </si>
  <si>
    <t>Candy Store</t>
  </si>
  <si>
    <t>CANDYSTORE</t>
  </si>
  <si>
    <t>429</t>
  </si>
  <si>
    <t>Mathematics</t>
  </si>
  <si>
    <t>Scalene Triangle</t>
  </si>
  <si>
    <t>SCALENE</t>
  </si>
  <si>
    <t>430</t>
  </si>
  <si>
    <t>Sum of Digits</t>
  </si>
  <si>
    <t>FLOW006</t>
  </si>
  <si>
    <t>455</t>
  </si>
  <si>
    <t>Algorithms, Basic Math, Implementation, Mathematics</t>
  </si>
  <si>
    <t>Favourite Numbers</t>
  </si>
  <si>
    <t>FAVOURITENUM</t>
  </si>
  <si>
    <t>477</t>
  </si>
  <si>
    <t>Basic Math, Basic Programming Concepts, Conditional Statements, Mathematics</t>
  </si>
  <si>
    <t>Basic Math - Premium Problems</t>
  </si>
  <si>
    <t>Test Averages</t>
  </si>
  <si>
    <t>TESTAVG</t>
  </si>
  <si>
    <t>558</t>
  </si>
  <si>
    <t>7 Rings</t>
  </si>
  <si>
    <t>SEVENRINGS</t>
  </si>
  <si>
    <t>568</t>
  </si>
  <si>
    <t>Make AP</t>
  </si>
  <si>
    <t>MAKEAP</t>
  </si>
  <si>
    <t>577</t>
  </si>
  <si>
    <t>Integers that sum to the same value</t>
  </si>
  <si>
    <t>SUMNEQ</t>
  </si>
  <si>
    <t>592</t>
  </si>
  <si>
    <t>Minimum Number of Ones</t>
  </si>
  <si>
    <t>MINNOO</t>
  </si>
  <si>
    <t>604</t>
  </si>
  <si>
    <t>Negative Product</t>
  </si>
  <si>
    <t>NEGPROD</t>
  </si>
  <si>
    <t>630</t>
  </si>
  <si>
    <t>GCD and LCM</t>
  </si>
  <si>
    <t>FLOW016</t>
  </si>
  <si>
    <t>635</t>
  </si>
  <si>
    <t>Make A and B equal</t>
  </si>
  <si>
    <t>EQUALISE</t>
  </si>
  <si>
    <t>851</t>
  </si>
  <si>
    <t>Binary, Mathematics, Number System</t>
  </si>
  <si>
    <t>Construct N</t>
  </si>
  <si>
    <t>CONN</t>
  </si>
  <si>
    <t>860</t>
  </si>
  <si>
    <t>Alternate Additions</t>
  </si>
  <si>
    <t>ALTERADD</t>
  </si>
  <si>
    <t>863</t>
  </si>
  <si>
    <t>Farmer And His Plot</t>
  </si>
  <si>
    <t>RECTSQ</t>
  </si>
  <si>
    <t>936</t>
  </si>
  <si>
    <t>Two vs Ten</t>
  </si>
  <si>
    <t>TWOVSTEN</t>
  </si>
  <si>
    <t>Puppy and Sum</t>
  </si>
  <si>
    <t>PPSUM</t>
  </si>
  <si>
    <t>961</t>
  </si>
  <si>
    <t>Algorithms, Basic Math, Basic Programming Concepts, Implementation, Loops, Mathematics</t>
  </si>
  <si>
    <t>Divisible by 3</t>
  </si>
  <si>
    <t>MODULO3</t>
  </si>
  <si>
    <t>978</t>
  </si>
  <si>
    <t>Balls and Boxes</t>
  </si>
  <si>
    <t>BALLBOX</t>
  </si>
  <si>
    <t>994</t>
  </si>
  <si>
    <t>Practice Sorting</t>
  </si>
  <si>
    <t>Practice problems which require you to use sorting algorithms to solve the task at hand. These questions help you understand the different patters of sorting problems and how to identify them.</t>
  </si>
  <si>
    <t>Sorting - Free sorting problems</t>
  </si>
  <si>
    <t>Simple Sorting</t>
  </si>
  <si>
    <t>TSORT</t>
  </si>
  <si>
    <t>667</t>
  </si>
  <si>
    <t>Simple Statistics</t>
  </si>
  <si>
    <t>SIMPSTAT</t>
  </si>
  <si>
    <t>1222</t>
  </si>
  <si>
    <t>Racing Horses</t>
  </si>
  <si>
    <t>HORSES</t>
  </si>
  <si>
    <t>1231</t>
  </si>
  <si>
    <t>Algorithms, Brute Force, Sorting</t>
  </si>
  <si>
    <t>Reduce to Single Element Array</t>
  </si>
  <si>
    <t>DSCPPAS266</t>
  </si>
  <si>
    <t>1150</t>
  </si>
  <si>
    <t>Sorting</t>
  </si>
  <si>
    <t>Sorting - Premium sorting problems</t>
  </si>
  <si>
    <t>Maximum Weight Difference</t>
  </si>
  <si>
    <t>MAXDIFF</t>
  </si>
  <si>
    <t>1308</t>
  </si>
  <si>
    <t>Andrew and the Meatballs</t>
  </si>
  <si>
    <t>AMMEAT</t>
  </si>
  <si>
    <t>1275</t>
  </si>
  <si>
    <t>1D Arrays, Algorithms, Arrays, Constructive, Data Structures, Sorting, ad-hoc</t>
  </si>
  <si>
    <t>Chef and easy problem</t>
  </si>
  <si>
    <t>CHEFA</t>
  </si>
  <si>
    <t>1408</t>
  </si>
  <si>
    <t>admin, cakewalk, ltime16, sorting</t>
  </si>
  <si>
    <t>Sticks</t>
  </si>
  <si>
    <t>STICKS</t>
  </si>
  <si>
    <t>1261</t>
  </si>
  <si>
    <t>Array Reordering</t>
  </si>
  <si>
    <t>ARRAYREOR</t>
  </si>
  <si>
    <t>1250</t>
  </si>
  <si>
    <t>Counting sort</t>
  </si>
  <si>
    <t>DSCPPAS265</t>
  </si>
  <si>
    <t>1650</t>
  </si>
  <si>
    <t>ChefWatson uses Social Network</t>
  </si>
  <si>
    <t>BOOKCHEF</t>
  </si>
  <si>
    <t>1610</t>
  </si>
  <si>
    <t>Practice Linked Lists</t>
  </si>
  <si>
    <t>These linked list coding questions range from easy to hard difficulty and will prepare you to tackle any linked list question in future.</t>
  </si>
  <si>
    <t>Linked List - LinkedList</t>
  </si>
  <si>
    <t>Remove Duplicates from Sorted List</t>
  </si>
  <si>
    <t>PREP55</t>
  </si>
  <si>
    <t>Critical points in a Linked List</t>
  </si>
  <si>
    <t>CRITLIST</t>
  </si>
  <si>
    <t>1000</t>
  </si>
  <si>
    <t>Cycle in a linked list</t>
  </si>
  <si>
    <t>PREP58</t>
  </si>
  <si>
    <t>1100</t>
  </si>
  <si>
    <t>Find the Length of the Linked List</t>
  </si>
  <si>
    <t>LINKLEN</t>
  </si>
  <si>
    <t>Find Middle Element of Linked List</t>
  </si>
  <si>
    <t>LLMID</t>
  </si>
  <si>
    <t>Remove Nodes with a Given Key</t>
  </si>
  <si>
    <t>SEARCHLL</t>
  </si>
  <si>
    <t>Linked List - Additional practice</t>
  </si>
  <si>
    <t>Detect Start of Cycle in Linked List</t>
  </si>
  <si>
    <t>LLCYCLE</t>
  </si>
  <si>
    <t>Hard</t>
  </si>
  <si>
    <t>Reverse a Doubly Linked List</t>
  </si>
  <si>
    <t>REVDBL</t>
  </si>
  <si>
    <t>Count loop length in Linked List</t>
  </si>
  <si>
    <t>LINKLP</t>
  </si>
  <si>
    <t>1300</t>
  </si>
  <si>
    <t>Insert and Delete in Doubly Linked List</t>
  </si>
  <si>
    <t>INSDELDLL</t>
  </si>
  <si>
    <t>Check if Linked List is Palindrome</t>
  </si>
  <si>
    <t>PALINLIST</t>
  </si>
  <si>
    <t>Separate Even and Odd values in a linked list</t>
  </si>
  <si>
    <t>SEGEO</t>
  </si>
  <si>
    <t>Find Intersection of two linked lists</t>
  </si>
  <si>
    <t>DSCPPAS273</t>
  </si>
  <si>
    <t>Rotate the List</t>
  </si>
  <si>
    <t>ROTLIST</t>
  </si>
  <si>
    <t>Reverse a Linked List</t>
  </si>
  <si>
    <t>RTLL</t>
  </si>
  <si>
    <t>1400</t>
  </si>
  <si>
    <t>Reverse the Segment</t>
  </si>
  <si>
    <t>REVSEG</t>
  </si>
  <si>
    <t>1500</t>
  </si>
  <si>
    <t>Sort a Linked List of 0s, 1s, and 2s</t>
  </si>
  <si>
    <t>SORTLL012</t>
  </si>
  <si>
    <t>Find Next Smaller value in Linked List</t>
  </si>
  <si>
    <t>NSELL</t>
  </si>
  <si>
    <t>1600</t>
  </si>
  <si>
    <t>Delete the Middle Node of a Linked List</t>
  </si>
  <si>
    <t>DELMIDLL</t>
  </si>
  <si>
    <t>Flatten a Linked List</t>
  </si>
  <si>
    <t>STRANGELIST</t>
  </si>
  <si>
    <t>Linked List Increment</t>
  </si>
  <si>
    <t>ADDONELL</t>
  </si>
  <si>
    <t>Reverse m size groups</t>
  </si>
  <si>
    <t>KGRPREV</t>
  </si>
  <si>
    <t>Add Two Numbers (Linked List)</t>
  </si>
  <si>
    <t>ADDTWOLL</t>
  </si>
  <si>
    <t>Sort a linked list</t>
  </si>
  <si>
    <t>SRTLL</t>
  </si>
  <si>
    <t>1800</t>
  </si>
  <si>
    <t>Delete All Occurrences of a Key in a Doubly Linked</t>
  </si>
  <si>
    <t>DELDOUBLY</t>
  </si>
  <si>
    <t>Find Pairs with Given Sum in Doubly Linked List</t>
  </si>
  <si>
    <t>PAIRSUMDLL</t>
  </si>
  <si>
    <t>Copy List with Random Pointer</t>
  </si>
  <si>
    <t>LLCOPY</t>
  </si>
  <si>
    <t>Practice Stacks and Queues</t>
  </si>
  <si>
    <t>Practice intermediate level problems on Stacks and Queues</t>
  </si>
  <si>
    <t>Stack and Queue - Stacks and queues</t>
  </si>
  <si>
    <t>Chef Builds Stack</t>
  </si>
  <si>
    <t>BBXJG01</t>
  </si>
  <si>
    <t>nonameetcetc</t>
  </si>
  <si>
    <t>Chef Builds Queue Using Stacks</t>
  </si>
  <si>
    <t>PPMUH01</t>
  </si>
  <si>
    <t>Valid Parenthesis</t>
  </si>
  <si>
    <t>PREP59</t>
  </si>
  <si>
    <t>Necklace</t>
  </si>
  <si>
    <t>NEC</t>
  </si>
  <si>
    <t>800</t>
  </si>
  <si>
    <t>Stone Pile</t>
  </si>
  <si>
    <t>STONE_PILE</t>
  </si>
  <si>
    <t>Mountain Peak</t>
  </si>
  <si>
    <t>DSCPPAS269</t>
  </si>
  <si>
    <t>Transform the Expression</t>
  </si>
  <si>
    <t>ONP</t>
  </si>
  <si>
    <t>Data Structures, Stacks</t>
  </si>
  <si>
    <t>Chef Solves Asteroid Collision</t>
  </si>
  <si>
    <t>DRKTZ01</t>
  </si>
  <si>
    <t>Stack and Queue - Stacks and queues additional practice</t>
  </si>
  <si>
    <t>Evaluate Expression</t>
  </si>
  <si>
    <t>PREP21</t>
  </si>
  <si>
    <t>Stack Sort</t>
  </si>
  <si>
    <t>STKSORT</t>
  </si>
  <si>
    <t>LEJQI01</t>
  </si>
  <si>
    <t>Previous smaller element</t>
  </si>
  <si>
    <t>PREP60</t>
  </si>
  <si>
    <t>Chef Finds Next Greater Element</t>
  </si>
  <si>
    <t>HSUON01</t>
  </si>
  <si>
    <t>Chef Circular Search</t>
  </si>
  <si>
    <t>NFXON01</t>
  </si>
  <si>
    <t>Suspense String</t>
  </si>
  <si>
    <t>SUSSTR</t>
  </si>
  <si>
    <t>Palindrome by Splitting</t>
  </si>
  <si>
    <t>SPLITPAL</t>
  </si>
  <si>
    <t>1540</t>
  </si>
  <si>
    <t>Sliding Window Maximum</t>
  </si>
  <si>
    <t>PREP23</t>
  </si>
  <si>
    <t>Chef Calculates Subarray Minimums</t>
  </si>
  <si>
    <t>JQJTY01</t>
  </si>
  <si>
    <t>Largest Rectangle in Histogram</t>
  </si>
  <si>
    <t>PREP22</t>
  </si>
  <si>
    <t>1700</t>
  </si>
  <si>
    <t>Data Structures, Queues, Stacks</t>
  </si>
  <si>
    <t>Chef Solves LRU Cache</t>
  </si>
  <si>
    <t>IEIJT01</t>
  </si>
  <si>
    <t>Compilers and Parsers</t>
  </si>
  <si>
    <t>COMPILER</t>
  </si>
  <si>
    <t>1588</t>
  </si>
  <si>
    <t>Algorithms, Constructive, Data Structures, Stacks, ad-hoc</t>
  </si>
  <si>
    <t>Self-Destructing Strings</t>
  </si>
  <si>
    <t>SDSTRING</t>
  </si>
  <si>
    <t>1648</t>
  </si>
  <si>
    <t>Maximum water in a section</t>
  </si>
  <si>
    <t>MXWATR</t>
  </si>
  <si>
    <t>Maximum Area</t>
  </si>
  <si>
    <t>MAXREC</t>
  </si>
  <si>
    <t>Remove k digits</t>
  </si>
  <si>
    <t>DSCPPAS272</t>
  </si>
  <si>
    <t>2D Array / Matrices</t>
  </si>
  <si>
    <t>Practice problems on 2D Arrays or Matrices with our careful chosen set of 23 problems. Matrix is 2 dimensional data structures which can be used to represent grids, paths etc. Questions on 2D Arrays are generally asked in interviews to check your implementation skills.</t>
  </si>
  <si>
    <t>What is Matrix - Introduction</t>
  </si>
  <si>
    <t>Basic Concepts</t>
  </si>
  <si>
    <t>MATDEF</t>
  </si>
  <si>
    <t>Matrix Types and Applications</t>
  </si>
  <si>
    <t>MATTYPES</t>
  </si>
  <si>
    <t>Matrix Representation</t>
  </si>
  <si>
    <t>MATREP</t>
  </si>
  <si>
    <t>Matrix Types</t>
  </si>
  <si>
    <t>MATMCQ1</t>
  </si>
  <si>
    <t>Practice - Matrix Problems</t>
  </si>
  <si>
    <t>Add Two Matrices</t>
  </si>
  <si>
    <t>MATADD</t>
  </si>
  <si>
    <t>Zig-zag traversal</t>
  </si>
  <si>
    <t>MATZIGZAG</t>
  </si>
  <si>
    <t>Upside Down Matrix</t>
  </si>
  <si>
    <t>MATTREVERSE</t>
  </si>
  <si>
    <t>Sum of Diagonals</t>
  </si>
  <si>
    <t>MATDIAGSUM</t>
  </si>
  <si>
    <t>Count Negative Numbers</t>
  </si>
  <si>
    <t>MATNEGCOUNT</t>
  </si>
  <si>
    <t>Valid Matrix Sum</t>
  </si>
  <si>
    <t>DSCPPAS263</t>
  </si>
  <si>
    <t>Brute Force- Multiplication of Two Matrices</t>
  </si>
  <si>
    <t>MATMULTIPLIC</t>
  </si>
  <si>
    <t>Sort Matrix Diagonally</t>
  </si>
  <si>
    <t>MATSORTDIAG</t>
  </si>
  <si>
    <t>Set Matrix Zeroes</t>
  </si>
  <si>
    <t>MATSETZERO</t>
  </si>
  <si>
    <t>Matrix Rotations</t>
  </si>
  <si>
    <t>MATROTATE</t>
  </si>
  <si>
    <t>Row With Maximum Ones</t>
  </si>
  <si>
    <t>MATMAXROW</t>
  </si>
  <si>
    <t>Equal Rows and Columns</t>
  </si>
  <si>
    <t>MATEQRC</t>
  </si>
  <si>
    <t>Path With Minimum Sum</t>
  </si>
  <si>
    <t>MATMINPATH</t>
  </si>
  <si>
    <t>Maximal square of all ones</t>
  </si>
  <si>
    <t>MATMAXSQ</t>
  </si>
  <si>
    <t>Print Matrix In Spiral Fashion</t>
  </si>
  <si>
    <t>MATSPIRAL</t>
  </si>
  <si>
    <t>Maximum Area Island</t>
  </si>
  <si>
    <t>MATMAXISLAND</t>
  </si>
  <si>
    <t>Rotting Apples</t>
  </si>
  <si>
    <t>MATROTAPPLE</t>
  </si>
  <si>
    <t>admin</t>
  </si>
  <si>
    <t>Search In Matrix</t>
  </si>
  <si>
    <t>MATSEARCH</t>
  </si>
  <si>
    <t>Distance to Nearest 0</t>
  </si>
  <si>
    <t>MATNEARESTO</t>
  </si>
  <si>
    <t>Median in Matrix</t>
  </si>
  <si>
    <t>MATMEDIAN</t>
  </si>
  <si>
    <t>Heaps</t>
  </si>
  <si>
    <t>Practice problems on Heap data structure from the CodeChef repository of problems. Start with basics of Heaps and then solve harder questions which require Heap.</t>
  </si>
  <si>
    <t>Heap - Heaps</t>
  </si>
  <si>
    <t>Representation of a Heap</t>
  </si>
  <si>
    <t>HEAPEDU0</t>
  </si>
  <si>
    <t>100</t>
  </si>
  <si>
    <t>Insertion in a Heap</t>
  </si>
  <si>
    <t>HEAPEDU1</t>
  </si>
  <si>
    <t>400</t>
  </si>
  <si>
    <t>Deletion in a Heap</t>
  </si>
  <si>
    <t>HEAPEDU2</t>
  </si>
  <si>
    <t>Insertion and deletion together in a Heap</t>
  </si>
  <si>
    <t>HEAPEDU3</t>
  </si>
  <si>
    <t>Heap sort</t>
  </si>
  <si>
    <t>HEAPEDU4</t>
  </si>
  <si>
    <t>Testing Robot</t>
  </si>
  <si>
    <t>TSTROBOT</t>
  </si>
  <si>
    <t>1124</t>
  </si>
  <si>
    <t>Copy-Paste</t>
  </si>
  <si>
    <t>RRCOPY</t>
  </si>
  <si>
    <t>1280</t>
  </si>
  <si>
    <t>Chef and Apple Trees</t>
  </si>
  <si>
    <t>CAPPLE</t>
  </si>
  <si>
    <t>1301</t>
  </si>
  <si>
    <t>Arrays, Data Structures, Frequency Arrays, Sets</t>
  </si>
  <si>
    <t>Cleaning Up</t>
  </si>
  <si>
    <t>CLEANUP</t>
  </si>
  <si>
    <t>1309</t>
  </si>
  <si>
    <t>Data Structures, Sets</t>
  </si>
  <si>
    <t>Convert min Heap to max Heap</t>
  </si>
  <si>
    <t>MINTOMAXHEAP</t>
  </si>
  <si>
    <t>Merge K sorted lists</t>
  </si>
  <si>
    <t>MERGEKSORTED</t>
  </si>
  <si>
    <t>Heap - Heaps additional practice</t>
  </si>
  <si>
    <t>Distinct Characters Subsequence</t>
  </si>
  <si>
    <t>DISCHAR</t>
  </si>
  <si>
    <t>1314</t>
  </si>
  <si>
    <t>Arrays, Data Structures, Frequency Arrays, Sets, String</t>
  </si>
  <si>
    <t>Alt-Tab</t>
  </si>
  <si>
    <t>ALTTAB</t>
  </si>
  <si>
    <t>1396</t>
  </si>
  <si>
    <t>Data Structures, Maps, Sets, String</t>
  </si>
  <si>
    <t>IPC Trainers</t>
  </si>
  <si>
    <t>IPCTRAIN</t>
  </si>
  <si>
    <t>Chef Finds KthLargest Element</t>
  </si>
  <si>
    <t>WTYDU01</t>
  </si>
  <si>
    <t>Chef Airlines</t>
  </si>
  <si>
    <t>AIRTRAV</t>
  </si>
  <si>
    <t>Chef Teams</t>
  </si>
  <si>
    <t>CTEAMS</t>
  </si>
  <si>
    <t>1577</t>
  </si>
  <si>
    <t>Algorithms, Basic Programming Concepts, Case work, Conditional Statements, Data Structures, Implementation, Priority Queue, Queues, Sets, Special</t>
  </si>
  <si>
    <t>Consecutive Card Grouping</t>
  </si>
  <si>
    <t>CONSECARDS</t>
  </si>
  <si>
    <t>Positive array</t>
  </si>
  <si>
    <t>CIREQ</t>
  </si>
  <si>
    <t>1620</t>
  </si>
  <si>
    <t>Algorithms, Data Structures, Greedy, Heaps</t>
  </si>
  <si>
    <t>Rooks</t>
  </si>
  <si>
    <t>RKS</t>
  </si>
  <si>
    <t>1624</t>
  </si>
  <si>
    <t>Sridhar Likes Travelling</t>
  </si>
  <si>
    <t>TOURMAP</t>
  </si>
  <si>
    <t>1656</t>
  </si>
  <si>
    <t>Parallel World</t>
  </si>
  <si>
    <t>INC_HEIGHTS</t>
  </si>
  <si>
    <t>Chef and Time Machine</t>
  </si>
  <si>
    <t>CHEFTMA</t>
  </si>
  <si>
    <t>1717</t>
  </si>
  <si>
    <t>1D Arrays, Algorithms, Arrays, Data Structures, Greedy, Multiset, Sets</t>
  </si>
  <si>
    <t>Chef Builds Twitter</t>
  </si>
  <si>
    <t>HRYQX01</t>
  </si>
  <si>
    <t>Monday Munch - DSA Challenge practice series</t>
  </si>
  <si>
    <t>Participate in the previous DSA Challenges</t>
  </si>
  <si>
    <t>DSA Challenge - 01/09/25 - Monday Munch - DSA Challenge 01</t>
  </si>
  <si>
    <t>Merge two sorted arrays</t>
  </si>
  <si>
    <t>MERGESORTED</t>
  </si>
  <si>
    <t>1050</t>
  </si>
  <si>
    <t>Check Palindrome</t>
  </si>
  <si>
    <t>DSCPPAS276</t>
  </si>
  <si>
    <t>Maximum Sum of K Elements</t>
  </si>
  <si>
    <t>SLDW0102</t>
  </si>
  <si>
    <t>932</t>
  </si>
  <si>
    <t>ZigZag Traversal</t>
  </si>
  <si>
    <t>BTZIGZAG</t>
  </si>
  <si>
    <t>Diameter of the tree</t>
  </si>
  <si>
    <t>TREEDIAMETER</t>
  </si>
  <si>
    <t>DSA Challenge - 08/09/25 - Monday Munch - DSA challenge 02</t>
  </si>
  <si>
    <t>Count of set bits</t>
  </si>
  <si>
    <t>BITMEDU5</t>
  </si>
  <si>
    <t>Practice - Josephus Problem</t>
  </si>
  <si>
    <t>LINK02P09</t>
  </si>
  <si>
    <t>Chef Square Tile Problem</t>
  </si>
  <si>
    <t>DSAPROB18</t>
  </si>
  <si>
    <t>Search in a 2D Matrix</t>
  </si>
  <si>
    <t>BSEX01</t>
  </si>
  <si>
    <t>Good Numbers</t>
  </si>
  <si>
    <t>DIVNUMB</t>
  </si>
  <si>
    <t>DSA Challenge - 16/09/25 - Monday Munch - DSA Challenge 03</t>
  </si>
  <si>
    <t>Count Subarrays</t>
  </si>
  <si>
    <t>SUBINC</t>
  </si>
  <si>
    <t>1478</t>
  </si>
  <si>
    <t>Find Course Schedule</t>
  </si>
  <si>
    <t>TOPOSORTCS</t>
  </si>
  <si>
    <t>Segmentation Fault</t>
  </si>
  <si>
    <t>SEGFAULT</t>
  </si>
  <si>
    <t>1815</t>
  </si>
  <si>
    <t>DSA Challenge - 22/09/25 - Monday Munch - DSA Challenge 04</t>
  </si>
  <si>
    <t>REMAINDER10</t>
  </si>
  <si>
    <t>Apples and oranges</t>
  </si>
  <si>
    <t>APPLESORANGE</t>
  </si>
  <si>
    <t>1040</t>
  </si>
  <si>
    <t>Check if the array is sorted</t>
  </si>
  <si>
    <t>ARRAYSORTED</t>
  </si>
  <si>
    <t>Least significant bit, and most significant bit</t>
  </si>
  <si>
    <t>BITMEDU4</t>
  </si>
  <si>
    <t>Mirror Tree</t>
  </si>
  <si>
    <t>MIRRORTREE</t>
  </si>
  <si>
    <t>Galactic Network</t>
  </si>
  <si>
    <t>GALACTICNW</t>
  </si>
  <si>
    <t>DSA Challenge - 29/09/25 - Monday Munch - DSA Challenge 05</t>
  </si>
  <si>
    <t>Vowels or Not</t>
  </si>
  <si>
    <t>VOWELORNOT</t>
  </si>
  <si>
    <t>Largest Common Element in Two Arrays</t>
  </si>
  <si>
    <t>DSAPROB20</t>
  </si>
  <si>
    <t>Count subarrays with given sum</t>
  </si>
  <si>
    <t>COUNTSUBARAY</t>
  </si>
  <si>
    <t>Maximum Score</t>
  </si>
  <si>
    <t>MAXSC</t>
  </si>
  <si>
    <t>1561</t>
  </si>
  <si>
    <t>Merge Overlapping intervals</t>
  </si>
  <si>
    <t>MERGEINTER</t>
  </si>
  <si>
    <t>Count palindromes</t>
  </si>
  <si>
    <t>COUNTPAL</t>
  </si>
  <si>
    <t>1631</t>
  </si>
  <si>
    <t>DSA Challenge - 06/10/25 - Monday Munch - DSA Challenge 06</t>
  </si>
  <si>
    <t>What is your grade</t>
  </si>
  <si>
    <t>GRADETHEMARK</t>
  </si>
  <si>
    <t>Kth Largest Node in BST</t>
  </si>
  <si>
    <t>BSTKTHMAX</t>
  </si>
  <si>
    <t>Length of Longest Palindrome</t>
  </si>
  <si>
    <t>HASHP02</t>
  </si>
  <si>
    <t>1696</t>
  </si>
  <si>
    <t>DSA Challenge - 13/10/25 - Monday Munch - DSA Challenge 07</t>
  </si>
  <si>
    <t>Is that a century</t>
  </si>
  <si>
    <t>CENTURY</t>
  </si>
  <si>
    <t>Spiral Matrix Traversal</t>
  </si>
  <si>
    <t>SPIRALMATRIX</t>
  </si>
  <si>
    <t>Kth missing positive</t>
  </si>
  <si>
    <t>KTHMISSING</t>
  </si>
  <si>
    <t>Expensive Steps</t>
  </si>
  <si>
    <t>EXPSTP</t>
  </si>
  <si>
    <t>1310</t>
  </si>
  <si>
    <t>Binary Substituition</t>
  </si>
  <si>
    <t>BINARYSUB</t>
  </si>
  <si>
    <t>1630</t>
  </si>
  <si>
    <t>Algorithms, Dynamic Programming</t>
  </si>
  <si>
    <t>DSA Challenge - 20/10/25 - Monday Munch - DSA Challenge 08</t>
  </si>
  <si>
    <t>Odd or even</t>
  </si>
  <si>
    <t>ODDOREVEN</t>
  </si>
  <si>
    <t>Longest Consecutive Numbers in an Array</t>
  </si>
  <si>
    <t>CONSECUTIVE</t>
  </si>
  <si>
    <t>K-Flip</t>
  </si>
  <si>
    <t>KLIP</t>
  </si>
  <si>
    <t>1757</t>
  </si>
  <si>
    <t>Maximizing LCS</t>
  </si>
  <si>
    <t>MAXLCS</t>
  </si>
  <si>
    <t>1567</t>
  </si>
  <si>
    <t>DSA Challenge - 27/10/25 - Monday Munch - DSA Challenge 09</t>
  </si>
  <si>
    <t>Is the number divisible by 5</t>
  </si>
  <si>
    <t>DIVISIBLEBY5</t>
  </si>
  <si>
    <t>Print Pattern</t>
  </si>
  <si>
    <t>RECUR07</t>
  </si>
  <si>
    <t>AND Plus OR</t>
  </si>
  <si>
    <t>ANDOR</t>
  </si>
  <si>
    <t>1151</t>
  </si>
  <si>
    <t>Algorithms, Basic Math, Bit Manipulation, Bitwise Operation, Mathematics, Observation</t>
  </si>
  <si>
    <t>Largest Subarray with Sum 0</t>
  </si>
  <si>
    <t>SUBARRAYSUM</t>
  </si>
  <si>
    <t>Search Word</t>
  </si>
  <si>
    <t>DSAPROB8</t>
  </si>
  <si>
    <t>Get all ancestors</t>
  </si>
  <si>
    <t>GETANCESTORS</t>
  </si>
  <si>
    <t>DSA Challenge - 03/11/25 - Monday Munch - DSA Challenge 10</t>
  </si>
  <si>
    <t>How much you lack</t>
  </si>
  <si>
    <t>MINUS100X</t>
  </si>
  <si>
    <t>Odd Sum Pair</t>
  </si>
  <si>
    <t>ODDSUMPAIR</t>
  </si>
  <si>
    <t>506</t>
  </si>
  <si>
    <t>Divide Pages</t>
  </si>
  <si>
    <t>BOOKPAGES</t>
  </si>
  <si>
    <t>500</t>
  </si>
  <si>
    <t>Good subarrays</t>
  </si>
  <si>
    <t>PREFPRO3</t>
  </si>
  <si>
    <t>Triplets Min</t>
  </si>
  <si>
    <t>TRIPLETMIN</t>
  </si>
  <si>
    <t>1868</t>
  </si>
  <si>
    <t>Robot Movings</t>
  </si>
  <si>
    <t>MOVES</t>
  </si>
  <si>
    <t>1668</t>
  </si>
  <si>
    <t>DSA Challenge - 10/11/25 - Monday Munch - DSA Challenge 11</t>
  </si>
  <si>
    <t>What is the square</t>
  </si>
  <si>
    <t>SQUAREOFN</t>
  </si>
  <si>
    <t>Count Inversions</t>
  </si>
  <si>
    <t>CNTINVERSION</t>
  </si>
  <si>
    <t>Zero Sum Triplets</t>
  </si>
  <si>
    <t>THREESUM</t>
  </si>
  <si>
    <t>Maximum Unique Segment</t>
  </si>
  <si>
    <t>MAXSEGMP</t>
  </si>
  <si>
    <t>1791</t>
  </si>
  <si>
    <t>Special Substring</t>
  </si>
  <si>
    <t>SLDW0104</t>
  </si>
  <si>
    <t>DSA Challenge - 17/11/25 - Monday Munch - DSA Challenge 12</t>
  </si>
  <si>
    <t>Make 2 digits</t>
  </si>
  <si>
    <t>MAKE2DIGITS</t>
  </si>
  <si>
    <t>Color Sorting Challenge</t>
  </si>
  <si>
    <t>SORTARRAYS</t>
  </si>
  <si>
    <t>Intersecting arrays</t>
  </si>
  <si>
    <t>DSCPPAS261</t>
  </si>
  <si>
    <t>Chef and String</t>
  </si>
  <si>
    <t>XYSTRPP</t>
  </si>
  <si>
    <t>Hail XOR</t>
  </si>
  <si>
    <t>HXORP</t>
  </si>
  <si>
    <t>1786</t>
  </si>
  <si>
    <t>Covering</t>
  </si>
  <si>
    <t>ZCO15003P</t>
  </si>
  <si>
    <t>DSA Challenge - 24/11/25 - Monday Munch - DSA Challenge 13</t>
  </si>
  <si>
    <t>Less than 10</t>
  </si>
  <si>
    <t>LESSTHAN10</t>
  </si>
  <si>
    <t>Generate All Possible Pairs of Balanced Parenthese</t>
  </si>
  <si>
    <t>DSAPROB7</t>
  </si>
  <si>
    <t>All Possible Subsets</t>
  </si>
  <si>
    <t>RECUR22</t>
  </si>
  <si>
    <t>Recover the BST</t>
  </si>
  <si>
    <t>BSTRECOVER</t>
  </si>
  <si>
    <t>DSA Challenge - 01/12/25 - Monday Munch - DSA Challenge 14</t>
  </si>
  <si>
    <t>Complete the resolution</t>
  </si>
  <si>
    <t>RESOLUTIONCP</t>
  </si>
  <si>
    <t>DNA Storage</t>
  </si>
  <si>
    <t>DNASTORAGEP</t>
  </si>
  <si>
    <t>801</t>
  </si>
  <si>
    <t>Chef and Nested Parentheses</t>
  </si>
  <si>
    <t>NESTEDPARAN</t>
  </si>
  <si>
    <t>Largest Y</t>
  </si>
  <si>
    <t>LARGESTYP</t>
  </si>
  <si>
    <t>1823</t>
  </si>
  <si>
    <t>DSA Challenge - 08/12/25 - Monday Munch - DSA Challenge 15</t>
  </si>
  <si>
    <t>Christmas visits</t>
  </si>
  <si>
    <t>CHRISTMASVIS</t>
  </si>
  <si>
    <t>Remove Outermost Parentheses</t>
  </si>
  <si>
    <t>REMOVEPAREN</t>
  </si>
  <si>
    <t>Longest subarray with a given sum</t>
  </si>
  <si>
    <t>LONGGIVENSUM</t>
  </si>
  <si>
    <t>Binary Search Tree Iterator</t>
  </si>
  <si>
    <t>BSTITERATOR</t>
  </si>
  <si>
    <t>Tree Path Sum</t>
  </si>
  <si>
    <t>TREEPATHSUM</t>
  </si>
  <si>
    <t>Right side view of Binary tree</t>
  </si>
  <si>
    <t>RIGTHSIDE</t>
  </si>
  <si>
    <t>DSA Challenge - 15/12/25 - Monday Munch - DSA Challenge 16</t>
  </si>
  <si>
    <t>Birthday Chocolates</t>
  </si>
  <si>
    <t>BIRTHDAYCHOC</t>
  </si>
  <si>
    <t>Longest Substring Without Repeating Characters</t>
  </si>
  <si>
    <t>SLDW0103</t>
  </si>
  <si>
    <t>Unique Subset</t>
  </si>
  <si>
    <t>DSCPPAS267</t>
  </si>
  <si>
    <t>SPSBTR</t>
  </si>
  <si>
    <t>DSA Challenge - 22/12/25 - Monday Munch - DSA Challenge 17</t>
  </si>
  <si>
    <t>Chefs profits</t>
  </si>
  <si>
    <t>CHEFPROFIT</t>
  </si>
  <si>
    <t>Move all the zeros to the last</t>
  </si>
  <si>
    <t>LASTZERO</t>
  </si>
  <si>
    <t>Chef and Pair of Elements</t>
  </si>
  <si>
    <t>TWOSUMM</t>
  </si>
  <si>
    <t>Check for BST</t>
  </si>
  <si>
    <t>BSTCHECK</t>
  </si>
  <si>
    <t>Word Counting</t>
  </si>
  <si>
    <t>WCOUNT</t>
  </si>
  <si>
    <t>1640</t>
  </si>
  <si>
    <t>Chef Shortest Route</t>
  </si>
  <si>
    <t>CHEFSERVER</t>
  </si>
  <si>
    <t>DSA Challenge - 29/12/25 - Monday Munch - DSA Challenge 18</t>
  </si>
  <si>
    <t>Chef and New Year Gifts</t>
  </si>
  <si>
    <t>CHEFANDGIFTS</t>
  </si>
  <si>
    <t>Chef and Roman Numbers</t>
  </si>
  <si>
    <t>CHEFROMAN</t>
  </si>
  <si>
    <t>Chef and String to Integer</t>
  </si>
  <si>
    <t>STRINGTOINT</t>
  </si>
  <si>
    <t>The Great Painting Showdown</t>
  </si>
  <si>
    <t>PAINTSHODOWN</t>
  </si>
  <si>
    <t>Pascal Triangle Element</t>
  </si>
  <si>
    <t>RECUR25</t>
  </si>
  <si>
    <t>Maximal crosses</t>
  </si>
  <si>
    <t>MAXCROSSP</t>
  </si>
  <si>
    <t>1570</t>
  </si>
  <si>
    <t>DSA Challenge - 05/01/26 - Monday Munch - DSA Challenge 19</t>
  </si>
  <si>
    <t>Chef shifting office</t>
  </si>
  <si>
    <t>CHEFSOFFICE</t>
  </si>
  <si>
    <t>Longest Common Prefix</t>
  </si>
  <si>
    <t>LONGESPREFIX</t>
  </si>
  <si>
    <t>Valid Anagram</t>
  </si>
  <si>
    <t>VALIDANAGRAM</t>
  </si>
  <si>
    <t>Find how many times the array have been rotated</t>
  </si>
  <si>
    <t>ROTATIONARAY</t>
  </si>
  <si>
    <t>Chef Solves Palindrome Partitioning</t>
  </si>
  <si>
    <t>WEXLT01</t>
  </si>
  <si>
    <t>Vertex Colouring Problem</t>
  </si>
  <si>
    <t>VERTEXCOLOR</t>
  </si>
  <si>
    <t>DSA Challenge - 12/01/26 - Monday Munch - DSA Challenge 20</t>
  </si>
  <si>
    <t>Cricket tournament profits</t>
  </si>
  <si>
    <t>CRICKETPRO</t>
  </si>
  <si>
    <t>Remove Duplicates from Sorted Array</t>
  </si>
  <si>
    <t>REMOVEDUPLIC</t>
  </si>
  <si>
    <t>First and last occurrence of a given number</t>
  </si>
  <si>
    <t>FIRSTNDLAST</t>
  </si>
  <si>
    <t>XOR of numbers in a range</t>
  </si>
  <si>
    <t>XORRANGE</t>
  </si>
  <si>
    <t>Prime factorisation of numbers</t>
  </si>
  <si>
    <t>PRIMENUMBERS</t>
  </si>
  <si>
    <t>Rat In Maze</t>
  </si>
  <si>
    <t>RATMAZE</t>
  </si>
  <si>
    <t>DSA Challenge - 19/01/26 - Monday Munch - DSA Challenge 21</t>
  </si>
  <si>
    <t>Chef and Final match</t>
  </si>
  <si>
    <t>FINALMATCH</t>
  </si>
  <si>
    <t>Find the majority element</t>
  </si>
  <si>
    <t>MAJORELEM</t>
  </si>
  <si>
    <t>Put fruits into basket</t>
  </si>
  <si>
    <t>FRUITBASKET</t>
  </si>
  <si>
    <t>Construct a BST from a preorder traversal</t>
  </si>
  <si>
    <t>PREORDER</t>
  </si>
  <si>
    <t>Construct binary tree from Inorder and Postorder</t>
  </si>
  <si>
    <t>INORDERPOST</t>
  </si>
  <si>
    <t>DSA Challenge - 26/01/26 - Monday Munch - DSA Challenge 22</t>
  </si>
  <si>
    <t>Republic day ladoos</t>
  </si>
  <si>
    <t>LADOOSPECIAL</t>
  </si>
  <si>
    <t>Find the repeating and missing number</t>
  </si>
  <si>
    <t>MISSNDREPEAT</t>
  </si>
  <si>
    <t>Swap two numbers</t>
  </si>
  <si>
    <t>SWAPTWONUMS</t>
  </si>
  <si>
    <t>Lonely Element in Array</t>
  </si>
  <si>
    <t>SINGLESORTED</t>
  </si>
  <si>
    <t>Chef Solves Course Schedule II</t>
  </si>
  <si>
    <t>HYBDD01</t>
  </si>
  <si>
    <t>Chef Counts Enclaves</t>
  </si>
  <si>
    <t>SZICS01</t>
  </si>
  <si>
    <t>DSA Challenge - 02/02/26 - Monday Munch - DSA Challenge 23</t>
  </si>
  <si>
    <t>Tennis Match</t>
  </si>
  <si>
    <t>TENNISMATCH</t>
  </si>
  <si>
    <t>Reverse Words in a String</t>
  </si>
  <si>
    <t>REVERSEWORD</t>
  </si>
  <si>
    <t>Cookie distribution</t>
  </si>
  <si>
    <t>COOKIEDIST</t>
  </si>
  <si>
    <t>Count subsets with sum K</t>
  </si>
  <si>
    <t>COUNTSUBSETS</t>
  </si>
  <si>
    <t>Chef and His Two Friends</t>
  </si>
  <si>
    <t>CHEFANDTWOFR</t>
  </si>
  <si>
    <t>DSA Challenge - 09/02/26 - Monday Munch - DSA Challenge 24</t>
  </si>
  <si>
    <t>Chef Counts Primes</t>
  </si>
  <si>
    <t>FPTYY01</t>
  </si>
  <si>
    <t>Rotate the array</t>
  </si>
  <si>
    <t>ROTATEARRAY</t>
  </si>
  <si>
    <t>Chef and Stock Profits</t>
  </si>
  <si>
    <t>STOCKSPROFIT</t>
  </si>
  <si>
    <t>Chef Combines Intervals</t>
  </si>
  <si>
    <t>GBHHA01</t>
  </si>
  <si>
    <t>Chef Removes Overlapping Intervals</t>
  </si>
  <si>
    <t>COCRZ01</t>
  </si>
  <si>
    <t>DSA Challenge - 16/02/26 - Monday Munch - DSA Challenge 25</t>
  </si>
  <si>
    <t>PALINDRCHECK</t>
  </si>
  <si>
    <t>Maximum Possible MEX After Operations</t>
  </si>
  <si>
    <t>MEXOPERATION</t>
  </si>
  <si>
    <t>DSA Challenge - 23/02/26 - Monday Munch - DSA Challenge 25</t>
  </si>
  <si>
    <t>Count Reverse Pairs</t>
  </si>
  <si>
    <t>REVERSEPAIRS</t>
  </si>
  <si>
    <t>Chef and the Magical Subarray</t>
  </si>
  <si>
    <t>MAXPROSUBARR</t>
  </si>
  <si>
    <t>Chef Counts Provinces</t>
  </si>
  <si>
    <t>HBJRG01</t>
  </si>
  <si>
    <t>DSA Challenge - 02/03/26 - Monday Munch - DSA Challenge 27</t>
  </si>
  <si>
    <t>Alternating Array</t>
  </si>
  <si>
    <t>ALTNUMS</t>
  </si>
  <si>
    <t>Print subarray with maximum subarray sum</t>
  </si>
  <si>
    <t>PRINTSUBARAY</t>
  </si>
  <si>
    <t>Chef Builds Subsets</t>
  </si>
  <si>
    <t>BWFPF01</t>
  </si>
  <si>
    <t>Chef Solves Combination Sum III</t>
  </si>
  <si>
    <t>VYYCI01</t>
  </si>
  <si>
    <t>Ninja Training</t>
  </si>
  <si>
    <t>NINJATRAIN</t>
  </si>
  <si>
    <t>Chef Calculates Edit Distance</t>
  </si>
  <si>
    <t>VUUDN01</t>
  </si>
  <si>
    <t>DSA Challenge - 09/03/2026 - Monday Munch - DSA Challenge 28</t>
  </si>
  <si>
    <t>Largest bst in binary tree</t>
  </si>
  <si>
    <t>LARGESTBST</t>
  </si>
  <si>
    <t>Chef Finds Cheapest Flights</t>
  </si>
  <si>
    <t>EKMPU01</t>
  </si>
  <si>
    <t>DSA Challenge - 16/03/2026 - Monday Munch - DSA Challenge 29</t>
  </si>
  <si>
    <t>Chef Finds Single Number</t>
  </si>
  <si>
    <t>ZCIBE01</t>
  </si>
  <si>
    <t>Find the Two Unique Numbers</t>
  </si>
  <si>
    <t>TWOUNIQUE</t>
  </si>
  <si>
    <t>DSA Challenge - 23/03/26 - Monday Munch - DSA Challenge 30</t>
  </si>
  <si>
    <t>Find the insert position</t>
  </si>
  <si>
    <t>INSERTPOS</t>
  </si>
  <si>
    <t>Minimum Eating Speed</t>
  </si>
  <si>
    <t>MINEATING</t>
  </si>
  <si>
    <t>Bottom view of binary tree</t>
  </si>
  <si>
    <t>BOTTOMBINARY</t>
  </si>
  <si>
    <t>Symmetric binary tree</t>
  </si>
  <si>
    <t>SYMMETRICTRE</t>
  </si>
  <si>
    <t>Minimum time take to burn a BT from a given node</t>
  </si>
  <si>
    <t>BURNBT</t>
  </si>
  <si>
    <t>Iterative Preorder Traversal of Binary Tree</t>
  </si>
  <si>
    <t>ITERATIVEPRE</t>
  </si>
  <si>
    <t>DSA Challenge - 30/3/26 - Monday Munch - DSA Challenge 31</t>
  </si>
  <si>
    <t>Maximum Path Sum in a Binary Tree</t>
  </si>
  <si>
    <t>MAXPATHSUM</t>
  </si>
  <si>
    <t>Chef Finds Safe States</t>
  </si>
  <si>
    <t>XGWUY01</t>
  </si>
  <si>
    <t>Vertical Order Traversal of Binary Tree</t>
  </si>
  <si>
    <t>VERTICALTRAV</t>
  </si>
  <si>
    <t>Chef Solves Word Break</t>
  </si>
  <si>
    <t>TXBCN01</t>
  </si>
  <si>
    <t>Chef Swims Rising Water</t>
  </si>
  <si>
    <t>DEQCN01</t>
  </si>
  <si>
    <t>Chef Counts Unique Paths</t>
  </si>
  <si>
    <t>EIHKO01</t>
  </si>
  <si>
    <t>DSA Challenge - 06/04/26 - Monday Munch - DSA Challenge 32</t>
  </si>
  <si>
    <t>Preorder, Inorder, and Postorder Traversal in one</t>
  </si>
  <si>
    <t>PREINPOST</t>
  </si>
  <si>
    <t>Chef Maximizes Stock Profit - 2</t>
  </si>
  <si>
    <t>NASTA01</t>
  </si>
  <si>
    <t>Insert a node in BST</t>
  </si>
  <si>
    <t>INSERTBST</t>
  </si>
  <si>
    <t>Chef Builds Island</t>
  </si>
  <si>
    <t>MPYSW01</t>
  </si>
  <si>
    <t>Chef Merges Accounts</t>
  </si>
  <si>
    <t>IUAIS01</t>
  </si>
  <si>
    <t>Chef Finds Stock Profit - 3</t>
  </si>
  <si>
    <t>NZRYT01</t>
  </si>
  <si>
    <t>DSA Challenge - 13/04/26 - Monday Munch - DSA Challenge 33</t>
  </si>
  <si>
    <t>Subarray Sum equals k</t>
  </si>
  <si>
    <t>HASHP03</t>
  </si>
  <si>
    <t>Maximum Subarray</t>
  </si>
  <si>
    <t>MAXSUBARR</t>
  </si>
  <si>
    <t>1613</t>
  </si>
  <si>
    <t>Algorithms, Arrays, Basic Math, Data Structures, Greedy, Kadane Algorithm, Mathematics</t>
  </si>
  <si>
    <t>Next Permutation</t>
  </si>
  <si>
    <t>NEXTPERM</t>
  </si>
  <si>
    <t>Binary Search - Power Function</t>
  </si>
  <si>
    <t>PREP39</t>
  </si>
  <si>
    <t>Jump Game</t>
  </si>
  <si>
    <t>VISA02</t>
  </si>
  <si>
    <t>Dynamic Programming - Minimum Jumps</t>
  </si>
  <si>
    <t>PREP31</t>
  </si>
  <si>
    <t>DSA Challenge - 20/4/26 - Monday Munch - DSA Challenge 34</t>
  </si>
  <si>
    <t>Rating people</t>
  </si>
  <si>
    <t>RATINGPEPS</t>
  </si>
  <si>
    <t>Frequency of elements using Hashing</t>
  </si>
  <si>
    <t>DSAAGP36</t>
  </si>
  <si>
    <t>Hashing - Minimum Window Substring</t>
  </si>
  <si>
    <t>PREP51</t>
  </si>
  <si>
    <t>Interleaving String</t>
  </si>
  <si>
    <t>RECUR31</t>
  </si>
  <si>
    <t>Candy Distribution</t>
  </si>
  <si>
    <t>CANDYDIST</t>
  </si>
  <si>
    <t>668</t>
  </si>
  <si>
    <t>DSA Challenge - 27/4/26 - Monday Munch - DSA Challenge 35</t>
  </si>
  <si>
    <t>Chess tournament</t>
  </si>
  <si>
    <t>CHESSTOUR</t>
  </si>
  <si>
    <t>Hashing - Four Sum</t>
  </si>
  <si>
    <t>PREP27</t>
  </si>
  <si>
    <t>Aggressive Cows</t>
  </si>
  <si>
    <t>DSAAGP1098</t>
  </si>
  <si>
    <t>Graphs - Capture Regions</t>
  </si>
  <si>
    <t>PREP35</t>
  </si>
  <si>
    <t>Chef Calculates Network Delay</t>
  </si>
  <si>
    <t>KXTUW01</t>
  </si>
  <si>
    <t>Practice Strings - Intermediate</t>
  </si>
  <si>
    <t>Solve these intermediate level questions on Strings and continue learning data structures and algorithms</t>
  </si>
  <si>
    <t>Practice Strings - Intermediate practice</t>
  </si>
  <si>
    <t>Convert string to number</t>
  </si>
  <si>
    <t>STRTONUM</t>
  </si>
  <si>
    <t>Efficient PAN Linking</t>
  </si>
  <si>
    <t>EPANLNK</t>
  </si>
  <si>
    <t>1044</t>
  </si>
  <si>
    <t>Add One</t>
  </si>
  <si>
    <t>ADDONE</t>
  </si>
  <si>
    <t>Rotate String</t>
  </si>
  <si>
    <t>ROTATESTRING</t>
  </si>
  <si>
    <t>Check if a string is anagram of another</t>
  </si>
  <si>
    <t>ANAGRAMP</t>
  </si>
  <si>
    <t>Lapindromes</t>
  </si>
  <si>
    <t>LAPIN</t>
  </si>
  <si>
    <t>1159</t>
  </si>
  <si>
    <t>Arrays, Data Structures, Frequency Arrays, Hashmaps, Maps</t>
  </si>
  <si>
    <t>Chef and Character Frequency Sort</t>
  </si>
  <si>
    <t>FREQUENCYSOR</t>
  </si>
  <si>
    <t>Minimum Insertions to Make Parentheses Valid</t>
  </si>
  <si>
    <t>VALIDPAREN</t>
  </si>
  <si>
    <t>Chef and the Wildcard Matching</t>
  </si>
  <si>
    <t>TWOSTR</t>
  </si>
  <si>
    <t>1254</t>
  </si>
  <si>
    <t>Password</t>
  </si>
  <si>
    <t>PASSWD</t>
  </si>
  <si>
    <t>1470</t>
  </si>
  <si>
    <t>Intermediate Arrays and 2D Arrays</t>
  </si>
  <si>
    <t>Solve Intermediate Arrays and 2D arrays coding problems to continue learning data structures and algorithms.</t>
  </si>
  <si>
    <t>Intermediate Arrays - Practice problems</t>
  </si>
  <si>
    <t>Superstar Dishes</t>
  </si>
  <si>
    <t>MAJORELE2</t>
  </si>
  <si>
    <t>Leaders in an array</t>
  </si>
  <si>
    <t>LEADERINARAY</t>
  </si>
  <si>
    <t>2D Array / Matrices - Basic concepts</t>
  </si>
  <si>
    <t>2D Array / Matrices - Practice problems</t>
  </si>
  <si>
    <t>Spiral rotation</t>
  </si>
  <si>
    <t>DSCPPAS264</t>
  </si>
  <si>
    <t>Arrays, Strings &amp; Sorting</t>
  </si>
  <si>
    <t>Practice programming problems using Intemediate level DSA concepts of Arrays, Strings and Sorting</t>
  </si>
  <si>
    <t>Arrays, Strings, and Sorting - Practice</t>
  </si>
  <si>
    <t>Chef and Dolls</t>
  </si>
  <si>
    <t>MISSP</t>
  </si>
  <si>
    <t>1012</t>
  </si>
  <si>
    <t>Arrays, Data Structures, Divisibility, Frequency Arrays, Mathematics, Modular Arithmetic</t>
  </si>
  <si>
    <t>Devu and friendship testing</t>
  </si>
  <si>
    <t>CFRTEST</t>
  </si>
  <si>
    <t>1061</t>
  </si>
  <si>
    <t>Equal Elements</t>
  </si>
  <si>
    <t>EQUALELE</t>
  </si>
  <si>
    <t>Arrays, Data Structures, Frequency Arrays</t>
  </si>
  <si>
    <t>Dominant Element</t>
  </si>
  <si>
    <t>DOMINANT2</t>
  </si>
  <si>
    <t>1171</t>
  </si>
  <si>
    <t>Distinct Colors</t>
  </si>
  <si>
    <t>DISTINCTCOL</t>
  </si>
  <si>
    <t>760</t>
  </si>
  <si>
    <t>Arrays, Strings, and Sorting - Pro Practice</t>
  </si>
  <si>
    <t>Little Elephant and Lemonade</t>
  </si>
  <si>
    <t>LELEMON</t>
  </si>
  <si>
    <t>1472</t>
  </si>
  <si>
    <t>Equal Distinct</t>
  </si>
  <si>
    <t>EQDIS</t>
  </si>
  <si>
    <t>1288</t>
  </si>
  <si>
    <t>Maximum Expression</t>
  </si>
  <si>
    <t>MAXEXP</t>
  </si>
  <si>
    <t>1494</t>
  </si>
  <si>
    <t>List of Lists</t>
  </si>
  <si>
    <t>LISTLIST</t>
  </si>
  <si>
    <t>Greedy Algorithms</t>
  </si>
  <si>
    <t xml:space="preserve">Understanding Greedy algorithms helps in solving many complex problems where choosing the best option at each step provides the best solution.
</t>
  </si>
  <si>
    <t>Greedy Algorithms - Practice</t>
  </si>
  <si>
    <t>Changes remaining at Lemonade shop</t>
  </si>
  <si>
    <t>TDQVH01</t>
  </si>
  <si>
    <t>XYSTR</t>
  </si>
  <si>
    <t>Watson asks Does Permutation Exist</t>
  </si>
  <si>
    <t>PERMEXIS</t>
  </si>
  <si>
    <t>1207</t>
  </si>
  <si>
    <t>EVacuate to Moon</t>
  </si>
  <si>
    <t>MOONSOON</t>
  </si>
  <si>
    <t>1479</t>
  </si>
  <si>
    <t>Algorithms, Greedy, Sorting</t>
  </si>
  <si>
    <t>Chopsticks</t>
  </si>
  <si>
    <t>TACHSTCK</t>
  </si>
  <si>
    <t>1320</t>
  </si>
  <si>
    <t>Maximize Disjoint Pair Sum</t>
  </si>
  <si>
    <t>SUMPAIR</t>
  </si>
  <si>
    <t>1643</t>
  </si>
  <si>
    <t>Greedy Algorithms - Pro Practice</t>
  </si>
  <si>
    <t>Chef Inserts Insert Interval</t>
  </si>
  <si>
    <t>NSJNH01</t>
  </si>
  <si>
    <t>ZCO15003</t>
  </si>
  <si>
    <t>Little Elephant and Music</t>
  </si>
  <si>
    <t>LEMUSIC</t>
  </si>
  <si>
    <t>1691</t>
  </si>
  <si>
    <t>Snakes, Mongooses and the Ultimate Election</t>
  </si>
  <si>
    <t>SNELECT</t>
  </si>
  <si>
    <t>Valid Parenthesis String Practice</t>
  </si>
  <si>
    <t>ADYOB01</t>
  </si>
  <si>
    <t>Chef Solves Meeting Rooms III</t>
  </si>
  <si>
    <t>AVEEC01</t>
  </si>
  <si>
    <t>Practice Binary Search</t>
  </si>
  <si>
    <t>Practice intermediate level Binary search with these curate problems</t>
  </si>
  <si>
    <t>Binary Search - Practice</t>
  </si>
  <si>
    <t>Sheokand and Number</t>
  </si>
  <si>
    <t>SHKNUM</t>
  </si>
  <si>
    <t>1534</t>
  </si>
  <si>
    <t>Minion Chef and Bananas</t>
  </si>
  <si>
    <t>MINEAT</t>
  </si>
  <si>
    <t>1781</t>
  </si>
  <si>
    <t>Snake Eating</t>
  </si>
  <si>
    <t>SNAKEEAT</t>
  </si>
  <si>
    <t>1950</t>
  </si>
  <si>
    <t>Painter Partition Problem</t>
  </si>
  <si>
    <t>BSEX03</t>
  </si>
  <si>
    <t>Find minimum in a rotated sorted array</t>
  </si>
  <si>
    <t>MINROTSORTED</t>
  </si>
  <si>
    <t>Next Possible Event</t>
  </si>
  <si>
    <t>BSEX04</t>
  </si>
  <si>
    <t>Wildfire</t>
  </si>
  <si>
    <t>BSEX05</t>
  </si>
  <si>
    <t>Find Peak Element</t>
  </si>
  <si>
    <t>FINDPEAK</t>
  </si>
  <si>
    <t>abhay_1006</t>
  </si>
  <si>
    <t>Garden</t>
  </si>
  <si>
    <t>BSEX06</t>
  </si>
  <si>
    <t>Bouquet Garden</t>
  </si>
  <si>
    <t>BOUQUEGARDEN</t>
  </si>
  <si>
    <t>The Divisor Game</t>
  </si>
  <si>
    <t>SMALLESTDIVI</t>
  </si>
  <si>
    <t>Truck Driver Problem</t>
  </si>
  <si>
    <t>TRUCKDRIVER</t>
  </si>
  <si>
    <t>Split Array with Minimum Largest Sum</t>
  </si>
  <si>
    <t>SPLITARRAY</t>
  </si>
  <si>
    <t>Book Allocation</t>
  </si>
  <si>
    <t>BOOKALLOCATE</t>
  </si>
  <si>
    <t>Median of 2 sorted arrays</t>
  </si>
  <si>
    <t>MEDIANOFSORT</t>
  </si>
  <si>
    <t>Kth Element of Two Sorted Arrays</t>
  </si>
  <si>
    <t>KELMT2SORT</t>
  </si>
  <si>
    <t>Matrix Median</t>
  </si>
  <si>
    <t>MATRIXMEDIAN</t>
  </si>
  <si>
    <t>Row with Maximum 1s</t>
  </si>
  <si>
    <t>ROWMAXONE</t>
  </si>
  <si>
    <t>Find a Peak Element II</t>
  </si>
  <si>
    <t>PEAKELEMENTS</t>
  </si>
  <si>
    <t>Binary Search - Pro Practice</t>
  </si>
  <si>
    <t>Minimize the Maximum</t>
  </si>
  <si>
    <t>MINMAXARR</t>
  </si>
  <si>
    <t>1689</t>
  </si>
  <si>
    <t>Circular Intervals</t>
  </si>
  <si>
    <t>CIRCINTE</t>
  </si>
  <si>
    <t>1951</t>
  </si>
  <si>
    <t>Forest Gathering</t>
  </si>
  <si>
    <t>FORESTGA</t>
  </si>
  <si>
    <t>1829</t>
  </si>
  <si>
    <t>Squirrel and chestnut</t>
  </si>
  <si>
    <t>SQUIRREL</t>
  </si>
  <si>
    <t>1611</t>
  </si>
  <si>
    <t>Flu Shot Lineup</t>
  </si>
  <si>
    <t>FLUSHOT</t>
  </si>
  <si>
    <t>1692</t>
  </si>
  <si>
    <t>Dynamic programming</t>
  </si>
  <si>
    <t xml:space="preserve">Practice these 21 problems on Dynamic Programming to understand the pattern of questions and the different ways in which you can implement the solution. Practice concepts like Iterative DP, Recursive DP, 1D and 2D DP, Digit DP etc. </t>
  </si>
  <si>
    <t>Basic dynamic programming - Practice</t>
  </si>
  <si>
    <t>Alternating subarray prefix</t>
  </si>
  <si>
    <t>ALTARAY</t>
  </si>
  <si>
    <t>Algorithms, Basic Programming Concepts, Conditional Statements, Dynamic Programming, Observation, Patterns</t>
  </si>
  <si>
    <t>Sums in a Triangle</t>
  </si>
  <si>
    <t>SUMTRIAN</t>
  </si>
  <si>
    <t>869</t>
  </si>
  <si>
    <t>Fibonacci Series</t>
  </si>
  <si>
    <t>DPFIBONACCI</t>
  </si>
  <si>
    <t>Event Organizer</t>
  </si>
  <si>
    <t>MAXCOMP</t>
  </si>
  <si>
    <t>Algorithms, Dynamic Programming, Implementation, Sorting</t>
  </si>
  <si>
    <t>Chef robs House II</t>
  </si>
  <si>
    <t>MTSQO01</t>
  </si>
  <si>
    <t>Magic Rankings</t>
  </si>
  <si>
    <t>MGCRNK</t>
  </si>
  <si>
    <t>SUPW</t>
  </si>
  <si>
    <t>ZCO14002</t>
  </si>
  <si>
    <t>IPL</t>
  </si>
  <si>
    <t>ZCO14004</t>
  </si>
  <si>
    <t>Chef Finds Minimum Path</t>
  </si>
  <si>
    <t>BGJOM01</t>
  </si>
  <si>
    <t>Break Up</t>
  </si>
  <si>
    <t>ZCO15001</t>
  </si>
  <si>
    <t>Chef Solves Climbing Stairs</t>
  </si>
  <si>
    <t>YMISN01</t>
  </si>
  <si>
    <t>ZJIHK01</t>
  </si>
  <si>
    <t>Chef Finds Falling Path</t>
  </si>
  <si>
    <t>NPTAS01</t>
  </si>
  <si>
    <t>Chef Assign Cookies</t>
  </si>
  <si>
    <t>HBSBE01</t>
  </si>
  <si>
    <t>Chef Finds Stock Profit - 1</t>
  </si>
  <si>
    <t>WGBUW01</t>
  </si>
  <si>
    <t>Basic dynamic programming - Pro Practice</t>
  </si>
  <si>
    <t>Subset with target sum</t>
  </si>
  <si>
    <t>SUBSETTARGET</t>
  </si>
  <si>
    <t>MAXCROSS</t>
  </si>
  <si>
    <t>The White Knight</t>
  </si>
  <si>
    <t>E1</t>
  </si>
  <si>
    <t>1530</t>
  </si>
  <si>
    <t>Chef Verifies Equal Subset Sum</t>
  </si>
  <si>
    <t>VYISQ01</t>
  </si>
  <si>
    <t>Chef Solves Coin Change II</t>
  </si>
  <si>
    <t>DORKL01</t>
  </si>
  <si>
    <t>CAO Stage-2</t>
  </si>
  <si>
    <t>CAOS2</t>
  </si>
  <si>
    <t>1676</t>
  </si>
  <si>
    <t>Dish Distribution</t>
  </si>
  <si>
    <t>DISHDIS</t>
  </si>
  <si>
    <t>1596</t>
  </si>
  <si>
    <t>Chef Counts Subsequences</t>
  </si>
  <si>
    <t>TNGUI01</t>
  </si>
  <si>
    <t>Barcelona Gameplay Tactics</t>
  </si>
  <si>
    <t>FCBARCA</t>
  </si>
  <si>
    <t>1658</t>
  </si>
  <si>
    <t>Bamboo Art</t>
  </si>
  <si>
    <t>ZCO16002</t>
  </si>
  <si>
    <t>Calvins Game</t>
  </si>
  <si>
    <t>INOI1301</t>
  </si>
  <si>
    <t>Longest Increasing Subsequence</t>
  </si>
  <si>
    <t>PEC005</t>
  </si>
  <si>
    <t>Easy Tiling</t>
  </si>
  <si>
    <t>TILE</t>
  </si>
  <si>
    <t>Little Red Riding Hood</t>
  </si>
  <si>
    <t>ZCO13002</t>
  </si>
  <si>
    <t>Chef Validates Wildcard</t>
  </si>
  <si>
    <t>ZGXXI01</t>
  </si>
  <si>
    <t>Chef Counts Increasing Subsequences</t>
  </si>
  <si>
    <t>URERF01</t>
  </si>
  <si>
    <t>Chef Finds Divisible Subset</t>
  </si>
  <si>
    <t>UAAIW01</t>
  </si>
  <si>
    <t>Chef Builds String Chain</t>
  </si>
  <si>
    <t>ZGXNF01</t>
  </si>
  <si>
    <t>Chef Maximizes Stock Profit - 4</t>
  </si>
  <si>
    <t>YHPHV01</t>
  </si>
  <si>
    <t>Chef Calculates Stock Profit - 5</t>
  </si>
  <si>
    <t>MLONT01</t>
  </si>
  <si>
    <t>Chef Calculates Stock Profit - 6</t>
  </si>
  <si>
    <t>JKPLU01</t>
  </si>
  <si>
    <t>Chef Finds Common Subsequence</t>
  </si>
  <si>
    <t>OIWPE01</t>
  </si>
  <si>
    <t>Chef Finds Palindromic Subsequence</t>
  </si>
  <si>
    <t>RXYOO01</t>
  </si>
  <si>
    <t>Chef Calculates Palindrome Insertions</t>
  </si>
  <si>
    <t>NGEXK01</t>
  </si>
  <si>
    <t>Number theory</t>
  </si>
  <si>
    <t xml:space="preserve">Practice problems on number theory concepts like Euclid’s algorithm for GCD, LCM, prime factorization etc
</t>
  </si>
  <si>
    <t>Basic number theory - Practice</t>
  </si>
  <si>
    <t>Budget of Technex</t>
  </si>
  <si>
    <t>BUDTECH</t>
  </si>
  <si>
    <t>449</t>
  </si>
  <si>
    <t>Ranklist Pages</t>
  </si>
  <si>
    <t>RANKLISTPAGE</t>
  </si>
  <si>
    <t>590</t>
  </si>
  <si>
    <t>Better Deal</t>
  </si>
  <si>
    <t>BETDEAL</t>
  </si>
  <si>
    <t>584</t>
  </si>
  <si>
    <t>Online or Offline</t>
  </si>
  <si>
    <t>FOODPLAN</t>
  </si>
  <si>
    <t>713</t>
  </si>
  <si>
    <t>Redistributing Chocolates</t>
  </si>
  <si>
    <t>REDSTRBTN</t>
  </si>
  <si>
    <t>842</t>
  </si>
  <si>
    <t>Lucky Numbers</t>
  </si>
  <si>
    <t>LUCKYN</t>
  </si>
  <si>
    <t>655</t>
  </si>
  <si>
    <t>Return the Change</t>
  </si>
  <si>
    <t>RETURNCHANGE</t>
  </si>
  <si>
    <t>763</t>
  </si>
  <si>
    <t>Paper Cutting</t>
  </si>
  <si>
    <t>CUTPAPER</t>
  </si>
  <si>
    <t>APPLEORANGE</t>
  </si>
  <si>
    <t>GCD, Mathematics, Number Theory</t>
  </si>
  <si>
    <t>Hackerman</t>
  </si>
  <si>
    <t>PRIMEDICE</t>
  </si>
  <si>
    <t>643</t>
  </si>
  <si>
    <t>Basic number theory - Pro Practice</t>
  </si>
  <si>
    <t>Cutting Recipes</t>
  </si>
  <si>
    <t>RECIPE</t>
  </si>
  <si>
    <t>1047</t>
  </si>
  <si>
    <t>Existence</t>
  </si>
  <si>
    <t>EXISTENCE</t>
  </si>
  <si>
    <t>Basic Programming Concepts, Data Types, Mathematics</t>
  </si>
  <si>
    <t>Walk on the Axis</t>
  </si>
  <si>
    <t>ANUWTA</t>
  </si>
  <si>
    <t>1374</t>
  </si>
  <si>
    <t>Musical Chairs</t>
  </si>
  <si>
    <t>MUSICHAIR</t>
  </si>
  <si>
    <t>Chef and Interview</t>
  </si>
  <si>
    <t>CHEFLCM</t>
  </si>
  <si>
    <t>1447</t>
  </si>
  <si>
    <t>Add smallest prime factor</t>
  </si>
  <si>
    <t>PRIMEFACT</t>
  </si>
  <si>
    <t>1272</t>
  </si>
  <si>
    <t>Dazzling GCD Pair</t>
  </si>
  <si>
    <t>NOTUNIT</t>
  </si>
  <si>
    <t>1177</t>
  </si>
  <si>
    <t>Number of Factors</t>
  </si>
  <si>
    <t>NUMFACT</t>
  </si>
  <si>
    <t>1710</t>
  </si>
  <si>
    <t>Luigi and Uniformity</t>
  </si>
  <si>
    <t>DIVIDEMAKEEQ</t>
  </si>
  <si>
    <t>1185</t>
  </si>
  <si>
    <t>Little Elephant and Divisors</t>
  </si>
  <si>
    <t>LEDIV</t>
  </si>
  <si>
    <t>1716</t>
  </si>
  <si>
    <t>The hardest gcd problem</t>
  </si>
  <si>
    <t>GCDDIV</t>
  </si>
  <si>
    <t>Strong Elements</t>
  </si>
  <si>
    <t>STRNG</t>
  </si>
  <si>
    <t>1507</t>
  </si>
  <si>
    <t>Two Pointers and Sliding Window Technique</t>
  </si>
  <si>
    <t>The two pointer and sliding window techniques are widely used algorithmic approach in computer science and programming. It is used to solve problems that can be efficiently solved by maintaining two positions or indices in a sequence or array.</t>
  </si>
  <si>
    <t>Two-Pointer - Two-Pointers</t>
  </si>
  <si>
    <t>Remove Duplicates</t>
  </si>
  <si>
    <t>PREP69</t>
  </si>
  <si>
    <t>Your Name is Mine</t>
  </si>
  <si>
    <t>NAME2</t>
  </si>
  <si>
    <t>1285</t>
  </si>
  <si>
    <t>Sort Array by Parity</t>
  </si>
  <si>
    <t>DSAPROB16</t>
  </si>
  <si>
    <t>Coronavirus Spread</t>
  </si>
  <si>
    <t>COVID19</t>
  </si>
  <si>
    <t>1219</t>
  </si>
  <si>
    <t>Two pointers</t>
  </si>
  <si>
    <t>Difference Pairs</t>
  </si>
  <si>
    <t>PREP68</t>
  </si>
  <si>
    <t>Algorithms, Simple Algos, Two pointers</t>
  </si>
  <si>
    <t>Maximum Common Elements</t>
  </si>
  <si>
    <t>PREP17</t>
  </si>
  <si>
    <t>Two-Pointer - Two-Pointers additional practice</t>
  </si>
  <si>
    <t>Chef and Rainbow Array</t>
  </si>
  <si>
    <t>RAINBOWA</t>
  </si>
  <si>
    <t>1467</t>
  </si>
  <si>
    <t>Check Square</t>
  </si>
  <si>
    <t>DSCPPAS278C</t>
  </si>
  <si>
    <t>Find Array Min</t>
  </si>
  <si>
    <t>PREP18</t>
  </si>
  <si>
    <t>Count Pairs</t>
  </si>
  <si>
    <t>DSAPROB15</t>
  </si>
  <si>
    <t>Flipping subarray</t>
  </si>
  <si>
    <t>DSCPPAS277</t>
  </si>
  <si>
    <t>College Life 5</t>
  </si>
  <si>
    <t>COLGLF5</t>
  </si>
  <si>
    <t>1651</t>
  </si>
  <si>
    <t>Algorithms, Constructive, Implementation, Simple Algos, Sorting, Two pointers, ad-hoc</t>
  </si>
  <si>
    <t>Vowel Anxiety</t>
  </si>
  <si>
    <t>VOWANX</t>
  </si>
  <si>
    <t>Sliding Window - Sliding Window</t>
  </si>
  <si>
    <t>Sliding Window</t>
  </si>
  <si>
    <t>SLDW0101</t>
  </si>
  <si>
    <t>The Great Run</t>
  </si>
  <si>
    <t>PROC18A</t>
  </si>
  <si>
    <t>1097</t>
  </si>
  <si>
    <t>Finding the Subarray with Minimum Sum of Size K</t>
  </si>
  <si>
    <t>SLDW0105</t>
  </si>
  <si>
    <t>K Sum</t>
  </si>
  <si>
    <t>DSCPPAS278B</t>
  </si>
  <si>
    <t>Subarray with 0, 1, 2</t>
  </si>
  <si>
    <t>DSCPPAS275</t>
  </si>
  <si>
    <t>MAXSEGM</t>
  </si>
  <si>
    <t>1D Arrays, Algorithms, Arrays, Data Structures, Simple Algos, Two pointers</t>
  </si>
  <si>
    <t>Minimum Similar Substring</t>
  </si>
  <si>
    <t>MINSIM</t>
  </si>
  <si>
    <t>Asymmetric Swaps</t>
  </si>
  <si>
    <t>ARRSWAP</t>
  </si>
  <si>
    <t>1230</t>
  </si>
  <si>
    <t>Algorithms, Arrays, Data Structures, Simple Algos, Sorting, Two pointers</t>
  </si>
  <si>
    <t>Subarray with k distinct number</t>
  </si>
  <si>
    <t>KSUBARRAYS</t>
  </si>
  <si>
    <t>Bit manipulation</t>
  </si>
  <si>
    <t>Learn bitwise operations, practice with 35+ problems, and improve your DSA skills. Explore our guide to bit manipulation in various programming languages.</t>
  </si>
  <si>
    <t>Bit manipulation - Educational problems</t>
  </si>
  <si>
    <t>And, OR, XOR</t>
  </si>
  <si>
    <t>BITMEDU1</t>
  </si>
  <si>
    <t>Decimal to binary</t>
  </si>
  <si>
    <t>BITMEDU6</t>
  </si>
  <si>
    <t>Left shift, Right shift</t>
  </si>
  <si>
    <t>BITMEDU3</t>
  </si>
  <si>
    <t>Finding least significant, most significant bit</t>
  </si>
  <si>
    <t>BITMEDU7</t>
  </si>
  <si>
    <t>How to set, unset, flip a bit</t>
  </si>
  <si>
    <t>BITMEDU2</t>
  </si>
  <si>
    <t>Is the i-th bit set</t>
  </si>
  <si>
    <t>ITHBITSET</t>
  </si>
  <si>
    <t>Bit Manipulation - Reverse Bits</t>
  </si>
  <si>
    <t>PREP46</t>
  </si>
  <si>
    <t>Chef Checks Power</t>
  </si>
  <si>
    <t>XHHAP01</t>
  </si>
  <si>
    <t>Bit Manipulation - Single Number</t>
  </si>
  <si>
    <t>PREP45</t>
  </si>
  <si>
    <t>Bit manipulation - Bit manipulation practice</t>
  </si>
  <si>
    <t>Xor Palindrome</t>
  </si>
  <si>
    <t>XORPAL</t>
  </si>
  <si>
    <t>1339</t>
  </si>
  <si>
    <t>Chef Finds Minimum Bit Flips to Convert Number</t>
  </si>
  <si>
    <t>CCWFS01</t>
  </si>
  <si>
    <t>Xor Again</t>
  </si>
  <si>
    <t>XORAGN</t>
  </si>
  <si>
    <t>1334</t>
  </si>
  <si>
    <t>Playing with OR</t>
  </si>
  <si>
    <t>FIZZBUZZ2304</t>
  </si>
  <si>
    <t>1365</t>
  </si>
  <si>
    <t>Algorithms, Bit Manipulation, Bitwise Operation, Mathematics, Simple Algos</t>
  </si>
  <si>
    <t>Ciel and Receipt</t>
  </si>
  <si>
    <t>CIELRCPT</t>
  </si>
  <si>
    <t>Algorithms, Bit Manipulation, Greedy, Mathematics</t>
  </si>
  <si>
    <t>Dazzling AXNODR Challenge</t>
  </si>
  <si>
    <t>AXNODR</t>
  </si>
  <si>
    <t>1246</t>
  </si>
  <si>
    <t>Algorithms, Bit Manipulation, Mathematics, Observation</t>
  </si>
  <si>
    <t>Priya and AND</t>
  </si>
  <si>
    <t>CENS20D</t>
  </si>
  <si>
    <t>1143</t>
  </si>
  <si>
    <t>Algorithms, Bit Manipulation, Brute Force, Mathematics</t>
  </si>
  <si>
    <t>Xor Equality</t>
  </si>
  <si>
    <t>XOREQUAL</t>
  </si>
  <si>
    <t>1405</t>
  </si>
  <si>
    <t>The Unchanging OR</t>
  </si>
  <si>
    <t>UNCHANGEDOR</t>
  </si>
  <si>
    <t>1389</t>
  </si>
  <si>
    <t>Longest AND Subarray</t>
  </si>
  <si>
    <t>ANDSUBAR</t>
  </si>
  <si>
    <t>1502</t>
  </si>
  <si>
    <t>Algorithms, Basic Math, Basic Programming Concepts, Bit Manipulation, Bitwise Operation, Constructive, Inbuilt functions, Logarithm, Mathematics, Number Theory, Observation, ad-hoc</t>
  </si>
  <si>
    <t>Bit Manipulation - Sum of Bits</t>
  </si>
  <si>
    <t>PREP16</t>
  </si>
  <si>
    <t>Chef and the XORed Number</t>
  </si>
  <si>
    <t>XORNUBER</t>
  </si>
  <si>
    <t>1661</t>
  </si>
  <si>
    <t>XOR and AND</t>
  </si>
  <si>
    <t>XORAND</t>
  </si>
  <si>
    <t>1625</t>
  </si>
  <si>
    <t>CVDMX01</t>
  </si>
  <si>
    <t>Append for OR</t>
  </si>
  <si>
    <t>APPENDOR</t>
  </si>
  <si>
    <t>1201</t>
  </si>
  <si>
    <t>Bit Manipulation, Bitwise Operation, Mathematics</t>
  </si>
  <si>
    <t>Make them Zero</t>
  </si>
  <si>
    <t>MAKEZERO</t>
  </si>
  <si>
    <t>Possible or Not</t>
  </si>
  <si>
    <t>CS2023_PON</t>
  </si>
  <si>
    <t>1578</t>
  </si>
  <si>
    <t>Bit Manipulation, Bitmasking, Mathematics</t>
  </si>
  <si>
    <t>Simple XOR</t>
  </si>
  <si>
    <t>SIMPLE_XOR</t>
  </si>
  <si>
    <t>1362</t>
  </si>
  <si>
    <t>Bitwise Equation</t>
  </si>
  <si>
    <t>BITEQU</t>
  </si>
  <si>
    <t>1679</t>
  </si>
  <si>
    <t>Advanced Algorithms, Bit Manipulation, Bitwise Operation, Mathematics, Randomized Algorithms</t>
  </si>
  <si>
    <t>Chef Solves Pow</t>
  </si>
  <si>
    <t>EBQZC01</t>
  </si>
  <si>
    <t>LARGESTY</t>
  </si>
  <si>
    <t>Algorithms, Bit Manipulation, Bitwise Operation, Mathematics, Observation</t>
  </si>
  <si>
    <t>Prime Xor</t>
  </si>
  <si>
    <t>PRIME_XOR</t>
  </si>
  <si>
    <t>1519</t>
  </si>
  <si>
    <t>Pairwise Xors</t>
  </si>
  <si>
    <t>XORABC</t>
  </si>
  <si>
    <t>1609</t>
  </si>
  <si>
    <t>XOR N-bonacci Sequence</t>
  </si>
  <si>
    <t>NBONACCI</t>
  </si>
  <si>
    <t>1552</t>
  </si>
  <si>
    <t>1D Arrays, Algorithms, Arrays, Bit Manipulation, Bitwise Operation, Constructive, Data Structures, Mathematics, ad-hoc</t>
  </si>
  <si>
    <t>And Or Union</t>
  </si>
  <si>
    <t>ANDORUNI</t>
  </si>
  <si>
    <t>1728</t>
  </si>
  <si>
    <t>Algorithms, Bit Manipulation, Bitwise Operation, Constructive, Mathematics, ad-hoc</t>
  </si>
  <si>
    <t>OR-thodox Distinction</t>
  </si>
  <si>
    <t>ORTHODOX</t>
  </si>
  <si>
    <t>Algorithms, Bit Manipulation, Bitwise Operation, Brute Force, Mathematics, Observation</t>
  </si>
  <si>
    <t>HXOR</t>
  </si>
  <si>
    <t>Bit Manipulation, Mathematics</t>
  </si>
  <si>
    <t>Binary Shuffle</t>
  </si>
  <si>
    <t>BINSHFFL</t>
  </si>
  <si>
    <t>1747</t>
  </si>
  <si>
    <t>Algorithms, BFS, Binary, Bit Manipulation, Bitwise Operation, Floyd Warshall's Algorithm, Graph Algos, Mathematics, Number System, Observation, Shortest Paths, Traversals</t>
  </si>
  <si>
    <t>Chef Divides Integers</t>
  </si>
  <si>
    <t>PMLYR01</t>
  </si>
  <si>
    <t>Prefix Sum Problems</t>
  </si>
  <si>
    <t>Practice these 14 problems on Prefix and Suffix sum. Learn about how to create prefix arrays, suffix arrays and use them to efficiently solve a variety of programming problems.</t>
  </si>
  <si>
    <t>Prefix and Suffix Sum - Prefix sums</t>
  </si>
  <si>
    <t>Optimal Denomination</t>
  </si>
  <si>
    <t>MINNOTES</t>
  </si>
  <si>
    <t>1759</t>
  </si>
  <si>
    <t>Algorithms, GCD, Mathematics, Number Theory, Prefix Sum, Simple Algos, Suffix Sum</t>
  </si>
  <si>
    <t>Good Subarrays 2</t>
  </si>
  <si>
    <t>PREFPRO4</t>
  </si>
  <si>
    <t>Rectangular Queries</t>
  </si>
  <si>
    <t>RECTQUER</t>
  </si>
  <si>
    <t>1778</t>
  </si>
  <si>
    <t>Again XOR problem</t>
  </si>
  <si>
    <t>KLXOR</t>
  </si>
  <si>
    <t>Algorithms, Basic Math, Bit Manipulation, Bitwise Operation, Data Structures, Mathematics, Prefix Sum, Simple Algos, String</t>
  </si>
  <si>
    <t>Binod</t>
  </si>
  <si>
    <t>BIN_OD</t>
  </si>
  <si>
    <t>1776</t>
  </si>
  <si>
    <t>Algorithms, Bit Manipulation, Bitwise Operation, Mathematics, Prefix Sum, Simple Algos</t>
  </si>
  <si>
    <t>Mystical Numbers</t>
  </si>
  <si>
    <t>XORGAND</t>
  </si>
  <si>
    <t>1702</t>
  </si>
  <si>
    <t>Advanced Arrays and Strings</t>
  </si>
  <si>
    <t>Solve advanced coding problems on Arrays and strings to continue learning data structures and algorithms.</t>
  </si>
  <si>
    <t>Arrays - advanced - Arrays</t>
  </si>
  <si>
    <t>Count max Subarray</t>
  </si>
  <si>
    <t>DSCPPAS262</t>
  </si>
  <si>
    <t>Minions and Voting</t>
  </si>
  <si>
    <t>MINVOTE</t>
  </si>
  <si>
    <t>1830</t>
  </si>
  <si>
    <t>Triplets</t>
  </si>
  <si>
    <t>SUMQ</t>
  </si>
  <si>
    <t>1772</t>
  </si>
  <si>
    <t>Sereja and Commands</t>
  </si>
  <si>
    <t>SEACO</t>
  </si>
  <si>
    <t>1990</t>
  </si>
  <si>
    <t>Chef and Strings</t>
  </si>
  <si>
    <t>STRQ</t>
  </si>
  <si>
    <t>1930</t>
  </si>
  <si>
    <t>Max Range Queries</t>
  </si>
  <si>
    <t>MAXREMOV</t>
  </si>
  <si>
    <t>2057</t>
  </si>
  <si>
    <t>Algorithms, Arrays, Constructive, Data Structures, Difference Arrays, Prefix Sum, Simple Algos, ad-hoc</t>
  </si>
  <si>
    <t>Angry Cyborg</t>
  </si>
  <si>
    <t>AGCY</t>
  </si>
  <si>
    <t>2072</t>
  </si>
  <si>
    <t>AP, Algorithms, Mathematics, Queries, Range Queries, Sequences and Progression</t>
  </si>
  <si>
    <t>Cherry and Bits</t>
  </si>
  <si>
    <t>CENS20A</t>
  </si>
  <si>
    <t>2179</t>
  </si>
  <si>
    <t>2D Arrays, Arrays, Data Structures, Difference Arrays</t>
  </si>
  <si>
    <t>Sum of Cube</t>
  </si>
  <si>
    <t>SUMOFCUBE</t>
  </si>
  <si>
    <t>2259</t>
  </si>
  <si>
    <t>Strings - advanced - Strings</t>
  </si>
  <si>
    <t>Check if a string is a substring of another</t>
  </si>
  <si>
    <t>SUBSTRINGP</t>
  </si>
  <si>
    <t>Repeated String Match</t>
  </si>
  <si>
    <t>STRINGMATCH</t>
  </si>
  <si>
    <t>Count-and-Say Sequence</t>
  </si>
  <si>
    <t>COUNTSAY</t>
  </si>
  <si>
    <t>Check Isomorphic Strings</t>
  </si>
  <si>
    <t>ISOMORPHICST</t>
  </si>
  <si>
    <t>Sum of Beauty of All Substrings</t>
  </si>
  <si>
    <t>SUBSTRINGSUM</t>
  </si>
  <si>
    <t>Longest Palindromic Substring</t>
  </si>
  <si>
    <t>LONGESTPALIN</t>
  </si>
  <si>
    <t>Longest Happy Prefix</t>
  </si>
  <si>
    <t>HAPPYNUMBER</t>
  </si>
  <si>
    <t>First Occurrence of Substring</t>
  </si>
  <si>
    <t>ZFUNCTION</t>
  </si>
  <si>
    <t>Shortest Palindrome</t>
  </si>
  <si>
    <t>SHORTPALINDR</t>
  </si>
  <si>
    <t>Typing Letter</t>
  </si>
  <si>
    <t>TYPE</t>
  </si>
  <si>
    <t>500 difficulty rating</t>
  </si>
  <si>
    <t>Practice the most basic problems available on CodeChef. The problems are in the difficulty range of 0 - 500.</t>
  </si>
  <si>
    <t>Less than 500 difficulty rating - Less than 500</t>
  </si>
  <si>
    <t>Cricket World Cup Qualifier</t>
  </si>
  <si>
    <t>CWC23QUALIF</t>
  </si>
  <si>
    <t>203</t>
  </si>
  <si>
    <t>start109, surajmsharma</t>
  </si>
  <si>
    <t>Lucky Seven</t>
  </si>
  <si>
    <t>LUCKYSEVEN</t>
  </si>
  <si>
    <t>213</t>
  </si>
  <si>
    <t>Clear Day</t>
  </si>
  <si>
    <t>CLEARDAY</t>
  </si>
  <si>
    <t>233</t>
  </si>
  <si>
    <t>notsoloud, start107</t>
  </si>
  <si>
    <t>Double Rent</t>
  </si>
  <si>
    <t>DOUBLERENT</t>
  </si>
  <si>
    <t>234</t>
  </si>
  <si>
    <t>notsoloud, start104</t>
  </si>
  <si>
    <t>Saving Taxes</t>
  </si>
  <si>
    <t>TAXSAVING</t>
  </si>
  <si>
    <t>252</t>
  </si>
  <si>
    <t>Masterchef finals</t>
  </si>
  <si>
    <t>TOP10</t>
  </si>
  <si>
    <t>255</t>
  </si>
  <si>
    <t>Biryani classes</t>
  </si>
  <si>
    <t>BIRYANI</t>
  </si>
  <si>
    <t>257</t>
  </si>
  <si>
    <t>Chef Plays Ludo</t>
  </si>
  <si>
    <t>LUDO</t>
  </si>
  <si>
    <t>260</t>
  </si>
  <si>
    <t>How many unattempted problems</t>
  </si>
  <si>
    <t>PRACLIST</t>
  </si>
  <si>
    <t>264</t>
  </si>
  <si>
    <t>Determine the Score</t>
  </si>
  <si>
    <t>DETSCORE</t>
  </si>
  <si>
    <t>267</t>
  </si>
  <si>
    <t>404 Not Found</t>
  </si>
  <si>
    <t>ERROR404</t>
  </si>
  <si>
    <t>notsoloud, start111</t>
  </si>
  <si>
    <t>Off By One</t>
  </si>
  <si>
    <t>OFFBY1</t>
  </si>
  <si>
    <t>271</t>
  </si>
  <si>
    <t>Donation Drive</t>
  </si>
  <si>
    <t>DONDRIVE</t>
  </si>
  <si>
    <t>272</t>
  </si>
  <si>
    <t>Kitchen Timings</t>
  </si>
  <si>
    <t>KITCHENTIME</t>
  </si>
  <si>
    <t>273</t>
  </si>
  <si>
    <t>IPL Ticket Rush</t>
  </si>
  <si>
    <t>IPLTRSH</t>
  </si>
  <si>
    <t>Audible Range</t>
  </si>
  <si>
    <t>AUDIBLE</t>
  </si>
  <si>
    <t>279</t>
  </si>
  <si>
    <t>Reach on Time</t>
  </si>
  <si>
    <t>TIMELY</t>
  </si>
  <si>
    <t>Puzzle Hunt</t>
  </si>
  <si>
    <t>PUZHUNT</t>
  </si>
  <si>
    <t>Basic Programming Concepts, Conditional Statements</t>
  </si>
  <si>
    <t>Bone Appetit</t>
  </si>
  <si>
    <t>BNE_APT</t>
  </si>
  <si>
    <t>280</t>
  </si>
  <si>
    <t>manasagarwal12, start105</t>
  </si>
  <si>
    <t>Who is taller!</t>
  </si>
  <si>
    <t>TALLER</t>
  </si>
  <si>
    <t>281</t>
  </si>
  <si>
    <t>Reach the Target</t>
  </si>
  <si>
    <t>REACHTARGET</t>
  </si>
  <si>
    <t>Best of Two</t>
  </si>
  <si>
    <t>BESTOFTWO</t>
  </si>
  <si>
    <t>284</t>
  </si>
  <si>
    <t>jeevan_adm, start45</t>
  </si>
  <si>
    <t>2000</t>
  </si>
  <si>
    <t>RIP2000</t>
  </si>
  <si>
    <t>Roller Coaster</t>
  </si>
  <si>
    <t>MINHEIGHT</t>
  </si>
  <si>
    <t>285</t>
  </si>
  <si>
    <t>jeevanjyot, math, start37</t>
  </si>
  <si>
    <t>Candy Division</t>
  </si>
  <si>
    <t>CANDIVIDE</t>
  </si>
  <si>
    <t>289</t>
  </si>
  <si>
    <t>Chef On Date</t>
  </si>
  <si>
    <t>CHEFONDATE</t>
  </si>
  <si>
    <t>294</t>
  </si>
  <si>
    <t>Parity</t>
  </si>
  <si>
    <t>PAR2</t>
  </si>
  <si>
    <t>295</t>
  </si>
  <si>
    <t>Total Prize Money</t>
  </si>
  <si>
    <t>PRIZEPOOL</t>
  </si>
  <si>
    <t>296</t>
  </si>
  <si>
    <t>Counting Words</t>
  </si>
  <si>
    <t>CNTWRD</t>
  </si>
  <si>
    <t>Battery Health</t>
  </si>
  <si>
    <t>BTRYHLTH</t>
  </si>
  <si>
    <t>Tom and Jerry Chase</t>
  </si>
  <si>
    <t>JERRYCHASE</t>
  </si>
  <si>
    <t>298</t>
  </si>
  <si>
    <t>Ageing</t>
  </si>
  <si>
    <t>AGEING</t>
  </si>
  <si>
    <t>299</t>
  </si>
  <si>
    <t>Right There</t>
  </si>
  <si>
    <t>RIGHTTHERE</t>
  </si>
  <si>
    <t>Bull or Bear</t>
  </si>
  <si>
    <t>BULLBEAR</t>
  </si>
  <si>
    <t>Four Tickets</t>
  </si>
  <si>
    <t>FOURTICKETS</t>
  </si>
  <si>
    <t>302</t>
  </si>
  <si>
    <t>Chairs Requirement</t>
  </si>
  <si>
    <t>CHAIRS_</t>
  </si>
  <si>
    <t>305</t>
  </si>
  <si>
    <t>Chef and Donation</t>
  </si>
  <si>
    <t>DNATION</t>
  </si>
  <si>
    <t>Sum it</t>
  </si>
  <si>
    <t>SUMM</t>
  </si>
  <si>
    <t>308</t>
  </si>
  <si>
    <t>Get Subscription</t>
  </si>
  <si>
    <t>SUBSCRIBE</t>
  </si>
  <si>
    <t>315</t>
  </si>
  <si>
    <t>Messi vs Ronaldo</t>
  </si>
  <si>
    <t>MVR</t>
  </si>
  <si>
    <t>316</t>
  </si>
  <si>
    <t>Waiting Time</t>
  </si>
  <si>
    <t>WAITTIME</t>
  </si>
  <si>
    <t>319</t>
  </si>
  <si>
    <t>October Marathon</t>
  </si>
  <si>
    <t>OCTATHON</t>
  </si>
  <si>
    <t>Just One More Episode</t>
  </si>
  <si>
    <t>ONEMORE</t>
  </si>
  <si>
    <t>320</t>
  </si>
  <si>
    <t>Mana Points</t>
  </si>
  <si>
    <t>MANAPTS</t>
  </si>
  <si>
    <t>327</t>
  </si>
  <si>
    <t>Rain in Chefland</t>
  </si>
  <si>
    <t>RAINFALL1</t>
  </si>
  <si>
    <t>328</t>
  </si>
  <si>
    <t>Bidding</t>
  </si>
  <si>
    <t>AUCTION</t>
  </si>
  <si>
    <t>330</t>
  </si>
  <si>
    <t>Overspeeding Fine</t>
  </si>
  <si>
    <t>FINE</t>
  </si>
  <si>
    <t>335</t>
  </si>
  <si>
    <t>Chess Time</t>
  </si>
  <si>
    <t>CHESSTIME</t>
  </si>
  <si>
    <t>337</t>
  </si>
  <si>
    <t>Passes for Fair</t>
  </si>
  <si>
    <t>FAIRPASS</t>
  </si>
  <si>
    <t>342</t>
  </si>
  <si>
    <t>Read Pages</t>
  </si>
  <si>
    <t>READPAGES</t>
  </si>
  <si>
    <t>343</t>
  </si>
  <si>
    <t>Couple Game</t>
  </si>
  <si>
    <t>COUGAME</t>
  </si>
  <si>
    <t>347</t>
  </si>
  <si>
    <t>Air Quality Index</t>
  </si>
  <si>
    <t>AIRINDEX</t>
  </si>
  <si>
    <t>Fever</t>
  </si>
  <si>
    <t>FEVER</t>
  </si>
  <si>
    <t>348</t>
  </si>
  <si>
    <t>Sleep deprivation</t>
  </si>
  <si>
    <t>SLEEP</t>
  </si>
  <si>
    <t>MATH1 Enrolment</t>
  </si>
  <si>
    <t>M1ENROL</t>
  </si>
  <si>
    <t>349</t>
  </si>
  <si>
    <t>Chef and Chapters</t>
  </si>
  <si>
    <t>SEMCOURSES</t>
  </si>
  <si>
    <t>350</t>
  </si>
  <si>
    <t>Water Requirement</t>
  </si>
  <si>
    <t>WATERREQ</t>
  </si>
  <si>
    <t>351</t>
  </si>
  <si>
    <t>Lunchtime</t>
  </si>
  <si>
    <t>LTIME</t>
  </si>
  <si>
    <t>352</t>
  </si>
  <si>
    <t>Good Investment or Not</t>
  </si>
  <si>
    <t>INVESTMENT</t>
  </si>
  <si>
    <t>357</t>
  </si>
  <si>
    <t>Final Population</t>
  </si>
  <si>
    <t>POPULATION</t>
  </si>
  <si>
    <t>358</t>
  </si>
  <si>
    <t>Chef gives Party</t>
  </si>
  <si>
    <t>PARTY2</t>
  </si>
  <si>
    <t>363</t>
  </si>
  <si>
    <t>Algorithms, Implementation</t>
  </si>
  <si>
    <t>Time Complexity</t>
  </si>
  <si>
    <t>COMPLEXITY</t>
  </si>
  <si>
    <t>364</t>
  </si>
  <si>
    <t>Interior Design</t>
  </si>
  <si>
    <t>INTRDSGN</t>
  </si>
  <si>
    <t>373</t>
  </si>
  <si>
    <t>Car Trip</t>
  </si>
  <si>
    <t>CARTRIP</t>
  </si>
  <si>
    <t>374</t>
  </si>
  <si>
    <t>Multivitamin Tablets</t>
  </si>
  <si>
    <t>TABLETS</t>
  </si>
  <si>
    <t>376</t>
  </si>
  <si>
    <t>Six Friends</t>
  </si>
  <si>
    <t>SIXFRIENDS</t>
  </si>
  <si>
    <t>382</t>
  </si>
  <si>
    <t>Chef and Wire Frames</t>
  </si>
  <si>
    <t>CWIREFRAME</t>
  </si>
  <si>
    <t>383</t>
  </si>
  <si>
    <t>Minimum Coins</t>
  </si>
  <si>
    <t>MINCOINSREQ</t>
  </si>
  <si>
    <t>390</t>
  </si>
  <si>
    <t>Spice Level</t>
  </si>
  <si>
    <t>KITCHENSPICE</t>
  </si>
  <si>
    <t>The Gift</t>
  </si>
  <si>
    <t>CS2023_GIFT</t>
  </si>
  <si>
    <t>Reach Home</t>
  </si>
  <si>
    <t>REACH_HOME</t>
  </si>
  <si>
    <t>395</t>
  </si>
  <si>
    <t>Donation Rewards</t>
  </si>
  <si>
    <t>DOREWARD</t>
  </si>
  <si>
    <t>True and False Paper</t>
  </si>
  <si>
    <t>TFPAPER</t>
  </si>
  <si>
    <t>398</t>
  </si>
  <si>
    <t>The Cheaper Cab</t>
  </si>
  <si>
    <t>CABS</t>
  </si>
  <si>
    <t>399</t>
  </si>
  <si>
    <t>Discount</t>
  </si>
  <si>
    <t>DISCNT</t>
  </si>
  <si>
    <t>401</t>
  </si>
  <si>
    <t>inov_adm, start50</t>
  </si>
  <si>
    <t>Height of Rationals</t>
  </si>
  <si>
    <t>HEIGHTRATION</t>
  </si>
  <si>
    <t>Instagram</t>
  </si>
  <si>
    <t>INSTAGRAM</t>
  </si>
  <si>
    <t>408</t>
  </si>
  <si>
    <t>Volume Control</t>
  </si>
  <si>
    <t>VOLCONTROL</t>
  </si>
  <si>
    <t>409</t>
  </si>
  <si>
    <t>ATM</t>
  </si>
  <si>
    <t>HS08TEST</t>
  </si>
  <si>
    <t>410</t>
  </si>
  <si>
    <t>Basic Programming Concepts, Conditional Statements, Data Types</t>
  </si>
  <si>
    <t>Is it hot or cold</t>
  </si>
  <si>
    <t>HOTCOLD</t>
  </si>
  <si>
    <t>Profit Increment</t>
  </si>
  <si>
    <t>PROINC</t>
  </si>
  <si>
    <t>414</t>
  </si>
  <si>
    <t>Fill the Bucket</t>
  </si>
  <si>
    <t>FBC</t>
  </si>
  <si>
    <t>419</t>
  </si>
  <si>
    <t>Arithmetic, Basic Math, Mathematics</t>
  </si>
  <si>
    <t>Parliament</t>
  </si>
  <si>
    <t>PARLIAMENT</t>
  </si>
  <si>
    <t>Ezio and Guards</t>
  </si>
  <si>
    <t>MANIPULATE</t>
  </si>
  <si>
    <t>427</t>
  </si>
  <si>
    <t>Chef and Masks</t>
  </si>
  <si>
    <t>CMASKS</t>
  </si>
  <si>
    <t>432</t>
  </si>
  <si>
    <t>cook141, mradul_adm</t>
  </si>
  <si>
    <t>Speciality</t>
  </si>
  <si>
    <t>SPECIALITY</t>
  </si>
  <si>
    <t>434</t>
  </si>
  <si>
    <t>Maximum Submissions</t>
  </si>
  <si>
    <t>MAXIMUMSUBS</t>
  </si>
  <si>
    <t>435</t>
  </si>
  <si>
    <t>TV Discount</t>
  </si>
  <si>
    <t>TVDISC</t>
  </si>
  <si>
    <t>447</t>
  </si>
  <si>
    <t>Broken Phone</t>
  </si>
  <si>
    <t>BROKENPHONE</t>
  </si>
  <si>
    <t>451</t>
  </si>
  <si>
    <t>Tyre problem</t>
  </si>
  <si>
    <t>TYRE</t>
  </si>
  <si>
    <t>452</t>
  </si>
  <si>
    <t>Monthly Budget</t>
  </si>
  <si>
    <t>BUDGET_</t>
  </si>
  <si>
    <t>456</t>
  </si>
  <si>
    <t>Credit score</t>
  </si>
  <si>
    <t>CREDSCORE</t>
  </si>
  <si>
    <t>459</t>
  </si>
  <si>
    <t>First and Last Digit</t>
  </si>
  <si>
    <t>FLOW004</t>
  </si>
  <si>
    <t>461</t>
  </si>
  <si>
    <t>Algorithms, Basic Math, Brute Force, Implementation, Mathematics</t>
  </si>
  <si>
    <t>Enormous Input Test</t>
  </si>
  <si>
    <t>INTEST</t>
  </si>
  <si>
    <t>464</t>
  </si>
  <si>
    <t>Practice makes us perfect</t>
  </si>
  <si>
    <t>PRACTICEPERF</t>
  </si>
  <si>
    <t>467</t>
  </si>
  <si>
    <t>Algorithms, Arrays, Basic Programming Concepts, Data Structures, Implementation</t>
  </si>
  <si>
    <t>Pending Assignments</t>
  </si>
  <si>
    <t>ASSIGNMNT</t>
  </si>
  <si>
    <t>468</t>
  </si>
  <si>
    <t>Course Registration</t>
  </si>
  <si>
    <t>COURSEREG</t>
  </si>
  <si>
    <t>470</t>
  </si>
  <si>
    <t>Arithmetic, Basic Math, Basic Programming Concepts, Conditional Statements, Mathematics</t>
  </si>
  <si>
    <t>Insurance</t>
  </si>
  <si>
    <t>INSURANCE</t>
  </si>
  <si>
    <t>475</t>
  </si>
  <si>
    <t>Codechef Airlines</t>
  </si>
  <si>
    <t>AIRLINES</t>
  </si>
  <si>
    <t>Increase IQ</t>
  </si>
  <si>
    <t>INCRIQ</t>
  </si>
  <si>
    <t>478</t>
  </si>
  <si>
    <t>Battery Low</t>
  </si>
  <si>
    <t>BATTERYLOW</t>
  </si>
  <si>
    <t>479</t>
  </si>
  <si>
    <t>Bob at the Bank</t>
  </si>
  <si>
    <t>BOBBANK</t>
  </si>
  <si>
    <t>481</t>
  </si>
  <si>
    <t>The Mango Truck</t>
  </si>
  <si>
    <t>MANGOES</t>
  </si>
  <si>
    <t>482</t>
  </si>
  <si>
    <t>math, start37, yjgarg</t>
  </si>
  <si>
    <t>Monopoly in Chefland</t>
  </si>
  <si>
    <t>MONOPOLY</t>
  </si>
  <si>
    <t>Bucket and Water Flow</t>
  </si>
  <si>
    <t>WATERFLOW</t>
  </si>
  <si>
    <t>483</t>
  </si>
  <si>
    <t>Miami GP</t>
  </si>
  <si>
    <t>F1RULE</t>
  </si>
  <si>
    <t>487</t>
  </si>
  <si>
    <t>Dominant Army</t>
  </si>
  <si>
    <t>DOMINANT</t>
  </si>
  <si>
    <t>488</t>
  </si>
  <si>
    <t>Playlist</t>
  </si>
  <si>
    <t>SONGS</t>
  </si>
  <si>
    <t>489</t>
  </si>
  <si>
    <t>CHEFCHOCO</t>
  </si>
  <si>
    <t>492</t>
  </si>
  <si>
    <t>Netflix</t>
  </si>
  <si>
    <t>NETFLIX</t>
  </si>
  <si>
    <t>493</t>
  </si>
  <si>
    <t>Chef and Gym</t>
  </si>
  <si>
    <t>CGYM</t>
  </si>
  <si>
    <t>496</t>
  </si>
  <si>
    <t>Best Coupon</t>
  </si>
  <si>
    <t>CHEAPFOOD</t>
  </si>
  <si>
    <t>500 to 1000 difficulty problems</t>
  </si>
  <si>
    <t>Practice the easy logical problems available on CodeChef. The problems are in the difficulty range of 500 to 1000.</t>
  </si>
  <si>
    <t>500 to 800 difficulty rating problems - 500 to 800 difficulty rating problems</t>
  </si>
  <si>
    <t>Greater Average</t>
  </si>
  <si>
    <t>AVGPROBLEM</t>
  </si>
  <si>
    <t>Subscriptions</t>
  </si>
  <si>
    <t>SUBSCRIBE_</t>
  </si>
  <si>
    <t>504</t>
  </si>
  <si>
    <t>Janmansh and Assignments</t>
  </si>
  <si>
    <t>JASSIGNMENTS</t>
  </si>
  <si>
    <t>513</t>
  </si>
  <si>
    <t>Exams</t>
  </si>
  <si>
    <t>EXAMCHEF</t>
  </si>
  <si>
    <t>519</t>
  </si>
  <si>
    <t>Chef in his Office</t>
  </si>
  <si>
    <t>OFFICE</t>
  </si>
  <si>
    <t>532</t>
  </si>
  <si>
    <t>Mahasena</t>
  </si>
  <si>
    <t>AMR15A</t>
  </si>
  <si>
    <t>533</t>
  </si>
  <si>
    <t>CRED Coins</t>
  </si>
  <si>
    <t>CREDCOINS</t>
  </si>
  <si>
    <t>539</t>
  </si>
  <si>
    <t>Arithmetic, Basic Math, Integer Division, Mathematics</t>
  </si>
  <si>
    <t>Water Filling</t>
  </si>
  <si>
    <t>WATERFILLING</t>
  </si>
  <si>
    <t>541</t>
  </si>
  <si>
    <t>Sale Season</t>
  </si>
  <si>
    <t>SALESEASON</t>
  </si>
  <si>
    <t>Minimum Pizzas</t>
  </si>
  <si>
    <t>MINPIZZA</t>
  </si>
  <si>
    <t>546</t>
  </si>
  <si>
    <t>Chefland Games</t>
  </si>
  <si>
    <t>CHEFGAMES</t>
  </si>
  <si>
    <t>550</t>
  </si>
  <si>
    <t>Expert Setter</t>
  </si>
  <si>
    <t>EXPERT</t>
  </si>
  <si>
    <t>561</t>
  </si>
  <si>
    <t>Chef and NextGen</t>
  </si>
  <si>
    <t>HELIUM3</t>
  </si>
  <si>
    <t>562</t>
  </si>
  <si>
    <t>Sugarcane Juice Business</t>
  </si>
  <si>
    <t>SUGARCANE</t>
  </si>
  <si>
    <t>563</t>
  </si>
  <si>
    <t>Count the Notebooks</t>
  </si>
  <si>
    <t>NOTEBOOK</t>
  </si>
  <si>
    <t>Chef and Candies</t>
  </si>
  <si>
    <t>CHEFCAND</t>
  </si>
  <si>
    <t>570</t>
  </si>
  <si>
    <t>Car or Bike</t>
  </si>
  <si>
    <t>TRAVELFAST</t>
  </si>
  <si>
    <t>571</t>
  </si>
  <si>
    <t>Is the Score Consistent</t>
  </si>
  <si>
    <t>TRUESCORE</t>
  </si>
  <si>
    <t>572</t>
  </si>
  <si>
    <t>The Three Topics</t>
  </si>
  <si>
    <t>THREETOPICS</t>
  </si>
  <si>
    <t>573</t>
  </si>
  <si>
    <t>Monopoly</t>
  </si>
  <si>
    <t>MONOPOLY2</t>
  </si>
  <si>
    <t>578</t>
  </si>
  <si>
    <t>Problems in your to-do list</t>
  </si>
  <si>
    <t>TODOLIST</t>
  </si>
  <si>
    <t>580</t>
  </si>
  <si>
    <t>Air Conditioner Temperature</t>
  </si>
  <si>
    <t>ACTEMP</t>
  </si>
  <si>
    <t>Nearest Exit</t>
  </si>
  <si>
    <t>NEARESTEXIT</t>
  </si>
  <si>
    <t>585</t>
  </si>
  <si>
    <t>Reverse The Number</t>
  </si>
  <si>
    <t>FLOW007</t>
  </si>
  <si>
    <t>588</t>
  </si>
  <si>
    <t>Algorithms, Basic Math, Brute Force, Division, Implementation, Mathematics, Modular Arithmetic</t>
  </si>
  <si>
    <t>Sasta Shark Tank</t>
  </si>
  <si>
    <t>SST</t>
  </si>
  <si>
    <t>Good Program</t>
  </si>
  <si>
    <t>NIBBLE</t>
  </si>
  <si>
    <t>593</t>
  </si>
  <si>
    <t>Basic Math, Divisibility, Integer Division, Mathematics, Modular Arithmetic</t>
  </si>
  <si>
    <t>Qualify the round</t>
  </si>
  <si>
    <t>QUALIFY</t>
  </si>
  <si>
    <t>594</t>
  </si>
  <si>
    <t>Elections in Chefland</t>
  </si>
  <si>
    <t>ELECTN</t>
  </si>
  <si>
    <t>Minimum Cars required</t>
  </si>
  <si>
    <t>MINCARS</t>
  </si>
  <si>
    <t>608</t>
  </si>
  <si>
    <t>Test Score</t>
  </si>
  <si>
    <t>CHEFSCORE</t>
  </si>
  <si>
    <t>610</t>
  </si>
  <si>
    <t>Jenga Night</t>
  </si>
  <si>
    <t>JENGA</t>
  </si>
  <si>
    <t>613</t>
  </si>
  <si>
    <t>Bus  Seat Numbering</t>
  </si>
  <si>
    <t>SEATNUMBER</t>
  </si>
  <si>
    <t>Discus Throw</t>
  </si>
  <si>
    <t>DISCUS</t>
  </si>
  <si>
    <t>622</t>
  </si>
  <si>
    <t>Basic Programming Concepts, Conditional Statements, Inbuilt functions</t>
  </si>
  <si>
    <t>Maximise the Tastiness</t>
  </si>
  <si>
    <t>MAXTASTE</t>
  </si>
  <si>
    <t>627</t>
  </si>
  <si>
    <t>Algorithms, Implementation, Mathematics</t>
  </si>
  <si>
    <t>Watching Movies at 2x</t>
  </si>
  <si>
    <t>MOVIE2X</t>
  </si>
  <si>
    <t>628</t>
  </si>
  <si>
    <t>Police and Thief</t>
  </si>
  <si>
    <t>POLTHIEF</t>
  </si>
  <si>
    <t>639</t>
  </si>
  <si>
    <t>Flip the cards</t>
  </si>
  <si>
    <t>FLIPCARDS</t>
  </si>
  <si>
    <t>641</t>
  </si>
  <si>
    <t>Bath in Winters</t>
  </si>
  <si>
    <t>BATH</t>
  </si>
  <si>
    <t>Finding Shoes</t>
  </si>
  <si>
    <t>FINDSHOES</t>
  </si>
  <si>
    <t>646</t>
  </si>
  <si>
    <t>Arithmetic, Basic Math, Basic Programming Concepts, Inbuilt functions, Mathematics</t>
  </si>
  <si>
    <t>Small factorials</t>
  </si>
  <si>
    <t>FCTRL2</t>
  </si>
  <si>
    <t>648</t>
  </si>
  <si>
    <t>1D Arrays, Algorithms, Arrays, Basic Math, Brute Force, Data Structures, Implementation, Mathematics, Modular Arithmetic</t>
  </si>
  <si>
    <t>Mario and Transformation</t>
  </si>
  <si>
    <t>TRANSFORM</t>
  </si>
  <si>
    <t>649</t>
  </si>
  <si>
    <t>Mario and Bullet</t>
  </si>
  <si>
    <t>BULLET</t>
  </si>
  <si>
    <t>Basic Math, Mathematics, Physics, Special</t>
  </si>
  <si>
    <t>Chess Ratings</t>
  </si>
  <si>
    <t>C_RATING</t>
  </si>
  <si>
    <t>651</t>
  </si>
  <si>
    <t>Complementary Strand in a DNA</t>
  </si>
  <si>
    <t>DNASTRAND</t>
  </si>
  <si>
    <t>660</t>
  </si>
  <si>
    <t>daanish_adm, june222</t>
  </si>
  <si>
    <t>Chef and Water Bottles</t>
  </si>
  <si>
    <t>CHEFBOTTLE</t>
  </si>
  <si>
    <t>662</t>
  </si>
  <si>
    <t>Basic Math, Basic Programming Concepts, Inbuilt functions, Integer Division, Mathematics</t>
  </si>
  <si>
    <t>Finding Square Roots</t>
  </si>
  <si>
    <t>FSQRT</t>
  </si>
  <si>
    <t>Basic Programming Concepts, Inbuilt functions</t>
  </si>
  <si>
    <t>The Last Levels</t>
  </si>
  <si>
    <t>LASTLEVELS</t>
  </si>
  <si>
    <t>679</t>
  </si>
  <si>
    <t>Basic Math, Basic Programming Concepts, Loops, Mathematics</t>
  </si>
  <si>
    <t>Blackjack</t>
  </si>
  <si>
    <t>BLACKJACK</t>
  </si>
  <si>
    <t>681</t>
  </si>
  <si>
    <t>Fill Candies</t>
  </si>
  <si>
    <t>FILLCANDIES</t>
  </si>
  <si>
    <t>X Jumps</t>
  </si>
  <si>
    <t>XJUMP</t>
  </si>
  <si>
    <t>686</t>
  </si>
  <si>
    <t>Chessboard Distance</t>
  </si>
  <si>
    <t>CHESSDIST</t>
  </si>
  <si>
    <t>690</t>
  </si>
  <si>
    <t>Valentine is Coming</t>
  </si>
  <si>
    <t>VALENTINE</t>
  </si>
  <si>
    <t>691</t>
  </si>
  <si>
    <t>It is My Serve</t>
  </si>
  <si>
    <t>MYSERVE</t>
  </si>
  <si>
    <t>Water Mixing</t>
  </si>
  <si>
    <t>WTRMIXING</t>
  </si>
  <si>
    <t>694</t>
  </si>
  <si>
    <t>Weights</t>
  </si>
  <si>
    <t>WGHTS</t>
  </si>
  <si>
    <t>697</t>
  </si>
  <si>
    <t>Chef and his Apps</t>
  </si>
  <si>
    <t>CHEFAPPS</t>
  </si>
  <si>
    <t>702</t>
  </si>
  <si>
    <t>Chef Eren</t>
  </si>
  <si>
    <t>CHEFEREN</t>
  </si>
  <si>
    <t>706</t>
  </si>
  <si>
    <t>Minimum number of coins</t>
  </si>
  <si>
    <t>MINCOINS</t>
  </si>
  <si>
    <t>711</t>
  </si>
  <si>
    <t>Airlines</t>
  </si>
  <si>
    <t>SPCP2</t>
  </si>
  <si>
    <t>712</t>
  </si>
  <si>
    <t>Self Defence Training</t>
  </si>
  <si>
    <t>SELFDEF</t>
  </si>
  <si>
    <t>716</t>
  </si>
  <si>
    <t>Cup Finals</t>
  </si>
  <si>
    <t>CRICUP</t>
  </si>
  <si>
    <t>Too many Floors</t>
  </si>
  <si>
    <t>FLOORS</t>
  </si>
  <si>
    <t>717</t>
  </si>
  <si>
    <t>Speed Limit Test</t>
  </si>
  <si>
    <t>SPEEDTEST</t>
  </si>
  <si>
    <t>718</t>
  </si>
  <si>
    <t>Decrement OR Increment</t>
  </si>
  <si>
    <t>DECINC</t>
  </si>
  <si>
    <t>722</t>
  </si>
  <si>
    <t>A or B</t>
  </si>
  <si>
    <t>AORB</t>
  </si>
  <si>
    <t>728</t>
  </si>
  <si>
    <t>Second Largest</t>
  </si>
  <si>
    <t>FLOW017</t>
  </si>
  <si>
    <t>730</t>
  </si>
  <si>
    <t>Basic Math, Basic Programming Concepts, Case work, Conditional Statements, Mathematics, Special</t>
  </si>
  <si>
    <t>Pass or Fail</t>
  </si>
  <si>
    <t>PASSORFAIL</t>
  </si>
  <si>
    <t>Algorithms, Basic Math, Basic Programming Concepts, Conditional Statements, Implementation, Mathematics</t>
  </si>
  <si>
    <t>Cyclic Quadrilateral</t>
  </si>
  <si>
    <t>CYCLICQD</t>
  </si>
  <si>
    <t>735</t>
  </si>
  <si>
    <t>Too many items</t>
  </si>
  <si>
    <t>POLYBAGS</t>
  </si>
  <si>
    <t>738</t>
  </si>
  <si>
    <t>Chef Fantasy 11</t>
  </si>
  <si>
    <t>FIZZBUZZ2303</t>
  </si>
  <si>
    <t>739</t>
  </si>
  <si>
    <t>Building Race</t>
  </si>
  <si>
    <t>BUILDINGRACE</t>
  </si>
  <si>
    <t>Chef and Races</t>
  </si>
  <si>
    <t>CHEFRACES</t>
  </si>
  <si>
    <t>745</t>
  </si>
  <si>
    <t>Endless Appetizers</t>
  </si>
  <si>
    <t>MOZZ</t>
  </si>
  <si>
    <t>752</t>
  </si>
  <si>
    <t>Presents for Cheffina</t>
  </si>
  <si>
    <t>PRESENTS</t>
  </si>
  <si>
    <t>757</t>
  </si>
  <si>
    <t>lavish_adm, math, start36</t>
  </si>
  <si>
    <t>Small Factorial</t>
  </si>
  <si>
    <t>FLOW018</t>
  </si>
  <si>
    <t>Algorithms, Basic Math, Basic Programming Concepts, CPP, Factorials, Implementation, Loops, Loops using Cpp, Mathematics</t>
  </si>
  <si>
    <t>Dracula Eats</t>
  </si>
  <si>
    <t>CHEAT</t>
  </si>
  <si>
    <t>khaab_2004, start105</t>
  </si>
  <si>
    <t>Possible Victory</t>
  </si>
  <si>
    <t>T20MCH</t>
  </si>
  <si>
    <t>769</t>
  </si>
  <si>
    <t>Chef And Operators</t>
  </si>
  <si>
    <t>CHOPRT</t>
  </si>
  <si>
    <t>770</t>
  </si>
  <si>
    <t>Mutated Minions</t>
  </si>
  <si>
    <t>CHN15A</t>
  </si>
  <si>
    <t>777</t>
  </si>
  <si>
    <t>Algorithms, Brute Force, Divisibility, Mathematics, Modular Arithmetic</t>
  </si>
  <si>
    <t>Reach fast</t>
  </si>
  <si>
    <t>REACHFAST</t>
  </si>
  <si>
    <t>Single-use Attack</t>
  </si>
  <si>
    <t>SINGLEUSE</t>
  </si>
  <si>
    <t>Get Lowest Free</t>
  </si>
  <si>
    <t>SALE</t>
  </si>
  <si>
    <t>778</t>
  </si>
  <si>
    <t>Minimum number of Flips</t>
  </si>
  <si>
    <t>MINFLIPS</t>
  </si>
  <si>
    <t>781</t>
  </si>
  <si>
    <t>Binary Battles</t>
  </si>
  <si>
    <t>BIN_BAT</t>
  </si>
  <si>
    <t>786</t>
  </si>
  <si>
    <t>Basic Math, Logarithm, Mathematics, Number Theory</t>
  </si>
  <si>
    <t>DICEGAME2</t>
  </si>
  <si>
    <t>789</t>
  </si>
  <si>
    <t>The Lead Game</t>
  </si>
  <si>
    <t>TLG</t>
  </si>
  <si>
    <t>790</t>
  </si>
  <si>
    <t>Degree of Polynomial</t>
  </si>
  <si>
    <t>DPOLY</t>
  </si>
  <si>
    <t>793</t>
  </si>
  <si>
    <t>Recent contest problems</t>
  </si>
  <si>
    <t>RECENTCONT</t>
  </si>
  <si>
    <t>Primality Test</t>
  </si>
  <si>
    <t>PRB01</t>
  </si>
  <si>
    <t>794</t>
  </si>
  <si>
    <t>Mathematics, Number Theory, Primality Checking, Sieve of Eratosthenes, Sqrt N Primality Check</t>
  </si>
  <si>
    <t>The Cooler Dilemma 2</t>
  </si>
  <si>
    <t>WATERCOOLER2</t>
  </si>
  <si>
    <t>798</t>
  </si>
  <si>
    <t>800 to 1000 difficulty rating problems - 800 to 1000 difficulty rating problems</t>
  </si>
  <si>
    <t>Wordle</t>
  </si>
  <si>
    <t>WORDLE</t>
  </si>
  <si>
    <t>804</t>
  </si>
  <si>
    <t>Cars and Bikes</t>
  </si>
  <si>
    <t>TYRES</t>
  </si>
  <si>
    <t>809</t>
  </si>
  <si>
    <t>Buy 2 Get 1 Free</t>
  </si>
  <si>
    <t>SALE2</t>
  </si>
  <si>
    <t>821</t>
  </si>
  <si>
    <t>Equalizing Numbers</t>
  </si>
  <si>
    <t>EQLZING</t>
  </si>
  <si>
    <t>823</t>
  </si>
  <si>
    <t>Algorithms, Basic Math, Constructive, Mathematics, ad-hoc</t>
  </si>
  <si>
    <t>The Preparations</t>
  </si>
  <si>
    <t>SUPCHEF</t>
  </si>
  <si>
    <t>Genes</t>
  </si>
  <si>
    <t>GENE01</t>
  </si>
  <si>
    <t>826</t>
  </si>
  <si>
    <t>Basic Programming Concepts, Case work, Conditional Statements, Special</t>
  </si>
  <si>
    <t>Best of N Sets</t>
  </si>
  <si>
    <t>BESTOFTENNIS</t>
  </si>
  <si>
    <t>830</t>
  </si>
  <si>
    <t>The Block Game</t>
  </si>
  <si>
    <t>PALL01</t>
  </si>
  <si>
    <t>Mileage matters</t>
  </si>
  <si>
    <t>MILEAGE</t>
  </si>
  <si>
    <t>831</t>
  </si>
  <si>
    <t>Melt Gold</t>
  </si>
  <si>
    <t>MELTGOLD</t>
  </si>
  <si>
    <t>835</t>
  </si>
  <si>
    <t>Circular Track</t>
  </si>
  <si>
    <t>LOOP</t>
  </si>
  <si>
    <t>Grade The Steel</t>
  </si>
  <si>
    <t>FLOW014</t>
  </si>
  <si>
    <t>Smallest Numbers of Notes</t>
  </si>
  <si>
    <t>FLOW005</t>
  </si>
  <si>
    <t>839</t>
  </si>
  <si>
    <t>Algorithms, Basic Math, Greedy, Mathematics</t>
  </si>
  <si>
    <t>Is it a VOWEL or CONSONANT</t>
  </si>
  <si>
    <t>VOWELTB</t>
  </si>
  <si>
    <t>840</t>
  </si>
  <si>
    <t>Equal Integers</t>
  </si>
  <si>
    <t>INCREAR</t>
  </si>
  <si>
    <t>852</t>
  </si>
  <si>
    <t>Summer Heat</t>
  </si>
  <si>
    <t>COCONUT</t>
  </si>
  <si>
    <t>Area OR Perimeter</t>
  </si>
  <si>
    <t>AREAPERI</t>
  </si>
  <si>
    <t>858</t>
  </si>
  <si>
    <t>Basic Math, Geometry, Mathematics</t>
  </si>
  <si>
    <t>Devendra and Water Sports</t>
  </si>
  <si>
    <t>DEVSPORTS</t>
  </si>
  <si>
    <t>859</t>
  </si>
  <si>
    <t>Highest Divisor</t>
  </si>
  <si>
    <t>HDIVISR</t>
  </si>
  <si>
    <t>Algorithms, Brute Force</t>
  </si>
  <si>
    <t>Car Choice</t>
  </si>
  <si>
    <t>CARCHOICE</t>
  </si>
  <si>
    <t>861</t>
  </si>
  <si>
    <t>Which Division</t>
  </si>
  <si>
    <t>WHICHDIV</t>
  </si>
  <si>
    <t>867</t>
  </si>
  <si>
    <t>Badminton Serves</t>
  </si>
  <si>
    <t>BADMINTON</t>
  </si>
  <si>
    <t>Algorithms, Constructive, Implementation, ad-hoc</t>
  </si>
  <si>
    <t>Chef and Contest</t>
  </si>
  <si>
    <t>CHEFCONTEST</t>
  </si>
  <si>
    <t>872</t>
  </si>
  <si>
    <t>Group Assignment</t>
  </si>
  <si>
    <t>GROUPASSGN</t>
  </si>
  <si>
    <t>Relativity</t>
  </si>
  <si>
    <t>RELATIVE</t>
  </si>
  <si>
    <t>Drunk Alcoholic</t>
  </si>
  <si>
    <t>DRUNKALK</t>
  </si>
  <si>
    <t>874</t>
  </si>
  <si>
    <t>Algorithms, Basic Programming Concepts, Brute Force, Case work, Conditional Statements, Constructive, Implementation, Special, ad-hoc</t>
  </si>
  <si>
    <t>Chef On Island</t>
  </si>
  <si>
    <t>CCISLAND</t>
  </si>
  <si>
    <t>878</t>
  </si>
  <si>
    <t>Find the Direction</t>
  </si>
  <si>
    <t>FACEDIR</t>
  </si>
  <si>
    <t>880</t>
  </si>
  <si>
    <t>Algorithms, Basic Math, Basic Programming Concepts, Brute Force, Conditional Statements, Implementation, Mathematics, Modular Arithmetic, Observation</t>
  </si>
  <si>
    <t>Farmers League</t>
  </si>
  <si>
    <t>LEAGUE</t>
  </si>
  <si>
    <t>883</t>
  </si>
  <si>
    <t>cook141, math, zappelectro</t>
  </si>
  <si>
    <t>Utkarsh and Placement tests</t>
  </si>
  <si>
    <t>UTKPLC</t>
  </si>
  <si>
    <t>886</t>
  </si>
  <si>
    <t>Secret Recipe</t>
  </si>
  <si>
    <t>CHEFRUN</t>
  </si>
  <si>
    <t>888</t>
  </si>
  <si>
    <t>Physics, Special</t>
  </si>
  <si>
    <t>Chef and Profits</t>
  </si>
  <si>
    <t>CHFPROFIT</t>
  </si>
  <si>
    <t>889</t>
  </si>
  <si>
    <t>cakewalk, start23, utkarsh_adm</t>
  </si>
  <si>
    <t>Inside The Stadium</t>
  </si>
  <si>
    <t>INSTDUM</t>
  </si>
  <si>
    <t>895</t>
  </si>
  <si>
    <t>Peaceful Party</t>
  </si>
  <si>
    <t>MAYOR_PARTY</t>
  </si>
  <si>
    <t>898</t>
  </si>
  <si>
    <t>Chef and Battery</t>
  </si>
  <si>
    <t>FIFTYPE</t>
  </si>
  <si>
    <t>901</t>
  </si>
  <si>
    <t>Passing Marks</t>
  </si>
  <si>
    <t>PSGRADE</t>
  </si>
  <si>
    <t>904</t>
  </si>
  <si>
    <t>Count the Holidays</t>
  </si>
  <si>
    <t>SUNDAY</t>
  </si>
  <si>
    <t>907</t>
  </si>
  <si>
    <t>Avoid Contact</t>
  </si>
  <si>
    <t>AVOIDCONTACT</t>
  </si>
  <si>
    <t>Algorithms, Constructive, Observation, Patterns, ad-hoc</t>
  </si>
  <si>
    <t>Problem</t>
  </si>
  <si>
    <t>PR0BLEM</t>
  </si>
  <si>
    <t>908</t>
  </si>
  <si>
    <t>HOW MANY DIGITS DO I HAVE</t>
  </si>
  <si>
    <t>HOWMANY</t>
  </si>
  <si>
    <t>Two Ranges</t>
  </si>
  <si>
    <t>TWORANGES</t>
  </si>
  <si>
    <t>918</t>
  </si>
  <si>
    <t>Penalty Shots</t>
  </si>
  <si>
    <t>PENALTY</t>
  </si>
  <si>
    <t>925</t>
  </si>
  <si>
    <t>Shoe Fit</t>
  </si>
  <si>
    <t>SHOEFIT</t>
  </si>
  <si>
    <t>Chef and Pairing Slippers</t>
  </si>
  <si>
    <t>CHEFSLP</t>
  </si>
  <si>
    <t>Algorithms, Basic Math, Constructive, Mathematics, Observation, ad-hoc</t>
  </si>
  <si>
    <t>Chef and Price Control</t>
  </si>
  <si>
    <t>PRICECON</t>
  </si>
  <si>
    <t>931</t>
  </si>
  <si>
    <t>Akash and Missing Class</t>
  </si>
  <si>
    <t>CHFCLASS</t>
  </si>
  <si>
    <t>Basic Math, Integer Division, Mathematics</t>
  </si>
  <si>
    <t>No Time to Wait</t>
  </si>
  <si>
    <t>NOTIME</t>
  </si>
  <si>
    <t>First and Last</t>
  </si>
  <si>
    <t>FIRSTANDLAST</t>
  </si>
  <si>
    <t>Algorithms, Greedy, Implementation</t>
  </si>
  <si>
    <t>Car Range</t>
  </si>
  <si>
    <t>CARRANGE</t>
  </si>
  <si>
    <t>938</t>
  </si>
  <si>
    <t>Am I Lucky!</t>
  </si>
  <si>
    <t>SPCP4</t>
  </si>
  <si>
    <t>941</t>
  </si>
  <si>
    <t>Janmansh at Fruit Market</t>
  </si>
  <si>
    <t>JMARKET</t>
  </si>
  <si>
    <t>947</t>
  </si>
  <si>
    <t>Non-Negative Product</t>
  </si>
  <si>
    <t>NONNEGPROD</t>
  </si>
  <si>
    <t>948</t>
  </si>
  <si>
    <t>Rearranging digits to get a multiple of 5</t>
  </si>
  <si>
    <t>DIGARR</t>
  </si>
  <si>
    <t>949</t>
  </si>
  <si>
    <t>Marathon</t>
  </si>
  <si>
    <t>MARARUN</t>
  </si>
  <si>
    <t>955</t>
  </si>
  <si>
    <t>La Liga</t>
  </si>
  <si>
    <t>COOK82A</t>
  </si>
  <si>
    <t>956</t>
  </si>
  <si>
    <t>cakewalk, cook82, deadwing97</t>
  </si>
  <si>
    <t>Chef and Cook-Off</t>
  </si>
  <si>
    <t>CCOOK</t>
  </si>
  <si>
    <t>Joining Date</t>
  </si>
  <si>
    <t>JOINING</t>
  </si>
  <si>
    <t>Keplers Law</t>
  </si>
  <si>
    <t>KEPLERSLAW</t>
  </si>
  <si>
    <t>cakewalk, jan221, srikkanth_adm</t>
  </si>
  <si>
    <t>Bear and Ladder</t>
  </si>
  <si>
    <t>BRLADDER</t>
  </si>
  <si>
    <t>999</t>
  </si>
  <si>
    <t>Algorithms, Basic Programming Concepts, Conditional Statements, Implementation</t>
  </si>
  <si>
    <t>1000 to 1400 difficulty problems</t>
  </si>
  <si>
    <t>Practice the problems which can help you become 1 star on CodeChef.</t>
  </si>
  <si>
    <t>1000 to 1200 difficulty problems - 1000 to 1200 difficulty problems</t>
  </si>
  <si>
    <t>Easy Pronunciation</t>
  </si>
  <si>
    <t>EZSPEAK</t>
  </si>
  <si>
    <t>Basic Programming Concepts, Data Structures, Loops, String</t>
  </si>
  <si>
    <t>ATM Machine</t>
  </si>
  <si>
    <t>ATM2</t>
  </si>
  <si>
    <t>1001</t>
  </si>
  <si>
    <t>TCS Examination</t>
  </si>
  <si>
    <t>EXAMTIME</t>
  </si>
  <si>
    <t>1006</t>
  </si>
  <si>
    <t>cakewalk, jan222, utkarsh_adm</t>
  </si>
  <si>
    <t>Adjacent Sum Parity</t>
  </si>
  <si>
    <t>ADJSUMPAR</t>
  </si>
  <si>
    <t>1013</t>
  </si>
  <si>
    <t>abhi_inav, start45</t>
  </si>
  <si>
    <t>Chef Diet</t>
  </si>
  <si>
    <t>DIET</t>
  </si>
  <si>
    <t>1025</t>
  </si>
  <si>
    <t>Break the Stick</t>
  </si>
  <si>
    <t>BREAKSTICK</t>
  </si>
  <si>
    <t>1026</t>
  </si>
  <si>
    <t>Encoding Message</t>
  </si>
  <si>
    <t>ENCMSG</t>
  </si>
  <si>
    <t>1027</t>
  </si>
  <si>
    <t>Bear and Candies 123</t>
  </si>
  <si>
    <t>CANDY123</t>
  </si>
  <si>
    <t>1028</t>
  </si>
  <si>
    <t>Algorithms, Basic Programming Concepts, Brute Force, Conditional Statements, Implementation</t>
  </si>
  <si>
    <t>ELECTIONS</t>
  </si>
  <si>
    <t>1034</t>
  </si>
  <si>
    <t>cakewalk, jeevanjyot, start22</t>
  </si>
  <si>
    <t>Chef and Two Strings</t>
  </si>
  <si>
    <t>CHEFSTLT</t>
  </si>
  <si>
    <t>1036</t>
  </si>
  <si>
    <t>Algorithms, Constructive, Data Structures, String, ad-hoc</t>
  </si>
  <si>
    <t>Card Removal</t>
  </si>
  <si>
    <t>REMOVECARDS</t>
  </si>
  <si>
    <t>1039</t>
  </si>
  <si>
    <t>Even-tual Reduction</t>
  </si>
  <si>
    <t>EVENTUAL</t>
  </si>
  <si>
    <t>Algorithms, Observation</t>
  </si>
  <si>
    <t>Zero String</t>
  </si>
  <si>
    <t>ZEROSTRING</t>
  </si>
  <si>
    <t>1042</t>
  </si>
  <si>
    <t>Airline Restrictions</t>
  </si>
  <si>
    <t>AIRLINE</t>
  </si>
  <si>
    <t>Algorithms, Basic Math, Basic Programming Concepts, Brute Force, Case work, Conditional Statements, Implementation, Mathematics, Special</t>
  </si>
  <si>
    <t>Odd Pairs</t>
  </si>
  <si>
    <t>ODDPAIRS</t>
  </si>
  <si>
    <t>Chef and his Students</t>
  </si>
  <si>
    <t>CHEFSTUD</t>
  </si>
  <si>
    <t>End Sorted</t>
  </si>
  <si>
    <t>ENDSORTED</t>
  </si>
  <si>
    <t>1049</t>
  </si>
  <si>
    <t>Prime Reversal</t>
  </si>
  <si>
    <t>PRIMEREVERSE</t>
  </si>
  <si>
    <t>1053</t>
  </si>
  <si>
    <t>Hungry Ashish</t>
  </si>
  <si>
    <t>PIZZA_BURGER</t>
  </si>
  <si>
    <t>1064</t>
  </si>
  <si>
    <t>Mask Policy</t>
  </si>
  <si>
    <t>MASKPOL</t>
  </si>
  <si>
    <t>cakewalk, cook-off, cook137, utkarsh_25dec</t>
  </si>
  <si>
    <t>Counting Problem</t>
  </si>
  <si>
    <t>COUNTP</t>
  </si>
  <si>
    <t>1065</t>
  </si>
  <si>
    <t>Tanu and Head-bob</t>
  </si>
  <si>
    <t>HEADBOB</t>
  </si>
  <si>
    <t>Pseudo Sorted Array</t>
  </si>
  <si>
    <t>PSEUDOSORT</t>
  </si>
  <si>
    <t>1067</t>
  </si>
  <si>
    <t>Prime Generator</t>
  </si>
  <si>
    <t>PRIME1</t>
  </si>
  <si>
    <t>1069</t>
  </si>
  <si>
    <t>Mathematics, Number Theory, Primality Checking, Segmented Sieve, Sieve of Eratosthenes, Sqrt N Primality Check</t>
  </si>
  <si>
    <t>Equalize AB</t>
  </si>
  <si>
    <t>EQUALIZEAB</t>
  </si>
  <si>
    <t>Three Friends</t>
  </si>
  <si>
    <t>THREEFR</t>
  </si>
  <si>
    <t>1074</t>
  </si>
  <si>
    <t>The Attack of Queen</t>
  </si>
  <si>
    <t>QUEENATTACK</t>
  </si>
  <si>
    <t>1076</t>
  </si>
  <si>
    <t>Covid and Theatre Tickets</t>
  </si>
  <si>
    <t>COVID_19</t>
  </si>
  <si>
    <t>1077</t>
  </si>
  <si>
    <t>Algorithms, Basic Math, Greedy, Integer Division, Mathematics, Observation</t>
  </si>
  <si>
    <t>Digit Sum Parities</t>
  </si>
  <si>
    <t>DIGSMPAR</t>
  </si>
  <si>
    <t>Magician versus Chef</t>
  </si>
  <si>
    <t>MAGICHF</t>
  </si>
  <si>
    <t>1088</t>
  </si>
  <si>
    <t>Far Away</t>
  </si>
  <si>
    <t>FARAWAY</t>
  </si>
  <si>
    <t>1090</t>
  </si>
  <si>
    <t>GRPASSN</t>
  </si>
  <si>
    <t>1092</t>
  </si>
  <si>
    <t>Mathematics, Modular Arithmetic</t>
  </si>
  <si>
    <t>Uncle Johny</t>
  </si>
  <si>
    <t>JOHNY</t>
  </si>
  <si>
    <t>1093</t>
  </si>
  <si>
    <t>That Is My Score!</t>
  </si>
  <si>
    <t>WATSCORE</t>
  </si>
  <si>
    <t>1094</t>
  </si>
  <si>
    <t>CHEFSTR1</t>
  </si>
  <si>
    <t>Bi_lindrome!</t>
  </si>
  <si>
    <t>QTOO_2523</t>
  </si>
  <si>
    <t>1095</t>
  </si>
  <si>
    <t>Remove Bad elements</t>
  </si>
  <si>
    <t>REMOVEBAD</t>
  </si>
  <si>
    <t>Make Money</t>
  </si>
  <si>
    <t>MAKEMONEY</t>
  </si>
  <si>
    <t>1101</t>
  </si>
  <si>
    <t>Football</t>
  </si>
  <si>
    <t>MSNSADM1</t>
  </si>
  <si>
    <t>1102</t>
  </si>
  <si>
    <t>String Game</t>
  </si>
  <si>
    <t>ABSTRING</t>
  </si>
  <si>
    <t>Basic Programming Concepts, Data Structures, String</t>
  </si>
  <si>
    <t>Chef and Glove</t>
  </si>
  <si>
    <t>CHEGLOVE</t>
  </si>
  <si>
    <t>1104</t>
  </si>
  <si>
    <t>Laptop Recommendation</t>
  </si>
  <si>
    <t>LAPTOPREC</t>
  </si>
  <si>
    <t>Playing with Strings</t>
  </si>
  <si>
    <t>PLAYSTR</t>
  </si>
  <si>
    <t>1108</t>
  </si>
  <si>
    <t>N Queens Puzzle Solved !</t>
  </si>
  <si>
    <t>EUREKA</t>
  </si>
  <si>
    <t>1109</t>
  </si>
  <si>
    <t>Chef and Steps</t>
  </si>
  <si>
    <t>CHEFSTEP</t>
  </si>
  <si>
    <t>1110</t>
  </si>
  <si>
    <t>Sort the String</t>
  </si>
  <si>
    <t>SRTARR</t>
  </si>
  <si>
    <t>1112</t>
  </si>
  <si>
    <t>Discrepancies in the Voters List</t>
  </si>
  <si>
    <t>VOTERS</t>
  </si>
  <si>
    <t>1114</t>
  </si>
  <si>
    <t>Alternating String</t>
  </si>
  <si>
    <t>ALTSTR</t>
  </si>
  <si>
    <t>1116</t>
  </si>
  <si>
    <t>Lazy Jem</t>
  </si>
  <si>
    <t>TALAZY</t>
  </si>
  <si>
    <t>1120</t>
  </si>
  <si>
    <t>Game of Pooks</t>
  </si>
  <si>
    <t>POOK</t>
  </si>
  <si>
    <t>1121</t>
  </si>
  <si>
    <t>chess, cook141, zappelectro</t>
  </si>
  <si>
    <t>Chef and Proportion</t>
  </si>
  <si>
    <t>CHEFCBA</t>
  </si>
  <si>
    <t>1122</t>
  </si>
  <si>
    <t>Stick Break</t>
  </si>
  <si>
    <t>STICKBREAK</t>
  </si>
  <si>
    <t>Processing a string</t>
  </si>
  <si>
    <t>KOL15A</t>
  </si>
  <si>
    <t>1125</t>
  </si>
  <si>
    <t>Algorithms, Arithmetic, Basic Math, CPP, Constructive, Data Structures, Loops using Cpp, Mathematics, String, ad-hoc</t>
  </si>
  <si>
    <t>Chef and Card Game</t>
  </si>
  <si>
    <t>CRDGAME</t>
  </si>
  <si>
    <t>Pet Store</t>
  </si>
  <si>
    <t>PETSTORE</t>
  </si>
  <si>
    <t>1126</t>
  </si>
  <si>
    <t>Algorithms, Arrays, Data Structures, Frequency Arrays, Sorting</t>
  </si>
  <si>
    <t>Mathison and pangrams</t>
  </si>
  <si>
    <t>MATPAN</t>
  </si>
  <si>
    <t>1127</t>
  </si>
  <si>
    <t>Algorithms, Arrays, Constructive, Data Structures, Frequency Arrays, ad-hoc</t>
  </si>
  <si>
    <t>Valid Minimum</t>
  </si>
  <si>
    <t>VALIDMIN</t>
  </si>
  <si>
    <t>1132</t>
  </si>
  <si>
    <t>Easy Math</t>
  </si>
  <si>
    <t>RPD</t>
  </si>
  <si>
    <t>1133</t>
  </si>
  <si>
    <t>Fit in Data Type</t>
  </si>
  <si>
    <t>DATATYPE</t>
  </si>
  <si>
    <t>Coin Flip</t>
  </si>
  <si>
    <t>CONFLIP</t>
  </si>
  <si>
    <t>1135</t>
  </si>
  <si>
    <t>Algorithms, Brute Force, Case work, Special</t>
  </si>
  <si>
    <t>Ciel and A-B Problem</t>
  </si>
  <si>
    <t>CIELAB</t>
  </si>
  <si>
    <t>1136</t>
  </si>
  <si>
    <t>Average of Three</t>
  </si>
  <si>
    <t>AVGOF3</t>
  </si>
  <si>
    <t>1141</t>
  </si>
  <si>
    <t>cakewalk, jeevanjyot, start23</t>
  </si>
  <si>
    <t>Max Binary</t>
  </si>
  <si>
    <t>MAX_BIN</t>
  </si>
  <si>
    <t>Algorithms, Data Structures, Greedy, Observation, String</t>
  </si>
  <si>
    <t>Journey of the Knight</t>
  </si>
  <si>
    <t>KNIGHT2</t>
  </si>
  <si>
    <t>1144</t>
  </si>
  <si>
    <t>Rectangle</t>
  </si>
  <si>
    <t>RECTANGL</t>
  </si>
  <si>
    <t>Download file</t>
  </si>
  <si>
    <t>DWNLD</t>
  </si>
  <si>
    <t>1147</t>
  </si>
  <si>
    <t>Farmer Feb</t>
  </si>
  <si>
    <t>POTATOES</t>
  </si>
  <si>
    <t>1148</t>
  </si>
  <si>
    <t>Algorithms, Brute Force, Implementation, Mathematics, Number Theory, Primality Checking, Sieve of Eratosthenes, Sqrt N Primality Check</t>
  </si>
  <si>
    <t>Minimum XOR</t>
  </si>
  <si>
    <t>MINMXOR</t>
  </si>
  <si>
    <t>1154</t>
  </si>
  <si>
    <t>rahularya1, start109</t>
  </si>
  <si>
    <t>Large Square</t>
  </si>
  <si>
    <t>XLSQUARE</t>
  </si>
  <si>
    <t>1160</t>
  </si>
  <si>
    <t>Infernos</t>
  </si>
  <si>
    <t>INFERNO</t>
  </si>
  <si>
    <t>1162</t>
  </si>
  <si>
    <t>Make Multiple</t>
  </si>
  <si>
    <t>MAKEMULTIPLE</t>
  </si>
  <si>
    <t>1163</t>
  </si>
  <si>
    <t>Balanced Reversals</t>
  </si>
  <si>
    <t>BALREV</t>
  </si>
  <si>
    <t>1165</t>
  </si>
  <si>
    <t>Algorithms, Data Structures, Observation, Sorting, String</t>
  </si>
  <si>
    <t>IPL and RCB</t>
  </si>
  <si>
    <t>CLIPLX</t>
  </si>
  <si>
    <t>1167</t>
  </si>
  <si>
    <t>Hostel Room</t>
  </si>
  <si>
    <t>HOSTELROOM</t>
  </si>
  <si>
    <t>1169</t>
  </si>
  <si>
    <t>Card Swipe</t>
  </si>
  <si>
    <t>CARDSWIPE</t>
  </si>
  <si>
    <t>1172</t>
  </si>
  <si>
    <t>Algorithms, Arrays, Data Structures, Simple Algos</t>
  </si>
  <si>
    <t>Movie Weekend</t>
  </si>
  <si>
    <t>MOVIEWKN</t>
  </si>
  <si>
    <t>1175</t>
  </si>
  <si>
    <t>Chef and Groups</t>
  </si>
  <si>
    <t>GROUPS</t>
  </si>
  <si>
    <t>1176</t>
  </si>
  <si>
    <t>Algorithms, Basic Programming Concepts, Brute Force, Conditional Statements, Constructive, ad-hoc</t>
  </si>
  <si>
    <t>Positive Products</t>
  </si>
  <si>
    <t>POSPROD</t>
  </si>
  <si>
    <t>1178</t>
  </si>
  <si>
    <t>A Balanced Contest</t>
  </si>
  <si>
    <t>PERFCONT</t>
  </si>
  <si>
    <t>1184</t>
  </si>
  <si>
    <t>Divisible by i</t>
  </si>
  <si>
    <t>DIVBYI</t>
  </si>
  <si>
    <t>Algorithms, Implementation, Observation</t>
  </si>
  <si>
    <t>Chef and Work</t>
  </si>
  <si>
    <t>CHEFNWRK</t>
  </si>
  <si>
    <t>Algorithms, Constructive, Greedy, Implementation, ad-hoc</t>
  </si>
  <si>
    <t>Hungry Chef</t>
  </si>
  <si>
    <t>BURGERS2</t>
  </si>
  <si>
    <t>1187</t>
  </si>
  <si>
    <t>Train Partner</t>
  </si>
  <si>
    <t>ANKTRAIN</t>
  </si>
  <si>
    <t>Buy1-Get1</t>
  </si>
  <si>
    <t>BUY1GET1</t>
  </si>
  <si>
    <t>1191</t>
  </si>
  <si>
    <t>ad-hoc, cakewalk, feb13, khad_adm</t>
  </si>
  <si>
    <t>Chef and Subarray</t>
  </si>
  <si>
    <t>CHEFZOT</t>
  </si>
  <si>
    <t>Arrays, Data Structures, Groupings, Subarray</t>
  </si>
  <si>
    <t>Retrieve the Array</t>
  </si>
  <si>
    <t>ARRAYRET</t>
  </si>
  <si>
    <t>1193</t>
  </si>
  <si>
    <t>Algorithms, Basic Math, Mathematics, Observation</t>
  </si>
  <si>
    <t>Convert to permutation</t>
  </si>
  <si>
    <t>PERMUTATION</t>
  </si>
  <si>
    <t>1197</t>
  </si>
  <si>
    <t>Ups and Downs</t>
  </si>
  <si>
    <t>ANUUND</t>
  </si>
  <si>
    <t>1198</t>
  </si>
  <si>
    <t>ad-hoc, anudeep2011, cook46, easy, sorting</t>
  </si>
  <si>
    <t>Trace of Matrix</t>
  </si>
  <si>
    <t>TRACE</t>
  </si>
  <si>
    <t>1200 to 1400 difficulty problems - 1200 to 1400 difficulty problems</t>
  </si>
  <si>
    <t>Even Pair Sum</t>
  </si>
  <si>
    <t>EVENPSUM</t>
  </si>
  <si>
    <t>Algorithms, Basic Math, Basic Programming Concepts, Constructive, Data Types, Mathematics, ad-hoc</t>
  </si>
  <si>
    <t>Drumpf for President!</t>
  </si>
  <si>
    <t>STUDVOTE</t>
  </si>
  <si>
    <t>1205</t>
  </si>
  <si>
    <t>RECNDSTR</t>
  </si>
  <si>
    <t>1206</t>
  </si>
  <si>
    <t>Chef and digits of a number</t>
  </si>
  <si>
    <t>LONGSEQ</t>
  </si>
  <si>
    <t>1209</t>
  </si>
  <si>
    <t>Making a Meal</t>
  </si>
  <si>
    <t>CFMM</t>
  </si>
  <si>
    <t>1214</t>
  </si>
  <si>
    <t>Algorithms, Arrays, Basic Math, Constructive, Data Structures, Frequency Arrays, Mathematics, ad-hoc</t>
  </si>
  <si>
    <t>Jumping in the hills</t>
  </si>
  <si>
    <t>HILLS</t>
  </si>
  <si>
    <t>1216</t>
  </si>
  <si>
    <t>New Piece</t>
  </si>
  <si>
    <t>NEWPIECE</t>
  </si>
  <si>
    <t>Two Different Palindromes</t>
  </si>
  <si>
    <t>TWODIFFPALIN</t>
  </si>
  <si>
    <t>Single Operation Part 1</t>
  </si>
  <si>
    <t>SINGLEOP1</t>
  </si>
  <si>
    <t>1217</t>
  </si>
  <si>
    <t>Odd Repeat</t>
  </si>
  <si>
    <t>REPEAT</t>
  </si>
  <si>
    <t>1218</t>
  </si>
  <si>
    <t>Vaccine Distribution</t>
  </si>
  <si>
    <t>VACCINE2</t>
  </si>
  <si>
    <t>Daily Train</t>
  </si>
  <si>
    <t>DAILY</t>
  </si>
  <si>
    <t>Algorithms, Combinatorics, Data Structures, Implementation, Mathematics, String</t>
  </si>
  <si>
    <t>Cool Name</t>
  </si>
  <si>
    <t>CALPOWER</t>
  </si>
  <si>
    <t>1223</t>
  </si>
  <si>
    <t>EVM Hacking</t>
  </si>
  <si>
    <t>EVMHACK</t>
  </si>
  <si>
    <t>To Divide or Not To Divide</t>
  </si>
  <si>
    <t>DIVAB</t>
  </si>
  <si>
    <t>1224</t>
  </si>
  <si>
    <t>Chef in Fantasy League</t>
  </si>
  <si>
    <t>FFL</t>
  </si>
  <si>
    <t>1225</t>
  </si>
  <si>
    <t>Chef and Mean</t>
  </si>
  <si>
    <t>CHFM</t>
  </si>
  <si>
    <t>1229</t>
  </si>
  <si>
    <t>Algorithms, Basic Math, Brute Force, Mathematics, Observation</t>
  </si>
  <si>
    <t>Maximise XOR</t>
  </si>
  <si>
    <t>XORMAX</t>
  </si>
  <si>
    <t>Sum of palindromic numbers</t>
  </si>
  <si>
    <t>SPALNUM</t>
  </si>
  <si>
    <t>The One with Russ</t>
  </si>
  <si>
    <t>S02E10</t>
  </si>
  <si>
    <t>Two Trains</t>
  </si>
  <si>
    <t>TWOTRAINS</t>
  </si>
  <si>
    <t>A Good Set</t>
  </si>
  <si>
    <t>GOODSET</t>
  </si>
  <si>
    <t>Caesar Cipher</t>
  </si>
  <si>
    <t>CAESAR</t>
  </si>
  <si>
    <t>1232</t>
  </si>
  <si>
    <t>Equal Coins</t>
  </si>
  <si>
    <t>EQUALCOIN</t>
  </si>
  <si>
    <t>1233</t>
  </si>
  <si>
    <t>Algorithms, Basic Math, Basic Programming Concepts, Case work, Conditional Statements, Constructive, Mathematics, Observation, Special, ad-hoc</t>
  </si>
  <si>
    <t>Distinct Codes</t>
  </si>
  <si>
    <t>DISTCODE</t>
  </si>
  <si>
    <t>1234</t>
  </si>
  <si>
    <t>2D Arrays, Arrays, Data Structures, Frequency Arrays, String</t>
  </si>
  <si>
    <t>Mode of Frequencies</t>
  </si>
  <si>
    <t>MODEFREQ</t>
  </si>
  <si>
    <t>Algorithms, Arrays, Data Structures, Implementation</t>
  </si>
  <si>
    <t>Ada and Dishes</t>
  </si>
  <si>
    <t>ADADISH</t>
  </si>
  <si>
    <t>1237</t>
  </si>
  <si>
    <t>Disabled King</t>
  </si>
  <si>
    <t>DISABLEDKING</t>
  </si>
  <si>
    <t>Algorithms, Basic Math, Case work, Chess, Constructive, Mathematics, Observation, Special, ad-hoc</t>
  </si>
  <si>
    <t>Palindromic substrings</t>
  </si>
  <si>
    <t>STRPALIN</t>
  </si>
  <si>
    <t>1238</t>
  </si>
  <si>
    <t>Swapping Chefs Way</t>
  </si>
  <si>
    <t>SWAPCW</t>
  </si>
  <si>
    <t>Closest Vowels</t>
  </si>
  <si>
    <t>CLOSEVOWEL</t>
  </si>
  <si>
    <t>1241</t>
  </si>
  <si>
    <t>Data Structures, Mathematics, String</t>
  </si>
  <si>
    <t>Chef and Secret Ingredient</t>
  </si>
  <si>
    <t>PCJ18A</t>
  </si>
  <si>
    <t>1244</t>
  </si>
  <si>
    <t>Walk</t>
  </si>
  <si>
    <t>WALK</t>
  </si>
  <si>
    <t>1247</t>
  </si>
  <si>
    <t>Lift Requests</t>
  </si>
  <si>
    <t>LIFTME</t>
  </si>
  <si>
    <t>Subtraction Game 1</t>
  </si>
  <si>
    <t>AMSGAME1</t>
  </si>
  <si>
    <t>Algorithms, GCD, Mathematics, Number Theory, Observation</t>
  </si>
  <si>
    <t>Chef and Demonetisation</t>
  </si>
  <si>
    <t>CHFMOT18</t>
  </si>
  <si>
    <t>Algorithms, Basic Math, Basic Programming Concepts, Case work, Conditional Statements, Constructive, Mathematics, Special, ad-hoc</t>
  </si>
  <si>
    <t>Avoid Fixed Points</t>
  </si>
  <si>
    <t>NOFIX</t>
  </si>
  <si>
    <t>Algorithms, Constructive, ad-hoc</t>
  </si>
  <si>
    <t>Tourist Translations</t>
  </si>
  <si>
    <t>TOTR</t>
  </si>
  <si>
    <t>Three Powers of Two</t>
  </si>
  <si>
    <t>THREEPOW2</t>
  </si>
  <si>
    <t>1253</t>
  </si>
  <si>
    <t>Golf</t>
  </si>
  <si>
    <t>LKDNGOLF</t>
  </si>
  <si>
    <t>1256</t>
  </si>
  <si>
    <t>A Big Sale</t>
  </si>
  <si>
    <t>BIGSALE</t>
  </si>
  <si>
    <t>1260</t>
  </si>
  <si>
    <t>Distinct Binary Strings</t>
  </si>
  <si>
    <t>BINSTRING</t>
  </si>
  <si>
    <t>1262</t>
  </si>
  <si>
    <t>Chef and Subset Additions</t>
  </si>
  <si>
    <t>SUBSTADD</t>
  </si>
  <si>
    <t>1263</t>
  </si>
  <si>
    <t>Maximum Deliciousness</t>
  </si>
  <si>
    <t>KDELI</t>
  </si>
  <si>
    <t>Algorithms, Simple Algos, Sorting</t>
  </si>
  <si>
    <t>Minimum Deletions</t>
  </si>
  <si>
    <t>RD19</t>
  </si>
  <si>
    <t>1267</t>
  </si>
  <si>
    <t>Chef and Icecream</t>
  </si>
  <si>
    <t>CHFICRM</t>
  </si>
  <si>
    <t>1269</t>
  </si>
  <si>
    <t>Chef And Salary Pay</t>
  </si>
  <si>
    <t>HCAGMAM1</t>
  </si>
  <si>
    <t>1D Arrays, Algorithms, Arrays, Basic Math, Basic Programming Concepts, Brute Force, Data Structures, Loops, Mathematics</t>
  </si>
  <si>
    <t>Recruit Villagers</t>
  </si>
  <si>
    <t>VILLINE</t>
  </si>
  <si>
    <t>1270</t>
  </si>
  <si>
    <t>Check Algorithm</t>
  </si>
  <si>
    <t>CHEALG</t>
  </si>
  <si>
    <t>1273</t>
  </si>
  <si>
    <t>Algorithms, Basic Programming Concepts, Brute Force, Implementation, Loops</t>
  </si>
  <si>
    <t>Plus Multiply</t>
  </si>
  <si>
    <t>PLMU</t>
  </si>
  <si>
    <t>1277</t>
  </si>
  <si>
    <t>Algorithms, Basic Math, Combinatorics, Constructive, Mathematics, Observation, ad-hoc</t>
  </si>
  <si>
    <t>Hard Sequence</t>
  </si>
  <si>
    <t>HRDSEQ</t>
  </si>
  <si>
    <t>1278</t>
  </si>
  <si>
    <t>Beat the Average</t>
  </si>
  <si>
    <t>ABOVEAVG</t>
  </si>
  <si>
    <t>math, start37, utkarsh_adm</t>
  </si>
  <si>
    <t>Fancy Quotes</t>
  </si>
  <si>
    <t>FANCY</t>
  </si>
  <si>
    <t>1279</t>
  </si>
  <si>
    <t>Algorithms, Data Structures, Implementation, String</t>
  </si>
  <si>
    <t>Nahaane Jaa</t>
  </si>
  <si>
    <t>EQSARRAY</t>
  </si>
  <si>
    <t>Case work, Special</t>
  </si>
  <si>
    <t>Array Equality</t>
  </si>
  <si>
    <t>ARREQU</t>
  </si>
  <si>
    <t>1281</t>
  </si>
  <si>
    <t>Little Elephant and Bombs</t>
  </si>
  <si>
    <t>LEBOMBS</t>
  </si>
  <si>
    <t>1284</t>
  </si>
  <si>
    <t>Longest Common Pattern</t>
  </si>
  <si>
    <t>LCPESY</t>
  </si>
  <si>
    <t>Arrays, Data Structures, Frequency Arrays, String</t>
  </si>
  <si>
    <t>Take it Easy</t>
  </si>
  <si>
    <t>TIES</t>
  </si>
  <si>
    <t>1289</t>
  </si>
  <si>
    <t>Strong Language</t>
  </si>
  <si>
    <t>SSCRIPT</t>
  </si>
  <si>
    <t>1291</t>
  </si>
  <si>
    <t>Attic Crossing</t>
  </si>
  <si>
    <t>ATTIC</t>
  </si>
  <si>
    <t>1295</t>
  </si>
  <si>
    <t>Chef Chick</t>
  </si>
  <si>
    <t>CHFCHK</t>
  </si>
  <si>
    <t>Whats in the Name</t>
  </si>
  <si>
    <t>NITIKA</t>
  </si>
  <si>
    <t>1299</t>
  </si>
  <si>
    <t>Maximise Function</t>
  </si>
  <si>
    <t>MAXFUN</t>
  </si>
  <si>
    <t>Algorithms, Basic Math, Greedy, Mathematics, Observation</t>
  </si>
  <si>
    <t>Lucky lucky number</t>
  </si>
  <si>
    <t>CHEFLUCK</t>
  </si>
  <si>
    <t>1302</t>
  </si>
  <si>
    <t>easy, isha_adm, may12</t>
  </si>
  <si>
    <t>Distinct Palindrome</t>
  </si>
  <si>
    <t>DISPAL</t>
  </si>
  <si>
    <t>1304</t>
  </si>
  <si>
    <t>The Ball And Cups</t>
  </si>
  <si>
    <t>TAVISUAL</t>
  </si>
  <si>
    <t>1306</t>
  </si>
  <si>
    <t>Funny Hand</t>
  </si>
  <si>
    <t>FUNHAND</t>
  </si>
  <si>
    <t>Mathematics, Probability</t>
  </si>
  <si>
    <t>Permutation Clear</t>
  </si>
  <si>
    <t>PERMCLEAR</t>
  </si>
  <si>
    <t>Button Pairs</t>
  </si>
  <si>
    <t>UWCOI20B</t>
  </si>
  <si>
    <t>Bear and Extra Number</t>
  </si>
  <si>
    <t>EXTRAN</t>
  </si>
  <si>
    <t>1311</t>
  </si>
  <si>
    <t>Algorithms, Case work, Constructive, Observation, Special, ad-hoc</t>
  </si>
  <si>
    <t>Lockpicking Chef</t>
  </si>
  <si>
    <t>LPC</t>
  </si>
  <si>
    <t>Algorithms, Implementation, Simple Algos</t>
  </si>
  <si>
    <t>Pintu and Fruits</t>
  </si>
  <si>
    <t>CHPINTU</t>
  </si>
  <si>
    <t>1313</t>
  </si>
  <si>
    <t>1D Arrays, Algorithms, Arrays, Brute Force, Data Structures, Implementation</t>
  </si>
  <si>
    <t>Split and Maximize</t>
  </si>
  <si>
    <t>SPLITMAX</t>
  </si>
  <si>
    <t>Hello Equation</t>
  </si>
  <si>
    <t>HLEQN</t>
  </si>
  <si>
    <t>1315</t>
  </si>
  <si>
    <t>Algorithms, Mathematics, Number Theory, Observation</t>
  </si>
  <si>
    <t>Archi and Comparsion</t>
  </si>
  <si>
    <t>NUMCOMP</t>
  </si>
  <si>
    <t>Cache Hits</t>
  </si>
  <si>
    <t>CACHEHIT</t>
  </si>
  <si>
    <t>Yet Another Palindrome Making Problem</t>
  </si>
  <si>
    <t>MAKEPALAGAIN</t>
  </si>
  <si>
    <t>1328</t>
  </si>
  <si>
    <t>Permutation GCD</t>
  </si>
  <si>
    <t>PERMGCD</t>
  </si>
  <si>
    <t>start50, tejas_adm</t>
  </si>
  <si>
    <t>Divisible by K</t>
  </si>
  <si>
    <t>DIVBYK</t>
  </si>
  <si>
    <t>1329</t>
  </si>
  <si>
    <t>Chef and Chain</t>
  </si>
  <si>
    <t>CHEFCH</t>
  </si>
  <si>
    <t>1332</t>
  </si>
  <si>
    <t>Algorithms, Brute Force, Data Structures, String</t>
  </si>
  <si>
    <t>Minimum distance between 1s</t>
  </si>
  <si>
    <t>MINDIST1</t>
  </si>
  <si>
    <t>1335</t>
  </si>
  <si>
    <t>Chef and Chocolate</t>
  </si>
  <si>
    <t>CHCHCL</t>
  </si>
  <si>
    <t>1343</t>
  </si>
  <si>
    <t>Chef Feeds Cats</t>
  </si>
  <si>
    <t>CATFEED</t>
  </si>
  <si>
    <t>Algorithms, Brute Force, Constructive, Implementation, ad-hoc</t>
  </si>
  <si>
    <t>Shuffling Parities</t>
  </si>
  <si>
    <t>SHUFFLIN</t>
  </si>
  <si>
    <t>1347</t>
  </si>
  <si>
    <t>Crazy Bishops on Chessboard</t>
  </si>
  <si>
    <t>CRZBISHOP</t>
  </si>
  <si>
    <t>1351</t>
  </si>
  <si>
    <t>Collisions</t>
  </si>
  <si>
    <t>LCOLLIS</t>
  </si>
  <si>
    <t>1352</t>
  </si>
  <si>
    <t>Valid Expression</t>
  </si>
  <si>
    <t>EVALMAS</t>
  </si>
  <si>
    <t>1354</t>
  </si>
  <si>
    <t>Algorithms, Constructive</t>
  </si>
  <si>
    <t>Lcm hates Gcd</t>
  </si>
  <si>
    <t>LCM_GCD</t>
  </si>
  <si>
    <t>1369</t>
  </si>
  <si>
    <t>GCD, LCM, Mathematics, Number Theory</t>
  </si>
  <si>
    <t>Eat Twice</t>
  </si>
  <si>
    <t>EATTWICE</t>
  </si>
  <si>
    <t>1370</t>
  </si>
  <si>
    <t>Mean and Median</t>
  </si>
  <si>
    <t>MEANMEDIAN</t>
  </si>
  <si>
    <t>1371</t>
  </si>
  <si>
    <t>Distribute Apples</t>
  </si>
  <si>
    <t>DSTAPLS</t>
  </si>
  <si>
    <t>Missing Sums</t>
  </si>
  <si>
    <t>MISSSUMS</t>
  </si>
  <si>
    <t>Interesting Subarray</t>
  </si>
  <si>
    <t>SUBARRY</t>
  </si>
  <si>
    <t>1375</t>
  </si>
  <si>
    <t>Chef and Secret Ingredients</t>
  </si>
  <si>
    <t>CHEFING</t>
  </si>
  <si>
    <t>1376</t>
  </si>
  <si>
    <t>Difference Matrix</t>
  </si>
  <si>
    <t>MATDIF</t>
  </si>
  <si>
    <t>1377</t>
  </si>
  <si>
    <t>Nothing in Common</t>
  </si>
  <si>
    <t>NOTINCOM</t>
  </si>
  <si>
    <t>1386</t>
  </si>
  <si>
    <t>Algorithms, Greedy, Mathematics, Set Theory</t>
  </si>
  <si>
    <t>Cats and Dogs</t>
  </si>
  <si>
    <t>CATSDOGS</t>
  </si>
  <si>
    <t>Similar Heights</t>
  </si>
  <si>
    <t>HEIGHTS</t>
  </si>
  <si>
    <t>1390</t>
  </si>
  <si>
    <t>Minimum Maximum</t>
  </si>
  <si>
    <t>MNMX</t>
  </si>
  <si>
    <t>1392</t>
  </si>
  <si>
    <t>Find the Maximum Value</t>
  </si>
  <si>
    <t>LOSTMAX</t>
  </si>
  <si>
    <t>Algorithms, Constructive, Data Structures, Implementation, ad-hoc</t>
  </si>
  <si>
    <t>Make Palindrome 2</t>
  </si>
  <si>
    <t>MAKEPAL2</t>
  </si>
  <si>
    <t>1393</t>
  </si>
  <si>
    <t>soumyadeep_21, start48</t>
  </si>
  <si>
    <t>Deputy Chef</t>
  </si>
  <si>
    <t>DEPCHEF</t>
  </si>
  <si>
    <t>1397</t>
  </si>
  <si>
    <t>1400 to 1600 difficulty problems</t>
  </si>
  <si>
    <t>Practice problems which can help you become 2 star on CodeChef.</t>
  </si>
  <si>
    <t>1400 to 1500 difficulty problems - 1400 to 1500 difficulty problems</t>
  </si>
  <si>
    <t>Average Permutation</t>
  </si>
  <si>
    <t>AVGPERM</t>
  </si>
  <si>
    <t>1401</t>
  </si>
  <si>
    <t>Hotel Bytelandia</t>
  </si>
  <si>
    <t>HOTEL</t>
  </si>
  <si>
    <t>cook14, david_adm, easy</t>
  </si>
  <si>
    <t>Mighty Friend</t>
  </si>
  <si>
    <t>MTYFRI</t>
  </si>
  <si>
    <t>1406</t>
  </si>
  <si>
    <t>Data Structures, Maps</t>
  </si>
  <si>
    <t>Array Halves</t>
  </si>
  <si>
    <t>ARRHALVES</t>
  </si>
  <si>
    <t>1407</t>
  </si>
  <si>
    <t>Bella ciao</t>
  </si>
  <si>
    <t>CHFHEIST</t>
  </si>
  <si>
    <t>1410</t>
  </si>
  <si>
    <t>AP, Basic Math, Mathematics, Sequences and Progression</t>
  </si>
  <si>
    <t>Plusle and Minun on Array</t>
  </si>
  <si>
    <t>PMA</t>
  </si>
  <si>
    <t>1412</t>
  </si>
  <si>
    <t>STRAME</t>
  </si>
  <si>
    <t>1413</t>
  </si>
  <si>
    <t>Remove Element</t>
  </si>
  <si>
    <t>REMELEM</t>
  </si>
  <si>
    <t>1415</t>
  </si>
  <si>
    <t>Maximize Colours</t>
  </si>
  <si>
    <t>COLOUR</t>
  </si>
  <si>
    <t>Bit Manipulation, Bitmasking, Case work, Mathematics, Special</t>
  </si>
  <si>
    <t>Fit to Play</t>
  </si>
  <si>
    <t>PLAYFIT</t>
  </si>
  <si>
    <t>1419</t>
  </si>
  <si>
    <t>1D Arrays, Algorithms, Arrays, Constructive, Data Structures, Dynamic Programming, Prefix Sum, Simple Algos, ad-hoc</t>
  </si>
  <si>
    <t>Equality</t>
  </si>
  <si>
    <t>EQUALITY</t>
  </si>
  <si>
    <t>Decreasing Srrnmieeda</t>
  </si>
  <si>
    <t>DECREM</t>
  </si>
  <si>
    <t>1423</t>
  </si>
  <si>
    <t>Algorithms, Mathematics, Observation, Pigeonhole Principle, Set Theory</t>
  </si>
  <si>
    <t>Average Array</t>
  </si>
  <si>
    <t>AVGARR</t>
  </si>
  <si>
    <t>1424</t>
  </si>
  <si>
    <t>Algorithms, Basic Math, Constructive, Mathematics</t>
  </si>
  <si>
    <t>Parallel Processing</t>
  </si>
  <si>
    <t>PLPROCESS</t>
  </si>
  <si>
    <t>1425</t>
  </si>
  <si>
    <t>Algorithms, Prefix Sum, Simple Algos</t>
  </si>
  <si>
    <t>Reversing directions</t>
  </si>
  <si>
    <t>DIRECTI</t>
  </si>
  <si>
    <t>1426</t>
  </si>
  <si>
    <t>Full Barrier Alchemist</t>
  </si>
  <si>
    <t>PIPSQUIK</t>
  </si>
  <si>
    <t>Balanced and Unique Arrays</t>
  </si>
  <si>
    <t>UNQEQ</t>
  </si>
  <si>
    <t>1431</t>
  </si>
  <si>
    <t>Maximum Angriness</t>
  </si>
  <si>
    <t>MAXAGRY</t>
  </si>
  <si>
    <t>1432</t>
  </si>
  <si>
    <t>Algorithms, Greedy, Mathematics</t>
  </si>
  <si>
    <t>Permutation Xority</t>
  </si>
  <si>
    <t>PERMXORITY</t>
  </si>
  <si>
    <t>1437</t>
  </si>
  <si>
    <t>Akash and Dinner</t>
  </si>
  <si>
    <t>CHEFDINE</t>
  </si>
  <si>
    <t>1438</t>
  </si>
  <si>
    <t>Algorithms, Sorting</t>
  </si>
  <si>
    <t>HTML Tags</t>
  </si>
  <si>
    <t>HTMLTAGS</t>
  </si>
  <si>
    <t>1441</t>
  </si>
  <si>
    <t>Algorithms, Basic Programming Concepts, Brute Force, Case work, Conditional Statements, Implementation, Special</t>
  </si>
  <si>
    <t>Chef and Coins Game</t>
  </si>
  <si>
    <t>CHCOINSG</t>
  </si>
  <si>
    <t>1442</t>
  </si>
  <si>
    <t>Algorithms, Game Theory, Observation, Patterns</t>
  </si>
  <si>
    <t>Make Array Odd</t>
  </si>
  <si>
    <t>MAKEARRAYODD</t>
  </si>
  <si>
    <t>1445</t>
  </si>
  <si>
    <t>Cutting Pizza</t>
  </si>
  <si>
    <t>CUTPIZ</t>
  </si>
  <si>
    <t>1446</t>
  </si>
  <si>
    <t>Algorithms, GCD, Geometry, Mathematics, Number Theory, Observation</t>
  </si>
  <si>
    <t>Counting Flags</t>
  </si>
  <si>
    <t>FLAGS</t>
  </si>
  <si>
    <t>Control the Pollution</t>
  </si>
  <si>
    <t>SMOKE</t>
  </si>
  <si>
    <t>1450</t>
  </si>
  <si>
    <t>Yet another SOD problem</t>
  </si>
  <si>
    <t>SOD3</t>
  </si>
  <si>
    <t>1459</t>
  </si>
  <si>
    <t>Triangle Classification</t>
  </si>
  <si>
    <t>TRIANGCL</t>
  </si>
  <si>
    <t>1462</t>
  </si>
  <si>
    <t>Chef and Adventures</t>
  </si>
  <si>
    <t>CHEFADV</t>
  </si>
  <si>
    <t>Algebra, Arithmetic, Basic Math, Divisibility, Linear Algebra, Mathematics, Modular Arithmetic</t>
  </si>
  <si>
    <t>Magical Planks</t>
  </si>
  <si>
    <t>MKGPLNKS</t>
  </si>
  <si>
    <t>Approximately II</t>
  </si>
  <si>
    <t>APPROX2</t>
  </si>
  <si>
    <t>1471</t>
  </si>
  <si>
    <t>Magic Set</t>
  </si>
  <si>
    <t>MGCSET</t>
  </si>
  <si>
    <t>Algorithms, Combinatorics, Mathematics, Observation</t>
  </si>
  <si>
    <t>Chef and Three Dogs</t>
  </si>
  <si>
    <t>CHDOGS</t>
  </si>
  <si>
    <t>1473</t>
  </si>
  <si>
    <t>Basic Math, Geometry, Mathematics, Trigonometry</t>
  </si>
  <si>
    <t>Order by XOR</t>
  </si>
  <si>
    <t>XOR_ORDER</t>
  </si>
  <si>
    <t>1476</t>
  </si>
  <si>
    <t>Chef and Numbers</t>
  </si>
  <si>
    <t>CHEFFED</t>
  </si>
  <si>
    <t>1477</t>
  </si>
  <si>
    <t>Basic Math, Mathematics, Number Theory</t>
  </si>
  <si>
    <t>Majin Vegeta</t>
  </si>
  <si>
    <t>VEGETA</t>
  </si>
  <si>
    <t>Digital clock</t>
  </si>
  <si>
    <t>ONOZ</t>
  </si>
  <si>
    <t>1482</t>
  </si>
  <si>
    <t>Alternating Divisibility</t>
  </si>
  <si>
    <t>ALTERNATEDIV</t>
  </si>
  <si>
    <t>1483</t>
  </si>
  <si>
    <t>Algorithms, Constructive, Observation, ad-hoc</t>
  </si>
  <si>
    <t>Jogging</t>
  </si>
  <si>
    <t>JOGGING</t>
  </si>
  <si>
    <t>1484</t>
  </si>
  <si>
    <t>Basic Math, Basic Programming Concepts, Mathematics, Modular Arithmetic, Precomputation, Special</t>
  </si>
  <si>
    <t>Correct Sentence</t>
  </si>
  <si>
    <t>CORTSENT</t>
  </si>
  <si>
    <t>1485</t>
  </si>
  <si>
    <t>Chef Odd</t>
  </si>
  <si>
    <t>CHEFODD</t>
  </si>
  <si>
    <t>1486</t>
  </si>
  <si>
    <t>Weird Palindrome Making</t>
  </si>
  <si>
    <t>MAKEPAL</t>
  </si>
  <si>
    <t>Interesting XOR!</t>
  </si>
  <si>
    <t>IRSTXOR</t>
  </si>
  <si>
    <t>1487</t>
  </si>
  <si>
    <t>Algorithms, Bit Manipulation, Bitwise Operation, Constructive, Greedy, Mathematics, Observation, ad-hoc</t>
  </si>
  <si>
    <t>CAO Stage-1</t>
  </si>
  <si>
    <t>CAOS1</t>
  </si>
  <si>
    <t>1488</t>
  </si>
  <si>
    <t>Anti Palindrome</t>
  </si>
  <si>
    <t>ANTIPALINDR</t>
  </si>
  <si>
    <t>Chef Goes to the Cinema</t>
  </si>
  <si>
    <t>CO92SUBW</t>
  </si>
  <si>
    <t>1493</t>
  </si>
  <si>
    <t>Harrenhal</t>
  </si>
  <si>
    <t>HHAL</t>
  </si>
  <si>
    <t>1495</t>
  </si>
  <si>
    <t>Algorithms, Data Structures, Observation, String</t>
  </si>
  <si>
    <t>Exactly N plus 1 Values</t>
  </si>
  <si>
    <t>N1VALUES</t>
  </si>
  <si>
    <t>Gcd of Subarrays</t>
  </si>
  <si>
    <t>GCDSUBARRAYS</t>
  </si>
  <si>
    <t>1498</t>
  </si>
  <si>
    <t>Total Correct Submissions</t>
  </si>
  <si>
    <t>TOTCRT</t>
  </si>
  <si>
    <t>1499</t>
  </si>
  <si>
    <t>1500 to 1600 difficulty problems - 1500 to 1600 difficulty problems</t>
  </si>
  <si>
    <t>Subarray Removal</t>
  </si>
  <si>
    <t>SUBARRAYREM</t>
  </si>
  <si>
    <t>1505</t>
  </si>
  <si>
    <t>Palindrome Pain</t>
  </si>
  <si>
    <t>PALINPAIN</t>
  </si>
  <si>
    <t>1506</t>
  </si>
  <si>
    <t>Algorithms, Constructive, Data Structures, String</t>
  </si>
  <si>
    <t>Magda and Silly Pairs</t>
  </si>
  <si>
    <t>SILLYPRS</t>
  </si>
  <si>
    <t>Equal by XORing</t>
  </si>
  <si>
    <t>EQBYXOR</t>
  </si>
  <si>
    <t>Algorithms, Bit Manipulation, Bitwise Operation, Discrete Maths, Greedy, Mathematics</t>
  </si>
  <si>
    <t>Reduce to One</t>
  </si>
  <si>
    <t>REDONE</t>
  </si>
  <si>
    <t>Chef Drinks Coke</t>
  </si>
  <si>
    <t>COKE</t>
  </si>
  <si>
    <t>1511</t>
  </si>
  <si>
    <t>One-XOR Deletions</t>
  </si>
  <si>
    <t>DELXORONE</t>
  </si>
  <si>
    <t>1516</t>
  </si>
  <si>
    <t>Concat Palindrome</t>
  </si>
  <si>
    <t>CONCATPAL</t>
  </si>
  <si>
    <t>1520</t>
  </si>
  <si>
    <t>When to take medicine</t>
  </si>
  <si>
    <t>MEDIC</t>
  </si>
  <si>
    <t>1522</t>
  </si>
  <si>
    <t>Split Sums</t>
  </si>
  <si>
    <t>SPSUM</t>
  </si>
  <si>
    <t>1524</t>
  </si>
  <si>
    <t>Guddu on a Date</t>
  </si>
  <si>
    <t>KS2</t>
  </si>
  <si>
    <t>1525</t>
  </si>
  <si>
    <t>Positive or Negative Subarrays</t>
  </si>
  <si>
    <t>POSITNEG</t>
  </si>
  <si>
    <t>1526</t>
  </si>
  <si>
    <t>Algorithms, Mathematics, Observation</t>
  </si>
  <si>
    <t>Monsters</t>
  </si>
  <si>
    <t>SPCP5</t>
  </si>
  <si>
    <t>1527</t>
  </si>
  <si>
    <t>Admins and Shopping</t>
  </si>
  <si>
    <t>ADMINSHOP</t>
  </si>
  <si>
    <t>1529</t>
  </si>
  <si>
    <t>Prefix Permutation</t>
  </si>
  <si>
    <t>PREFPERM</t>
  </si>
  <si>
    <t>1532</t>
  </si>
  <si>
    <t>Flip the String</t>
  </si>
  <si>
    <t>FLIP</t>
  </si>
  <si>
    <t>1538</t>
  </si>
  <si>
    <t>Algorithms, Data Structures, Greedy, Implementation, String</t>
  </si>
  <si>
    <t>Let us play with rank list</t>
  </si>
  <si>
    <t>RANKLIST</t>
  </si>
  <si>
    <t>1543</t>
  </si>
  <si>
    <t>Unstable Subarray</t>
  </si>
  <si>
    <t>COUNTSUB</t>
  </si>
  <si>
    <t>1545</t>
  </si>
  <si>
    <t>Algorithms, Data Structures, Maps, Simple Algos</t>
  </si>
  <si>
    <t>Catch the Thief</t>
  </si>
  <si>
    <t>CATHIEF</t>
  </si>
  <si>
    <t>1550</t>
  </si>
  <si>
    <t>XxOoRr</t>
  </si>
  <si>
    <t>XXOORR</t>
  </si>
  <si>
    <t>1551</t>
  </si>
  <si>
    <t>Chef and Sign Sequences</t>
  </si>
  <si>
    <t>CHEFSIGN</t>
  </si>
  <si>
    <t>1563</t>
  </si>
  <si>
    <t>Arrays, Data Structures, Groupings, String, Substring</t>
  </si>
  <si>
    <t>Boring String</t>
  </si>
  <si>
    <t>BORSTR</t>
  </si>
  <si>
    <t>1566</t>
  </si>
  <si>
    <t>Chef and squares</t>
  </si>
  <si>
    <t>CHSQR</t>
  </si>
  <si>
    <t>1576</t>
  </si>
  <si>
    <t>Yet Another Constructive Problem</t>
  </si>
  <si>
    <t>ORANDCON</t>
  </si>
  <si>
    <t>1580</t>
  </si>
  <si>
    <t>Missing Numbers</t>
  </si>
  <si>
    <t>MISS_NUM</t>
  </si>
  <si>
    <t>1594</t>
  </si>
  <si>
    <t>Yet Another Palindrome Problem</t>
  </si>
  <si>
    <t>ARRPAL</t>
  </si>
  <si>
    <t>The One On The Last Night</t>
  </si>
  <si>
    <t>S06E06</t>
  </si>
  <si>
    <t>Andrew and the Meatballs again</t>
  </si>
  <si>
    <t>AMMEAT2</t>
  </si>
  <si>
    <t>1597</t>
  </si>
  <si>
    <t>GCD, Mathematics, Number Theory, Pigeonhole Principle, Set Theory</t>
  </si>
  <si>
    <t>Bouncing Ball</t>
  </si>
  <si>
    <t>BOUNCE_BALL</t>
  </si>
  <si>
    <t>1607</t>
  </si>
  <si>
    <t>Non-Divisor Array</t>
  </si>
  <si>
    <t>DIVCOL</t>
  </si>
  <si>
    <t>1623</t>
  </si>
  <si>
    <t>Algorithms, Constructive, Mathematics</t>
  </si>
  <si>
    <t>K Odd Sum</t>
  </si>
  <si>
    <t>ADVITIYA5</t>
  </si>
  <si>
    <t>1614</t>
  </si>
  <si>
    <t>Break Free</t>
  </si>
  <si>
    <t>REMOSET</t>
  </si>
  <si>
    <t>1612</t>
  </si>
  <si>
    <t>Chef And Adjacent Sums</t>
  </si>
  <si>
    <t>CHFADJSUM</t>
  </si>
  <si>
    <t>1604</t>
  </si>
  <si>
    <t>Consecutive Xor</t>
  </si>
  <si>
    <t>XOR2</t>
  </si>
  <si>
    <t>1600 to 1800 difficulty problems</t>
  </si>
  <si>
    <t>Practice problems which can help you become 3 star on CodeChef.</t>
  </si>
  <si>
    <t>1600 to 1700 difficulty problems - 1600 to 1700 difficulty problems</t>
  </si>
  <si>
    <t>Odd Sum</t>
  </si>
  <si>
    <t>ODDSUM</t>
  </si>
  <si>
    <t>Chef and Bulb Invention</t>
  </si>
  <si>
    <t>CHFINVNT</t>
  </si>
  <si>
    <t>Chain of Doughnuts</t>
  </si>
  <si>
    <t>DONUTS</t>
  </si>
  <si>
    <t>easy, greedy, m0stik, sept15, sorting</t>
  </si>
  <si>
    <t>Bench Press</t>
  </si>
  <si>
    <t>BENCHP</t>
  </si>
  <si>
    <t>Algorithms, Arrays, Data Structures, Frequency Arrays, Greedy, Implementation</t>
  </si>
  <si>
    <t>Different String</t>
  </si>
  <si>
    <t>DIFSTR</t>
  </si>
  <si>
    <t>Chef And The Hiring Event</t>
  </si>
  <si>
    <t>CHEARMY</t>
  </si>
  <si>
    <t>Algorithms, Basic Math, Constructive, Mathematics, Number System, Observation, ad-hoc</t>
  </si>
  <si>
    <t>Survive in ChocoLand</t>
  </si>
  <si>
    <t>SURVIVE</t>
  </si>
  <si>
    <t>1616</t>
  </si>
  <si>
    <t>GCD of Prefixes</t>
  </si>
  <si>
    <t>GCDPRF</t>
  </si>
  <si>
    <t>1617</t>
  </si>
  <si>
    <t>MaxEdges</t>
  </si>
  <si>
    <t>MAXEDGES</t>
  </si>
  <si>
    <t>1618</t>
  </si>
  <si>
    <t>Combinatorics, Mathematics</t>
  </si>
  <si>
    <t>Max Out</t>
  </si>
  <si>
    <t>IOPC17C</t>
  </si>
  <si>
    <t>1621</t>
  </si>
  <si>
    <t>varunkhare1234</t>
  </si>
  <si>
    <t>Construct Array</t>
  </si>
  <si>
    <t>CONSTRRAY</t>
  </si>
  <si>
    <t>Zebra Crossing</t>
  </si>
  <si>
    <t>ZEBRA</t>
  </si>
  <si>
    <t>1626</t>
  </si>
  <si>
    <t>UEFA Champions League</t>
  </si>
  <si>
    <t>UCL</t>
  </si>
  <si>
    <t>1633</t>
  </si>
  <si>
    <t>Bitwise Tuples</t>
  </si>
  <si>
    <t>BITTUP</t>
  </si>
  <si>
    <t>1634</t>
  </si>
  <si>
    <t>Bit Manipulation, Combinatorics, Mathematics</t>
  </si>
  <si>
    <t>XOR with smallest element</t>
  </si>
  <si>
    <t>SMALLXOR</t>
  </si>
  <si>
    <t>1635</t>
  </si>
  <si>
    <t>Concat Sort</t>
  </si>
  <si>
    <t>CONCATSORT</t>
  </si>
  <si>
    <t>1637</t>
  </si>
  <si>
    <t>Charges</t>
  </si>
  <si>
    <t>CHARGES</t>
  </si>
  <si>
    <t>1645</t>
  </si>
  <si>
    <t>Algorithms, Data Structures, Implementation, Observation, String</t>
  </si>
  <si>
    <t>Chef and Interesting Subsequences</t>
  </si>
  <si>
    <t>CHEFINSQ</t>
  </si>
  <si>
    <t>1646</t>
  </si>
  <si>
    <t>Algorithms, Combinatorics, Mathematics, Observation, Sorting</t>
  </si>
  <si>
    <t>Range Assign, Number of Distinct Elements Minimize</t>
  </si>
  <si>
    <t>RANGEASSIGN</t>
  </si>
  <si>
    <t>Permutation and Palindrome</t>
  </si>
  <si>
    <t>PERMPAL</t>
  </si>
  <si>
    <t>Find eX</t>
  </si>
  <si>
    <t>FIND_X</t>
  </si>
  <si>
    <t>LCM, Mathematics, Number Theory</t>
  </si>
  <si>
    <t>Frequency Array Retrieval</t>
  </si>
  <si>
    <t>FREQARRRET</t>
  </si>
  <si>
    <t>1654</t>
  </si>
  <si>
    <t>Algorithms, Arrays, Data Structures, Frequency Arrays, Greedy, Lexicographic Order, Sorting</t>
  </si>
  <si>
    <t>OR Matrix</t>
  </si>
  <si>
    <t>ORMATRIX</t>
  </si>
  <si>
    <t>2D Arrays, Algorithms, Arrays, Bit Manipulation, Bitwise Operation, Data Structures, Implementation, Mathematics, Observation</t>
  </si>
  <si>
    <t>Fire Escape Routes</t>
  </si>
  <si>
    <t>FIRESC</t>
  </si>
  <si>
    <t>1671</t>
  </si>
  <si>
    <t>Advanced Data Structures, Combinatorics, Disjoint Set Union, Mathematics</t>
  </si>
  <si>
    <t>Three Numbers</t>
  </si>
  <si>
    <t>THREENUMBERS</t>
  </si>
  <si>
    <t>1675</t>
  </si>
  <si>
    <t>Chef and Water Car</t>
  </si>
  <si>
    <t>CHEFCAR</t>
  </si>
  <si>
    <t>1683</t>
  </si>
  <si>
    <t>The Vowel Matrix</t>
  </si>
  <si>
    <t>VOWMTRX</t>
  </si>
  <si>
    <t>1694</t>
  </si>
  <si>
    <t>Fencing</t>
  </si>
  <si>
    <t>FENCE</t>
  </si>
  <si>
    <t>Algorithms, Constructive, Data Structures, Hashmaps, Maps, ad-hoc</t>
  </si>
  <si>
    <t>Anti-Palindrome Queries</t>
  </si>
  <si>
    <t>ANTIPALQ</t>
  </si>
  <si>
    <t>1688</t>
  </si>
  <si>
    <t>iceknight1093, prefix-sum, start152</t>
  </si>
  <si>
    <t>Number Hunt</t>
  </si>
  <si>
    <t>NUMHUNT</t>
  </si>
  <si>
    <t>1638</t>
  </si>
  <si>
    <t>Mathematics, Number Theory, Primes</t>
  </si>
  <si>
    <t>ALIEN-OR</t>
  </si>
  <si>
    <t>ALIENOR</t>
  </si>
  <si>
    <t>1639</t>
  </si>
  <si>
    <t>Powered Parameters</t>
  </si>
  <si>
    <t>POWPM</t>
  </si>
  <si>
    <t>1673</t>
  </si>
  <si>
    <t>Algorithms, Brute Force, Observation</t>
  </si>
  <si>
    <t>Encrypt Value</t>
  </si>
  <si>
    <t>ENV</t>
  </si>
  <si>
    <t>Minimise Maximum Subarray Sum</t>
  </si>
  <si>
    <t>MINIMISEMAX</t>
  </si>
  <si>
    <t>1649</t>
  </si>
  <si>
    <t>satyam_adm, start113</t>
  </si>
  <si>
    <t>Chef Product</t>
  </si>
  <si>
    <t>CHEFPRODUCT</t>
  </si>
  <si>
    <t>Algorithms, Binary Search, Mathematics, Searching</t>
  </si>
  <si>
    <t>3-Blast Palindrome</t>
  </si>
  <si>
    <t>BLAST3</t>
  </si>
  <si>
    <t>1699</t>
  </si>
  <si>
    <t>Boxes</t>
  </si>
  <si>
    <t>BOX95</t>
  </si>
  <si>
    <t>Stamps 100</t>
  </si>
  <si>
    <t>S100</t>
  </si>
  <si>
    <t>Gritty Grid</t>
  </si>
  <si>
    <t>GRITGRID</t>
  </si>
  <si>
    <t>K-Subarrays</t>
  </si>
  <si>
    <t>KSUB</t>
  </si>
  <si>
    <t>1663</t>
  </si>
  <si>
    <t>Algorithms, Basic Math, GCD, Greedy, Mathematics, Number Theory</t>
  </si>
  <si>
    <t>Maximum Median Matching</t>
  </si>
  <si>
    <t>MEDMAXMATCH</t>
  </si>
  <si>
    <t>1647</t>
  </si>
  <si>
    <t>Building Towers</t>
  </si>
  <si>
    <t>TOWERTOP</t>
  </si>
  <si>
    <t>1693</t>
  </si>
  <si>
    <t>Subarrays with length</t>
  </si>
  <si>
    <t>SUBARRAYLEN</t>
  </si>
  <si>
    <t>The Optimal Pairs</t>
  </si>
  <si>
    <t>OPTPAIRS</t>
  </si>
  <si>
    <t>1666</t>
  </si>
  <si>
    <t>Array sorting</t>
  </si>
  <si>
    <t>ARRSORT</t>
  </si>
  <si>
    <t>1681</t>
  </si>
  <si>
    <t>Algorithms, Basic Math, GCD, Mathematics, Number Theory, Observation</t>
  </si>
  <si>
    <t>MEX-OR</t>
  </si>
  <si>
    <t>MEXOR</t>
  </si>
  <si>
    <t>Logarithm, Mathematics, Number Theory</t>
  </si>
  <si>
    <t>Exam Cheating</t>
  </si>
  <si>
    <t>EXAMCHT</t>
  </si>
  <si>
    <t>Divisors, Integer Factorisation, Mathematics, Modular Arithmetic, Number Theory</t>
  </si>
  <si>
    <t>1700 to 1800 difficulty problems - 1700 to 1800 difficulty problems</t>
  </si>
  <si>
    <t>Chef and Football Match</t>
  </si>
  <si>
    <t>WATCHFB</t>
  </si>
  <si>
    <t>Average Gift</t>
  </si>
  <si>
    <t>AVGGIFT</t>
  </si>
  <si>
    <t>1701</t>
  </si>
  <si>
    <t>Algorithms, Basic Math, Constructive, Implementation, Mathematics, ad-hoc</t>
  </si>
  <si>
    <t>OR Tuples</t>
  </si>
  <si>
    <t>ORTUPLES</t>
  </si>
  <si>
    <t>1703</t>
  </si>
  <si>
    <t>Bit Manipulation, Bitwise Operation, Combinatorics, Mathematics</t>
  </si>
  <si>
    <t>Game on a Strip</t>
  </si>
  <si>
    <t>ARRGAME</t>
  </si>
  <si>
    <t>1705</t>
  </si>
  <si>
    <t>Buying Sweets</t>
  </si>
  <si>
    <t>BUYSWEET</t>
  </si>
  <si>
    <t>1706</t>
  </si>
  <si>
    <t>math, start36, yash5507</t>
  </si>
  <si>
    <t>Lumpy - The Bus Driver</t>
  </si>
  <si>
    <t>LUMPYBUS</t>
  </si>
  <si>
    <t>1708</t>
  </si>
  <si>
    <t>Spreading Charges</t>
  </si>
  <si>
    <t>CHRGES</t>
  </si>
  <si>
    <t>Devu and Perfume</t>
  </si>
  <si>
    <t>DEVPERF</t>
  </si>
  <si>
    <t>2D Arrays, Arrays, Data Structures</t>
  </si>
  <si>
    <t>Summary Power</t>
  </si>
  <si>
    <t>SUMPOWER</t>
  </si>
  <si>
    <t>1709</t>
  </si>
  <si>
    <t>Ceiling Sum</t>
  </si>
  <si>
    <t>CEILSUM</t>
  </si>
  <si>
    <t>1712</t>
  </si>
  <si>
    <t>Minimum Coloring</t>
  </si>
  <si>
    <t>MINCOLOR</t>
  </si>
  <si>
    <t>1713</t>
  </si>
  <si>
    <t>Algorithms, Coloring, Graph Algos, Observation</t>
  </si>
  <si>
    <t>Sum Product Segments</t>
  </si>
  <si>
    <t>SUMPRODSEG</t>
  </si>
  <si>
    <t>Max Mex</t>
  </si>
  <si>
    <t>MAXMEX</t>
  </si>
  <si>
    <t>1714</t>
  </si>
  <si>
    <t>Even Subset Xor</t>
  </si>
  <si>
    <t>EVENXOR</t>
  </si>
  <si>
    <t>bitwise-xor, jeevanjyot, simple, start22</t>
  </si>
  <si>
    <t>Matchsticks</t>
  </si>
  <si>
    <t>MSTICK</t>
  </si>
  <si>
    <t>Find an integer</t>
  </si>
  <si>
    <t>SUMDIV2</t>
  </si>
  <si>
    <t>Team Formation</t>
  </si>
  <si>
    <t>TEAMFOR</t>
  </si>
  <si>
    <t>1715</t>
  </si>
  <si>
    <t>Maximise Sum</t>
  </si>
  <si>
    <t>MAXIMISESUM</t>
  </si>
  <si>
    <t>Chef and Prime Divisors</t>
  </si>
  <si>
    <t>CHAPD</t>
  </si>
  <si>
    <t>1720</t>
  </si>
  <si>
    <t>easy, greatest-common-divisor, may15, vitalij_adm</t>
  </si>
  <si>
    <t>Oracle Devu and Longest Common Subsequence</t>
  </si>
  <si>
    <t>ORACLCS</t>
  </si>
  <si>
    <t>1726</t>
  </si>
  <si>
    <t>Set Difference</t>
  </si>
  <si>
    <t>SETDIFF</t>
  </si>
  <si>
    <t>1729</t>
  </si>
  <si>
    <t>Box of Chocolates</t>
  </si>
  <si>
    <t>CHCBOX</t>
  </si>
  <si>
    <t>1730</t>
  </si>
  <si>
    <t>Algorithms, Constructive, Cyclic Rotation, Simple Algos, ad-hoc</t>
  </si>
  <si>
    <t>XOR Equal</t>
  </si>
  <si>
    <t>PALINT</t>
  </si>
  <si>
    <t>1731</t>
  </si>
  <si>
    <t>Arrays, Bit Manipulation, Data Structures, Frequency Arrays, Mathematics</t>
  </si>
  <si>
    <t>Bon Appetit</t>
  </si>
  <si>
    <t>FGFS</t>
  </si>
  <si>
    <t>1734</t>
  </si>
  <si>
    <t>Activity Selection, Algorithms, Greedy</t>
  </si>
  <si>
    <t>Penalty Shoot-Out II</t>
  </si>
  <si>
    <t>PSHOT</t>
  </si>
  <si>
    <t>1735</t>
  </si>
  <si>
    <t>Crushed Apples and a Balance Scale</t>
  </si>
  <si>
    <t>APP_BAL_SCA</t>
  </si>
  <si>
    <t>1736</t>
  </si>
  <si>
    <t>Prefixing</t>
  </si>
  <si>
    <t>FIX</t>
  </si>
  <si>
    <t>ro27, start111</t>
  </si>
  <si>
    <t>Add to Subsequence</t>
  </si>
  <si>
    <t>SUBSEQDIST</t>
  </si>
  <si>
    <t>1737</t>
  </si>
  <si>
    <t>Maximum Value</t>
  </si>
  <si>
    <t>MVALUE</t>
  </si>
  <si>
    <t>1738</t>
  </si>
  <si>
    <t>Algorithms, Basic Math, Constructive, Mathematics, Sorting, ad-hoc</t>
  </si>
  <si>
    <t>Xor and Multiply</t>
  </si>
  <si>
    <t>XORMUL</t>
  </si>
  <si>
    <t>1739</t>
  </si>
  <si>
    <t>Pokemon Battles</t>
  </si>
  <si>
    <t>PBATTLE</t>
  </si>
  <si>
    <t>Weird Subarrays</t>
  </si>
  <si>
    <t>WEIRDSUBARR</t>
  </si>
  <si>
    <t>Fair Distribution</t>
  </si>
  <si>
    <t>FAIR_DISTRIB</t>
  </si>
  <si>
    <t>1741</t>
  </si>
  <si>
    <t>everule1, start108</t>
  </si>
  <si>
    <t>Modular GCD</t>
  </si>
  <si>
    <t>GCDMOD</t>
  </si>
  <si>
    <t>Euclid's Algorithm, GCD, Mathematics, Modular Arithmetic, Modular Exponentiation, Number Theory</t>
  </si>
  <si>
    <t>Army Training</t>
  </si>
  <si>
    <t>ARMTRN</t>
  </si>
  <si>
    <t>1742</t>
  </si>
  <si>
    <t>One Dimensional Kingdoms</t>
  </si>
  <si>
    <t>ONEKING</t>
  </si>
  <si>
    <t>1743</t>
  </si>
  <si>
    <t>Lucky Palin</t>
  </si>
  <si>
    <t>LUCKPAL</t>
  </si>
  <si>
    <t>1744</t>
  </si>
  <si>
    <t>Algorithms, Basic Programming Concepts, Case work, Conditional Statements, Data Structures, Greedy, Loops, Special, String</t>
  </si>
  <si>
    <t>Eugene and function</t>
  </si>
  <si>
    <t>KFUNC</t>
  </si>
  <si>
    <t>1746</t>
  </si>
  <si>
    <t>Same Parity Swaps in Binary Strings</t>
  </si>
  <si>
    <t>MAX01EVSWP</t>
  </si>
  <si>
    <t>The One Who Knocks!</t>
  </si>
  <si>
    <t>EOOPR</t>
  </si>
  <si>
    <t>1749</t>
  </si>
  <si>
    <t>Algorithms, Basic Programming Concepts, Case work, Conditional Statements, Constructive, Special, ad-hoc</t>
  </si>
  <si>
    <t>Save People</t>
  </si>
  <si>
    <t>FIZZBUZZ2306</t>
  </si>
  <si>
    <t>1750</t>
  </si>
  <si>
    <t>CHRL2</t>
  </si>
  <si>
    <t>1751</t>
  </si>
  <si>
    <t>Algorithms, Constructive, Dynamic Programming, Observation, ad-hoc</t>
  </si>
  <si>
    <t>Too Many Candies</t>
  </si>
  <si>
    <t>ICL1903</t>
  </si>
  <si>
    <t>1754</t>
  </si>
  <si>
    <t>Digit Removal</t>
  </si>
  <si>
    <t>DIGITREM</t>
  </si>
  <si>
    <t>Bear and AB</t>
  </si>
  <si>
    <t>ABREPEAT</t>
  </si>
  <si>
    <t>Combinatorics, Data Structures, Mathematics, String</t>
  </si>
  <si>
    <t>Compare those strings</t>
  </si>
  <si>
    <t>STRCOMPARE</t>
  </si>
  <si>
    <t>1756</t>
  </si>
  <si>
    <t>Subarray XOR</t>
  </si>
  <si>
    <t>SUB_XOR</t>
  </si>
  <si>
    <t>Flip the Prefix</t>
  </si>
  <si>
    <t>PREFIXFLIP</t>
  </si>
  <si>
    <t>1758</t>
  </si>
  <si>
    <t>Algorithms, Data Structures, Simple Algos, String</t>
  </si>
  <si>
    <t>Racing</t>
  </si>
  <si>
    <t>RACINGEN</t>
  </si>
  <si>
    <t>Little Elephant and Bamboo</t>
  </si>
  <si>
    <t>LEBAMBOO</t>
  </si>
  <si>
    <t>1761</t>
  </si>
  <si>
    <t>Distinct Elements</t>
  </si>
  <si>
    <t>DISTELE</t>
  </si>
  <si>
    <t>1762</t>
  </si>
  <si>
    <t>1D Arrays, Algorithms, Arrays, Basic Math, Data Structures, Hashmaps, Maps, Mathematics, Modular Arithmetic, Sorting</t>
  </si>
  <si>
    <t>Chefland and Electricity</t>
  </si>
  <si>
    <t>CHEFELEC</t>
  </si>
  <si>
    <t>1767</t>
  </si>
  <si>
    <t>admin2, greedy, july16, simple</t>
  </si>
  <si>
    <t>Rectangles Counting</t>
  </si>
  <si>
    <t>RECTCNT</t>
  </si>
  <si>
    <t>1770</t>
  </si>
  <si>
    <t>Cybalphabit</t>
  </si>
  <si>
    <t>CAB</t>
  </si>
  <si>
    <t>1771</t>
  </si>
  <si>
    <t>Algorithms, Constructive, Greedy</t>
  </si>
  <si>
    <t>Broken Life</t>
  </si>
  <si>
    <t>BRKNLIFE</t>
  </si>
  <si>
    <t>Algorithms, Data Structures, Greedy, String</t>
  </si>
  <si>
    <t>LUNCHTIM</t>
  </si>
  <si>
    <t>1773</t>
  </si>
  <si>
    <t>Algorithms, Data Structures, Dynamic Programming, Stacks</t>
  </si>
  <si>
    <t>Chef and Polygon Cakes</t>
  </si>
  <si>
    <t>PCJ18C</t>
  </si>
  <si>
    <t>AP, Basic Math, Fractions, GCD, Geometry, Mathematics, Number Theory, Sequences and Progression</t>
  </si>
  <si>
    <t>Monks</t>
  </si>
  <si>
    <t>MONKS</t>
  </si>
  <si>
    <t>Palpal Strings</t>
  </si>
  <si>
    <t>PALPALS</t>
  </si>
  <si>
    <t>K-Concatenation</t>
  </si>
  <si>
    <t>KCON</t>
  </si>
  <si>
    <t>1780</t>
  </si>
  <si>
    <t>Capital Movement</t>
  </si>
  <si>
    <t>CAPIMOVE</t>
  </si>
  <si>
    <t>01 Subsequence</t>
  </si>
  <si>
    <t>ZEROONE</t>
  </si>
  <si>
    <t>Problem-2</t>
  </si>
  <si>
    <t>SET302</t>
  </si>
  <si>
    <t>Art of Balance</t>
  </si>
  <si>
    <t>ARTBALAN</t>
  </si>
  <si>
    <t>1788</t>
  </si>
  <si>
    <t>Data Structures, Divisors, Integer Factorisation, Mathematics, Number Theory, String</t>
  </si>
  <si>
    <t>Strange Function</t>
  </si>
  <si>
    <t>ABX01</t>
  </si>
  <si>
    <t>1789</t>
  </si>
  <si>
    <t>Algorithms, Arithmetic, Basic Math, Binary Exponentiation, Exponentiation, Mathematics, Number Theory, Observation</t>
  </si>
  <si>
    <t>Prefix Zeros</t>
  </si>
  <si>
    <t>PREZ</t>
  </si>
  <si>
    <t>1790</t>
  </si>
  <si>
    <t>Chef and Hamming Distance of arrays</t>
  </si>
  <si>
    <t>CHEFHAM</t>
  </si>
  <si>
    <t>1D Arrays, Algorithms, Arrays, Constructive, Data Structures, ad-hoc</t>
  </si>
  <si>
    <t>Server Trouble</t>
  </si>
  <si>
    <t>SVRT</t>
  </si>
  <si>
    <t>String Reverse</t>
  </si>
  <si>
    <t>STR_REVERSE</t>
  </si>
  <si>
    <t>1792</t>
  </si>
  <si>
    <t>A Plus B Again!</t>
  </si>
  <si>
    <t>TAAPLUSB</t>
  </si>
  <si>
    <t>1796</t>
  </si>
  <si>
    <t>The Great Wall of Byteland</t>
  </si>
  <si>
    <t>BWALL</t>
  </si>
  <si>
    <t>Algorithms, Geometry, Mathematics, Matrices, Matrix Exponentiation, Matrix Multiplication, Observation, Recurrence Relation, Recursion</t>
  </si>
  <si>
    <t>Digit Operation</t>
  </si>
  <si>
    <t>DIGITOP</t>
  </si>
  <si>
    <t>1798</t>
  </si>
  <si>
    <t>Algorithms, Arrays, Data Structures, Frequency Arrays, Observation</t>
  </si>
  <si>
    <t>1800 to 2000 difficulty problems</t>
  </si>
  <si>
    <t>Practice problems which can help you become 4 star on CodeChef.</t>
  </si>
  <si>
    <t>1800 to 1900 difficulty problems - 1800 to 1900 difficulty problems</t>
  </si>
  <si>
    <t>Beautiful Array</t>
  </si>
  <si>
    <t>BTAR</t>
  </si>
  <si>
    <t>Magnet Sort</t>
  </si>
  <si>
    <t>MAGNETSORT</t>
  </si>
  <si>
    <t>1804</t>
  </si>
  <si>
    <t>Algorithms, Observation, Sorting</t>
  </si>
  <si>
    <t>The One with All the Candy</t>
  </si>
  <si>
    <t>S07E09</t>
  </si>
  <si>
    <t>Subsegment Divisibility</t>
  </si>
  <si>
    <t>SEGDIV</t>
  </si>
  <si>
    <t>1806</t>
  </si>
  <si>
    <t>Chef and Pepperoni Pizza</t>
  </si>
  <si>
    <t>PEPPERON</t>
  </si>
  <si>
    <t>1810</t>
  </si>
  <si>
    <t>A Weird Device</t>
  </si>
  <si>
    <t>ICL1901</t>
  </si>
  <si>
    <t>Joker and Batman</t>
  </si>
  <si>
    <t>JOKRBTMN</t>
  </si>
  <si>
    <t>1816</t>
  </si>
  <si>
    <t>Worthy Matrix</t>
  </si>
  <si>
    <t>KAVGMAT</t>
  </si>
  <si>
    <t>1817</t>
  </si>
  <si>
    <t>april21, binary-search, easy, shaanknight, two-pointers</t>
  </si>
  <si>
    <t>Dazzling Even-Odd Challenge</t>
  </si>
  <si>
    <t>EANDO</t>
  </si>
  <si>
    <t>dazlersan1, math, start37</t>
  </si>
  <si>
    <t>Array Rotation Returns</t>
  </si>
  <si>
    <t>ARRT</t>
  </si>
  <si>
    <t>1818</t>
  </si>
  <si>
    <t>Fibonacci String</t>
  </si>
  <si>
    <t>CLFIBD</t>
  </si>
  <si>
    <t>1819</t>
  </si>
  <si>
    <t>Algorithms, Data Structures, Sorting, String</t>
  </si>
  <si>
    <t>OR of ANDs</t>
  </si>
  <si>
    <t>OROFAND</t>
  </si>
  <si>
    <t>1820</t>
  </si>
  <si>
    <t>Algorithms, Online Queries, Queries</t>
  </si>
  <si>
    <t>Good Permutations</t>
  </si>
  <si>
    <t>GOODPERM</t>
  </si>
  <si>
    <t>Adjacent Xors</t>
  </si>
  <si>
    <t>ADJXOR2</t>
  </si>
  <si>
    <t>1827</t>
  </si>
  <si>
    <t>Algorithms, Bit Manipulation, Bitwise Operation, Dynamic Programming, Mathematics</t>
  </si>
  <si>
    <t>Air Blimp</t>
  </si>
  <si>
    <t>BLIMP</t>
  </si>
  <si>
    <t>1831</t>
  </si>
  <si>
    <t>Connecting Soldiers</t>
  </si>
  <si>
    <t>NOKIA</t>
  </si>
  <si>
    <t>Algorithms, Bit Manipulation, Bitmasking, Divide and Conquer, Mathematics, Recursion</t>
  </si>
  <si>
    <t>Angled Flip</t>
  </si>
  <si>
    <t>AFLIP</t>
  </si>
  <si>
    <t>1835</t>
  </si>
  <si>
    <t>Algorithms, Data Structures, Observation, Sorting</t>
  </si>
  <si>
    <t>Minimum Absolute Score</t>
  </si>
  <si>
    <t>MINABS</t>
  </si>
  <si>
    <t>1836</t>
  </si>
  <si>
    <t>Algorithms, Cyclic Rotation, Observation, Simple Algos</t>
  </si>
  <si>
    <t>Binary Mismatch</t>
  </si>
  <si>
    <t>BINMIS</t>
  </si>
  <si>
    <t>Algorithms, Basic Math, Constructive, Data Structures, Mathematics, String</t>
  </si>
  <si>
    <t>Find A, B, C</t>
  </si>
  <si>
    <t>FINDABC</t>
  </si>
  <si>
    <t>1843</t>
  </si>
  <si>
    <t>Algorithms, Bit Manipulation, Bitwise Operation, Greedy, Mathematics</t>
  </si>
  <si>
    <t>XOR Product</t>
  </si>
  <si>
    <t>XORPROD</t>
  </si>
  <si>
    <t>1845</t>
  </si>
  <si>
    <t>Chef and Round Run</t>
  </si>
  <si>
    <t>CHEFRRUN</t>
  </si>
  <si>
    <t>1847</t>
  </si>
  <si>
    <t>Algorithms, Implementation, Mathematics, Modular Arithmetic</t>
  </si>
  <si>
    <t>Equal LIS</t>
  </si>
  <si>
    <t>EQLIS</t>
  </si>
  <si>
    <t>1848</t>
  </si>
  <si>
    <t>easy, longest-inc-subsequence, start22, utkarsh_adm</t>
  </si>
  <si>
    <t>Divisors and Reciprocals</t>
  </si>
  <si>
    <t>DIVREC</t>
  </si>
  <si>
    <t>Restaurant Rating</t>
  </si>
  <si>
    <t>RRATING</t>
  </si>
  <si>
    <t>1851</t>
  </si>
  <si>
    <t>College Life 4</t>
  </si>
  <si>
    <t>COLGLF4</t>
  </si>
  <si>
    <t>1856</t>
  </si>
  <si>
    <t>Algorithms, Basic Math, Brute Force, Constructive, Implementation, Linear Programming, Mathematics, ad-hoc</t>
  </si>
  <si>
    <t>Pythagorean Pair</t>
  </si>
  <si>
    <t>PYTHAGORAS</t>
  </si>
  <si>
    <t>1862</t>
  </si>
  <si>
    <t>Minimize Digitsum</t>
  </si>
  <si>
    <t>MINDSUM</t>
  </si>
  <si>
    <t>Matrix XOR</t>
  </si>
  <si>
    <t>MATXOR</t>
  </si>
  <si>
    <t>1864</t>
  </si>
  <si>
    <t>Algorithms, Basic Math, Basic Programming Concepts, Bit Manipulation, Bitwise Operation, Constructive, Loops, Mathematics, ad-hoc</t>
  </si>
  <si>
    <t>Binary Inversion</t>
  </si>
  <si>
    <t>BININV</t>
  </si>
  <si>
    <t>1865</t>
  </si>
  <si>
    <t>Swap the numbers</t>
  </si>
  <si>
    <t>SWAPNUM31</t>
  </si>
  <si>
    <t>1869</t>
  </si>
  <si>
    <t>Atleast and Atmost</t>
  </si>
  <si>
    <t>ATAT</t>
  </si>
  <si>
    <t>1870</t>
  </si>
  <si>
    <t>Maximum Sum Permutation</t>
  </si>
  <si>
    <t>MAXSUMPERM</t>
  </si>
  <si>
    <t>1873</t>
  </si>
  <si>
    <t>Algorithms, Arrays, Data Structures, Difference Arrays, Greedy, Prefix Sum, Simple Algos, Sorting</t>
  </si>
  <si>
    <t>Equal Hamming Distance</t>
  </si>
  <si>
    <t>EQUALHAMMING</t>
  </si>
  <si>
    <t>PerMEXuation</t>
  </si>
  <si>
    <t>PERMEX</t>
  </si>
  <si>
    <t>1874</t>
  </si>
  <si>
    <t>Alter Ego</t>
  </si>
  <si>
    <t>ALT</t>
  </si>
  <si>
    <t>1878</t>
  </si>
  <si>
    <t>ro27, sorting, start109</t>
  </si>
  <si>
    <t>Alice Potter And Dumbledore Army</t>
  </si>
  <si>
    <t>DUMBLEDORE</t>
  </si>
  <si>
    <t>1885</t>
  </si>
  <si>
    <t>course, learn, math, observation, vladprog</t>
  </si>
  <si>
    <t>Array Filling</t>
  </si>
  <si>
    <t>ARRFILL</t>
  </si>
  <si>
    <t>1887</t>
  </si>
  <si>
    <t>Jump to Sibling</t>
  </si>
  <si>
    <t>JS</t>
  </si>
  <si>
    <t>1888</t>
  </si>
  <si>
    <t>Total Components</t>
  </si>
  <si>
    <t>NUMCOMP1</t>
  </si>
  <si>
    <t>1893</t>
  </si>
  <si>
    <t>Algorithms, Mathematics, Number Theory, Observation, Prefix Sum, Primes, Sieve of Eratosthenes, Simple Algos</t>
  </si>
  <si>
    <t>Chef, Chefina and Their Friendship</t>
  </si>
  <si>
    <t>CHEFSHIP</t>
  </si>
  <si>
    <t>1894</t>
  </si>
  <si>
    <t>Advanced Algorithms, Data Structures, KMP Algorithm, String, String Matching</t>
  </si>
  <si>
    <t>Tree Coloring</t>
  </si>
  <si>
    <t>TREECLR</t>
  </si>
  <si>
    <t>1898</t>
  </si>
  <si>
    <t>1900 to 2000 difficulty problems - 1900 to 2000 difficulty problems</t>
  </si>
  <si>
    <t>Multiple of 9</t>
  </si>
  <si>
    <t>MULT9</t>
  </si>
  <si>
    <t>1904</t>
  </si>
  <si>
    <t>GCD Discount</t>
  </si>
  <si>
    <t>GCDISCOUNT</t>
  </si>
  <si>
    <t>1905</t>
  </si>
  <si>
    <t>greatest-common-divisor, iceknight1093, sep23</t>
  </si>
  <si>
    <t>Power Sum</t>
  </si>
  <si>
    <t>POWSUM</t>
  </si>
  <si>
    <t>1906</t>
  </si>
  <si>
    <t>easy, jan222, prasant21</t>
  </si>
  <si>
    <t>Maximum AND</t>
  </si>
  <si>
    <t>MAXAND18</t>
  </si>
  <si>
    <t>1908</t>
  </si>
  <si>
    <t>The Gray-Similar Code</t>
  </si>
  <si>
    <t>GRAYSC</t>
  </si>
  <si>
    <t>1910</t>
  </si>
  <si>
    <t>Algorithms, Brute Force, Case work, Data Structures, Mathematics, Pigeonhole Principle, Set Theory, Sets, Special</t>
  </si>
  <si>
    <t>Pied Piper vs Hooli</t>
  </si>
  <si>
    <t>PEWDSVTS</t>
  </si>
  <si>
    <t>Algorithms, Constructive, Data Structures, Priority Queue, Queues, ad-hoc</t>
  </si>
  <si>
    <t>Distinct Numbers</t>
  </si>
  <si>
    <t>DISKMOV</t>
  </si>
  <si>
    <t>1912</t>
  </si>
  <si>
    <t>Guddu and his Mother</t>
  </si>
  <si>
    <t>KS1</t>
  </si>
  <si>
    <t>1913</t>
  </si>
  <si>
    <t>Minimal Inversions</t>
  </si>
  <si>
    <t>MININV</t>
  </si>
  <si>
    <t>1918</t>
  </si>
  <si>
    <t>Strange Matrix</t>
  </si>
  <si>
    <t>RRMATRIX</t>
  </si>
  <si>
    <t>1922</t>
  </si>
  <si>
    <t>Strange Minimization</t>
  </si>
  <si>
    <t>STRGMNZ</t>
  </si>
  <si>
    <t>1928</t>
  </si>
  <si>
    <t>Binary String on Steroids</t>
  </si>
  <si>
    <t>BNSONSTR</t>
  </si>
  <si>
    <t>cook130, easy, prasant21</t>
  </si>
  <si>
    <t>Red Blue Flowers</t>
  </si>
  <si>
    <t>RBFLOWERS</t>
  </si>
  <si>
    <t>1936</t>
  </si>
  <si>
    <t>Chef and Segments</t>
  </si>
  <si>
    <t>CHMOD</t>
  </si>
  <si>
    <t>1939</t>
  </si>
  <si>
    <t>Paparazzi Gennady</t>
  </si>
  <si>
    <t>PAPARAZI</t>
  </si>
  <si>
    <t>convex-hull, easy-medium, fairy_winx, march21</t>
  </si>
  <si>
    <t>Subsequence-Numbers Divisible by 7</t>
  </si>
  <si>
    <t>SUB7NUM</t>
  </si>
  <si>
    <t>1943</t>
  </si>
  <si>
    <t>Inversions of subsequences</t>
  </si>
  <si>
    <t>SUBSEQINV</t>
  </si>
  <si>
    <t>Clan Expansion</t>
  </si>
  <si>
    <t>CLANEXPNSN</t>
  </si>
  <si>
    <t>1944</t>
  </si>
  <si>
    <t>aditya_rai0705, start108</t>
  </si>
  <si>
    <t>Equal After And</t>
  </si>
  <si>
    <t>ANDEQ</t>
  </si>
  <si>
    <t>1945</t>
  </si>
  <si>
    <t>Algorithms, Bit Manipulation, Bitmasking, Greedy, Mathematics</t>
  </si>
  <si>
    <t>Unique xor</t>
  </si>
  <si>
    <t>UNIQUEK</t>
  </si>
  <si>
    <t>1955</t>
  </si>
  <si>
    <t>Mex Array</t>
  </si>
  <si>
    <t>MEX_ARRAY</t>
  </si>
  <si>
    <t>1965</t>
  </si>
  <si>
    <t>Non Zero Xor</t>
  </si>
  <si>
    <t>NZXOR</t>
  </si>
  <si>
    <t>1975</t>
  </si>
  <si>
    <t>Algorithms, Greedy, Mathematics, Prefix Sum, Simple Algos</t>
  </si>
  <si>
    <t>Brutal-Xors</t>
  </si>
  <si>
    <t>BRTXORS</t>
  </si>
  <si>
    <t>1977</t>
  </si>
  <si>
    <t>Basic Math, Bit Manipulation, Bitwise Operation, Mathematics, Modular Arithmetic</t>
  </si>
  <si>
    <t>Delivery Man</t>
  </si>
  <si>
    <t>TADELIVE</t>
  </si>
  <si>
    <t>1980</t>
  </si>
  <si>
    <t>Consecutive XOR</t>
  </si>
  <si>
    <t>STRINGXOR</t>
  </si>
  <si>
    <t>1982</t>
  </si>
  <si>
    <t>Pairwise AND sum</t>
  </si>
  <si>
    <t>AND</t>
  </si>
  <si>
    <t>1991</t>
  </si>
  <si>
    <t>Bit Manipulation, Bitwise Operation, Combinatorics, Mathematics, Permutations &amp; Combinations</t>
  </si>
  <si>
    <t>Solve More Problems!</t>
  </si>
  <si>
    <t>SOLVEMORE</t>
  </si>
  <si>
    <t>1993</t>
  </si>
  <si>
    <t>Distinct Neighbours</t>
  </si>
  <si>
    <t>DISTINCTNEIG</t>
  </si>
  <si>
    <t>1997</t>
  </si>
  <si>
    <t>Chef and Asteroids</t>
  </si>
  <si>
    <t>ROIDS</t>
  </si>
  <si>
    <t>Permutation XOR Sum</t>
  </si>
  <si>
    <t>PERMXORSUM</t>
  </si>
  <si>
    <t>1998</t>
  </si>
  <si>
    <t>2000 to 2500 difficulty problems</t>
  </si>
  <si>
    <t>Practice problems which can help you reach 5 star and higher on CodeChef.</t>
  </si>
  <si>
    <t>2000 to 2500 difficulty problems - 2000 to 2500 difficulty problems</t>
  </si>
  <si>
    <t>Maximum Factors Problem</t>
  </si>
  <si>
    <t>MXFACS</t>
  </si>
  <si>
    <t>2006</t>
  </si>
  <si>
    <t>Winter</t>
  </si>
  <si>
    <t>ELWINTER</t>
  </si>
  <si>
    <t>2007</t>
  </si>
  <si>
    <t>Algorithms, BFS, Graph Algos, Multi source BFS, Online Queries, Queries, Traversals</t>
  </si>
  <si>
    <t>REMSUBARR</t>
  </si>
  <si>
    <t>Alternative Sufferings</t>
  </si>
  <si>
    <t>ALTSUFF</t>
  </si>
  <si>
    <t>2011</t>
  </si>
  <si>
    <t>Rock Paper Scissors</t>
  </si>
  <si>
    <t>ROPASCI</t>
  </si>
  <si>
    <t>2013</t>
  </si>
  <si>
    <t>NASA</t>
  </si>
  <si>
    <t>PALIXOR</t>
  </si>
  <si>
    <t>2014</t>
  </si>
  <si>
    <t>Advanced Algorithms, Bit Manipulation, Bitwise Operation, Mathematics, Pre processing</t>
  </si>
  <si>
    <t>K Distinct Array</t>
  </si>
  <si>
    <t>DISTK</t>
  </si>
  <si>
    <t>2015</t>
  </si>
  <si>
    <t>Prime Factor Division</t>
  </si>
  <si>
    <t>PRIMEFACDIV</t>
  </si>
  <si>
    <t>2016</t>
  </si>
  <si>
    <t>Divisors, GCD, Integer Factorisation, Mathematics, Number Theory, Prime Divisors</t>
  </si>
  <si>
    <t>Queries About Numbers</t>
  </si>
  <si>
    <t>QNUMBER</t>
  </si>
  <si>
    <t>2026</t>
  </si>
  <si>
    <t>Integer Factorisation, Mathematics, Number Theory</t>
  </si>
  <si>
    <t>Maximum And Or</t>
  </si>
  <si>
    <t>MAXANDOR</t>
  </si>
  <si>
    <t>2028</t>
  </si>
  <si>
    <t>No sequence</t>
  </si>
  <si>
    <t>NOSEQ</t>
  </si>
  <si>
    <t>2031</t>
  </si>
  <si>
    <t>Gold Mining</t>
  </si>
  <si>
    <t>GOLMINE</t>
  </si>
  <si>
    <t>2033</t>
  </si>
  <si>
    <t>Consecutive Adding</t>
  </si>
  <si>
    <t>CONSADD</t>
  </si>
  <si>
    <t>2038</t>
  </si>
  <si>
    <t>K Increment Palindrome</t>
  </si>
  <si>
    <t>KPAL</t>
  </si>
  <si>
    <t>Symmetric Swaps</t>
  </si>
  <si>
    <t>SYMARRSWAP</t>
  </si>
  <si>
    <t>2041</t>
  </si>
  <si>
    <t>Mountain</t>
  </si>
  <si>
    <t>MOUNTAIN</t>
  </si>
  <si>
    <t>2047</t>
  </si>
  <si>
    <t>No Palindrome</t>
  </si>
  <si>
    <t>NOPALINDROME</t>
  </si>
  <si>
    <t>2054</t>
  </si>
  <si>
    <t>Tetris</t>
  </si>
  <si>
    <t>SPCP6</t>
  </si>
  <si>
    <t>2062</t>
  </si>
  <si>
    <t>Parity Permutation</t>
  </si>
  <si>
    <t>PARPER</t>
  </si>
  <si>
    <t>2066</t>
  </si>
  <si>
    <t>Algorithms, Constructive, Mathematics, ad-hoc</t>
  </si>
  <si>
    <t>Double Burgers</t>
  </si>
  <si>
    <t>BURGER</t>
  </si>
  <si>
    <t>Algorithms, Binary Exponentiation, Bit Manipulation, Bitwise Operation, Constructive, Exponentiation, GP, Greedy, Mathematics, Number Theory, Sequences and Progression, ad-hoc</t>
  </si>
  <si>
    <t>Array Sum</t>
  </si>
  <si>
    <t>SUMARRAY</t>
  </si>
  <si>
    <t>2077</t>
  </si>
  <si>
    <t>Equivalent Numbers</t>
  </si>
  <si>
    <t>EQUIVALENT</t>
  </si>
  <si>
    <t>2087</t>
  </si>
  <si>
    <t>Divisors, Integer Factorisation, Mathematics, Number Theory, Prime Divisors, Sieve of Eratosthenes</t>
  </si>
  <si>
    <t>Segment Three</t>
  </si>
  <si>
    <t>SEGTHREE</t>
  </si>
  <si>
    <t>2089</t>
  </si>
  <si>
    <t>Full Path Eraser</t>
  </si>
  <si>
    <t>FPE</t>
  </si>
  <si>
    <t>2094</t>
  </si>
  <si>
    <t>Algorithms, DFS, Data Structures, Dynamic Programming, GCD, Graph Algos, Graphs, Mathematics, Number Theory, Traversals, Trees</t>
  </si>
  <si>
    <t>Can You Reach The End</t>
  </si>
  <si>
    <t>RECHEND</t>
  </si>
  <si>
    <t>2095</t>
  </si>
  <si>
    <t>TripTastic</t>
  </si>
  <si>
    <t>TRPTSTIC</t>
  </si>
  <si>
    <t>LCM Mania</t>
  </si>
  <si>
    <t>LCMMANIA</t>
  </si>
  <si>
    <t>2098</t>
  </si>
  <si>
    <t>indreshsingh, math, start111</t>
  </si>
  <si>
    <t>Non Zero Subarray Xor</t>
  </si>
  <si>
    <t>SUBARRAYXOR</t>
  </si>
  <si>
    <t>2101</t>
  </si>
  <si>
    <t>Wishcraft</t>
  </si>
  <si>
    <t>MAJIK</t>
  </si>
  <si>
    <t>2105</t>
  </si>
  <si>
    <t>Travelling in the Graph</t>
  </si>
  <si>
    <t>TRAVELLING</t>
  </si>
  <si>
    <t>2108</t>
  </si>
  <si>
    <t>Maximal Expression</t>
  </si>
  <si>
    <t>MAXIMALEXP</t>
  </si>
  <si>
    <t>2127</t>
  </si>
  <si>
    <t>jay_sharma_adm, math, start107</t>
  </si>
  <si>
    <t>Interesting Array</t>
  </si>
  <si>
    <t>INTARR</t>
  </si>
  <si>
    <t>2145</t>
  </si>
  <si>
    <t>Algorithms, Constructive, Sorting, ad-hoc</t>
  </si>
  <si>
    <t>Maximising Vacations</t>
  </si>
  <si>
    <t>MAXVAC</t>
  </si>
  <si>
    <t>2147</t>
  </si>
  <si>
    <t>simple, start23, utkarsh_adm</t>
  </si>
  <si>
    <t>Love Squares Hate Cubes</t>
  </si>
  <si>
    <t>SQRTCBRT</t>
  </si>
  <si>
    <t>2150</t>
  </si>
  <si>
    <t>Lexicographically Largest</t>
  </si>
  <si>
    <t>LEXILARGEST</t>
  </si>
  <si>
    <t>2151</t>
  </si>
  <si>
    <t>satyam_adm, start104</t>
  </si>
  <si>
    <t>SUM OR</t>
  </si>
  <si>
    <t>AWESUM_OR</t>
  </si>
  <si>
    <t>2152</t>
  </si>
  <si>
    <t>Bit Manipulation, Combinatorics, Mathematics, Precomputation, Special</t>
  </si>
  <si>
    <t>Musical Rods</t>
  </si>
  <si>
    <t>MUSROD</t>
  </si>
  <si>
    <t>2160</t>
  </si>
  <si>
    <t>Binary Substitution</t>
  </si>
  <si>
    <t>SUBSBIN</t>
  </si>
  <si>
    <t>2161</t>
  </si>
  <si>
    <t>Chef Goes Shopping</t>
  </si>
  <si>
    <t>CHEFSHOPPING</t>
  </si>
  <si>
    <t>2164</t>
  </si>
  <si>
    <t>Minimize swaps</t>
  </si>
  <si>
    <t>DIVBY3</t>
  </si>
  <si>
    <t>Algorithms, Case work, Constructive, Dynamic Programming, Special, ad-hoc</t>
  </si>
  <si>
    <t>Sum of Goodness</t>
  </si>
  <si>
    <t>SEQGOODNESS</t>
  </si>
  <si>
    <t>2167</t>
  </si>
  <si>
    <t>Minimum Operation</t>
  </si>
  <si>
    <t>MINIMUMOP</t>
  </si>
  <si>
    <t>2170</t>
  </si>
  <si>
    <t>Increase 2 consecutive characters</t>
  </si>
  <si>
    <t>CCD</t>
  </si>
  <si>
    <t>2171</t>
  </si>
  <si>
    <t>Algorithms, Queries, Range Queries</t>
  </si>
  <si>
    <t>Expected Value</t>
  </si>
  <si>
    <t>EXPVALUE</t>
  </si>
  <si>
    <t>2177</t>
  </si>
  <si>
    <t>Expected Value, Mathematics, Probability</t>
  </si>
  <si>
    <t>Chef Is Just Throwing Random Words</t>
  </si>
  <si>
    <t>SSO</t>
  </si>
  <si>
    <t>2181</t>
  </si>
  <si>
    <t>Sardar and GCD</t>
  </si>
  <si>
    <t>DLTNODE</t>
  </si>
  <si>
    <t>2190</t>
  </si>
  <si>
    <t>Advanced Algorithms, Algorithms, DFS, Data Structures, Euler Tour, GCD, Graph Algos, Graphs, Mathematics, Number Theory, Pre processing, Prefix Sum, Simple Algos, Traversals, Trees</t>
  </si>
  <si>
    <t>Mexy Array</t>
  </si>
  <si>
    <t>MEXYARR</t>
  </si>
  <si>
    <t>Valid String</t>
  </si>
  <si>
    <t>VSTRING</t>
  </si>
  <si>
    <t>2194</t>
  </si>
  <si>
    <t>Pyramid Traversal</t>
  </si>
  <si>
    <t>PYRAMIDMOVES</t>
  </si>
  <si>
    <t>Chef and insomnia</t>
  </si>
  <si>
    <t>CHINSM</t>
  </si>
  <si>
    <t>2197</t>
  </si>
  <si>
    <t>Algorithms, Constructive, Divisors, Integer Factorisation, Mathematics, Number Theory, Queries, Range Minimum Queries, ad-hoc</t>
  </si>
  <si>
    <t>Partition It</t>
  </si>
  <si>
    <t>PARPERM</t>
  </si>
  <si>
    <t>2202</t>
  </si>
  <si>
    <t>Algorithms, Implementation, Mathematics, Number Theory, Sieve of Eratosthenes</t>
  </si>
  <si>
    <t>Is This JEE</t>
  </si>
  <si>
    <t>ICM2003</t>
  </si>
  <si>
    <t>2206</t>
  </si>
  <si>
    <t>Algorithms, Searching, Ternary Search</t>
  </si>
  <si>
    <t>Circular Merging</t>
  </si>
  <si>
    <t>CIRMERGE</t>
  </si>
  <si>
    <t>2208</t>
  </si>
  <si>
    <t>dynamic-programming, easy-medium, erfaniaa, july19, long-challenge</t>
  </si>
  <si>
    <t>Mahesh and his lost array</t>
  </si>
  <si>
    <t>ANUMLA</t>
  </si>
  <si>
    <t>2212</t>
  </si>
  <si>
    <t>Algorithms, Data Structures, Greedy, Multiset, Sets, Sorting</t>
  </si>
  <si>
    <t>String Operations</t>
  </si>
  <si>
    <t>STROPERS</t>
  </si>
  <si>
    <t>2220</t>
  </si>
  <si>
    <t>Yet Another Crossover Episode</t>
  </si>
  <si>
    <t>DIANE</t>
  </si>
  <si>
    <t>2221</t>
  </si>
  <si>
    <t>Cute Chef Gift</t>
  </si>
  <si>
    <t>COPAR</t>
  </si>
  <si>
    <t>2235</t>
  </si>
  <si>
    <t>Arrays, Data Structures, Difference Arrays, Divisors, Integer Factorisation, Mathematics, Number Theory, Prime Divisors</t>
  </si>
  <si>
    <t>Existence Of X</t>
  </si>
  <si>
    <t>EXISTENCEOFX</t>
  </si>
  <si>
    <t>Distinct Values</t>
  </si>
  <si>
    <t>DIST_VALS</t>
  </si>
  <si>
    <t>2236</t>
  </si>
  <si>
    <t>Algorithms, Arrays, Data Structures, Next Greater Element, Sets, Simple Algos, Stacks</t>
  </si>
  <si>
    <t>Little Elephant and T-Shirts</t>
  </si>
  <si>
    <t>TSHIRTS</t>
  </si>
  <si>
    <t>2242</t>
  </si>
  <si>
    <t>Chef and Ants</t>
  </si>
  <si>
    <t>ANTSCHEF</t>
  </si>
  <si>
    <t>2244</t>
  </si>
  <si>
    <t>arayi, easy-medium, greedy, implementation, jan21, observation</t>
  </si>
  <si>
    <t>Make Them Alike</t>
  </si>
  <si>
    <t>ALIKE_THEM</t>
  </si>
  <si>
    <t>2245</t>
  </si>
  <si>
    <t>Data Structures, Directed Graphs, Graphs, Mathematics</t>
  </si>
  <si>
    <t>Interesting Representation</t>
  </si>
  <si>
    <t>INTREP</t>
  </si>
  <si>
    <t>2251</t>
  </si>
  <si>
    <t>Algorithms, Constructive, Divisors, Integer Factorisation, Mathematics, Number Theory, Observation, Prime Divisors, ad-hoc</t>
  </si>
  <si>
    <t>Maximize 1s</t>
  </si>
  <si>
    <t>MAX1S</t>
  </si>
  <si>
    <t>2255</t>
  </si>
  <si>
    <t>Maximum K Sums</t>
  </si>
  <si>
    <t>KSUM</t>
  </si>
  <si>
    <t>2260</t>
  </si>
  <si>
    <t>Algorithms, Data Structures, Prefix Sum, Priority Queue, Queues, Simple Algos</t>
  </si>
  <si>
    <t>ABC-Strings</t>
  </si>
  <si>
    <t>ABCSTR</t>
  </si>
  <si>
    <t>2264</t>
  </si>
  <si>
    <t>Algorithms, Data Structures, Maps, Prefix Sum, Simple Algos, String</t>
  </si>
  <si>
    <t>Saving a gift of love</t>
  </si>
  <si>
    <t>ASHIGIFT</t>
  </si>
  <si>
    <t>2265</t>
  </si>
  <si>
    <t>Algorithms, Binary Search, Dynamic Programming, Searching</t>
  </si>
  <si>
    <t>Longest Subarray</t>
  </si>
  <si>
    <t>LONGESTARRAY</t>
  </si>
  <si>
    <t>2267</t>
  </si>
  <si>
    <t>Chroma Swap</t>
  </si>
  <si>
    <t>ASH57</t>
  </si>
  <si>
    <t>2271</t>
  </si>
  <si>
    <t>aniketash57, binary-search, sorting, start109</t>
  </si>
  <si>
    <t>Search for 404</t>
  </si>
  <si>
    <t>CS2023_404</t>
  </si>
  <si>
    <t>2296</t>
  </si>
  <si>
    <t>Combinatorics, Mathematics, Permutations &amp; Combinations</t>
  </si>
  <si>
    <t>Alternating Diameter</t>
  </si>
  <si>
    <t>ALTDIA</t>
  </si>
  <si>
    <t>2300</t>
  </si>
  <si>
    <t>Data Structures, Graphs, Trees</t>
  </si>
  <si>
    <t>Spooky Sequences</t>
  </si>
  <si>
    <t>SPOOKYSEQ</t>
  </si>
  <si>
    <t>2304</t>
  </si>
  <si>
    <t>XOR Sums</t>
  </si>
  <si>
    <t>SUMXOR2</t>
  </si>
  <si>
    <t>2306</t>
  </si>
  <si>
    <t>CHESUB</t>
  </si>
  <si>
    <t>1D Arrays, Algorithms, Arrays, Bottom-up, DP Approach, Data Structures, Dynamic Programming, Greedy, Kadane Algorithm</t>
  </si>
  <si>
    <t>Chefs Favourite Function</t>
  </si>
  <si>
    <t>CHEFFFUNC</t>
  </si>
  <si>
    <t>2316</t>
  </si>
  <si>
    <t>Algorithms, Bit Manipulation, Bitwise Operation, Brute Force, Mathematics</t>
  </si>
  <si>
    <t>Merging Binary Strings</t>
  </si>
  <si>
    <t>MERGEBS</t>
  </si>
  <si>
    <t>2318</t>
  </si>
  <si>
    <t>dynamic-programming, easy-medium, jeevanjyot, start22</t>
  </si>
  <si>
    <t>Red Green Grids</t>
  </si>
  <si>
    <t>REDGREEN</t>
  </si>
  <si>
    <t>2319</t>
  </si>
  <si>
    <t>Palindrome In Making</t>
  </si>
  <si>
    <t>MAKEPAL3</t>
  </si>
  <si>
    <t>2322</t>
  </si>
  <si>
    <t>Make that Array!</t>
  </si>
  <si>
    <t>SWAPGAME</t>
  </si>
  <si>
    <t>2323</t>
  </si>
  <si>
    <t>Ancient Berland Roads</t>
  </si>
  <si>
    <t>ABROADS</t>
  </si>
  <si>
    <t>2324</t>
  </si>
  <si>
    <t>Advanced Data Structures, Disjoint Set Union</t>
  </si>
  <si>
    <t>Potato to Gold</t>
  </si>
  <si>
    <t>SIMPLEARRAY</t>
  </si>
  <si>
    <t>2326</t>
  </si>
  <si>
    <t>Chef and Queries</t>
  </si>
  <si>
    <t>CHEFQUE</t>
  </si>
  <si>
    <t>2327</t>
  </si>
  <si>
    <t>Algorithms, Bit Manipulation, Bitmasking, Bitwise Operation, Hashing, Mathematics</t>
  </si>
  <si>
    <t>CANDIES3</t>
  </si>
  <si>
    <t>2329</t>
  </si>
  <si>
    <t>Algorithms, Arrays, Data Structures, Frequency Arrays, Mathematics, Prefix Sum, Simple Algos</t>
  </si>
  <si>
    <t>Two Piles</t>
  </si>
  <si>
    <t>SPLITMIN</t>
  </si>
  <si>
    <t>2347</t>
  </si>
  <si>
    <t>Ultimate Fencing</t>
  </si>
  <si>
    <t>KEEPOUT</t>
  </si>
  <si>
    <t>binary-search, iceknight1093, sep23</t>
  </si>
  <si>
    <t>A Special Tree</t>
  </si>
  <si>
    <t>SPTREE</t>
  </si>
  <si>
    <t>2350</t>
  </si>
  <si>
    <t>Two Averages</t>
  </si>
  <si>
    <t>TWOAVG</t>
  </si>
  <si>
    <t>2353</t>
  </si>
  <si>
    <t>Chef and Riffles</t>
  </si>
  <si>
    <t>RIFFLES</t>
  </si>
  <si>
    <t>2360</t>
  </si>
  <si>
    <t>Chandelier</t>
  </si>
  <si>
    <t>CHANDWEIGHT</t>
  </si>
  <si>
    <t>2368</t>
  </si>
  <si>
    <t>bucketpotato, start103</t>
  </si>
  <si>
    <t>Minimal Travel Time</t>
  </si>
  <si>
    <t>CLASSES</t>
  </si>
  <si>
    <t>2379</t>
  </si>
  <si>
    <t>Algorithms, BFS, Data Structures, Dijkstra's Algorithm, Graph Algos, Graphs, Shortest Paths, Traversals</t>
  </si>
  <si>
    <t>Tree Distances</t>
  </si>
  <si>
    <t>TDISTS</t>
  </si>
  <si>
    <t>2383</t>
  </si>
  <si>
    <t>Weird Values</t>
  </si>
  <si>
    <t>WRDVLS</t>
  </si>
  <si>
    <t>2393</t>
  </si>
  <si>
    <t>Connect All Cities</t>
  </si>
  <si>
    <t>CNCTCT</t>
  </si>
  <si>
    <t>2417</t>
  </si>
  <si>
    <t>Algorithms, Data Structures, Graph Algos, Graphs, Greedy, Minimum Spanning Trees, Tree Algos</t>
  </si>
  <si>
    <t>Construct An Array</t>
  </si>
  <si>
    <t>CONSTANARRAY</t>
  </si>
  <si>
    <t>2419</t>
  </si>
  <si>
    <t>ad-hoc, constructive, satyam_adm, start104</t>
  </si>
  <si>
    <t>One or All</t>
  </si>
  <si>
    <t>ONEORALL</t>
  </si>
  <si>
    <t>2420</t>
  </si>
  <si>
    <t>Smallest Difference</t>
  </si>
  <si>
    <t>SMALLESTDIFF</t>
  </si>
  <si>
    <t>2421</t>
  </si>
  <si>
    <t>GCD Queries</t>
  </si>
  <si>
    <t>GCD_QUERIES</t>
  </si>
  <si>
    <t>2422</t>
  </si>
  <si>
    <t>Data Structures, Divisors, Integer Factorisation, Mathematics, Number Theory, Prime Divisors, Sieve of Eratosthenes</t>
  </si>
  <si>
    <t>Two Counters</t>
  </si>
  <si>
    <t>TWOCOUNTERS</t>
  </si>
  <si>
    <t>2425</t>
  </si>
  <si>
    <t>Adjacent Flips</t>
  </si>
  <si>
    <t>ADJFLIP</t>
  </si>
  <si>
    <t>2426</t>
  </si>
  <si>
    <t>ad-hoc, iceknight1093, start107</t>
  </si>
  <si>
    <t>Max Shift After XOR</t>
  </si>
  <si>
    <t>MAXCYCSHIFT</t>
  </si>
  <si>
    <t>2444</t>
  </si>
  <si>
    <t>Algorithms, Bit Manipulation, Bitwise Operation, Mathematics, Prefix Sum, Simple Algos, Two pointers</t>
  </si>
  <si>
    <t>Balanced Suffix</t>
  </si>
  <si>
    <t>BALSUFF</t>
  </si>
  <si>
    <t>2447</t>
  </si>
  <si>
    <t>Good Sequence</t>
  </si>
  <si>
    <t>GSEQ</t>
  </si>
  <si>
    <t>2451</t>
  </si>
  <si>
    <t>Algorithms, Dynamic Programming, Greedy</t>
  </si>
  <si>
    <t>Minimum Popping</t>
  </si>
  <si>
    <t>DEQUEUE</t>
  </si>
  <si>
    <t>2463</t>
  </si>
  <si>
    <t>1D Arrays, Algorithms, Arrays, Binary Search, Data Structures, Searching</t>
  </si>
  <si>
    <t>Squarified</t>
  </si>
  <si>
    <t>SQUAR</t>
  </si>
  <si>
    <t>2470</t>
  </si>
  <si>
    <t>Mex Subsequence</t>
  </si>
  <si>
    <t>MEXSUB</t>
  </si>
  <si>
    <t>2494</t>
  </si>
  <si>
    <t>Chef Up</t>
  </si>
  <si>
    <t>CHEF7UP</t>
  </si>
  <si>
    <t>Algorithms, Basic Math, Basic Programming Concepts, Constructive, Loops, Mathematics, Observation, Sorting, ad-hoc</t>
  </si>
  <si>
    <t>Expected Sum</t>
  </si>
  <si>
    <t>EXPECTEDSUM</t>
  </si>
  <si>
    <t>2495</t>
  </si>
  <si>
    <t>Combinatorics, Expected Value, Mathematics, Probability</t>
  </si>
  <si>
    <t>College Admissions</t>
  </si>
  <si>
    <t>ADMIT</t>
  </si>
  <si>
    <t>2496</t>
  </si>
  <si>
    <t>Algorithms, Basic Math, Basic Programming Concepts, Brute Force, Conditional Statements, Implementation, Mathematics, Sorting</t>
  </si>
  <si>
    <t>Level up from 1* to 2*</t>
  </si>
  <si>
    <t xml:space="preserve">Practice these problems curated to help you level up from a 1* on CodeChef to 2* </t>
  </si>
  <si>
    <t>Basic Programming - Practice problems</t>
  </si>
  <si>
    <t>Richie Rich</t>
  </si>
  <si>
    <t>CHFRICH</t>
  </si>
  <si>
    <t>Vaccine Dates</t>
  </si>
  <si>
    <t>VDATES</t>
  </si>
  <si>
    <t>Hoop Jump</t>
  </si>
  <si>
    <t>HOOPS</t>
  </si>
  <si>
    <t>The Two Dishes</t>
  </si>
  <si>
    <t>MAX_DIFF</t>
  </si>
  <si>
    <t>Motivation</t>
  </si>
  <si>
    <t>IMDB</t>
  </si>
  <si>
    <t>1098</t>
  </si>
  <si>
    <t>Two Dishes</t>
  </si>
  <si>
    <t>TWODISH</t>
  </si>
  <si>
    <t>1140</t>
  </si>
  <si>
    <t>Problem Category</t>
  </si>
  <si>
    <t>PROBCAT</t>
  </si>
  <si>
    <t>Programming Languages</t>
  </si>
  <si>
    <t>PROGLANG</t>
  </si>
  <si>
    <t>Chef and Spells</t>
  </si>
  <si>
    <t>CHFSPL</t>
  </si>
  <si>
    <t>Smallest Possible Whole Number</t>
  </si>
  <si>
    <t>SMOL</t>
  </si>
  <si>
    <t>Weight Balance</t>
  </si>
  <si>
    <t>WEIGHTBL</t>
  </si>
  <si>
    <t>1045</t>
  </si>
  <si>
    <t>Chef and Stock Prices</t>
  </si>
  <si>
    <t>CSTOCK</t>
  </si>
  <si>
    <t>Turn It</t>
  </si>
  <si>
    <t>NFS</t>
  </si>
  <si>
    <t>1350</t>
  </si>
  <si>
    <t>Maximum Length Even Subarray</t>
  </si>
  <si>
    <t>MXEVNSUB</t>
  </si>
  <si>
    <t>1221</t>
  </si>
  <si>
    <t>Distinct Pair Sums</t>
  </si>
  <si>
    <t>MANYSUMS</t>
  </si>
  <si>
    <t>1480</t>
  </si>
  <si>
    <t>Tom And Jerry 1</t>
  </si>
  <si>
    <t>TANDJ1</t>
  </si>
  <si>
    <t>1379</t>
  </si>
  <si>
    <t>Arrays - Practice problems</t>
  </si>
  <si>
    <t>Chef in Vaccination Queue</t>
  </si>
  <si>
    <t>VACCINQ</t>
  </si>
  <si>
    <t>1016</t>
  </si>
  <si>
    <t>Chef and IPC Certificates</t>
  </si>
  <si>
    <t>IPCCERT</t>
  </si>
  <si>
    <t>922</t>
  </si>
  <si>
    <t>Make them equal</t>
  </si>
  <si>
    <t>MAKEEQUAL</t>
  </si>
  <si>
    <t>A Subtask Problem</t>
  </si>
  <si>
    <t>SUBTASK</t>
  </si>
  <si>
    <t>ICPC Balloons</t>
  </si>
  <si>
    <t>BALLOON</t>
  </si>
  <si>
    <t>Gasoline Introduction</t>
  </si>
  <si>
    <t>BEGGASOL</t>
  </si>
  <si>
    <t>Carvans</t>
  </si>
  <si>
    <t>CARVANS</t>
  </si>
  <si>
    <t>1264</t>
  </si>
  <si>
    <t>Hard Cash</t>
  </si>
  <si>
    <t>CASH</t>
  </si>
  <si>
    <t>Average Flex</t>
  </si>
  <si>
    <t>AVGFLEX</t>
  </si>
  <si>
    <t>Nobel Prize</t>
  </si>
  <si>
    <t>NOBEL</t>
  </si>
  <si>
    <t>1372</t>
  </si>
  <si>
    <t>College Life 2</t>
  </si>
  <si>
    <t>COLGLF2</t>
  </si>
  <si>
    <t>Strings - Practice problems</t>
  </si>
  <si>
    <t>Pawri Meme</t>
  </si>
  <si>
    <t>PAWRI</t>
  </si>
  <si>
    <t>1182</t>
  </si>
  <si>
    <t>Magical Doors</t>
  </si>
  <si>
    <t>MAGDOORS</t>
  </si>
  <si>
    <t>1355</t>
  </si>
  <si>
    <t>Hiring Test</t>
  </si>
  <si>
    <t>HIRETEST</t>
  </si>
  <si>
    <t>Count Substrings</t>
  </si>
  <si>
    <t>CSUB</t>
  </si>
  <si>
    <t>1330</t>
  </si>
  <si>
    <t>Equinox Strings</t>
  </si>
  <si>
    <t>EQUINOX</t>
  </si>
  <si>
    <t>Snake Procession</t>
  </si>
  <si>
    <t>SNAKPROC</t>
  </si>
  <si>
    <t>1014</t>
  </si>
  <si>
    <t>Sorting - Practice problems</t>
  </si>
  <si>
    <t>The Smallest Pair</t>
  </si>
  <si>
    <t>SMPAIR</t>
  </si>
  <si>
    <t>Maximise the Subsequence Sum</t>
  </si>
  <si>
    <t>SIGNFLIP</t>
  </si>
  <si>
    <t>Daanish and Problems</t>
  </si>
  <si>
    <t>DIV03</t>
  </si>
  <si>
    <t>1388</t>
  </si>
  <si>
    <t>Chocolate Monger</t>
  </si>
  <si>
    <t>CM164364</t>
  </si>
  <si>
    <t>Chef and Linear Chess</t>
  </si>
  <si>
    <t>LINCHESS</t>
  </si>
  <si>
    <t>Algorithms, Basic Math, Mathematics, Sorting</t>
  </si>
  <si>
    <t>Time Complexity - Practice problems</t>
  </si>
  <si>
    <t>Lucky Four</t>
  </si>
  <si>
    <t>LUCKFOUR</t>
  </si>
  <si>
    <t>775</t>
  </si>
  <si>
    <t>Playing with Matches</t>
  </si>
  <si>
    <t>MATCHES</t>
  </si>
  <si>
    <t>986</t>
  </si>
  <si>
    <t>Make all equal using Pairs</t>
  </si>
  <si>
    <t>PAIREQ</t>
  </si>
  <si>
    <t>Lazy Salesman</t>
  </si>
  <si>
    <t>HOLIDAYS</t>
  </si>
  <si>
    <t>1161</t>
  </si>
  <si>
    <t>Gift Shop and Coupon</t>
  </si>
  <si>
    <t>GFTSHP</t>
  </si>
  <si>
    <t>1364</t>
  </si>
  <si>
    <t>Maximize the Minimum</t>
  </si>
  <si>
    <t>MAXTHEMIN</t>
  </si>
  <si>
    <t>1358</t>
  </si>
  <si>
    <t>Maximum Trio</t>
  </si>
  <si>
    <t>MXMTRIO</t>
  </si>
  <si>
    <t>1349</t>
  </si>
  <si>
    <t>Points and Lines</t>
  </si>
  <si>
    <t>POLIN</t>
  </si>
  <si>
    <t>1296</t>
  </si>
  <si>
    <t>Even Splits</t>
  </si>
  <si>
    <t>EVENSPLIT</t>
  </si>
  <si>
    <t>1282</t>
  </si>
  <si>
    <t>Cooking Machine</t>
  </si>
  <si>
    <t>COOKMACH</t>
  </si>
  <si>
    <t>Pushpa</t>
  </si>
  <si>
    <t>PUSH7PA</t>
  </si>
  <si>
    <t>1266</t>
  </si>
  <si>
    <t>Reversal Sorting</t>
  </si>
  <si>
    <t>REVSORT</t>
  </si>
  <si>
    <t>Jump from 2* to 3*</t>
  </si>
  <si>
    <t xml:space="preserve">Practice these problems curated to help you jump up from a 2* on CodeChef to 3* </t>
  </si>
  <si>
    <t>Make it Divisible</t>
  </si>
  <si>
    <t>MAKEDIV3</t>
  </si>
  <si>
    <t>Indivisible Permutation</t>
  </si>
  <si>
    <t>INDIPERM</t>
  </si>
  <si>
    <t>Minimum Number of Pizzas</t>
  </si>
  <si>
    <t>MINPIZZAS</t>
  </si>
  <si>
    <t>Alternating Work Days</t>
  </si>
  <si>
    <t>ALTER</t>
  </si>
  <si>
    <t>Sort Checker</t>
  </si>
  <si>
    <t>SRTCHK</t>
  </si>
  <si>
    <t>Counting Sort</t>
  </si>
  <si>
    <t>CNTSORT</t>
  </si>
  <si>
    <t>Mix the Colors</t>
  </si>
  <si>
    <t>MIXCOLOR</t>
  </si>
  <si>
    <t>Fair distribution</t>
  </si>
  <si>
    <t>SUBS</t>
  </si>
  <si>
    <t>Missing a Point</t>
  </si>
  <si>
    <t>PTMSSNG</t>
  </si>
  <si>
    <t>Count Distinct Values</t>
  </si>
  <si>
    <t>CNTDIST</t>
  </si>
  <si>
    <t>MEX</t>
  </si>
  <si>
    <t>Equal Difference</t>
  </si>
  <si>
    <t>EQDIFFER</t>
  </si>
  <si>
    <t>Javelin Qualification</t>
  </si>
  <si>
    <t>JAVELIN</t>
  </si>
  <si>
    <t>Remove One Element</t>
  </si>
  <si>
    <t>REMONE</t>
  </si>
  <si>
    <t>Pair Sort Version 3</t>
  </si>
  <si>
    <t>PSORT3</t>
  </si>
  <si>
    <t>Sort by swaps</t>
  </si>
  <si>
    <t>SWPSRT1</t>
  </si>
  <si>
    <t>Chef Restaurant</t>
  </si>
  <si>
    <t>CHEFRES</t>
  </si>
  <si>
    <t>Sort by Adjacent Swaps</t>
  </si>
  <si>
    <t>ADJSRT</t>
  </si>
  <si>
    <t>Stable Quick Sort</t>
  </si>
  <si>
    <t>QCKSRT2</t>
  </si>
  <si>
    <t>Binary Search - Practice problems</t>
  </si>
  <si>
    <t>Stacks</t>
  </si>
  <si>
    <t>STACKS</t>
  </si>
  <si>
    <t>1799</t>
  </si>
  <si>
    <t>Shortest Route</t>
  </si>
  <si>
    <t>SHROUTE</t>
  </si>
  <si>
    <t>A temple of Snakes</t>
  </si>
  <si>
    <t>SNTEMPLE</t>
  </si>
  <si>
    <t>Modular Equation</t>
  </si>
  <si>
    <t>MODEQ</t>
  </si>
  <si>
    <t>Standard Template Library - Practice problems</t>
  </si>
  <si>
    <t>Sudhanva and Books</t>
  </si>
  <si>
    <t>SUDBOOKS</t>
  </si>
  <si>
    <t>Attendance</t>
  </si>
  <si>
    <t>ATTND</t>
  </si>
  <si>
    <t>Chef In Infinite Plane</t>
  </si>
  <si>
    <t>CHFPLN</t>
  </si>
  <si>
    <t>1582</t>
  </si>
  <si>
    <t>Version Control System</t>
  </si>
  <si>
    <t>VCS</t>
  </si>
  <si>
    <t>Book Exercises</t>
  </si>
  <si>
    <t>BEX</t>
  </si>
  <si>
    <t>Lowest Sum</t>
  </si>
  <si>
    <t>LOWSUM</t>
  </si>
  <si>
    <t>2302</t>
  </si>
  <si>
    <t>Hussain Set</t>
  </si>
  <si>
    <t>COOK82C</t>
  </si>
  <si>
    <t>2608</t>
  </si>
  <si>
    <t>Iron, Magnet and Wall</t>
  </si>
  <si>
    <t>FEMA2</t>
  </si>
  <si>
    <t>1725</t>
  </si>
  <si>
    <t>Algorithms, Data Structures, Implementation, Queues</t>
  </si>
  <si>
    <t>ChefTown Parade</t>
  </si>
  <si>
    <t>CHEFTOWN</t>
  </si>
  <si>
    <t>1882</t>
  </si>
  <si>
    <t>Basic Math, Data Structures, Deque, Mathematics, Queues</t>
  </si>
  <si>
    <t>Bit Manipulation - Practice problems</t>
  </si>
  <si>
    <t>Prajit and bits</t>
  </si>
  <si>
    <t>ADDI</t>
  </si>
  <si>
    <t>Jon and Selina</t>
  </si>
  <si>
    <t>SELINA</t>
  </si>
  <si>
    <t>Chef and Chefina</t>
  </si>
  <si>
    <t>CHFNA</t>
  </si>
  <si>
    <t>XOR-ORED</t>
  </si>
  <si>
    <t>XORORED</t>
  </si>
  <si>
    <t>Maximum Damage</t>
  </si>
  <si>
    <t>MAXDMGE</t>
  </si>
  <si>
    <t>1636</t>
  </si>
  <si>
    <t>XOR Engine</t>
  </si>
  <si>
    <t>ENGXOR</t>
  </si>
  <si>
    <t>1632</t>
  </si>
  <si>
    <t>Chef and Easy Problem</t>
  </si>
  <si>
    <t>XXOR</t>
  </si>
  <si>
    <t>XOR with Subset</t>
  </si>
  <si>
    <t>XORSUB</t>
  </si>
  <si>
    <t>1879</t>
  </si>
  <si>
    <t>Dynamic Programming - Practice problems</t>
  </si>
  <si>
    <t>Count K-Primes</t>
  </si>
  <si>
    <t>KPRIME</t>
  </si>
  <si>
    <t>1549</t>
  </si>
  <si>
    <t>Chef and Frogs</t>
  </si>
  <si>
    <t>FROGV</t>
  </si>
  <si>
    <t>Digit Longest Increasing Subsequences 2</t>
  </si>
  <si>
    <t>LISDIGIT</t>
  </si>
  <si>
    <t>1297</t>
  </si>
  <si>
    <t>Chef and Good Subsequences</t>
  </si>
  <si>
    <t>GDSUB</t>
  </si>
  <si>
    <t>1999</t>
  </si>
  <si>
    <t>Gravity Guy</t>
  </si>
  <si>
    <t>GRGUY</t>
  </si>
  <si>
    <t>1568</t>
  </si>
  <si>
    <t>Chef and Wedding Arrangements</t>
  </si>
  <si>
    <t>CHEFWED</t>
  </si>
  <si>
    <t>1841</t>
  </si>
  <si>
    <t>admin, aryanag_adm, aug20, daniel_1999, dynamic-programming, easy-medium, rishup_nitdgp</t>
  </si>
  <si>
    <t>W String</t>
  </si>
  <si>
    <t>WSTRING</t>
  </si>
  <si>
    <t>1809</t>
  </si>
  <si>
    <t>Number Theory - Practice problems</t>
  </si>
  <si>
    <t>Chef and GCD</t>
  </si>
  <si>
    <t>CHFGCD</t>
  </si>
  <si>
    <t>1481</t>
  </si>
  <si>
    <t>Arranging Cup-cakes</t>
  </si>
  <si>
    <t>RESQ</t>
  </si>
  <si>
    <t>1322</t>
  </si>
  <si>
    <t>Appy and Contest</t>
  </si>
  <si>
    <t>HMAPPY2</t>
  </si>
  <si>
    <t>Chef and Keyboard</t>
  </si>
  <si>
    <t>CHEFKEY</t>
  </si>
  <si>
    <t>1323</t>
  </si>
  <si>
    <t>GCD operations</t>
  </si>
  <si>
    <t>GCDOPS</t>
  </si>
  <si>
    <t>Algorithms, Basic Math, Constructive, GCD, Mathematics, Number Theory, ad-hoc</t>
  </si>
  <si>
    <t>Gcd Queries</t>
  </si>
  <si>
    <t>GCDQ</t>
  </si>
  <si>
    <t>1674</t>
  </si>
  <si>
    <t>Yet Another Cute Girl</t>
  </si>
  <si>
    <t>PRETNUM</t>
  </si>
  <si>
    <t>1850</t>
  </si>
  <si>
    <t>Guessing Game</t>
  </si>
  <si>
    <t>GUESS</t>
  </si>
  <si>
    <t>Sleepy Chef</t>
  </si>
  <si>
    <t>FILL01</t>
  </si>
  <si>
    <t>Say No To Drugs</t>
  </si>
  <si>
    <t>NODRUGS</t>
  </si>
  <si>
    <t>The Nights Watch</t>
  </si>
  <si>
    <t>WTCH</t>
  </si>
  <si>
    <t>Nice Pairs</t>
  </si>
  <si>
    <t>NPAIRS</t>
  </si>
  <si>
    <t>1564</t>
  </si>
  <si>
    <t>Cakewalk</t>
  </si>
  <si>
    <t>CKWLK</t>
  </si>
  <si>
    <t>1474</t>
  </si>
  <si>
    <t>High Frequency</t>
  </si>
  <si>
    <t>HIGHFREQ</t>
  </si>
  <si>
    <t>1443</t>
  </si>
  <si>
    <t>K-MEX</t>
  </si>
  <si>
    <t>KMEX</t>
  </si>
  <si>
    <t>Subarray permutations</t>
  </si>
  <si>
    <t>SUBPERM</t>
  </si>
  <si>
    <t>Largest Family</t>
  </si>
  <si>
    <t>LARGEFAM</t>
  </si>
  <si>
    <t>Sticks and Rectangles</t>
  </si>
  <si>
    <t>RECSTI</t>
  </si>
  <si>
    <t>1555</t>
  </si>
  <si>
    <t>Increasing Decreasing</t>
  </si>
  <si>
    <t>INCRDEC</t>
  </si>
  <si>
    <t>1557</t>
  </si>
  <si>
    <t>Polygon Relationship</t>
  </si>
  <si>
    <t>POLYREL</t>
  </si>
  <si>
    <t>1460</t>
  </si>
  <si>
    <t>Dense Bracket Sequence</t>
  </si>
  <si>
    <t>DENSE</t>
  </si>
  <si>
    <t>Median of adjacent maximum numbers</t>
  </si>
  <si>
    <t>MXMEDIAN</t>
  </si>
  <si>
    <t>1523</t>
  </si>
  <si>
    <t>Good Pairs</t>
  </si>
  <si>
    <t>GOODPAIRS</t>
  </si>
  <si>
    <t>1469</t>
  </si>
  <si>
    <t>Rise from 3* to 4*</t>
  </si>
  <si>
    <t xml:space="preserve">Practice these problems curated to help you rise from a 3* on CodeChef to 4* </t>
  </si>
  <si>
    <t>Basic Graph Theory - Trees, DFS, BFS - Practice problems</t>
  </si>
  <si>
    <t>Maximum Size</t>
  </si>
  <si>
    <t>RISK</t>
  </si>
  <si>
    <t>2113</t>
  </si>
  <si>
    <t>Ada King</t>
  </si>
  <si>
    <t>ADAKNG</t>
  </si>
  <si>
    <t>1581</t>
  </si>
  <si>
    <t>Snakes and transition from Capitalism to Socialism</t>
  </si>
  <si>
    <t>SNSOCIAL</t>
  </si>
  <si>
    <t>IS IT DSU HARD!!</t>
  </si>
  <si>
    <t>CFMAR04</t>
  </si>
  <si>
    <t>Find Tree Diameter</t>
  </si>
  <si>
    <t>DIAMTREE</t>
  </si>
  <si>
    <t>Root the Tree</t>
  </si>
  <si>
    <t>ROOTTREE</t>
  </si>
  <si>
    <t>1934</t>
  </si>
  <si>
    <t>Wealth Disparity</t>
  </si>
  <si>
    <t>INOI1601</t>
  </si>
  <si>
    <t>Queries with Bags</t>
  </si>
  <si>
    <t>DSUBAGS</t>
  </si>
  <si>
    <t>Family Tree</t>
  </si>
  <si>
    <t>FAMTREE</t>
  </si>
  <si>
    <t>Cricket Match</t>
  </si>
  <si>
    <t>CRIMCH</t>
  </si>
  <si>
    <t>Subtree Removal</t>
  </si>
  <si>
    <t>SUBREM</t>
  </si>
  <si>
    <t>2010</t>
  </si>
  <si>
    <t>Cosmic Temple</t>
  </si>
  <si>
    <t>COSTEMP</t>
  </si>
  <si>
    <t>Fence - INOI 2017</t>
  </si>
  <si>
    <t>TINOI17A</t>
  </si>
  <si>
    <t>Even Edges</t>
  </si>
  <si>
    <t>EVEDG</t>
  </si>
  <si>
    <t>Moving Segments</t>
  </si>
  <si>
    <t>SEGDIR</t>
  </si>
  <si>
    <t>Treeversion</t>
  </si>
  <si>
    <t>TREEVERS</t>
  </si>
  <si>
    <t>2453</t>
  </si>
  <si>
    <t>Abdullah and Toll Discounts</t>
  </si>
  <si>
    <t>ABDTOLL</t>
  </si>
  <si>
    <t>Tourists in Mancunia</t>
  </si>
  <si>
    <t>TOURISTS</t>
  </si>
  <si>
    <t>2133</t>
  </si>
  <si>
    <t>Doubly Increasing Path</t>
  </si>
  <si>
    <t>DINCPATH</t>
  </si>
  <si>
    <t>2493</t>
  </si>
  <si>
    <t>Basic Graph Theory II - Shortest Paths - Practice problems</t>
  </si>
  <si>
    <t>Chef and Reversing</t>
  </si>
  <si>
    <t>REVERSE</t>
  </si>
  <si>
    <t>Chef and Digit Jumps</t>
  </si>
  <si>
    <t>DIGJUMP</t>
  </si>
  <si>
    <t>1886</t>
  </si>
  <si>
    <t>Galactik Football</t>
  </si>
  <si>
    <t>GALACTIK</t>
  </si>
  <si>
    <t>1860</t>
  </si>
  <si>
    <t>India Fights Corona</t>
  </si>
  <si>
    <t>CORONA</t>
  </si>
  <si>
    <t>2560</t>
  </si>
  <si>
    <t>Graph on an Array</t>
  </si>
  <si>
    <t>ARRGRAPH</t>
  </si>
  <si>
    <t>Per Capita Income</t>
  </si>
  <si>
    <t>PERCAPTA</t>
  </si>
  <si>
    <t>2132</t>
  </si>
  <si>
    <t>FCAR</t>
  </si>
  <si>
    <t>INSQ15_F</t>
  </si>
  <si>
    <t>Road Decoration</t>
  </si>
  <si>
    <t>AMR14B</t>
  </si>
  <si>
    <t>Graphs - Practice problems</t>
  </si>
  <si>
    <t>Home Delivery</t>
  </si>
  <si>
    <t>HDELIVER</t>
  </si>
  <si>
    <t>Shortest Path in Binary Trees</t>
  </si>
  <si>
    <t>BINTREE</t>
  </si>
  <si>
    <t>Path-etic Sums</t>
  </si>
  <si>
    <t>PATHSUMS</t>
  </si>
  <si>
    <t>1838</t>
  </si>
  <si>
    <t>Lavanya Loves DFA</t>
  </si>
  <si>
    <t>ICM2006</t>
  </si>
  <si>
    <t>1586</t>
  </si>
  <si>
    <t>One more weird game</t>
  </si>
  <si>
    <t>OMWG</t>
  </si>
  <si>
    <t>1536</t>
  </si>
  <si>
    <t>Ciel and Tomya</t>
  </si>
  <si>
    <t>CIELTOMY</t>
  </si>
  <si>
    <t>1877</t>
  </si>
  <si>
    <t>Petersen Graph</t>
  </si>
  <si>
    <t>PETERSEN</t>
  </si>
  <si>
    <t>Rendezvous</t>
  </si>
  <si>
    <t>TR1</t>
  </si>
  <si>
    <t>Brush Fire</t>
  </si>
  <si>
    <t>FIRE</t>
  </si>
  <si>
    <t>Kingdom Unity</t>
  </si>
  <si>
    <t>KINGCON</t>
  </si>
  <si>
    <t>Robot Game</t>
  </si>
  <si>
    <t>TR2</t>
  </si>
  <si>
    <t>End Of The World</t>
  </si>
  <si>
    <t>CHEFHACK</t>
  </si>
  <si>
    <t>Gravel</t>
  </si>
  <si>
    <t>SPREAD</t>
  </si>
  <si>
    <t>1822</t>
  </si>
  <si>
    <t>Curry Stained Napkin</t>
  </si>
  <si>
    <t>F3</t>
  </si>
  <si>
    <t>Maximal Score Path</t>
  </si>
  <si>
    <t>RG_01</t>
  </si>
  <si>
    <t>Birthday Gift</t>
  </si>
  <si>
    <t>CHEFGIFT</t>
  </si>
  <si>
    <t>Treasure Hunting</t>
  </si>
  <si>
    <t>N1</t>
  </si>
  <si>
    <t>Maze of Digits</t>
  </si>
  <si>
    <t>K3</t>
  </si>
  <si>
    <t>1859</t>
  </si>
  <si>
    <t>Soccer League</t>
  </si>
  <si>
    <t>M3</t>
  </si>
  <si>
    <t>Byteknights and Byteknaves</t>
  </si>
  <si>
    <t>BYTEISLE</t>
  </si>
  <si>
    <t>1919</t>
  </si>
  <si>
    <t>Number Theory - Sieving - Practice problems</t>
  </si>
  <si>
    <t>Prime Tuples</t>
  </si>
  <si>
    <t>PTUPLES</t>
  </si>
  <si>
    <t>Odd Divisors</t>
  </si>
  <si>
    <t>ODDDIV</t>
  </si>
  <si>
    <t>1657</t>
  </si>
  <si>
    <t>Special Triplets</t>
  </si>
  <si>
    <t>SPCTRIPS</t>
  </si>
  <si>
    <t>Levy Conjecture</t>
  </si>
  <si>
    <t>LEVY</t>
  </si>
  <si>
    <t>1510</t>
  </si>
  <si>
    <t>Cool Guys</t>
  </si>
  <si>
    <t>COOLGUYS</t>
  </si>
  <si>
    <t>Churu and Balls</t>
  </si>
  <si>
    <t>CBALLS</t>
  </si>
  <si>
    <t>1697</t>
  </si>
  <si>
    <t>Prime Game</t>
  </si>
  <si>
    <t>PRIGAME</t>
  </si>
  <si>
    <t>Yet Another Problem About Sequences</t>
  </si>
  <si>
    <t>EARTSEQ</t>
  </si>
  <si>
    <t>Destroy Cells</t>
  </si>
  <si>
    <t>DESTCELL</t>
  </si>
  <si>
    <t>2297</t>
  </si>
  <si>
    <t>Dynamic Programming - Knapsack - Practice problems</t>
  </si>
  <si>
    <t>Polo the Penguin and the Test</t>
  </si>
  <si>
    <t>PPTEST</t>
  </si>
  <si>
    <t>1603</t>
  </si>
  <si>
    <t>Paying up</t>
  </si>
  <si>
    <t>MARCHA1</t>
  </si>
  <si>
    <t>MasterChef</t>
  </si>
  <si>
    <t>MCHEF</t>
  </si>
  <si>
    <t>Permutation Split</t>
  </si>
  <si>
    <t>PERMSPL</t>
  </si>
  <si>
    <t>2996</t>
  </si>
  <si>
    <t>Algorithms, Constructive, Dynamic Programming, Knapsack, ad-hoc</t>
  </si>
  <si>
    <t>Coin Partition</t>
  </si>
  <si>
    <t>COINPART</t>
  </si>
  <si>
    <t>2804</t>
  </si>
  <si>
    <t>Chef and Pepperoni Pizza Again</t>
  </si>
  <si>
    <t>PEPPERA</t>
  </si>
  <si>
    <t>2516</t>
  </si>
  <si>
    <t>BLKJK</t>
  </si>
  <si>
    <t>2903</t>
  </si>
  <si>
    <t>0-1 Knapsack, Algorithms, Bit Manipulation, Dynamic Programming, Knapsack, Mathematics</t>
  </si>
  <si>
    <t>Mean Mean Medians</t>
  </si>
  <si>
    <t>MEANMEDI</t>
  </si>
  <si>
    <t>2719</t>
  </si>
  <si>
    <t>Pizza Delivery</t>
  </si>
  <si>
    <t>DBOY</t>
  </si>
  <si>
    <t>Total Diamonds</t>
  </si>
  <si>
    <t>VK18</t>
  </si>
  <si>
    <t>Trip</t>
  </si>
  <si>
    <t>TRIP</t>
  </si>
  <si>
    <t>2005</t>
  </si>
  <si>
    <t>String Merging</t>
  </si>
  <si>
    <t>STRMRG</t>
  </si>
  <si>
    <t>Girl Friend and String Gift</t>
  </si>
  <si>
    <t>CHGLSTGT</t>
  </si>
  <si>
    <t>1986</t>
  </si>
  <si>
    <t>Matrix</t>
  </si>
  <si>
    <t>MATRIX2</t>
  </si>
  <si>
    <t>2209</t>
  </si>
  <si>
    <t>Dessert Wizard</t>
  </si>
  <si>
    <t>DELISH</t>
  </si>
  <si>
    <t>Little Elephant and Mouses</t>
  </si>
  <si>
    <t>LEMOUSE</t>
  </si>
  <si>
    <t>1941</t>
  </si>
  <si>
    <t>Chef and Rectangle Array</t>
  </si>
  <si>
    <t>CHSQARR</t>
  </si>
  <si>
    <t>2088</t>
  </si>
  <si>
    <t>Chef and Two String</t>
  </si>
  <si>
    <t>CHEFTWOS</t>
  </si>
  <si>
    <t>2233</t>
  </si>
  <si>
    <t>Physical Exercise</t>
  </si>
  <si>
    <t>PHCUL</t>
  </si>
  <si>
    <t>Gerrymander</t>
  </si>
  <si>
    <t>GERMANDE</t>
  </si>
  <si>
    <t>Sereja and Arrays</t>
  </si>
  <si>
    <t>SEARRAYS</t>
  </si>
  <si>
    <t>The Lost Arithmetic Sequences</t>
  </si>
  <si>
    <t>TAASEQ</t>
  </si>
  <si>
    <t>2012</t>
  </si>
  <si>
    <t>Kirito in labyrinth</t>
  </si>
  <si>
    <t>KIRLAB</t>
  </si>
  <si>
    <t>Offer for Chef</t>
  </si>
  <si>
    <t>CHEFOFR</t>
  </si>
  <si>
    <t>2100</t>
  </si>
  <si>
    <t>K-important Strings</t>
  </si>
  <si>
    <t>N3</t>
  </si>
  <si>
    <t>A-E Hash Function</t>
  </si>
  <si>
    <t>AEHASH</t>
  </si>
  <si>
    <t>1832</t>
  </si>
  <si>
    <t>Bytelandian Robots</t>
  </si>
  <si>
    <t>F2</t>
  </si>
  <si>
    <t>1844</t>
  </si>
  <si>
    <t>Lucky Sum</t>
  </si>
  <si>
    <t>LUCKY3</t>
  </si>
  <si>
    <t>1875</t>
  </si>
  <si>
    <t>Random decreasing function</t>
  </si>
  <si>
    <t>RDF</t>
  </si>
  <si>
    <t>Little Elephant and Median</t>
  </si>
  <si>
    <t>MEDIAN</t>
  </si>
  <si>
    <t>2023</t>
  </si>
  <si>
    <t>Strategy for the World Cup</t>
  </si>
  <si>
    <t>WORLDCUP</t>
  </si>
  <si>
    <t>2055</t>
  </si>
  <si>
    <t>Player</t>
  </si>
  <si>
    <t>RRPLAYER</t>
  </si>
  <si>
    <t>2067</t>
  </si>
  <si>
    <t>Odd Binomial Coefficients</t>
  </si>
  <si>
    <t>ODDBIN</t>
  </si>
  <si>
    <t>2107</t>
  </si>
  <si>
    <t>Segment Trees - Practice problems</t>
  </si>
  <si>
    <t>Way Out</t>
  </si>
  <si>
    <t>WOUT</t>
  </si>
  <si>
    <t>Chefs in Queue</t>
  </si>
  <si>
    <t>CHFQUEUE</t>
  </si>
  <si>
    <t>2146</t>
  </si>
  <si>
    <t>Appy Loves One</t>
  </si>
  <si>
    <t>HMAPPY1</t>
  </si>
  <si>
    <t>1932</t>
  </si>
  <si>
    <t>Chef and Sub Array</t>
  </si>
  <si>
    <t>CHEFSUBA</t>
  </si>
  <si>
    <t>Chef and Subarray Queries</t>
  </si>
  <si>
    <t>CSUBQ</t>
  </si>
  <si>
    <t>2345</t>
  </si>
  <si>
    <t>Modulo Multiplicative Inverse - Practice problems</t>
  </si>
  <si>
    <t>New Restaurant</t>
  </si>
  <si>
    <t>NEWREST</t>
  </si>
  <si>
    <t>Chef World</t>
  </si>
  <si>
    <t>CHEFWD</t>
  </si>
  <si>
    <t>2049</t>
  </si>
  <si>
    <t>Fibonacci Series, Mathematics, Matrices, Matrix Exponentiation, Matrix Multiplication, Modular Arithmetic, Modulo Multiplicative Inverse, Sequences and Progression</t>
  </si>
  <si>
    <t>Gifts at Olympics</t>
  </si>
  <si>
    <t>OLYMPIC</t>
  </si>
  <si>
    <t>2696</t>
  </si>
  <si>
    <t>The Uncountable Ways</t>
  </si>
  <si>
    <t>CNTWAYS</t>
  </si>
  <si>
    <t>1992</t>
  </si>
  <si>
    <t>Adi and the Matrix</t>
  </si>
  <si>
    <t>ADIMAT</t>
  </si>
  <si>
    <t>E - Make it Zero</t>
  </si>
  <si>
    <t>INFDIV</t>
  </si>
  <si>
    <t>Perfect Tree Problem</t>
  </si>
  <si>
    <t>PTREE</t>
  </si>
  <si>
    <t>2900</t>
  </si>
  <si>
    <t>Trees and Degrees</t>
  </si>
  <si>
    <t>TREDEG</t>
  </si>
  <si>
    <t>2783</t>
  </si>
  <si>
    <t>Counting Mobiles</t>
  </si>
  <si>
    <t>MOBCNT</t>
  </si>
  <si>
    <t>Python Interview Questions</t>
  </si>
  <si>
    <t>Practice these 118 Python Interview Questions and prepare for freshers interviews. Use the detailed explanations for MCQs whose answer you don't know.</t>
  </si>
  <si>
    <t>Basic Python syntax and data types - Basic Python syntax and data types</t>
  </si>
  <si>
    <t>Variable Assignment</t>
  </si>
  <si>
    <t>PYMCQ01</t>
  </si>
  <si>
    <t>Numeric Types</t>
  </si>
  <si>
    <t>PYMCQ02</t>
  </si>
  <si>
    <t>PYMCQ03</t>
  </si>
  <si>
    <t>Boolean Operations</t>
  </si>
  <si>
    <t>PYMCQ04</t>
  </si>
  <si>
    <t>Type Conversion</t>
  </si>
  <si>
    <t>PYMCQ05</t>
  </si>
  <si>
    <t>String Concatenation</t>
  </si>
  <si>
    <t>PYMCQ06</t>
  </si>
  <si>
    <t>Multiple Assignment</t>
  </si>
  <si>
    <t>PYMCQ07</t>
  </si>
  <si>
    <t>Type Checking</t>
  </si>
  <si>
    <t>PYMCQ08</t>
  </si>
  <si>
    <t>String Immutability</t>
  </si>
  <si>
    <t>PYMCQ09</t>
  </si>
  <si>
    <t>Numeric Operations</t>
  </si>
  <si>
    <t>PYMCQ10</t>
  </si>
  <si>
    <t>Control flow - Control flow</t>
  </si>
  <si>
    <t>Conditional Execution</t>
  </si>
  <si>
    <t>PYMCQ11</t>
  </si>
  <si>
    <t>For Loop Iteration</t>
  </si>
  <si>
    <t>PYMCQ12</t>
  </si>
  <si>
    <t>While Loop Execution</t>
  </si>
  <si>
    <t>PYMCQ13</t>
  </si>
  <si>
    <t>Break Statement</t>
  </si>
  <si>
    <t>PYMCQ14</t>
  </si>
  <si>
    <t>Continue Statement</t>
  </si>
  <si>
    <t>PYMCQ15</t>
  </si>
  <si>
    <t>Range Function</t>
  </si>
  <si>
    <t>PYMCQ16</t>
  </si>
  <si>
    <t>Nested Loops</t>
  </si>
  <si>
    <t>PYMCQ17</t>
  </si>
  <si>
    <t>Loop with Else</t>
  </si>
  <si>
    <t>PYMCQ18</t>
  </si>
  <si>
    <t>Conditional Expression</t>
  </si>
  <si>
    <t>PYMCQ19</t>
  </si>
  <si>
    <t>While Loop with Break</t>
  </si>
  <si>
    <t>PYMCQ20</t>
  </si>
  <si>
    <t>String manipulation - String manipulation</t>
  </si>
  <si>
    <t>String Slicing</t>
  </si>
  <si>
    <t>PYMCQ21</t>
  </si>
  <si>
    <t>String Method - split()</t>
  </si>
  <si>
    <t>PYMCQ22</t>
  </si>
  <si>
    <t>String Method - join()</t>
  </si>
  <si>
    <t>PYMCQ23</t>
  </si>
  <si>
    <t>String Method - replace()</t>
  </si>
  <si>
    <t>PYMCQ24</t>
  </si>
  <si>
    <t>F-string Formatting</t>
  </si>
  <si>
    <t>PYMCQ25</t>
  </si>
  <si>
    <t>String Formatting with .format()</t>
  </si>
  <si>
    <t>PYMCQ26</t>
  </si>
  <si>
    <t>Regular Expressions - Basic Matching</t>
  </si>
  <si>
    <t>PYMCQ27</t>
  </si>
  <si>
    <t>String Indexing</t>
  </si>
  <si>
    <t>PYMCQ28</t>
  </si>
  <si>
    <t>PYMCQ29</t>
  </si>
  <si>
    <t>String Method Chaining</t>
  </si>
  <si>
    <t>PYMCQ30</t>
  </si>
  <si>
    <t>Lists, tuples, and dictionaries - Lists, tuples, and dictionaries</t>
  </si>
  <si>
    <t>List Modification</t>
  </si>
  <si>
    <t>PYMCQ31</t>
  </si>
  <si>
    <t>Tuple Packing and Unpacking</t>
  </si>
  <si>
    <t>PYMCQ32</t>
  </si>
  <si>
    <t>Dictionary Manipulation</t>
  </si>
  <si>
    <t>PYMCQ33</t>
  </si>
  <si>
    <t>Set Operations</t>
  </si>
  <si>
    <t>PYMCQ34</t>
  </si>
  <si>
    <t>List Comprehension</t>
  </si>
  <si>
    <t>PYMCQ35</t>
  </si>
  <si>
    <t>Dictionary Comprehension</t>
  </si>
  <si>
    <t>PYMCQ36</t>
  </si>
  <si>
    <t>Tuple Immutability</t>
  </si>
  <si>
    <t>PYMCQ37</t>
  </si>
  <si>
    <t>Set Methods</t>
  </si>
  <si>
    <t>PYMCQ38</t>
  </si>
  <si>
    <t>List Methods</t>
  </si>
  <si>
    <t>PYMCQ39</t>
  </si>
  <si>
    <t>Dictionary Methods</t>
  </si>
  <si>
    <t>PYMCQ40</t>
  </si>
  <si>
    <t>Functions and lambda expressions - Functions and lambda expressions</t>
  </si>
  <si>
    <t>Function Definition</t>
  </si>
  <si>
    <t>PYMCQ41</t>
  </si>
  <si>
    <t>Function Parameters</t>
  </si>
  <si>
    <t>PYMCQ42</t>
  </si>
  <si>
    <t>Lambda Functions</t>
  </si>
  <si>
    <t>PYMCQ44</t>
  </si>
  <si>
    <t>Map Function</t>
  </si>
  <si>
    <t>PYMCQ45</t>
  </si>
  <si>
    <t>Filter Function</t>
  </si>
  <si>
    <t>PYMCQ46</t>
  </si>
  <si>
    <t>Reduce Function</t>
  </si>
  <si>
    <t>PYMCQ47</t>
  </si>
  <si>
    <t>Function Arguments</t>
  </si>
  <si>
    <t>PYMCQ48</t>
  </si>
  <si>
    <t>Nested Functions</t>
  </si>
  <si>
    <t>PYMCQ49</t>
  </si>
  <si>
    <t>Function Attributes</t>
  </si>
  <si>
    <t>PYMCQ50</t>
  </si>
  <si>
    <t>File I/O operations - File I/O operations</t>
  </si>
  <si>
    <t>File Opening Modes</t>
  </si>
  <si>
    <t>PYMCQ51</t>
  </si>
  <si>
    <t>Reading File Content</t>
  </si>
  <si>
    <t>PYMCQ52</t>
  </si>
  <si>
    <t>File Writing</t>
  </si>
  <si>
    <t>PYMCQ53</t>
  </si>
  <si>
    <t>CSV File Handling</t>
  </si>
  <si>
    <t>PYMCQ54</t>
  </si>
  <si>
    <t>Context Managers</t>
  </si>
  <si>
    <t>PYMCQ55</t>
  </si>
  <si>
    <t>File Position</t>
  </si>
  <si>
    <t>PYMCQ56</t>
  </si>
  <si>
    <t>File Modes Combination</t>
  </si>
  <si>
    <t>PYMCQ57</t>
  </si>
  <si>
    <t>Binary File Handling</t>
  </si>
  <si>
    <t>PYMCQ58</t>
  </si>
  <si>
    <t>File Methods</t>
  </si>
  <si>
    <t>PYMCQ59</t>
  </si>
  <si>
    <t>File Writing Modes</t>
  </si>
  <si>
    <t>PYMCQ60</t>
  </si>
  <si>
    <t>Modules and packages - Modules and packages</t>
  </si>
  <si>
    <t>Module Import Syntax</t>
  </si>
  <si>
    <t>PYMCQ61</t>
  </si>
  <si>
    <t>Importing Specific Functions</t>
  </si>
  <si>
    <t>PYMCQ62</t>
  </si>
  <si>
    <t>Creating Custom Modules</t>
  </si>
  <si>
    <t>PYMCQ63</t>
  </si>
  <si>
    <t>Package Structure</t>
  </si>
  <si>
    <t>PYMCQ64</t>
  </si>
  <si>
    <t>Relative Imports</t>
  </si>
  <si>
    <t>PYMCQ65</t>
  </si>
  <si>
    <t>OS Module Usage</t>
  </si>
  <si>
    <t>PYMCQ66</t>
  </si>
  <si>
    <t>Sys Module Functionality</t>
  </si>
  <si>
    <t>PYMCQ67</t>
  </si>
  <si>
    <t>Module Reloading</t>
  </si>
  <si>
    <t>PYMCQ68</t>
  </si>
  <si>
    <t>Package Initialization</t>
  </si>
  <si>
    <t>PYMCQ69</t>
  </si>
  <si>
    <t>Circular Imports</t>
  </si>
  <si>
    <t>PYMCQ70</t>
  </si>
  <si>
    <t>Exception handling - Exception handling</t>
  </si>
  <si>
    <t>Basic Exception Handling</t>
  </si>
  <si>
    <t>PYMCQ71</t>
  </si>
  <si>
    <t>Multiple Exception Types</t>
  </si>
  <si>
    <t>PYMCQ72</t>
  </si>
  <si>
    <t>Raising Exceptions</t>
  </si>
  <si>
    <t>PYMCQ73</t>
  </si>
  <si>
    <t>Custom Exceptions</t>
  </si>
  <si>
    <t>PYMCQ74</t>
  </si>
  <si>
    <t>Finally Clause</t>
  </si>
  <si>
    <t>PYMCQ75</t>
  </si>
  <si>
    <t>Exception Hierarchy</t>
  </si>
  <si>
    <t>PYMCQ76</t>
  </si>
  <si>
    <t>Bare Except</t>
  </si>
  <si>
    <t>PYMCQ77</t>
  </si>
  <si>
    <t>Exception Object</t>
  </si>
  <si>
    <t>PYMCQ78</t>
  </si>
  <si>
    <t>Nested Try-Except</t>
  </si>
  <si>
    <t>PYMCQ79</t>
  </si>
  <si>
    <t>Else Clause in Try-Except</t>
  </si>
  <si>
    <t>PYMCQ80</t>
  </si>
  <si>
    <t>Python standard library - Python standard library</t>
  </si>
  <si>
    <t>Timedelta Calculation</t>
  </si>
  <si>
    <t>PYMCQ89</t>
  </si>
  <si>
    <t>Random Sampling</t>
  </si>
  <si>
    <t>PYMCQ90</t>
  </si>
  <si>
    <t>Math Function</t>
  </si>
  <si>
    <t>PYMCQ91</t>
  </si>
  <si>
    <t>Collections Counter</t>
  </si>
  <si>
    <t>PYMCQ92</t>
  </si>
  <si>
    <t>Datetime Formatting</t>
  </si>
  <si>
    <t>PYMCQ93</t>
  </si>
  <si>
    <t>Random Seed</t>
  </si>
  <si>
    <t>PYMCQ94</t>
  </si>
  <si>
    <t>Math Constants</t>
  </si>
  <si>
    <t>PYMCQ95</t>
  </si>
  <si>
    <t>Collections deque</t>
  </si>
  <si>
    <t>PYMCQ96</t>
  </si>
  <si>
    <t>Datetime Timezones</t>
  </si>
  <si>
    <t>PYMCQ97</t>
  </si>
  <si>
    <t>Object-oriented programming concepts - Object-oriented programming concepts</t>
  </si>
  <si>
    <t>Class Definition</t>
  </si>
  <si>
    <t>PYMCQ99</t>
  </si>
  <si>
    <t>Object Creation</t>
  </si>
  <si>
    <t>PYMCQ100</t>
  </si>
  <si>
    <t>Inheritance Syntax</t>
  </si>
  <si>
    <t>PYMCQ101</t>
  </si>
  <si>
    <t>Encapsulation</t>
  </si>
  <si>
    <t>PYMCQ102</t>
  </si>
  <si>
    <t>Polymorphism</t>
  </si>
  <si>
    <t>PYMCQ103</t>
  </si>
  <si>
    <t>Magic Methods</t>
  </si>
  <si>
    <t>PYMCQ104</t>
  </si>
  <si>
    <t>Method Overriding</t>
  </si>
  <si>
    <t>PYMCQ105</t>
  </si>
  <si>
    <t>Self Parameter</t>
  </si>
  <si>
    <t>PYMCQ106</t>
  </si>
  <si>
    <t>Class Variables vs Instance Variables</t>
  </si>
  <si>
    <t>PYMCQ107</t>
  </si>
  <si>
    <t>Property Decorator</t>
  </si>
  <si>
    <t>PYMCQ108</t>
  </si>
  <si>
    <t>Virtual environments - Virtual environments</t>
  </si>
  <si>
    <t>Virtual Environment Creation</t>
  </si>
  <si>
    <t>PYMCQ109</t>
  </si>
  <si>
    <t>Activating Virtual Environment</t>
  </si>
  <si>
    <t>PYMCQ110</t>
  </si>
  <si>
    <t>Package Installation in Virtual Environment</t>
  </si>
  <si>
    <t>PYMCQ111</t>
  </si>
  <si>
    <t>Purpose of requirements.txt</t>
  </si>
  <si>
    <t>PYMCQ112</t>
  </si>
  <si>
    <t>Generating requirements.txt</t>
  </si>
  <si>
    <t>PYMCQ113</t>
  </si>
  <si>
    <t>Virtual Environment Location</t>
  </si>
  <si>
    <t>PYMCQ114</t>
  </si>
  <si>
    <t>Deactivating Virtual Environment</t>
  </si>
  <si>
    <t>PYMCQ115</t>
  </si>
  <si>
    <t>Upgrading pip in Virtual Environment</t>
  </si>
  <si>
    <t>PYMCQ116</t>
  </si>
  <si>
    <t>Virtual Environment and Global Packages</t>
  </si>
  <si>
    <t>PYMCQ117</t>
  </si>
  <si>
    <t>Managing Multiple Python Versions</t>
  </si>
  <si>
    <t>PYMCQ118</t>
  </si>
  <si>
    <t>Basic understanding of PEP 8 - Basic understanding of PEP 8</t>
  </si>
  <si>
    <t>Indentation Rule</t>
  </si>
  <si>
    <t>PYMCQ119</t>
  </si>
  <si>
    <t>Naming Convention for Functions</t>
  </si>
  <si>
    <t>PYMCQ120</t>
  </si>
  <si>
    <t>Maximum Line Length</t>
  </si>
  <si>
    <t>PYMCQ121</t>
  </si>
  <si>
    <t>Import Statement Formatting</t>
  </si>
  <si>
    <t>PYMCQ122</t>
  </si>
  <si>
    <t>Class Naming Convention</t>
  </si>
  <si>
    <t>PYMCQ123</t>
  </si>
  <si>
    <t>Variable Naming Convention</t>
  </si>
  <si>
    <t>PYMCQ124</t>
  </si>
  <si>
    <t>Whitespace in Expressions</t>
  </si>
  <si>
    <t>PYMCQ125</t>
  </si>
  <si>
    <t>Comment Formatting</t>
  </si>
  <si>
    <t>PYMCQ126</t>
  </si>
  <si>
    <t>Function Argument Formatting</t>
  </si>
  <si>
    <t>PYMCQ127</t>
  </si>
  <si>
    <t>Module Level Dunder Names</t>
  </si>
  <si>
    <t>PYMCQ128</t>
  </si>
  <si>
    <t>Java Interview Questions for Freshers</t>
  </si>
  <si>
    <t>Practice these 146 Java MCQs with detailed explanations and prepare yourself for fresher interviews in Java.</t>
  </si>
  <si>
    <t>Java basics (data types, variables, operators) - Java Basics</t>
  </si>
  <si>
    <t>Data Type Identification</t>
  </si>
  <si>
    <t>JAVAMCQ01</t>
  </si>
  <si>
    <t>Variable Declaration</t>
  </si>
  <si>
    <t>JAVAMCQ02</t>
  </si>
  <si>
    <t>Operator Precedence</t>
  </si>
  <si>
    <t>JAVAMCQ03</t>
  </si>
  <si>
    <t>Type Casting</t>
  </si>
  <si>
    <t>JAVAMCQ04</t>
  </si>
  <si>
    <t>Boolean Operators</t>
  </si>
  <si>
    <t>JAVAMCQ05</t>
  </si>
  <si>
    <t>JAVAMCQ06</t>
  </si>
  <si>
    <t>Increment Operator</t>
  </si>
  <si>
    <t>JAVAMCQ07</t>
  </si>
  <si>
    <t>Floating-Point Precision</t>
  </si>
  <si>
    <t>JAVAMCQ08</t>
  </si>
  <si>
    <t>Character Data Type</t>
  </si>
  <si>
    <t>JAVAMCQ09</t>
  </si>
  <si>
    <t>Compound Assignment Operators</t>
  </si>
  <si>
    <t>JAVAMCQ10</t>
  </si>
  <si>
    <t>Control flow statements - Control flow statements</t>
  </si>
  <si>
    <t>Loop Selection</t>
  </si>
  <si>
    <t>JAVAMCQ11</t>
  </si>
  <si>
    <t>Switch Statement</t>
  </si>
  <si>
    <t>JAVAMCQ12</t>
  </si>
  <si>
    <t>Conditional Statement</t>
  </si>
  <si>
    <t>JAVAMCQ13</t>
  </si>
  <si>
    <t>Loop Continuation</t>
  </si>
  <si>
    <t>JAVAMCQ14</t>
  </si>
  <si>
    <t>Enhanced For Loop</t>
  </si>
  <si>
    <t>JAVAMCQ15</t>
  </si>
  <si>
    <t>Do-While Loop</t>
  </si>
  <si>
    <t>JAVAMCQ16</t>
  </si>
  <si>
    <t>Switch Expression</t>
  </si>
  <si>
    <t>JAVAMCQ17</t>
  </si>
  <si>
    <t>Loop Termination</t>
  </si>
  <si>
    <t>JAVAMCQ18</t>
  </si>
  <si>
    <t>Nested Control Statements</t>
  </si>
  <si>
    <t>JAVAMCQ19</t>
  </si>
  <si>
    <t>Ternary Operator</t>
  </si>
  <si>
    <t>JAVAMCQ20</t>
  </si>
  <si>
    <t>Arrays and collections - Array and Collections</t>
  </si>
  <si>
    <t>Array Declaration</t>
  </si>
  <si>
    <t>JAVAMCQ21</t>
  </si>
  <si>
    <t>ArrayList vs LinkedList</t>
  </si>
  <si>
    <t>JAVAMCQ22</t>
  </si>
  <si>
    <t>HashSet Characteristics</t>
  </si>
  <si>
    <t>JAVAMCQ23</t>
  </si>
  <si>
    <t>TreeMap Ordering</t>
  </si>
  <si>
    <t>JAVAMCQ24</t>
  </si>
  <si>
    <t>Collection Interface</t>
  </si>
  <si>
    <t>JAVAMCQ25</t>
  </si>
  <si>
    <t>Array Initialization</t>
  </si>
  <si>
    <t>JAVAMCQ26</t>
  </si>
  <si>
    <t>Vector vs ArrayList</t>
  </si>
  <si>
    <t>JAVAMCQ27</t>
  </si>
  <si>
    <t>HashMap vs Hashtable</t>
  </si>
  <si>
    <t>JAVAMCQ28</t>
  </si>
  <si>
    <t>Array Bounds</t>
  </si>
  <si>
    <t>JAVAMCQ29</t>
  </si>
  <si>
    <t>List to Array Conversion</t>
  </si>
  <si>
    <t>JAVAMCQ30</t>
  </si>
  <si>
    <t>String manipulation and String pool - String manipulation and String pool</t>
  </si>
  <si>
    <t>JAVAMCQ31</t>
  </si>
  <si>
    <t>String Pool Concept</t>
  </si>
  <si>
    <t>JAVAMCQ32</t>
  </si>
  <si>
    <t>String Creation</t>
  </si>
  <si>
    <t>JAVAMCQ33</t>
  </si>
  <si>
    <t>String Interning</t>
  </si>
  <si>
    <t>JAVAMCQ34</t>
  </si>
  <si>
    <t>String Comparison</t>
  </si>
  <si>
    <t>JAVAMCQ35</t>
  </si>
  <si>
    <t>JAVAMCQ36</t>
  </si>
  <si>
    <t>String Methods</t>
  </si>
  <si>
    <t>JAVAMCQ37</t>
  </si>
  <si>
    <t>String Manipulation</t>
  </si>
  <si>
    <t>JAVAMCQ38</t>
  </si>
  <si>
    <t>String Pool vs Heap</t>
  </si>
  <si>
    <t>JAVAMCQ39</t>
  </si>
  <si>
    <t>String Performance</t>
  </si>
  <si>
    <t>JAVAMCQ40</t>
  </si>
  <si>
    <t>Object-Oriented Programming (OOP) concepts - Object-Oriented Programming (OOP) concepts</t>
  </si>
  <si>
    <t>Inheritance in Java</t>
  </si>
  <si>
    <t>JAVAMCQ41</t>
  </si>
  <si>
    <t>Encapsulation in Java</t>
  </si>
  <si>
    <t>JAVAMCQ42</t>
  </si>
  <si>
    <t>Polymorphism in Java</t>
  </si>
  <si>
    <t>JAVAMCQ43</t>
  </si>
  <si>
    <t>Abstraction in Java</t>
  </si>
  <si>
    <t>JAVAMCQ44</t>
  </si>
  <si>
    <t>Interfaces in Java</t>
  </si>
  <si>
    <t>JAVAMCQ45</t>
  </si>
  <si>
    <t>Method Overloading in Java</t>
  </si>
  <si>
    <t>JAVAMCQ46</t>
  </si>
  <si>
    <t>Constructor in Java</t>
  </si>
  <si>
    <t>JAVAMCQ47</t>
  </si>
  <si>
    <t>Static Members in Java</t>
  </si>
  <si>
    <t>JAVAMCQ48</t>
  </si>
  <si>
    <t>Final Keyword in Java</t>
  </si>
  <si>
    <t>JAVAMCQ49</t>
  </si>
  <si>
    <t>Method Overriding in Java</t>
  </si>
  <si>
    <t>JAVAMCQ50</t>
  </si>
  <si>
    <t>Inheritance and interfaces - Inheritance and interfaces</t>
  </si>
  <si>
    <t>Interface Implementation</t>
  </si>
  <si>
    <t>JAVAMCQ52</t>
  </si>
  <si>
    <t>Multiple Inheritance</t>
  </si>
  <si>
    <t>JAVAMCQ53</t>
  </si>
  <si>
    <t>Abstract Classes vs Interfaces</t>
  </si>
  <si>
    <t>JAVAMCQ54</t>
  </si>
  <si>
    <t>JAVAMCQ55</t>
  </si>
  <si>
    <t>Access Modifiers in Inheritance</t>
  </si>
  <si>
    <t>JAVAMCQ57</t>
  </si>
  <si>
    <t>Inheritance and Constructors</t>
  </si>
  <si>
    <t>JAVAMCQ58</t>
  </si>
  <si>
    <t>Interface Constants</t>
  </si>
  <si>
    <t>JAVAMCQ59</t>
  </si>
  <si>
    <t>Polymorphism in Inheritance</t>
  </si>
  <si>
    <t>JAVAMCQ60</t>
  </si>
  <si>
    <t>Encapsulation and polymorphism - Encapsulation and polymorphism</t>
  </si>
  <si>
    <t>Getter and Setter Methods</t>
  </si>
  <si>
    <t>JAVAMCQ62</t>
  </si>
  <si>
    <t>Method Overloading</t>
  </si>
  <si>
    <t>JAVAMCQ63</t>
  </si>
  <si>
    <t>JAVAMCQ64</t>
  </si>
  <si>
    <t>Runtime Polymorphism</t>
  </si>
  <si>
    <t>JAVAMCQ65</t>
  </si>
  <si>
    <t>Encapsulation Benefits</t>
  </si>
  <si>
    <t>JAVAMCQ66</t>
  </si>
  <si>
    <t>Interface Polymorphism</t>
  </si>
  <si>
    <t>JAVAMCQ67</t>
  </si>
  <si>
    <t>Data Hiding</t>
  </si>
  <si>
    <t>JAVAMCQ68</t>
  </si>
  <si>
    <t>Polymorphic Reference</t>
  </si>
  <si>
    <t>JAVAMCQ69</t>
  </si>
  <si>
    <t>Encapsulation Implementation</t>
  </si>
  <si>
    <t>JAVAMCQ70</t>
  </si>
  <si>
    <t>JAVAMCQ71</t>
  </si>
  <si>
    <t>Try-Catch Blocks</t>
  </si>
  <si>
    <t>JAVAMCQ72</t>
  </si>
  <si>
    <t>Multiple Catch Blocks</t>
  </si>
  <si>
    <t>JAVAMCQ73</t>
  </si>
  <si>
    <t>Throws Clause</t>
  </si>
  <si>
    <t>JAVAMCQ74</t>
  </si>
  <si>
    <t>Finally Block Execution</t>
  </si>
  <si>
    <t>JAVAMCQ75</t>
  </si>
  <si>
    <t>JAVAMCQ76</t>
  </si>
  <si>
    <t>Try-with-Resources</t>
  </si>
  <si>
    <t>JAVAMCQ77</t>
  </si>
  <si>
    <t>Exception Propagation</t>
  </si>
  <si>
    <t>JAVAMCQ78</t>
  </si>
  <si>
    <t>Suppressed Exceptions</t>
  </si>
  <si>
    <t>JAVAMCQ80</t>
  </si>
  <si>
    <t>Abstract classes and methods - Abstract classes and methods</t>
  </si>
  <si>
    <t>Abstract Class Declaration</t>
  </si>
  <si>
    <t>JAVAMCQ81</t>
  </si>
  <si>
    <t>Abstract Method Syntax</t>
  </si>
  <si>
    <t>JAVAMCQ82</t>
  </si>
  <si>
    <t>Instantiating Abstract Classes</t>
  </si>
  <si>
    <t>JAVAMCQ83</t>
  </si>
  <si>
    <t>Abstract Class Inheritance</t>
  </si>
  <si>
    <t>JAVAMCQ84</t>
  </si>
  <si>
    <t>Abstract Class Constructors</t>
  </si>
  <si>
    <t>JAVAMCQ85</t>
  </si>
  <si>
    <t>Abstract Class vs Interface</t>
  </si>
  <si>
    <t>JAVAMCQ86</t>
  </si>
  <si>
    <t>Abstract Method Overriding</t>
  </si>
  <si>
    <t>JAVAMCQ87</t>
  </si>
  <si>
    <t>Abstract Class Members</t>
  </si>
  <si>
    <t>JAVAMCQ88</t>
  </si>
  <si>
    <t>Final Methods in Abstract Classes</t>
  </si>
  <si>
    <t>JAVAMCQ89</t>
  </si>
  <si>
    <t>Abstract Class Inheritance Hierarchy</t>
  </si>
  <si>
    <t>JAVAMCQ90</t>
  </si>
  <si>
    <t>Java I/O and file handling - Java I/O and file handling</t>
  </si>
  <si>
    <t>File Class in Java</t>
  </si>
  <si>
    <t>JAVAMCQ91</t>
  </si>
  <si>
    <t>FileInputStream vs FileReader</t>
  </si>
  <si>
    <t>JAVAMCQ92</t>
  </si>
  <si>
    <t>Buffered I/O Operations</t>
  </si>
  <si>
    <t>JAVAMCQ93</t>
  </si>
  <si>
    <t>Closing Resources</t>
  </si>
  <si>
    <t>JAVAMCQ94</t>
  </si>
  <si>
    <t>File Handling Exceptions</t>
  </si>
  <si>
    <t>JAVAMCQ95</t>
  </si>
  <si>
    <t>NIO vs IO</t>
  </si>
  <si>
    <t>JAVAMCQ96</t>
  </si>
  <si>
    <t>RandomAccessFile Usage</t>
  </si>
  <si>
    <t>JAVAMCQ97</t>
  </si>
  <si>
    <t>Serialization in Java</t>
  </si>
  <si>
    <t>JAVAMCQ98</t>
  </si>
  <si>
    <t>File Permissions in Java</t>
  </si>
  <si>
    <t>JAVAMCQ99</t>
  </si>
  <si>
    <t>Character Encoding in Java I/O</t>
  </si>
  <si>
    <t>JAVAMCQ100</t>
  </si>
  <si>
    <t>Generics - Generics</t>
  </si>
  <si>
    <t>Generic Type Declaration</t>
  </si>
  <si>
    <t>JAVAMCQ101</t>
  </si>
  <si>
    <t>Multiple Type Parameters</t>
  </si>
  <si>
    <t>JAVAMCQ102</t>
  </si>
  <si>
    <t>Type Erasure</t>
  </si>
  <si>
    <t>JAVAMCQ103</t>
  </si>
  <si>
    <t>Wildcard in Generics</t>
  </si>
  <si>
    <t>JAVAMCQ104</t>
  </si>
  <si>
    <t>Generic Methods</t>
  </si>
  <si>
    <t>JAVAMCQ105</t>
  </si>
  <si>
    <t>Type Inference</t>
  </si>
  <si>
    <t>JAVAMCQ106</t>
  </si>
  <si>
    <t>Bounded Type Parameters</t>
  </si>
  <si>
    <t>JAVAMCQ107</t>
  </si>
  <si>
    <t>Generic Interfaces</t>
  </si>
  <si>
    <t>JAVAMCQ108</t>
  </si>
  <si>
    <t>Raw Types</t>
  </si>
  <si>
    <t>JAVAMCQ109</t>
  </si>
  <si>
    <t>Type Parameter Naming Conventions</t>
  </si>
  <si>
    <t>JAVAMCQ110</t>
  </si>
  <si>
    <t>Java memory management and garbage collection - Java memory management and garbage collection</t>
  </si>
  <si>
    <t>Java Memory Allocation</t>
  </si>
  <si>
    <t>JAVAMCQ111</t>
  </si>
  <si>
    <t>Garbage Collection Trigger</t>
  </si>
  <si>
    <t>JAVAMCQ112</t>
  </si>
  <si>
    <t>Object Eligibility for Garbage Collection</t>
  </si>
  <si>
    <t>JAVAMCQ113</t>
  </si>
  <si>
    <t>Garbage Collection Guarantee</t>
  </si>
  <si>
    <t>JAVAMCQ114</t>
  </si>
  <si>
    <t>Memory Leak in Java</t>
  </si>
  <si>
    <t>JAVAMCQ115</t>
  </si>
  <si>
    <t>Soft References</t>
  </si>
  <si>
    <t>JAVAMCQ116</t>
  </si>
  <si>
    <t>Finalization</t>
  </si>
  <si>
    <t>JAVAMCQ117</t>
  </si>
  <si>
    <t>Garbage Collection Algorithms</t>
  </si>
  <si>
    <t>JAVAMCQ118</t>
  </si>
  <si>
    <t>OutOfMemoryError</t>
  </si>
  <si>
    <t>JAVAMCQ119</t>
  </si>
  <si>
    <t>Weak References</t>
  </si>
  <si>
    <t>JAVAMCQ120</t>
  </si>
  <si>
    <t>Multithreading and concurrency - Multithreading and concurrency</t>
  </si>
  <si>
    <t>Thread Creation</t>
  </si>
  <si>
    <t>JAVAMCQ121</t>
  </si>
  <si>
    <t>Synchronization Keyword</t>
  </si>
  <si>
    <t>JAVAMCQ122</t>
  </si>
  <si>
    <t>Volatile Keyword</t>
  </si>
  <si>
    <t>JAVAMCQ123</t>
  </si>
  <si>
    <t>Thread States</t>
  </si>
  <si>
    <t>JAVAMCQ124</t>
  </si>
  <si>
    <t>Thread Pool</t>
  </si>
  <si>
    <t>JAVAMCQ125</t>
  </si>
  <si>
    <t>Deadlock Scenario</t>
  </si>
  <si>
    <t>JAVAMCQ126</t>
  </si>
  <si>
    <t>Race Condition</t>
  </si>
  <si>
    <t>JAVAMCQ127</t>
  </si>
  <si>
    <t>Concurrent Collections</t>
  </si>
  <si>
    <t>JAVAMCQ128</t>
  </si>
  <si>
    <t>Atomic Operations</t>
  </si>
  <si>
    <t>JAVAMCQ129</t>
  </si>
  <si>
    <t>Executor Framework</t>
  </si>
  <si>
    <t>JAVAMCQ130</t>
  </si>
  <si>
    <t>Lambda expressions and functional interfaces - Lambda expressions and functional interfaces</t>
  </si>
  <si>
    <t>Lambda Expression Syntax</t>
  </si>
  <si>
    <t>JAVAMCQ131</t>
  </si>
  <si>
    <t>Functional Interface Definition</t>
  </si>
  <si>
    <t>JAVAMCQ132</t>
  </si>
  <si>
    <t>Lambda Expression Usage</t>
  </si>
  <si>
    <t>JAVAMCQ133</t>
  </si>
  <si>
    <t>Parameter Types in Lambda Expressions</t>
  </si>
  <si>
    <t>JAVAMCQ134</t>
  </si>
  <si>
    <t>Predefined Functional Interfaces</t>
  </si>
  <si>
    <t>JAVAMCQ135</t>
  </si>
  <si>
    <t>Lambda Expression Scope</t>
  </si>
  <si>
    <t>JAVAMCQ136</t>
  </si>
  <si>
    <t>Method References</t>
  </si>
  <si>
    <t>JAVAMCQ137</t>
  </si>
  <si>
    <t>Functional Interface Annotation</t>
  </si>
  <si>
    <t>JAVAMCQ138</t>
  </si>
  <si>
    <t>Lambda Expression vs Anonymous Class</t>
  </si>
  <si>
    <t>JAVAMCQ139</t>
  </si>
  <si>
    <t>Built-in Functional Interfaces</t>
  </si>
  <si>
    <t>JAVAMCQ140</t>
  </si>
  <si>
    <t>Java 8+ features (Stream API, Optional class) - Java 8+ features (Stream API, Optional class)</t>
  </si>
  <si>
    <t>Stream API Operation</t>
  </si>
  <si>
    <t>JAVAMCQ141</t>
  </si>
  <si>
    <t>Optional Class Usage</t>
  </si>
  <si>
    <t>JAVAMCQ142</t>
  </si>
  <si>
    <t>Stream Creation</t>
  </si>
  <si>
    <t>JAVAMCQ143</t>
  </si>
  <si>
    <t>Lambda Expression</t>
  </si>
  <si>
    <t>JAVAMCQ144</t>
  </si>
  <si>
    <t>Stream Reduction</t>
  </si>
  <si>
    <t>JAVAMCQ145</t>
  </si>
  <si>
    <t>Optional Creation</t>
  </si>
  <si>
    <t>JAVAMCQ146</t>
  </si>
  <si>
    <t>Stream Filtering</t>
  </si>
  <si>
    <t>JAVAMCQ147</t>
  </si>
  <si>
    <t>Method Reference</t>
  </si>
  <si>
    <t>JAVAMCQ148</t>
  </si>
  <si>
    <t>Parallel Streams</t>
  </si>
  <si>
    <t>JAVAMCQ149</t>
  </si>
  <si>
    <t>Optional Chaining</t>
  </si>
  <si>
    <t>JAVAMCQ150</t>
  </si>
  <si>
    <t>C++ Interview Questions and Answers</t>
  </si>
  <si>
    <t>Revise all the important concepts of C++ and prepare yourself for the interviews. Check explanation of the questions if you are not able to solve them and learn new concepts.</t>
  </si>
  <si>
    <t>Basic C++ Syntax and Concepts - Basic C++ Syntax and Concepts</t>
  </si>
  <si>
    <t>Data Type Selection</t>
  </si>
  <si>
    <t>CPPMCQ01</t>
  </si>
  <si>
    <t>CPPMCQ02</t>
  </si>
  <si>
    <t>Control Structure Behavior</t>
  </si>
  <si>
    <t>CPPMCQ03</t>
  </si>
  <si>
    <t>Loop Execution</t>
  </si>
  <si>
    <t>CPPMCQ04</t>
  </si>
  <si>
    <t>Function Overloading</t>
  </si>
  <si>
    <t>CPPMCQ05</t>
  </si>
  <si>
    <t>Variable Scope</t>
  </si>
  <si>
    <t>CPPMCQ06</t>
  </si>
  <si>
    <t>Switch Statement Behavior</t>
  </si>
  <si>
    <t>CPPMCQ07</t>
  </si>
  <si>
    <t>Reference Variable</t>
  </si>
  <si>
    <t>CPPMCQ08</t>
  </si>
  <si>
    <t>Const Keyword Usage</t>
  </si>
  <si>
    <t>CPPMCQ09</t>
  </si>
  <si>
    <t>CPPMCQ10</t>
  </si>
  <si>
    <t>Object-Oriented Programming (OOP) Basics - Object-Oriented Programming (OOP)</t>
  </si>
  <si>
    <t>CPPMCQ11</t>
  </si>
  <si>
    <t>CPPMCQ12</t>
  </si>
  <si>
    <t>Access Specifiers</t>
  </si>
  <si>
    <t>CPPMCQ13</t>
  </si>
  <si>
    <t>CPPMCQ14</t>
  </si>
  <si>
    <t>Virtual Functions</t>
  </si>
  <si>
    <t>CPPMCQ15</t>
  </si>
  <si>
    <t>Constructor Syntax</t>
  </si>
  <si>
    <t>CPPMCQ16</t>
  </si>
  <si>
    <t>Polymorphism Type</t>
  </si>
  <si>
    <t>CPPMCQ17</t>
  </si>
  <si>
    <t>CPPMCQ18</t>
  </si>
  <si>
    <t>CPPMCQ19</t>
  </si>
  <si>
    <t>Pure Virtual Function</t>
  </si>
  <si>
    <t>CPPMCQ20</t>
  </si>
  <si>
    <t>Memory Management - Memory Management</t>
  </si>
  <si>
    <t>Memory Allocation Location</t>
  </si>
  <si>
    <t>CPPMCQ21</t>
  </si>
  <si>
    <t>Dynamic Memory Allocation</t>
  </si>
  <si>
    <t>CPPMCQ22</t>
  </si>
  <si>
    <t>Memory Deallocation</t>
  </si>
  <si>
    <t>CPPMCQ23</t>
  </si>
  <si>
    <t>Smart Pointer Usage</t>
  </si>
  <si>
    <t>CPPMCQ24</t>
  </si>
  <si>
    <t>Shared Ownership</t>
  </si>
  <si>
    <t>CPPMCQ25</t>
  </si>
  <si>
    <t>Array Deallocation</t>
  </si>
  <si>
    <t>CPPMCQ26</t>
  </si>
  <si>
    <t>Stack vs Heap Performance</t>
  </si>
  <si>
    <t>CPPMCQ27</t>
  </si>
  <si>
    <t>Weak Pointer Purpose</t>
  </si>
  <si>
    <t>CPPMCQ28</t>
  </si>
  <si>
    <t>Memory Leak Identification</t>
  </si>
  <si>
    <t>CPPMCQ29</t>
  </si>
  <si>
    <t>Smart Pointer Creation</t>
  </si>
  <si>
    <t>CPPMCQ30</t>
  </si>
  <si>
    <t>Exception Handling - Exception Handling</t>
  </si>
  <si>
    <t>Exception Handling Basics</t>
  </si>
  <si>
    <t>CPPMCQ31</t>
  </si>
  <si>
    <t>Exception Throwing</t>
  </si>
  <si>
    <t>CPPMCQ32</t>
  </si>
  <si>
    <t>Exception Catching</t>
  </si>
  <si>
    <t>CPPMCQ33</t>
  </si>
  <si>
    <t>Custom Exception Class</t>
  </si>
  <si>
    <t>CPPMCQ34</t>
  </si>
  <si>
    <t>CPPMCQ35</t>
  </si>
  <si>
    <t>CPPMCQ36</t>
  </si>
  <si>
    <t>Nested Try-Catch</t>
  </si>
  <si>
    <t>CPPMCQ37</t>
  </si>
  <si>
    <t>Rethrowing Exceptions</t>
  </si>
  <si>
    <t>CPPMCQ38</t>
  </si>
  <si>
    <t>Exception Specification</t>
  </si>
  <si>
    <t>CPPMCQ39</t>
  </si>
  <si>
    <t>Stack Unwinding</t>
  </si>
  <si>
    <t>CPPMCQ40</t>
  </si>
  <si>
    <t>File I/O - File IO</t>
  </si>
  <si>
    <t>File Opening Mode</t>
  </si>
  <si>
    <t>CPPMCQ41</t>
  </si>
  <si>
    <t>File Stream Classes</t>
  </si>
  <si>
    <t>CPPMCQ42</t>
  </si>
  <si>
    <t>Closing a File</t>
  </si>
  <si>
    <t>CPPMCQ43</t>
  </si>
  <si>
    <t>Reading from a File</t>
  </si>
  <si>
    <t>CPPMCQ44</t>
  </si>
  <si>
    <t>Writing to a File</t>
  </si>
  <si>
    <t>CPPMCQ45</t>
  </si>
  <si>
    <t>Checking File Open Status</t>
  </si>
  <si>
    <t>CPPMCQ46</t>
  </si>
  <si>
    <t>End of File Detection</t>
  </si>
  <si>
    <t>CPPMCQ47</t>
  </si>
  <si>
    <t>CPPMCQ48</t>
  </si>
  <si>
    <t>Binary File Operations</t>
  </si>
  <si>
    <t>CPPMCQ49</t>
  </si>
  <si>
    <t>Stream Error Handling</t>
  </si>
  <si>
    <t>CPPMCQ50</t>
  </si>
  <si>
    <t>Pointers and References - Pointers and References</t>
  </si>
  <si>
    <t>Pointer Declaration</t>
  </si>
  <si>
    <t>CPPMCQ51</t>
  </si>
  <si>
    <t>Reference Variable Declaration</t>
  </si>
  <si>
    <t>CPPMCQ52</t>
  </si>
  <si>
    <t>Pointer Dereferencing</t>
  </si>
  <si>
    <t>CPPMCQ53</t>
  </si>
  <si>
    <t>Address-of Operator</t>
  </si>
  <si>
    <t>CPPMCQ54</t>
  </si>
  <si>
    <t>Pointer Arithmetic</t>
  </si>
  <si>
    <t>CPPMCQ55</t>
  </si>
  <si>
    <t>Const References</t>
  </si>
  <si>
    <t>CPPMCQ56</t>
  </si>
  <si>
    <t>Null Pointer</t>
  </si>
  <si>
    <t>CPPMCQ57</t>
  </si>
  <si>
    <t>Pointer to Pointer</t>
  </si>
  <si>
    <t>CPPMCQ58</t>
  </si>
  <si>
    <t>Reference vs Pointer</t>
  </si>
  <si>
    <t>CPPMCQ59</t>
  </si>
  <si>
    <t>Array Decay</t>
  </si>
  <si>
    <t>CPPMCQ60</t>
  </si>
  <si>
    <t>Standard Template Library (STL) - Standard Template Library (STL)</t>
  </si>
  <si>
    <t>Vector Capacity</t>
  </si>
  <si>
    <t>CPPMCQ61</t>
  </si>
  <si>
    <t>Map Key Uniqueness</t>
  </si>
  <si>
    <t>CPPMCQ62</t>
  </si>
  <si>
    <t>Iterator Invalidation</t>
  </si>
  <si>
    <t>CPPMCQ63</t>
  </si>
  <si>
    <t>Algorithm Complexity</t>
  </si>
  <si>
    <t>CPPMCQ64</t>
  </si>
  <si>
    <t>Container Adaptor</t>
  </si>
  <si>
    <t>CPPMCQ65</t>
  </si>
  <si>
    <t>Algorithm Predicate</t>
  </si>
  <si>
    <t>CPPMCQ66</t>
  </si>
  <si>
    <t>List vs Vector</t>
  </si>
  <si>
    <t>CPPMCQ67</t>
  </si>
  <si>
    <t>Iterator Category</t>
  </si>
  <si>
    <t>CPPMCQ68</t>
  </si>
  <si>
    <t>Algorithm Efficiency</t>
  </si>
  <si>
    <t>CPPMCQ69</t>
  </si>
  <si>
    <t>Container Element Requirements</t>
  </si>
  <si>
    <t>CPPMCQ70</t>
  </si>
  <si>
    <t>Const Correctness - Const Correctness</t>
  </si>
  <si>
    <t>Const Variable Modification</t>
  </si>
  <si>
    <t>CPPMCQ71</t>
  </si>
  <si>
    <t>Const Member Function</t>
  </si>
  <si>
    <t>CPPMCQ72</t>
  </si>
  <si>
    <t>Const Pointer Declaration</t>
  </si>
  <si>
    <t>CPPMCQ73</t>
  </si>
  <si>
    <t>Const Reference Parameter</t>
  </si>
  <si>
    <t>CPPMCQ74</t>
  </si>
  <si>
    <t>Mutable Keyword</t>
  </si>
  <si>
    <t>CPPMCQ75</t>
  </si>
  <si>
    <t>Const Iterator</t>
  </si>
  <si>
    <t>CPPMCQ76</t>
  </si>
  <si>
    <t>Const Cast</t>
  </si>
  <si>
    <t>CPPMCQ77</t>
  </si>
  <si>
    <t>Logical Constness</t>
  </si>
  <si>
    <t>CPPMCQ78</t>
  </si>
  <si>
    <t>Const Function Parameters</t>
  </si>
  <si>
    <t>CPPMCQ79</t>
  </si>
  <si>
    <t>Const Member Function Overloading</t>
  </si>
  <si>
    <t>CPPMCQ80</t>
  </si>
  <si>
    <t>Virtual Functions and Abstract Classes - Virtual Functions and Abstract Classes</t>
  </si>
  <si>
    <t>Virtual Function Behavior</t>
  </si>
  <si>
    <t>CPPMCQ81</t>
  </si>
  <si>
    <t>Pure Virtual Function Syntax</t>
  </si>
  <si>
    <t>CPPMCQ82</t>
  </si>
  <si>
    <t>Abstract Class Definition</t>
  </si>
  <si>
    <t>CPPMCQ83</t>
  </si>
  <si>
    <t>Virtual Destructor Usage</t>
  </si>
  <si>
    <t>CPPMCQ84</t>
  </si>
  <si>
    <t>CPPMCQ85</t>
  </si>
  <si>
    <t>Virtual Function Table</t>
  </si>
  <si>
    <t>CPPMCQ86</t>
  </si>
  <si>
    <t>Abstract Class Instantiation</t>
  </si>
  <si>
    <t>CPPMCQ87</t>
  </si>
  <si>
    <t>Override Keyword Usage</t>
  </si>
  <si>
    <t>CPPMCQ88</t>
  </si>
  <si>
    <t>Virtual Inheritance</t>
  </si>
  <si>
    <t>CPPMCQ89</t>
  </si>
  <si>
    <t>Pure Virtual Destructor</t>
  </si>
  <si>
    <t>CPPMCQ90</t>
  </si>
  <si>
    <t>Templates - Templates</t>
  </si>
  <si>
    <t>Template Syntax</t>
  </si>
  <si>
    <t>CPPMCQ91</t>
  </si>
  <si>
    <t>Function Template Usage</t>
  </si>
  <si>
    <t>CPPMCQ92</t>
  </si>
  <si>
    <t>Class Template Declaration</t>
  </si>
  <si>
    <t>CPPMCQ93</t>
  </si>
  <si>
    <t>Template Specialization</t>
  </si>
  <si>
    <t>CPPMCQ94</t>
  </si>
  <si>
    <t>Non-Type Template Parameters</t>
  </si>
  <si>
    <t>CPPMCQ95</t>
  </si>
  <si>
    <t>Template Parameter Deduction</t>
  </si>
  <si>
    <t>CPPMCQ96</t>
  </si>
  <si>
    <t>Variadic Templates</t>
  </si>
  <si>
    <t>CPPMCQ97</t>
  </si>
  <si>
    <t>Template Metaprogramming</t>
  </si>
  <si>
    <t>CPPMCQ98</t>
  </si>
  <si>
    <t>Template Instantiation</t>
  </si>
  <si>
    <t>CPPMCQ99</t>
  </si>
  <si>
    <t>Template Type Constraints</t>
  </si>
  <si>
    <t>CPPMCQ100</t>
  </si>
  <si>
    <t>Operator Overloading - Operator Overloading</t>
  </si>
  <si>
    <t>Operator Overloading Basics</t>
  </si>
  <si>
    <t>CPPMCQ101</t>
  </si>
  <si>
    <t>Syntax for Operator Overloading</t>
  </si>
  <si>
    <t>CPPMCQ102</t>
  </si>
  <si>
    <t>Friend Function for Operator Overloading</t>
  </si>
  <si>
    <t>CPPMCQ103</t>
  </si>
  <si>
    <t>Overloading Stream Operators</t>
  </si>
  <si>
    <t>CPPMCQ104</t>
  </si>
  <si>
    <t>Overloading Assignment Operator</t>
  </si>
  <si>
    <t>CPPMCQ105</t>
  </si>
  <si>
    <t>Overloading Increment/Decrement Operators</t>
  </si>
  <si>
    <t>CPPMCQ106</t>
  </si>
  <si>
    <t>Overloading Comparison Operators</t>
  </si>
  <si>
    <t>CPPMCQ107</t>
  </si>
  <si>
    <t>Overloading Subscript Operator</t>
  </si>
  <si>
    <t>CPPMCQ108</t>
  </si>
  <si>
    <t>Overloading Function Call Operator</t>
  </si>
  <si>
    <t>CPPMCQ109</t>
  </si>
  <si>
    <t>Limitations of Operator Overloading</t>
  </si>
  <si>
    <t>CPPMCQ110</t>
  </si>
  <si>
    <t>Namespaces - Namespaces</t>
  </si>
  <si>
    <t>Namespace Declaration</t>
  </si>
  <si>
    <t>CPPMCQ111</t>
  </si>
  <si>
    <t>Accessing Namespace Members</t>
  </si>
  <si>
    <t>CPPMCQ112</t>
  </si>
  <si>
    <t>Using Directive</t>
  </si>
  <si>
    <t>CPPMCQ113</t>
  </si>
  <si>
    <t>Nested Namespaces</t>
  </si>
  <si>
    <t>CPPMCQ114</t>
  </si>
  <si>
    <t>Anonymous Namespaces</t>
  </si>
  <si>
    <t>CPPMCQ115</t>
  </si>
  <si>
    <t>Namespace Alias</t>
  </si>
  <si>
    <t>CPPMCQ116</t>
  </si>
  <si>
    <t>Using Declaration</t>
  </si>
  <si>
    <t>CPPMCQ117</t>
  </si>
  <si>
    <t>Namespace and ODR</t>
  </si>
  <si>
    <t>CPPMCQ118</t>
  </si>
  <si>
    <t>Inline Namespaces</t>
  </si>
  <si>
    <t>CPPMCQ119</t>
  </si>
  <si>
    <t>Namespace Pitfall</t>
  </si>
  <si>
    <t>CPPMCQ120</t>
  </si>
  <si>
    <t>Top SQL Interview Questions</t>
  </si>
  <si>
    <t>Revise all the important concepts with our 70 SQL interview questions. Prepare yourself for the upcoming SQL interviews by solving practice problems.</t>
  </si>
  <si>
    <t>SELECT statements and basic querying - Select</t>
  </si>
  <si>
    <t>Data Retrieval</t>
  </si>
  <si>
    <t>SQLMCQ01</t>
  </si>
  <si>
    <t>Column Selection</t>
  </si>
  <si>
    <t>SQLMCQ02</t>
  </si>
  <si>
    <t>Result Ordering</t>
  </si>
  <si>
    <t>SQLMCQ03</t>
  </si>
  <si>
    <t>SQLMCQ04</t>
  </si>
  <si>
    <t>Limiting Results</t>
  </si>
  <si>
    <t>SQLMCQ05</t>
  </si>
  <si>
    <t>Joins (INNER, LEFT, RIGHT, FULL OUTER) - Joins</t>
  </si>
  <si>
    <t>Table Combination</t>
  </si>
  <si>
    <t>SQLMCQ06</t>
  </si>
  <si>
    <t>SQLMCQ07</t>
  </si>
  <si>
    <t>Comprehensive Result</t>
  </si>
  <si>
    <t>SQLMCQ08</t>
  </si>
  <si>
    <t>Reverse Direction</t>
  </si>
  <si>
    <t>SQLMCQ09</t>
  </si>
  <si>
    <t>Missing Data Handling</t>
  </si>
  <si>
    <t>SQLMCQ10</t>
  </si>
  <si>
    <t>Aggregation functions (COUNT, SUM, AVG, etc.) - Functions</t>
  </si>
  <si>
    <t>Function Purpose</t>
  </si>
  <si>
    <t>SQLMCQ11</t>
  </si>
  <si>
    <t>SQLMCQ12</t>
  </si>
  <si>
    <t>Null Handling</t>
  </si>
  <si>
    <t>SQLMCQ13</t>
  </si>
  <si>
    <t>Group Operation</t>
  </si>
  <si>
    <t>SQLMCQ14</t>
  </si>
  <si>
    <t>Function Combination</t>
  </si>
  <si>
    <t>SQLMCQ15</t>
  </si>
  <si>
    <t>GROUP BY and HAVING clauses - group by</t>
  </si>
  <si>
    <t>Aggregate Function Usage</t>
  </si>
  <si>
    <t>SQLMCQ16</t>
  </si>
  <si>
    <t>Filtering Grouped Data</t>
  </si>
  <si>
    <t>SQLMCQ17</t>
  </si>
  <si>
    <t>Order of Execution</t>
  </si>
  <si>
    <t>SQLMCQ18</t>
  </si>
  <si>
    <t>Aggregate Function Placement</t>
  </si>
  <si>
    <t>SQLMCQ19</t>
  </si>
  <si>
    <t>Column References</t>
  </si>
  <si>
    <t>SQLMCQ20</t>
  </si>
  <si>
    <t>Subqueries - subqueries</t>
  </si>
  <si>
    <t>Query Nesting</t>
  </si>
  <si>
    <t>SQLMCQ21</t>
  </si>
  <si>
    <t>Subquery Types</t>
  </si>
  <si>
    <t>SQLMCQ22</t>
  </si>
  <si>
    <t>Performance Consideration</t>
  </si>
  <si>
    <t>SQLMCQ23</t>
  </si>
  <si>
    <t>Subquery Location</t>
  </si>
  <si>
    <t>SQLMCQ24</t>
  </si>
  <si>
    <t>Subquery Execution</t>
  </si>
  <si>
    <t>SQLMCQ25</t>
  </si>
  <si>
    <t>UNION and UNION ALL - union</t>
  </si>
  <si>
    <t>SQLMCQ26</t>
  </si>
  <si>
    <t>SQLMCQ27</t>
  </si>
  <si>
    <t>Column Requirements</t>
  </si>
  <si>
    <t>SQLMCQ28</t>
  </si>
  <si>
    <t>Result Set Ordering</t>
  </si>
  <si>
    <t>SQLMCQ29</t>
  </si>
  <si>
    <t>Syntax Variation</t>
  </si>
  <si>
    <t>SQLMCQ30</t>
  </si>
  <si>
    <t>Indexing and query optimization - indexing</t>
  </si>
  <si>
    <t>Query Performance Enhancement</t>
  </si>
  <si>
    <t>SQLMCQ31</t>
  </si>
  <si>
    <t>Index Type Selection</t>
  </si>
  <si>
    <t>SQLMCQ32</t>
  </si>
  <si>
    <t>Query Plan Analysis</t>
  </si>
  <si>
    <t>SQLMCQ33</t>
  </si>
  <si>
    <t>Indexing Strategy</t>
  </si>
  <si>
    <t>SQLMCQ34</t>
  </si>
  <si>
    <t>Optimization Technique</t>
  </si>
  <si>
    <t>SQLMCQ35</t>
  </si>
  <si>
    <t>Data manipulation (INSERT, UPDATE, DELETE) - insert, update, delete</t>
  </si>
  <si>
    <t>SQL Manipulation Basics</t>
  </si>
  <si>
    <t>SQLMCQ36</t>
  </si>
  <si>
    <t>Modifying Existing Data</t>
  </si>
  <si>
    <t>SQLMCQ37</t>
  </si>
  <si>
    <t>Data Removal</t>
  </si>
  <si>
    <t>SQLMCQ38</t>
  </si>
  <si>
    <t>Insertion Technique</t>
  </si>
  <si>
    <t>SQLMCQ39</t>
  </si>
  <si>
    <t>Data Manipulation Safety</t>
  </si>
  <si>
    <t>SQLMCQ40</t>
  </si>
  <si>
    <t>Table creation and data definition language (DDL) - table creation</t>
  </si>
  <si>
    <t>Database Modification</t>
  </si>
  <si>
    <t>SQLMCQ41</t>
  </si>
  <si>
    <t>Table Creation Syntax</t>
  </si>
  <si>
    <t>SQLMCQ42</t>
  </si>
  <si>
    <t>Constraint Implementation</t>
  </si>
  <si>
    <t>SQLMCQ43</t>
  </si>
  <si>
    <t>SQLMCQ44</t>
  </si>
  <si>
    <t>Table Removal</t>
  </si>
  <si>
    <t>SQLMCQ45</t>
  </si>
  <si>
    <t>Views and temporary tables - views</t>
  </si>
  <si>
    <t>Database Object Comparison</t>
  </si>
  <si>
    <t>SQLMCQ46</t>
  </si>
  <si>
    <t>Database Object Lifespan</t>
  </si>
  <si>
    <t>SQLMCQ47</t>
  </si>
  <si>
    <t>SQL Performance Optimization</t>
  </si>
  <si>
    <t>SQLMCQ48</t>
  </si>
  <si>
    <t>SQL Data Manipulation</t>
  </si>
  <si>
    <t>SQLMCQ49</t>
  </si>
  <si>
    <t>SQL Object Persistence</t>
  </si>
  <si>
    <t>SQLMCQ50</t>
  </si>
  <si>
    <t>Window functions - window function</t>
  </si>
  <si>
    <t>SQL Function Purpose</t>
  </si>
  <si>
    <t>SQLMCQ51</t>
  </si>
  <si>
    <t>Function Categorization</t>
  </si>
  <si>
    <t>SQLMCQ52</t>
  </si>
  <si>
    <t>Syntax Element</t>
  </si>
  <si>
    <t>SQLMCQ53</t>
  </si>
  <si>
    <t>Function Behavior</t>
  </si>
  <si>
    <t>SQLMCQ54</t>
  </si>
  <si>
    <t>SQLMCQ55</t>
  </si>
  <si>
    <t>Stored procedures and functions - stored procedures</t>
  </si>
  <si>
    <t>SQL Code Encapsulation</t>
  </si>
  <si>
    <t>SQLMCQ56</t>
  </si>
  <si>
    <t>Return Value Behavior</t>
  </si>
  <si>
    <t>SQLMCQ57</t>
  </si>
  <si>
    <t>Execution Context</t>
  </si>
  <si>
    <t>SQLMCQ58</t>
  </si>
  <si>
    <t>Parameter Passing</t>
  </si>
  <si>
    <t>SQLMCQ59</t>
  </si>
  <si>
    <t>SQLMCQ60</t>
  </si>
  <si>
    <t>Triggers - trigger</t>
  </si>
  <si>
    <t>Trigger Execution</t>
  </si>
  <si>
    <t>SQLMCQ61</t>
  </si>
  <si>
    <t>Trigger Types</t>
  </si>
  <si>
    <t>SQLMCQ62</t>
  </si>
  <si>
    <t>Trigger Scope</t>
  </si>
  <si>
    <t>SQLMCQ63</t>
  </si>
  <si>
    <t>Trigger Recursion</t>
  </si>
  <si>
    <t>SQLMCQ64</t>
  </si>
  <si>
    <t>Trigger Performance</t>
  </si>
  <si>
    <t>SQLMCQ65</t>
  </si>
  <si>
    <t>Transactions and ACID properties - transactions</t>
  </si>
  <si>
    <t>Database Integrity</t>
  </si>
  <si>
    <t>SQLMCQ66</t>
  </si>
  <si>
    <t>Transaction Execution</t>
  </si>
  <si>
    <t>SQLMCQ67</t>
  </si>
  <si>
    <t>Concurrent Transactions</t>
  </si>
  <si>
    <t>SQLMCQ68</t>
  </si>
  <si>
    <t>Data Persistence</t>
  </si>
  <si>
    <t>SQLMCQ69</t>
  </si>
  <si>
    <t>Transaction States</t>
  </si>
  <si>
    <t>SQLMCQ70</t>
  </si>
  <si>
    <t>Top JavaScript Interview Questions</t>
  </si>
  <si>
    <t>Revise all the important JavaScript concepts by answering these JavaScript Interview Questions. All questions contain detailed explanation so that you can learn the topics you don't know fully.</t>
  </si>
  <si>
    <t>Data types and type coercion - Data types and type coercion</t>
  </si>
  <si>
    <t>JSMCQ01</t>
  </si>
  <si>
    <t>Equality Comparison</t>
  </si>
  <si>
    <t>JSMCQ02</t>
  </si>
  <si>
    <t>Truthy and Falsy Values</t>
  </si>
  <si>
    <t>JSMCQ03</t>
  </si>
  <si>
    <t>Numeric Conversion</t>
  </si>
  <si>
    <t>JSMCQ04</t>
  </si>
  <si>
    <t>JSMCQ05</t>
  </si>
  <si>
    <t>ES6+ features (let/const, arrow functions, destructuring, etc.) - ES6 features</t>
  </si>
  <si>
    <t>JSMCQ06</t>
  </si>
  <si>
    <t>Arrow Functions</t>
  </si>
  <si>
    <t>JSMCQ07</t>
  </si>
  <si>
    <t>Destructuring</t>
  </si>
  <si>
    <t>JSMCQ08</t>
  </si>
  <si>
    <t>Template Literals</t>
  </si>
  <si>
    <t>JSMCQ09</t>
  </si>
  <si>
    <t>Spread Operator</t>
  </si>
  <si>
    <t>JSMCQ10</t>
  </si>
  <si>
    <t>Array methods (map, reduce, filter, etc.) - Array Methods</t>
  </si>
  <si>
    <t>Array Transformation</t>
  </si>
  <si>
    <t>JSMCQ11</t>
  </si>
  <si>
    <t>Reduce Method</t>
  </si>
  <si>
    <t>JSMCQ12</t>
  </si>
  <si>
    <t>Array Method Behavior</t>
  </si>
  <si>
    <t>JSMCQ13</t>
  </si>
  <si>
    <t>Filter Method Application</t>
  </si>
  <si>
    <t>JSMCQ14</t>
  </si>
  <si>
    <t>Callback Function</t>
  </si>
  <si>
    <t>JSMCQ15</t>
  </si>
  <si>
    <t>DOM manipulation and events - DOM manipulation and events</t>
  </si>
  <si>
    <t>Event Handling</t>
  </si>
  <si>
    <t>JSMCQ16</t>
  </si>
  <si>
    <t>DOM Traversal</t>
  </si>
  <si>
    <t>JSMCQ17</t>
  </si>
  <si>
    <t>DOM Manipulation</t>
  </si>
  <si>
    <t>JSMCQ18</t>
  </si>
  <si>
    <t>Event Object</t>
  </si>
  <si>
    <t>JSMCQ19</t>
  </si>
  <si>
    <t>DOM Selection</t>
  </si>
  <si>
    <t>JSMCQ20</t>
  </si>
  <si>
    <t>Error handling (try/catch) - Error Handling</t>
  </si>
  <si>
    <t>JSMCQ21</t>
  </si>
  <si>
    <t>Catch Block Parameter</t>
  </si>
  <si>
    <t>JSMCQ22</t>
  </si>
  <si>
    <t>Finally Block Usage</t>
  </si>
  <si>
    <t>JSMCQ23</t>
  </si>
  <si>
    <t>Error Types</t>
  </si>
  <si>
    <t>JSMCQ24</t>
  </si>
  <si>
    <t>Throwing Custom Errors</t>
  </si>
  <si>
    <t>JSMCQ25</t>
  </si>
  <si>
    <t>Hoisting - Hoisting</t>
  </si>
  <si>
    <t>Variable Declaration Behavior</t>
  </si>
  <si>
    <t>JSMCQ26</t>
  </si>
  <si>
    <t>Function Declaration Hoisting</t>
  </si>
  <si>
    <t>JSMCQ27</t>
  </si>
  <si>
    <t>Let and Const Hoisting</t>
  </si>
  <si>
    <t>JSMCQ28</t>
  </si>
  <si>
    <t>Function Expression Hoisting</t>
  </si>
  <si>
    <t>JSMCQ29</t>
  </si>
  <si>
    <t>Hoisting Priority</t>
  </si>
  <si>
    <t>JSMCQ30</t>
  </si>
  <si>
    <t>Scope and this keyword - Scope and this keyword</t>
  </si>
  <si>
    <t>Variable Accessibility</t>
  </si>
  <si>
    <t>JSMCQ31</t>
  </si>
  <si>
    <t>this in Global Context</t>
  </si>
  <si>
    <t>JSMCQ32</t>
  </si>
  <si>
    <t>Function Context</t>
  </si>
  <si>
    <t>JSMCQ33</t>
  </si>
  <si>
    <t>Arrow Function and this</t>
  </si>
  <si>
    <t>JSMCQ34</t>
  </si>
  <si>
    <t>Block Scope</t>
  </si>
  <si>
    <t>JSMCQ35</t>
  </si>
  <si>
    <t>Function Scope</t>
  </si>
  <si>
    <t>JSMCQ36</t>
  </si>
  <si>
    <t>Higher-order functions and callbacks - Higher-order functions and callbacks</t>
  </si>
  <si>
    <t>Function as Parameter</t>
  </si>
  <si>
    <t>JSMCQ37</t>
  </si>
  <si>
    <t>Callback Usage</t>
  </si>
  <si>
    <t>JSMCQ38</t>
  </si>
  <si>
    <t>Array Method Identification</t>
  </si>
  <si>
    <t>JSMCQ39</t>
  </si>
  <si>
    <t>Multiple Callbacks</t>
  </si>
  <si>
    <t>JSMCQ40</t>
  </si>
  <si>
    <t>Object-oriented programming in JavaScript - Object-oriented programming in JavaScript</t>
  </si>
  <si>
    <t>Class Declaration</t>
  </si>
  <si>
    <t>JSMCQ42</t>
  </si>
  <si>
    <t>Constructor Method</t>
  </si>
  <si>
    <t>JSMCQ43</t>
  </si>
  <si>
    <t>Inheritance</t>
  </si>
  <si>
    <t>JSMCQ44</t>
  </si>
  <si>
    <t>JSMCQ45</t>
  </si>
  <si>
    <t>Method Definition</t>
  </si>
  <si>
    <t>JSMCQ46</t>
  </si>
  <si>
    <t>Static Members</t>
  </si>
  <si>
    <t>JSMCQ47</t>
  </si>
  <si>
    <t>Closures - Closures</t>
  </si>
  <si>
    <t>Closure Definition</t>
  </si>
  <si>
    <t>JSMCQ48</t>
  </si>
  <si>
    <t>Closure Lifetime</t>
  </si>
  <si>
    <t>JSMCQ49</t>
  </si>
  <si>
    <t>Closure Scope Chain</t>
  </si>
  <si>
    <t>JSMCQ50</t>
  </si>
  <si>
    <t>Closure Memory Management</t>
  </si>
  <si>
    <t>JSMCQ51</t>
  </si>
  <si>
    <t>Practical Use of Closures</t>
  </si>
  <si>
    <t>JSMCQ52</t>
  </si>
  <si>
    <t>Prototypes and inheritance - Prototypes and inheritance</t>
  </si>
  <si>
    <t>JSMCQ53</t>
  </si>
  <si>
    <t>Prototype Chain</t>
  </si>
  <si>
    <t>JSMCQ54</t>
  </si>
  <si>
    <t>Constructor Property</t>
  </si>
  <si>
    <t>JSMCQ55</t>
  </si>
  <si>
    <t>Prototype Modification</t>
  </si>
  <si>
    <t>JSMCQ56</t>
  </si>
  <si>
    <t>Inheritance and this</t>
  </si>
  <si>
    <t>JSMCQ57</t>
  </si>
  <si>
    <t>Asynchronous JavaScript (Promises, async/await) - Asynchronous JavaScript (Promises, async/await)</t>
  </si>
  <si>
    <t>Promise States</t>
  </si>
  <si>
    <t>JSMCQ58</t>
  </si>
  <si>
    <t>Async Function Return</t>
  </si>
  <si>
    <t>JSMCQ59</t>
  </si>
  <si>
    <t>Await Usage</t>
  </si>
  <si>
    <t>JSMCQ60</t>
  </si>
  <si>
    <t>Promise Chaining</t>
  </si>
  <si>
    <t>JSMCQ61</t>
  </si>
  <si>
    <t>Error Handling</t>
  </si>
  <si>
    <t>JSMCQ62</t>
  </si>
  <si>
    <t>Event loop and concurrency - Event loop and concurrency</t>
  </si>
  <si>
    <t>Event Loop Functionality</t>
  </si>
  <si>
    <t>JSMCQ63</t>
  </si>
  <si>
    <t>Microtasks vs Macrotasks</t>
  </si>
  <si>
    <t>JSMCQ64</t>
  </si>
  <si>
    <t>Call Stack and Event Loop</t>
  </si>
  <si>
    <t>JSMCQ65</t>
  </si>
  <si>
    <t>Blocking the Event Loop</t>
  </si>
  <si>
    <t>JSMCQ66</t>
  </si>
  <si>
    <t>Concurrency in JavaScript</t>
  </si>
  <si>
    <t>JSMCQ67</t>
  </si>
  <si>
    <t>Zero Delay setTimeout</t>
  </si>
  <si>
    <t>JSMCQ68</t>
  </si>
  <si>
    <t>Functional programming concepts - Functional programming</t>
  </si>
  <si>
    <t>Pure Functions</t>
  </si>
  <si>
    <t>JSMCQ70</t>
  </si>
  <si>
    <t>Immutability</t>
  </si>
  <si>
    <t>JSMCQ71</t>
  </si>
  <si>
    <t>Functional Composition</t>
  </si>
  <si>
    <t>JSMCQ73</t>
  </si>
  <si>
    <t>Currying</t>
  </si>
  <si>
    <t>JSMCQ74</t>
  </si>
  <si>
    <t>Performance optimization - Performance optimization</t>
  </si>
  <si>
    <t>Efficient Loop Iteration</t>
  </si>
  <si>
    <t>JSMCQ75</t>
  </si>
  <si>
    <t>Memory Management</t>
  </si>
  <si>
    <t>JSMCQ76</t>
  </si>
  <si>
    <t>JSMCQ77</t>
  </si>
  <si>
    <t>Function Optimization</t>
  </si>
  <si>
    <t>JSMCQ78</t>
  </si>
  <si>
    <t>Asynchronous Operations</t>
  </si>
  <si>
    <t>JSMCQ79</t>
  </si>
  <si>
    <t>Data Structure Choice</t>
  </si>
  <si>
    <t>JSMCQ80</t>
  </si>
  <si>
    <t>React Interview Questions</t>
  </si>
  <si>
    <t>Prepare for your React job interview with our list of common questions and answers. Cover key topics from JSX basics to advanced hooks, and boost your confidence for that big day by reading detailed explanations!</t>
  </si>
  <si>
    <t>JSX basics - JSX basics</t>
  </si>
  <si>
    <t>JSX Syntax</t>
  </si>
  <si>
    <t>REACTMCQ01</t>
  </si>
  <si>
    <t>JSX Expressions</t>
  </si>
  <si>
    <t>REACTMCQ02</t>
  </si>
  <si>
    <t>JSX vs HTML</t>
  </si>
  <si>
    <t>REACTMCQ03</t>
  </si>
  <si>
    <t>Fragment Usage</t>
  </si>
  <si>
    <t>REACTMCQ04</t>
  </si>
  <si>
    <t>JSX Class Attribute</t>
  </si>
  <si>
    <t>REACTMCQ05</t>
  </si>
  <si>
    <t>JSX Comments</t>
  </si>
  <si>
    <t>REACTMCQ06</t>
  </si>
  <si>
    <t>JSX Expressions Limitation</t>
  </si>
  <si>
    <t>REACTMCQ07</t>
  </si>
  <si>
    <t>JSX and JavaScript</t>
  </si>
  <si>
    <t>REACTMCQ08</t>
  </si>
  <si>
    <t>Components and props - Components and props</t>
  </si>
  <si>
    <t>Component Types</t>
  </si>
  <si>
    <t>REACTMCQ09</t>
  </si>
  <si>
    <t>Props Passing</t>
  </si>
  <si>
    <t>REACTMCQ10</t>
  </si>
  <si>
    <t>Accessing Props</t>
  </si>
  <si>
    <t>REACTMCQ11</t>
  </si>
  <si>
    <t>PropTypes Usage</t>
  </si>
  <si>
    <t>REACTMCQ12</t>
  </si>
  <si>
    <t>Default Props</t>
  </si>
  <si>
    <t>REACTMCQ13</t>
  </si>
  <si>
    <t>Children Prop</t>
  </si>
  <si>
    <t>REACTMCQ14</t>
  </si>
  <si>
    <t>Functional vs Class Components</t>
  </si>
  <si>
    <t>REACTMCQ15</t>
  </si>
  <si>
    <t>Props Immutability</t>
  </si>
  <si>
    <t>REACTMCQ16</t>
  </si>
  <si>
    <t>Spreading Props</t>
  </si>
  <si>
    <t>REACTMCQ17</t>
  </si>
  <si>
    <t>PropTypes.node</t>
  </si>
  <si>
    <t>REACTMCQ18</t>
  </si>
  <si>
    <t>State management with useState - State management with useState</t>
  </si>
  <si>
    <t>useState Hook Declaration</t>
  </si>
  <si>
    <t>REACTMCQ19</t>
  </si>
  <si>
    <t>Updating State</t>
  </si>
  <si>
    <t>REACTMCQ20</t>
  </si>
  <si>
    <t>State Updates with Objects</t>
  </si>
  <si>
    <t>REACTMCQ21</t>
  </si>
  <si>
    <t>Functional Updates</t>
  </si>
  <si>
    <t>REACTMCQ22</t>
  </si>
  <si>
    <t>Multiple State Variables</t>
  </si>
  <si>
    <t>REACTMCQ23</t>
  </si>
  <si>
    <t>Initializing State</t>
  </si>
  <si>
    <t>REACTMCQ24</t>
  </si>
  <si>
    <t>Updating Arrays in State</t>
  </si>
  <si>
    <t>REACTMCQ25</t>
  </si>
  <si>
    <t>State Updates and Re-renders</t>
  </si>
  <si>
    <t>REACTMCQ26</t>
  </si>
  <si>
    <t>State in Event Handlers</t>
  </si>
  <si>
    <t>REACTMCQ27</t>
  </si>
  <si>
    <t>State Updates and Props</t>
  </si>
  <si>
    <t>REACTMCQ28</t>
  </si>
  <si>
    <t>Conditional rendering - Conditional rendering</t>
  </si>
  <si>
    <t>Conditional Rendering Basics</t>
  </si>
  <si>
    <t>REACTMCQ29</t>
  </si>
  <si>
    <t>If-Else in JSX</t>
  </si>
  <si>
    <t>REACTMCQ30</t>
  </si>
  <si>
    <t>Ternary Operator Usage</t>
  </si>
  <si>
    <t>REACTMCQ31</t>
  </si>
  <si>
    <t>Logical &amp;&amp; Operator</t>
  </si>
  <si>
    <t>REACTMCQ32</t>
  </si>
  <si>
    <t>Switch Statements in React</t>
  </si>
  <si>
    <t>REACTMCQ33</t>
  </si>
  <si>
    <t>Inline Conditional Rendering</t>
  </si>
  <si>
    <t>REACTMCQ34</t>
  </si>
  <si>
    <t>Conditional CSS Classes</t>
  </si>
  <si>
    <t>REACTMCQ36</t>
  </si>
  <si>
    <t>Lists and keys - Lists and keys</t>
  </si>
  <si>
    <t>Array Rendering Method</t>
  </si>
  <si>
    <t>REACTMCQ37</t>
  </si>
  <si>
    <t>Key Prop Purpose</t>
  </si>
  <si>
    <t>REACTMCQ38</t>
  </si>
  <si>
    <t>Key Uniqueness</t>
  </si>
  <si>
    <t>REACTMCQ39</t>
  </si>
  <si>
    <t>Key Selection</t>
  </si>
  <si>
    <t>REACTMCQ40</t>
  </si>
  <si>
    <t>Index as Key Pitfall</t>
  </si>
  <si>
    <t>REACTMCQ41</t>
  </si>
  <si>
    <t>Key Prop Accessibility</t>
  </si>
  <si>
    <t>REACTMCQ42</t>
  </si>
  <si>
    <t>Dynamic List Updates</t>
  </si>
  <si>
    <t>REACTMCQ43</t>
  </si>
  <si>
    <t>Key Consistency</t>
  </si>
  <si>
    <t>REACTMCQ44</t>
  </si>
  <si>
    <t>Event handling - Event handling</t>
  </si>
  <si>
    <t>Synthetic Events in React</t>
  </si>
  <si>
    <t>REACTMCQ45</t>
  </si>
  <si>
    <t>Event Handler Binding</t>
  </si>
  <si>
    <t>REACTMCQ46</t>
  </si>
  <si>
    <t>Event Handler Arguments</t>
  </si>
  <si>
    <t>REACTMCQ47</t>
  </si>
  <si>
    <t>Event Pooling</t>
  </si>
  <si>
    <t>REACTMCQ48</t>
  </si>
  <si>
    <t>Accessing Event Properties</t>
  </si>
  <si>
    <t>REACTMCQ49</t>
  </si>
  <si>
    <t>Preventing Default Behavior</t>
  </si>
  <si>
    <t>REACTMCQ50</t>
  </si>
  <si>
    <t>Event Delegation in React</t>
  </si>
  <si>
    <t>REACTMCQ52</t>
  </si>
  <si>
    <t>Lifecycle methods (class components) - Lifecycle methods (class components)</t>
  </si>
  <si>
    <t>Component Initialization</t>
  </si>
  <si>
    <t>REACTMCQ53</t>
  </si>
  <si>
    <t>REACTMCQ54</t>
  </si>
  <si>
    <t>Render Method</t>
  </si>
  <si>
    <t>REACTMCQ55</t>
  </si>
  <si>
    <t>Update Lifecycle</t>
  </si>
  <si>
    <t>REACTMCQ56</t>
  </si>
  <si>
    <t>Performance Optimization</t>
  </si>
  <si>
    <t>REACTMCQ57</t>
  </si>
  <si>
    <t>Unmounting Phase</t>
  </si>
  <si>
    <t>REACTMCQ58</t>
  </si>
  <si>
    <t>REACTMCQ59</t>
  </si>
  <si>
    <t>Snapshot Before Update</t>
  </si>
  <si>
    <t>REACTMCQ60</t>
  </si>
  <si>
    <t>Deprecated Lifecycle Methods</t>
  </si>
  <si>
    <t>REACTMCQ61</t>
  </si>
  <si>
    <t>State Updates</t>
  </si>
  <si>
    <t>REACTMCQ62</t>
  </si>
  <si>
    <t>Hooks (useEffect, useContext, useRef) - Hooks (useEffect, useContext, useRef)</t>
  </si>
  <si>
    <t>Side Effect Execution</t>
  </si>
  <si>
    <t>REACTMCQ63</t>
  </si>
  <si>
    <t>Dependency Array Purpose</t>
  </si>
  <si>
    <t>REACTMCQ64</t>
  </si>
  <si>
    <t>Empty Dependency Array</t>
  </si>
  <si>
    <t>REACTMCQ65</t>
  </si>
  <si>
    <t>Cleanup Function</t>
  </si>
  <si>
    <t>REACTMCQ66</t>
  </si>
  <si>
    <t>Context Consumption</t>
  </si>
  <si>
    <t>REACTMCQ67</t>
  </si>
  <si>
    <t>useRef Usage</t>
  </si>
  <si>
    <t>REACTMCQ68</t>
  </si>
  <si>
    <t>Persistent Values with useRef</t>
  </si>
  <si>
    <t>REACTMCQ69</t>
  </si>
  <si>
    <t>useEffect and API Calls</t>
  </si>
  <si>
    <t>REACTMCQ70</t>
  </si>
  <si>
    <t>Multiple useEffect Hooks</t>
  </si>
  <si>
    <t>REACTMCQ71</t>
  </si>
  <si>
    <t>useContext and Performance</t>
  </si>
  <si>
    <t>REACTMCQ72</t>
  </si>
  <si>
    <t>Forms and controlled components - Forms and controlled components</t>
  </si>
  <si>
    <t>Component Control</t>
  </si>
  <si>
    <t>REACTMCQ73</t>
  </si>
  <si>
    <t>State Management</t>
  </si>
  <si>
    <t>REACTMCQ74</t>
  </si>
  <si>
    <t>Form Submission</t>
  </si>
  <si>
    <t>REACTMCQ75</t>
  </si>
  <si>
    <t>Multiple Inputs</t>
  </si>
  <si>
    <t>REACTMCQ76</t>
  </si>
  <si>
    <t>Form Validation</t>
  </si>
  <si>
    <t>REACTMCQ77</t>
  </si>
  <si>
    <t>Preventing Default</t>
  </si>
  <si>
    <t>REACTMCQ78</t>
  </si>
  <si>
    <t>Ref Usage</t>
  </si>
  <si>
    <t>REACTMCQ79</t>
  </si>
  <si>
    <t>REACTMCQ80</t>
  </si>
  <si>
    <t>Form Libraries</t>
  </si>
  <si>
    <t>REACTMCQ81</t>
  </si>
  <si>
    <t>Controlled vs Uncontrolled</t>
  </si>
  <si>
    <t>REACTMCQ82</t>
  </si>
  <si>
    <t>React Router - React Router</t>
  </si>
  <si>
    <t>Router Selection</t>
  </si>
  <si>
    <t>REACTMCQ83</t>
  </si>
  <si>
    <t>Route Component Usage</t>
  </si>
  <si>
    <t>REACTMCQ84</t>
  </si>
  <si>
    <t>Route Parameters</t>
  </si>
  <si>
    <t>REACTMCQ85</t>
  </si>
  <si>
    <t>Nested Routes</t>
  </si>
  <si>
    <t>REACTMCQ86</t>
  </si>
  <si>
    <t>Programmatic Navigation</t>
  </si>
  <si>
    <t>REACTMCQ87</t>
  </si>
  <si>
    <t>Link Component</t>
  </si>
  <si>
    <t>REACTMCQ88</t>
  </si>
  <si>
    <t>Route Matching</t>
  </si>
  <si>
    <t>REACTMCQ89</t>
  </si>
  <si>
    <t>404 Not Found Route</t>
  </si>
  <si>
    <t>REACTMCQ90</t>
  </si>
  <si>
    <t>Active Link Styling</t>
  </si>
  <si>
    <t>REACTMCQ91</t>
  </si>
  <si>
    <t>Route Configuration</t>
  </si>
  <si>
    <t>REACTMCQ92</t>
  </si>
  <si>
    <t>Context API - Context API</t>
  </si>
  <si>
    <t>Context Creation</t>
  </si>
  <si>
    <t>REACTMCQ93</t>
  </si>
  <si>
    <t>Context Provider</t>
  </si>
  <si>
    <t>REACTMCQ94</t>
  </si>
  <si>
    <t>Consuming Context</t>
  </si>
  <si>
    <t>REACTMCQ95</t>
  </si>
  <si>
    <t>useContext Hook</t>
  </si>
  <si>
    <t>REACTMCQ96</t>
  </si>
  <si>
    <t>Context Updates</t>
  </si>
  <si>
    <t>REACTMCQ97</t>
  </si>
  <si>
    <t>Context vs Props</t>
  </si>
  <si>
    <t>REACTMCQ98</t>
  </si>
  <si>
    <t>Multiple Contexts</t>
  </si>
  <si>
    <t>REACTMCQ99</t>
  </si>
  <si>
    <t>Context Performance</t>
  </si>
  <si>
    <t>REACTMCQ100</t>
  </si>
  <si>
    <t>Context Limitations</t>
  </si>
  <si>
    <t>REACTMCQ101</t>
  </si>
  <si>
    <t>Default Context Value</t>
  </si>
  <si>
    <t>REACTMCQ102</t>
  </si>
  <si>
    <t>Higher-Order Components (HOCs) - Higher-Order Components (HOCs)</t>
  </si>
  <si>
    <t>HOC Definition</t>
  </si>
  <si>
    <t>REACTMCQ103</t>
  </si>
  <si>
    <t>HOC Use Case</t>
  </si>
  <si>
    <t>REACTMCQ104</t>
  </si>
  <si>
    <t>Creating an HOC</t>
  </si>
  <si>
    <t>REACTMCQ105</t>
  </si>
  <si>
    <t>HOC Naming Convention</t>
  </si>
  <si>
    <t>REACTMCQ106</t>
  </si>
  <si>
    <t>HOC Composition</t>
  </si>
  <si>
    <t>REACTMCQ107</t>
  </si>
  <si>
    <t>HOC vs Hooks</t>
  </si>
  <si>
    <t>REACTMCQ108</t>
  </si>
  <si>
    <t>HOC Pitfall</t>
  </si>
  <si>
    <t>REACTMCQ109</t>
  </si>
  <si>
    <t>HOC and Ref Forwarding</t>
  </si>
  <si>
    <t>REACTMCQ110</t>
  </si>
  <si>
    <t>HOC and Static Methods</t>
  </si>
  <si>
    <t>REACTMCQ111</t>
  </si>
  <si>
    <t>HOC and Component Display Name</t>
  </si>
  <si>
    <t>REACTMCQ112</t>
  </si>
  <si>
    <t>Render props - Render props</t>
  </si>
  <si>
    <t>Render Prop Definition</t>
  </si>
  <si>
    <t>REACTMCQ113</t>
  </si>
  <si>
    <t>Render Prop Implementation</t>
  </si>
  <si>
    <t>REACTMCQ114</t>
  </si>
  <si>
    <t>Render Prop vs HOC</t>
  </si>
  <si>
    <t>REACTMCQ115</t>
  </si>
  <si>
    <t>Children as a Function</t>
  </si>
  <si>
    <t>REACTMCQ116</t>
  </si>
  <si>
    <t>Code Reuse with Render Props</t>
  </si>
  <si>
    <t>REACTMCQ117</t>
  </si>
  <si>
    <t>Render Prop Performance</t>
  </si>
  <si>
    <t>REACTMCQ118</t>
  </si>
  <si>
    <t>Render Props and Context</t>
  </si>
  <si>
    <t>REACTMCQ119</t>
  </si>
  <si>
    <t>Render Props and Hooks</t>
  </si>
  <si>
    <t>REACTMCQ120</t>
  </si>
  <si>
    <t>Data Structures Interview Questions</t>
  </si>
  <si>
    <t>Prepare yourselves for technical interview with a carefully curated set of problems that appeared in companies like Google, Facebook, Amazon, Microsoft, Adobe, Flipkart, OLX Group, Walmart Labs, eBay, Ola, LinkedIn &amp; more</t>
  </si>
  <si>
    <t>Basic programming - 1 - Basic programming-1</t>
  </si>
  <si>
    <t>Defeat The Monster 1</t>
  </si>
  <si>
    <t>MONSTER1</t>
  </si>
  <si>
    <t>Attack on Kingdom</t>
  </si>
  <si>
    <t>KNGATK</t>
  </si>
  <si>
    <t>Three Number Expression</t>
  </si>
  <si>
    <t>EXPRESSION_3</t>
  </si>
  <si>
    <t>Lucky Number</t>
  </si>
  <si>
    <t>LUCNUM</t>
  </si>
  <si>
    <t>Pixel Damage</t>
  </si>
  <si>
    <t>PIXDAM</t>
  </si>
  <si>
    <t>Emotional Proximity</t>
  </si>
  <si>
    <t>EMPR</t>
  </si>
  <si>
    <t>Color the Cube</t>
  </si>
  <si>
    <t>COLOR8TEST</t>
  </si>
  <si>
    <t>Taxi Cost</t>
  </si>
  <si>
    <t>RAIN8TEST</t>
  </si>
  <si>
    <t>Number of Rectangles</t>
  </si>
  <si>
    <t>NUMREC</t>
  </si>
  <si>
    <t>Power M divisibility by 7</t>
  </si>
  <si>
    <t>PMD7</t>
  </si>
  <si>
    <t>Find Integer</t>
  </si>
  <si>
    <t>FNDINT</t>
  </si>
  <si>
    <t>Asteroid Hit</t>
  </si>
  <si>
    <t>ASTHIT</t>
  </si>
  <si>
    <t>Basic programming - 2 - Basic programming-2</t>
  </si>
  <si>
    <t>School Assembly</t>
  </si>
  <si>
    <t>ASMBLY</t>
  </si>
  <si>
    <t>0xxx1</t>
  </si>
  <si>
    <t>CNTBIN</t>
  </si>
  <si>
    <t>Divisible and not divisible</t>
  </si>
  <si>
    <t>DIVNDIV</t>
  </si>
  <si>
    <t>RestroPay</t>
  </si>
  <si>
    <t>SHARE</t>
  </si>
  <si>
    <t>Kth Number</t>
  </si>
  <si>
    <t>GUESNUMK</t>
  </si>
  <si>
    <t>Defeat The Monster 2</t>
  </si>
  <si>
    <t>MONSTER2</t>
  </si>
  <si>
    <t>Subsequences_007</t>
  </si>
  <si>
    <t>SUB_007</t>
  </si>
  <si>
    <t>Recover The Permutation</t>
  </si>
  <si>
    <t>RECPERM</t>
  </si>
  <si>
    <t>Minimum Integer</t>
  </si>
  <si>
    <t>MNINT</t>
  </si>
  <si>
    <t>Make smaller bigger</t>
  </si>
  <si>
    <t>MSB</t>
  </si>
  <si>
    <t>Maximum Peak</t>
  </si>
  <si>
    <t>MAXPEAK</t>
  </si>
  <si>
    <t>Strongest still weakest</t>
  </si>
  <si>
    <t>STWK8TEST</t>
  </si>
  <si>
    <t>Arrays - Arrays</t>
  </si>
  <si>
    <t>Jump To The End</t>
  </si>
  <si>
    <t>JUMPEND</t>
  </si>
  <si>
    <t>Maximum Partition</t>
  </si>
  <si>
    <t>MXPART</t>
  </si>
  <si>
    <t>Array - Wave Array</t>
  </si>
  <si>
    <t>PREP06</t>
  </si>
  <si>
    <t>Petrol ki Problem</t>
  </si>
  <si>
    <t>PTRLP</t>
  </si>
  <si>
    <t>Tunnel Switch</t>
  </si>
  <si>
    <t>MINHOUS</t>
  </si>
  <si>
    <t>Maximum power of two</t>
  </si>
  <si>
    <t>MAX2POW</t>
  </si>
  <si>
    <t>Array - Addition</t>
  </si>
  <si>
    <t>PREP05</t>
  </si>
  <si>
    <t>Locate The Product</t>
  </si>
  <si>
    <t>LTP</t>
  </si>
  <si>
    <t>Array - Matrix operations</t>
  </si>
  <si>
    <t>PREP02</t>
  </si>
  <si>
    <t>Sorting - Sorting</t>
  </si>
  <si>
    <t>Least pair sum k elements</t>
  </si>
  <si>
    <t>LSTKELE</t>
  </si>
  <si>
    <t>Seating Arrangement</t>
  </si>
  <si>
    <t>SEATING</t>
  </si>
  <si>
    <t>Alice and Bob</t>
  </si>
  <si>
    <t>TOYDESIRE</t>
  </si>
  <si>
    <t>Sum of Maximums</t>
  </si>
  <si>
    <t>ALLMAX</t>
  </si>
  <si>
    <t>Sort the array</t>
  </si>
  <si>
    <t>SRT</t>
  </si>
  <si>
    <t>Reordering Strings</t>
  </si>
  <si>
    <t>REORDERING</t>
  </si>
  <si>
    <t>Optimal Soldier Reorder</t>
  </si>
  <si>
    <t>OPTIMRDR</t>
  </si>
  <si>
    <t>Good Queue</t>
  </si>
  <si>
    <t>GOODQU</t>
  </si>
  <si>
    <t>Lists in ranges</t>
  </si>
  <si>
    <t>KLISTS</t>
  </si>
  <si>
    <t>Minimize the Absolute Difference</t>
  </si>
  <si>
    <t>ABSDIF</t>
  </si>
  <si>
    <t>Strings - Strings</t>
  </si>
  <si>
    <t>Find the Pattern</t>
  </si>
  <si>
    <t>PATSEARCH</t>
  </si>
  <si>
    <t>Password Chef</t>
  </si>
  <si>
    <t>PSWDCHEF</t>
  </si>
  <si>
    <t>Dispute Resolving</t>
  </si>
  <si>
    <t>PAL_STRING</t>
  </si>
  <si>
    <t>Balance the String</t>
  </si>
  <si>
    <t>BALSTR</t>
  </si>
  <si>
    <t>Rearrange String</t>
  </si>
  <si>
    <t>RESTR</t>
  </si>
  <si>
    <t>Merge The Milk</t>
  </si>
  <si>
    <t>MTM</t>
  </si>
  <si>
    <t>Make Valid</t>
  </si>
  <si>
    <t>MKVLD</t>
  </si>
  <si>
    <t>Really Secret Algorithm</t>
  </si>
  <si>
    <t>RSA</t>
  </si>
  <si>
    <t>John Nash Pattern</t>
  </si>
  <si>
    <t>JNP</t>
  </si>
  <si>
    <t>Linkedlist - Linkedlist</t>
  </si>
  <si>
    <t>REMDUP</t>
  </si>
  <si>
    <t>Insert Remove Nodes</t>
  </si>
  <si>
    <t>NODEAD</t>
  </si>
  <si>
    <t>Duplicate Removal</t>
  </si>
  <si>
    <t>DR</t>
  </si>
  <si>
    <t>Train Loop</t>
  </si>
  <si>
    <t>TRAINLOOP</t>
  </si>
  <si>
    <t>Linked List - Intersection of Linked Lists</t>
  </si>
  <si>
    <t>PREP56</t>
  </si>
  <si>
    <t>Linked List - Add Two Numbers As Lists</t>
  </si>
  <si>
    <t>PREP57</t>
  </si>
  <si>
    <t>Linked List - Swap nodes in pairs</t>
  </si>
  <si>
    <t>PREP54</t>
  </si>
  <si>
    <t>Stacks - Stacks</t>
  </si>
  <si>
    <t>BFS Ordering</t>
  </si>
  <si>
    <t>BRFISE</t>
  </si>
  <si>
    <t>Bracket Sequence Queries</t>
  </si>
  <si>
    <t>BRACQUER</t>
  </si>
  <si>
    <t>Sub-array Sum</t>
  </si>
  <si>
    <t>SUBASUM</t>
  </si>
  <si>
    <t>Maximum of Minimum</t>
  </si>
  <si>
    <t>MXMIN</t>
  </si>
  <si>
    <t>Queues - Queues</t>
  </si>
  <si>
    <t>Even-Max</t>
  </si>
  <si>
    <t>EVNMX</t>
  </si>
  <si>
    <t>Arrange via Buffer</t>
  </si>
  <si>
    <t>ARRBUF</t>
  </si>
  <si>
    <t>Minimum Color Changes</t>
  </si>
  <si>
    <t>CHNGCOL</t>
  </si>
  <si>
    <t>Minimum Divisible Digits</t>
  </si>
  <si>
    <t>MINDIG</t>
  </si>
  <si>
    <t>Binary Search - Binary Search</t>
  </si>
  <si>
    <t>Array Intersection</t>
  </si>
  <si>
    <t>ARRINT</t>
  </si>
  <si>
    <t>Partner Search</t>
  </si>
  <si>
    <t>PRTSCH</t>
  </si>
  <si>
    <t>Is It There</t>
  </si>
  <si>
    <t>IIT</t>
  </si>
  <si>
    <t>Sum with min index</t>
  </si>
  <si>
    <t>SMININD</t>
  </si>
  <si>
    <t>Increasing-Decreasing Sequence</t>
  </si>
  <si>
    <t>INCDECS</t>
  </si>
  <si>
    <t>Selected Digits</t>
  </si>
  <si>
    <t>SDIGIT</t>
  </si>
  <si>
    <t>Binary Search - Books in Library</t>
  </si>
  <si>
    <t>PREP11</t>
  </si>
  <si>
    <t>Binary Search - Paint Walls</t>
  </si>
  <si>
    <t>PREP08</t>
  </si>
  <si>
    <t>Binary Search - Range Search</t>
  </si>
  <si>
    <t>PREP38</t>
  </si>
  <si>
    <t>Graphs - Graphs</t>
  </si>
  <si>
    <t>Graphs - Word Ladder</t>
  </si>
  <si>
    <t>PREP36</t>
  </si>
  <si>
    <t>Graphs - Red Blue Lakes</t>
  </si>
  <si>
    <t>PREP37</t>
  </si>
  <si>
    <t>Graphs - Clone a graph</t>
  </si>
  <si>
    <t>PREP50</t>
  </si>
  <si>
    <t>Graphs - Valid Path</t>
  </si>
  <si>
    <t>PREP49</t>
  </si>
  <si>
    <t>Trees - Trees</t>
  </si>
  <si>
    <t>Find the Subtree</t>
  </si>
  <si>
    <t>SUBTCH</t>
  </si>
  <si>
    <t>Reconstruct the Tree</t>
  </si>
  <si>
    <t>RECTREE</t>
  </si>
  <si>
    <t>Counting Nodes</t>
  </si>
  <si>
    <t>CNTND</t>
  </si>
  <si>
    <t>Regenerate Tree</t>
  </si>
  <si>
    <t>REGTRE</t>
  </si>
  <si>
    <t>Triplet LCA</t>
  </si>
  <si>
    <t>LCAN3</t>
  </si>
  <si>
    <t>Trees - Inorder Traversal</t>
  </si>
  <si>
    <t>PREP64</t>
  </si>
  <si>
    <t>Trees - Branch Sum</t>
  </si>
  <si>
    <t>PREP29</t>
  </si>
  <si>
    <t>Trees - Path Sum</t>
  </si>
  <si>
    <t>PREP65</t>
  </si>
  <si>
    <t>Trees - Lowest Common Ancestor</t>
  </si>
  <si>
    <t>PREP67</t>
  </si>
  <si>
    <t>Trees - Height of a Tree</t>
  </si>
  <si>
    <t>PREP66</t>
  </si>
  <si>
    <t>Hashing - Hashing</t>
  </si>
  <si>
    <t>Hashing - Points on Line</t>
  </si>
  <si>
    <t>PREP28</t>
  </si>
  <si>
    <t>Hashing - Copy List</t>
  </si>
  <si>
    <t>PREP53</t>
  </si>
  <si>
    <t>Hashing - Valid Sudoku</t>
  </si>
  <si>
    <t>PREP52</t>
  </si>
  <si>
    <t>Two pointers - Two pointers</t>
  </si>
  <si>
    <t>Divide The String</t>
  </si>
  <si>
    <t>DTS</t>
  </si>
  <si>
    <t>Longest Good Substring</t>
  </si>
  <si>
    <t>LGDSTR</t>
  </si>
  <si>
    <t>Trapping Rainwater</t>
  </si>
  <si>
    <t>PREP19</t>
  </si>
  <si>
    <t>Dynamic Programming - DP</t>
  </si>
  <si>
    <t>Dynamic Programming - String Distance</t>
  </si>
  <si>
    <t>PREP32</t>
  </si>
  <si>
    <t>Dynamic Programming - Rod Cutting</t>
  </si>
  <si>
    <t>PREP34</t>
  </si>
  <si>
    <t>Dynamic Programming - Longest Valid Parentheses</t>
  </si>
  <si>
    <t>PREP33</t>
  </si>
  <si>
    <t>Maximum Product Subarray</t>
  </si>
  <si>
    <t>PREP48</t>
  </si>
  <si>
    <t>Bit Manipulation - Bit Manipulation</t>
  </si>
  <si>
    <t>Bit Manipulation - Count set bits</t>
  </si>
  <si>
    <t>PREP44</t>
  </si>
  <si>
    <t>Bit Manipulation - Divide Integers</t>
  </si>
  <si>
    <t>PREP47</t>
  </si>
  <si>
    <t>Backtracking - Backtracking</t>
  </si>
  <si>
    <t>Backtracking - Find Unique Permutations</t>
  </si>
  <si>
    <t>PREP24</t>
  </si>
  <si>
    <t>Backtracking - Subsets</t>
  </si>
  <si>
    <t>PREP42</t>
  </si>
  <si>
    <t>Backtracking - Find Valid Parenthesis</t>
  </si>
  <si>
    <t>PREP41</t>
  </si>
  <si>
    <t>Backtracking - Unique Combinations Sum</t>
  </si>
  <si>
    <t>PREP40</t>
  </si>
  <si>
    <t>Backtracking - Palindrome Partitioning</t>
  </si>
  <si>
    <t>PREP43</t>
  </si>
  <si>
    <t>Top DBMS Interview Questions</t>
  </si>
  <si>
    <t>Prepare for DBMS interviews with more than 92 interview questions. This path covers key topics such as data modelling, relational database design, SQL, transaction management, and emerging database technologies.</t>
  </si>
  <si>
    <t>Module 1: Introduction to Databases - Databases and their relevance</t>
  </si>
  <si>
    <t>Introduction to Database</t>
  </si>
  <si>
    <t>PPREPCS01</t>
  </si>
  <si>
    <t>Example and Use Cases of Database</t>
  </si>
  <si>
    <t>PPREPCS02</t>
  </si>
  <si>
    <t>Example and Use Cases of Database - 2</t>
  </si>
  <si>
    <t>PPREPCS03</t>
  </si>
  <si>
    <t>Database Segmentation Identification - Quiz</t>
  </si>
  <si>
    <t>PPREPCS03A</t>
  </si>
  <si>
    <t>Difference between Databases and File Systems</t>
  </si>
  <si>
    <t>PPREPCS04</t>
  </si>
  <si>
    <t>Ensuring Simultaneous Data Access - Quiz</t>
  </si>
  <si>
    <t>PPREPCS05</t>
  </si>
  <si>
    <t>Introduction to DBMS</t>
  </si>
  <si>
    <t>PPREPCS06</t>
  </si>
  <si>
    <t>DBMS Architecture</t>
  </si>
  <si>
    <t>PPREPCS07</t>
  </si>
  <si>
    <t>DBMS Architecture Role - Quiz</t>
  </si>
  <si>
    <t>PPREPCS08</t>
  </si>
  <si>
    <t>Data Independence</t>
  </si>
  <si>
    <t>PPREPCS09</t>
  </si>
  <si>
    <t>Data Abstraction</t>
  </si>
  <si>
    <t>PPREPCS10</t>
  </si>
  <si>
    <t>Disadvantages of using DBMS</t>
  </si>
  <si>
    <t>PPREPCS11</t>
  </si>
  <si>
    <t>DBMS Architecture Security Levels - MCQ</t>
  </si>
  <si>
    <t>PPREPCS12</t>
  </si>
  <si>
    <t>Module 1: Introduction to Databases - Quiz: Basics of databases and their components</t>
  </si>
  <si>
    <t>Data Abstraction Levels for Users - MCQ</t>
  </si>
  <si>
    <t>PPREPCS12A</t>
  </si>
  <si>
    <t>DBMS Data Interaction Flow - MCQ</t>
  </si>
  <si>
    <t>PPREPCS13</t>
  </si>
  <si>
    <t>Database vs File System Usage - MCQ</t>
  </si>
  <si>
    <t>PPREPCS14</t>
  </si>
  <si>
    <t>Physical Data Independence Purpose - MCQ</t>
  </si>
  <si>
    <t>PPREPCS15</t>
  </si>
  <si>
    <t>Database Architecture Access Issue - MCQ</t>
  </si>
  <si>
    <t>PPREPCS16</t>
  </si>
  <si>
    <t>DBMS Architecture Speed Query - MCQ</t>
  </si>
  <si>
    <t>PPREPCS17</t>
  </si>
  <si>
    <t>Upgrading Hard Drive Strategy - MCQ</t>
  </si>
  <si>
    <t>PPREPCS18</t>
  </si>
  <si>
    <t>Module 2: Data Modeling and Entity-Relationship (ER) Diagrams - Data modeling and Entity relationship</t>
  </si>
  <si>
    <t>Data Modeling</t>
  </si>
  <si>
    <t>PPREPCS19</t>
  </si>
  <si>
    <t>Types of Data Models</t>
  </si>
  <si>
    <t>PPREPCS20</t>
  </si>
  <si>
    <t>Entity Relationship (ER) Model</t>
  </si>
  <si>
    <t>PPREPCS21</t>
  </si>
  <si>
    <t>Entities and Attributes</t>
  </si>
  <si>
    <t>PPREPCS22</t>
  </si>
  <si>
    <t>Relationships</t>
  </si>
  <si>
    <t>PPREPCS23</t>
  </si>
  <si>
    <t>Challenge</t>
  </si>
  <si>
    <t>PPREPCS24</t>
  </si>
  <si>
    <t>Participation constraints</t>
  </si>
  <si>
    <t>PPREPCS25</t>
  </si>
  <si>
    <t>Generalization, Specialization and Aggregation</t>
  </si>
  <si>
    <t>PPREPCS26</t>
  </si>
  <si>
    <t>Reduction of ER diagram to Table</t>
  </si>
  <si>
    <t>PPREPCS27</t>
  </si>
  <si>
    <t>Module 2: Data Modeling and Entity-Relationship (ER) Diagrams - Quiz: Data modeling and Entity relationship</t>
  </si>
  <si>
    <t>Weak Entity Set Representation - MCQ</t>
  </si>
  <si>
    <t>PPREPCS28</t>
  </si>
  <si>
    <t>Relational Database Degree Definition - MCQ</t>
  </si>
  <si>
    <t>PPREPCS29</t>
  </si>
  <si>
    <t>ER Model Cardinality Question - MCQ</t>
  </si>
  <si>
    <t>PPREPCS30</t>
  </si>
  <si>
    <t>Minimum Tables for ER Diagram - MCQ</t>
  </si>
  <si>
    <t>PPREPCS31</t>
  </si>
  <si>
    <t>Library System Entity Relationship - MCQ</t>
  </si>
  <si>
    <t>PPREPCS32</t>
  </si>
  <si>
    <t>Library ER Diagram Relationship - MCQ</t>
  </si>
  <si>
    <t>PPREPCS33</t>
  </si>
  <si>
    <t>Library Database Entity Attributes - MCQ</t>
  </si>
  <si>
    <t>PPREPCS34</t>
  </si>
  <si>
    <t>ER Diagram Table Conversion - MCQ</t>
  </si>
  <si>
    <t>PPREPCS36</t>
  </si>
  <si>
    <t>ER Model to Relation Mapping - MCQ</t>
  </si>
  <si>
    <t>PPREPCS37</t>
  </si>
  <si>
    <t>Module 3: Relational Database Design - Relational Database Design: Fundamentals</t>
  </si>
  <si>
    <t>Fundamentals of Relational Databases</t>
  </si>
  <si>
    <t>PPREPCS38</t>
  </si>
  <si>
    <t>Key Concepts  - Adding New Attribute to Table</t>
  </si>
  <si>
    <t>PPREPCS39</t>
  </si>
  <si>
    <t>Key Concepts - Integrity in Employee Database</t>
  </si>
  <si>
    <t>PPREPCS40</t>
  </si>
  <si>
    <t>Keys In RDBMS</t>
  </si>
  <si>
    <t>PPREPCS41</t>
  </si>
  <si>
    <t>Some More Keys in RDBMS</t>
  </si>
  <si>
    <t>PPREPCS42</t>
  </si>
  <si>
    <t>Key Identification - MCQ</t>
  </si>
  <si>
    <t>PPREPCS43</t>
  </si>
  <si>
    <t>Module 3: Relational Database Design - Relational Algebra</t>
  </si>
  <si>
    <t>Relational Algebra Basic Operations - 1</t>
  </si>
  <si>
    <t>PPREPCS44</t>
  </si>
  <si>
    <t>Relational Algebra Basic Operations - 2</t>
  </si>
  <si>
    <t>PPREPCS45</t>
  </si>
  <si>
    <t>Relational Algebra Query Evaluation - MCQ</t>
  </si>
  <si>
    <t>PPREPCS46</t>
  </si>
  <si>
    <t>Joins - Inner Join</t>
  </si>
  <si>
    <t>PPREPCS47</t>
  </si>
  <si>
    <t>Joins - Left (or Left Outer) Join</t>
  </si>
  <si>
    <t>PPREPCS48</t>
  </si>
  <si>
    <t>Joins - Right (or Right Outer) Join</t>
  </si>
  <si>
    <t>PPREPCS49</t>
  </si>
  <si>
    <t>Joins - Full Outer Join</t>
  </si>
  <si>
    <t>PPREPCS50</t>
  </si>
  <si>
    <t>Relational Algebra Join Exercise - MCQ</t>
  </si>
  <si>
    <t>PPREPCS51</t>
  </si>
  <si>
    <t>Relational Algebra Join Query - MCQ</t>
  </si>
  <si>
    <t>PPREPCS52</t>
  </si>
  <si>
    <t>Module 3: Relational Database Design - Functional Dependencies and Normal Forms</t>
  </si>
  <si>
    <t>Introduction to Functional Dependencies</t>
  </si>
  <si>
    <t>PPREPCS53</t>
  </si>
  <si>
    <t>Types of Funcational Dependencies</t>
  </si>
  <si>
    <t>PPREPCS54</t>
  </si>
  <si>
    <t>Rules of Functional Dependencies</t>
  </si>
  <si>
    <t>PPREPCS55</t>
  </si>
  <si>
    <t>Functional Dependency Analysis - MCQ</t>
  </si>
  <si>
    <t>PPREPCS56</t>
  </si>
  <si>
    <t>Introduction to Normalization</t>
  </si>
  <si>
    <t>PPREPCS57</t>
  </si>
  <si>
    <t>Normal Form - 1NF</t>
  </si>
  <si>
    <t>PPREPCS58</t>
  </si>
  <si>
    <t>Normal Form - 2NF</t>
  </si>
  <si>
    <t>PPREPCS59</t>
  </si>
  <si>
    <t>Normal Form - 3NF</t>
  </si>
  <si>
    <t>PPREPCS60</t>
  </si>
  <si>
    <t>Normal Form - BCNF</t>
  </si>
  <si>
    <t>PPREPCS61</t>
  </si>
  <si>
    <t>Normal Form - 4NF</t>
  </si>
  <si>
    <t>PPREPCS62</t>
  </si>
  <si>
    <t>Normal form - 5NF</t>
  </si>
  <si>
    <t>PPREPCS63</t>
  </si>
  <si>
    <t>Module 3: Relational Database Design - Quiz: Relational database design: Concepts</t>
  </si>
  <si>
    <t>Relational Database Degree Definition - GATE MCQ</t>
  </si>
  <si>
    <t>PPREPCS64</t>
  </si>
  <si>
    <t>Understanding Prime Attributes - GATE MCQ</t>
  </si>
  <si>
    <t>PPREPCS65</t>
  </si>
  <si>
    <t>Relational Algebra Join Size - GATE MCQ</t>
  </si>
  <si>
    <t>PPREPCS67</t>
  </si>
  <si>
    <t>Counting Superkeys in a Relation - GATE MCQ</t>
  </si>
  <si>
    <t>PPREPCS68</t>
  </si>
  <si>
    <t>DB Normalization Schema Comparison - GATE MCQ</t>
  </si>
  <si>
    <t>PPREPCS69</t>
  </si>
  <si>
    <t>Functional Dependency in BCNF - GATE MCQ</t>
  </si>
  <si>
    <t>PPREPCS70</t>
  </si>
  <si>
    <t>Interview Question on Relational Database Keys</t>
  </si>
  <si>
    <t>PPREPCS71</t>
  </si>
  <si>
    <t>Interview Question on Database Anomalies</t>
  </si>
  <si>
    <t>PPREPCS72</t>
  </si>
  <si>
    <t>Interview Question on  Differences in DBMS Keys</t>
  </si>
  <si>
    <t>PPREPCS73</t>
  </si>
  <si>
    <t>Module 4: SQL - SQL Fundamentals Part 1</t>
  </si>
  <si>
    <t>Introduction to SQL (Structured Query Language)</t>
  </si>
  <si>
    <t>PPREPCS74</t>
  </si>
  <si>
    <t>Basic SQL commands-SELECT, INSERT, UPDATE, DELETE</t>
  </si>
  <si>
    <t>PPREPCS75</t>
  </si>
  <si>
    <t>Examples for Basic SQL Commands</t>
  </si>
  <si>
    <t>PPREPCS76</t>
  </si>
  <si>
    <t>SQL Query for Age Filter - MCQ</t>
  </si>
  <si>
    <t>PPREPCS77</t>
  </si>
  <si>
    <t>SQL Delete Query Syntax - MCQ</t>
  </si>
  <si>
    <t>PPREPCS78</t>
  </si>
  <si>
    <t>Retrieving data from a single table (FILTER, SORT)</t>
  </si>
  <si>
    <t>PPREPCS79</t>
  </si>
  <si>
    <t>Example for FILTER and SORT operations</t>
  </si>
  <si>
    <t>PPREPCS80</t>
  </si>
  <si>
    <t>SQL Query on Retrieve and Sort Books - MCQ</t>
  </si>
  <si>
    <t>PPREPCS80A</t>
  </si>
  <si>
    <t>JOINS in SQL - MCQ</t>
  </si>
  <si>
    <t>PPREPCS81</t>
  </si>
  <si>
    <t>Types of SQL Joins - MCQ</t>
  </si>
  <si>
    <t>PPREPCS82</t>
  </si>
  <si>
    <t>SQL LIKE Operator Query</t>
  </si>
  <si>
    <t>PPREPCS83</t>
  </si>
  <si>
    <t>Subqueries and complex queries</t>
  </si>
  <si>
    <t>PPREPCS84</t>
  </si>
  <si>
    <t>Employee Salary Query Selection - MCQ</t>
  </si>
  <si>
    <t>PPREPCS85</t>
  </si>
  <si>
    <t>Module 4: SQL - Quiz: SQL fundamentals</t>
  </si>
  <si>
    <t>SQL Query Tuple Count - MCQ</t>
  </si>
  <si>
    <t>PPREPCS86</t>
  </si>
  <si>
    <t>SQL Query Upper Case Alias - MCQ</t>
  </si>
  <si>
    <t>PPREPCS87</t>
  </si>
  <si>
    <t>SQL Query for Name Matching - MCQ</t>
  </si>
  <si>
    <t>PPREPCS88</t>
  </si>
  <si>
    <t>Ordering SQL Query - MCQ</t>
  </si>
  <si>
    <t>PPREPCS89</t>
  </si>
  <si>
    <t>Retrieve Duplicates</t>
  </si>
  <si>
    <t>PPREPCS90</t>
  </si>
  <si>
    <t>Finding Third-Highest Salary - The TOP Keyword</t>
  </si>
  <si>
    <t>PPREPCS91</t>
  </si>
  <si>
    <t>Employee Salaries by Position - MCQ</t>
  </si>
  <si>
    <t>PPREPCS92</t>
  </si>
  <si>
    <t>SQL Query on Train Reservations - GATE MCQ</t>
  </si>
  <si>
    <t>PPREPCS93</t>
  </si>
  <si>
    <t>SQL Query Comparison - GATE MCQ</t>
  </si>
  <si>
    <t>PPREPCS94</t>
  </si>
  <si>
    <t>Count Tuples - GATE MCQ</t>
  </si>
  <si>
    <t>PPREPCS95</t>
  </si>
  <si>
    <t>Module 5: Transactions and Concurrency Control - Transactions and Concurrency Control</t>
  </si>
  <si>
    <t>What is Transaction in DBMS</t>
  </si>
  <si>
    <t>PPREPCS96</t>
  </si>
  <si>
    <t>ACID Properties in DBMS</t>
  </si>
  <si>
    <t>PPREPCS97</t>
  </si>
  <si>
    <t>Schedule in DBMS</t>
  </si>
  <si>
    <t>PPREPCS98</t>
  </si>
  <si>
    <t>Interview Questions on DBMS Concepts</t>
  </si>
  <si>
    <t>PPREPCS99</t>
  </si>
  <si>
    <t>Serializability in DBMS</t>
  </si>
  <si>
    <t>PPREPCS100</t>
  </si>
  <si>
    <t>Recoverability in DBMS</t>
  </si>
  <si>
    <t>PPREPCS101</t>
  </si>
  <si>
    <t>Deadlock in DBMS</t>
  </si>
  <si>
    <t>PPREPCS102</t>
  </si>
  <si>
    <t>Case Study</t>
  </si>
  <si>
    <t>PPREPCS103</t>
  </si>
  <si>
    <t>Concurrency Control in DBMS</t>
  </si>
  <si>
    <t>PPREPCS104</t>
  </si>
  <si>
    <t>Distributed Database System in DBMS</t>
  </si>
  <si>
    <t>PPREPCS105</t>
  </si>
  <si>
    <t>Query Processing in DBMS</t>
  </si>
  <si>
    <t>PPREPCS106</t>
  </si>
  <si>
    <t>More Interview Questions on Transactions</t>
  </si>
  <si>
    <t>PPREPCS107</t>
  </si>
  <si>
    <t>Module 5: Transactions and Concurrency Control - Quiz: Transactions and Concurrency Control</t>
  </si>
  <si>
    <t>Concurrency Control Protocols in DBMS - MCQ</t>
  </si>
  <si>
    <t>PPREPCS108</t>
  </si>
  <si>
    <t>Correct Serialization Order - MCQ</t>
  </si>
  <si>
    <t>PPREPCS109</t>
  </si>
  <si>
    <t>Conflict Serializability in Schedules - MCQ</t>
  </si>
  <si>
    <t>PPREPCS110</t>
  </si>
  <si>
    <t>Transaction Schedule Analysis - MCQ</t>
  </si>
  <si>
    <t>PPREPCS111</t>
  </si>
  <si>
    <t>Irrecoverable Error Scenarios in DBMS - MCQ</t>
  </si>
  <si>
    <t>PPREPCS112</t>
  </si>
  <si>
    <t>Bank Transaction Constraint - MCQ</t>
  </si>
  <si>
    <t>PPREPCS113</t>
  </si>
  <si>
    <t>Checkpoint Recovery Operations Analysis - MCQ</t>
  </si>
  <si>
    <t>PPREPCS114</t>
  </si>
  <si>
    <t>Two-Phase Locking Protocol Analysis - MCQ</t>
  </si>
  <si>
    <t>PPREPCS115</t>
  </si>
  <si>
    <t>Transaction Recovery Procedure - MCQ</t>
  </si>
  <si>
    <t>PPREPCS116</t>
  </si>
  <si>
    <t>Transaction Precedence Graph Analysis - MCQ</t>
  </si>
  <si>
    <t>PPREPCS117</t>
  </si>
  <si>
    <t>Module 6: NoSQL and New Database Technologies - NoSQL and New Database Technologies</t>
  </si>
  <si>
    <t>Introduction to NoSQL databases</t>
  </si>
  <si>
    <t>PPREPCS118</t>
  </si>
  <si>
    <t>Different types of NoSQL databases</t>
  </si>
  <si>
    <t>PPREPCS119</t>
  </si>
  <si>
    <t>Comparison with relational databases</t>
  </si>
  <si>
    <t>PPREPCS120</t>
  </si>
  <si>
    <t>Quiz</t>
  </si>
  <si>
    <t>PPREPCS121</t>
  </si>
  <si>
    <t>Module 7: Interview Questions - Interview Questions MCQ</t>
  </si>
  <si>
    <t>DBMS vs File-Based Systems - MCQ</t>
  </si>
  <si>
    <t>PPREPCS122</t>
  </si>
  <si>
    <t>Database Key Concepts Overview - MCQ</t>
  </si>
  <si>
    <t>PPREPCS123</t>
  </si>
  <si>
    <t>SQL Statement Categories - MCQ</t>
  </si>
  <si>
    <t>PPREPCS124</t>
  </si>
  <si>
    <t>Database Trigger Definition - MCQ</t>
  </si>
  <si>
    <t>PPREPCS125</t>
  </si>
  <si>
    <t>Database Transaction Example - MCQ</t>
  </si>
  <si>
    <t>PPREPCS126</t>
  </si>
  <si>
    <t>ACID Properties in Databases - MCQ</t>
  </si>
  <si>
    <t>PPREPCS127</t>
  </si>
  <si>
    <t>Clustered Index Limits - MCQ</t>
  </si>
  <si>
    <t>PPREPCS128</t>
  </si>
  <si>
    <t>Non-Clustered Index Explanation - MCQ</t>
  </si>
  <si>
    <t>PPREPCS129</t>
  </si>
  <si>
    <t>Purpose of SQL Clause - MCQ</t>
  </si>
  <si>
    <t>PPREPCS130</t>
  </si>
  <si>
    <t>Role of Normalization in Databases - MCQ</t>
  </si>
  <si>
    <t>PPREPCS131</t>
  </si>
  <si>
    <t>Identifying Key Types in Tables - MCQ</t>
  </si>
  <si>
    <t>PPREPCS132</t>
  </si>
  <si>
    <t>Primary vs Unique Key Differences - MCQ</t>
  </si>
  <si>
    <t>PPREPCS133</t>
  </si>
  <si>
    <t>Maximum Unique Keys in DB Table - MCQ</t>
  </si>
  <si>
    <t>PPREPCS137</t>
  </si>
  <si>
    <t>Data Abstraction Levels in DBMS - MCQ</t>
  </si>
  <si>
    <t>PPREPCS138</t>
  </si>
  <si>
    <t>Operating systems Interview Questions</t>
  </si>
  <si>
    <t>Revise all the important Operating Systems concepts and practice lots of MCQ questions to prepare for interviews.</t>
  </si>
  <si>
    <t>Process Management - Process Management</t>
  </si>
  <si>
    <t>Introduction to Operating Systems</t>
  </si>
  <si>
    <t>OSP01</t>
  </si>
  <si>
    <t>Operating System Functions</t>
  </si>
  <si>
    <t>OSMCQ001</t>
  </si>
  <si>
    <t>User Interface Types</t>
  </si>
  <si>
    <t>OSMCQ002</t>
  </si>
  <si>
    <t>Multitasking in Operating Systems</t>
  </si>
  <si>
    <t>OSMCQ003</t>
  </si>
  <si>
    <t>Process Creation and Termination</t>
  </si>
  <si>
    <t>OSP03</t>
  </si>
  <si>
    <t>Process Creation Steps</t>
  </si>
  <si>
    <t>OSMCQ004</t>
  </si>
  <si>
    <t>Process Termination</t>
  </si>
  <si>
    <t>OSMCQ005</t>
  </si>
  <si>
    <t>Zombie vs Orphan Processes</t>
  </si>
  <si>
    <t>OSMCQ006</t>
  </si>
  <si>
    <t>Process States and Transitions</t>
  </si>
  <si>
    <t>OSP02</t>
  </si>
  <si>
    <t>Process State Transition</t>
  </si>
  <si>
    <t>OSMCQ007</t>
  </si>
  <si>
    <t>Process Waiting State</t>
  </si>
  <si>
    <t>OSMCQ008</t>
  </si>
  <si>
    <t>Context Switching</t>
  </si>
  <si>
    <t>OSMCQ009</t>
  </si>
  <si>
    <t>Process Control Block (PCB)</t>
  </si>
  <si>
    <t>OSP04</t>
  </si>
  <si>
    <t>PCB Purpose</t>
  </si>
  <si>
    <t>OSMCQ010</t>
  </si>
  <si>
    <t>PCB Contents</t>
  </si>
  <si>
    <t>OSMCQ011</t>
  </si>
  <si>
    <t>Context Switching and PCB</t>
  </si>
  <si>
    <t>OSMCQ012</t>
  </si>
  <si>
    <t>Context Switching in Operating Systems</t>
  </si>
  <si>
    <t>OSP05</t>
  </si>
  <si>
    <t>Context Switching Definition</t>
  </si>
  <si>
    <t>OSMCQ013</t>
  </si>
  <si>
    <t>Context Switch Information</t>
  </si>
  <si>
    <t>OSMCQ014</t>
  </si>
  <si>
    <t>Context Switching Performance</t>
  </si>
  <si>
    <t>OSMCQ015</t>
  </si>
  <si>
    <t>Inter-process Communication (IPC)</t>
  </si>
  <si>
    <t>OSP06</t>
  </si>
  <si>
    <t>IPC Methods</t>
  </si>
  <si>
    <t>OSMCQ016</t>
  </si>
  <si>
    <t>Pipe Example</t>
  </si>
  <si>
    <t>OSMCQ017</t>
  </si>
  <si>
    <t>IPC Advantages and Disadvantages</t>
  </si>
  <si>
    <t>OSMCQ018</t>
  </si>
  <si>
    <t>Introduction to Memory Management</t>
  </si>
  <si>
    <t>OSP07</t>
  </si>
  <si>
    <t>Memory Management Definition</t>
  </si>
  <si>
    <t>OSMCQ019</t>
  </si>
  <si>
    <t>Memory Management Analogy</t>
  </si>
  <si>
    <t>OSMCQ020</t>
  </si>
  <si>
    <t>Importance of Memory Management</t>
  </si>
  <si>
    <t>OSMCQ021</t>
  </si>
  <si>
    <t>Virtual Memory</t>
  </si>
  <si>
    <t>OSP08</t>
  </si>
  <si>
    <t>Virtual Memory Purpose</t>
  </si>
  <si>
    <t>OSMCQ022</t>
  </si>
  <si>
    <t>Virtual Memory Mechanism</t>
  </si>
  <si>
    <t>OSMCQ023</t>
  </si>
  <si>
    <t>Virtual Memory Drawbacks</t>
  </si>
  <si>
    <t>OSMCQ024</t>
  </si>
  <si>
    <t>Paging and Segmentation</t>
  </si>
  <si>
    <t>OSP09</t>
  </si>
  <si>
    <t>Paging Characteristics</t>
  </si>
  <si>
    <t>OSMCQ025</t>
  </si>
  <si>
    <t>Segmentation vs Paging</t>
  </si>
  <si>
    <t>OSMCQ026</t>
  </si>
  <si>
    <t>Paged Segmentation</t>
  </si>
  <si>
    <t>OSMCQ027</t>
  </si>
  <si>
    <t>Memory Allocation Techniques</t>
  </si>
  <si>
    <t>OSP10</t>
  </si>
  <si>
    <t>OSMCQ028</t>
  </si>
  <si>
    <t>Contiguous Allocation</t>
  </si>
  <si>
    <t>OSMCQ029</t>
  </si>
  <si>
    <t>OSMCQ030</t>
  </si>
  <si>
    <t>Page Replacement Algorithms</t>
  </si>
  <si>
    <t>OSP11</t>
  </si>
  <si>
    <t>Page Replacement Algorithm Purpose</t>
  </si>
  <si>
    <t>OSMCQ031</t>
  </si>
  <si>
    <t>FIFO Algorithm Characteristics</t>
  </si>
  <si>
    <t>OSMCQ032</t>
  </si>
  <si>
    <t>Clock Algorithm Operation</t>
  </si>
  <si>
    <t>OSMCQ033</t>
  </si>
  <si>
    <t>Thrashing</t>
  </si>
  <si>
    <t>OSP12</t>
  </si>
  <si>
    <t>Thrashing Definition</t>
  </si>
  <si>
    <t>OSMCQ034</t>
  </si>
  <si>
    <t>Thrashing Detection</t>
  </si>
  <si>
    <t>OSMCQ035</t>
  </si>
  <si>
    <t>Thrashing Prevention</t>
  </si>
  <si>
    <t>OSMCQ036</t>
  </si>
  <si>
    <t>File Systems - File Systems</t>
  </si>
  <si>
    <t>Introduction to File Systems</t>
  </si>
  <si>
    <t>OSP13</t>
  </si>
  <si>
    <t>File System Purpose</t>
  </si>
  <si>
    <t>OSMCQ037</t>
  </si>
  <si>
    <t>File Path Components</t>
  </si>
  <si>
    <t>OSMCQ038</t>
  </si>
  <si>
    <t>File System Fragmentation</t>
  </si>
  <si>
    <t>OSMCQ039</t>
  </si>
  <si>
    <t>File organization and access methods</t>
  </si>
  <si>
    <t>OSP14</t>
  </si>
  <si>
    <t>File Organization Types</t>
  </si>
  <si>
    <t>OSMCQ040</t>
  </si>
  <si>
    <t>Sequential File Organization</t>
  </si>
  <si>
    <t>OSMCQ041</t>
  </si>
  <si>
    <t>Indexed File Organization</t>
  </si>
  <si>
    <t>OSMCQ042</t>
  </si>
  <si>
    <t>Directory structures</t>
  </si>
  <si>
    <t>OSP15</t>
  </si>
  <si>
    <t>Directory Purpose</t>
  </si>
  <si>
    <t>OSMCQ043</t>
  </si>
  <si>
    <t>File Path Types</t>
  </si>
  <si>
    <t>OSMCQ044</t>
  </si>
  <si>
    <t>File Permissions</t>
  </si>
  <si>
    <t>OSMCQ045</t>
  </si>
  <si>
    <t>File allocation methods</t>
  </si>
  <si>
    <t>OSP16</t>
  </si>
  <si>
    <t>File Allocation Methods</t>
  </si>
  <si>
    <t>OSMCQ046</t>
  </si>
  <si>
    <t>OSMCQ047</t>
  </si>
  <si>
    <t>Indexed Allocation</t>
  </si>
  <si>
    <t>OSMCQ048</t>
  </si>
  <si>
    <t>File system reliability and recovery</t>
  </si>
  <si>
    <t>OSP17</t>
  </si>
  <si>
    <t>File System Reliability</t>
  </si>
  <si>
    <t>OSMCQ049</t>
  </si>
  <si>
    <t>Journaling</t>
  </si>
  <si>
    <t>OSMCQ050</t>
  </si>
  <si>
    <t>File System Recovery</t>
  </si>
  <si>
    <t>OSMCQ051</t>
  </si>
  <si>
    <t>Distributed file systems</t>
  </si>
  <si>
    <t>OSP18</t>
  </si>
  <si>
    <t>Components of Distributed File Systems</t>
  </si>
  <si>
    <t>OSMCQ052</t>
  </si>
  <si>
    <t>Advantages of Distributed File Systems</t>
  </si>
  <si>
    <t>OSMCQ053</t>
  </si>
  <si>
    <t>Security in Distributed File Systems</t>
  </si>
  <si>
    <t>OSMCQ054</t>
  </si>
  <si>
    <t>I/O Management - I/O Management</t>
  </si>
  <si>
    <t>Introduction to IO Management</t>
  </si>
  <si>
    <t>OSP19</t>
  </si>
  <si>
    <t>I/O Management Components</t>
  </si>
  <si>
    <t>OSMCQ055</t>
  </si>
  <si>
    <t>Blocking vs Non-blocking I/O</t>
  </si>
  <si>
    <t>OSMCQ056</t>
  </si>
  <si>
    <t>I/O Error Handling</t>
  </si>
  <si>
    <t>OSMCQ057</t>
  </si>
  <si>
    <t>Device drivers</t>
  </si>
  <si>
    <t>OSP20</t>
  </si>
  <si>
    <t>Device Driver Functions</t>
  </si>
  <si>
    <t>OSMCQ058</t>
  </si>
  <si>
    <t>Kernel-mode vs User-mode Drivers</t>
  </si>
  <si>
    <t>OSMCQ059</t>
  </si>
  <si>
    <t>Plug-and-Play Device Drivers</t>
  </si>
  <si>
    <t>OSMCQ060</t>
  </si>
  <si>
    <t>Buffering in Operating Systems</t>
  </si>
  <si>
    <t>OSP21</t>
  </si>
  <si>
    <t>Purpose of Buffering</t>
  </si>
  <si>
    <t>OSMCQ061</t>
  </si>
  <si>
    <t>Double Buffering</t>
  </si>
  <si>
    <t>OSMCQ062</t>
  </si>
  <si>
    <t>Drawbacks of Buffering</t>
  </si>
  <si>
    <t>OSMCQ063</t>
  </si>
  <si>
    <t>Spooling in Operating Systems</t>
  </si>
  <si>
    <t>OSP22</t>
  </si>
  <si>
    <t>Spooling Definition</t>
  </si>
  <si>
    <t>OSMCQ064</t>
  </si>
  <si>
    <t>Spooling in Printing</t>
  </si>
  <si>
    <t>OSMCQ065</t>
  </si>
  <si>
    <t>Spooling Applications</t>
  </si>
  <si>
    <t>OSMCQ066</t>
  </si>
  <si>
    <t>IO scheduling in Operating Systems</t>
  </si>
  <si>
    <t>OSP23</t>
  </si>
  <si>
    <t>I/O Scheduling Goals</t>
  </si>
  <si>
    <t>OSMCQ067</t>
  </si>
  <si>
    <t>SCAN Algorithm</t>
  </si>
  <si>
    <t>OSMCQ068</t>
  </si>
  <si>
    <t>I/O Scheduling Algorithms</t>
  </si>
  <si>
    <t>OSMCQ069</t>
  </si>
  <si>
    <t>Direct Memory Access (DMA)</t>
  </si>
  <si>
    <t>OSP24</t>
  </si>
  <si>
    <t>DMA Purpose</t>
  </si>
  <si>
    <t>OSMCQ070</t>
  </si>
  <si>
    <t>DMA Process</t>
  </si>
  <si>
    <t>OSMCQ071</t>
  </si>
  <si>
    <t>DMA Challenges</t>
  </si>
  <si>
    <t>OSMCQ072</t>
  </si>
  <si>
    <t>Virtualization - Virtualization</t>
  </si>
  <si>
    <t>Introduction to Virtualization</t>
  </si>
  <si>
    <t>OSP25</t>
  </si>
  <si>
    <t>Virtualization Definition</t>
  </si>
  <si>
    <t>OSMCQ073</t>
  </si>
  <si>
    <t>Virtualization and Cloud Computing</t>
  </si>
  <si>
    <t>OSMCQ074</t>
  </si>
  <si>
    <t>Full Virtualization vs Paravirtualization</t>
  </si>
  <si>
    <t>OSMCQ075</t>
  </si>
  <si>
    <t>Hypervisors</t>
  </si>
  <si>
    <t>OSP26</t>
  </si>
  <si>
    <t>Hypervisor Types</t>
  </si>
  <si>
    <t>OSMCQ076</t>
  </si>
  <si>
    <t>Hypervisor Benefits</t>
  </si>
  <si>
    <t>OSMCQ077</t>
  </si>
  <si>
    <t>Hypervisors and Cloud Computing</t>
  </si>
  <si>
    <t>OSMCQ078</t>
  </si>
  <si>
    <t>Virtual machines</t>
  </si>
  <si>
    <t>OSP27</t>
  </si>
  <si>
    <t>Virtual Machine Components</t>
  </si>
  <si>
    <t>OSMCQ079</t>
  </si>
  <si>
    <t>Hypervisor Function</t>
  </si>
  <si>
    <t>OSMCQ080</t>
  </si>
  <si>
    <t>Virtual Machine Benefits</t>
  </si>
  <si>
    <t>OSMCQ081</t>
  </si>
  <si>
    <t>Container technologies</t>
  </si>
  <si>
    <t>OSP28</t>
  </si>
  <si>
    <t>Container vs Virtual Machine</t>
  </si>
  <si>
    <t>OSMCQ082</t>
  </si>
  <si>
    <t>Container Isolation Mechanisms</t>
  </si>
  <si>
    <t>OSMCQ083</t>
  </si>
  <si>
    <t>Docker Components</t>
  </si>
  <si>
    <t>OSMCQ084</t>
  </si>
  <si>
    <t>Scheduling Algorithms - Scheduling Algorithms</t>
  </si>
  <si>
    <t>Scheduling Algorithms</t>
  </si>
  <si>
    <t>OSP29</t>
  </si>
  <si>
    <t>Scheduling Importance</t>
  </si>
  <si>
    <t>OSMCQ085</t>
  </si>
  <si>
    <t>Preemptive vs Non-preemptive Scheduling</t>
  </si>
  <si>
    <t>OSMCQ086</t>
  </si>
  <si>
    <t>CPU Burst</t>
  </si>
  <si>
    <t>OSMCQ087</t>
  </si>
  <si>
    <t>First-Come, First-Served (FCFS)</t>
  </si>
  <si>
    <t>OSP30</t>
  </si>
  <si>
    <t>FCFS Characteristics</t>
  </si>
  <si>
    <t>OSMCQ088</t>
  </si>
  <si>
    <t>FCFS Convoy Effect</t>
  </si>
  <si>
    <t>OSMCQ089</t>
  </si>
  <si>
    <t>FCFS Nature</t>
  </si>
  <si>
    <t>OSMCQ090</t>
  </si>
  <si>
    <t>Shortest Job First (SJF)</t>
  </si>
  <si>
    <t>OSP31</t>
  </si>
  <si>
    <t>SJF vs FCFS</t>
  </si>
  <si>
    <t>OSMCQ091</t>
  </si>
  <si>
    <t>Types of SJF</t>
  </si>
  <si>
    <t>OSMCQ092</t>
  </si>
  <si>
    <t>SJF Limitations</t>
  </si>
  <si>
    <t>OSMCQ093</t>
  </si>
  <si>
    <t>Round Robin (RR)</t>
  </si>
  <si>
    <t>OSP32</t>
  </si>
  <si>
    <t>Round Robin Basics</t>
  </si>
  <si>
    <t>OSMCQ094</t>
  </si>
  <si>
    <t>Time Quantum Effects</t>
  </si>
  <si>
    <t>OSMCQ095</t>
  </si>
  <si>
    <t>Round Robin Characteristics</t>
  </si>
  <si>
    <t>OSMCQ096</t>
  </si>
  <si>
    <t>Priority scheduling</t>
  </si>
  <si>
    <t>OSP33</t>
  </si>
  <si>
    <t>Priority Scheduling Basics</t>
  </si>
  <si>
    <t>OSMCQ097</t>
  </si>
  <si>
    <t>Addressing Starvation</t>
  </si>
  <si>
    <t>OSMCQ098</t>
  </si>
  <si>
    <t>Priority Assignment</t>
  </si>
  <si>
    <t>OSMCQ099</t>
  </si>
  <si>
    <t>Multilevel queue scheduling</t>
  </si>
  <si>
    <t>OSP34</t>
  </si>
  <si>
    <t>Multilevel Queue Scheduling Basics</t>
  </si>
  <si>
    <t>OSMCQ100</t>
  </si>
  <si>
    <t>Advantages of Multilevel Queue Scheduling</t>
  </si>
  <si>
    <t>OSMCQ101</t>
  </si>
  <si>
    <t>Addressing Starvation in Multilevel Queue Scheduling</t>
  </si>
  <si>
    <t>OSMCQ102</t>
  </si>
  <si>
    <t>Concurrency and Synchronization - Concurrency and Synchronization</t>
  </si>
  <si>
    <t>Introduction to concurrency and Synchronization</t>
  </si>
  <si>
    <t>OSP35</t>
  </si>
  <si>
    <t>Concurrency Benefits</t>
  </si>
  <si>
    <t>OSMCQ103</t>
  </si>
  <si>
    <t>Synchronization Purpose</t>
  </si>
  <si>
    <t>OSMCQ104</t>
  </si>
  <si>
    <t>Critical Section</t>
  </si>
  <si>
    <t>OSMCQ105</t>
  </si>
  <si>
    <t>Mutual exclusion</t>
  </si>
  <si>
    <t>OSP36</t>
  </si>
  <si>
    <t>Mutual Exclusion Purpose</t>
  </si>
  <si>
    <t>OSMCQ106</t>
  </si>
  <si>
    <t>OSMCQ107</t>
  </si>
  <si>
    <t>OSMCQ108</t>
  </si>
  <si>
    <t>Semaphores and monitors</t>
  </si>
  <si>
    <t>OSP37</t>
  </si>
  <si>
    <t>Semaphore Operations</t>
  </si>
  <si>
    <t>OSMCQ109</t>
  </si>
  <si>
    <t>Monitor Characteristics</t>
  </si>
  <si>
    <t>OSMCQ110</t>
  </si>
  <si>
    <t>Semaphores vs Monitors</t>
  </si>
  <si>
    <t>OSMCQ111</t>
  </si>
  <si>
    <t>Deadlock prevention, avoidance, and detection</t>
  </si>
  <si>
    <t>OSP38</t>
  </si>
  <si>
    <t>Deadlock Conditions</t>
  </si>
  <si>
    <t>OSMCQ112</t>
  </si>
  <si>
    <t>Deadlock Prevention Strategy</t>
  </si>
  <si>
    <t>OSMCQ113</t>
  </si>
  <si>
    <t>Deadlock Handling Approaches</t>
  </si>
  <si>
    <t>OSMCQ114</t>
  </si>
  <si>
    <t>Race conditions</t>
  </si>
  <si>
    <t>OSP39</t>
  </si>
  <si>
    <t>Race Condition Definition</t>
  </si>
  <si>
    <t>OSMCQ115</t>
  </si>
  <si>
    <t>Race Condition Detection</t>
  </si>
  <si>
    <t>OSMCQ116</t>
  </si>
  <si>
    <t>Race Condition Prevention</t>
  </si>
  <si>
    <t>OSMCQ117</t>
  </si>
  <si>
    <t>Producer-consumer problem</t>
  </si>
  <si>
    <t>OSP40</t>
  </si>
  <si>
    <t>Producer-Consumer Problem Components</t>
  </si>
  <si>
    <t>OSMCQ118</t>
  </si>
  <si>
    <t>Semaphores in Producer-Consumer Problem</t>
  </si>
  <si>
    <t>OSMCQ119</t>
  </si>
  <si>
    <t>Real-world Analogy</t>
  </si>
  <si>
    <t>OSMCQ120</t>
  </si>
  <si>
    <t>React Advanced Interview Questions</t>
  </si>
  <si>
    <t>Revise important Advanced React concepts with these interview questions and exercises. Attempt these 25 MCQs and Coding problems to practice Advanced React.</t>
  </si>
  <si>
    <t>MCQ Questions - React Questions</t>
  </si>
  <si>
    <t>React State Definition</t>
  </si>
  <si>
    <t>REACTJSMCQ01</t>
  </si>
  <si>
    <t>Understanding useState Hook</t>
  </si>
  <si>
    <t>REACTJSMCQ02</t>
  </si>
  <si>
    <t>React Hooks Call Order</t>
  </si>
  <si>
    <t>REACTJSMCQ03</t>
  </si>
  <si>
    <t>React Component Lifecycle</t>
  </si>
  <si>
    <t>REACTJSMCQ04</t>
  </si>
  <si>
    <t>Invalid Re-render Trigger</t>
  </si>
  <si>
    <t>REACTJSMCQ05</t>
  </si>
  <si>
    <t>useContext Hook Functionality</t>
  </si>
  <si>
    <t>REACTJSMCQ08</t>
  </si>
  <si>
    <t>React Reconciliation Basics</t>
  </si>
  <si>
    <t>REACTJSMCQ06</t>
  </si>
  <si>
    <t>Component Rerendering Behavior</t>
  </si>
  <si>
    <t>REACTJSMCQ07</t>
  </si>
  <si>
    <t>Understanding Side Effects in React</t>
  </si>
  <si>
    <t>REACTJSMCQ09</t>
  </si>
  <si>
    <t>Props vs State Consistency</t>
  </si>
  <si>
    <t>REACTJSMCQ10</t>
  </si>
  <si>
    <t>React List Key Purpose</t>
  </si>
  <si>
    <t>REACTJSMCQ11</t>
  </si>
  <si>
    <t>Async setState Behavior</t>
  </si>
  <si>
    <t>REACTJSMCQ12</t>
  </si>
  <si>
    <t>useRef Hook Usage</t>
  </si>
  <si>
    <t>REACTJSMCQ13</t>
  </si>
  <si>
    <t>React memo Usage</t>
  </si>
  <si>
    <t>REACTJSMCQ14</t>
  </si>
  <si>
    <t>UseReducer State Management</t>
  </si>
  <si>
    <t>REACTJSMCQ15</t>
  </si>
  <si>
    <t>Inline Functions Re-Renders</t>
  </si>
  <si>
    <t>REACTJSMCQ16</t>
  </si>
  <si>
    <t>React useMemo Optimization</t>
  </si>
  <si>
    <t>REACTJSMCQ17</t>
  </si>
  <si>
    <t>Props Communication in React</t>
  </si>
  <si>
    <t>REACTJSMCQ18</t>
  </si>
  <si>
    <t>useLayoutEffect Purpose</t>
  </si>
  <si>
    <t>REACTJSMCQ19</t>
  </si>
  <si>
    <t>Difference between useState and useRef</t>
  </si>
  <si>
    <t>REACTJSMCQ20</t>
  </si>
  <si>
    <t>Coding Questions - Coding Questions</t>
  </si>
  <si>
    <t>useEffect - Code snippet</t>
  </si>
  <si>
    <t>REACTJSMCQ21</t>
  </si>
  <si>
    <t>useState - Code Snippet</t>
  </si>
  <si>
    <t>REACTJSMCQ22</t>
  </si>
  <si>
    <t>Component Display - Code Snippet</t>
  </si>
  <si>
    <t>REACTJSMCQ23</t>
  </si>
  <si>
    <t>React Timer with useEffect</t>
  </si>
  <si>
    <t>REACTJSMCQ24</t>
  </si>
  <si>
    <t>Initial State Toggle Button</t>
  </si>
  <si>
    <t>REACTJSMCQ25</t>
  </si>
  <si>
    <t>Python Developer Interview Preparation</t>
  </si>
  <si>
    <t>Prepare for freshers interviews for Python developer roles. Practice your responses for commonly asked Interview questions.</t>
  </si>
  <si>
    <t>Python Fundamentals - Python Fundamentals</t>
  </si>
  <si>
    <t>Lists vs. Tuples</t>
  </si>
  <si>
    <t>SHRTPROB90</t>
  </si>
  <si>
    <t>Concurrency Bottleneck</t>
  </si>
  <si>
    <t>SHRTPROB91</t>
  </si>
  <si>
    <t>Memory Handling Techniques</t>
  </si>
  <si>
    <t>SHRTPROB92</t>
  </si>
  <si>
    <t>Enhanced Functions</t>
  </si>
  <si>
    <t>SHRTPROB93</t>
  </si>
  <si>
    <t>String Duality</t>
  </si>
  <si>
    <t>SHRTPROB94</t>
  </si>
  <si>
    <t>Exception Handling</t>
  </si>
  <si>
    <t>SHRTPROB95</t>
  </si>
  <si>
    <t>Concise Lists</t>
  </si>
  <si>
    <t>SHRTPROB96</t>
  </si>
  <si>
    <t>GenFib</t>
  </si>
  <si>
    <t>SHRTPROB97</t>
  </si>
  <si>
    <t>SHRTPROB98</t>
  </si>
  <si>
    <t>Copycat Conundrum</t>
  </si>
  <si>
    <t>SHRTPROB99</t>
  </si>
  <si>
    <t>Inheritance Resolution</t>
  </si>
  <si>
    <t>SHRTPROB100</t>
  </si>
  <si>
    <t>Flexible Functions</t>
  </si>
  <si>
    <t>SHRTPROB101</t>
  </si>
  <si>
    <t>Understanding Metaclasses</t>
  </si>
  <si>
    <t>SHRTPROB102</t>
  </si>
  <si>
    <t>Custom Context</t>
  </si>
  <si>
    <t>SHRTPROB103</t>
  </si>
  <si>
    <t>Code Optimization</t>
  </si>
  <si>
    <t>SHRTPROB104</t>
  </si>
  <si>
    <t>Attribute Access Control</t>
  </si>
  <si>
    <t>SHRTPROB105</t>
  </si>
  <si>
    <t>Identity vs. Equality</t>
  </si>
  <si>
    <t>SHRTPROB106</t>
  </si>
  <si>
    <t>Dynamic Modification</t>
  </si>
  <si>
    <t>SHRTPROB108</t>
  </si>
  <si>
    <t>Static vs. Class</t>
  </si>
  <si>
    <t>SHRTPROB109</t>
  </si>
  <si>
    <t>Data structures and Algorithms (Coding problems) - Data structures and Algorithms (Coding problems)</t>
  </si>
  <si>
    <t>Check Reachability</t>
  </si>
  <si>
    <t>DAA109</t>
  </si>
  <si>
    <t>Single Source Shortest Path</t>
  </si>
  <si>
    <t>DAA119</t>
  </si>
  <si>
    <t>Implement complete heap</t>
  </si>
  <si>
    <t>HEAP06</t>
  </si>
  <si>
    <t>Queue - To do list</t>
  </si>
  <si>
    <t>QUEUE06</t>
  </si>
  <si>
    <t>Auto-Complete</t>
  </si>
  <si>
    <t>TRIE11</t>
  </si>
  <si>
    <t>PreOrder Traversal</t>
  </si>
  <si>
    <t>BTPREORDER</t>
  </si>
  <si>
    <t>Complete the implementation</t>
  </si>
  <si>
    <t>SESO43</t>
  </si>
  <si>
    <t>Count Beautiful Pairs</t>
  </si>
  <si>
    <t>DSAAGP58</t>
  </si>
  <si>
    <t>Binary Search</t>
  </si>
  <si>
    <t>DSAAGP1093</t>
  </si>
  <si>
    <t>DSAAGP119A</t>
  </si>
  <si>
    <t>Database and SQL - Database and SQL</t>
  </si>
  <si>
    <t>Join Types Explained</t>
  </si>
  <si>
    <t>SHRTPROB120</t>
  </si>
  <si>
    <t>Project - Distinct with name pattern</t>
  </si>
  <si>
    <t>GSQ35</t>
  </si>
  <si>
    <t>Query Tuning</t>
  </si>
  <si>
    <t>SHRTPROB121</t>
  </si>
  <si>
    <t>Task-8  Patients Treated in Multiple Departments</t>
  </si>
  <si>
    <t>ASQLPR109</t>
  </si>
  <si>
    <t>Normalization Types</t>
  </si>
  <si>
    <t>SHRTPROB122</t>
  </si>
  <si>
    <t>Task-10  Get Treatment Feedback from Patients</t>
  </si>
  <si>
    <t>ASQLPR111</t>
  </si>
  <si>
    <t>Database Pillars</t>
  </si>
  <si>
    <t>SHRTPROB124</t>
  </si>
  <si>
    <t>Task-3C Data Retrieval Using Queries</t>
  </si>
  <si>
    <t>RSMSPR03C</t>
  </si>
  <si>
    <t>Filtering Differences</t>
  </si>
  <si>
    <t>SHRTPROB125</t>
  </si>
  <si>
    <t>Task-4 Data Modification (Update and Alter)</t>
  </si>
  <si>
    <t>RSMSPR04D</t>
  </si>
  <si>
    <t>Database Keys</t>
  </si>
  <si>
    <t>SHRTPROB126</t>
  </si>
  <si>
    <t>SHRTPROB127</t>
  </si>
  <si>
    <t>Web development and APIs - Web development and APIs</t>
  </si>
  <si>
    <t>REST API Fundamentals</t>
  </si>
  <si>
    <t>SHRTPROB128</t>
  </si>
  <si>
    <t>CORS Handling</t>
  </si>
  <si>
    <t>SHRTPROB129</t>
  </si>
  <si>
    <t>GET vs. POST</t>
  </si>
  <si>
    <t>SHRTPROB130</t>
  </si>
  <si>
    <t>API Versioning Strategies</t>
  </si>
  <si>
    <t>SHRTPROB131</t>
  </si>
  <si>
    <t>HTTP Status Codes</t>
  </si>
  <si>
    <t>SHRTPROB132</t>
  </si>
  <si>
    <t>Web File Uploads</t>
  </si>
  <si>
    <t>SHRTPROB133</t>
  </si>
  <si>
    <t>Web Session Handling</t>
  </si>
  <si>
    <t>SHRTPROB134</t>
  </si>
  <si>
    <t>API Endpoint Security</t>
  </si>
  <si>
    <t>SHRTPROB135</t>
  </si>
  <si>
    <t>Real-time Communication</t>
  </si>
  <si>
    <t>SHRTPROB136</t>
  </si>
  <si>
    <t>Data Access Strategies</t>
  </si>
  <si>
    <t>SHRTPROB137</t>
  </si>
  <si>
    <t>Testing and development practices - Testing and development practices</t>
  </si>
  <si>
    <t>TDD Explained</t>
  </si>
  <si>
    <t>SHRTPROB138</t>
  </si>
  <si>
    <t>Dependency Mocking</t>
  </si>
  <si>
    <t>SHRTPROB139</t>
  </si>
  <si>
    <t>Automated Delivery</t>
  </si>
  <si>
    <t>SHRTPROB140</t>
  </si>
  <si>
    <t>Test Data Management</t>
  </si>
  <si>
    <t>SHRTPROB141</t>
  </si>
  <si>
    <t>Test Double Types</t>
  </si>
  <si>
    <t>SHRTPROB142</t>
  </si>
  <si>
    <t>Coverage Metrics</t>
  </si>
  <si>
    <t>SHRTPROB143</t>
  </si>
  <si>
    <t>BDD Explained</t>
  </si>
  <si>
    <t>SHRTPROB144</t>
  </si>
  <si>
    <t>Data Assurance</t>
  </si>
  <si>
    <t>SHRTPROB145</t>
  </si>
  <si>
    <t>Test Case Organization</t>
  </si>
  <si>
    <t>SHRTPROB147</t>
  </si>
  <si>
    <t>Advanced Python concepts - Advanced Python concepts</t>
  </si>
  <si>
    <t>Async Context Manager</t>
  </si>
  <si>
    <t>SHRTPROB148</t>
  </si>
  <si>
    <t>Async Scraping</t>
  </si>
  <si>
    <t>SHRTPROB149</t>
  </si>
  <si>
    <t>Validating Attribute Descriptor</t>
  </si>
  <si>
    <t>SHRTPROB150</t>
  </si>
  <si>
    <t>Memory Efficiency</t>
  </si>
  <si>
    <t>SHRTPROB151</t>
  </si>
  <si>
    <t>TimedCache</t>
  </si>
  <si>
    <t>SHRTPROB152</t>
  </si>
  <si>
    <t>Method Resolution</t>
  </si>
  <si>
    <t>SHRTPROB153</t>
  </si>
  <si>
    <t>Custom Serializer</t>
  </si>
  <si>
    <t>SHRTPROB154</t>
  </si>
  <si>
    <t>Code to Bytes</t>
  </si>
  <si>
    <t>SHRTPROB155</t>
  </si>
  <si>
    <t>LogCraft</t>
  </si>
  <si>
    <t>SHRTPROB156</t>
  </si>
  <si>
    <t>Module Loading Deep Dive</t>
  </si>
  <si>
    <t>SHRTPROB157</t>
  </si>
  <si>
    <t>Custom Type Verification</t>
  </si>
  <si>
    <t>SHRTPROB158</t>
  </si>
  <si>
    <t>Attribute Delegation</t>
  </si>
  <si>
    <t>SHRTPROB159</t>
  </si>
  <si>
    <t>Event System Design</t>
  </si>
  <si>
    <t>SHRTPROB160</t>
  </si>
  <si>
    <t>Object Memory Optimization</t>
  </si>
  <si>
    <t>SHRTPROB161</t>
  </si>
  <si>
    <t>System design and Architecture - System design and Architecture</t>
  </si>
  <si>
    <t>TaskFlow</t>
  </si>
  <si>
    <t>SHRTPROB162</t>
  </si>
  <si>
    <t>Notification system</t>
  </si>
  <si>
    <t>SHRTPROB163</t>
  </si>
  <si>
    <t>URL shorterner</t>
  </si>
  <si>
    <t>SHRTPROB164</t>
  </si>
  <si>
    <t>Rate limiting</t>
  </si>
  <si>
    <t>SHRTPROB165</t>
  </si>
  <si>
    <t>Basic search engine</t>
  </si>
  <si>
    <t>SHRTPROB166</t>
  </si>
  <si>
    <t>Caching system</t>
  </si>
  <si>
    <t>SHRTPROB167</t>
  </si>
  <si>
    <t>Social media feed</t>
  </si>
  <si>
    <t>SHRTPROB168</t>
  </si>
  <si>
    <t>Recommendation system</t>
  </si>
  <si>
    <t>SHRTPROB169</t>
  </si>
  <si>
    <t>File storage system</t>
  </si>
  <si>
    <t>SHRTPROB170</t>
  </si>
  <si>
    <t>Payment processing system</t>
  </si>
  <si>
    <t>SHRTPROB171</t>
  </si>
  <si>
    <t>StreamVerse</t>
  </si>
  <si>
    <t>SHRTPROB172</t>
  </si>
  <si>
    <t>Simple Logger</t>
  </si>
  <si>
    <t>SHRTPROB173</t>
  </si>
  <si>
    <t>User authentication</t>
  </si>
  <si>
    <t>SHRTPROB174</t>
  </si>
  <si>
    <t>Messaging system</t>
  </si>
  <si>
    <t>SHRTPROB175</t>
  </si>
  <si>
    <t>Content moderation system</t>
  </si>
  <si>
    <t>SHRTPROB176</t>
  </si>
  <si>
    <t>Analytics system</t>
  </si>
  <si>
    <t>SHRTPROB177</t>
  </si>
  <si>
    <t>Distributed locking</t>
  </si>
  <si>
    <t>SHRTPROB178</t>
  </si>
  <si>
    <t>Job scheduling</t>
  </si>
  <si>
    <t>SHRTPROB179</t>
  </si>
  <si>
    <t>Configuration management system</t>
  </si>
  <si>
    <t>SHRTPROB180</t>
  </si>
  <si>
    <t>Microservices architecture</t>
  </si>
  <si>
    <t>SHRTPROB181</t>
  </si>
  <si>
    <t>Project implementation - Project implementation</t>
  </si>
  <si>
    <t>Async Crawlers</t>
  </si>
  <si>
    <t>SHRTPROB182</t>
  </si>
  <si>
    <t>Real-Time Chat App with WebSockets</t>
  </si>
  <si>
    <t>SHRTPROB183</t>
  </si>
  <si>
    <t>Secured API</t>
  </si>
  <si>
    <t>SHRTPROB184</t>
  </si>
  <si>
    <t>Recommender Lite</t>
  </si>
  <si>
    <t>SHRTPROB185</t>
  </si>
  <si>
    <t>Resilient Task Scheduler</t>
  </si>
  <si>
    <t>SHRTPROB186</t>
  </si>
  <si>
    <t>Web Application Cache Implementation</t>
  </si>
  <si>
    <t>SHRTPROB187</t>
  </si>
  <si>
    <t>Simple Search Index</t>
  </si>
  <si>
    <t>SHRTPROB188</t>
  </si>
  <si>
    <t>Throttle</t>
  </si>
  <si>
    <t>SHRTPROB189</t>
  </si>
  <si>
    <t>SimpleQ</t>
  </si>
  <si>
    <t>SHRTPROB190</t>
  </si>
  <si>
    <t>SimpleBalancer</t>
  </si>
  <si>
    <t>SHRTPROB191</t>
  </si>
  <si>
    <t>Watchdog</t>
  </si>
  <si>
    <t>SHRTPROB192</t>
  </si>
  <si>
    <t>Orchestrator</t>
  </si>
  <si>
    <t>SHRTPROB193</t>
  </si>
  <si>
    <t>Automated Deployment Flow</t>
  </si>
  <si>
    <t>SHRTPROB194</t>
  </si>
  <si>
    <t>SHRTPROB195</t>
  </si>
  <si>
    <t>ServiceBeacon</t>
  </si>
  <si>
    <t>SHRTPROB196</t>
  </si>
  <si>
    <t>API Conduit</t>
  </si>
  <si>
    <t>SHRTPROB197</t>
  </si>
  <si>
    <t>Data Flow Blueprint</t>
  </si>
  <si>
    <t>SHRTPROB198</t>
  </si>
  <si>
    <t>AuthCore</t>
  </si>
  <si>
    <t>SHRTPROB199</t>
  </si>
  <si>
    <t>CacheLite</t>
  </si>
  <si>
    <t>SHRTPROB200</t>
  </si>
  <si>
    <t>LogSimple</t>
  </si>
  <si>
    <t>SHRTPROB201</t>
  </si>
  <si>
    <t>Performance and Optimization - Performance and Optimization</t>
  </si>
  <si>
    <t>Performance Bottleneck Buster</t>
  </si>
  <si>
    <t>SHRTPROB202</t>
  </si>
  <si>
    <t>Query Optimizer</t>
  </si>
  <si>
    <t>SHRTPROB203</t>
  </si>
  <si>
    <t>Memory Efficiency Maximization</t>
  </si>
  <si>
    <t>SHRTPROB204</t>
  </si>
  <si>
    <t>Smart Caching</t>
  </si>
  <si>
    <t>SHRTPROB205</t>
  </si>
  <si>
    <t>API Speed Boost</t>
  </si>
  <si>
    <t>SHRTPROB206</t>
  </si>
  <si>
    <t>PooledDB</t>
  </si>
  <si>
    <t>SHRTPROB207</t>
  </si>
  <si>
    <t>Efficient Data Handling</t>
  </si>
  <si>
    <t>SHRTPROB208</t>
  </si>
  <si>
    <t>Performance Tuning</t>
  </si>
  <si>
    <t>SHRTPROB209</t>
  </si>
  <si>
    <t>Efficient Data Fetching</t>
  </si>
  <si>
    <t>SHRTPROB210</t>
  </si>
  <si>
    <t>SHRTPROB211</t>
  </si>
  <si>
    <t>Indexing Optimization</t>
  </si>
  <si>
    <t>SHRTPROB212</t>
  </si>
  <si>
    <t>Memoized Queries</t>
  </si>
  <si>
    <t>SHRTPROB213</t>
  </si>
  <si>
    <t>BatchBoost</t>
  </si>
  <si>
    <t>SHRTPROB214</t>
  </si>
  <si>
    <t>Async Boost</t>
  </si>
  <si>
    <t>SHRTPROB215</t>
  </si>
  <si>
    <t>Image Processing Optimization</t>
  </si>
  <si>
    <t>SHRTPROB216</t>
  </si>
  <si>
    <t>Data Partitioning</t>
  </si>
  <si>
    <t>SHRTPROB217</t>
  </si>
  <si>
    <t>Cache Invalidation Optimization</t>
  </si>
  <si>
    <t>SHRTPROB218</t>
  </si>
  <si>
    <t>Lazy Load Implementation</t>
  </si>
  <si>
    <t>SHRTPROB219</t>
  </si>
  <si>
    <t>Background Task Optimization</t>
  </si>
  <si>
    <t>SHRTPROB220</t>
  </si>
  <si>
    <t>QueryCache</t>
  </si>
  <si>
    <t>SHRTPROB221</t>
  </si>
  <si>
    <t>Project Review and Architecture - Project review and Architecture</t>
  </si>
  <si>
    <t>Code Hardening Review</t>
  </si>
  <si>
    <t>SHRTPROB222</t>
  </si>
  <si>
    <t>Architecture Refinement</t>
  </si>
  <si>
    <t>SHRTPROB223</t>
  </si>
  <si>
    <t>Performance Code Review</t>
  </si>
  <si>
    <t>SHRTPROB224</t>
  </si>
  <si>
    <t>Schema Refinement</t>
  </si>
  <si>
    <t>SHRTPROB225</t>
  </si>
  <si>
    <t>API Refinement</t>
  </si>
  <si>
    <t>SHRTPROB226</t>
  </si>
  <si>
    <t>Robustness Refinement</t>
  </si>
  <si>
    <t>SHRTPROB227</t>
  </si>
  <si>
    <t>Observability Audit</t>
  </si>
  <si>
    <t>SHRTPROB228</t>
  </si>
  <si>
    <t>Test Optimization</t>
  </si>
  <si>
    <t>SHRTPROB229</t>
  </si>
  <si>
    <t>Deployment Architecture Review</t>
  </si>
  <si>
    <t>SHRTPROB230</t>
  </si>
  <si>
    <t>Scalability Bottleneck Analysis</t>
  </si>
  <si>
    <t>SHRTPROB231</t>
  </si>
  <si>
    <t>Cache Audit</t>
  </si>
  <si>
    <t>SHRTPROB232</t>
  </si>
  <si>
    <t>Authentication Hardening</t>
  </si>
  <si>
    <t>SHRTPROB233</t>
  </si>
  <si>
    <t>Data Model Review</t>
  </si>
  <si>
    <t>SHRTPROB234</t>
  </si>
  <si>
    <t>Integration Optimization</t>
  </si>
  <si>
    <t>SHRTPROB235</t>
  </si>
  <si>
    <t>Code Architecture Review</t>
  </si>
  <si>
    <t>SHRTPROB236</t>
  </si>
  <si>
    <t>ConfigOpt</t>
  </si>
  <si>
    <t>SHRTPROB237</t>
  </si>
  <si>
    <t>Dependency Audit</t>
  </si>
  <si>
    <t>SHRTPROB238</t>
  </si>
  <si>
    <t>Pipeline Optimization</t>
  </si>
  <si>
    <t>SHRTPROB239</t>
  </si>
  <si>
    <t>Documentation Quality Review</t>
  </si>
  <si>
    <t>SHRTPROB240</t>
  </si>
  <si>
    <t>System Refinement</t>
  </si>
  <si>
    <t>SHRTPROB241</t>
  </si>
  <si>
    <t>Java Developer Interview Preparation</t>
  </si>
  <si>
    <t>Prepare for freshers interviews for Java developer roles. Practice your responses for commonly asked Interview questions.</t>
  </si>
  <si>
    <t>Java Fundamentals - Java Fundamentals</t>
  </si>
  <si>
    <t>Comment Identity Crisis</t>
  </si>
  <si>
    <t>JVASHRTA05</t>
  </si>
  <si>
    <t>Static Greeting</t>
  </si>
  <si>
    <t>JVASHRTA06</t>
  </si>
  <si>
    <t>Final Variable Reassignment</t>
  </si>
  <si>
    <t>JVASHRTA07</t>
  </si>
  <si>
    <t>Infinite Loop</t>
  </si>
  <si>
    <t>JVASHRTA08</t>
  </si>
  <si>
    <t>StringConcatenation</t>
  </si>
  <si>
    <t>JVASHRTA09</t>
  </si>
  <si>
    <t>StringEquality</t>
  </si>
  <si>
    <t>JVASHRTA10</t>
  </si>
  <si>
    <t>NullPointerException</t>
  </si>
  <si>
    <t>JVASHRTA11</t>
  </si>
  <si>
    <t>ScannerGotcha</t>
  </si>
  <si>
    <t>JVASHRTA12</t>
  </si>
  <si>
    <t>String Concatenation Performance</t>
  </si>
  <si>
    <t>JVASHRTA13</t>
  </si>
  <si>
    <t>StaticHiding</t>
  </si>
  <si>
    <t>JVASHRTA14</t>
  </si>
  <si>
    <t>SuperCallOrder</t>
  </si>
  <si>
    <t>JVASHRTA15</t>
  </si>
  <si>
    <t>Java Keyword Enforcement</t>
  </si>
  <si>
    <t>JVASHRTA16</t>
  </si>
  <si>
    <t>Object-Oriented Programming - Object-Oriented Programming</t>
  </si>
  <si>
    <t>Build an OOP-Based Calculator</t>
  </si>
  <si>
    <t>JVPREPOOP01</t>
  </si>
  <si>
    <t>OOP Pillars Illustrated</t>
  </si>
  <si>
    <t>JVASHRTA17</t>
  </si>
  <si>
    <t>Model a Simple Banking System Using OOP</t>
  </si>
  <si>
    <t>JVPREPOOP02</t>
  </si>
  <si>
    <t>Abstract Class vs. Interface</t>
  </si>
  <si>
    <t>JVASHRTA18</t>
  </si>
  <si>
    <t>Shape It Up</t>
  </si>
  <si>
    <t>JVPREPOOP03</t>
  </si>
  <si>
    <t>Composition vs. Inheritance</t>
  </si>
  <si>
    <t>JVASHRTA19</t>
  </si>
  <si>
    <t>Build a Student Management System Using OOP</t>
  </si>
  <si>
    <t>JVPREPOOP04</t>
  </si>
  <si>
    <t>JVASHRTA20</t>
  </si>
  <si>
    <t>Simple Inventory Management System</t>
  </si>
  <si>
    <t>JVPREPOOP05</t>
  </si>
  <si>
    <t>BankAccountEncapsulation</t>
  </si>
  <si>
    <t>JVASHRTA21</t>
  </si>
  <si>
    <t>Data Structures and Algorithms - Data Structures and Algorithms</t>
  </si>
  <si>
    <t>Coins And Triangle</t>
  </si>
  <si>
    <t>TRICOIN</t>
  </si>
  <si>
    <t>1075</t>
  </si>
  <si>
    <t>Implement Stack using Arrays</t>
  </si>
  <si>
    <t>STACK03</t>
  </si>
  <si>
    <t>Height Balanced Binary Tree</t>
  </si>
  <si>
    <t>HBBTREE</t>
  </si>
  <si>
    <t>SESO44</t>
  </si>
  <si>
    <t>VISA06</t>
  </si>
  <si>
    <t>Top K Frequent Numbers After Each Element</t>
  </si>
  <si>
    <t>ACCOLITE04</t>
  </si>
  <si>
    <t>DSAAGP96</t>
  </si>
  <si>
    <t>DSAAGP105</t>
  </si>
  <si>
    <t>Save Konoha</t>
  </si>
  <si>
    <t>SAVEKONO</t>
  </si>
  <si>
    <t>Java Collections Framework - Java Collections Framework</t>
  </si>
  <si>
    <t>PlaylistPerformance</t>
  </si>
  <si>
    <t>JVASHRTA22</t>
  </si>
  <si>
    <t>Sort the Super Squad</t>
  </si>
  <si>
    <t>JVPREPJCF01</t>
  </si>
  <si>
    <t>Concurrent Sessions</t>
  </si>
  <si>
    <t>JVASHRTA23</t>
  </si>
  <si>
    <t>No Double Trouble</t>
  </si>
  <si>
    <t>JVPREPJCF02</t>
  </si>
  <si>
    <t>HashMapIteration</t>
  </si>
  <si>
    <t>JVASHRTA24</t>
  </si>
  <si>
    <t>Word Frequency Counter</t>
  </si>
  <si>
    <t>JVPREPJCF03</t>
  </si>
  <si>
    <t>UniqueTags</t>
  </si>
  <si>
    <t>JVASHRTA25</t>
  </si>
  <si>
    <t>Build Your Own ArrayList</t>
  </si>
  <si>
    <t>JVPREPJCF04</t>
  </si>
  <si>
    <t>TreeMapSort</t>
  </si>
  <si>
    <t>JVASHRTA26</t>
  </si>
  <si>
    <t>Sort a Map by Values</t>
  </si>
  <si>
    <t>JVPREPJCF05</t>
  </si>
  <si>
    <t>Exception Handling and File I/O - Exception Handling and File I/O</t>
  </si>
  <si>
    <t>FileWriterCloseSafety</t>
  </si>
  <si>
    <t>JVASHRTA28</t>
  </si>
  <si>
    <t>Word Frequency Counter from a File</t>
  </si>
  <si>
    <t>JVPREPEXEP01</t>
  </si>
  <si>
    <t>Try-with-Resources Explained</t>
  </si>
  <si>
    <t>JVASHRTA29</t>
  </si>
  <si>
    <t>Implement and Use a Custom Exception</t>
  </si>
  <si>
    <t>JVPREPEXEP02</t>
  </si>
  <si>
    <t>Throw vs Throws</t>
  </si>
  <si>
    <t>JVASHRTA30</t>
  </si>
  <si>
    <t>Build a Simple File Backup Tool</t>
  </si>
  <si>
    <t>JVPREPEXEP03</t>
  </si>
  <si>
    <t>ExceptionWrappingRationale</t>
  </si>
  <si>
    <t>JVASHRTA31</t>
  </si>
  <si>
    <t>Advanced Java Concepts - Advanced Java Concepts</t>
  </si>
  <si>
    <t>RaceCondition</t>
  </si>
  <si>
    <t>JVASHRTA32</t>
  </si>
  <si>
    <t>SquareFunction</t>
  </si>
  <si>
    <t>JVASHRTA33</t>
  </si>
  <si>
    <t>Method Reference Print</t>
  </si>
  <si>
    <t>JVASHRTA34</t>
  </si>
  <si>
    <t>GarbageCollectionCall</t>
  </si>
  <si>
    <t>JVASHRTA36</t>
  </si>
  <si>
    <t>Java Reflection</t>
  </si>
  <si>
    <t>JVASHRTA60</t>
  </si>
  <si>
    <t>Schedule Tasks</t>
  </si>
  <si>
    <t>JVASHRTA61</t>
  </si>
  <si>
    <t>Web Crawler</t>
  </si>
  <si>
    <t>JVASHRTA62</t>
  </si>
  <si>
    <t>Design Patterns and Architecture - Design Patterns and Architecture</t>
  </si>
  <si>
    <t>Single Responsibility Violation</t>
  </si>
  <si>
    <t>JVASHRTA37</t>
  </si>
  <si>
    <t>Factory Pattern for Notification Service</t>
  </si>
  <si>
    <t>JVASHRTA38</t>
  </si>
  <si>
    <t>Tight Coupling</t>
  </si>
  <si>
    <t>JVASHRTA39</t>
  </si>
  <si>
    <t>Monolith to Microservices</t>
  </si>
  <si>
    <t>JVASHRTA40</t>
  </si>
  <si>
    <t>Shopping App</t>
  </si>
  <si>
    <t>JVASHRTA63</t>
  </si>
  <si>
    <t>Reporting Tool</t>
  </si>
  <si>
    <t>JVASHRTA64</t>
  </si>
  <si>
    <t>Game Engine</t>
  </si>
  <si>
    <t>JVASHRTA65</t>
  </si>
  <si>
    <t>Spring Framework and Web Development - Spring Framework and Web Development</t>
  </si>
  <si>
    <t>Spring Framework</t>
  </si>
  <si>
    <t>JVASHRTA41</t>
  </si>
  <si>
    <t>DI Decoupling</t>
  </si>
  <si>
    <t>JVASHRTA43</t>
  </si>
  <si>
    <t>AOP Authentication</t>
  </si>
  <si>
    <t>JVASHRTA44</t>
  </si>
  <si>
    <t>Spring Bean Scopes and Lifecycles</t>
  </si>
  <si>
    <t>JVASHRTA45</t>
  </si>
  <si>
    <t>Spring Stereotype Annotations</t>
  </si>
  <si>
    <t>JVASHRTA46</t>
  </si>
  <si>
    <t>Database and ORM - Database and ORM</t>
  </si>
  <si>
    <t>SQL vs. NoSQL Database Choice</t>
  </si>
  <si>
    <t>JVASHRTA47</t>
  </si>
  <si>
    <t>The N+1 Query Problem</t>
  </si>
  <si>
    <t>JVASHRTA48</t>
  </si>
  <si>
    <t>Data Redundancy in Students Table</t>
  </si>
  <si>
    <t>JVASHRTA49</t>
  </si>
  <si>
    <t>Indexing for Product Name Search</t>
  </si>
  <si>
    <t>JVASHRTA51</t>
  </si>
  <si>
    <t>Banking ACID Test</t>
  </si>
  <si>
    <t>JVASHRTA52</t>
  </si>
  <si>
    <t>Product Catalog</t>
  </si>
  <si>
    <t>JVASHRTA66</t>
  </si>
  <si>
    <t>Customer Dashboard</t>
  </si>
  <si>
    <t>JVASHRTA67</t>
  </si>
  <si>
    <t>Performance Issue</t>
  </si>
  <si>
    <t>JVASHRTA68</t>
  </si>
  <si>
    <t>Retrieve Book Details from Library</t>
  </si>
  <si>
    <t>JDBCPROB0033</t>
  </si>
  <si>
    <t>Display Course Names</t>
  </si>
  <si>
    <t>JDBCPROB0042</t>
  </si>
  <si>
    <t>Testing and DevOps - Testing and DevOps</t>
  </si>
  <si>
    <t>Unit vs. Integration Testing</t>
  </si>
  <si>
    <t>JVASHRTA53</t>
  </si>
  <si>
    <t>TDD Login Test First</t>
  </si>
  <si>
    <t>JVASHRTA54</t>
  </si>
  <si>
    <t>Deployment Hell</t>
  </si>
  <si>
    <t>JVASHRTA55</t>
  </si>
  <si>
    <t>Containers vs VMs: A Quick Comparison</t>
  </si>
  <si>
    <t>JVASHRTA56</t>
  </si>
  <si>
    <t>Infrastructure as Code (IaC)</t>
  </si>
  <si>
    <t>JVASHRTA57</t>
  </si>
  <si>
    <t>SQL case studies</t>
  </si>
  <si>
    <t>Put your SQL skills to the test. Get better at intermediate level Analytics using the case studies given in this practice path</t>
  </si>
  <si>
    <t>Case Study - Cinema Hall - MCQ</t>
  </si>
  <si>
    <t>MCQ-1</t>
  </si>
  <si>
    <t>SQLP033</t>
  </si>
  <si>
    <t>MCQ-2</t>
  </si>
  <si>
    <t>SQLP034</t>
  </si>
  <si>
    <t>MCQ-3</t>
  </si>
  <si>
    <t>SQLP035</t>
  </si>
  <si>
    <t>MCQ-4</t>
  </si>
  <si>
    <t>SQLP036</t>
  </si>
  <si>
    <t>MCQ-5</t>
  </si>
  <si>
    <t>SQLP037</t>
  </si>
  <si>
    <t>MCQ-6</t>
  </si>
  <si>
    <t>SQLP038</t>
  </si>
  <si>
    <t>MCQ-7</t>
  </si>
  <si>
    <t>SQLP039</t>
  </si>
  <si>
    <t>MCQ-8</t>
  </si>
  <si>
    <t>SQLP040</t>
  </si>
  <si>
    <t>MCQ-9</t>
  </si>
  <si>
    <t>SQLP041</t>
  </si>
  <si>
    <t>MCQ-10</t>
  </si>
  <si>
    <t>SQLP042</t>
  </si>
  <si>
    <t>MCQ-11</t>
  </si>
  <si>
    <t>SQLP043</t>
  </si>
  <si>
    <t>MCQ-12</t>
  </si>
  <si>
    <t>SQLP044</t>
  </si>
  <si>
    <t>MCQ-13</t>
  </si>
  <si>
    <t>SQLP045</t>
  </si>
  <si>
    <t>MCQ-14</t>
  </si>
  <si>
    <t>SQLP046</t>
  </si>
  <si>
    <t>MCQ-15</t>
  </si>
  <si>
    <t>SQLP047</t>
  </si>
  <si>
    <t>Rearrange code-1</t>
  </si>
  <si>
    <t>SQLP048</t>
  </si>
  <si>
    <t>Rearrange code-2</t>
  </si>
  <si>
    <t>SQLP049</t>
  </si>
  <si>
    <t>Rearrange code-3</t>
  </si>
  <si>
    <t>SQLP050</t>
  </si>
  <si>
    <t>Rearrange code-4</t>
  </si>
  <si>
    <t>SQLP051</t>
  </si>
  <si>
    <t>Rearrange code-5</t>
  </si>
  <si>
    <t>SQLP052</t>
  </si>
  <si>
    <t>Case Study - Cinema Hall - Queries</t>
  </si>
  <si>
    <t>Query-1</t>
  </si>
  <si>
    <t>SQLP053</t>
  </si>
  <si>
    <t>Query-2</t>
  </si>
  <si>
    <t>SQLP054</t>
  </si>
  <si>
    <t>Query-3</t>
  </si>
  <si>
    <t>SQLP055</t>
  </si>
  <si>
    <t>Query-4</t>
  </si>
  <si>
    <t>SQLP056</t>
  </si>
  <si>
    <t>Query-5</t>
  </si>
  <si>
    <t>SQLP057</t>
  </si>
  <si>
    <t>Query-6</t>
  </si>
  <si>
    <t>SQLP058</t>
  </si>
  <si>
    <t>Query-7</t>
  </si>
  <si>
    <t>SQLP059</t>
  </si>
  <si>
    <t>Query-8</t>
  </si>
  <si>
    <t>SQLP060</t>
  </si>
  <si>
    <t>Query-9</t>
  </si>
  <si>
    <t>SQLP061</t>
  </si>
  <si>
    <t>Query-10</t>
  </si>
  <si>
    <t>SQLP062</t>
  </si>
  <si>
    <t>Query-11</t>
  </si>
  <si>
    <t>SQLP063</t>
  </si>
  <si>
    <t>Query-12</t>
  </si>
  <si>
    <t>SQLP064</t>
  </si>
  <si>
    <t>Case Study - Online Education Courses - MCQ</t>
  </si>
  <si>
    <t>Case Study - Online Education Courses</t>
  </si>
  <si>
    <t>SQLP085</t>
  </si>
  <si>
    <t>Rearrange1</t>
  </si>
  <si>
    <t>SQLP086</t>
  </si>
  <si>
    <t>MCQ2</t>
  </si>
  <si>
    <t>SQLP077</t>
  </si>
  <si>
    <t>MCQ3</t>
  </si>
  <si>
    <t>SQLP078</t>
  </si>
  <si>
    <t>MCQ4</t>
  </si>
  <si>
    <t>SQLP094</t>
  </si>
  <si>
    <t>MCQ5</t>
  </si>
  <si>
    <t>SQLP079</t>
  </si>
  <si>
    <t>MCQ6</t>
  </si>
  <si>
    <t>SQLP080</t>
  </si>
  <si>
    <t>MCQ7</t>
  </si>
  <si>
    <t>SQLP081</t>
  </si>
  <si>
    <t>MCQ8</t>
  </si>
  <si>
    <t>SQLP082</t>
  </si>
  <si>
    <t>MCQ9</t>
  </si>
  <si>
    <t>SQLP083</t>
  </si>
  <si>
    <t>MCQ10</t>
  </si>
  <si>
    <t>SQLP084</t>
  </si>
  <si>
    <t>MCQ11</t>
  </si>
  <si>
    <t>SQLP087</t>
  </si>
  <si>
    <t>MCQ12</t>
  </si>
  <si>
    <t>SQLP088</t>
  </si>
  <si>
    <t>MCQ13</t>
  </si>
  <si>
    <t>SQLP089</t>
  </si>
  <si>
    <t>MCQ14</t>
  </si>
  <si>
    <t>SQLP090</t>
  </si>
  <si>
    <t>MCQ15</t>
  </si>
  <si>
    <t>SQLP091</t>
  </si>
  <si>
    <t>MCQ16</t>
  </si>
  <si>
    <t>SQLP092</t>
  </si>
  <si>
    <t>MCQ17</t>
  </si>
  <si>
    <t>SQLP093</t>
  </si>
  <si>
    <t>REARRANGE2</t>
  </si>
  <si>
    <t>SQLP095</t>
  </si>
  <si>
    <t>REARRANGE3</t>
  </si>
  <si>
    <t>SQLP096</t>
  </si>
  <si>
    <t>Case Study - Online Education Courses - Queries</t>
  </si>
  <si>
    <t>Case Study - CodeChefEdu</t>
  </si>
  <si>
    <t>SQLP065</t>
  </si>
  <si>
    <t>Query2</t>
  </si>
  <si>
    <t>SQLP066</t>
  </si>
  <si>
    <t>Query3</t>
  </si>
  <si>
    <t>SQLP067</t>
  </si>
  <si>
    <t>query4</t>
  </si>
  <si>
    <t>SQLP068</t>
  </si>
  <si>
    <t>query5</t>
  </si>
  <si>
    <t>SQLP069</t>
  </si>
  <si>
    <t>query6</t>
  </si>
  <si>
    <t>SQLP070</t>
  </si>
  <si>
    <t>query7</t>
  </si>
  <si>
    <t>SQLP071</t>
  </si>
  <si>
    <t>query8</t>
  </si>
  <si>
    <t>SQLP072</t>
  </si>
  <si>
    <t>query9</t>
  </si>
  <si>
    <t>SQLP073</t>
  </si>
  <si>
    <t>query10</t>
  </si>
  <si>
    <t>SQLP074</t>
  </si>
  <si>
    <t>query11</t>
  </si>
  <si>
    <t>SQLP075</t>
  </si>
  <si>
    <t>query12</t>
  </si>
  <si>
    <t>SQLP076</t>
  </si>
  <si>
    <t>Case Study - Fantasy Role Playing Game - MCQ</t>
  </si>
  <si>
    <t>SQLP001</t>
  </si>
  <si>
    <t>SQLP002</t>
  </si>
  <si>
    <t>SQLP003</t>
  </si>
  <si>
    <t>SQLP004</t>
  </si>
  <si>
    <t>SQLP005</t>
  </si>
  <si>
    <t>SQLP006</t>
  </si>
  <si>
    <t>SQLP007</t>
  </si>
  <si>
    <t>SQLP008</t>
  </si>
  <si>
    <t>SQLP009</t>
  </si>
  <si>
    <t>SQLP010</t>
  </si>
  <si>
    <t>SQLP011</t>
  </si>
  <si>
    <t>SQLP012</t>
  </si>
  <si>
    <t>SQLP013</t>
  </si>
  <si>
    <t>SQLP014</t>
  </si>
  <si>
    <t>SQLP015</t>
  </si>
  <si>
    <t>SQLP016</t>
  </si>
  <si>
    <t>SQLP017</t>
  </si>
  <si>
    <t>SQLP018</t>
  </si>
  <si>
    <t>SQLP019</t>
  </si>
  <si>
    <t>Rearrange code-6</t>
  </si>
  <si>
    <t>SQLP020</t>
  </si>
  <si>
    <t>Case Study - Fantasy Role Playing Game - Queries</t>
  </si>
  <si>
    <t>SQLP021</t>
  </si>
  <si>
    <t>SQLP022</t>
  </si>
  <si>
    <t>SQLP023</t>
  </si>
  <si>
    <t>SQLP024</t>
  </si>
  <si>
    <t>SQLP025</t>
  </si>
  <si>
    <t>SQLP026</t>
  </si>
  <si>
    <t>SQLP027</t>
  </si>
  <si>
    <t>SQLP028</t>
  </si>
  <si>
    <t>SQLP029</t>
  </si>
  <si>
    <t>SQLP030</t>
  </si>
  <si>
    <t>SQLP031</t>
  </si>
  <si>
    <t>SQLP032</t>
  </si>
  <si>
    <t>Case Study - Company Recession - MCQ</t>
  </si>
  <si>
    <t>SQLP097</t>
  </si>
  <si>
    <t>SQLP098</t>
  </si>
  <si>
    <t>SQLP099</t>
  </si>
  <si>
    <t>SQLP100</t>
  </si>
  <si>
    <t>SQLP101</t>
  </si>
  <si>
    <t>SQLP108</t>
  </si>
  <si>
    <t>SQLP103</t>
  </si>
  <si>
    <t>SQLP104</t>
  </si>
  <si>
    <t>SQLP102</t>
  </si>
  <si>
    <t>SQLP106</t>
  </si>
  <si>
    <t>SQLP107</t>
  </si>
  <si>
    <t>SQLP105</t>
  </si>
  <si>
    <t>SQLP109</t>
  </si>
  <si>
    <t>SQLP110</t>
  </si>
  <si>
    <t>SQLP111</t>
  </si>
  <si>
    <t>SQLP112</t>
  </si>
  <si>
    <t>SQLP113</t>
  </si>
  <si>
    <t>SQLP114</t>
  </si>
  <si>
    <t>SQLP115</t>
  </si>
  <si>
    <t>SQLP116</t>
  </si>
  <si>
    <t>Case Study - Company Recession - Queries</t>
  </si>
  <si>
    <t>SQLP117</t>
  </si>
  <si>
    <t>SQLP118</t>
  </si>
  <si>
    <t>SQLP119</t>
  </si>
  <si>
    <t>SQLP127</t>
  </si>
  <si>
    <t>SQLP120</t>
  </si>
  <si>
    <t>SQLP123</t>
  </si>
  <si>
    <t>SQLP124</t>
  </si>
  <si>
    <t>SQLP126</t>
  </si>
  <si>
    <t>SQLP128</t>
  </si>
  <si>
    <t>SQLP121</t>
  </si>
  <si>
    <t>SQLP122</t>
  </si>
  <si>
    <t>SQLP125</t>
  </si>
  <si>
    <t>Case Study -  Sales Analysis of E-commerce Platform - MCQ</t>
  </si>
  <si>
    <t>SQLP129</t>
  </si>
  <si>
    <t>SQLP130</t>
  </si>
  <si>
    <t>SQLP131</t>
  </si>
  <si>
    <t>SQLP132</t>
  </si>
  <si>
    <t>SQLP133</t>
  </si>
  <si>
    <t>SQLP134</t>
  </si>
  <si>
    <t>SQLP135</t>
  </si>
  <si>
    <t>SQLP136</t>
  </si>
  <si>
    <t>SQLP137</t>
  </si>
  <si>
    <t>SQLP138</t>
  </si>
  <si>
    <t>SQLP139</t>
  </si>
  <si>
    <t>SQLP140</t>
  </si>
  <si>
    <t>SQLP141</t>
  </si>
  <si>
    <t>SQLP142</t>
  </si>
  <si>
    <t>SQLP143</t>
  </si>
  <si>
    <t>SQLP144</t>
  </si>
  <si>
    <t>SQLP145</t>
  </si>
  <si>
    <t>SQLP146</t>
  </si>
  <si>
    <t>SQLP147</t>
  </si>
  <si>
    <t>SQLP148</t>
  </si>
  <si>
    <t>Case Study -  Sales Analysis of E-commerce Platform - Queries</t>
  </si>
  <si>
    <t>SQLP149</t>
  </si>
  <si>
    <t>SQLP150</t>
  </si>
  <si>
    <t>SQLP151</t>
  </si>
  <si>
    <t>SQLP152</t>
  </si>
  <si>
    <t>SQLP153</t>
  </si>
  <si>
    <t>SQLP154</t>
  </si>
  <si>
    <t>SQLP155</t>
  </si>
  <si>
    <t>SQLP156</t>
  </si>
  <si>
    <t>SQLP157</t>
  </si>
  <si>
    <t>SQLP158</t>
  </si>
  <si>
    <t>SQLP159</t>
  </si>
  <si>
    <t>SQLP160</t>
  </si>
  <si>
    <t>Case Study - Music App - MCQ</t>
  </si>
  <si>
    <t>SQLP161</t>
  </si>
  <si>
    <t>SQLP162</t>
  </si>
  <si>
    <t>SQLP163</t>
  </si>
  <si>
    <t>SQLP164</t>
  </si>
  <si>
    <t>SQLP165</t>
  </si>
  <si>
    <t>SQLP166</t>
  </si>
  <si>
    <t>SQLP167</t>
  </si>
  <si>
    <t>SQLP168</t>
  </si>
  <si>
    <t>SQLP169</t>
  </si>
  <si>
    <t>SQLP170</t>
  </si>
  <si>
    <t>SQLP171</t>
  </si>
  <si>
    <t>SQLP172</t>
  </si>
  <si>
    <t>SQLP173</t>
  </si>
  <si>
    <t>SQLP174</t>
  </si>
  <si>
    <t>SQLP175</t>
  </si>
  <si>
    <t>SQLP176</t>
  </si>
  <si>
    <t>SQLP177</t>
  </si>
  <si>
    <t>SQLP178</t>
  </si>
  <si>
    <t>SQLP179</t>
  </si>
  <si>
    <t>SQLP180</t>
  </si>
  <si>
    <t>Case Study - Music App - Queries</t>
  </si>
  <si>
    <t>SQLP181</t>
  </si>
  <si>
    <t>SQLP182</t>
  </si>
  <si>
    <t>SQLP183</t>
  </si>
  <si>
    <t>SQLP184</t>
  </si>
  <si>
    <t>SQLP185</t>
  </si>
  <si>
    <t>SQLP186</t>
  </si>
  <si>
    <t>SQLP187</t>
  </si>
  <si>
    <t>SQLP188</t>
  </si>
  <si>
    <t>SQLP189</t>
  </si>
  <si>
    <t>SQLP190</t>
  </si>
  <si>
    <t>SQLP191</t>
  </si>
  <si>
    <t>SQLP192</t>
  </si>
  <si>
    <t>Practice R Programming</t>
  </si>
  <si>
    <t>Solve Practice problems online with the Practice R path on CodeChef. Write code for over 170 R coding challenges and prepare for interviews.</t>
  </si>
  <si>
    <t>Output &amp; Basic math operators - Output / Printing in R</t>
  </si>
  <si>
    <t>Guess the Output</t>
  </si>
  <si>
    <t>LPRASPR01</t>
  </si>
  <si>
    <t>Print Coding, Chef!</t>
  </si>
  <si>
    <t>LPRASPR02</t>
  </si>
  <si>
    <t>Identify Correct Syntax</t>
  </si>
  <si>
    <t>LPRASPR03</t>
  </si>
  <si>
    <t>Print difference of 10 and 3</t>
  </si>
  <si>
    <t>LPRASPR04</t>
  </si>
  <si>
    <t>LPRASPR05</t>
  </si>
  <si>
    <t>Print String num</t>
  </si>
  <si>
    <t>LPRASPR06</t>
  </si>
  <si>
    <t>Print 6 divided by 2</t>
  </si>
  <si>
    <t>LPRASPR07</t>
  </si>
  <si>
    <t>Identify Runtime Error</t>
  </si>
  <si>
    <t>LPRASPR08</t>
  </si>
  <si>
    <t>Print 108 using 9 and 12</t>
  </si>
  <si>
    <t>LPRASPR09</t>
  </si>
  <si>
    <t>Print Learn Coding on CodeChef</t>
  </si>
  <si>
    <t>LPRASPR10</t>
  </si>
  <si>
    <t>Output &amp; Basic math operators - Printing on multiple lines + Multiple prints using single command</t>
  </si>
  <si>
    <t>LPRASPR11</t>
  </si>
  <si>
    <t>Print 5 5</t>
  </si>
  <si>
    <t>LPRASPR12</t>
  </si>
  <si>
    <t>LPRASPR13</t>
  </si>
  <si>
    <t>Role of Arrow</t>
  </si>
  <si>
    <t>LPRASPR14</t>
  </si>
  <si>
    <t>Print R Programming</t>
  </si>
  <si>
    <t>LPRASPR15</t>
  </si>
  <si>
    <t>LPRASPR16</t>
  </si>
  <si>
    <t>LPRASPR17</t>
  </si>
  <si>
    <t>Print 1 to 5</t>
  </si>
  <si>
    <t>LPRASPR18</t>
  </si>
  <si>
    <t>LPRASPR19</t>
  </si>
  <si>
    <t>Print Squares</t>
  </si>
  <si>
    <t>LPRASPR20</t>
  </si>
  <si>
    <t>Print all the arithematic operations</t>
  </si>
  <si>
    <t>LPRASPR21</t>
  </si>
  <si>
    <t>Variables and Datatypes - Variables and Datatypes</t>
  </si>
  <si>
    <t>LPRASPR22</t>
  </si>
  <si>
    <t>Identify incorrect syntax</t>
  </si>
  <si>
    <t>LPRASPR23</t>
  </si>
  <si>
    <t>LPRASPR24</t>
  </si>
  <si>
    <t>Identify Incorrect Syntax</t>
  </si>
  <si>
    <t>LPRASPR25</t>
  </si>
  <si>
    <t>LPRASPR26</t>
  </si>
  <si>
    <t>Boolean in R</t>
  </si>
  <si>
    <t>LPRASPR27</t>
  </si>
  <si>
    <t>LPRASPR28</t>
  </si>
  <si>
    <t>Identify Incorrect syntax</t>
  </si>
  <si>
    <t>LPRASPR29</t>
  </si>
  <si>
    <t>Divide two variables</t>
  </si>
  <si>
    <t>LPRASPR30</t>
  </si>
  <si>
    <t>Convert Temperature</t>
  </si>
  <si>
    <t>LPRASPR31</t>
  </si>
  <si>
    <t>Print total minutes and seconds</t>
  </si>
  <si>
    <t>LPRASPR32</t>
  </si>
  <si>
    <t>Convert speed</t>
  </si>
  <si>
    <t>LPRASPR33</t>
  </si>
  <si>
    <t>Declare a string variable</t>
  </si>
  <si>
    <t>LPRASPR34</t>
  </si>
  <si>
    <t>Add hyphen between strings</t>
  </si>
  <si>
    <t>LPRASPR35</t>
  </si>
  <si>
    <t>Guess the output</t>
  </si>
  <si>
    <t>LPRASPR36</t>
  </si>
  <si>
    <t>LPRASPR37</t>
  </si>
  <si>
    <t>Guess the Code</t>
  </si>
  <si>
    <t>LPRASPR38</t>
  </si>
  <si>
    <t>LPRASPR39</t>
  </si>
  <si>
    <t>LPRASPR40</t>
  </si>
  <si>
    <t>Print the length</t>
  </si>
  <si>
    <t>LPRASPR41</t>
  </si>
  <si>
    <t>Identify the errors</t>
  </si>
  <si>
    <t>LPRASPR42</t>
  </si>
  <si>
    <t>LPRASPR43</t>
  </si>
  <si>
    <t>Adding the length</t>
  </si>
  <si>
    <t>LPRASPR44</t>
  </si>
  <si>
    <t>User inputs - User inputs</t>
  </si>
  <si>
    <t>LPRASPR45</t>
  </si>
  <si>
    <t>LPRASPR46</t>
  </si>
  <si>
    <t>LPRASPR47</t>
  </si>
  <si>
    <t>LPRASPR48</t>
  </si>
  <si>
    <t>LPRASPR49</t>
  </si>
  <si>
    <t>Ways to take the input</t>
  </si>
  <si>
    <t>LPRASPR50</t>
  </si>
  <si>
    <t>Identify the Function</t>
  </si>
  <si>
    <t>LPRASPR51</t>
  </si>
  <si>
    <t>Identify the function</t>
  </si>
  <si>
    <t>LPRASPR52</t>
  </si>
  <si>
    <t>Identify the Syntax</t>
  </si>
  <si>
    <t>LPRASPR53</t>
  </si>
  <si>
    <t>LPRASPR54</t>
  </si>
  <si>
    <t>Conditional statements - If / Else statements</t>
  </si>
  <si>
    <t>Scope of Code</t>
  </si>
  <si>
    <t>LPRASPR55</t>
  </si>
  <si>
    <t>LPRASPR56</t>
  </si>
  <si>
    <t>LPRASPR57</t>
  </si>
  <si>
    <t>Role of else if</t>
  </si>
  <si>
    <t>LPRASPR58</t>
  </si>
  <si>
    <t>LPRASPR59</t>
  </si>
  <si>
    <t>LPRASPR60</t>
  </si>
  <si>
    <t>Use of if-else</t>
  </si>
  <si>
    <t>LPRASPR61</t>
  </si>
  <si>
    <t>Check odd number</t>
  </si>
  <si>
    <t>LPRASPR62</t>
  </si>
  <si>
    <t>Identify the Symbol</t>
  </si>
  <si>
    <t>LPRASPR63</t>
  </si>
  <si>
    <t>Identify the Condition</t>
  </si>
  <si>
    <t>LPRASPR64</t>
  </si>
  <si>
    <t>Prodigy Student - Rectify code</t>
  </si>
  <si>
    <t>LPRASPR65</t>
  </si>
  <si>
    <t>Print the minimum</t>
  </si>
  <si>
    <t>LPRASPR66</t>
  </si>
  <si>
    <t xml:space="preserve">Conditional statements - Combining conditions using And / Or	</t>
  </si>
  <si>
    <t>LPRASPR67</t>
  </si>
  <si>
    <t>LPRASPR68</t>
  </si>
  <si>
    <t>Check number</t>
  </si>
  <si>
    <t>LPRASPR69</t>
  </si>
  <si>
    <t>LPRASPR70</t>
  </si>
  <si>
    <t>LPRASPR71</t>
  </si>
  <si>
    <t>Not Equal</t>
  </si>
  <si>
    <t>LPRASPR72</t>
  </si>
  <si>
    <t>LPRASPR73</t>
  </si>
  <si>
    <t>LPRASPR74</t>
  </si>
  <si>
    <t>LPRASPR75</t>
  </si>
  <si>
    <t>Positive or Negative</t>
  </si>
  <si>
    <t>LPRASPR76</t>
  </si>
  <si>
    <t>Prime Check</t>
  </si>
  <si>
    <t>LPRASPR77</t>
  </si>
  <si>
    <t>Leap Year</t>
  </si>
  <si>
    <t>LPRASPR78</t>
  </si>
  <si>
    <t>Conditional statements - Switch</t>
  </si>
  <si>
    <t>LPRASPR79</t>
  </si>
  <si>
    <t>Use of break</t>
  </si>
  <si>
    <t>LPRASPR80</t>
  </si>
  <si>
    <t>Default case</t>
  </si>
  <si>
    <t>LPRASPR81</t>
  </si>
  <si>
    <t>No break</t>
  </si>
  <si>
    <t>LPRASPR82</t>
  </si>
  <si>
    <t>LPRASPR83</t>
  </si>
  <si>
    <t>LPRASPR84</t>
  </si>
  <si>
    <t>LPRASPR85</t>
  </si>
  <si>
    <t>Default Case</t>
  </si>
  <si>
    <t>LPRASPR86</t>
  </si>
  <si>
    <t>Vowel or Consonant</t>
  </si>
  <si>
    <t>LPRASPR87</t>
  </si>
  <si>
    <t>Arithmetic operation</t>
  </si>
  <si>
    <t>LPRASPR88</t>
  </si>
  <si>
    <t>Debug common errors - Debug common errors</t>
  </si>
  <si>
    <t>Compilation error</t>
  </si>
  <si>
    <t>LPRASPR89</t>
  </si>
  <si>
    <t>Guess the error</t>
  </si>
  <si>
    <t>LPRASPR90</t>
  </si>
  <si>
    <t>LPRASPR91</t>
  </si>
  <si>
    <t>LPRASPR92</t>
  </si>
  <si>
    <t>LPRASPR93</t>
  </si>
  <si>
    <t>Identify the error</t>
  </si>
  <si>
    <t>LPRASPR94</t>
  </si>
  <si>
    <t>LPRASPR95</t>
  </si>
  <si>
    <t>LPRASPR96</t>
  </si>
  <si>
    <t>LPRASPR97</t>
  </si>
  <si>
    <t>LPRASPR98</t>
  </si>
  <si>
    <t>Which Day It Is</t>
  </si>
  <si>
    <t>LPRASPR99</t>
  </si>
  <si>
    <t>Whats Wrong</t>
  </si>
  <si>
    <t>LPRASPR100</t>
  </si>
  <si>
    <t>Declare Vector</t>
  </si>
  <si>
    <t>LPRASPR101</t>
  </si>
  <si>
    <t>LPRASPR102</t>
  </si>
  <si>
    <t>LPRASPR103</t>
  </si>
  <si>
    <t>LPRASPR104</t>
  </si>
  <si>
    <t>LPRASPR105</t>
  </si>
  <si>
    <t>LPRASPR106</t>
  </si>
  <si>
    <t>LPRASPR107</t>
  </si>
  <si>
    <t>LPRASPR108</t>
  </si>
  <si>
    <t>Multiply elements</t>
  </si>
  <si>
    <t>LPRASPR109</t>
  </si>
  <si>
    <t>Length of array items</t>
  </si>
  <si>
    <t>LPRASPR110</t>
  </si>
  <si>
    <t>Debug it !</t>
  </si>
  <si>
    <t>LPRASPR111</t>
  </si>
  <si>
    <t>Difference between odd and even</t>
  </si>
  <si>
    <t>LPRASPR112</t>
  </si>
  <si>
    <t>Loops - While Loops</t>
  </si>
  <si>
    <t>LPRASPR113</t>
  </si>
  <si>
    <t>LPRASPR114</t>
  </si>
  <si>
    <t>LPRASPR115</t>
  </si>
  <si>
    <t>Evaluation in while</t>
  </si>
  <si>
    <t>LPRASPR116</t>
  </si>
  <si>
    <t>LPRASPR117</t>
  </si>
  <si>
    <t>LPRASPR118</t>
  </si>
  <si>
    <t>Number of evaluation</t>
  </si>
  <si>
    <t>LPRASPR119</t>
  </si>
  <si>
    <t>Correct Syntax</t>
  </si>
  <si>
    <t>LPRASPR120</t>
  </si>
  <si>
    <t>LPRASPR121</t>
  </si>
  <si>
    <t>Print factorial</t>
  </si>
  <si>
    <t>LPRASPR122</t>
  </si>
  <si>
    <t>Find the number of digits</t>
  </si>
  <si>
    <t>LPRASPR123</t>
  </si>
  <si>
    <t>Product and Sum of digits</t>
  </si>
  <si>
    <t>LPRASPR124</t>
  </si>
  <si>
    <t>Loops - For Loops</t>
  </si>
  <si>
    <t>LPRASPR125</t>
  </si>
  <si>
    <t>Number of iterations</t>
  </si>
  <si>
    <t>LPRASPR126</t>
  </si>
  <si>
    <t>Statement 3</t>
  </si>
  <si>
    <t>LPRASPR127</t>
  </si>
  <si>
    <t>Loop</t>
  </si>
  <si>
    <t>LPRASPR128</t>
  </si>
  <si>
    <t>LPRASPR129</t>
  </si>
  <si>
    <t>LPRASPR130</t>
  </si>
  <si>
    <t>Select the correct option</t>
  </si>
  <si>
    <t>LPRASPR131</t>
  </si>
  <si>
    <t>LPRASPR132</t>
  </si>
  <si>
    <t>Sum of numbers</t>
  </si>
  <si>
    <t>LPRASPR133</t>
  </si>
  <si>
    <t>Print fibonacci series</t>
  </si>
  <si>
    <t>LPRASPR134</t>
  </si>
  <si>
    <t>Parity Difference</t>
  </si>
  <si>
    <t>LPRASPR135</t>
  </si>
  <si>
    <t>Number not divisible by 2 or 3 or 5</t>
  </si>
  <si>
    <t>LPRASPR136</t>
  </si>
  <si>
    <t>Loops - Break / Continue</t>
  </si>
  <si>
    <t>LPRASPR137</t>
  </si>
  <si>
    <t>LPRASPR138</t>
  </si>
  <si>
    <t>LPRASPR139</t>
  </si>
  <si>
    <t>Next vs Continue</t>
  </si>
  <si>
    <t>LPRASPR140</t>
  </si>
  <si>
    <t>LPRASPR141</t>
  </si>
  <si>
    <t>LPRASPR142</t>
  </si>
  <si>
    <t>LPRASPR143</t>
  </si>
  <si>
    <t>LPRASPR144</t>
  </si>
  <si>
    <t>First occurrence</t>
  </si>
  <si>
    <t>LPRASPR145</t>
  </si>
  <si>
    <t>Square of numbers</t>
  </si>
  <si>
    <t>LPRASPR146</t>
  </si>
  <si>
    <t>Functions - Functions</t>
  </si>
  <si>
    <t>Define a function</t>
  </si>
  <si>
    <t>LPRASPR147</t>
  </si>
  <si>
    <t>Return Statement</t>
  </si>
  <si>
    <t>LPRASPR148</t>
  </si>
  <si>
    <t>Global Variable</t>
  </si>
  <si>
    <t>LPRASPR149</t>
  </si>
  <si>
    <t>LPRASPR150</t>
  </si>
  <si>
    <t>Precedence</t>
  </si>
  <si>
    <t>LPRASPR151</t>
  </si>
  <si>
    <t>function keyword</t>
  </si>
  <si>
    <t>LPRASPR152</t>
  </si>
  <si>
    <t>Predefined function</t>
  </si>
  <si>
    <t>LPRASPR153</t>
  </si>
  <si>
    <t>Parameters and arguments</t>
  </si>
  <si>
    <t>LPRASPR154</t>
  </si>
  <si>
    <t>Calculate power</t>
  </si>
  <si>
    <t>LPRASPR155</t>
  </si>
  <si>
    <t>Calculate area</t>
  </si>
  <si>
    <t>LPRASPR156</t>
  </si>
  <si>
    <t>All Primes in Range</t>
  </si>
  <si>
    <t>LPRASPR157</t>
  </si>
  <si>
    <t>Armstrong Number</t>
  </si>
  <si>
    <t>LPRASPR158</t>
  </si>
  <si>
    <t>Get started with complex algorithmic problems - Test Cases / Custom inputs</t>
  </si>
  <si>
    <t>Test cases</t>
  </si>
  <si>
    <t>LPRASPR159</t>
  </si>
  <si>
    <t>Private test files</t>
  </si>
  <si>
    <t>LPRASPR160</t>
  </si>
  <si>
    <t>Run vs Submit</t>
  </si>
  <si>
    <t>LPRASPR161</t>
  </si>
  <si>
    <t>Custom inputs</t>
  </si>
  <si>
    <t>LPRASPR162</t>
  </si>
  <si>
    <t>AC</t>
  </si>
  <si>
    <t>LPRASPR163</t>
  </si>
  <si>
    <t>Failing cases</t>
  </si>
  <si>
    <t>LPRASPR164</t>
  </si>
  <si>
    <t>Runtime error</t>
  </si>
  <si>
    <t>LPRASPR165</t>
  </si>
  <si>
    <t>LPRASPR166</t>
  </si>
  <si>
    <t>Increase the integer</t>
  </si>
  <si>
    <t>LPRASPR167</t>
  </si>
  <si>
    <t>Even odd</t>
  </si>
  <si>
    <t>LPRASPR168</t>
  </si>
  <si>
    <t>Sum of Digits - II</t>
  </si>
  <si>
    <t>LPRASPR169</t>
  </si>
  <si>
    <t>Sum of Multiples</t>
  </si>
  <si>
    <t>LPRASPR170</t>
  </si>
  <si>
    <t>Practice Rust</t>
  </si>
  <si>
    <t>Get hands-on experience in Rust language with this interactive and practical course. Master the basic syntax of the language and develop real-world applications with confidence.</t>
  </si>
  <si>
    <t>Input, Output and Arithmetic - Concept &amp; Practice</t>
  </si>
  <si>
    <t>Multiple Choice Question</t>
  </si>
  <si>
    <t>RSPRACMCQ1</t>
  </si>
  <si>
    <t>Number Mirror</t>
  </si>
  <si>
    <t>START01</t>
  </si>
  <si>
    <t>200</t>
  </si>
  <si>
    <t>Rearrange Code</t>
  </si>
  <si>
    <t>RSPRACREARR1</t>
  </si>
  <si>
    <t>RSPRACREAR1A</t>
  </si>
  <si>
    <t>Chef and Instant Noodles</t>
  </si>
  <si>
    <t>INSTNOODLE</t>
  </si>
  <si>
    <t>RSPRACMCQ4</t>
  </si>
  <si>
    <t>CodeChef Learn Problem Solving</t>
  </si>
  <si>
    <t>CCLEARN</t>
  </si>
  <si>
    <t>287</t>
  </si>
  <si>
    <t>Input, Output and Arithmetic - Additional practice</t>
  </si>
  <si>
    <t>RSPRACMCQ2</t>
  </si>
  <si>
    <t>Learning SQL</t>
  </si>
  <si>
    <t>LEARNSQL</t>
  </si>
  <si>
    <t>339</t>
  </si>
  <si>
    <t>RSPRACMCQ3</t>
  </si>
  <si>
    <t>Parking Charges</t>
  </si>
  <si>
    <t>PARKINGCHARG</t>
  </si>
  <si>
    <t>416</t>
  </si>
  <si>
    <t>Conditionals - Concept &amp; Practice</t>
  </si>
  <si>
    <t>RSPRACMCQ5</t>
  </si>
  <si>
    <t>Chef and Brain Speed</t>
  </si>
  <si>
    <t>CBSPEED</t>
  </si>
  <si>
    <t>288</t>
  </si>
  <si>
    <t>RSPRACMCQ6</t>
  </si>
  <si>
    <t>Alice and Marks</t>
  </si>
  <si>
    <t>MARKSTW</t>
  </si>
  <si>
    <t>362</t>
  </si>
  <si>
    <t>RSPRACMCQ9</t>
  </si>
  <si>
    <t>Oneful Pairs</t>
  </si>
  <si>
    <t>ONEFULPAIRS</t>
  </si>
  <si>
    <t>Conditionals - Additional practice</t>
  </si>
  <si>
    <t>RSPRACREARR2</t>
  </si>
  <si>
    <t>My very 1st contest!</t>
  </si>
  <si>
    <t>MY1STCONTEST</t>
  </si>
  <si>
    <t>RSPRACMCQ8</t>
  </si>
  <si>
    <t>Black cells in a chessboard</t>
  </si>
  <si>
    <t>BLACKCEL</t>
  </si>
  <si>
    <t>746</t>
  </si>
  <si>
    <t>RSPRACMCQ7</t>
  </si>
  <si>
    <t>AB Difference</t>
  </si>
  <si>
    <t>ABDIFF</t>
  </si>
  <si>
    <t>Loops - Concept &amp; Practice</t>
  </si>
  <si>
    <t>RSPRACREARR3</t>
  </si>
  <si>
    <t>Add Two Numbers</t>
  </si>
  <si>
    <t>FLOW001</t>
  </si>
  <si>
    <t>242</t>
  </si>
  <si>
    <t>RSPRACMCQ11</t>
  </si>
  <si>
    <t>Good Turn</t>
  </si>
  <si>
    <t>GDTURN</t>
  </si>
  <si>
    <t>238</t>
  </si>
  <si>
    <t>RSPRACMCQ10</t>
  </si>
  <si>
    <t>Water Consumption</t>
  </si>
  <si>
    <t>WATERCONS</t>
  </si>
  <si>
    <t>254</t>
  </si>
  <si>
    <t>Loops - Additional practice</t>
  </si>
  <si>
    <t>RSPRACMCQ12</t>
  </si>
  <si>
    <t>Age Limit</t>
  </si>
  <si>
    <t>AGELIMIT</t>
  </si>
  <si>
    <t>245</t>
  </si>
  <si>
    <t>RSPRACMCQ13</t>
  </si>
  <si>
    <t>Squats</t>
  </si>
  <si>
    <t>SQUATS</t>
  </si>
  <si>
    <t>249</t>
  </si>
  <si>
    <t>Practice C#</t>
  </si>
  <si>
    <t>Learn the basics of C# programming with ease in this interactive and practical course. Master the basic syntax of the language and build a solid foundation for developing Windows applications.</t>
  </si>
  <si>
    <t>CSPRACMCQ1</t>
  </si>
  <si>
    <t>CSPRACREARR1</t>
  </si>
  <si>
    <t>CSPRACREAR1A</t>
  </si>
  <si>
    <t>CSPRACMCQ4</t>
  </si>
  <si>
    <t>CSPRACMCQ2</t>
  </si>
  <si>
    <t>CSPRACMCQ3</t>
  </si>
  <si>
    <t>CSPRACMCQ5</t>
  </si>
  <si>
    <t>CSPRACMCQ6</t>
  </si>
  <si>
    <t>CSPRACMCQ9</t>
  </si>
  <si>
    <t>CSPRACREARR2</t>
  </si>
  <si>
    <t>CSPRACMCQ8</t>
  </si>
  <si>
    <t>CSPRACMCQ7</t>
  </si>
  <si>
    <t>CSPRACREARR3</t>
  </si>
  <si>
    <t>CSPRACMCQ11</t>
  </si>
  <si>
    <t>CSPRACMCQ10</t>
  </si>
  <si>
    <t>CSPRACMCQ12</t>
  </si>
  <si>
    <t>CSPRACMCQ13</t>
  </si>
  <si>
    <t>Practice Go</t>
  </si>
  <si>
    <t>Learn the basics of Go programming with ease in this interactive and practical course. This course will provide a good base to building real world applications in go.</t>
  </si>
  <si>
    <t>GOPRACMCQ1</t>
  </si>
  <si>
    <t>GOPRACREARR1</t>
  </si>
  <si>
    <t>GOPRACREAR1A</t>
  </si>
  <si>
    <t>GOPRACMCQ4</t>
  </si>
  <si>
    <t>GOPRACMCQ2</t>
  </si>
  <si>
    <t>GOPRACMCQ3</t>
  </si>
  <si>
    <t>GOPRACMCQ5</t>
  </si>
  <si>
    <t>GOPRACMCQ6</t>
  </si>
  <si>
    <t>GOPRACMCQ9</t>
  </si>
  <si>
    <t>GOPRACREARR2</t>
  </si>
  <si>
    <t>GOPRACMCQ8</t>
  </si>
  <si>
    <t>GOPRACMCQ7</t>
  </si>
  <si>
    <t>GOPRACREARR3</t>
  </si>
  <si>
    <t>GOPRACMCQ11</t>
  </si>
  <si>
    <t>GOPRACMCQ10</t>
  </si>
  <si>
    <t>GOPRACMCQ12</t>
  </si>
  <si>
    <t>GOPRACMCQ13</t>
  </si>
  <si>
    <t>Practice for ZCO and INOI</t>
  </si>
  <si>
    <t>Prepare for ZCO and INOI via specially curated practice problems and past exam problems. Read our roadmap - https://www.codechef.com/blogs/prepare-for-zco-inoi-ioi-exam</t>
  </si>
  <si>
    <t>Practice problems - IARCS OPC Problems</t>
  </si>
  <si>
    <t>Lead Game</t>
  </si>
  <si>
    <t>LEADGAME</t>
  </si>
  <si>
    <t>List of Books</t>
  </si>
  <si>
    <t>BOOKLIST</t>
  </si>
  <si>
    <t>Longest Palindrome</t>
  </si>
  <si>
    <t>LONGPALI</t>
  </si>
  <si>
    <t>End of Corruption</t>
  </si>
  <si>
    <t>ENDCORR</t>
  </si>
  <si>
    <t>VOTERSDI</t>
  </si>
  <si>
    <t>Reverse</t>
  </si>
  <si>
    <t>IAREVERS</t>
  </si>
  <si>
    <t>Zero One Tiles</t>
  </si>
  <si>
    <t>TILES01</t>
  </si>
  <si>
    <t>Sorting Rows of Numbers</t>
  </si>
  <si>
    <t>SORTROWS</t>
  </si>
  <si>
    <t>Whats the Rank</t>
  </si>
  <si>
    <t>IARANK</t>
  </si>
  <si>
    <t>Dividing Sequences</t>
  </si>
  <si>
    <t>DIVSEQ</t>
  </si>
  <si>
    <t>Average</t>
  </si>
  <si>
    <t>AVERAGE</t>
  </si>
  <si>
    <t>Word List</t>
  </si>
  <si>
    <t>WORDLIST</t>
  </si>
  <si>
    <t>Permutation Cycles</t>
  </si>
  <si>
    <t>CYCLEPER</t>
  </si>
  <si>
    <t>The Great Escape</t>
  </si>
  <si>
    <t>GREATESC</t>
  </si>
  <si>
    <t>Number of Tilings</t>
  </si>
  <si>
    <t>TILINGS</t>
  </si>
  <si>
    <t>Find the Numbers</t>
  </si>
  <si>
    <t>FINDNUMS</t>
  </si>
  <si>
    <t>Repetition Free Numbers</t>
  </si>
  <si>
    <t>REPFREE</t>
  </si>
  <si>
    <t>Indraneels Pyramid</t>
  </si>
  <si>
    <t>PYRAMID</t>
  </si>
  <si>
    <t>The Siruseri Sports Stadium</t>
  </si>
  <si>
    <t>STADIUM</t>
  </si>
  <si>
    <t>Equal Gifts</t>
  </si>
  <si>
    <t>EQGIFTS</t>
  </si>
  <si>
    <t>Find the Permutation</t>
  </si>
  <si>
    <t>FINDPERM</t>
  </si>
  <si>
    <t>Railway Caterers</t>
  </si>
  <si>
    <t>RAILCTER</t>
  </si>
  <si>
    <t>Speculating on Buffaloes</t>
  </si>
  <si>
    <t>BUFFALOE</t>
  </si>
  <si>
    <t>Sorting Books</t>
  </si>
  <si>
    <t>BOOKSORT</t>
  </si>
  <si>
    <t>The Timber Auction</t>
  </si>
  <si>
    <t>TIMBER</t>
  </si>
  <si>
    <t>Draw Fixing</t>
  </si>
  <si>
    <t>DRAWFIX</t>
  </si>
  <si>
    <t>Critical Intersections</t>
  </si>
  <si>
    <t>CRITINTS</t>
  </si>
  <si>
    <t>Catering Contracts</t>
  </si>
  <si>
    <t>CATERCON</t>
  </si>
  <si>
    <t>Leaf Eaters</t>
  </si>
  <si>
    <t>LEAFEAT</t>
  </si>
  <si>
    <t>The Bickering Task Force</t>
  </si>
  <si>
    <t>TASKFRCE</t>
  </si>
  <si>
    <t>Word Hopping</t>
  </si>
  <si>
    <t>WORDHOP</t>
  </si>
  <si>
    <t>High Speed Network</t>
  </si>
  <si>
    <t>HISPDNET</t>
  </si>
  <si>
    <t>Medu Vada Maze</t>
  </si>
  <si>
    <t>MEDUVADA</t>
  </si>
  <si>
    <t>Treasure Hunt</t>
  </si>
  <si>
    <t>TREAHUNT</t>
  </si>
  <si>
    <t>Rank Fraud</t>
  </si>
  <si>
    <t>RANKFRAD</t>
  </si>
  <si>
    <t>Siruseri Metro</t>
  </si>
  <si>
    <t>METRO</t>
  </si>
  <si>
    <t>Devious Minister</t>
  </si>
  <si>
    <t>DEVIOUS</t>
  </si>
  <si>
    <t>A Puzzle</t>
  </si>
  <si>
    <t>APUZZLE</t>
  </si>
  <si>
    <t>Number Triples</t>
  </si>
  <si>
    <t>NUMTRIPL</t>
  </si>
  <si>
    <t>Indraneels Experiment</t>
  </si>
  <si>
    <t>EXPT</t>
  </si>
  <si>
    <t>Number of Routings</t>
  </si>
  <si>
    <t>NUMROUTE</t>
  </si>
  <si>
    <t>Min Turn Route</t>
  </si>
  <si>
    <t>MINTURN</t>
  </si>
  <si>
    <t>Three-Way Split</t>
  </si>
  <si>
    <t>SPLIT3</t>
  </si>
  <si>
    <t>ZCO problems - Past ZCO problems</t>
  </si>
  <si>
    <t>Smart Phone</t>
  </si>
  <si>
    <t>ZCO14003</t>
  </si>
  <si>
    <t>Video Game</t>
  </si>
  <si>
    <t>ZCO14001</t>
  </si>
  <si>
    <t>Variation</t>
  </si>
  <si>
    <t>ZCO15002</t>
  </si>
  <si>
    <t>Tournament</t>
  </si>
  <si>
    <t>ZCO13001</t>
  </si>
  <si>
    <t>Matched Brackets</t>
  </si>
  <si>
    <t>ZCO12001</t>
  </si>
  <si>
    <t>Chewing</t>
  </si>
  <si>
    <t>ZCO13003</t>
  </si>
  <si>
    <t>Round Table</t>
  </si>
  <si>
    <t>ZCO12004</t>
  </si>
  <si>
    <t>Wormholes</t>
  </si>
  <si>
    <t>ZCO12002</t>
  </si>
  <si>
    <t>Bookshelves</t>
  </si>
  <si>
    <t>ZCO16001</t>
  </si>
  <si>
    <t>Matched Brackets 2</t>
  </si>
  <si>
    <t>ZCO12003</t>
  </si>
  <si>
    <t>ZCO15004</t>
  </si>
  <si>
    <t>ZCO 2019 - 1 Singing Tournament</t>
  </si>
  <si>
    <t>SINGTOUR</t>
  </si>
  <si>
    <t>Four Sum</t>
  </si>
  <si>
    <t>ZCO17001</t>
  </si>
  <si>
    <t>Vacation</t>
  </si>
  <si>
    <t>ZCO22001</t>
  </si>
  <si>
    <t>Save Spaceman Spiff</t>
  </si>
  <si>
    <t>ZCO13004</t>
  </si>
  <si>
    <t>Moving Intervals - ZCO 2018</t>
  </si>
  <si>
    <t>MOVINTRL</t>
  </si>
  <si>
    <t>Weird Ordering</t>
  </si>
  <si>
    <t>ZCO20001</t>
  </si>
  <si>
    <t>ZCO 2019 - 2 UpDown Sequences</t>
  </si>
  <si>
    <t>UPDOWSEQ</t>
  </si>
  <si>
    <t>Substring Importance - ZCO 2018</t>
  </si>
  <si>
    <t>STRIMPOR</t>
  </si>
  <si>
    <t>Rays</t>
  </si>
  <si>
    <t>ZCO17002</t>
  </si>
  <si>
    <t>Interleavings and Blocks</t>
  </si>
  <si>
    <t>ZCO20002</t>
  </si>
  <si>
    <t>Messages</t>
  </si>
  <si>
    <t>ZCO22002</t>
  </si>
  <si>
    <t>Parchment</t>
  </si>
  <si>
    <t>ZCO23001</t>
  </si>
  <si>
    <t>Weightage</t>
  </si>
  <si>
    <t>ZCO23002</t>
  </si>
  <si>
    <t>Queue</t>
  </si>
  <si>
    <t>ZCO26P1</t>
  </si>
  <si>
    <t>Rows</t>
  </si>
  <si>
    <t>ZCO26P2</t>
  </si>
  <si>
    <t>INOI problems - Past INOI problems</t>
  </si>
  <si>
    <t>Free ticket</t>
  </si>
  <si>
    <t>INOI1402</t>
  </si>
  <si>
    <t>Triathlon</t>
  </si>
  <si>
    <t>INOI1201</t>
  </si>
  <si>
    <t>Sequence Land</t>
  </si>
  <si>
    <t>INOI1302</t>
  </si>
  <si>
    <t>Table Sum</t>
  </si>
  <si>
    <t>INOI1202</t>
  </si>
  <si>
    <t>Highway Bypass</t>
  </si>
  <si>
    <t>INOI1401</t>
  </si>
  <si>
    <t>Special Sums</t>
  </si>
  <si>
    <t>INOI1501</t>
  </si>
  <si>
    <t>Periodic Strings</t>
  </si>
  <si>
    <t>INOI1502</t>
  </si>
  <si>
    <t>Brackets</t>
  </si>
  <si>
    <t>INOI1602</t>
  </si>
  <si>
    <t>1 Road Trips and Museums - INOI 2018</t>
  </si>
  <si>
    <t>ROADTRIP</t>
  </si>
  <si>
    <t>Training - INOI 2017</t>
  </si>
  <si>
    <t>TINOI17B</t>
  </si>
  <si>
    <t>Among Us - INOI 2021</t>
  </si>
  <si>
    <t>AMONGUS2</t>
  </si>
  <si>
    <t>Department Strengths</t>
  </si>
  <si>
    <t>INOI2001</t>
  </si>
  <si>
    <t>3xN Tiling</t>
  </si>
  <si>
    <t>INOI2002</t>
  </si>
  <si>
    <t>2 Two Paths - INOI 2018</t>
  </si>
  <si>
    <t>TWOPATHS</t>
  </si>
  <si>
    <t>Interesting Sequences</t>
  </si>
  <si>
    <t>INOI1902</t>
  </si>
  <si>
    <t>Processor Scheduling</t>
  </si>
  <si>
    <t>INOI1901</t>
  </si>
  <si>
    <t>Break the string - INOI 2021</t>
  </si>
  <si>
    <t>BREAKSTR</t>
  </si>
  <si>
    <t>Diocletian - Part 2</t>
  </si>
  <si>
    <t>INOI2203B</t>
  </si>
  <si>
    <t>Posting</t>
  </si>
  <si>
    <t>INOI2201</t>
  </si>
  <si>
    <t>Conquest</t>
  </si>
  <si>
    <t>INOI2202</t>
  </si>
  <si>
    <t>Diocletian - Part 1</t>
  </si>
  <si>
    <t>INOI2203A</t>
  </si>
  <si>
    <t>Pillars</t>
  </si>
  <si>
    <t>INOI2302</t>
  </si>
  <si>
    <t>Planet</t>
  </si>
  <si>
    <t>INOI2301</t>
  </si>
  <si>
    <t>History</t>
  </si>
  <si>
    <t>INOI2303</t>
  </si>
  <si>
    <t>Diff by 2</t>
  </si>
  <si>
    <t>INOI26P0</t>
  </si>
  <si>
    <t>raysh07_adm</t>
  </si>
  <si>
    <t>Smaller Sum</t>
  </si>
  <si>
    <t>INOI26P1</t>
  </si>
  <si>
    <t>Tree Sum</t>
  </si>
  <si>
    <t>INOI26P2</t>
  </si>
  <si>
    <t>Prepare for ICPC - Past Year Problems</t>
  </si>
  <si>
    <t>Prepare for your next ICPC online or onsite round by practicing problems of past years. Get an understanding of the pattern of questions which are asked.</t>
  </si>
  <si>
    <t>Asia Amritapuri Onsite Round 2019 - Asia Amritapuri Onsite Round 2019</t>
  </si>
  <si>
    <t>Usain Bolt vs Tiger</t>
  </si>
  <si>
    <t>USANBOLT</t>
  </si>
  <si>
    <t>Sufficiently different string</t>
  </si>
  <si>
    <t>SDIFFSTR</t>
  </si>
  <si>
    <t>Coloring Intervals</t>
  </si>
  <si>
    <t>COLINT</t>
  </si>
  <si>
    <t>Expected Candies</t>
  </si>
  <si>
    <t>EXPCAN</t>
  </si>
  <si>
    <t>Algorithms, Basic Math, Basic Programming Concepts, Data Types, Dynamic Programming, Expected Value, Mathematics, Probability</t>
  </si>
  <si>
    <t>Rooted Tree Graph</t>
  </si>
  <si>
    <t>TRGRPH</t>
  </si>
  <si>
    <t>Mortgage</t>
  </si>
  <si>
    <t>MORTGAGE</t>
  </si>
  <si>
    <t>What is this, a crossover episode</t>
  </si>
  <si>
    <t>COLPOLLY</t>
  </si>
  <si>
    <t>Advanced Algorithms, Data Structures, Graphs, Randomized Algorithms, Sets</t>
  </si>
  <si>
    <t>Polygon Containment</t>
  </si>
  <si>
    <t>POLCON</t>
  </si>
  <si>
    <t>Permutation Distance</t>
  </si>
  <si>
    <t>PERMDIST</t>
  </si>
  <si>
    <t>Advanced Algorithms, Advanced Data Structures, Algorithms, Binary lifting, Graph Algos, Jump Pointers, Lowest Common Ancestor, Pre processing, Sparse Table</t>
  </si>
  <si>
    <t>A Complex Graph Problem</t>
  </si>
  <si>
    <t>COMPLEXG</t>
  </si>
  <si>
    <t>Algorithms, DFS, Data Structures, Directed Graphs, Dynamic Programming, Graph Algos, Graphs, Shortest Paths, Strongly Connected Components, Traversals</t>
  </si>
  <si>
    <t>The Fools Who Dream</t>
  </si>
  <si>
    <t>LALALANT</t>
  </si>
  <si>
    <t>kevinsogo</t>
  </si>
  <si>
    <t>Gwalior - Pune Site Onsite Round 2019 - Gwalior - Pune Site Onsite Round 2019</t>
  </si>
  <si>
    <t>Safe Robots</t>
  </si>
  <si>
    <t>SAFEROBO</t>
  </si>
  <si>
    <t>Mean Problem</t>
  </si>
  <si>
    <t>MEANPROB</t>
  </si>
  <si>
    <t>1D Arrays, Advanced Algorithms, Arrays, Data Structures, Pre processing</t>
  </si>
  <si>
    <t>Telephone Network</t>
  </si>
  <si>
    <t>TELNET</t>
  </si>
  <si>
    <t>Expected Area</t>
  </si>
  <si>
    <t>EAREA</t>
  </si>
  <si>
    <t>Algorithms, Cartesian Coordinate System, Expected Value, Geometry, Mathematics, Observation, Probability</t>
  </si>
  <si>
    <t>Yet Another Balanced Parenthesis Problem</t>
  </si>
  <si>
    <t>UNBAL</t>
  </si>
  <si>
    <t>Game on Tree</t>
  </si>
  <si>
    <t>TRGAME</t>
  </si>
  <si>
    <t>Disconnecting Cities</t>
  </si>
  <si>
    <t>DICITIES</t>
  </si>
  <si>
    <t>Advanced Algorithms, Advanced DP, DP Bitmask, Data Structures, Graphs</t>
  </si>
  <si>
    <t>Inequality Reduction</t>
  </si>
  <si>
    <t>TRANSACT</t>
  </si>
  <si>
    <t>Guess the Middle</t>
  </si>
  <si>
    <t>GUESSMID</t>
  </si>
  <si>
    <t>Advanced Algorithms, Advanced DP, Algorithms, Digit DP, Mathematics, Probability, Sorting</t>
  </si>
  <si>
    <t>Binary Palindrome</t>
  </si>
  <si>
    <t>BINPALIN</t>
  </si>
  <si>
    <t>Advanced Data Structures, Binary, Mathematics, Number System, Suffix Structures, Suffix Trees</t>
  </si>
  <si>
    <t>F - Beautiful Walk</t>
  </si>
  <si>
    <t>SMTOUR</t>
  </si>
  <si>
    <t>Asia Kharagpur Onsite Regional 2019 - Asia Kharagpur Onsite Regional 2019</t>
  </si>
  <si>
    <t>Train or Walk</t>
  </si>
  <si>
    <t>WALKFAST</t>
  </si>
  <si>
    <t>Colliding Balls</t>
  </si>
  <si>
    <t>BALLCOL</t>
  </si>
  <si>
    <t>Geometry, Mathematics</t>
  </si>
  <si>
    <t>Maximize Diversity of an Array</t>
  </si>
  <si>
    <t>MAXDIVER</t>
  </si>
  <si>
    <t>Chef and Diamonds</t>
  </si>
  <si>
    <t>RANDID</t>
  </si>
  <si>
    <t>Awkwardness Minimization</t>
  </si>
  <si>
    <t>AWKMINI</t>
  </si>
  <si>
    <t>Algorithms, Constructive, Greedy, Observation</t>
  </si>
  <si>
    <t>Minimum Variance</t>
  </si>
  <si>
    <t>VARMIN</t>
  </si>
  <si>
    <t>Direct Segments</t>
  </si>
  <si>
    <t>SEGDIR2</t>
  </si>
  <si>
    <t>Substring Matching</t>
  </si>
  <si>
    <t>SUBMATCH</t>
  </si>
  <si>
    <t>Special Graph Construction</t>
  </si>
  <si>
    <t>GRAPHCON</t>
  </si>
  <si>
    <t>Colorful Balloons</t>
  </si>
  <si>
    <t>BALLSUM</t>
  </si>
  <si>
    <t>Algebra, Convolution, FFT, Mathematics, Polynomial, Transformations</t>
  </si>
  <si>
    <t>Analytics Load Jobs</t>
  </si>
  <si>
    <t>ANAJOBS</t>
  </si>
  <si>
    <t>dpraveen_adm</t>
  </si>
  <si>
    <t>Asia India Regionals Online Round 2019 - Asia India Regionals Online Round 2019</t>
  </si>
  <si>
    <t>Discount in a Shop</t>
  </si>
  <si>
    <t>DISCSHOP</t>
  </si>
  <si>
    <t>Algorithms, Basic Programming Concepts, Brute Force, Constructive, Data Structures, Implementation, Inbuilt functions, String, ad-hoc</t>
  </si>
  <si>
    <t>Select Training Set</t>
  </si>
  <si>
    <t>TRAINSET</t>
  </si>
  <si>
    <t>Pen Pineapple Apple Pen</t>
  </si>
  <si>
    <t>PENS</t>
  </si>
  <si>
    <t>Beautiful Partitions</t>
  </si>
  <si>
    <t>BEAUTPAR</t>
  </si>
  <si>
    <t>Algorithms, DP on sequences, Dynamic Programming, Longest Increasing Subsequence, Prefix Sum, Simple Algos</t>
  </si>
  <si>
    <t>Grid Shuffle</t>
  </si>
  <si>
    <t>SHUFGRID</t>
  </si>
  <si>
    <t>Shortest Palindromic Superstring</t>
  </si>
  <si>
    <t>SPS</t>
  </si>
  <si>
    <t>Asia Kanpur Onsite Round 2019 - Asia Kanpur Onsite Round 2019</t>
  </si>
  <si>
    <t>Is This a Give Away</t>
  </si>
  <si>
    <t>GVAWAY</t>
  </si>
  <si>
    <t>Algorithms, Expected Value, Mathematics, Observation, Probability</t>
  </si>
  <si>
    <t>Convolution</t>
  </si>
  <si>
    <t>ARRQRY</t>
  </si>
  <si>
    <t>Algorithms, Basic Math, Constructive, Mathematics, Modular Arithmetic, Observation, ad-hoc</t>
  </si>
  <si>
    <t>B - Prime-partite Graph</t>
  </si>
  <si>
    <t>PRMPRT</t>
  </si>
  <si>
    <t>Data Structures, Divisors, GCD, Graphs, Integer Factorisation, Mathematics, Number Theory, Prime Divisors, Sieve of Eratosthenes</t>
  </si>
  <si>
    <t>Walk 4 steps</t>
  </si>
  <si>
    <t>WALK4</t>
  </si>
  <si>
    <t>IPL Begins</t>
  </si>
  <si>
    <t>FCIPL</t>
  </si>
  <si>
    <t>Algorithms, Combinatorics, Dynamic Programming, Mathematics, Modular Arithmetic</t>
  </si>
  <si>
    <t>K-Prob</t>
  </si>
  <si>
    <t>KPRB</t>
  </si>
  <si>
    <t>Advanced Data Structures, Algorithms, DP on sequences, Disjoint Set Union, Dynamic Programming, Longest Common Prefix, Mathematics, Probability, Suffix Arrays, Suffix Structures</t>
  </si>
  <si>
    <t>Weighted Necklace</t>
  </si>
  <si>
    <t>WGTNKLC</t>
  </si>
  <si>
    <t>Minimize the Distance</t>
  </si>
  <si>
    <t>MINDIST</t>
  </si>
  <si>
    <t>Advanced Algorithms, Computational Geometry</t>
  </si>
  <si>
    <t>Beauty and The Array</t>
  </si>
  <si>
    <t>BEAUAR</t>
  </si>
  <si>
    <t>Advanced Algorithms, Advanced Data Structures, Computational Geometry, Convex Hull, Polygons</t>
  </si>
  <si>
    <t>Nicks Landing</t>
  </si>
  <si>
    <t>LNDNCK</t>
  </si>
  <si>
    <t>Advanced Algorithms, Algorithms, Offline Queries, Queries, Sorting, Square Root Decomposition</t>
  </si>
  <si>
    <t>Gwalior - Pune Site Onsite Round 2018 - Gwalior - Pune Site Onsite Round 2018</t>
  </si>
  <si>
    <t>Life Limited</t>
  </si>
  <si>
    <t>LIFELTD</t>
  </si>
  <si>
    <t>Capturing Bird in A Camera</t>
  </si>
  <si>
    <t>CAPTBIRD</t>
  </si>
  <si>
    <t>A - Even Odd subsequences</t>
  </si>
  <si>
    <t>EOSUBSEQ</t>
  </si>
  <si>
    <t>Prefix Numbers</t>
  </si>
  <si>
    <t>PREFNUM</t>
  </si>
  <si>
    <t>Basic Math, Mathematics, Modular Arithmetic, Number Theory</t>
  </si>
  <si>
    <t>Autonomous Cars</t>
  </si>
  <si>
    <t>AUTOCARS</t>
  </si>
  <si>
    <t>admin2</t>
  </si>
  <si>
    <t>Siruseri Gerrymandering</t>
  </si>
  <si>
    <t>SIRUSERI</t>
  </si>
  <si>
    <t>Three Strings</t>
  </si>
  <si>
    <t>THSTRS</t>
  </si>
  <si>
    <t>Not So Random Walks</t>
  </si>
  <si>
    <t>WALKTREE</t>
  </si>
  <si>
    <t>Game of numbers</t>
  </si>
  <si>
    <t>GAMOFNUM</t>
  </si>
  <si>
    <t>Algorithms, Divisors, Game Theory, Integer Factorisation, Mathematics, Number Theory, Prime Divisors, Sprague Grundy Theorem</t>
  </si>
  <si>
    <t>Polygon and String</t>
  </si>
  <si>
    <t>POLYSTR</t>
  </si>
  <si>
    <t>Flipping Polygons</t>
  </si>
  <si>
    <t>NGONS</t>
  </si>
  <si>
    <t>Advanced Data Structures, Advanced Tree Structures, Geometry, Lazy Propagation, Mathematics, Segment Trees</t>
  </si>
  <si>
    <t>Asia-Amritapuri Site Onsite Round 2018 - Asia-Amritapuri Site Onsite Round 2018</t>
  </si>
  <si>
    <t>Is it a Cakewalk Problem</t>
  </si>
  <si>
    <t>ISITCAKE</t>
  </si>
  <si>
    <t>Magic School</t>
  </si>
  <si>
    <t>CNTFAIL</t>
  </si>
  <si>
    <t>Fighting Armies</t>
  </si>
  <si>
    <t>ARMYFGT</t>
  </si>
  <si>
    <t>Availability</t>
  </si>
  <si>
    <t>AVLBLT</t>
  </si>
  <si>
    <t>dojiboy9</t>
  </si>
  <si>
    <t>Martingale</t>
  </si>
  <si>
    <t>MARTING1</t>
  </si>
  <si>
    <t>Palindromic Walks</t>
  </si>
  <si>
    <t>PALPATH</t>
  </si>
  <si>
    <t>Sauna Cred</t>
  </si>
  <si>
    <t>SAUNA</t>
  </si>
  <si>
    <t>D - Balanced Parenthesis Substrings</t>
  </si>
  <si>
    <t>BALSUB</t>
  </si>
  <si>
    <t>Alien Invasion</t>
  </si>
  <si>
    <t>ALIENINV</t>
  </si>
  <si>
    <t>balajiganapath</t>
  </si>
  <si>
    <t>Alohomora</t>
  </si>
  <si>
    <t>KHULJA</t>
  </si>
  <si>
    <t>Algorithms, Dynamic Programming, FFT, Mathematics, Transformations</t>
  </si>
  <si>
    <t>Reforms, Reforms Never Change</t>
  </si>
  <si>
    <t>REFORMS</t>
  </si>
  <si>
    <t>Square in rectangles</t>
  </si>
  <si>
    <t>SQRECT</t>
  </si>
  <si>
    <t>Asia Kolkata-Kanpur Site Onsite Round 2018 -  Asia Kolkata-Kanpur Site Onsite Round 2018</t>
  </si>
  <si>
    <t>Valid Stack Operations</t>
  </si>
  <si>
    <t>VALIDSTK</t>
  </si>
  <si>
    <t>Get a Bucket of Water</t>
  </si>
  <si>
    <t>BUCKETWA</t>
  </si>
  <si>
    <t>Algorithms, Binary Search, Searching</t>
  </si>
  <si>
    <t>What is the Cost of Reading</t>
  </si>
  <si>
    <t>READCOST</t>
  </si>
  <si>
    <t>Beauty of Konoha</t>
  </si>
  <si>
    <t>BEAUKONO</t>
  </si>
  <si>
    <t>1D Arrays, Algorithms, Arrays, Constructive, Data Structures, Graphs, Implementation, Observation, Trees, ad-hoc</t>
  </si>
  <si>
    <t>Bag of Tiles</t>
  </si>
  <si>
    <t>TILEBAG</t>
  </si>
  <si>
    <t>Do You Want to Build a Snowman</t>
  </si>
  <si>
    <t>SNOWMAN</t>
  </si>
  <si>
    <t>Yet another shortest path problem</t>
  </si>
  <si>
    <t>YASPP</t>
  </si>
  <si>
    <t>Absolute Difference Sum</t>
  </si>
  <si>
    <t>ABSDIFFS</t>
  </si>
  <si>
    <t>Advanced Algorithms, Advanced DP, Algorithms, Digit DP, Implementation</t>
  </si>
  <si>
    <t>Chef and Alien Invasion</t>
  </si>
  <si>
    <t>ALIENCOW</t>
  </si>
  <si>
    <t>Algorithms, Combinatorics, DFS, Data Structures, Graph Algos, Maps, Mathematics, Traversals</t>
  </si>
  <si>
    <t>Josephus Again</t>
  </si>
  <si>
    <t>JOSEPHUS</t>
  </si>
  <si>
    <t>Yet another expected value problem</t>
  </si>
  <si>
    <t>YAEXP</t>
  </si>
  <si>
    <t>Again Multi-Peg Tower of Hanoi</t>
  </si>
  <si>
    <t>MULHANOI</t>
  </si>
  <si>
    <t>admin3</t>
  </si>
  <si>
    <t>Asia India Regionals Online Round 2018 - Asia India Regionals Online Round 2018</t>
  </si>
  <si>
    <t>A Game of Robots</t>
  </si>
  <si>
    <t>ROBOGAME</t>
  </si>
  <si>
    <t>Reduction Game</t>
  </si>
  <si>
    <t>REDCGAME</t>
  </si>
  <si>
    <t>Word Grid</t>
  </si>
  <si>
    <t>WORDGRID</t>
  </si>
  <si>
    <t>A Family of Bipartite Graphs</t>
  </si>
  <si>
    <t>BIPFAMIL</t>
  </si>
  <si>
    <t>The Prestige</t>
  </si>
  <si>
    <t>PRESTIGE</t>
  </si>
  <si>
    <t>Asia-Kharagpur Site Onsite Round 2018 - Asia-Kharagpur Site Onsite Round 2018</t>
  </si>
  <si>
    <t>Maximise the Sum</t>
  </si>
  <si>
    <t>NOMATCH</t>
  </si>
  <si>
    <t>Algorithms, Constructive, Greedy, Simple Algos, Sorting, Two pointers, ad-hoc</t>
  </si>
  <si>
    <t>Count Periodic Numbers</t>
  </si>
  <si>
    <t>PERIODCN</t>
  </si>
  <si>
    <t>Pseudo Sorting Algorithm</t>
  </si>
  <si>
    <t>SORTALGO</t>
  </si>
  <si>
    <t>1-2 Game</t>
  </si>
  <si>
    <t>BINGAME</t>
  </si>
  <si>
    <t>Algorithms, Constructive, Game Theory, ad-hoc</t>
  </si>
  <si>
    <t>A Triangle and Two Squares</t>
  </si>
  <si>
    <t>SQRTRI</t>
  </si>
  <si>
    <t>AND on Graph</t>
  </si>
  <si>
    <t>GRAPHAND</t>
  </si>
  <si>
    <t>Algorithms, Bit Manipulation, Bitwise Operation, Data Structures, Dijkstra's Algorithm, Graph Algos, Graphs, Mathematics, Shortest Paths</t>
  </si>
  <si>
    <t>Subset Sums Revisited</t>
  </si>
  <si>
    <t>SUBSUMX</t>
  </si>
  <si>
    <t>Points, Lines, Triangles and Graphs</t>
  </si>
  <si>
    <t>POLITRI</t>
  </si>
  <si>
    <t>Advanced Algorithms, Computational Geometry, Lines, Polygons</t>
  </si>
  <si>
    <t>Mafia Syndicate</t>
  </si>
  <si>
    <t>MAFIASYN</t>
  </si>
  <si>
    <t>Advanced Data Structures, Advanced Tree Structures, Algorithms, DFS, Data Structures, Graph Algos, Graphs, Segment Trees, Sets, Traversals, Trees</t>
  </si>
  <si>
    <t>Another Game of Life</t>
  </si>
  <si>
    <t>VASTLIFE</t>
  </si>
  <si>
    <t>Gwalior Site Onsite Round 2017 - Gwalior Site Onsite Round 17</t>
  </si>
  <si>
    <t>Coupon System</t>
  </si>
  <si>
    <t>COUPSYS</t>
  </si>
  <si>
    <t>Optimize The Slow Code</t>
  </si>
  <si>
    <t>OPTCODE</t>
  </si>
  <si>
    <t>A Tale of Three Squares</t>
  </si>
  <si>
    <t>TALESQUA</t>
  </si>
  <si>
    <t>A Tale of Two Right Angled Triangles</t>
  </si>
  <si>
    <t>TALETRI</t>
  </si>
  <si>
    <t>Chef and Triangles</t>
  </si>
  <si>
    <t>TRICHEF</t>
  </si>
  <si>
    <t>Queries on tree again</t>
  </si>
  <si>
    <t>QTRAGAIN</t>
  </si>
  <si>
    <t>Organize The Wallet</t>
  </si>
  <si>
    <t>ZUBWALLT</t>
  </si>
  <si>
    <t>Proprietary Probabilistic Problem</t>
  </si>
  <si>
    <t>KALADIN</t>
  </si>
  <si>
    <t>Find Lighted Area</t>
  </si>
  <si>
    <t>LIGHTARE</t>
  </si>
  <si>
    <t>admin2, geometry, gwr17rol, med-hard</t>
  </si>
  <si>
    <t>Asia-Amritapuri Site Onsite Round 2017 - Asia-Amritapuri Site Onsite Round 2017</t>
  </si>
  <si>
    <t>Coder Life Matters</t>
  </si>
  <si>
    <t>CODERLIF</t>
  </si>
  <si>
    <t>Quadratic Functions</t>
  </si>
  <si>
    <t>QUADFUNC</t>
  </si>
  <si>
    <t>A Few Laughing Men</t>
  </si>
  <si>
    <t>LAUGHMEN</t>
  </si>
  <si>
    <t>Nested Candy Boxes</t>
  </si>
  <si>
    <t>AMBOXES</t>
  </si>
  <si>
    <t>Crypto Trading</t>
  </si>
  <si>
    <t>CRYPCUR</t>
  </si>
  <si>
    <t>Advanced Algorithms, Advanced Graph Algos, Algorithms, Binary Search, Binary Search on Answer, Connected Components, DAG Algos, Graph Algos, Searching, Topological Sorting</t>
  </si>
  <si>
    <t>Poetic word</t>
  </si>
  <si>
    <t>AMLEX</t>
  </si>
  <si>
    <t>Advanced Algorithms, Advanced Graph Algos, Algorithms, BFS, Data Structures, Flow Networks, Graph Algos, Graphs, Maximum Flow, Traversals</t>
  </si>
  <si>
    <t>Magic Board</t>
  </si>
  <si>
    <t>AMMAGIC</t>
  </si>
  <si>
    <t>Algorithms, DFS, Graph Algos, Traversals</t>
  </si>
  <si>
    <t>Drunk Man in Large City</t>
  </si>
  <si>
    <t>AMDRUNK</t>
  </si>
  <si>
    <t>Algorithms, Dijkstra's Algorithm, Graph Algos, Shortest Paths</t>
  </si>
  <si>
    <t>Longest Races</t>
  </si>
  <si>
    <t>AMRACES</t>
  </si>
  <si>
    <t>Algorithms, Constructive, DFS, Dynamic Programming, Graph Algos, Traversals</t>
  </si>
  <si>
    <t>Sliding Puzzle</t>
  </si>
  <si>
    <t>AMPUZZLE</t>
  </si>
  <si>
    <t>A Simple Polygon</t>
  </si>
  <si>
    <t>SIMPPOLY</t>
  </si>
  <si>
    <t>Asia-Chennai Site Onsite Round 2017 - Asia-Chennai Site Onsite Round 2017</t>
  </si>
  <si>
    <t>Good and Bad Persons</t>
  </si>
  <si>
    <t>GOODBAD</t>
  </si>
  <si>
    <t>Minimize the string</t>
  </si>
  <si>
    <t>MINSTR</t>
  </si>
  <si>
    <t>Obtain Desired Expected Value</t>
  </si>
  <si>
    <t>OBEXPVAL</t>
  </si>
  <si>
    <t>Method Resolution Order</t>
  </si>
  <si>
    <t>MRO</t>
  </si>
  <si>
    <t>Algorithms, DAG Algos, Data Structures, Directed Acyclic Graphs, Directed Graphs, Dynamic Programming, Graph Algos, Graphs, Mathematics, Observation, Recurrence Relation, Recursion, Set Theory, Topological Sorting</t>
  </si>
  <si>
    <t>Area of an amazing figure</t>
  </si>
  <si>
    <t>AREAFIGR</t>
  </si>
  <si>
    <t>Advanced Algorithms, Areas, Computational Geometry, Polygons, Rectangles, Sweep line Algorithm</t>
  </si>
  <si>
    <t>Black and Red vertices of Tree</t>
  </si>
  <si>
    <t>BLREDSET</t>
  </si>
  <si>
    <t>Vertex Cover</t>
  </si>
  <si>
    <t>VRTXCOVR</t>
  </si>
  <si>
    <t>Chef and Deforestation</t>
  </si>
  <si>
    <t>DEFOREST</t>
  </si>
  <si>
    <t>Advanced Algorithms, Advanced Data Structures, Advanced Tree Structures, Coordinate Compression, Fenwick Trees, Pre processing, Segment Trees</t>
  </si>
  <si>
    <t>Codie Bird</t>
  </si>
  <si>
    <t>CODIE</t>
  </si>
  <si>
    <t>Expected Value, Mathematics, Matrices, Matrix Exponentiation, Matrix Multiplication, Probability</t>
  </si>
  <si>
    <t>Chef Counts Semi-BSTs</t>
  </si>
  <si>
    <t>MANCBST</t>
  </si>
  <si>
    <t>Asia-Kolkata Site Onsite Round 2017 - Asia-Kolkata Site Onsite Round 2017</t>
  </si>
  <si>
    <t>J - Reached Safely Or Not</t>
  </si>
  <si>
    <t>ZUBREACH</t>
  </si>
  <si>
    <t>D - Triangle Count</t>
  </si>
  <si>
    <t>ZUBTRCNT</t>
  </si>
  <si>
    <t>A - Appearance Count</t>
  </si>
  <si>
    <t>ZUBAPCNT</t>
  </si>
  <si>
    <t>C - Club of Riders</t>
  </si>
  <si>
    <t>ZUBRIDER</t>
  </si>
  <si>
    <t>B - Get The Gold</t>
  </si>
  <si>
    <t>ZUBGOLD</t>
  </si>
  <si>
    <t>E - Password Riddle</t>
  </si>
  <si>
    <t>ZUBPASSR</t>
  </si>
  <si>
    <t>K - Raw Power</t>
  </si>
  <si>
    <t>RAWPOWER</t>
  </si>
  <si>
    <t>F - Huge Number of Trees</t>
  </si>
  <si>
    <t>ZUBHTREE</t>
  </si>
  <si>
    <t>I - Secrets</t>
  </si>
  <si>
    <t>ZUBSECRT</t>
  </si>
  <si>
    <t>G - Palace of King</t>
  </si>
  <si>
    <t>ZUBPALK</t>
  </si>
  <si>
    <t>H - Unpredictable Array</t>
  </si>
  <si>
    <t>ZUBSPOIL</t>
  </si>
  <si>
    <t>Asia India Regionals Online Round 2017 - Asia India Regionals Online Round 2017</t>
  </si>
  <si>
    <t>Ordering teams</t>
  </si>
  <si>
    <t>ORDTEAMS</t>
  </si>
  <si>
    <t>Obtain Desired Standard Deviation</t>
  </si>
  <si>
    <t>STDDEV</t>
  </si>
  <si>
    <t>Compression Algorithm</t>
  </si>
  <si>
    <t>COMPEXP</t>
  </si>
  <si>
    <t>Modulo Equality</t>
  </si>
  <si>
    <t>EQUALMOD</t>
  </si>
  <si>
    <t>Algorithms, Data Structures, Hashmaps, Mathematics, Modular Arithmetic, Prefix Sum, Simple Algos, Sorting</t>
  </si>
  <si>
    <t>A tale of two trees</t>
  </si>
  <si>
    <t>TWOTREES</t>
  </si>
  <si>
    <t>Asia-Kharagpur Site Onsite Round 2017 - Asia-Kharagpur Site Onsite Round 2017</t>
  </si>
  <si>
    <t>Uniform Strings</t>
  </si>
  <si>
    <t>STRLBP</t>
  </si>
  <si>
    <t>Spam Classification Using Neural Net</t>
  </si>
  <si>
    <t>SPAMCLAS</t>
  </si>
  <si>
    <t>Generating A Permutation</t>
  </si>
  <si>
    <t>GENPERM</t>
  </si>
  <si>
    <t>acm17kgp, architk, constructive, easy-medium, kgp17rol</t>
  </si>
  <si>
    <t>SAD Queries</t>
  </si>
  <si>
    <t>SADQ</t>
  </si>
  <si>
    <t>Number Game</t>
  </si>
  <si>
    <t>NUMBGAME</t>
  </si>
  <si>
    <t>acm17kgp, balajiganapath, depth-first-search, graphs, kgp17rol, medium, number-theory</t>
  </si>
  <si>
    <t>Taxi Making Sharp Turns</t>
  </si>
  <si>
    <t>TAXITURN</t>
  </si>
  <si>
    <t>Non Overlapping Segments</t>
  </si>
  <si>
    <t>NONOVSEG</t>
  </si>
  <si>
    <t>Algorithms, Dynamic Programming, Sorting</t>
  </si>
  <si>
    <t>Chef and XOR Queries</t>
  </si>
  <si>
    <t>XORQUERY</t>
  </si>
  <si>
    <t>Science Fair</t>
  </si>
  <si>
    <t>SCIENCEF</t>
  </si>
  <si>
    <t>Black Discs</t>
  </si>
  <si>
    <t>DISCAREA</t>
  </si>
  <si>
    <t>acm17kgp, convex-hull, geometry, hard, kgp17rol, monte-carlo, triveni</t>
  </si>
  <si>
    <t>Asia-Kolkata Site Onsite Round 2016 - Asia-Kolkata Site Onsite Round 2016</t>
  </si>
  <si>
    <t>Extreme Encoding</t>
  </si>
  <si>
    <t>KOL16B</t>
  </si>
  <si>
    <t>Quentin Tarantino</t>
  </si>
  <si>
    <t>KOL16J</t>
  </si>
  <si>
    <t>Algorithms, Implementation, Sorting</t>
  </si>
  <si>
    <t>Mr Wireless</t>
  </si>
  <si>
    <t>KOL16H</t>
  </si>
  <si>
    <t>Binary, Gray code, Mathematics, Number System</t>
  </si>
  <si>
    <t>Precious Stones</t>
  </si>
  <si>
    <t>KOL16F</t>
  </si>
  <si>
    <t>Algorithms, Basic Programming Concepts, Case work, Conditional Statements, Constructive, Loops, Observation, Sorting, Special, ad-hoc</t>
  </si>
  <si>
    <t>Divide Me Please</t>
  </si>
  <si>
    <t>KOL16E</t>
  </si>
  <si>
    <t>Fermat's Little Theorem, Mathematics, Modular Arithmetic, Modulo Multiplicative Inverse</t>
  </si>
  <si>
    <t>Chef and Points</t>
  </si>
  <si>
    <t>KOL16K</t>
  </si>
  <si>
    <t>Advanced Algorithms, Algorithms, Binary Search, Dynamic Programming, Geometry, Mathematics, Pre processing, Searching, Sorting</t>
  </si>
  <si>
    <t>Playing World War II</t>
  </si>
  <si>
    <t>KOL16A</t>
  </si>
  <si>
    <t>Algorithms, DP Approach, Dynamic Programming, Memoization, Recursion</t>
  </si>
  <si>
    <t>Optimal BST Revisited</t>
  </si>
  <si>
    <t>KOL16L</t>
  </si>
  <si>
    <t>Algorithms, Binary Search Tree, Data Structures, Dynamic Programming, Prefix Sum, Simple Algos, Tree Data Structure</t>
  </si>
  <si>
    <t>Zeroes VII</t>
  </si>
  <si>
    <t>KOL16C</t>
  </si>
  <si>
    <t>Algorithms, Binary Search, Mathematics, Number Theory, Searching, Sieve of Eratosthenes</t>
  </si>
  <si>
    <t>Men and Horses</t>
  </si>
  <si>
    <t>KOL16D</t>
  </si>
  <si>
    <t>Algorithms, Constructive, Mathematics, Physics, Special, ad-hoc</t>
  </si>
  <si>
    <t>Roads</t>
  </si>
  <si>
    <t>KOL16I</t>
  </si>
  <si>
    <t>Algorithms, Case work, Constructive, Data Structures, Graphs, Special, Trees</t>
  </si>
  <si>
    <t>Optimal use of Nuclear Power plant</t>
  </si>
  <si>
    <t>KOL16G</t>
  </si>
  <si>
    <t>Algorithms, Binary Search, Calculus, Geometry, Integration, Mathematics, Searching</t>
  </si>
  <si>
    <t>Asia-Amritapuri Site Onsite Round 2016 - Asia-Amritapuri Site Onsite Round 2016</t>
  </si>
  <si>
    <t>Tim and BSTs</t>
  </si>
  <si>
    <t>AMR16A</t>
  </si>
  <si>
    <t>A Historic Discussion</t>
  </si>
  <si>
    <t>AMR16B</t>
  </si>
  <si>
    <t>Influence on Social media</t>
  </si>
  <si>
    <t>AMR16C</t>
  </si>
  <si>
    <t>admin3, amr16, binary-search, easy, icpc2016, sorting</t>
  </si>
  <si>
    <t>ATM queue</t>
  </si>
  <si>
    <t>AMR16D</t>
  </si>
  <si>
    <t>Notes and GPS Chips</t>
  </si>
  <si>
    <t>AMR16F</t>
  </si>
  <si>
    <t>admin3, amr16, icpc2016</t>
  </si>
  <si>
    <t>Netcoin Verification</t>
  </si>
  <si>
    <t>AMR16H</t>
  </si>
  <si>
    <t>Hawala Arrests</t>
  </si>
  <si>
    <t>AMR16G</t>
  </si>
  <si>
    <t>Mancunian Hoards Black Money</t>
  </si>
  <si>
    <t>AMR16I</t>
  </si>
  <si>
    <t>admin3, amr16, amr16mos, icpc2016</t>
  </si>
  <si>
    <t>Bob vs ATM</t>
  </si>
  <si>
    <t>AMR16J</t>
  </si>
  <si>
    <t>Hide Them All</t>
  </si>
  <si>
    <t>AMR16L</t>
  </si>
  <si>
    <t>Asia-Chennai Site Onsite Round 2016 - Asia-Chennai Site Onsite Round 2016</t>
  </si>
  <si>
    <t>Voting Fraud</t>
  </si>
  <si>
    <t>CHN16G</t>
  </si>
  <si>
    <t>ACM ICPC World Finals Accommodation</t>
  </si>
  <si>
    <t>CHN16F</t>
  </si>
  <si>
    <t>Birthday Pizza Party</t>
  </si>
  <si>
    <t>CHN16C</t>
  </si>
  <si>
    <t>Alice and Bob play Contact</t>
  </si>
  <si>
    <t>CHN16I</t>
  </si>
  <si>
    <t>Mancunian Candidate Master Forever</t>
  </si>
  <si>
    <t>CHN16B</t>
  </si>
  <si>
    <t>Mancunian and Sonu Generate Strings</t>
  </si>
  <si>
    <t>CHN16A</t>
  </si>
  <si>
    <t>Kingdom of Chef</t>
  </si>
  <si>
    <t>CHN16J</t>
  </si>
  <si>
    <t>ATM Queue</t>
  </si>
  <si>
    <t>CHN16D</t>
  </si>
  <si>
    <t>Moving Clams</t>
  </si>
  <si>
    <t>CHN16E</t>
  </si>
  <si>
    <t>Sum and Xor</t>
  </si>
  <si>
    <t>CHN16H</t>
  </si>
  <si>
    <t>Asia-Kharagpur Site Onsite Round 2016 - Asia-Kharagpur Site Onsite Round 2016</t>
  </si>
  <si>
    <t>Coal Mafia and Toll Tax</t>
  </si>
  <si>
    <t>KGP16H</t>
  </si>
  <si>
    <t>acm-icpc, admin3, kgp16</t>
  </si>
  <si>
    <t>Coal mines of Kharagpur</t>
  </si>
  <si>
    <t>KGP16E</t>
  </si>
  <si>
    <t>Optimal Partition</t>
  </si>
  <si>
    <t>KGP16F</t>
  </si>
  <si>
    <t>acm16, admin3, dynamic-programming, icpc2016, kgp16, programming</t>
  </si>
  <si>
    <t>Sweet Shops of Kolkata</t>
  </si>
  <si>
    <t>KGP16D</t>
  </si>
  <si>
    <t>admin3, array, constructive, icpc2016, kgp16, looping</t>
  </si>
  <si>
    <t>Timestamps</t>
  </si>
  <si>
    <t>KGP16C</t>
  </si>
  <si>
    <t>acm16, admin3, greedy, icpc2016, implementation, kgp16</t>
  </si>
  <si>
    <t>Cookie Flavors</t>
  </si>
  <si>
    <t>KGP16K</t>
  </si>
  <si>
    <t>acm-icpc, acm16, admin3, kgp16, knuth-morris-pratt-algorithm, looping</t>
  </si>
  <si>
    <t>Path by a Castle</t>
  </si>
  <si>
    <t>KGP16B</t>
  </si>
  <si>
    <t>acm16, admin3, geometry, icpc2016, kgp16, mathspuzzle, point-in-polygon</t>
  </si>
  <si>
    <t>Bus Routes</t>
  </si>
  <si>
    <t>KGP16J</t>
  </si>
  <si>
    <t>acm16kol, admin3, bellman-ford, graphs, kgp16, mincut-maxflow</t>
  </si>
  <si>
    <t>Finding Seats</t>
  </si>
  <si>
    <t>KGP16A</t>
  </si>
  <si>
    <t>acm16, admin3, dynamic-programming, icpc2016, kgp16, vijju123</t>
  </si>
  <si>
    <t>Painting a Town</t>
  </si>
  <si>
    <t>KGP16G</t>
  </si>
  <si>
    <t>admin3, binary-search, breadth-first-search, brute-force, expected-value, icpc2016, kgp16, pre-computation, probability</t>
  </si>
  <si>
    <t>Monetize Mania</t>
  </si>
  <si>
    <t>KGP16I</t>
  </si>
  <si>
    <t>Asia India Regionals Online Round 2016 - Asia India Regionals Online Round 2016</t>
  </si>
  <si>
    <t>Help Lost Robot!</t>
  </si>
  <si>
    <t>ICPC16A</t>
  </si>
  <si>
    <t>Beautiful Arrays</t>
  </si>
  <si>
    <t>ICPC16B</t>
  </si>
  <si>
    <t>Watson and Digit Sums</t>
  </si>
  <si>
    <t>ICPC16C</t>
  </si>
  <si>
    <t>Good Sets</t>
  </si>
  <si>
    <t>ICPC16D</t>
  </si>
  <si>
    <t>Colorful Grids</t>
  </si>
  <si>
    <t>ICPC16E</t>
  </si>
  <si>
    <t>Robolympic Batons</t>
  </si>
  <si>
    <t>ICPC16G</t>
  </si>
  <si>
    <t>Combinatorics, FFT, Mathematics, Transformations</t>
  </si>
  <si>
    <t>Chef and Bipartite Graphs</t>
  </si>
  <si>
    <t>ICPC16F</t>
  </si>
  <si>
    <t>Algorithms, Bipartite Graphs, Constructive, DP Approach, Data Structures, Dynamic Programming, Graphs, ad-hoc</t>
  </si>
  <si>
    <t>Asia-India Finals Onsite Round 2016 - Asia-India Finals Onsite Round 2016</t>
  </si>
  <si>
    <t>Pacman</t>
  </si>
  <si>
    <t>INF16I</t>
  </si>
  <si>
    <t>Jumping Frogs III</t>
  </si>
  <si>
    <t>INF16E</t>
  </si>
  <si>
    <t>kol_adm</t>
  </si>
  <si>
    <t>Employee Voice Surveys</t>
  </si>
  <si>
    <t>INF16H</t>
  </si>
  <si>
    <t>Forming Teams Again</t>
  </si>
  <si>
    <t>INF16A</t>
  </si>
  <si>
    <t>Maximizing Minimum Distance</t>
  </si>
  <si>
    <t>INF16C</t>
  </si>
  <si>
    <t>Pinocchio</t>
  </si>
  <si>
    <t>INF16D</t>
  </si>
  <si>
    <t>WiFi Expenses</t>
  </si>
  <si>
    <t>INF16L</t>
  </si>
  <si>
    <t>Robbery 101</t>
  </si>
  <si>
    <t>INF16B</t>
  </si>
  <si>
    <t>Lost in the Cave</t>
  </si>
  <si>
    <t>INF16F</t>
  </si>
  <si>
    <t>Robots of Robin</t>
  </si>
  <si>
    <t>INF16J</t>
  </si>
  <si>
    <t>Road Maintenance</t>
  </si>
  <si>
    <t>INF16K</t>
  </si>
  <si>
    <t>Asia-Chennai Site Onsite Round 2015 - Asia-Chennai Site Onsite Round 2015</t>
  </si>
  <si>
    <t>Malvika conducts a Programming Camp</t>
  </si>
  <si>
    <t>CHN05</t>
  </si>
  <si>
    <t>Algorithms, Basic Math, Constructive, Greedy, Mathematics, ad-hoc</t>
  </si>
  <si>
    <t>Crazy Malvika discovers Crazy Fibonacci function</t>
  </si>
  <si>
    <t>CHN08</t>
  </si>
  <si>
    <t>acm15chn, admin2, modulo, recurrence</t>
  </si>
  <si>
    <t>Malvika conducts her own ACM-ICPC contest series</t>
  </si>
  <si>
    <t>CHN01</t>
  </si>
  <si>
    <t>acm15chn, admin2, binary-search</t>
  </si>
  <si>
    <t>Animesh practices some programming contests</t>
  </si>
  <si>
    <t>CHN03</t>
  </si>
  <si>
    <t>acm15chn, admin2, dynamic-programming</t>
  </si>
  <si>
    <t>Malvika and Animesh play Red-Blue cards Game</t>
  </si>
  <si>
    <t>CHN07</t>
  </si>
  <si>
    <t>Algorithms, Game Theory, Mathematics</t>
  </si>
  <si>
    <t>Animesh decides to settle down</t>
  </si>
  <si>
    <t>CHN02</t>
  </si>
  <si>
    <t>Advanced Algorithms, Computational Geometry, Convex Hull, Half-plane intersection, Polygons</t>
  </si>
  <si>
    <t>Animesh does not gift Malvika on her birthday</t>
  </si>
  <si>
    <t>CHN10</t>
  </si>
  <si>
    <t>Algorithms, DFS, Graph Algos, Mathematics, Modular Arithmetic, Modular Exponentiation, Traversals</t>
  </si>
  <si>
    <t>Malvika gets bored along with her Cats</t>
  </si>
  <si>
    <t>CHN04</t>
  </si>
  <si>
    <t>acm15chn, admin2, dynamic-programming, sqrt-decomp</t>
  </si>
  <si>
    <t>King Animesh decides to have a voyage to the sun</t>
  </si>
  <si>
    <t>CHN06</t>
  </si>
  <si>
    <t>Advanced Algorithms, Advanced Graph Algos, Algorithms, DFS, Flow Networks, Graph Algos, Maximum Bipartite Matching, Traversals</t>
  </si>
  <si>
    <t>Animesh has a war with tribal leader Malvika</t>
  </si>
  <si>
    <t>CHN11</t>
  </si>
  <si>
    <t>Algorithms, Arrays, Combinatorics, Data Structures, Frequency Arrays, Hashmaps, Mathematics, Sorting</t>
  </si>
  <si>
    <t>Praveen falls from a tall tree</t>
  </si>
  <si>
    <t>CHN12</t>
  </si>
  <si>
    <t>acm15chn, admin2, lowest-common-ancestor, trees</t>
  </si>
  <si>
    <t>Asia-Kolkata Site Onsite Round 2015 - Asia-Kolkata Site Onsite Round 2015</t>
  </si>
  <si>
    <t>Jalebi Bai and Decks of Sweets</t>
  </si>
  <si>
    <t>KOL1505</t>
  </si>
  <si>
    <t>The making of a cake</t>
  </si>
  <si>
    <t>KOL1504</t>
  </si>
  <si>
    <t>The Christmas Gift</t>
  </si>
  <si>
    <t>KOL1502</t>
  </si>
  <si>
    <t>Algorithms, Dynamic Programming, Recurrence Relation, Recursion</t>
  </si>
  <si>
    <t>Save The Trees</t>
  </si>
  <si>
    <t>KOL1509</t>
  </si>
  <si>
    <t>Advanced Algorithms, Algorithms, Basic Math, Cartesian Coordinate System, Computational Geometry, Constructive, Convex Hull, Geometry, Mathematics, Observation, Polygons, ad-hoc</t>
  </si>
  <si>
    <t>Samosa Bhai and his Courier Company</t>
  </si>
  <si>
    <t>KOL1506</t>
  </si>
  <si>
    <t>Advanced Algorithms, Algebra, Algorithms, Binomial Theorem, Bottom-up, DP Approach, Dynamic Programming, Mathematics, Modular Arithmetic, Pre processing, Top-down</t>
  </si>
  <si>
    <t>The Revenge of Jalebi Bai</t>
  </si>
  <si>
    <t>KOL1510</t>
  </si>
  <si>
    <t>Algorithms, Backtracking, Bit Manipulation, Bitmasking, Complete Search, Implementation, Mathematics</t>
  </si>
  <si>
    <t>The Parenthesis Tree</t>
  </si>
  <si>
    <t>KOL1503</t>
  </si>
  <si>
    <t>Algorithms, Binary lifting, DFS, Data Structures, Graph Algos, Graphs, Lowest Common Ancestor, Traversals, Trees</t>
  </si>
  <si>
    <t>Antichains</t>
  </si>
  <si>
    <t>KOL1508</t>
  </si>
  <si>
    <t>Combinatorics, Fermat's Little Theorem, Mathematics, Modular Arithmetic, Number Theory, Permutations &amp; Combinations, Sperner's Theorem</t>
  </si>
  <si>
    <t>The Christmas Cookies</t>
  </si>
  <si>
    <t>KOL1507</t>
  </si>
  <si>
    <t>Advanced Algorithms, Advanced Graph Algos, Algorithms, Graph Algos, HLD, Minimum Spanning Trees, Offline Queries, Queries, Range Queries, Tree Algos</t>
  </si>
  <si>
    <t>In a planet far far away</t>
  </si>
  <si>
    <t>KOL1501</t>
  </si>
  <si>
    <t>Wait for it</t>
  </si>
  <si>
    <t>KOL1511</t>
  </si>
  <si>
    <t>Algorithms, Euclid's Algorithm, Euler Totient Function, Euler Tour, Extended Euclid's Algorithm, GCD, Graph Algos, Mathematics, Number Theory, Traversals</t>
  </si>
  <si>
    <t>Asia-Amritapuri Site Onsite Round 2015 - Asia-Amritapuri Site Onsite Round 2015</t>
  </si>
  <si>
    <t>Jump on Buildings</t>
  </si>
  <si>
    <t>AMJMP</t>
  </si>
  <si>
    <t>akash4983</t>
  </si>
  <si>
    <t>Similar Strings</t>
  </si>
  <si>
    <t>AMSS</t>
  </si>
  <si>
    <t>acm15amr, admin2, combinatorics, maths</t>
  </si>
  <si>
    <t>AMLPALIN</t>
  </si>
  <si>
    <t>acm15amr, ad-hoc, balajiganapath, greedy</t>
  </si>
  <si>
    <t>git</t>
  </si>
  <si>
    <t>AMGIT</t>
  </si>
  <si>
    <t>acm15amr, balajiganapath, dynamic-programming, hashing, strings, trees</t>
  </si>
  <si>
    <t>Chota Mouse and his birthday cake</t>
  </si>
  <si>
    <t>AMBDAY</t>
  </si>
  <si>
    <t>acm15amr, ad-hoc, admin2, greedy</t>
  </si>
  <si>
    <t>Circles and Squares</t>
  </si>
  <si>
    <t>AMCAS</t>
  </si>
  <si>
    <t>acm15amr, akash4983, combinatorics, expected-value, geometry</t>
  </si>
  <si>
    <t>Cat and Mouse</t>
  </si>
  <si>
    <t>AMCAM</t>
  </si>
  <si>
    <t>acm15amr, amitpandeykgp, binary-search, matching</t>
  </si>
  <si>
    <t>Magical Matrix</t>
  </si>
  <si>
    <t>AMMAM</t>
  </si>
  <si>
    <t>acm15amr, akash4983, divide-and-conquer, two-pointers</t>
  </si>
  <si>
    <t>COINS</t>
  </si>
  <si>
    <t>AMCOINS</t>
  </si>
  <si>
    <t>surya_adm</t>
  </si>
  <si>
    <t>COPRIMES</t>
  </si>
  <si>
    <t>AMCOP</t>
  </si>
  <si>
    <t>acm15amr, math, mobius-function, mos-algorithm, surya_adm</t>
  </si>
  <si>
    <t>Kharagpur Onsite Regionals 2013  - Kharagpur Onsite Regionals 2013</t>
  </si>
  <si>
    <t>Olympic Village</t>
  </si>
  <si>
    <t>KGP13B</t>
  </si>
  <si>
    <t>jingbo_adm, kgp13acm, sorting</t>
  </si>
  <si>
    <t>Ant Colony</t>
  </si>
  <si>
    <t>KGP13F</t>
  </si>
  <si>
    <t>easy, jingbo_adm, kgp13acm</t>
  </si>
  <si>
    <t>Election Campaign</t>
  </si>
  <si>
    <t>KGP13A</t>
  </si>
  <si>
    <t>floyd-warshall, jingbo_adm, kgp13acm, trees</t>
  </si>
  <si>
    <t>Sequence Alignment</t>
  </si>
  <si>
    <t>KGP13I</t>
  </si>
  <si>
    <t>dynamic-programming, easy-medium, jingbo_adm, kgp13acm</t>
  </si>
  <si>
    <t>Message Coding</t>
  </si>
  <si>
    <t>KGP13G</t>
  </si>
  <si>
    <t>dynamic-programming, easy-medium, jingbo_adm, kgp13acm, trie</t>
  </si>
  <si>
    <t>Stairway Reduction</t>
  </si>
  <si>
    <t>KGP13C</t>
  </si>
  <si>
    <t>Toy Exchange</t>
  </si>
  <si>
    <t>KGP13H</t>
  </si>
  <si>
    <t>jingbo_adm, kgp13acm, medium-hard</t>
  </si>
  <si>
    <t>One-Way Roads</t>
  </si>
  <si>
    <t>KGP13E</t>
  </si>
  <si>
    <t>cakewalk, jingbo_adm, kgp13acm, manhattan</t>
  </si>
  <si>
    <t>Nomad Camp</t>
  </si>
  <si>
    <t>KGP13J</t>
  </si>
  <si>
    <t>hard, jingbo_adm, kgp13acm, voronoi-diagram</t>
  </si>
  <si>
    <t>Building Township</t>
  </si>
  <si>
    <t>KGP13D</t>
  </si>
  <si>
    <t>dynamic-programming, easy-medium, graphs, jingbo_adm, kgp13acm</t>
  </si>
  <si>
    <t>Kanpur Onsite Regionals 2013 - Kanpur Onsite Regionals 2013</t>
  </si>
  <si>
    <t>Rich Rhyme</t>
  </si>
  <si>
    <t>KAN13C</t>
  </si>
  <si>
    <t>jingbo_adm, kan13acm, knuth-morris-pratt-algorithm, medium</t>
  </si>
  <si>
    <t>Changing Money</t>
  </si>
  <si>
    <t>KAN13G</t>
  </si>
  <si>
    <t>easy, greedy, jingbo_adm, kan13acm</t>
  </si>
  <si>
    <t>Hard Disk</t>
  </si>
  <si>
    <t>KAN13A</t>
  </si>
  <si>
    <t>dynamic-programming, easy-medium, jingbo_adm, kan13acm</t>
  </si>
  <si>
    <t>Chocolate Division</t>
  </si>
  <si>
    <t>KAN13E</t>
  </si>
  <si>
    <t>jingbo_adm, kan13acm, medium-hard, split-graph</t>
  </si>
  <si>
    <t>Merging Files</t>
  </si>
  <si>
    <t>KAN13F</t>
  </si>
  <si>
    <t>greedy, jingbo_adm, kan13acm, medium-hard</t>
  </si>
  <si>
    <t>Walking Path</t>
  </si>
  <si>
    <t>KAN13B</t>
  </si>
  <si>
    <t>binary-heap, dijkstra-algorithm, jingbo_adm, kan13acm, medium</t>
  </si>
  <si>
    <t>Family of Recurrences</t>
  </si>
  <si>
    <t>KAN13D</t>
  </si>
  <si>
    <t>jingbo_adm, kan13acm, matrix-exponentiation, medium</t>
  </si>
  <si>
    <t>Multi-Peg Tower of Hanoi</t>
  </si>
  <si>
    <t>KAN13H</t>
  </si>
  <si>
    <t>Rewarding the Priests</t>
  </si>
  <si>
    <t>KAN13I</t>
  </si>
  <si>
    <t>easy-medium, fractions, jingbo_adm, kan13acm</t>
  </si>
  <si>
    <t>Amritapuri Onsite Regionals 2012 - Amritapuri Onsite Regionals 2012</t>
  </si>
  <si>
    <t>The Mirror of Galadriel</t>
  </si>
  <si>
    <t>MSTRINGS</t>
  </si>
  <si>
    <t>acmamr12, admin</t>
  </si>
  <si>
    <t>The Glittering Caves of Aglarond</t>
  </si>
  <si>
    <t>LIGHTS</t>
  </si>
  <si>
    <t>Saruman of Many Colours</t>
  </si>
  <si>
    <t>CBLOCKS</t>
  </si>
  <si>
    <t>Gandalf vs the Balrog</t>
  </si>
  <si>
    <t>ATKCTR</t>
  </si>
  <si>
    <t>The Loyalty of the Orcs</t>
  </si>
  <si>
    <t>FSSYNC</t>
  </si>
  <si>
    <t>Dyslexic Gollum</t>
  </si>
  <si>
    <t>PSTRINGS</t>
  </si>
  <si>
    <t>Escape from the Mines</t>
  </si>
  <si>
    <t>RNEST</t>
  </si>
  <si>
    <t>Entmoot</t>
  </si>
  <si>
    <t>BALL</t>
  </si>
  <si>
    <t>Wormtongues Mind</t>
  </si>
  <si>
    <t>MINMAX</t>
  </si>
  <si>
    <t>acmamr12, admin, medium, probability</t>
  </si>
  <si>
    <t>finding holes</t>
  </si>
  <si>
    <t>FINDHOLES</t>
  </si>
  <si>
    <t>Denethors Decryption of Dequeue permutations</t>
  </si>
  <si>
    <t>DQPERMS</t>
  </si>
  <si>
    <t>acmamr12, admin, combinatorics, hard</t>
  </si>
  <si>
    <t>Practice NumPy - Coding Problems and Challenges</t>
  </si>
  <si>
    <t>Practice the essential Python library for scientific computing. Master array manipulation, statistical operations, and start your journey to efficient, data-driven insights today!</t>
  </si>
  <si>
    <t>NumPy Array creation - NumPy Array creation</t>
  </si>
  <si>
    <t>Create NumPy array from exam scores</t>
  </si>
  <si>
    <t>FKLJMW01</t>
  </si>
  <si>
    <t>Random Dice Roll Simulator</t>
  </si>
  <si>
    <t>FKLJMW02</t>
  </si>
  <si>
    <t>Generate a sequence of odd numbers</t>
  </si>
  <si>
    <t>FKLJMW03</t>
  </si>
  <si>
    <t>Numpy datatypes - Numpy datatypes</t>
  </si>
  <si>
    <t>Even Number Boolean Mapper</t>
  </si>
  <si>
    <t>QCROZK01</t>
  </si>
  <si>
    <t>Convert numeric scores to letter grades</t>
  </si>
  <si>
    <t>QCROZK02</t>
  </si>
  <si>
    <t>Numpy array indexing and slicing - Numpy array indexing and slicing</t>
  </si>
  <si>
    <t>Extract every third element from an array</t>
  </si>
  <si>
    <t>GFOLDX01</t>
  </si>
  <si>
    <t>Reverse a NumPy array using slicing</t>
  </si>
  <si>
    <t>GFOLDX02</t>
  </si>
  <si>
    <t>Mask negative numbers in a NumPy array</t>
  </si>
  <si>
    <t>GFOLDX03</t>
  </si>
  <si>
    <t>Filter temperatures above 50 and even numbers</t>
  </si>
  <si>
    <t>GFOLDX04</t>
  </si>
  <si>
    <t>Create a playlist from song indices</t>
  </si>
  <si>
    <t>GFOLDX05</t>
  </si>
  <si>
    <t>N-dimensional NumPy arrays - N-dimensional NumPy arrays</t>
  </si>
  <si>
    <t>Generate 3D array of ones with custom dimensions</t>
  </si>
  <si>
    <t>JGCFSS01</t>
  </si>
  <si>
    <t>Reshape array to user specs</t>
  </si>
  <si>
    <t>JGCFSS02</t>
  </si>
  <si>
    <t>Chessboard Square Extractor</t>
  </si>
  <si>
    <t>JGCFSS03</t>
  </si>
  <si>
    <t>Extract a cube from within a 3D array</t>
  </si>
  <si>
    <t>JGCFSS04</t>
  </si>
  <si>
    <t>Extract specific rows from all layers of 3D array</t>
  </si>
  <si>
    <t>JGCFSS05</t>
  </si>
  <si>
    <t>Basic arithmetic operations - Basic arithmetic operations</t>
  </si>
  <si>
    <t>Combine Scores from Two Exams</t>
  </si>
  <si>
    <t>RWQVQU01</t>
  </si>
  <si>
    <t>Recipe Ingredient Adjuster</t>
  </si>
  <si>
    <t>RWQVQU02</t>
  </si>
  <si>
    <t>Calculate Factorial Using Numpy Array Product</t>
  </si>
  <si>
    <t>RWQVQU03</t>
  </si>
  <si>
    <t>Calculate Cumulative Exam Scores</t>
  </si>
  <si>
    <t>RWQVQU04</t>
  </si>
  <si>
    <t>Comparison / Logical functions - Comparison / Logical functions</t>
  </si>
  <si>
    <t>Compare Athlete Performance with Qualifying Times</t>
  </si>
  <si>
    <t>HZBXOB01</t>
  </si>
  <si>
    <t>Combine student scores from two tests</t>
  </si>
  <si>
    <t>HZBXOB02</t>
  </si>
  <si>
    <t>Compare student grades across subjects</t>
  </si>
  <si>
    <t>HZBXOB03</t>
  </si>
  <si>
    <t>Student Grade Filtering System</t>
  </si>
  <si>
    <t>HZBXOB04</t>
  </si>
  <si>
    <t>Statistical functions - Statistical functions</t>
  </si>
  <si>
    <t>Analyze Temperature Data with Mean and Median</t>
  </si>
  <si>
    <t>SBZUNI01</t>
  </si>
  <si>
    <t>Analyze spread of test scores across subjects</t>
  </si>
  <si>
    <t>SBZUNI02</t>
  </si>
  <si>
    <t>Calculate percentiles of student heights</t>
  </si>
  <si>
    <t>SBZUNI03</t>
  </si>
  <si>
    <t>Calculate class performance metrics</t>
  </si>
  <si>
    <t>SBZUNI04</t>
  </si>
  <si>
    <t>String functions - String functions</t>
  </si>
  <si>
    <t>Merge Student Scores from Two Classes</t>
  </si>
  <si>
    <t>RLQUIY01</t>
  </si>
  <si>
    <t>Create a repeating DNA sequence</t>
  </si>
  <si>
    <t>RLQUIY02</t>
  </si>
  <si>
    <t>Convert country names to uppercase</t>
  </si>
  <si>
    <t>RLQUIY03</t>
  </si>
  <si>
    <t>Title Case Converter for Movie Titles</t>
  </si>
  <si>
    <t>RLQUIY04</t>
  </si>
  <si>
    <t>Parse CSV - Split CSV data into a NumPy array</t>
  </si>
  <si>
    <t>RLQUIY05</t>
  </si>
  <si>
    <t>Join Student Names for Attendance</t>
  </si>
  <si>
    <t>RLQUIY06</t>
  </si>
  <si>
    <t>Find occurrences of a substring in a NumPy array</t>
  </si>
  <si>
    <t>RLQUIY07</t>
  </si>
  <si>
    <t>Replace vowels in a NumPy array of strings</t>
  </si>
  <si>
    <t>RLQUIY08</t>
  </si>
  <si>
    <t>Remove spaces from scientist names</t>
  </si>
  <si>
    <t>RLQUIY09</t>
  </si>
  <si>
    <t>Character Type Counter</t>
  </si>
  <si>
    <t>RLQUIY10</t>
  </si>
  <si>
    <t>Array broadcasting - Array broadcasting</t>
  </si>
  <si>
    <t>Temperature Conversion Calculator</t>
  </si>
  <si>
    <t>ZGOROH01</t>
  </si>
  <si>
    <t>Temperature Conversion Grid</t>
  </si>
  <si>
    <t>ZGOROH02</t>
  </si>
  <si>
    <t>Array Broadcasting for Temperature Conversion</t>
  </si>
  <si>
    <t>ZGOROH03</t>
  </si>
  <si>
    <t>Matrix operations - Matrix operations</t>
  </si>
  <si>
    <t>Compare weather data between two cities</t>
  </si>
  <si>
    <t>SFRSHO01</t>
  </si>
  <si>
    <t>Calculate Product Sales Across Stores</t>
  </si>
  <si>
    <t>SFRSHO02</t>
  </si>
  <si>
    <t>Symmetric Matrix Checker</t>
  </si>
  <si>
    <t>SFRSHO03</t>
  </si>
  <si>
    <t>Decode a secret message using matrix inversion</t>
  </si>
  <si>
    <t>SFRSHO04</t>
  </si>
  <si>
    <t>Matrix Stability Analyzer</t>
  </si>
  <si>
    <t>SFRSHO05</t>
  </si>
  <si>
    <t>Check Orthogonal Matrix</t>
  </si>
  <si>
    <t>SFRSHO06</t>
  </si>
  <si>
    <t>Pandas - Practice problems</t>
  </si>
  <si>
    <t>Unlock the power of data with by solving our Pandas practice problems for Beginners! Perfect for aspiring data scientists, this practice path covers Pandas, Series, DataFrames, data cleaning, preprocessing, and analysis. Learn via coding exercises.</t>
  </si>
  <si>
    <t>Pandas series - Pandas series</t>
  </si>
  <si>
    <t>Create Series from List</t>
  </si>
  <si>
    <t>YAZFDJ01</t>
  </si>
  <si>
    <t>Create Series from mixed list</t>
  </si>
  <si>
    <t>YAZFDJ02</t>
  </si>
  <si>
    <t>Accessing a Series Element</t>
  </si>
  <si>
    <t>YAZFDJ03</t>
  </si>
  <si>
    <t>Introduction to dataframes - Introduction to dataframes</t>
  </si>
  <si>
    <t>Create DataFrame from Dictionary of Series</t>
  </si>
  <si>
    <t>WEFWTL01</t>
  </si>
  <si>
    <t>Create DataFrame from Dictionary of Lists</t>
  </si>
  <si>
    <t>WEFWTL02</t>
  </si>
  <si>
    <t>Create DataFrame from dictionary</t>
  </si>
  <si>
    <t>WEFWTL03</t>
  </si>
  <si>
    <t>View, access and manipulate rows - View, access and manipulate rows</t>
  </si>
  <si>
    <t>Select rows by index label</t>
  </si>
  <si>
    <t>XZYZQE01</t>
  </si>
  <si>
    <t>Access row by integer position</t>
  </si>
  <si>
    <t>XZYZQE02</t>
  </si>
  <si>
    <t>Accessing a Row by Index Name</t>
  </si>
  <si>
    <t>XZYZQE03</t>
  </si>
  <si>
    <t>Handling missing data - Handling missing data</t>
  </si>
  <si>
    <t>Fill missing scores with average</t>
  </si>
  <si>
    <t>NHWUBU01</t>
  </si>
  <si>
    <t>Fill missing values with median</t>
  </si>
  <si>
    <t>NHWUBU02</t>
  </si>
  <si>
    <t>Count Missing Values</t>
  </si>
  <si>
    <t>NHWUBU03</t>
  </si>
  <si>
    <t>Data type conversion - Data type conversion</t>
  </si>
  <si>
    <t>Convert String Numbers to Integers</t>
  </si>
  <si>
    <t>LHZKML01</t>
  </si>
  <si>
    <t>Convert String Prices to Numeric</t>
  </si>
  <si>
    <t>LHZKML02</t>
  </si>
  <si>
    <t>Renaming and reordering columns - Renaming and reordering columns</t>
  </si>
  <si>
    <t>Rename and Reorder Two Columns</t>
  </si>
  <si>
    <t>XJPJKI03</t>
  </si>
  <si>
    <t>Rename and Reorder Basic DataFrame</t>
  </si>
  <si>
    <t>XJPJKI01</t>
  </si>
  <si>
    <t>Rename and Reorder Simple DataFrame Columns</t>
  </si>
  <si>
    <t>XJPJKI02</t>
  </si>
  <si>
    <t>Handling duplicates - Handling duplicates</t>
  </si>
  <si>
    <t>Dropping all duplicate rows</t>
  </si>
  <si>
    <t>CAICFV03</t>
  </si>
  <si>
    <t>Remove duplicate rows</t>
  </si>
  <si>
    <t>CAICFV01</t>
  </si>
  <si>
    <t>Remove duplicates based on a specific column</t>
  </si>
  <si>
    <t>CAICFV02</t>
  </si>
  <si>
    <t>Grouping and aggregation - Grouping and aggregation</t>
  </si>
  <si>
    <t>Count products per category</t>
  </si>
  <si>
    <t>JDAELJ03</t>
  </si>
  <si>
    <t>Calculate Average Salary by Department</t>
  </si>
  <si>
    <t>JDAELJ01</t>
  </si>
  <si>
    <t>Average Price by Category</t>
  </si>
  <si>
    <t>JDAELJ02</t>
  </si>
  <si>
    <t>Merging and joining dataframes - Merging and joining dataframes</t>
  </si>
  <si>
    <t>Basic DataFrame Merge</t>
  </si>
  <si>
    <t>GKLGAP03</t>
  </si>
  <si>
    <t>Merge Customer Data with Order Details</t>
  </si>
  <si>
    <t>GKLGAP01</t>
  </si>
  <si>
    <t>Merge two DataFrames on a single column</t>
  </si>
  <si>
    <t>GKLGAP02</t>
  </si>
  <si>
    <t>Reshaping data - Reshaping data</t>
  </si>
  <si>
    <t>Reshape Sales Data</t>
  </si>
  <si>
    <t>LWEECH03</t>
  </si>
  <si>
    <t>Reshape Student Grades</t>
  </si>
  <si>
    <t>LWEECH01</t>
  </si>
  <si>
    <t>Reshape Employee Role Data</t>
  </si>
  <si>
    <t>LWEECH02</t>
  </si>
  <si>
    <t>Time series basics in pandas - Time series basics in pandas</t>
  </si>
  <si>
    <t>Accessing a specific date in a time series</t>
  </si>
  <si>
    <t>JTGJPW03</t>
  </si>
  <si>
    <t>Create Time Series from List</t>
  </si>
  <si>
    <t>JTGJPW01</t>
  </si>
  <si>
    <t>Create time series with daily data</t>
  </si>
  <si>
    <t>JTGJPW02</t>
  </si>
  <si>
    <t>Amazon Coding Interview Questions</t>
  </si>
  <si>
    <t>Prepare for your Amazon online assessment and Interview with most commonly asked coding questions.</t>
  </si>
  <si>
    <t>Amazon Coding Questions - Amazon Interview Questions</t>
  </si>
  <si>
    <t>Microsoft Coding Interview Questions</t>
  </si>
  <si>
    <t>Prepare for your Microsoft online assessment and Interview with most commonly asked coding questions.</t>
  </si>
  <si>
    <t>Microsoft Coding Questions - Interview Problems</t>
  </si>
  <si>
    <t>Google Interview Questions</t>
  </si>
  <si>
    <t>Prepare for your Google online assessment and Interview with most commonly asked coding questions.</t>
  </si>
  <si>
    <t>Google Coding Questions - Practice Problem</t>
  </si>
  <si>
    <t>Adobe Coding Interview Questions</t>
  </si>
  <si>
    <t>Prepare for your Adobe online assessment and Interview with most commonly asked coding questions.</t>
  </si>
  <si>
    <t>Adobe Coding Questions - Practice Problems</t>
  </si>
  <si>
    <t>Flipkart Coding Interview Questions</t>
  </si>
  <si>
    <t>Prepare for your Flipkart online assessment and Interview with most commonly asked coding questions.</t>
  </si>
  <si>
    <t>Flipkart Coding Questions - Practice Problems</t>
  </si>
  <si>
    <t>TCS Codevita Problems</t>
  </si>
  <si>
    <t>Prepare for TCS CodeVita and TCS Interview with most commonly asked coding problems. Solve the previous year Code Vita questions and get ready for for Codevita 2024.</t>
  </si>
  <si>
    <t>2020 Problems - CodeVita 2020 Problems</t>
  </si>
  <si>
    <t>Consecutive Prime Sum</t>
  </si>
  <si>
    <t>CONSPRIMESUM</t>
  </si>
  <si>
    <t>Constellation Problem</t>
  </si>
  <si>
    <t>CONSTPROB</t>
  </si>
  <si>
    <t>Distance Traveled by Beetle</t>
  </si>
  <si>
    <t>BEETLE</t>
  </si>
  <si>
    <t>Counting Rock Samples</t>
  </si>
  <si>
    <t>RCKCNT</t>
  </si>
  <si>
    <t>Maneuvering a Cave</t>
  </si>
  <si>
    <t>CAVEPATH</t>
  </si>
  <si>
    <t>Constellation</t>
  </si>
  <si>
    <t>CODEVITA20A</t>
  </si>
  <si>
    <t>Prime Time Again</t>
  </si>
  <si>
    <t>CODEVITA20B</t>
  </si>
  <si>
    <t>Minimum Gifts</t>
  </si>
  <si>
    <t>CODEVITA20C</t>
  </si>
  <si>
    <t>2021 Problems - CodeVita 2021 Problems</t>
  </si>
  <si>
    <t>The Diet Plan</t>
  </si>
  <si>
    <t>CODEVITA21A</t>
  </si>
  <si>
    <t>Minimize the sum</t>
  </si>
  <si>
    <t>CODEVITA21B</t>
  </si>
  <si>
    <t>Railway Station</t>
  </si>
  <si>
    <t>CODEVITA21C</t>
  </si>
  <si>
    <t>2022 Problems - CodeVita 2022 Problems</t>
  </si>
  <si>
    <t>CODEVITA22A</t>
  </si>
  <si>
    <t>Critical Planets</t>
  </si>
  <si>
    <t>CODEVITA22B</t>
  </si>
  <si>
    <t>String Pair</t>
  </si>
  <si>
    <t>CODEVITA22C</t>
  </si>
  <si>
    <t>2023 Problems - CodeVita 2023 Problems</t>
  </si>
  <si>
    <t>Zero Count</t>
  </si>
  <si>
    <t>CODEVITA23A</t>
  </si>
  <si>
    <t>String From Rank</t>
  </si>
  <si>
    <t>CODEVITA23B</t>
  </si>
  <si>
    <t>Good String</t>
  </si>
  <si>
    <t>CODEVITA23C</t>
  </si>
  <si>
    <t>Square Free Number</t>
  </si>
  <si>
    <t>CODEVITA23D</t>
  </si>
  <si>
    <t>Sorting Boxes</t>
  </si>
  <si>
    <t>CODEVITA23E</t>
  </si>
  <si>
    <t>TCS NQT Coding Questions</t>
  </si>
  <si>
    <t>Prepare for TCS NQT with previous years questions. Solve the coding, numerical ability, reasoning ability, verbal ability and quant questions which were asked in the past.</t>
  </si>
  <si>
    <t>Coding Problems - Past Years Coding Problems</t>
  </si>
  <si>
    <t>Count Pairs divisible by 2</t>
  </si>
  <si>
    <t>TCSNQTCP01</t>
  </si>
  <si>
    <t>Factorial without Multiplication &amp; Division</t>
  </si>
  <si>
    <t>TCSNQTCP02</t>
  </si>
  <si>
    <t>Identify Row with Most 1</t>
  </si>
  <si>
    <t>TCSNQTCP03</t>
  </si>
  <si>
    <t>Count Character Occurrences</t>
  </si>
  <si>
    <t>TCSNQTCP04</t>
  </si>
  <si>
    <t>Good Number</t>
  </si>
  <si>
    <t>TCSNQTCP05</t>
  </si>
  <si>
    <t>Vehicle Manufacturing</t>
  </si>
  <si>
    <t>TCSNQTCP06</t>
  </si>
  <si>
    <t>TCSNQTCP07</t>
  </si>
  <si>
    <t>Union of Sorted Arrays</t>
  </si>
  <si>
    <t>TCSNQTCP08</t>
  </si>
  <si>
    <t>Find Equilibrium Point</t>
  </si>
  <si>
    <t>TCSNQTCP09</t>
  </si>
  <si>
    <t>Convert number to words</t>
  </si>
  <si>
    <t>TCSNQTCP10</t>
  </si>
  <si>
    <t>Numerical Ability Problems - Past Years Numerical Ability Problems</t>
  </si>
  <si>
    <t>Task Completion</t>
  </si>
  <si>
    <t>TCSNQTNA01</t>
  </si>
  <si>
    <t>Count Coins</t>
  </si>
  <si>
    <t>TCSNQTNA02</t>
  </si>
  <si>
    <t>Cost of two articles</t>
  </si>
  <si>
    <t>TCSNQTNA04</t>
  </si>
  <si>
    <t>Original Price</t>
  </si>
  <si>
    <t>TCSNQTNA03</t>
  </si>
  <si>
    <t>Heads and Tails</t>
  </si>
  <si>
    <t>TCSNQTNA05</t>
  </si>
  <si>
    <t>Divisibility</t>
  </si>
  <si>
    <t>TCSNQTNA06</t>
  </si>
  <si>
    <t>Expression</t>
  </si>
  <si>
    <t>TCSNQTNA07</t>
  </si>
  <si>
    <t>Sum of Sequence</t>
  </si>
  <si>
    <t>TCSNQTNA08</t>
  </si>
  <si>
    <t>Range Sum</t>
  </si>
  <si>
    <t>TCSNQTNA09</t>
  </si>
  <si>
    <t>Count Triangles</t>
  </si>
  <si>
    <t>TCSNQTNA10</t>
  </si>
  <si>
    <t>Reasoning Ability Problems - Past Years Reasoning Ability Problems</t>
  </si>
  <si>
    <t>Coding - Encoding</t>
  </si>
  <si>
    <t>TCSNQTRA02</t>
  </si>
  <si>
    <t>Train Arrival</t>
  </si>
  <si>
    <t>TCSNQTRA03</t>
  </si>
  <si>
    <t>Blood - Relationships</t>
  </si>
  <si>
    <t>TCSNQTRA04</t>
  </si>
  <si>
    <t>Degrees in Clock</t>
  </si>
  <si>
    <t>TCSNQTRA05</t>
  </si>
  <si>
    <t>Day in 2016</t>
  </si>
  <si>
    <t>TCSNQTRA06</t>
  </si>
  <si>
    <t>Missing number</t>
  </si>
  <si>
    <t>TCSNQTRA07</t>
  </si>
  <si>
    <t>TCSNQTRA08</t>
  </si>
  <si>
    <t>Conclusion</t>
  </si>
  <si>
    <t>TCSNQTRA09</t>
  </si>
  <si>
    <t>Assumption</t>
  </si>
  <si>
    <t>TCSNQTRA10</t>
  </si>
  <si>
    <t>Directions</t>
  </si>
  <si>
    <t>TCSNQTRA11</t>
  </si>
  <si>
    <t>Verbal Ability Problems - Past Years Verbal Ability Problems</t>
  </si>
  <si>
    <t>Grammatical Errors</t>
  </si>
  <si>
    <t>TCSNQTVA02</t>
  </si>
  <si>
    <t>Antonyms</t>
  </si>
  <si>
    <t>TCSNQTVA03</t>
  </si>
  <si>
    <t>Sentence formation</t>
  </si>
  <si>
    <t>TCSNQTVA04</t>
  </si>
  <si>
    <t>Spelling</t>
  </si>
  <si>
    <t>TCSNQTVA05</t>
  </si>
  <si>
    <t>Sentence Improvement</t>
  </si>
  <si>
    <t>TCSNQTVA06</t>
  </si>
  <si>
    <t>Active Passive Voice</t>
  </si>
  <si>
    <t>TCSNQTVA07</t>
  </si>
  <si>
    <t>Direct Indirect</t>
  </si>
  <si>
    <t>TCSNQTVA08</t>
  </si>
  <si>
    <t>Analogies</t>
  </si>
  <si>
    <t>TCSNQTVA09</t>
  </si>
  <si>
    <t>Selecting Words</t>
  </si>
  <si>
    <t>TCSNQTVA10</t>
  </si>
  <si>
    <t>Complete the Statement</t>
  </si>
  <si>
    <t>TCSNQTVA11</t>
  </si>
  <si>
    <t>Quant Problems - Past Years Quant Problems</t>
  </si>
  <si>
    <t>Trains Collision</t>
  </si>
  <si>
    <t>TCSNQTQA01</t>
  </si>
  <si>
    <t>Time and Distance</t>
  </si>
  <si>
    <t>TCSNQTQA02</t>
  </si>
  <si>
    <t>Tower Height</t>
  </si>
  <si>
    <t>TCSNQTQA03</t>
  </si>
  <si>
    <t>Interests</t>
  </si>
  <si>
    <t>TCSNQTQA04</t>
  </si>
  <si>
    <t>Age</t>
  </si>
  <si>
    <t>TCSNQTQA05</t>
  </si>
  <si>
    <t>Percentage</t>
  </si>
  <si>
    <t>TCSNQTQA06</t>
  </si>
  <si>
    <t>Volume and Surface Area</t>
  </si>
  <si>
    <t>TCSNQTQA07</t>
  </si>
  <si>
    <t>HCF and LCM</t>
  </si>
  <si>
    <t>TCSNQTQA08</t>
  </si>
  <si>
    <t>Milk Mixture</t>
  </si>
  <si>
    <t>TCSNQTQA09</t>
  </si>
  <si>
    <t>Data Interpretation</t>
  </si>
  <si>
    <t>TCSNQTQA10</t>
  </si>
  <si>
    <t>Nutanix Coding Interview Questions</t>
  </si>
  <si>
    <t>Prepare for your Nutanix online assessment and Interview with most commonly asked coding questions.</t>
  </si>
  <si>
    <t>Nutanix Coding Questions - Nutanix Coding Questions</t>
  </si>
  <si>
    <t>String Anagrams</t>
  </si>
  <si>
    <t>NUTANIX01</t>
  </si>
  <si>
    <t>Russian Peasant Multiplication</t>
  </si>
  <si>
    <t>NUTANIX07</t>
  </si>
  <si>
    <t>Infix to Postfix Conversion</t>
  </si>
  <si>
    <t>NUTANIX12</t>
  </si>
  <si>
    <t>String Split Challenge</t>
  </si>
  <si>
    <t>NUTANIX11</t>
  </si>
  <si>
    <t>Rotting Oranges</t>
  </si>
  <si>
    <t>NUTANIX02</t>
  </si>
  <si>
    <t>Water Jug Problem</t>
  </si>
  <si>
    <t>NUTANIX03</t>
  </si>
  <si>
    <t>Last Robot Standing</t>
  </si>
  <si>
    <t>NUTANIX04</t>
  </si>
  <si>
    <t>Friends Pairing</t>
  </si>
  <si>
    <t>NUTANIX05</t>
  </si>
  <si>
    <t>Time to publish comic books</t>
  </si>
  <si>
    <t>NUTANIX08</t>
  </si>
  <si>
    <t>Maximum Loot</t>
  </si>
  <si>
    <t>NUTANIX09</t>
  </si>
  <si>
    <t>Minimum Platforms</t>
  </si>
  <si>
    <t>NUTANIX10</t>
  </si>
  <si>
    <t>NUTANIX06</t>
  </si>
  <si>
    <t>Junglee Games Interview Questions</t>
  </si>
  <si>
    <t>Prepare for your Junglee Games online assessment and Interview with most commonly asked coding questions.</t>
  </si>
  <si>
    <t>Junglee Games Coding Questions - Junglee Games Coding Questions</t>
  </si>
  <si>
    <t>Palindromic Array</t>
  </si>
  <si>
    <t>JUNGLEE01</t>
  </si>
  <si>
    <t>Climbing stairs</t>
  </si>
  <si>
    <t>JUNGLEE02</t>
  </si>
  <si>
    <t>Distinct Elements Query</t>
  </si>
  <si>
    <t>JUNGLEE03</t>
  </si>
  <si>
    <t>Element Frequency</t>
  </si>
  <si>
    <t>JUNGLEE07</t>
  </si>
  <si>
    <t>First Non-Repeating Element</t>
  </si>
  <si>
    <t>JUNGLEE08</t>
  </si>
  <si>
    <t>JUNGLEE05</t>
  </si>
  <si>
    <t>Columbus Path Count</t>
  </si>
  <si>
    <t>JUNGLEE06</t>
  </si>
  <si>
    <t>Garden Fountains</t>
  </si>
  <si>
    <t>JUNGLEE04</t>
  </si>
  <si>
    <t>Visa Interview Questions</t>
  </si>
  <si>
    <t>Prepare for your Visae online assessment and Interview with most commonly asked coding questions.</t>
  </si>
  <si>
    <t>Visa Coding Questions - Visa Coding Questions</t>
  </si>
  <si>
    <t>Second Most Frequent Word</t>
  </si>
  <si>
    <t>VISA04</t>
  </si>
  <si>
    <t>Merge Sorted Arrays</t>
  </si>
  <si>
    <t>VISA05</t>
  </si>
  <si>
    <t>Minimum Coins Needed</t>
  </si>
  <si>
    <t>VISA07</t>
  </si>
  <si>
    <t>Circular Robot Path</t>
  </si>
  <si>
    <t>VISA08</t>
  </si>
  <si>
    <t>Longest Common Subsequence</t>
  </si>
  <si>
    <t>VISA01</t>
  </si>
  <si>
    <t>Maximum A Using Special Keyboard</t>
  </si>
  <si>
    <t>VISA03</t>
  </si>
  <si>
    <t>VISA09</t>
  </si>
  <si>
    <t>Sum of Consecutive Numbers</t>
  </si>
  <si>
    <t>VISA10</t>
  </si>
  <si>
    <t>PhonePe Interview Questions</t>
  </si>
  <si>
    <t>Prepare for your PhonePe online assessment and Interview with most commonly asked coding questions.</t>
  </si>
  <si>
    <t>PhonePe Coding Questions - PhonePe Coding Questions</t>
  </si>
  <si>
    <t>Form a Triangle</t>
  </si>
  <si>
    <t>PHONEPE01</t>
  </si>
  <si>
    <t>Unlock the Briefcase</t>
  </si>
  <si>
    <t>PHONEPE03</t>
  </si>
  <si>
    <t>PHONEPE05</t>
  </si>
  <si>
    <t>Search in Rotated Sorted Array</t>
  </si>
  <si>
    <t>PHONEPE06</t>
  </si>
  <si>
    <t>Knight Journey Probability</t>
  </si>
  <si>
    <t>PHONEPE07</t>
  </si>
  <si>
    <t>Snake and Ladder Journey</t>
  </si>
  <si>
    <t>PHONEPE08</t>
  </si>
  <si>
    <t>Weighted Job Scheduling</t>
  </si>
  <si>
    <t>PHONEPE02</t>
  </si>
  <si>
    <t>Maximum Profit Trading</t>
  </si>
  <si>
    <t>PHONEPE04</t>
  </si>
  <si>
    <t>Accolite Coding Interview Questions</t>
  </si>
  <si>
    <t>Prepare for your Accolite Digital online assessment and Interview with most commonly asked coding questions.</t>
  </si>
  <si>
    <t>Accolite Coding Questions - Accolite Coding Questions</t>
  </si>
  <si>
    <t>Anagram Palindrome</t>
  </si>
  <si>
    <t>ACCOLITE01</t>
  </si>
  <si>
    <t>Nth Faithful Number</t>
  </si>
  <si>
    <t>ACCOLITE09</t>
  </si>
  <si>
    <t>Detect Loop in Linked List</t>
  </si>
  <si>
    <t>ACCOLITE02</t>
  </si>
  <si>
    <t>Lowest Common Ancestor in Binary Tree</t>
  </si>
  <si>
    <t>ACCOLITE03</t>
  </si>
  <si>
    <t>Stock Span Problem</t>
  </si>
  <si>
    <t>ACCOLITE05</t>
  </si>
  <si>
    <t>Equal Sum Partition</t>
  </si>
  <si>
    <t>ACCOLITE06</t>
  </si>
  <si>
    <t>All Unique String Permutations</t>
  </si>
  <si>
    <t>ACCOLITE07</t>
  </si>
  <si>
    <t>Count Matching Subsequences</t>
  </si>
  <si>
    <t>ACCOLITE08</t>
  </si>
  <si>
    <t>Texas Instruments Coding Interview Questions</t>
  </si>
  <si>
    <t>Prepare for your Texas Instruments online assessment and Interview with most commonly asked coding questions.</t>
  </si>
  <si>
    <t>Texas Instruments Coding Questions - Texas Instruments Coding Questions</t>
  </si>
  <si>
    <t>Josephus Problem</t>
  </si>
  <si>
    <t>TXSINST02</t>
  </si>
  <si>
    <t>XOR Query Operations</t>
  </si>
  <si>
    <t>TXSINST01</t>
  </si>
  <si>
    <t>Minimum Conference Rooms (Stark Industry)</t>
  </si>
  <si>
    <t>TXSINST04</t>
  </si>
  <si>
    <t>Maximum Sum Rectangle in Matrix</t>
  </si>
  <si>
    <t>TXSINST05</t>
  </si>
  <si>
    <t>Reverse Linked List</t>
  </si>
  <si>
    <t>TXSINST06</t>
  </si>
  <si>
    <t>Reverse Bits for Concert Ticket</t>
  </si>
  <si>
    <t>TXSINST07</t>
  </si>
  <si>
    <t>TXSINST03</t>
  </si>
  <si>
    <t>N Stacks in Single Array</t>
  </si>
  <si>
    <t>TXSINST08</t>
  </si>
  <si>
    <t>Glean Coding Interview Questions</t>
  </si>
  <si>
    <t>Prepare for your Glean online assessment and Interview with most commonly asked coding questions.</t>
  </si>
  <si>
    <t>Glean Coding Questions - Glean Coding Questions</t>
  </si>
  <si>
    <t>GLEAN01</t>
  </si>
  <si>
    <t>Street Housing Arrangement</t>
  </si>
  <si>
    <t>GLEAN02</t>
  </si>
  <si>
    <t>Valid Parentheses String</t>
  </si>
  <si>
    <t>GLEAN03</t>
  </si>
  <si>
    <t>Fractional Knapsack</t>
  </si>
  <si>
    <t>GLEAN04</t>
  </si>
  <si>
    <t>Hamiltonian Path Detection</t>
  </si>
  <si>
    <t>GLEAN05</t>
  </si>
  <si>
    <t>Nuts and Bolts Matching</t>
  </si>
  <si>
    <t>GLEAN06</t>
  </si>
  <si>
    <t>Count Array Triplets</t>
  </si>
  <si>
    <t>GLEAN07</t>
  </si>
  <si>
    <t>Round to Nearest Ten</t>
  </si>
  <si>
    <t>GLEAN08</t>
  </si>
  <si>
    <t>Maxlinear Coding Interview Questions</t>
  </si>
  <si>
    <t>Prepare for your Maxlinear online assessment and Interview with most commonly asked coding questions.</t>
  </si>
  <si>
    <t>Maxlinear Coding Questions - Maxlinear Coding Questions</t>
  </si>
  <si>
    <t>Average Monthly Sales Analysis</t>
  </si>
  <si>
    <t>MAXLIN01</t>
  </si>
  <si>
    <t>Second Highest Salary Analysis</t>
  </si>
  <si>
    <t>MAXLIN02</t>
  </si>
  <si>
    <t>Order Item Count Mode Analysis</t>
  </si>
  <si>
    <t>MAXLIN03</t>
  </si>
  <si>
    <t>Average Power Usage Analysis for Communication Dev</t>
  </si>
  <si>
    <t>MAXLIN04</t>
  </si>
  <si>
    <t>Employee and Contractor Analytics</t>
  </si>
  <si>
    <t>MAXLIN05</t>
  </si>
  <si>
    <t>Maximum Sales by Region for Each Product</t>
  </si>
  <si>
    <t>MAXLIN06</t>
  </si>
  <si>
    <t>Customer Email Domain Analysis</t>
  </si>
  <si>
    <t>MAXLIN07</t>
  </si>
  <si>
    <t>Identifying Dual-Status Personnel</t>
  </si>
  <si>
    <t>MAXLIN08</t>
  </si>
  <si>
    <t>Third User Transaction Analysis</t>
  </si>
  <si>
    <t>MAXLIN09</t>
  </si>
  <si>
    <t>Department High Earners Analysis</t>
  </si>
  <si>
    <t>MAXLIN10</t>
  </si>
  <si>
    <t>Deloitte NLA Questions</t>
  </si>
  <si>
    <t>Prepare for Deloitte NLA with previous years questions. Solve the coding, numerical ability, reasoning ability, verbal ability and quant questions which were asked in the past.</t>
  </si>
  <si>
    <t>Sentence Anagrams</t>
  </si>
  <si>
    <t>ISHYNF13</t>
  </si>
  <si>
    <t>Class Monitor</t>
  </si>
  <si>
    <t>ISHYNF14</t>
  </si>
  <si>
    <t>first N Fibonacci</t>
  </si>
  <si>
    <t>ISHYNF15</t>
  </si>
  <si>
    <t>Corona for Computer</t>
  </si>
  <si>
    <t>ISHYNF16</t>
  </si>
  <si>
    <t>Help of Prepsters</t>
  </si>
  <si>
    <t>ISHYNF17</t>
  </si>
  <si>
    <t>Momentum LinkedList</t>
  </si>
  <si>
    <t>ISHYNF18</t>
  </si>
  <si>
    <t>String Rotation Check</t>
  </si>
  <si>
    <t>ISHYNF21</t>
  </si>
  <si>
    <t>Messy Sentence Word Count</t>
  </si>
  <si>
    <t>ISHYNF22</t>
  </si>
  <si>
    <t>Balanced Brackets</t>
  </si>
  <si>
    <t>ISHYNF23</t>
  </si>
  <si>
    <t>Cycle in Undirected Graph</t>
  </si>
  <si>
    <t>GCYCLEDFS</t>
  </si>
  <si>
    <t>Odd Sum Subarrays</t>
  </si>
  <si>
    <t>ISHYNF01</t>
  </si>
  <si>
    <t>ISHYNF03</t>
  </si>
  <si>
    <t>Merge K Sorted Arrays</t>
  </si>
  <si>
    <t>ISHYNF05</t>
  </si>
  <si>
    <t>Kth Largest Element</t>
  </si>
  <si>
    <t>ISHYNF06</t>
  </si>
  <si>
    <t>ISHYNF08</t>
  </si>
  <si>
    <t>Subarray Sum with One Deletion</t>
  </si>
  <si>
    <t>ISHYNF09</t>
  </si>
  <si>
    <t>CASS34</t>
  </si>
  <si>
    <t>Lazy Strings</t>
  </si>
  <si>
    <t>ISHYNF19</t>
  </si>
  <si>
    <t>Unique Permutations</t>
  </si>
  <si>
    <t>ISHYNF20</t>
  </si>
  <si>
    <t>Counting Inversions</t>
  </si>
  <si>
    <t>ISHYNF07</t>
  </si>
  <si>
    <t>Speed, Time and Distance - I</t>
  </si>
  <si>
    <t>AAKCGL01</t>
  </si>
  <si>
    <t>Speed, Time and Distance - II</t>
  </si>
  <si>
    <t>AAKCGL02</t>
  </si>
  <si>
    <t>Pipe and Cistern</t>
  </si>
  <si>
    <t>AAKCGL03</t>
  </si>
  <si>
    <t>Ratio and Proportion</t>
  </si>
  <si>
    <t>AAKCGL04</t>
  </si>
  <si>
    <t>Time and Work</t>
  </si>
  <si>
    <t>AAKCGL05</t>
  </si>
  <si>
    <t>AAKCGL06</t>
  </si>
  <si>
    <t>Compound Interest Installment</t>
  </si>
  <si>
    <t>AAKCGL07</t>
  </si>
  <si>
    <t>Mixture and Allegation</t>
  </si>
  <si>
    <t>AAKCGL08</t>
  </si>
  <si>
    <t>Inscribed Square in a Circle</t>
  </si>
  <si>
    <t>AAKCGL09</t>
  </si>
  <si>
    <t>HCF of Quadratic Equations</t>
  </si>
  <si>
    <t>AAKCGL10</t>
  </si>
  <si>
    <t>Unchanged Digits After Rearrangement</t>
  </si>
  <si>
    <t>CJACIF01</t>
  </si>
  <si>
    <t>Distance from the Starting Point</t>
  </si>
  <si>
    <t>CJACIF02</t>
  </si>
  <si>
    <t>Find the Odd One Out</t>
  </si>
  <si>
    <t>CJACIF04</t>
  </si>
  <si>
    <t>Digit Swap</t>
  </si>
  <si>
    <t>CJACIF05</t>
  </si>
  <si>
    <t>Next Term in Letter Series</t>
  </si>
  <si>
    <t>CJACIF06</t>
  </si>
  <si>
    <t>Guessing Birthday</t>
  </si>
  <si>
    <t>CJACIF07</t>
  </si>
  <si>
    <t>Symbolic Arithmetic Operations</t>
  </si>
  <si>
    <t>CJACIF08</t>
  </si>
  <si>
    <t>Coding-Decoding</t>
  </si>
  <si>
    <t>CJACIF09</t>
  </si>
  <si>
    <t>Letter Rearrangement</t>
  </si>
  <si>
    <t>CJACIF10</t>
  </si>
  <si>
    <t>Children in a Row Arrangement</t>
  </si>
  <si>
    <t>CJACIF11</t>
  </si>
  <si>
    <t>Coding-decoding</t>
  </si>
  <si>
    <t>CJACIF12</t>
  </si>
  <si>
    <t>Statement and Conclusion</t>
  </si>
  <si>
    <t>CJACIF14</t>
  </si>
  <si>
    <t>CJACIF15</t>
  </si>
  <si>
    <t>CJACIF16</t>
  </si>
  <si>
    <t>Find the missing term in alphabet series</t>
  </si>
  <si>
    <t>CJACIF17</t>
  </si>
  <si>
    <t>Antonym of Judicious</t>
  </si>
  <si>
    <t>AAKCGL11</t>
  </si>
  <si>
    <t>Synonym of Soporific</t>
  </si>
  <si>
    <t>AAKCGL12</t>
  </si>
  <si>
    <t>Correct Sentence Selection</t>
  </si>
  <si>
    <t>AAKCGL13</t>
  </si>
  <si>
    <t>One Word Substitution</t>
  </si>
  <si>
    <t>AAKCGL14</t>
  </si>
  <si>
    <t>Fill in the Blanks</t>
  </si>
  <si>
    <t>AAKCGL15</t>
  </si>
  <si>
    <t>Error Spotting</t>
  </si>
  <si>
    <t>AAKCGL16</t>
  </si>
  <si>
    <t>Animal Sound Analogy</t>
  </si>
  <si>
    <t>AAKCGL17</t>
  </si>
  <si>
    <t>Idioms and phrases</t>
  </si>
  <si>
    <t>AAKCGL18</t>
  </si>
  <si>
    <t>Sentence Rearrangement Problem</t>
  </si>
  <si>
    <t>AAKCGL19</t>
  </si>
  <si>
    <t>AAKCGL20</t>
  </si>
  <si>
    <t>Technical Questions - Past Years Technical Questions</t>
  </si>
  <si>
    <t>Primary Purpose of Software Testing</t>
  </si>
  <si>
    <t>AAKCGL21</t>
  </si>
  <si>
    <t>Regression Testing</t>
  </si>
  <si>
    <t>AAKCGL22</t>
  </si>
  <si>
    <t>Purpose of Load Testing</t>
  </si>
  <si>
    <t>AAKCGL23</t>
  </si>
  <si>
    <t>Testing All Possible Routes</t>
  </si>
  <si>
    <t>AAKCGL24</t>
  </si>
  <si>
    <t>Usability Testing</t>
  </si>
  <si>
    <t>AAKCGL25</t>
  </si>
  <si>
    <t>Functions of CPU</t>
  </si>
  <si>
    <t>AAKCGL26</t>
  </si>
  <si>
    <t>Input Devices</t>
  </si>
  <si>
    <t>AAKCGL27</t>
  </si>
  <si>
    <t>Primary Function of ALU</t>
  </si>
  <si>
    <t>AAKCGL28</t>
  </si>
  <si>
    <t>CPU Directly Accessible Memory</t>
  </si>
  <si>
    <t>AAKCGL29</t>
  </si>
  <si>
    <t>Router</t>
  </si>
  <si>
    <t>AAKCGL30</t>
  </si>
  <si>
    <t>Network Topology</t>
  </si>
  <si>
    <t>AAKCGL31</t>
  </si>
  <si>
    <t>User Authentication Method</t>
  </si>
  <si>
    <t>AAKCGL32</t>
  </si>
  <si>
    <t>Attack Identification</t>
  </si>
  <si>
    <t>AAKCGL33</t>
  </si>
  <si>
    <t>Firewall</t>
  </si>
  <si>
    <t>AAKCGL34</t>
  </si>
  <si>
    <t>Social Engineering Breach</t>
  </si>
  <si>
    <t>AAKCGL35</t>
  </si>
  <si>
    <t>Cloud Archival Storage Service</t>
  </si>
  <si>
    <t>AAKCGL36</t>
  </si>
  <si>
    <t>Serverless Computing</t>
  </si>
  <si>
    <t>AAKCGL37</t>
  </si>
  <si>
    <t>Load Balancer</t>
  </si>
  <si>
    <t>AAKCGL38</t>
  </si>
  <si>
    <t>Docker in Cloud Computing</t>
  </si>
  <si>
    <t>AAKCGL39</t>
  </si>
  <si>
    <t>Cloud Service Model for Applications</t>
  </si>
  <si>
    <t>AAKCGL40</t>
  </si>
  <si>
    <t>Role of a SIEM System</t>
  </si>
  <si>
    <t>AAKCGL41</t>
  </si>
  <si>
    <t>Ransomware</t>
  </si>
  <si>
    <t>AAKCGL42</t>
  </si>
  <si>
    <t>Man in the Middle Attack</t>
  </si>
  <si>
    <t>AAKCGL43</t>
  </si>
  <si>
    <t>Access Control</t>
  </si>
  <si>
    <t>AAKCGL44</t>
  </si>
  <si>
    <t>Incident Response Plan</t>
  </si>
  <si>
    <t>AAKCGL45</t>
  </si>
  <si>
    <t>WIPRO Elite Questions</t>
  </si>
  <si>
    <t>Prepare for WIPRO Elite NTH with previous years questions. Solve the coding, numerical ability, reasoning ability, verbal ability and quant questions which were asked in the past.</t>
  </si>
  <si>
    <t>Buy Apples</t>
  </si>
  <si>
    <t>YJQPVI01</t>
  </si>
  <si>
    <t>Parity Partition</t>
  </si>
  <si>
    <t>YJQPVI02</t>
  </si>
  <si>
    <t>Word Reversal</t>
  </si>
  <si>
    <t>YJQPVI03</t>
  </si>
  <si>
    <t>First Unique Character</t>
  </si>
  <si>
    <t>YJQPVI04</t>
  </si>
  <si>
    <t>Find The Missing Number</t>
  </si>
  <si>
    <t>YJQPVI05</t>
  </si>
  <si>
    <t>Word Counter</t>
  </si>
  <si>
    <t>YJQPVI06</t>
  </si>
  <si>
    <t>eBay Shipping Price Calculator</t>
  </si>
  <si>
    <t>YJQPVI07</t>
  </si>
  <si>
    <t>Sum of Divisibles</t>
  </si>
  <si>
    <t>YJQPVI08</t>
  </si>
  <si>
    <t>Left Array Rotation</t>
  </si>
  <si>
    <t>YJQPVI14</t>
  </si>
  <si>
    <t>Data Encryption</t>
  </si>
  <si>
    <t>YJQPVI15</t>
  </si>
  <si>
    <t>Digit Exclusion Game</t>
  </si>
  <si>
    <t>YJQPVI16</t>
  </si>
  <si>
    <t>Sorted Array Deduplication</t>
  </si>
  <si>
    <t>YJQPVI17</t>
  </si>
  <si>
    <t>Unique Elements</t>
  </si>
  <si>
    <t>YJQPVI18</t>
  </si>
  <si>
    <t>Count Set Bits</t>
  </si>
  <si>
    <t>YJQPVI19</t>
  </si>
  <si>
    <t>Maximum Subarray Sum</t>
  </si>
  <si>
    <t>YJQPVI09</t>
  </si>
  <si>
    <t>Spaceship Fleets</t>
  </si>
  <si>
    <t>YJQPVI10</t>
  </si>
  <si>
    <t>Lexicographically Smallest String</t>
  </si>
  <si>
    <t>YJQPVI11</t>
  </si>
  <si>
    <t>Matching Socks</t>
  </si>
  <si>
    <t>YJQPVI12</t>
  </si>
  <si>
    <t>Counting Valleys</t>
  </si>
  <si>
    <t>YJQPVI13</t>
  </si>
  <si>
    <t>Majority Element</t>
  </si>
  <si>
    <t>YJQPVI20</t>
  </si>
  <si>
    <t>YJQPVI21</t>
  </si>
  <si>
    <t>K-Group Reversal</t>
  </si>
  <si>
    <t>YJQPVI22</t>
  </si>
  <si>
    <t>Wildcard Pattern Matching</t>
  </si>
  <si>
    <t>YJQPVI23</t>
  </si>
  <si>
    <t>Subarray Product</t>
  </si>
  <si>
    <t>YJQPVI24</t>
  </si>
  <si>
    <t>Queens Arrangement</t>
  </si>
  <si>
    <t>YJQPVI25</t>
  </si>
  <si>
    <t>Optimal Matrix Multiplication</t>
  </si>
  <si>
    <t>YJQPVI26</t>
  </si>
  <si>
    <t>Shopkeeper's Cost Price Calculation</t>
  </si>
  <si>
    <t>LKCCTY01</t>
  </si>
  <si>
    <t>Efficiency and Work Time Problem</t>
  </si>
  <si>
    <t>LKCCTY02</t>
  </si>
  <si>
    <t>Coins Ratio Problem</t>
  </si>
  <si>
    <t>LKCCTY03</t>
  </si>
  <si>
    <t>Relative Speed of Two Trains</t>
  </si>
  <si>
    <t>LKCCTY04</t>
  </si>
  <si>
    <t>Algebraic Expression</t>
  </si>
  <si>
    <t>LKCCTY05</t>
  </si>
  <si>
    <t>Arithmetic Progression: Concert Ticket Sales</t>
  </si>
  <si>
    <t>LKCCTY06</t>
  </si>
  <si>
    <t>Midpoint Coordinates</t>
  </si>
  <si>
    <t>LKCCTY07</t>
  </si>
  <si>
    <t>Rectangular Park Area</t>
  </si>
  <si>
    <t>LKCCTY08</t>
  </si>
  <si>
    <t>Alloy Mixture Composition</t>
  </si>
  <si>
    <t>LKCCTY09</t>
  </si>
  <si>
    <t>Average Players from Three States</t>
  </si>
  <si>
    <t>LKCCTY10</t>
  </si>
  <si>
    <t>Dilution Profit Calculation</t>
  </si>
  <si>
    <t>LKCCTY11</t>
  </si>
  <si>
    <t>Gold Medal Ratio</t>
  </si>
  <si>
    <t>LKCCTY12</t>
  </si>
  <si>
    <t>Fraction Alteration Problem</t>
  </si>
  <si>
    <t>LKCCTY13</t>
  </si>
  <si>
    <t>Student Marks Comparison</t>
  </si>
  <si>
    <t>LKCCTY14</t>
  </si>
  <si>
    <t>Coded Inequality I</t>
  </si>
  <si>
    <t>LKCCTY15</t>
  </si>
  <si>
    <t>Coded Inequality II</t>
  </si>
  <si>
    <t>LKCCTY16</t>
  </si>
  <si>
    <t>LKCCTY17</t>
  </si>
  <si>
    <t>Statement and Argument Analysis</t>
  </si>
  <si>
    <t>LKCCTY18</t>
  </si>
  <si>
    <t>Data Sufficiency: Student Scores</t>
  </si>
  <si>
    <t>LKCCTY19</t>
  </si>
  <si>
    <t>Letter Series with Mixed Pattern</t>
  </si>
  <si>
    <t>LKCCTY20</t>
  </si>
  <si>
    <t>Alternating Number Series Puzzle</t>
  </si>
  <si>
    <t>NJTODZ37</t>
  </si>
  <si>
    <t>Logical Deduction: School Uniforms</t>
  </si>
  <si>
    <t>NJTODZ38</t>
  </si>
  <si>
    <t>Family Relation Puzzle</t>
  </si>
  <si>
    <t>NJTODZ39</t>
  </si>
  <si>
    <t>Family Relationship Puzzle</t>
  </si>
  <si>
    <t>NJTODZ40</t>
  </si>
  <si>
    <t>Directional Turn Puzzle</t>
  </si>
  <si>
    <t>NJTODZ41</t>
  </si>
  <si>
    <t>Remote Work Policy Debate</t>
  </si>
  <si>
    <t>NJTODZ42</t>
  </si>
  <si>
    <t>Strong Arguments on Education</t>
  </si>
  <si>
    <t>NJTODZ43</t>
  </si>
  <si>
    <t>Logical Deduction Tools</t>
  </si>
  <si>
    <t>NJTODZ44</t>
  </si>
  <si>
    <t>Logical Reasoning: Vehicles and Engines</t>
  </si>
  <si>
    <t>NJTODZ45</t>
  </si>
  <si>
    <t>NJTODZ46</t>
  </si>
  <si>
    <t>Meaning of visitors in a sentence</t>
  </si>
  <si>
    <t>LKCCTY21</t>
  </si>
  <si>
    <t>Spot the Error: Subject-Verb Agreement</t>
  </si>
  <si>
    <t>LKCCTY22</t>
  </si>
  <si>
    <t>Active and Passive Voice Transformation</t>
  </si>
  <si>
    <t>LKCCTY23</t>
  </si>
  <si>
    <t>LKCCTY24</t>
  </si>
  <si>
    <t>Synonym of SAVAGE</t>
  </si>
  <si>
    <t>LKCCTY25</t>
  </si>
  <si>
    <t>Library Usable Stock Calculation</t>
  </si>
  <si>
    <t>NJTODZ01</t>
  </si>
  <si>
    <t>Smallest Perfect Square Divisible by Numbers</t>
  </si>
  <si>
    <t>NJTODZ02</t>
  </si>
  <si>
    <t>Perfect Square Land Plot</t>
  </si>
  <si>
    <t>NJTODZ03</t>
  </si>
  <si>
    <t>Last Digit Calculation</t>
  </si>
  <si>
    <t>NJTODZ04</t>
  </si>
  <si>
    <t>Permutation of Professor</t>
  </si>
  <si>
    <t>NJTODZ05</t>
  </si>
  <si>
    <t>Painters Working Together</t>
  </si>
  <si>
    <t>NJTODZ06</t>
  </si>
  <si>
    <t>Team's Average Score Change</t>
  </si>
  <si>
    <t>NJTODZ07</t>
  </si>
  <si>
    <t>Age Ratio Problem: Alice and Bob</t>
  </si>
  <si>
    <t>NJTODZ08</t>
  </si>
  <si>
    <t>Book Price Comparison</t>
  </si>
  <si>
    <t>NJTODZ09</t>
  </si>
  <si>
    <t>Calendar Day Prediction</t>
  </si>
  <si>
    <t>NJTODZ10</t>
  </si>
  <si>
    <t>Logarithmic Equation Evaluation</t>
  </si>
  <si>
    <t>NJTODZ11</t>
  </si>
  <si>
    <t>Logarithmic Expression Evaluation</t>
  </si>
  <si>
    <t>NJTODZ12</t>
  </si>
  <si>
    <t>Shelf Arrangement Problem</t>
  </si>
  <si>
    <t>NJTODZ13</t>
  </si>
  <si>
    <t>Tournament Matches Problem</t>
  </si>
  <si>
    <t>NJTODZ14</t>
  </si>
  <si>
    <t>Probability of Contradiction</t>
  </si>
  <si>
    <t>NJTODZ15</t>
  </si>
  <si>
    <t>Spinner Game Probability</t>
  </si>
  <si>
    <t>NJTODZ16</t>
  </si>
  <si>
    <t>Probability of Picking Chocolates</t>
  </si>
  <si>
    <t>NJTODZ17</t>
  </si>
  <si>
    <t>Ratio and Proportion Problem</t>
  </si>
  <si>
    <t>NJTODZ18</t>
  </si>
  <si>
    <t>Number Relationship Puzzle</t>
  </si>
  <si>
    <t>NJTODZ19</t>
  </si>
  <si>
    <t>Algebraic Identity Challenge</t>
  </si>
  <si>
    <t>NJTODZ20</t>
  </si>
  <si>
    <t>Maximizing Company Profit</t>
  </si>
  <si>
    <t>NJTODZ21</t>
  </si>
  <si>
    <t>Coffee Bean Mixture Ratio</t>
  </si>
  <si>
    <t>NJTODZ22</t>
  </si>
  <si>
    <t>Dishonest Milkman's Profit</t>
  </si>
  <si>
    <t>NJTODZ23</t>
  </si>
  <si>
    <t>Heights and Angles Problem</t>
  </si>
  <si>
    <t>NJTODZ24</t>
  </si>
  <si>
    <t>Lighthouse Height Problem</t>
  </si>
  <si>
    <t>NJTODZ25</t>
  </si>
  <si>
    <t>Lighthouse Angle of Depression Problem</t>
  </si>
  <si>
    <t>NJTODZ26</t>
  </si>
  <si>
    <t>Bookshelf Arrangement Problem</t>
  </si>
  <si>
    <t>NJTODZ27</t>
  </si>
  <si>
    <t>Smartphone Production Calculation</t>
  </si>
  <si>
    <t>NJTODZ28</t>
  </si>
  <si>
    <t>4 Digit Security Code Permutation</t>
  </si>
  <si>
    <t>NJTODZ29</t>
  </si>
  <si>
    <t>Secret Code Language Puzzle</t>
  </si>
  <si>
    <t>NJTODZ30</t>
  </si>
  <si>
    <t>Secret Language Coding Puzzle</t>
  </si>
  <si>
    <t>NJTODZ31</t>
  </si>
  <si>
    <t>Simple Interest Principal Calculation</t>
  </si>
  <si>
    <t>NJTODZ32</t>
  </si>
  <si>
    <t>Cyclist Against the Wind Problem</t>
  </si>
  <si>
    <t>NJTODZ33</t>
  </si>
  <si>
    <t>Moving Walkway Speed Problem</t>
  </si>
  <si>
    <t>NJTODZ34</t>
  </si>
  <si>
    <t>Pipes Filling a Tank</t>
  </si>
  <si>
    <t>NJTODZ35</t>
  </si>
  <si>
    <t>Reservoir Filling Time</t>
  </si>
  <si>
    <t>NJTODZ36</t>
  </si>
  <si>
    <t>Infosys InfyTQ - Questions</t>
  </si>
  <si>
    <t>Prepare for Infosys with previous years questions. Solve the coding, numerical ability, reasoning ability, verbal ability and quant questions which were asked in the past.</t>
  </si>
  <si>
    <t>Additive Palindrome</t>
  </si>
  <si>
    <t>QQQUOC02</t>
  </si>
  <si>
    <t>Minimum ATM Withdrawals</t>
  </si>
  <si>
    <t>QQQUOC03</t>
  </si>
  <si>
    <t>Book Fair Problem</t>
  </si>
  <si>
    <t>QQQUOC06</t>
  </si>
  <si>
    <t>Four-Seven Sum</t>
  </si>
  <si>
    <t>QQQUOC08</t>
  </si>
  <si>
    <t>Unique String Reversal</t>
  </si>
  <si>
    <t>QQQUOC09</t>
  </si>
  <si>
    <t>Even Digit Squaring</t>
  </si>
  <si>
    <t>QQQUOC10</t>
  </si>
  <si>
    <t>QQQUOC12</t>
  </si>
  <si>
    <t>Code Breaker Challenge</t>
  </si>
  <si>
    <t>QQQUOC13</t>
  </si>
  <si>
    <t>Minimize Unique Elements</t>
  </si>
  <si>
    <t>QQQUOC16</t>
  </si>
  <si>
    <t>Fibonacci Count</t>
  </si>
  <si>
    <t>QQQUOC18</t>
  </si>
  <si>
    <t>Factor Sum Presence</t>
  </si>
  <si>
    <t>QQQUOC20</t>
  </si>
  <si>
    <t>Robot Grid Game</t>
  </si>
  <si>
    <t>QQQUOC05</t>
  </si>
  <si>
    <t>Consecutive Four Finder</t>
  </si>
  <si>
    <t>QQQUOC01</t>
  </si>
  <si>
    <t>Largest Even Number from String</t>
  </si>
  <si>
    <t>QQQUOC11</t>
  </si>
  <si>
    <t>Non-Overlapping Prefix-Suffix</t>
  </si>
  <si>
    <t>QQQUOC15</t>
  </si>
  <si>
    <t>Digit Alternator</t>
  </si>
  <si>
    <t>QQQUOC19</t>
  </si>
  <si>
    <t>Pronic Substrings</t>
  </si>
  <si>
    <t>QQQUOC21</t>
  </si>
  <si>
    <t>Equal Sum Swaps</t>
  </si>
  <si>
    <t>QQQUOC22</t>
  </si>
  <si>
    <t>Consecutive Zeros in Base B</t>
  </si>
  <si>
    <t>QQQUOC23</t>
  </si>
  <si>
    <t>Palindrome Sum</t>
  </si>
  <si>
    <t>QQQUOC24</t>
  </si>
  <si>
    <t>Balanced Coin Partition</t>
  </si>
  <si>
    <t>QQQUOC04</t>
  </si>
  <si>
    <t>Python MCQs - Past Years Python Problems</t>
  </si>
  <si>
    <t>Python String Split Length</t>
  </si>
  <si>
    <t>MIUVCA21</t>
  </si>
  <si>
    <t>Python String Manipulation Output</t>
  </si>
  <si>
    <t>MIUVCA22</t>
  </si>
  <si>
    <t>Python Tuple Sorting</t>
  </si>
  <si>
    <t>MIUVCA23</t>
  </si>
  <si>
    <t>Python Tuple Iteration</t>
  </si>
  <si>
    <t>MIUVCA24</t>
  </si>
  <si>
    <t>Python ord() Function</t>
  </si>
  <si>
    <t>MIUVCA25</t>
  </si>
  <si>
    <t>Code Analysis</t>
  </si>
  <si>
    <t>MIUVCA26</t>
  </si>
  <si>
    <t>Python Tuple Operator</t>
  </si>
  <si>
    <t>MIUVCA27</t>
  </si>
  <si>
    <t>Python String Manipulation Puzzle</t>
  </si>
  <si>
    <t>MIUVCA29</t>
  </si>
  <si>
    <t>Creating an Empty Set in Python</t>
  </si>
  <si>
    <t>MIUVCA30</t>
  </si>
  <si>
    <t>Invalid Python Set Operator</t>
  </si>
  <si>
    <t>MIUVCA31</t>
  </si>
  <si>
    <t>Python Set Equality Check</t>
  </si>
  <si>
    <t>MIUVCA32</t>
  </si>
  <si>
    <t>Python Tuple Modification Error</t>
  </si>
  <si>
    <t>MIUVCA33</t>
  </si>
  <si>
    <t>Python Set Length Puzzle</t>
  </si>
  <si>
    <t>MIUVCA34</t>
  </si>
  <si>
    <t>Python all() function</t>
  </si>
  <si>
    <t>MIUVCA35</t>
  </si>
  <si>
    <t>Python eval() Function</t>
  </si>
  <si>
    <t>MIUVCA36</t>
  </si>
  <si>
    <t>Python Iterator next() Function</t>
  </si>
  <si>
    <t>MIUVCA37</t>
  </si>
  <si>
    <t>Python's Power Function</t>
  </si>
  <si>
    <t>MIUVCA38</t>
  </si>
  <si>
    <t>Inserting into a Python List</t>
  </si>
  <si>
    <t>MIUVCA39</t>
  </si>
  <si>
    <t>Python Tuple Properties</t>
  </si>
  <si>
    <t>MIUVCA40</t>
  </si>
  <si>
    <t>Java MCQs - Past Years Java Problems</t>
  </si>
  <si>
    <t>Java's Ancestral Class</t>
  </si>
  <si>
    <t>MIUVCA01</t>
  </si>
  <si>
    <t>Encapsulation and Data Security</t>
  </si>
  <si>
    <t>MIUVCA02</t>
  </si>
  <si>
    <t>Bundling Data and Methods</t>
  </si>
  <si>
    <t>MIUVCA03</t>
  </si>
  <si>
    <t>Java Constructor Inheritance</t>
  </si>
  <si>
    <t>MIUVCA04</t>
  </si>
  <si>
    <t>Java Regex \z Anchor</t>
  </si>
  <si>
    <t>MIUVCA05</t>
  </si>
  <si>
    <t>JDBC Exceptions</t>
  </si>
  <si>
    <t>MIUVCA06</t>
  </si>
  <si>
    <t>Core JDBC Components</t>
  </si>
  <si>
    <t>MIUVCA07</t>
  </si>
  <si>
    <t>Java Interface</t>
  </si>
  <si>
    <t>MIUVCA08</t>
  </si>
  <si>
    <t>Base64 Encoding Variants</t>
  </si>
  <si>
    <t>MIUVCA09</t>
  </si>
  <si>
    <t>Single Variable Reference Limit</t>
  </si>
  <si>
    <t>MIUVCA10</t>
  </si>
  <si>
    <t>Valid Java Main Method Signature</t>
  </si>
  <si>
    <t>MIUVCA11</t>
  </si>
  <si>
    <t>Java Boolean Data Type Size</t>
  </si>
  <si>
    <t>MIUVCA12</t>
  </si>
  <si>
    <t>Data Type for Binary States</t>
  </si>
  <si>
    <t>MIUVCA13</t>
  </si>
  <si>
    <t>Class Method Variations</t>
  </si>
  <si>
    <t>MIUVCA14</t>
  </si>
  <si>
    <t>Subclass Constructor Invocation</t>
  </si>
  <si>
    <t>MIUVCA15</t>
  </si>
  <si>
    <t>Java Object Creation Syntax</t>
  </si>
  <si>
    <t>MIUVCA16</t>
  </si>
  <si>
    <t>Java Variable Hiding</t>
  </si>
  <si>
    <t>MIUVCA17</t>
  </si>
  <si>
    <t>Java Reserved Words Count</t>
  </si>
  <si>
    <t>MIUVCA18</t>
  </si>
  <si>
    <t>Java Conditional Type Mismatch</t>
  </si>
  <si>
    <t>MIUVCA19</t>
  </si>
  <si>
    <t>Java Integer Operations and Control Flow</t>
  </si>
  <si>
    <t>MIUVCA20</t>
  </si>
  <si>
    <t>Database Management System MCQs - Past DBMS Problems</t>
  </si>
  <si>
    <t>SQL Joins</t>
  </si>
  <si>
    <t>MIUVCA41</t>
  </si>
  <si>
    <t>Conceptual View of Joins</t>
  </si>
  <si>
    <t>MIUVCA42</t>
  </si>
  <si>
    <t>Equality-Based Join</t>
  </si>
  <si>
    <t>MIUVCA43</t>
  </si>
  <si>
    <t>SQL String Replacement</t>
  </si>
  <si>
    <t>MIUVCA44</t>
  </si>
  <si>
    <t>Database Relationship Cardinality</t>
  </si>
  <si>
    <t>MIUVCA45</t>
  </si>
  <si>
    <t>Pattern Matching in Student IDs</t>
  </si>
  <si>
    <t>MIUVCA46</t>
  </si>
  <si>
    <t>SQL LIKE Operator</t>
  </si>
  <si>
    <t>MIUVCA47</t>
  </si>
  <si>
    <t>SQL Query Error Spotting</t>
  </si>
  <si>
    <t>MIUVCA48</t>
  </si>
  <si>
    <t>SQL EXCEPT Operator Query</t>
  </si>
  <si>
    <t>MIUVCA49</t>
  </si>
  <si>
    <t>SQL Nested String Functions</t>
  </si>
  <si>
    <t>MIUVCA50</t>
  </si>
  <si>
    <t>SQL FULL JOIN</t>
  </si>
  <si>
    <t>MIUVCA51</t>
  </si>
  <si>
    <t>SQL Query on Employee Projects</t>
  </si>
  <si>
    <t>MIUVCA53</t>
  </si>
  <si>
    <t>SQL Query on Student Enrollment</t>
  </si>
  <si>
    <t>MIUVCA54</t>
  </si>
  <si>
    <t>Database Index Scan Query</t>
  </si>
  <si>
    <t>MIUVCA55</t>
  </si>
  <si>
    <t>SQL Query Logic</t>
  </si>
  <si>
    <t>MIUVCA56</t>
  </si>
  <si>
    <t>Primary Key</t>
  </si>
  <si>
    <t>MIUVCA57</t>
  </si>
  <si>
    <t>Accenture Interview Questions</t>
  </si>
  <si>
    <t>Prepare for Accenture with previous years questions. Solve the coding, numerical ability, reasoning ability, verbal ability and quant questions which were asked in the past.</t>
  </si>
  <si>
    <t>Proximity Count</t>
  </si>
  <si>
    <t>DPNMAO01</t>
  </si>
  <si>
    <t>Anagram Check</t>
  </si>
  <si>
    <t>DPNMAO02</t>
  </si>
  <si>
    <t>Peak Elevation</t>
  </si>
  <si>
    <t>DPNMAO05</t>
  </si>
  <si>
    <t>Magical Binary Numbers</t>
  </si>
  <si>
    <t>DPNMAO11</t>
  </si>
  <si>
    <t>Maximum Exponent of 2</t>
  </si>
  <si>
    <t>DPNMAO13</t>
  </si>
  <si>
    <t>Equilibrium Point</t>
  </si>
  <si>
    <t>DPNMAO06</t>
  </si>
  <si>
    <t>Count carry</t>
  </si>
  <si>
    <t>DPNMAO07</t>
  </si>
  <si>
    <t>DPNMAO15</t>
  </si>
  <si>
    <t>Sum of Common Multiples</t>
  </si>
  <si>
    <t>DPNMAO20</t>
  </si>
  <si>
    <t>Prime Summation</t>
  </si>
  <si>
    <t>DPNMAO21</t>
  </si>
  <si>
    <t>Unique Array</t>
  </si>
  <si>
    <t>DPNMAO23</t>
  </si>
  <si>
    <t>Last Word Length</t>
  </si>
  <si>
    <t>DPNMAO24</t>
  </si>
  <si>
    <t>Most Frequent Vowel</t>
  </si>
  <si>
    <t>DPNMAO25</t>
  </si>
  <si>
    <t>Faulty Bulb Switch</t>
  </si>
  <si>
    <t>DPNMAO03</t>
  </si>
  <si>
    <t>Chocolate Distribution Problem</t>
  </si>
  <si>
    <t>DPNMAO04</t>
  </si>
  <si>
    <t>Large Small Sum</t>
  </si>
  <si>
    <t>DPNMAO08</t>
  </si>
  <si>
    <t>Palindromic Linked List</t>
  </si>
  <si>
    <t>DPNMAO09</t>
  </si>
  <si>
    <t>Longest Unique Substring</t>
  </si>
  <si>
    <t>DPNMAO10</t>
  </si>
  <si>
    <t>Alice Favourite Playlist</t>
  </si>
  <si>
    <t>DPNMAO14</t>
  </si>
  <si>
    <t>Maximum Product Pair</t>
  </si>
  <si>
    <t>DPNMAO16</t>
  </si>
  <si>
    <t>Food for Rats</t>
  </si>
  <si>
    <t>DPNMAO17</t>
  </si>
  <si>
    <t>Array Rotation</t>
  </si>
  <si>
    <t>DPNMAO18</t>
  </si>
  <si>
    <t>Zero Matrix</t>
  </si>
  <si>
    <t>DPNMAO19</t>
  </si>
  <si>
    <t>Fixed Vowel Permutations</t>
  </si>
  <si>
    <t>DPNMAO22</t>
  </si>
  <si>
    <t>Fuel Mixture Profit Calculation</t>
  </si>
  <si>
    <t>AGTCCR17</t>
  </si>
  <si>
    <t>Server Storage Cleanup Time</t>
  </si>
  <si>
    <t>AGTCCR18</t>
  </si>
  <si>
    <t>Profit and Loss Calculation</t>
  </si>
  <si>
    <t>AGTCCR19</t>
  </si>
  <si>
    <t>Probability of Drawing Marbles</t>
  </si>
  <si>
    <t>AGTCCR20</t>
  </si>
  <si>
    <t>Fruit Punch Mixture Problem</t>
  </si>
  <si>
    <t>AGTCCR21</t>
  </si>
  <si>
    <t>Work &amp; Time with Programmers and Interns</t>
  </si>
  <si>
    <t>AGTCCR22</t>
  </si>
  <si>
    <t>Mural Painting Teamwork</t>
  </si>
  <si>
    <t>AGTCCR23</t>
  </si>
  <si>
    <t>Profit Percentage on Doubled Price</t>
  </si>
  <si>
    <t>AGTCCR24</t>
  </si>
  <si>
    <t>Profit Calculation Sufficiency</t>
  </si>
  <si>
    <t>AGTCCR25</t>
  </si>
  <si>
    <t>Sum of Reciprocal Roots of a Polynomial</t>
  </si>
  <si>
    <t>AGTCCR26</t>
  </si>
  <si>
    <t>Company Financial Performance</t>
  </si>
  <si>
    <t>AGTCCR27</t>
  </si>
  <si>
    <t>Ratio of Apples Problem</t>
  </si>
  <si>
    <t>AGTCCR28</t>
  </si>
  <si>
    <t>Evaluating Arguments on Government Policy</t>
  </si>
  <si>
    <t>AGTCCR29</t>
  </si>
  <si>
    <t>Arithmetic Progression Ratio Problem</t>
  </si>
  <si>
    <t>AGTCCR30</t>
  </si>
  <si>
    <t>Evaluating Arguments: Public Transport Policy</t>
  </si>
  <si>
    <t>AGTCCR31</t>
  </si>
  <si>
    <t>Classroom Change Logic</t>
  </si>
  <si>
    <t>AGTCCR32</t>
  </si>
  <si>
    <t>Corporate Wellness Trend Analysis</t>
  </si>
  <si>
    <t>AGTCCR33</t>
  </si>
  <si>
    <t>Logical Assumption: Traffic Rule Change</t>
  </si>
  <si>
    <t>AGTCCR34</t>
  </si>
  <si>
    <t>AGTCCR47</t>
  </si>
  <si>
    <t>Alphabetical Shift Coding</t>
  </si>
  <si>
    <t>AGTCCR48</t>
  </si>
  <si>
    <t>Symbolic Relationship Logic Puzzle</t>
  </si>
  <si>
    <t>AGTCCR49</t>
  </si>
  <si>
    <t>Logical Speed Ranking</t>
  </si>
  <si>
    <t>AGTCCR50</t>
  </si>
  <si>
    <t>Logical Deduction with Unknown Operators</t>
  </si>
  <si>
    <t>AGTCCR51</t>
  </si>
  <si>
    <t>Logical Reasoning: Syllogism</t>
  </si>
  <si>
    <t>AGTCCR52</t>
  </si>
  <si>
    <t>Alphabet Series Position Puzzle</t>
  </si>
  <si>
    <t>AGTCCR53</t>
  </si>
  <si>
    <t>Logical Deduction Problem</t>
  </si>
  <si>
    <t>AGTCCR54</t>
  </si>
  <si>
    <t>Syllogism with Animals</t>
  </si>
  <si>
    <t>AGTCCR55</t>
  </si>
  <si>
    <t>Assisted Work and Time Problem</t>
  </si>
  <si>
    <t>AGTCCR56</t>
  </si>
  <si>
    <t>Find the Missing Number in the Sequence</t>
  </si>
  <si>
    <t>AGTCCR57</t>
  </si>
  <si>
    <t>Circular Arrangement</t>
  </si>
  <si>
    <t>AGTCCR58</t>
  </si>
  <si>
    <t>Find the Missing Term in the Number Series</t>
  </si>
  <si>
    <t>AGTCCR59</t>
  </si>
  <si>
    <t>Paper Folding and Punching Puzzle</t>
  </si>
  <si>
    <t>AGTCCR60</t>
  </si>
  <si>
    <t>Logical Analogy</t>
  </si>
  <si>
    <t>AGTCCR61</t>
  </si>
  <si>
    <t>Letter Shifts</t>
  </si>
  <si>
    <t>AGTCCR62</t>
  </si>
  <si>
    <t>Analogy: Find the Related Word</t>
  </si>
  <si>
    <t>AGTCCR63</t>
  </si>
  <si>
    <t>Phrasal Verb Substitution</t>
  </si>
  <si>
    <t>AGTCCR01</t>
  </si>
  <si>
    <t>Synonym Identification in a Sentence</t>
  </si>
  <si>
    <t>AGTCCR02</t>
  </si>
  <si>
    <t>Pronoun Agreement Error Identification</t>
  </si>
  <si>
    <t>AGTCCR03</t>
  </si>
  <si>
    <t>Sentence Jumble Problem</t>
  </si>
  <si>
    <t>AGTCCR04</t>
  </si>
  <si>
    <t>Correcting Prepositions of Time</t>
  </si>
  <si>
    <t>AGTCCR05</t>
  </si>
  <si>
    <t>Grammatical Error Identification</t>
  </si>
  <si>
    <t>AGTCCR06</t>
  </si>
  <si>
    <t>Synonym for CANDID</t>
  </si>
  <si>
    <t>AGTCCR07</t>
  </si>
  <si>
    <t>Sentence Completion - Logical Consequence</t>
  </si>
  <si>
    <t>AGTCCR08</t>
  </si>
  <si>
    <t>Vocabulary - Fill in the Blank</t>
  </si>
  <si>
    <t>AGTCCR09</t>
  </si>
  <si>
    <t>Antonym of Abundant</t>
  </si>
  <si>
    <t>AGTCCR13</t>
  </si>
  <si>
    <t>Jumbled Sentence Arrangement</t>
  </si>
  <si>
    <t>AGTCCR14</t>
  </si>
  <si>
    <t>Present Continuous for Future Plans</t>
  </si>
  <si>
    <t>AGTCCR15</t>
  </si>
  <si>
    <t>Jumbled Sentences Rearrangement</t>
  </si>
  <si>
    <t>AGTCCR16</t>
  </si>
  <si>
    <t>Excel Shortcut</t>
  </si>
  <si>
    <t>AGTCCR35</t>
  </si>
  <si>
    <t>MS PowerPoint Executable File Name</t>
  </si>
  <si>
    <t>AGTCCR36</t>
  </si>
  <si>
    <t>Spreadsheet Formatting Logic</t>
  </si>
  <si>
    <t>AGTCCR37</t>
  </si>
  <si>
    <t>Selecting a Cell Range in Excel</t>
  </si>
  <si>
    <t>AGTCCR38</t>
  </si>
  <si>
    <t>Operating System Interface Type</t>
  </si>
  <si>
    <t>AGTCCR39</t>
  </si>
  <si>
    <t>Moving a File on a Computer</t>
  </si>
  <si>
    <t>AGTCCR40</t>
  </si>
  <si>
    <t>Keyboard Shortcut for Selecting All Content</t>
  </si>
  <si>
    <t>AGTCCR41</t>
  </si>
  <si>
    <t>MS Word Background Text Feature</t>
  </si>
  <si>
    <t>AGTCCR42</t>
  </si>
  <si>
    <t>MS-Word Save Shortcut Key</t>
  </si>
  <si>
    <t>AGTCCR43</t>
  </si>
  <si>
    <t>MS Word Save As Shortcut Key</t>
  </si>
  <si>
    <t>AGTCCR44</t>
  </si>
  <si>
    <t>Browser Shortcut: Ctrl+F</t>
  </si>
  <si>
    <t>AGTCCR45</t>
  </si>
  <si>
    <t>MS Excel Default Worksheets</t>
  </si>
  <si>
    <t>AGTCCR46</t>
  </si>
  <si>
    <t>Factors Affecting Computer Performance</t>
  </si>
  <si>
    <t>AGTCCR10</t>
  </si>
  <si>
    <t>Programming Concepts</t>
  </si>
  <si>
    <t>AGTCCR11</t>
  </si>
  <si>
    <t>Understanding Cognition</t>
  </si>
  <si>
    <t>AGTCCR12</t>
  </si>
  <si>
    <t>OSI Layer for Link-Level Error Checking</t>
  </si>
  <si>
    <t>TDWDDE01</t>
  </si>
  <si>
    <t>Command for Listing Directory Contents</t>
  </si>
  <si>
    <t>TDWDDE02</t>
  </si>
  <si>
    <t>Network Connectivity Troubleshooting</t>
  </si>
  <si>
    <t>TDWDDE03</t>
  </si>
  <si>
    <t>OSI Network Layer Function</t>
  </si>
  <si>
    <t>TDWDDE04</t>
  </si>
  <si>
    <t>TCP/IP to OSI Layer Mapping</t>
  </si>
  <si>
    <t>TDWDDE05</t>
  </si>
  <si>
    <t>Displaying Network Details</t>
  </si>
  <si>
    <t>TDWDDE06</t>
  </si>
  <si>
    <t>Function of the Ping Command</t>
  </si>
  <si>
    <t>TDWDDE07</t>
  </si>
  <si>
    <t>Main Role of TCP Protocol</t>
  </si>
  <si>
    <t>TDWDDE08</t>
  </si>
  <si>
    <t>Dynamic vs. Static Routing</t>
  </si>
  <si>
    <t>TDWDDE09</t>
  </si>
  <si>
    <t>Online Gaming Protocol Choice</t>
  </si>
  <si>
    <t>TDWDDE10</t>
  </si>
  <si>
    <t>Pseudo Code Questions - Past Years Pseudo Code Questions</t>
  </si>
  <si>
    <t>Pseudocode Bitwise Operation</t>
  </si>
  <si>
    <t>TKYCPP01</t>
  </si>
  <si>
    <t>Pseudocode Loop Value Prediction</t>
  </si>
  <si>
    <t>TKYCPP02</t>
  </si>
  <si>
    <t>Pseudocode Array Manipulation</t>
  </si>
  <si>
    <t>TKYCPP03</t>
  </si>
  <si>
    <t>Recursive Function Output Prediction</t>
  </si>
  <si>
    <t>TKYCPP04</t>
  </si>
  <si>
    <t>Pseudocode Array Subtraction</t>
  </si>
  <si>
    <t>TKYCPP05</t>
  </si>
  <si>
    <t>Robot Star Placement Count</t>
  </si>
  <si>
    <t>TKYCPP06</t>
  </si>
  <si>
    <t>Pseudocode Loop Analysis</t>
  </si>
  <si>
    <t>TKYCPP07</t>
  </si>
  <si>
    <t>Pseudocode Remainder Logic</t>
  </si>
  <si>
    <t>TKYCPP08</t>
  </si>
  <si>
    <t>Pseudocode Variable Trace</t>
  </si>
  <si>
    <t>TKYCPP09</t>
  </si>
  <si>
    <t>Bitwise Operator Pseudocode Output</t>
  </si>
  <si>
    <t>TKYCPP10</t>
  </si>
  <si>
    <t>Pseudocode Conditional Logic Output</t>
  </si>
  <si>
    <t>TKYCPP11</t>
  </si>
  <si>
    <t>Pseudocode Logic Evaluation</t>
  </si>
  <si>
    <t>TKYCPP12</t>
  </si>
  <si>
    <t>Pseudocode Logic Puzzle</t>
  </si>
  <si>
    <t>TKYCPP13</t>
  </si>
  <si>
    <t>Pseudocode Bitwise Operation Output</t>
  </si>
  <si>
    <t>TKYCPP14</t>
  </si>
  <si>
    <t>Nested If-Else Pseudocode</t>
  </si>
  <si>
    <t>TKYCPP15</t>
  </si>
  <si>
    <t>Python Coding Challenges</t>
  </si>
  <si>
    <t>Solve these Python coding challenges based on all the well known features of the Python language and make yourself an expert at Python. You will find coding challenges on list comprehension, functional programming concepts, generators, decorators and a lot more.</t>
  </si>
  <si>
    <t>Comprehensions and Functional Programming - Comprehensions and Functional Programming</t>
  </si>
  <si>
    <t>Divisible Number Finder</t>
  </si>
  <si>
    <t>PYTHONCH01</t>
  </si>
  <si>
    <t>Alphabet Position Mapper</t>
  </si>
  <si>
    <t>PYTHONCH02</t>
  </si>
  <si>
    <t>Alternating Case Generator</t>
  </si>
  <si>
    <t>PYTHONCH05</t>
  </si>
  <si>
    <t>Word Length Filter</t>
  </si>
  <si>
    <t>PYTHONCH06</t>
  </si>
  <si>
    <t>Lambda-based String Reverser</t>
  </si>
  <si>
    <t>PYTHONCH07</t>
  </si>
  <si>
    <t>Sorting strings by their last character</t>
  </si>
  <si>
    <t>PYTHONCH08</t>
  </si>
  <si>
    <t>Convert inches to centimeters</t>
  </si>
  <si>
    <t>PYTHONCH09</t>
  </si>
  <si>
    <t>Convert a list of numbers to their absolute values</t>
  </si>
  <si>
    <t>PYTHONCH10</t>
  </si>
  <si>
    <t>Extract words containing a specific letter</t>
  </si>
  <si>
    <t>PYTHONCH11</t>
  </si>
  <si>
    <t>Filter out vowel-starting words from a sentence</t>
  </si>
  <si>
    <t>PYTHONCH12</t>
  </si>
  <si>
    <t>Calculate the sum of digits of a number</t>
  </si>
  <si>
    <t>PYTHONCH13</t>
  </si>
  <si>
    <t>Function and Method Enhancements - Function and Method Enhancements</t>
  </si>
  <si>
    <t>Calculate Average of Variable Arguments</t>
  </si>
  <si>
    <t>PYTHONCH15</t>
  </si>
  <si>
    <t>Customizable Restaurant Bill Calculator</t>
  </si>
  <si>
    <t>PYTHONCH17</t>
  </si>
  <si>
    <t>Input Validation Decorator</t>
  </si>
  <si>
    <t>PYTHONCH19</t>
  </si>
  <si>
    <t>Uppercase Converter Decorator</t>
  </si>
  <si>
    <t>PYTHONCH20</t>
  </si>
  <si>
    <t>Rectangle Area Calculator with Decorator</t>
  </si>
  <si>
    <t>PYTHONCH21</t>
  </si>
  <si>
    <t>File Size Converter (Bytes to KB/MB/GB)</t>
  </si>
  <si>
    <t>PYTHONCH22</t>
  </si>
  <si>
    <t>Static Morse Code Translator</t>
  </si>
  <si>
    <t>PYTHONCH23</t>
  </si>
  <si>
    <t>Geometric Shape Area Calculator</t>
  </si>
  <si>
    <t>PYTHONCH25</t>
  </si>
  <si>
    <t>Song Playlist Manager</t>
  </si>
  <si>
    <t>PYTHONCH26</t>
  </si>
  <si>
    <t>Create a counter with adjustable step size</t>
  </si>
  <si>
    <t>PYTHONCH27</t>
  </si>
  <si>
    <t>Create a customizable greeting function</t>
  </si>
  <si>
    <t>PYTHONCH28</t>
  </si>
  <si>
    <t>Partial Power Function</t>
  </si>
  <si>
    <t>PYTHONCH30</t>
  </si>
  <si>
    <t>Object-Oriented Programming Advanced Concepts - Object-Oriented Programming Advanced Concepts</t>
  </si>
  <si>
    <t>Create a Magical Creature Generator</t>
  </si>
  <si>
    <t>PYTHONCH31</t>
  </si>
  <si>
    <t>Implement a Character Class for a Role-Playing Game</t>
  </si>
  <si>
    <t>PYTHONCH32</t>
  </si>
  <si>
    <t>MRO Chain Finder</t>
  </si>
  <si>
    <t>PYTHONCH33</t>
  </si>
  <si>
    <t>Magical Creature Ability Resolver</t>
  </si>
  <si>
    <t>PYTHONCH34</t>
  </si>
  <si>
    <t>Shape Area Calculator</t>
  </si>
  <si>
    <t>PYTHONCH35</t>
  </si>
  <si>
    <t>Implement Method Counter using Metaclass</t>
  </si>
  <si>
    <t>PYTHONCH38</t>
  </si>
  <si>
    <t>Weather Station Data Processor</t>
  </si>
  <si>
    <t>PYTHONCH39</t>
  </si>
  <si>
    <t>HTTP Status Code Interpreter</t>
  </si>
  <si>
    <t>PYTHONCH41</t>
  </si>
  <si>
    <t>Iteration and Generation - Iteration and Generation</t>
  </si>
  <si>
    <t>Circular Array Iterator</t>
  </si>
  <si>
    <t>PYTHONCH46</t>
  </si>
  <si>
    <t>Alternating Case String Generator</t>
  </si>
  <si>
    <t>PYTHONCH47</t>
  </si>
  <si>
    <t>Alphabet Rotation Generator</t>
  </si>
  <si>
    <t>PYTHONCH48</t>
  </si>
  <si>
    <t>Indentation Formatter</t>
  </si>
  <si>
    <t>PYTHONCH50</t>
  </si>
  <si>
    <t>Error Handling and Type Management - Error Handling and Type Management</t>
  </si>
  <si>
    <t>Safe Dictionary Access</t>
  </si>
  <si>
    <t>PYTHONCH51</t>
  </si>
  <si>
    <t>List Index Accessor</t>
  </si>
  <si>
    <t>PYTHONCH52</t>
  </si>
  <si>
    <t>File Opener Counter</t>
  </si>
  <si>
    <t>PYTHONCH53</t>
  </si>
  <si>
    <t>RGB Color Code Validator</t>
  </si>
  <si>
    <t>PYTHONCH55</t>
  </si>
  <si>
    <t>Typed Temperature Converter</t>
  </si>
  <si>
    <t>PYTHONCH57</t>
  </si>
  <si>
    <t>Type-safe String Repeater</t>
  </si>
  <si>
    <t>PYTHONCH58</t>
  </si>
  <si>
    <t>Type-safe age category classifier</t>
  </si>
  <si>
    <t>PYTHONCH59</t>
  </si>
</sst>
</file>

<file path=xl/styles.xml><?xml version="1.0" encoding="utf-8"?>
<styleSheet xmlns="http://schemas.openxmlformats.org/spreadsheetml/2006/main">
  <fonts count="7">
    <font>
      <sz val="11"/>
      <color theme="1"/>
      <name val="Calibri"/>
      <family val="2"/>
      <scheme val="minor"/>
    </font>
    <font>
      <b/>
      <sz val="16"/>
      <color rgb="FF1F4E79"/>
      <name val="Calibri"/>
    </font>
    <font>
      <i/>
      <sz val="11"/>
      <name val="Calibri"/>
    </font>
    <font>
      <b/>
      <sz val="11"/>
      <color rgb="FFFFFFFF"/>
      <name val="Calibri"/>
    </font>
    <font>
      <b/>
      <sz val="11"/>
      <name val="Calibri"/>
    </font>
    <font>
      <u/>
      <sz val="11"/>
      <color rgb="FF0563C1"/>
      <name val="Calibri"/>
    </font>
    <font>
      <sz val="11"/>
      <name val="Calibri"/>
    </font>
  </fonts>
  <fills count="6">
    <fill>
      <patternFill patternType="none"/>
    </fill>
    <fill>
      <patternFill patternType="gray125"/>
    </fill>
    <fill>
      <patternFill patternType="solid">
        <fgColor rgb="FF2F5597"/>
        <bgColor rgb="FF2F5597"/>
      </patternFill>
    </fill>
    <fill>
      <patternFill patternType="solid">
        <fgColor rgb="FFFFFFFF"/>
        <bgColor rgb="FFFFFFFF"/>
      </patternFill>
    </fill>
    <fill>
      <patternFill patternType="solid">
        <fgColor rgb="FFF2F4F7"/>
        <bgColor rgb="FFF2F4F7"/>
      </patternFill>
    </fill>
    <fill>
      <patternFill patternType="solid">
        <fgColor rgb="FF1F4E79"/>
        <b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0" fillId="3" borderId="1" xfId="0" applyFill="1" applyBorder="1" applyAlignment="1">
      <alignment horizontal="center"/>
    </xf>
    <xf numFmtId="0" fontId="4" fillId="3" borderId="1" xfId="0" applyFont="1" applyFill="1" applyBorder="1"/>
    <xf numFmtId="0" fontId="0" fillId="3" borderId="1" xfId="0" applyFill="1" applyBorder="1"/>
    <xf numFmtId="0" fontId="5" fillId="3" borderId="1" xfId="0" applyFont="1" applyFill="1" applyBorder="1"/>
    <xf numFmtId="0" fontId="0" fillId="4" borderId="1" xfId="0" applyFill="1" applyBorder="1" applyAlignment="1">
      <alignment horizontal="center"/>
    </xf>
    <xf numFmtId="0" fontId="4" fillId="4" borderId="1" xfId="0" applyFont="1" applyFill="1" applyBorder="1"/>
    <xf numFmtId="0" fontId="0" fillId="4" borderId="1" xfId="0" applyFill="1" applyBorder="1"/>
    <xf numFmtId="0" fontId="5" fillId="4" borderId="1" xfId="0" applyFont="1" applyFill="1" applyBorder="1"/>
    <xf numFmtId="0" fontId="3" fillId="5" borderId="0" xfId="0" applyFont="1" applyFill="1"/>
    <xf numFmtId="0" fontId="3" fillId="5" borderId="0" xfId="0" applyFont="1" applyFill="1" applyAlignment="1">
      <alignment horizontal="center" vertical="center"/>
    </xf>
    <xf numFmtId="0" fontId="6" fillId="4" borderId="1" xfId="0" applyFont="1" applyFill="1" applyBorder="1"/>
    <xf numFmtId="0" fontId="6" fillId="3"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
  <sheetViews>
    <sheetView workbookViewId="0"/>
  </sheetViews>
  <sheetFormatPr defaultRowHeight="14.5"/>
  <cols>
    <col min="1" max="1" width="59" customWidth="1"/>
    <col min="2" max="2" width="29" customWidth="1"/>
    <col min="3" max="4" width="17" customWidth="1"/>
    <col min="5" max="5" width="29" customWidth="1"/>
    <col min="6" max="6" width="15" customWidth="1"/>
  </cols>
  <sheetData>
    <row r="1" spans="1:6" ht="21">
      <c r="A1" s="1" t="s">
        <v>0</v>
      </c>
    </row>
    <row r="2" spans="1:6">
      <c r="A2" s="2" t="s">
        <v>1</v>
      </c>
    </row>
    <row r="4" spans="1:6">
      <c r="A4" s="3" t="s">
        <v>2</v>
      </c>
      <c r="B4" s="3" t="s">
        <v>3</v>
      </c>
      <c r="C4" s="3" t="s">
        <v>4</v>
      </c>
      <c r="D4" s="3" t="s">
        <v>5</v>
      </c>
      <c r="E4" s="3" t="s">
        <v>6</v>
      </c>
      <c r="F4" s="3" t="s">
        <v>7</v>
      </c>
    </row>
    <row r="5" spans="1:6">
      <c r="A5" s="4">
        <v>1</v>
      </c>
      <c r="B5" s="5" t="s">
        <v>8</v>
      </c>
      <c r="C5" s="4">
        <v>4</v>
      </c>
      <c r="D5" s="4">
        <v>74</v>
      </c>
      <c r="E5" s="6" t="s">
        <v>8</v>
      </c>
      <c r="F5" s="7" t="str">
        <f t="shared" ref="F5:F13" si="0">HYPERLINK("https://www.codechef.com/practice", "CodeChef Practice")</f>
        <v>CodeChef Practice</v>
      </c>
    </row>
    <row r="6" spans="1:6">
      <c r="A6" s="8">
        <v>2</v>
      </c>
      <c r="B6" s="9" t="s">
        <v>9</v>
      </c>
      <c r="C6" s="8">
        <v>7</v>
      </c>
      <c r="D6" s="8">
        <v>360</v>
      </c>
      <c r="E6" s="10" t="s">
        <v>9</v>
      </c>
      <c r="F6" s="11" t="str">
        <f t="shared" si="0"/>
        <v>CodeChef Practice</v>
      </c>
    </row>
    <row r="7" spans="1:6">
      <c r="A7" s="4">
        <v>3</v>
      </c>
      <c r="B7" s="5" t="s">
        <v>10</v>
      </c>
      <c r="C7" s="4">
        <v>9</v>
      </c>
      <c r="D7" s="4">
        <v>259</v>
      </c>
      <c r="E7" s="6" t="s">
        <v>10</v>
      </c>
      <c r="F7" s="7" t="str">
        <f t="shared" si="0"/>
        <v>CodeChef Practice</v>
      </c>
    </row>
    <row r="8" spans="1:6">
      <c r="A8" s="8">
        <v>4</v>
      </c>
      <c r="B8" s="9" t="s">
        <v>11</v>
      </c>
      <c r="C8" s="8">
        <v>7</v>
      </c>
      <c r="D8" s="8">
        <v>864</v>
      </c>
      <c r="E8" s="10" t="s">
        <v>11</v>
      </c>
      <c r="F8" s="11" t="str">
        <f t="shared" si="0"/>
        <v>CodeChef Practice</v>
      </c>
    </row>
    <row r="9" spans="1:6">
      <c r="A9" s="4">
        <v>5</v>
      </c>
      <c r="B9" s="5" t="s">
        <v>12</v>
      </c>
      <c r="C9" s="4">
        <v>3</v>
      </c>
      <c r="D9" s="4">
        <v>280</v>
      </c>
      <c r="E9" s="6" t="s">
        <v>12</v>
      </c>
      <c r="F9" s="7" t="str">
        <f t="shared" si="0"/>
        <v>CodeChef Practice</v>
      </c>
    </row>
    <row r="10" spans="1:6">
      <c r="A10" s="8">
        <v>6</v>
      </c>
      <c r="B10" s="9" t="s">
        <v>13</v>
      </c>
      <c r="C10" s="8">
        <v>12</v>
      </c>
      <c r="D10" s="8">
        <v>1367</v>
      </c>
      <c r="E10" s="10" t="s">
        <v>13</v>
      </c>
      <c r="F10" s="11" t="str">
        <f t="shared" si="0"/>
        <v>CodeChef Practice</v>
      </c>
    </row>
    <row r="11" spans="1:6">
      <c r="A11" s="4">
        <v>7</v>
      </c>
      <c r="B11" s="5" t="s">
        <v>14</v>
      </c>
      <c r="C11" s="4">
        <v>9</v>
      </c>
      <c r="D11" s="4">
        <v>928</v>
      </c>
      <c r="E11" s="6" t="s">
        <v>14</v>
      </c>
      <c r="F11" s="7" t="str">
        <f t="shared" si="0"/>
        <v>CodeChef Practice</v>
      </c>
    </row>
    <row r="12" spans="1:6">
      <c r="A12" s="8">
        <v>8</v>
      </c>
      <c r="B12" s="9" t="s">
        <v>15</v>
      </c>
      <c r="C12" s="8">
        <v>19</v>
      </c>
      <c r="D12" s="8">
        <v>590</v>
      </c>
      <c r="E12" s="10" t="s">
        <v>15</v>
      </c>
      <c r="F12" s="11" t="str">
        <f t="shared" si="0"/>
        <v>CodeChef Practice</v>
      </c>
    </row>
    <row r="13" spans="1:6">
      <c r="A13" s="4">
        <v>9</v>
      </c>
      <c r="B13" s="5" t="s">
        <v>16</v>
      </c>
      <c r="C13" s="4">
        <v>1</v>
      </c>
      <c r="D13" s="4">
        <v>42</v>
      </c>
      <c r="E13" s="6" t="s">
        <v>16</v>
      </c>
      <c r="F13" s="7" t="str">
        <f t="shared" si="0"/>
        <v>CodeChef Practice</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B10"/>
  <sheetViews>
    <sheetView workbookViewId="0"/>
  </sheetViews>
  <sheetFormatPr defaultRowHeight="14.5"/>
  <cols>
    <col min="1" max="1" width="39" customWidth="1"/>
    <col min="2" max="2" width="27" customWidth="1"/>
  </cols>
  <sheetData>
    <row r="1" spans="1:2" ht="21">
      <c r="A1" s="1" t="s">
        <v>17</v>
      </c>
    </row>
    <row r="3" spans="1:2">
      <c r="A3" s="12" t="s">
        <v>18</v>
      </c>
      <c r="B3" s="12" t="s">
        <v>19</v>
      </c>
    </row>
    <row r="4" spans="1:2">
      <c r="A4" s="9" t="s">
        <v>20</v>
      </c>
      <c r="B4" s="10">
        <v>9</v>
      </c>
    </row>
    <row r="5" spans="1:2">
      <c r="A5" s="5" t="s">
        <v>21</v>
      </c>
      <c r="B5" s="6">
        <v>71</v>
      </c>
    </row>
    <row r="6" spans="1:2">
      <c r="A6" s="9" t="s">
        <v>22</v>
      </c>
      <c r="B6" s="10">
        <v>4764</v>
      </c>
    </row>
    <row r="7" spans="1:2">
      <c r="A7" s="5" t="s">
        <v>23</v>
      </c>
      <c r="B7" s="6">
        <v>4764</v>
      </c>
    </row>
    <row r="8" spans="1:2">
      <c r="A8" s="9" t="s">
        <v>24</v>
      </c>
      <c r="B8" s="10">
        <v>0</v>
      </c>
    </row>
    <row r="9" spans="1:2">
      <c r="A9" s="5" t="s">
        <v>25</v>
      </c>
      <c r="B9" s="6" t="s">
        <v>26</v>
      </c>
    </row>
    <row r="10" spans="1:2">
      <c r="A10" s="9" t="s">
        <v>27</v>
      </c>
      <c r="B10" s="10" t="s">
        <v>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dimension ref="A1:O75"/>
  <sheetViews>
    <sheetView workbookViewId="0"/>
  </sheetViews>
  <sheetFormatPr defaultRowHeight="14.5"/>
  <cols>
    <col min="1" max="1" width="15" customWidth="1"/>
    <col min="2" max="2" width="22" customWidth="1"/>
    <col min="3" max="3" width="195" customWidth="1"/>
    <col min="4" max="4" width="37" customWidth="1"/>
    <col min="5" max="5" width="16" customWidth="1"/>
    <col min="6" max="6" width="46" customWidth="1"/>
    <col min="7" max="7" width="15" customWidth="1"/>
    <col min="8" max="8" width="20" customWidth="1"/>
    <col min="9" max="9" width="19" customWidth="1"/>
    <col min="10" max="10" width="15" customWidth="1"/>
    <col min="11" max="11" width="17" customWidth="1"/>
    <col min="12" max="12" width="127" customWidth="1"/>
    <col min="13"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8</v>
      </c>
      <c r="B2" s="14" t="s">
        <v>43</v>
      </c>
      <c r="C2" s="14" t="s">
        <v>44</v>
      </c>
      <c r="D2" s="14" t="s">
        <v>45</v>
      </c>
      <c r="E2" s="14">
        <v>1</v>
      </c>
      <c r="F2" s="14" t="s">
        <v>46</v>
      </c>
      <c r="G2" s="14" t="s">
        <v>47</v>
      </c>
      <c r="H2" s="14" t="s">
        <v>48</v>
      </c>
      <c r="I2" s="14" t="s">
        <v>49</v>
      </c>
      <c r="J2" s="11" t="str">
        <f>HYPERLINK("https://www.codechef.com/problems/WCC", "https://www.codechef.com/problems/WCC")</f>
        <v>https://www.codechef.com/problems/WCC</v>
      </c>
      <c r="K2" s="14"/>
      <c r="L2" s="14"/>
      <c r="M2" s="14"/>
      <c r="N2" s="14" t="s">
        <v>50</v>
      </c>
      <c r="O2" s="14" t="s">
        <v>51</v>
      </c>
    </row>
    <row r="3" spans="1:15">
      <c r="A3" s="15" t="s">
        <v>8</v>
      </c>
      <c r="B3" s="15" t="s">
        <v>43</v>
      </c>
      <c r="C3" s="15" t="s">
        <v>44</v>
      </c>
      <c r="D3" s="15" t="s">
        <v>45</v>
      </c>
      <c r="E3" s="15">
        <v>2</v>
      </c>
      <c r="F3" s="15" t="s">
        <v>52</v>
      </c>
      <c r="G3" s="15" t="s">
        <v>53</v>
      </c>
      <c r="H3" s="15" t="s">
        <v>54</v>
      </c>
      <c r="I3" s="15" t="s">
        <v>49</v>
      </c>
      <c r="J3" s="7" t="str">
        <f>HYPERLINK("https://www.codechef.com/problems/DDMMORMMDD", "https://www.codechef.com/problems/DDMMORMMDD")</f>
        <v>https://www.codechef.com/problems/DDMMORMMDD</v>
      </c>
      <c r="K3" s="15"/>
      <c r="L3" s="15"/>
      <c r="M3" s="15"/>
      <c r="N3" s="15" t="s">
        <v>50</v>
      </c>
      <c r="O3" s="15" t="s">
        <v>51</v>
      </c>
    </row>
    <row r="4" spans="1:15">
      <c r="A4" s="14" t="s">
        <v>8</v>
      </c>
      <c r="B4" s="14" t="s">
        <v>43</v>
      </c>
      <c r="C4" s="14" t="s">
        <v>44</v>
      </c>
      <c r="D4" s="14" t="s">
        <v>45</v>
      </c>
      <c r="E4" s="14">
        <v>3</v>
      </c>
      <c r="F4" s="14" t="s">
        <v>55</v>
      </c>
      <c r="G4" s="14" t="s">
        <v>56</v>
      </c>
      <c r="H4" s="14"/>
      <c r="I4" s="14" t="s">
        <v>49</v>
      </c>
      <c r="J4" s="11" t="str">
        <f>HYPERLINK("https://www.codechef.com/problems/LARGODDSTRIN", "https://www.codechef.com/problems/LARGODDSTRIN")</f>
        <v>https://www.codechef.com/problems/LARGODDSTRIN</v>
      </c>
      <c r="K4" s="14"/>
      <c r="L4" s="14" t="s">
        <v>57</v>
      </c>
      <c r="M4" s="14"/>
      <c r="N4" s="14" t="s">
        <v>50</v>
      </c>
      <c r="O4" s="14" t="s">
        <v>51</v>
      </c>
    </row>
    <row r="5" spans="1:15">
      <c r="A5" s="15" t="s">
        <v>8</v>
      </c>
      <c r="B5" s="15" t="s">
        <v>43</v>
      </c>
      <c r="C5" s="15" t="s">
        <v>44</v>
      </c>
      <c r="D5" s="15" t="s">
        <v>45</v>
      </c>
      <c r="E5" s="15">
        <v>4</v>
      </c>
      <c r="F5" s="15" t="s">
        <v>58</v>
      </c>
      <c r="G5" s="15" t="s">
        <v>59</v>
      </c>
      <c r="H5" s="15" t="s">
        <v>60</v>
      </c>
      <c r="I5" s="15" t="s">
        <v>49</v>
      </c>
      <c r="J5" s="7" t="str">
        <f>HYPERLINK("https://www.codechef.com/problems/TITLECASE", "https://www.codechef.com/problems/TITLECASE")</f>
        <v>https://www.codechef.com/problems/TITLECASE</v>
      </c>
      <c r="K5" s="15"/>
      <c r="L5" s="15"/>
      <c r="M5" s="15"/>
      <c r="N5" s="15" t="s">
        <v>50</v>
      </c>
      <c r="O5" s="15" t="s">
        <v>51</v>
      </c>
    </row>
    <row r="6" spans="1:15">
      <c r="A6" s="14" t="s">
        <v>8</v>
      </c>
      <c r="B6" s="14" t="s">
        <v>43</v>
      </c>
      <c r="C6" s="14" t="s">
        <v>44</v>
      </c>
      <c r="D6" s="14" t="s">
        <v>45</v>
      </c>
      <c r="E6" s="14">
        <v>5</v>
      </c>
      <c r="F6" s="14" t="s">
        <v>61</v>
      </c>
      <c r="G6" s="14" t="s">
        <v>62</v>
      </c>
      <c r="H6" s="14" t="s">
        <v>63</v>
      </c>
      <c r="I6" s="14" t="s">
        <v>49</v>
      </c>
      <c r="J6" s="11" t="str">
        <f>HYPERLINK("https://www.codechef.com/problems/ALPHABET", "https://www.codechef.com/problems/ALPHABET")</f>
        <v>https://www.codechef.com/problems/ALPHABET</v>
      </c>
      <c r="K6" s="14"/>
      <c r="L6" s="14"/>
      <c r="M6" s="14"/>
      <c r="N6" s="14" t="s">
        <v>50</v>
      </c>
      <c r="O6" s="14" t="s">
        <v>51</v>
      </c>
    </row>
    <row r="7" spans="1:15">
      <c r="A7" s="15" t="s">
        <v>8</v>
      </c>
      <c r="B7" s="15" t="s">
        <v>43</v>
      </c>
      <c r="C7" s="15" t="s">
        <v>44</v>
      </c>
      <c r="D7" s="15" t="s">
        <v>45</v>
      </c>
      <c r="E7" s="15">
        <v>6</v>
      </c>
      <c r="F7" s="15" t="s">
        <v>64</v>
      </c>
      <c r="G7" s="15" t="s">
        <v>65</v>
      </c>
      <c r="H7" s="15" t="s">
        <v>66</v>
      </c>
      <c r="I7" s="15" t="s">
        <v>49</v>
      </c>
      <c r="J7" s="7" t="str">
        <f>HYPERLINK("https://www.codechef.com/problems/CHN09", "https://www.codechef.com/problems/CHN09")</f>
        <v>https://www.codechef.com/problems/CHN09</v>
      </c>
      <c r="K7" s="15"/>
      <c r="L7" s="15" t="s">
        <v>67</v>
      </c>
      <c r="M7" s="15"/>
      <c r="N7" s="15" t="s">
        <v>50</v>
      </c>
      <c r="O7" s="15" t="s">
        <v>51</v>
      </c>
    </row>
    <row r="8" spans="1:15">
      <c r="A8" s="14" t="s">
        <v>8</v>
      </c>
      <c r="B8" s="14" t="s">
        <v>43</v>
      </c>
      <c r="C8" s="14" t="s">
        <v>44</v>
      </c>
      <c r="D8" s="14" t="s">
        <v>45</v>
      </c>
      <c r="E8" s="14">
        <v>7</v>
      </c>
      <c r="F8" s="14" t="s">
        <v>68</v>
      </c>
      <c r="G8" s="14" t="s">
        <v>69</v>
      </c>
      <c r="H8" s="14" t="s">
        <v>70</v>
      </c>
      <c r="I8" s="14" t="s">
        <v>49</v>
      </c>
      <c r="J8" s="11" t="str">
        <f>HYPERLINK("https://www.codechef.com/problems/ON_OFF", "https://www.codechef.com/problems/ON_OFF")</f>
        <v>https://www.codechef.com/problems/ON_OFF</v>
      </c>
      <c r="K8" s="14"/>
      <c r="L8" s="14"/>
      <c r="M8" s="14"/>
      <c r="N8" s="14" t="s">
        <v>50</v>
      </c>
      <c r="O8" s="14" t="s">
        <v>51</v>
      </c>
    </row>
    <row r="9" spans="1:15">
      <c r="A9" s="15" t="s">
        <v>8</v>
      </c>
      <c r="B9" s="15" t="s">
        <v>43</v>
      </c>
      <c r="C9" s="15" t="s">
        <v>44</v>
      </c>
      <c r="D9" s="15" t="s">
        <v>45</v>
      </c>
      <c r="E9" s="15">
        <v>8</v>
      </c>
      <c r="F9" s="15" t="s">
        <v>71</v>
      </c>
      <c r="G9" s="15" t="s">
        <v>72</v>
      </c>
      <c r="H9" s="15" t="s">
        <v>73</v>
      </c>
      <c r="I9" s="15" t="s">
        <v>49</v>
      </c>
      <c r="J9" s="7" t="str">
        <f>HYPERLINK("https://www.codechef.com/problems/PLAYPIAN", "https://www.codechef.com/problems/PLAYPIAN")</f>
        <v>https://www.codechef.com/problems/PLAYPIAN</v>
      </c>
      <c r="K9" s="15"/>
      <c r="L9" s="15"/>
      <c r="M9" s="15"/>
      <c r="N9" s="15" t="s">
        <v>50</v>
      </c>
      <c r="O9" s="15" t="s">
        <v>51</v>
      </c>
    </row>
    <row r="10" spans="1:15">
      <c r="A10" s="14" t="s">
        <v>8</v>
      </c>
      <c r="B10" s="14" t="s">
        <v>43</v>
      </c>
      <c r="C10" s="14" t="s">
        <v>44</v>
      </c>
      <c r="D10" s="14" t="s">
        <v>45</v>
      </c>
      <c r="E10" s="14">
        <v>9</v>
      </c>
      <c r="F10" s="14" t="s">
        <v>74</v>
      </c>
      <c r="G10" s="14" t="s">
        <v>75</v>
      </c>
      <c r="H10" s="14" t="s">
        <v>76</v>
      </c>
      <c r="I10" s="14" t="s">
        <v>49</v>
      </c>
      <c r="J10" s="11" t="str">
        <f>HYPERLINK("https://www.codechef.com/problems/ERROR", "https://www.codechef.com/problems/ERROR")</f>
        <v>https://www.codechef.com/problems/ERROR</v>
      </c>
      <c r="K10" s="14"/>
      <c r="L10" s="14"/>
      <c r="M10" s="14"/>
      <c r="N10" s="14" t="s">
        <v>50</v>
      </c>
      <c r="O10" s="14" t="s">
        <v>51</v>
      </c>
    </row>
    <row r="11" spans="1:15">
      <c r="A11" s="15" t="s">
        <v>8</v>
      </c>
      <c r="B11" s="15" t="s">
        <v>77</v>
      </c>
      <c r="C11" s="15" t="s">
        <v>78</v>
      </c>
      <c r="D11" s="15" t="s">
        <v>79</v>
      </c>
      <c r="E11" s="15">
        <v>1</v>
      </c>
      <c r="F11" s="15" t="s">
        <v>80</v>
      </c>
      <c r="G11" s="15" t="s">
        <v>81</v>
      </c>
      <c r="H11" s="15" t="s">
        <v>82</v>
      </c>
      <c r="I11" s="15" t="s">
        <v>49</v>
      </c>
      <c r="J11" s="7" t="str">
        <f>HYPERLINK("https://www.codechef.com/problems/SEARCHINARR", "https://www.codechef.com/problems/SEARCHINARR")</f>
        <v>https://www.codechef.com/problems/SEARCHINARR</v>
      </c>
      <c r="K11" s="15"/>
      <c r="L11" s="15"/>
      <c r="M11" s="15"/>
      <c r="N11" s="15" t="s">
        <v>50</v>
      </c>
      <c r="O11" s="15" t="s">
        <v>51</v>
      </c>
    </row>
    <row r="12" spans="1:15">
      <c r="A12" s="14" t="s">
        <v>8</v>
      </c>
      <c r="B12" s="14" t="s">
        <v>77</v>
      </c>
      <c r="C12" s="14" t="s">
        <v>78</v>
      </c>
      <c r="D12" s="14" t="s">
        <v>79</v>
      </c>
      <c r="E12" s="14">
        <v>2</v>
      </c>
      <c r="F12" s="14" t="s">
        <v>83</v>
      </c>
      <c r="G12" s="14" t="s">
        <v>84</v>
      </c>
      <c r="H12" s="14" t="s">
        <v>85</v>
      </c>
      <c r="I12" s="14" t="s">
        <v>49</v>
      </c>
      <c r="J12" s="11" t="str">
        <f>HYPERLINK("https://www.codechef.com/problems/UWCOI20A", "https://www.codechef.com/problems/UWCOI20A")</f>
        <v>https://www.codechef.com/problems/UWCOI20A</v>
      </c>
      <c r="K12" s="14"/>
      <c r="L12" s="14"/>
      <c r="M12" s="14"/>
      <c r="N12" s="14" t="s">
        <v>50</v>
      </c>
      <c r="O12" s="14" t="s">
        <v>51</v>
      </c>
    </row>
    <row r="13" spans="1:15">
      <c r="A13" s="15" t="s">
        <v>8</v>
      </c>
      <c r="B13" s="15" t="s">
        <v>77</v>
      </c>
      <c r="C13" s="15" t="s">
        <v>78</v>
      </c>
      <c r="D13" s="15" t="s">
        <v>79</v>
      </c>
      <c r="E13" s="15">
        <v>3</v>
      </c>
      <c r="F13" s="15" t="s">
        <v>86</v>
      </c>
      <c r="G13" s="15" t="s">
        <v>87</v>
      </c>
      <c r="H13" s="15" t="s">
        <v>88</v>
      </c>
      <c r="I13" s="15" t="s">
        <v>49</v>
      </c>
      <c r="J13" s="7" t="str">
        <f>HYPERLINK("https://www.codechef.com/problems/LARGESECOND", "https://www.codechef.com/problems/LARGESECOND")</f>
        <v>https://www.codechef.com/problems/LARGESECOND</v>
      </c>
      <c r="K13" s="15"/>
      <c r="L13" s="15" t="s">
        <v>89</v>
      </c>
      <c r="M13" s="15"/>
      <c r="N13" s="15" t="s">
        <v>50</v>
      </c>
      <c r="O13" s="15" t="s">
        <v>51</v>
      </c>
    </row>
    <row r="14" spans="1:15">
      <c r="A14" s="14" t="s">
        <v>8</v>
      </c>
      <c r="B14" s="14" t="s">
        <v>77</v>
      </c>
      <c r="C14" s="14" t="s">
        <v>78</v>
      </c>
      <c r="D14" s="14" t="s">
        <v>79</v>
      </c>
      <c r="E14" s="14">
        <v>4</v>
      </c>
      <c r="F14" s="14" t="s">
        <v>90</v>
      </c>
      <c r="G14" s="14" t="s">
        <v>91</v>
      </c>
      <c r="H14" s="14" t="s">
        <v>92</v>
      </c>
      <c r="I14" s="14" t="s">
        <v>49</v>
      </c>
      <c r="J14" s="11" t="str">
        <f>HYPERLINK("https://www.codechef.com/problems/OPMIN", "https://www.codechef.com/problems/OPMIN")</f>
        <v>https://www.codechef.com/problems/OPMIN</v>
      </c>
      <c r="K14" s="14"/>
      <c r="L14" s="14"/>
      <c r="M14" s="14"/>
      <c r="N14" s="14" t="s">
        <v>50</v>
      </c>
      <c r="O14" s="14" t="s">
        <v>51</v>
      </c>
    </row>
    <row r="15" spans="1:15">
      <c r="A15" s="15" t="s">
        <v>8</v>
      </c>
      <c r="B15" s="15" t="s">
        <v>77</v>
      </c>
      <c r="C15" s="15" t="s">
        <v>78</v>
      </c>
      <c r="D15" s="15" t="s">
        <v>79</v>
      </c>
      <c r="E15" s="15">
        <v>5</v>
      </c>
      <c r="F15" s="15" t="s">
        <v>93</v>
      </c>
      <c r="G15" s="15" t="s">
        <v>94</v>
      </c>
      <c r="H15" s="15" t="s">
        <v>95</v>
      </c>
      <c r="I15" s="15" t="s">
        <v>96</v>
      </c>
      <c r="J15" s="7" t="str">
        <f>HYPERLINK("https://www.codechef.com/problems/NCOPIES", "https://www.codechef.com/problems/NCOPIES")</f>
        <v>https://www.codechef.com/problems/NCOPIES</v>
      </c>
      <c r="K15" s="15"/>
      <c r="L15" s="15" t="s">
        <v>97</v>
      </c>
      <c r="M15" s="15"/>
      <c r="N15" s="15" t="s">
        <v>50</v>
      </c>
      <c r="O15" s="15" t="s">
        <v>51</v>
      </c>
    </row>
    <row r="16" spans="1:15">
      <c r="A16" s="14" t="s">
        <v>8</v>
      </c>
      <c r="B16" s="14" t="s">
        <v>77</v>
      </c>
      <c r="C16" s="14" t="s">
        <v>78</v>
      </c>
      <c r="D16" s="14" t="s">
        <v>79</v>
      </c>
      <c r="E16" s="14">
        <v>6</v>
      </c>
      <c r="F16" s="14" t="s">
        <v>98</v>
      </c>
      <c r="G16" s="14" t="s">
        <v>99</v>
      </c>
      <c r="H16" s="14" t="s">
        <v>100</v>
      </c>
      <c r="I16" s="14" t="s">
        <v>49</v>
      </c>
      <c r="J16" s="11" t="str">
        <f>HYPERLINK("https://www.codechef.com/problems/DOLL", "https://www.codechef.com/problems/DOLL")</f>
        <v>https://www.codechef.com/problems/DOLL</v>
      </c>
      <c r="K16" s="14"/>
      <c r="L16" s="14" t="s">
        <v>101</v>
      </c>
      <c r="M16" s="14"/>
      <c r="N16" s="14" t="s">
        <v>50</v>
      </c>
      <c r="O16" s="14" t="s">
        <v>51</v>
      </c>
    </row>
    <row r="17" spans="1:15">
      <c r="A17" s="15" t="s">
        <v>8</v>
      </c>
      <c r="B17" s="15" t="s">
        <v>77</v>
      </c>
      <c r="C17" s="15" t="s">
        <v>78</v>
      </c>
      <c r="D17" s="15" t="s">
        <v>79</v>
      </c>
      <c r="E17" s="15">
        <v>7</v>
      </c>
      <c r="F17" s="15" t="s">
        <v>102</v>
      </c>
      <c r="G17" s="15" t="s">
        <v>103</v>
      </c>
      <c r="H17" s="15" t="s">
        <v>104</v>
      </c>
      <c r="I17" s="15" t="s">
        <v>49</v>
      </c>
      <c r="J17" s="7" t="str">
        <f>HYPERLINK("https://www.codechef.com/problems/COMPRESSVD", "https://www.codechef.com/problems/COMPRESSVD")</f>
        <v>https://www.codechef.com/problems/COMPRESSVD</v>
      </c>
      <c r="K17" s="15"/>
      <c r="L17" s="15" t="s">
        <v>105</v>
      </c>
      <c r="M17" s="15"/>
      <c r="N17" s="15" t="s">
        <v>50</v>
      </c>
      <c r="O17" s="15" t="s">
        <v>51</v>
      </c>
    </row>
    <row r="18" spans="1:15">
      <c r="A18" s="14" t="s">
        <v>8</v>
      </c>
      <c r="B18" s="14" t="s">
        <v>77</v>
      </c>
      <c r="C18" s="14" t="s">
        <v>78</v>
      </c>
      <c r="D18" s="14" t="s">
        <v>79</v>
      </c>
      <c r="E18" s="14">
        <v>8</v>
      </c>
      <c r="F18" s="14" t="s">
        <v>106</v>
      </c>
      <c r="G18" s="14" t="s">
        <v>107</v>
      </c>
      <c r="H18" s="14" t="s">
        <v>108</v>
      </c>
      <c r="I18" s="14" t="s">
        <v>49</v>
      </c>
      <c r="J18" s="11" t="str">
        <f>HYPERLINK("https://www.codechef.com/problems/RATINGINPRAC", "https://www.codechef.com/problems/RATINGINPRAC")</f>
        <v>https://www.codechef.com/problems/RATINGINPRAC</v>
      </c>
      <c r="K18" s="14"/>
      <c r="L18" s="14"/>
      <c r="M18" s="14"/>
      <c r="N18" s="14" t="s">
        <v>50</v>
      </c>
      <c r="O18" s="14" t="s">
        <v>51</v>
      </c>
    </row>
    <row r="19" spans="1:15">
      <c r="A19" s="15" t="s">
        <v>8</v>
      </c>
      <c r="B19" s="15" t="s">
        <v>77</v>
      </c>
      <c r="C19" s="15" t="s">
        <v>78</v>
      </c>
      <c r="D19" s="15" t="s">
        <v>79</v>
      </c>
      <c r="E19" s="15">
        <v>9</v>
      </c>
      <c r="F19" s="15" t="s">
        <v>109</v>
      </c>
      <c r="G19" s="15" t="s">
        <v>110</v>
      </c>
      <c r="H19" s="15" t="s">
        <v>111</v>
      </c>
      <c r="I19" s="15" t="s">
        <v>49</v>
      </c>
      <c r="J19" s="7" t="str">
        <f>HYPERLINK("https://www.codechef.com/problems/SQUIDRULE", "https://www.codechef.com/problems/SQUIDRULE")</f>
        <v>https://www.codechef.com/problems/SQUIDRULE</v>
      </c>
      <c r="K19" s="15"/>
      <c r="L19" s="15"/>
      <c r="M19" s="15"/>
      <c r="N19" s="15" t="s">
        <v>50</v>
      </c>
      <c r="O19" s="15" t="s">
        <v>51</v>
      </c>
    </row>
    <row r="20" spans="1:15">
      <c r="A20" s="14" t="s">
        <v>8</v>
      </c>
      <c r="B20" s="14" t="s">
        <v>77</v>
      </c>
      <c r="C20" s="14" t="s">
        <v>78</v>
      </c>
      <c r="D20" s="14" t="s">
        <v>79</v>
      </c>
      <c r="E20" s="14">
        <v>10</v>
      </c>
      <c r="F20" s="14" t="s">
        <v>112</v>
      </c>
      <c r="G20" s="14" t="s">
        <v>113</v>
      </c>
      <c r="H20" s="14"/>
      <c r="I20" s="14" t="s">
        <v>49</v>
      </c>
      <c r="J20" s="11" t="str">
        <f>HYPERLINK("https://www.codechef.com/problems/MAXCONSECU", "https://www.codechef.com/problems/MAXCONSECU")</f>
        <v>https://www.codechef.com/problems/MAXCONSECU</v>
      </c>
      <c r="K20" s="14"/>
      <c r="L20" s="14"/>
      <c r="M20" s="14"/>
      <c r="N20" s="14" t="s">
        <v>50</v>
      </c>
      <c r="O20" s="14" t="s">
        <v>51</v>
      </c>
    </row>
    <row r="21" spans="1:15">
      <c r="A21" s="15" t="s">
        <v>8</v>
      </c>
      <c r="B21" s="15" t="s">
        <v>77</v>
      </c>
      <c r="C21" s="15" t="s">
        <v>78</v>
      </c>
      <c r="D21" s="15" t="s">
        <v>79</v>
      </c>
      <c r="E21" s="15">
        <v>11</v>
      </c>
      <c r="F21" s="15" t="s">
        <v>114</v>
      </c>
      <c r="G21" s="15" t="s">
        <v>115</v>
      </c>
      <c r="H21" s="15" t="s">
        <v>116</v>
      </c>
      <c r="I21" s="15" t="s">
        <v>49</v>
      </c>
      <c r="J21" s="7" t="str">
        <f>HYPERLINK("https://www.codechef.com/problems/CS2023_STK", "https://www.codechef.com/problems/CS2023_STK")</f>
        <v>https://www.codechef.com/problems/CS2023_STK</v>
      </c>
      <c r="K21" s="15"/>
      <c r="L21" s="15" t="s">
        <v>117</v>
      </c>
      <c r="M21" s="15"/>
      <c r="N21" s="15" t="s">
        <v>50</v>
      </c>
      <c r="O21" s="15" t="s">
        <v>51</v>
      </c>
    </row>
    <row r="22" spans="1:15">
      <c r="A22" s="14" t="s">
        <v>8</v>
      </c>
      <c r="B22" s="14" t="s">
        <v>77</v>
      </c>
      <c r="C22" s="14" t="s">
        <v>78</v>
      </c>
      <c r="D22" s="14" t="s">
        <v>118</v>
      </c>
      <c r="E22" s="14">
        <v>12</v>
      </c>
      <c r="F22" s="14" t="s">
        <v>119</v>
      </c>
      <c r="G22" s="14" t="s">
        <v>120</v>
      </c>
      <c r="H22" s="14" t="s">
        <v>121</v>
      </c>
      <c r="I22" s="14" t="s">
        <v>49</v>
      </c>
      <c r="J22" s="11" t="str">
        <f>HYPERLINK("https://www.codechef.com/problems/SNAPCHAT", "https://www.codechef.com/problems/SNAPCHAT")</f>
        <v>https://www.codechef.com/problems/SNAPCHAT</v>
      </c>
      <c r="K22" s="14"/>
      <c r="L22" s="14"/>
      <c r="M22" s="14"/>
      <c r="N22" s="14" t="s">
        <v>50</v>
      </c>
      <c r="O22" s="14" t="s">
        <v>51</v>
      </c>
    </row>
    <row r="23" spans="1:15">
      <c r="A23" s="15" t="s">
        <v>8</v>
      </c>
      <c r="B23" s="15" t="s">
        <v>77</v>
      </c>
      <c r="C23" s="15" t="s">
        <v>78</v>
      </c>
      <c r="D23" s="15" t="s">
        <v>118</v>
      </c>
      <c r="E23" s="15">
        <v>13</v>
      </c>
      <c r="F23" s="15" t="s">
        <v>122</v>
      </c>
      <c r="G23" s="15" t="s">
        <v>123</v>
      </c>
      <c r="H23" s="15" t="s">
        <v>124</v>
      </c>
      <c r="I23" s="15" t="s">
        <v>49</v>
      </c>
      <c r="J23" s="7" t="str">
        <f>HYPERLINK("https://www.codechef.com/problems/KITCHENCOST", "https://www.codechef.com/problems/KITCHENCOST")</f>
        <v>https://www.codechef.com/problems/KITCHENCOST</v>
      </c>
      <c r="K23" s="15"/>
      <c r="L23" s="15" t="s">
        <v>125</v>
      </c>
      <c r="M23" s="15"/>
      <c r="N23" s="15" t="s">
        <v>50</v>
      </c>
      <c r="O23" s="15" t="s">
        <v>51</v>
      </c>
    </row>
    <row r="24" spans="1:15">
      <c r="A24" s="14" t="s">
        <v>8</v>
      </c>
      <c r="B24" s="14" t="s">
        <v>77</v>
      </c>
      <c r="C24" s="14" t="s">
        <v>78</v>
      </c>
      <c r="D24" s="14" t="s">
        <v>118</v>
      </c>
      <c r="E24" s="14">
        <v>14</v>
      </c>
      <c r="F24" s="14" t="s">
        <v>126</v>
      </c>
      <c r="G24" s="14" t="s">
        <v>127</v>
      </c>
      <c r="H24" s="14" t="s">
        <v>128</v>
      </c>
      <c r="I24" s="14" t="s">
        <v>49</v>
      </c>
      <c r="J24" s="11" t="str">
        <f>HYPERLINK("https://www.codechef.com/problems/DISCOUNTT", "https://www.codechef.com/problems/DISCOUNTT")</f>
        <v>https://www.codechef.com/problems/DISCOUNTT</v>
      </c>
      <c r="K24" s="14"/>
      <c r="L24" s="14"/>
      <c r="M24" s="14"/>
      <c r="N24" s="14" t="s">
        <v>50</v>
      </c>
      <c r="O24" s="14" t="s">
        <v>51</v>
      </c>
    </row>
    <row r="25" spans="1:15">
      <c r="A25" s="15" t="s">
        <v>8</v>
      </c>
      <c r="B25" s="15" t="s">
        <v>77</v>
      </c>
      <c r="C25" s="15" t="s">
        <v>78</v>
      </c>
      <c r="D25" s="15" t="s">
        <v>118</v>
      </c>
      <c r="E25" s="15">
        <v>15</v>
      </c>
      <c r="F25" s="15" t="s">
        <v>129</v>
      </c>
      <c r="G25" s="15" t="s">
        <v>130</v>
      </c>
      <c r="H25" s="15" t="s">
        <v>131</v>
      </c>
      <c r="I25" s="15" t="s">
        <v>49</v>
      </c>
      <c r="J25" s="7" t="str">
        <f>HYPERLINK("https://www.codechef.com/problems/RUNCOMPARE", "https://www.codechef.com/problems/RUNCOMPARE")</f>
        <v>https://www.codechef.com/problems/RUNCOMPARE</v>
      </c>
      <c r="K25" s="15"/>
      <c r="L25" s="15"/>
      <c r="M25" s="15"/>
      <c r="N25" s="15" t="s">
        <v>50</v>
      </c>
      <c r="O25" s="15" t="s">
        <v>51</v>
      </c>
    </row>
    <row r="26" spans="1:15">
      <c r="A26" s="14" t="s">
        <v>8</v>
      </c>
      <c r="B26" s="14" t="s">
        <v>77</v>
      </c>
      <c r="C26" s="14" t="s">
        <v>78</v>
      </c>
      <c r="D26" s="14" t="s">
        <v>118</v>
      </c>
      <c r="E26" s="14">
        <v>16</v>
      </c>
      <c r="F26" s="14" t="s">
        <v>132</v>
      </c>
      <c r="G26" s="14" t="s">
        <v>133</v>
      </c>
      <c r="H26" s="14"/>
      <c r="I26" s="14" t="s">
        <v>96</v>
      </c>
      <c r="J26" s="11" t="str">
        <f>HYPERLINK("https://www.codechef.com/problems/SMLSUM", "https://www.codechef.com/problems/SMLSUM")</f>
        <v>https://www.codechef.com/problems/SMLSUM</v>
      </c>
      <c r="K26" s="14"/>
      <c r="L26" s="14"/>
      <c r="M26" s="14"/>
      <c r="N26" s="14" t="s">
        <v>50</v>
      </c>
      <c r="O26" s="14" t="s">
        <v>51</v>
      </c>
    </row>
    <row r="27" spans="1:15">
      <c r="A27" s="15" t="s">
        <v>8</v>
      </c>
      <c r="B27" s="15" t="s">
        <v>77</v>
      </c>
      <c r="C27" s="15" t="s">
        <v>78</v>
      </c>
      <c r="D27" s="15" t="s">
        <v>118</v>
      </c>
      <c r="E27" s="15">
        <v>17</v>
      </c>
      <c r="F27" s="15" t="s">
        <v>134</v>
      </c>
      <c r="G27" s="15" t="s">
        <v>135</v>
      </c>
      <c r="H27" s="15" t="s">
        <v>136</v>
      </c>
      <c r="I27" s="15" t="s">
        <v>49</v>
      </c>
      <c r="J27" s="7" t="str">
        <f>HYPERLINK("https://www.codechef.com/problems/CHEFWORK", "https://www.codechef.com/problems/CHEFWORK")</f>
        <v>https://www.codechef.com/problems/CHEFWORK</v>
      </c>
      <c r="K27" s="15"/>
      <c r="L27" s="15"/>
      <c r="M27" s="15"/>
      <c r="N27" s="15" t="s">
        <v>50</v>
      </c>
      <c r="O27" s="15" t="s">
        <v>51</v>
      </c>
    </row>
    <row r="28" spans="1:15">
      <c r="A28" s="14" t="s">
        <v>8</v>
      </c>
      <c r="B28" s="14" t="s">
        <v>77</v>
      </c>
      <c r="C28" s="14" t="s">
        <v>78</v>
      </c>
      <c r="D28" s="14" t="s">
        <v>118</v>
      </c>
      <c r="E28" s="14">
        <v>18</v>
      </c>
      <c r="F28" s="14" t="s">
        <v>137</v>
      </c>
      <c r="G28" s="14" t="s">
        <v>138</v>
      </c>
      <c r="H28" s="14" t="s">
        <v>139</v>
      </c>
      <c r="I28" s="14" t="s">
        <v>49</v>
      </c>
      <c r="J28" s="11" t="str">
        <f>HYPERLINK("https://www.codechef.com/problems/BOMBTHEBASE", "https://www.codechef.com/problems/BOMBTHEBASE")</f>
        <v>https://www.codechef.com/problems/BOMBTHEBASE</v>
      </c>
      <c r="K28" s="14"/>
      <c r="L28" s="14" t="s">
        <v>140</v>
      </c>
      <c r="M28" s="14"/>
      <c r="N28" s="14" t="s">
        <v>50</v>
      </c>
      <c r="O28" s="14" t="s">
        <v>51</v>
      </c>
    </row>
    <row r="29" spans="1:15">
      <c r="A29" s="15" t="s">
        <v>8</v>
      </c>
      <c r="B29" s="15" t="s">
        <v>77</v>
      </c>
      <c r="C29" s="15" t="s">
        <v>78</v>
      </c>
      <c r="D29" s="15" t="s">
        <v>118</v>
      </c>
      <c r="E29" s="15">
        <v>19</v>
      </c>
      <c r="F29" s="15" t="s">
        <v>141</v>
      </c>
      <c r="G29" s="15" t="s">
        <v>142</v>
      </c>
      <c r="H29" s="15" t="s">
        <v>143</v>
      </c>
      <c r="I29" s="15" t="s">
        <v>49</v>
      </c>
      <c r="J29" s="7" t="str">
        <f>HYPERLINK("https://www.codechef.com/problems/KTTABLE", "https://www.codechef.com/problems/KTTABLE")</f>
        <v>https://www.codechef.com/problems/KTTABLE</v>
      </c>
      <c r="K29" s="15"/>
      <c r="L29" s="15" t="s">
        <v>144</v>
      </c>
      <c r="M29" s="15"/>
      <c r="N29" s="15" t="s">
        <v>50</v>
      </c>
      <c r="O29" s="15" t="s">
        <v>51</v>
      </c>
    </row>
    <row r="30" spans="1:15">
      <c r="A30" s="14" t="s">
        <v>8</v>
      </c>
      <c r="B30" s="14" t="s">
        <v>77</v>
      </c>
      <c r="C30" s="14" t="s">
        <v>78</v>
      </c>
      <c r="D30" s="14" t="s">
        <v>118</v>
      </c>
      <c r="E30" s="14">
        <v>20</v>
      </c>
      <c r="F30" s="14" t="s">
        <v>145</v>
      </c>
      <c r="G30" s="14" t="s">
        <v>146</v>
      </c>
      <c r="H30" s="14" t="s">
        <v>147</v>
      </c>
      <c r="I30" s="14" t="s">
        <v>49</v>
      </c>
      <c r="J30" s="11" t="str">
        <f>HYPERLINK("https://www.codechef.com/problems/COPS", "https://www.codechef.com/problems/COPS")</f>
        <v>https://www.codechef.com/problems/COPS</v>
      </c>
      <c r="K30" s="14"/>
      <c r="L30" s="14"/>
      <c r="M30" s="14"/>
      <c r="N30" s="14" t="s">
        <v>50</v>
      </c>
      <c r="O30" s="14" t="s">
        <v>51</v>
      </c>
    </row>
    <row r="31" spans="1:15">
      <c r="A31" s="15" t="s">
        <v>8</v>
      </c>
      <c r="B31" s="15" t="s">
        <v>77</v>
      </c>
      <c r="C31" s="15" t="s">
        <v>78</v>
      </c>
      <c r="D31" s="15" t="s">
        <v>118</v>
      </c>
      <c r="E31" s="15">
        <v>21</v>
      </c>
      <c r="F31" s="15" t="s">
        <v>148</v>
      </c>
      <c r="G31" s="15" t="s">
        <v>149</v>
      </c>
      <c r="H31" s="15" t="s">
        <v>150</v>
      </c>
      <c r="I31" s="15" t="s">
        <v>49</v>
      </c>
      <c r="J31" s="7" t="str">
        <f>HYPERLINK("https://www.codechef.com/problems/PEAKINARRAY", "https://www.codechef.com/problems/PEAKINARRAY")</f>
        <v>https://www.codechef.com/problems/PEAKINARRAY</v>
      </c>
      <c r="K31" s="15"/>
      <c r="L31" s="15"/>
      <c r="M31" s="15"/>
      <c r="N31" s="15" t="s">
        <v>50</v>
      </c>
      <c r="O31" s="15" t="s">
        <v>51</v>
      </c>
    </row>
    <row r="32" spans="1:15">
      <c r="A32" s="14" t="s">
        <v>8</v>
      </c>
      <c r="B32" s="14" t="s">
        <v>77</v>
      </c>
      <c r="C32" s="14" t="s">
        <v>78</v>
      </c>
      <c r="D32" s="14" t="s">
        <v>118</v>
      </c>
      <c r="E32" s="14">
        <v>22</v>
      </c>
      <c r="F32" s="14" t="s">
        <v>151</v>
      </c>
      <c r="G32" s="14" t="s">
        <v>152</v>
      </c>
      <c r="H32" s="14" t="s">
        <v>153</v>
      </c>
      <c r="I32" s="14" t="s">
        <v>49</v>
      </c>
      <c r="J32" s="11" t="str">
        <f>HYPERLINK("https://www.codechef.com/problems/MAXCOUNT", "https://www.codechef.com/problems/MAXCOUNT")</f>
        <v>https://www.codechef.com/problems/MAXCOUNT</v>
      </c>
      <c r="K32" s="14"/>
      <c r="L32" s="14" t="s">
        <v>154</v>
      </c>
      <c r="M32" s="14"/>
      <c r="N32" s="14" t="s">
        <v>50</v>
      </c>
      <c r="O32" s="14" t="s">
        <v>51</v>
      </c>
    </row>
    <row r="33" spans="1:15">
      <c r="A33" s="15" t="s">
        <v>8</v>
      </c>
      <c r="B33" s="15" t="s">
        <v>77</v>
      </c>
      <c r="C33" s="15" t="s">
        <v>78</v>
      </c>
      <c r="D33" s="15" t="s">
        <v>118</v>
      </c>
      <c r="E33" s="15">
        <v>23</v>
      </c>
      <c r="F33" s="15" t="s">
        <v>155</v>
      </c>
      <c r="G33" s="15" t="s">
        <v>156</v>
      </c>
      <c r="H33" s="15" t="s">
        <v>157</v>
      </c>
      <c r="I33" s="15" t="s">
        <v>49</v>
      </c>
      <c r="J33" s="7" t="str">
        <f>HYPERLINK("https://www.codechef.com/problems/CNDY", "https://www.codechef.com/problems/CNDY")</f>
        <v>https://www.codechef.com/problems/CNDY</v>
      </c>
      <c r="K33" s="15"/>
      <c r="L33" s="15" t="s">
        <v>158</v>
      </c>
      <c r="M33" s="15"/>
      <c r="N33" s="15" t="s">
        <v>50</v>
      </c>
      <c r="O33" s="15" t="s">
        <v>51</v>
      </c>
    </row>
    <row r="34" spans="1:15">
      <c r="A34" s="14" t="s">
        <v>8</v>
      </c>
      <c r="B34" s="14" t="s">
        <v>77</v>
      </c>
      <c r="C34" s="14" t="s">
        <v>78</v>
      </c>
      <c r="D34" s="14" t="s">
        <v>118</v>
      </c>
      <c r="E34" s="14">
        <v>24</v>
      </c>
      <c r="F34" s="14" t="s">
        <v>159</v>
      </c>
      <c r="G34" s="14" t="s">
        <v>160</v>
      </c>
      <c r="H34" s="14"/>
      <c r="I34" s="14" t="s">
        <v>49</v>
      </c>
      <c r="J34" s="11" t="str">
        <f>HYPERLINK("https://www.codechef.com/problems/MISSINPERM", "https://www.codechef.com/problems/MISSINPERM")</f>
        <v>https://www.codechef.com/problems/MISSINPERM</v>
      </c>
      <c r="K34" s="14"/>
      <c r="L34" s="14"/>
      <c r="M34" s="14"/>
      <c r="N34" s="14" t="s">
        <v>50</v>
      </c>
      <c r="O34" s="14" t="s">
        <v>51</v>
      </c>
    </row>
    <row r="35" spans="1:15">
      <c r="A35" s="15" t="s">
        <v>8</v>
      </c>
      <c r="B35" s="15" t="s">
        <v>77</v>
      </c>
      <c r="C35" s="15" t="s">
        <v>78</v>
      </c>
      <c r="D35" s="15" t="s">
        <v>118</v>
      </c>
      <c r="E35" s="15">
        <v>25</v>
      </c>
      <c r="F35" s="15" t="s">
        <v>161</v>
      </c>
      <c r="G35" s="15" t="s">
        <v>162</v>
      </c>
      <c r="H35" s="15"/>
      <c r="I35" s="15" t="s">
        <v>96</v>
      </c>
      <c r="J35" s="7" t="str">
        <f>HYPERLINK("https://www.codechef.com/problems/SINGLENUM", "https://www.codechef.com/problems/SINGLENUM")</f>
        <v>https://www.codechef.com/problems/SINGLENUM</v>
      </c>
      <c r="K35" s="15"/>
      <c r="L35" s="15"/>
      <c r="M35" s="15"/>
      <c r="N35" s="15" t="s">
        <v>50</v>
      </c>
      <c r="O35" s="15" t="s">
        <v>51</v>
      </c>
    </row>
    <row r="36" spans="1:15">
      <c r="A36" s="14" t="s">
        <v>8</v>
      </c>
      <c r="B36" s="14" t="s">
        <v>77</v>
      </c>
      <c r="C36" s="14" t="s">
        <v>78</v>
      </c>
      <c r="D36" s="14" t="s">
        <v>118</v>
      </c>
      <c r="E36" s="14">
        <v>26</v>
      </c>
      <c r="F36" s="14" t="s">
        <v>163</v>
      </c>
      <c r="G36" s="14" t="s">
        <v>164</v>
      </c>
      <c r="H36" s="14"/>
      <c r="I36" s="14" t="s">
        <v>96</v>
      </c>
      <c r="J36" s="11" t="str">
        <f>HYPERLINK("https://www.codechef.com/problems/PREP01", "https://www.codechef.com/problems/PREP01")</f>
        <v>https://www.codechef.com/problems/PREP01</v>
      </c>
      <c r="K36" s="14"/>
      <c r="L36" s="14"/>
      <c r="M36" s="14"/>
      <c r="N36" s="14" t="s">
        <v>50</v>
      </c>
      <c r="O36" s="14" t="s">
        <v>51</v>
      </c>
    </row>
    <row r="37" spans="1:15">
      <c r="A37" s="15" t="s">
        <v>8</v>
      </c>
      <c r="B37" s="15" t="s">
        <v>77</v>
      </c>
      <c r="C37" s="15" t="s">
        <v>78</v>
      </c>
      <c r="D37" s="15" t="s">
        <v>165</v>
      </c>
      <c r="E37" s="15">
        <v>27</v>
      </c>
      <c r="F37" s="15" t="s">
        <v>166</v>
      </c>
      <c r="G37" s="15" t="s">
        <v>167</v>
      </c>
      <c r="H37" s="15"/>
      <c r="I37" s="15" t="s">
        <v>49</v>
      </c>
      <c r="J37" s="7" t="str">
        <f>HYPERLINK("https://www.codechef.com/problems/PREFPRO1", "https://www.codechef.com/problems/PREFPRO1")</f>
        <v>https://www.codechef.com/problems/PREFPRO1</v>
      </c>
      <c r="K37" s="15"/>
      <c r="L37" s="15"/>
      <c r="M37" s="15"/>
      <c r="N37" s="15" t="s">
        <v>50</v>
      </c>
      <c r="O37" s="15" t="s">
        <v>51</v>
      </c>
    </row>
    <row r="38" spans="1:15">
      <c r="A38" s="14" t="s">
        <v>8</v>
      </c>
      <c r="B38" s="14" t="s">
        <v>77</v>
      </c>
      <c r="C38" s="14" t="s">
        <v>78</v>
      </c>
      <c r="D38" s="14" t="s">
        <v>165</v>
      </c>
      <c r="E38" s="14">
        <v>28</v>
      </c>
      <c r="F38" s="14" t="s">
        <v>168</v>
      </c>
      <c r="G38" s="14" t="s">
        <v>169</v>
      </c>
      <c r="H38" s="14"/>
      <c r="I38" s="14" t="s">
        <v>96</v>
      </c>
      <c r="J38" s="11" t="str">
        <f>HYPERLINK("https://www.codechef.com/problems/PREFPRO2", "https://www.codechef.com/problems/PREFPRO2")</f>
        <v>https://www.codechef.com/problems/PREFPRO2</v>
      </c>
      <c r="K38" s="14"/>
      <c r="L38" s="14"/>
      <c r="M38" s="14"/>
      <c r="N38" s="14" t="s">
        <v>50</v>
      </c>
      <c r="O38" s="14" t="s">
        <v>51</v>
      </c>
    </row>
    <row r="39" spans="1:15">
      <c r="A39" s="15" t="s">
        <v>8</v>
      </c>
      <c r="B39" s="15" t="s">
        <v>77</v>
      </c>
      <c r="C39" s="15" t="s">
        <v>78</v>
      </c>
      <c r="D39" s="15" t="s">
        <v>165</v>
      </c>
      <c r="E39" s="15">
        <v>29</v>
      </c>
      <c r="F39" s="15" t="s">
        <v>170</v>
      </c>
      <c r="G39" s="15" t="s">
        <v>171</v>
      </c>
      <c r="H39" s="15" t="s">
        <v>172</v>
      </c>
      <c r="I39" s="15" t="s">
        <v>49</v>
      </c>
      <c r="J39" s="7" t="str">
        <f>HYPERLINK("https://www.codechef.com/problems/NUM239", "https://www.codechef.com/problems/NUM239")</f>
        <v>https://www.codechef.com/problems/NUM239</v>
      </c>
      <c r="K39" s="15"/>
      <c r="L39" s="15" t="s">
        <v>173</v>
      </c>
      <c r="M39" s="15"/>
      <c r="N39" s="15" t="s">
        <v>50</v>
      </c>
      <c r="O39" s="15" t="s">
        <v>51</v>
      </c>
    </row>
    <row r="40" spans="1:15">
      <c r="A40" s="14" t="s">
        <v>8</v>
      </c>
      <c r="B40" s="14" t="s">
        <v>77</v>
      </c>
      <c r="C40" s="14" t="s">
        <v>78</v>
      </c>
      <c r="D40" s="14" t="s">
        <v>165</v>
      </c>
      <c r="E40" s="14">
        <v>30</v>
      </c>
      <c r="F40" s="14" t="s">
        <v>174</v>
      </c>
      <c r="G40" s="14" t="s">
        <v>175</v>
      </c>
      <c r="H40" s="14" t="s">
        <v>176</v>
      </c>
      <c r="I40" s="14" t="s">
        <v>49</v>
      </c>
      <c r="J40" s="11" t="str">
        <f>HYPERLINK("https://www.codechef.com/problems/CHEFSUM", "https://www.codechef.com/problems/CHEFSUM")</f>
        <v>https://www.codechef.com/problems/CHEFSUM</v>
      </c>
      <c r="K40" s="14"/>
      <c r="L40" s="14" t="s">
        <v>177</v>
      </c>
      <c r="M40" s="14"/>
      <c r="N40" s="14" t="s">
        <v>50</v>
      </c>
      <c r="O40" s="14" t="s">
        <v>51</v>
      </c>
    </row>
    <row r="41" spans="1:15">
      <c r="A41" s="15" t="s">
        <v>8</v>
      </c>
      <c r="B41" s="15" t="s">
        <v>77</v>
      </c>
      <c r="C41" s="15" t="s">
        <v>78</v>
      </c>
      <c r="D41" s="15" t="s">
        <v>165</v>
      </c>
      <c r="E41" s="15">
        <v>31</v>
      </c>
      <c r="F41" s="15" t="s">
        <v>178</v>
      </c>
      <c r="G41" s="15" t="s">
        <v>179</v>
      </c>
      <c r="H41" s="15" t="s">
        <v>180</v>
      </c>
      <c r="I41" s="15" t="s">
        <v>49</v>
      </c>
      <c r="J41" s="7" t="str">
        <f>HYPERLINK("https://www.codechef.com/problems/PREFPRO5", "https://www.codechef.com/problems/PREFPRO5")</f>
        <v>https://www.codechef.com/problems/PREFPRO5</v>
      </c>
      <c r="K41" s="15"/>
      <c r="L41" s="15"/>
      <c r="M41" s="15"/>
      <c r="N41" s="15" t="s">
        <v>50</v>
      </c>
      <c r="O41" s="15" t="s">
        <v>51</v>
      </c>
    </row>
    <row r="42" spans="1:15">
      <c r="A42" s="14" t="s">
        <v>8</v>
      </c>
      <c r="B42" s="14" t="s">
        <v>181</v>
      </c>
      <c r="C42" s="14" t="s">
        <v>182</v>
      </c>
      <c r="D42" s="14" t="s">
        <v>183</v>
      </c>
      <c r="E42" s="14">
        <v>1</v>
      </c>
      <c r="F42" s="14" t="s">
        <v>184</v>
      </c>
      <c r="G42" s="14" t="s">
        <v>185</v>
      </c>
      <c r="H42" s="14" t="s">
        <v>186</v>
      </c>
      <c r="I42" s="14" t="s">
        <v>49</v>
      </c>
      <c r="J42" s="11" t="str">
        <f>HYPERLINK("https://www.codechef.com/problems/FIT", "https://www.codechef.com/problems/FIT")</f>
        <v>https://www.codechef.com/problems/FIT</v>
      </c>
      <c r="K42" s="14"/>
      <c r="L42" s="14" t="s">
        <v>187</v>
      </c>
      <c r="M42" s="14"/>
      <c r="N42" s="14" t="s">
        <v>50</v>
      </c>
      <c r="O42" s="14" t="s">
        <v>51</v>
      </c>
    </row>
    <row r="43" spans="1:15">
      <c r="A43" s="15" t="s">
        <v>8</v>
      </c>
      <c r="B43" s="15" t="s">
        <v>181</v>
      </c>
      <c r="C43" s="15" t="s">
        <v>182</v>
      </c>
      <c r="D43" s="15" t="s">
        <v>183</v>
      </c>
      <c r="E43" s="15">
        <v>2</v>
      </c>
      <c r="F43" s="15" t="s">
        <v>188</v>
      </c>
      <c r="G43" s="15" t="s">
        <v>189</v>
      </c>
      <c r="H43" s="15" t="s">
        <v>190</v>
      </c>
      <c r="I43" s="15" t="s">
        <v>49</v>
      </c>
      <c r="J43" s="7" t="str">
        <f>HYPERLINK("https://www.codechef.com/problems/SNDMAX", "https://www.codechef.com/problems/SNDMAX")</f>
        <v>https://www.codechef.com/problems/SNDMAX</v>
      </c>
      <c r="K43" s="15"/>
      <c r="L43" s="15"/>
      <c r="M43" s="15"/>
      <c r="N43" s="15" t="s">
        <v>50</v>
      </c>
      <c r="O43" s="15" t="s">
        <v>51</v>
      </c>
    </row>
    <row r="44" spans="1:15">
      <c r="A44" s="14" t="s">
        <v>8</v>
      </c>
      <c r="B44" s="14" t="s">
        <v>181</v>
      </c>
      <c r="C44" s="14" t="s">
        <v>182</v>
      </c>
      <c r="D44" s="14" t="s">
        <v>183</v>
      </c>
      <c r="E44" s="14">
        <v>3</v>
      </c>
      <c r="F44" s="14" t="s">
        <v>191</v>
      </c>
      <c r="G44" s="14" t="s">
        <v>192</v>
      </c>
      <c r="H44" s="14" t="s">
        <v>193</v>
      </c>
      <c r="I44" s="14" t="s">
        <v>49</v>
      </c>
      <c r="J44" s="11" t="str">
        <f>HYPERLINK("https://www.codechef.com/problems/CCHOCOLATES", "https://www.codechef.com/problems/CCHOCOLATES")</f>
        <v>https://www.codechef.com/problems/CCHOCOLATES</v>
      </c>
      <c r="K44" s="14"/>
      <c r="L44" s="14" t="s">
        <v>194</v>
      </c>
      <c r="M44" s="14"/>
      <c r="N44" s="14" t="s">
        <v>50</v>
      </c>
      <c r="O44" s="14" t="s">
        <v>51</v>
      </c>
    </row>
    <row r="45" spans="1:15">
      <c r="A45" s="15" t="s">
        <v>8</v>
      </c>
      <c r="B45" s="15" t="s">
        <v>181</v>
      </c>
      <c r="C45" s="15" t="s">
        <v>182</v>
      </c>
      <c r="D45" s="15" t="s">
        <v>183</v>
      </c>
      <c r="E45" s="15">
        <v>4</v>
      </c>
      <c r="F45" s="15" t="s">
        <v>195</v>
      </c>
      <c r="G45" s="15" t="s">
        <v>196</v>
      </c>
      <c r="H45" s="15" t="s">
        <v>197</v>
      </c>
      <c r="I45" s="15" t="s">
        <v>49</v>
      </c>
      <c r="J45" s="7" t="str">
        <f>HYPERLINK("https://www.codechef.com/problems/FLOW002", "https://www.codechef.com/problems/FLOW002")</f>
        <v>https://www.codechef.com/problems/FLOW002</v>
      </c>
      <c r="K45" s="15"/>
      <c r="L45" s="15" t="s">
        <v>198</v>
      </c>
      <c r="M45" s="15"/>
      <c r="N45" s="15" t="s">
        <v>50</v>
      </c>
      <c r="O45" s="15" t="s">
        <v>51</v>
      </c>
    </row>
    <row r="46" spans="1:15">
      <c r="A46" s="14" t="s">
        <v>8</v>
      </c>
      <c r="B46" s="14" t="s">
        <v>181</v>
      </c>
      <c r="C46" s="14" t="s">
        <v>182</v>
      </c>
      <c r="D46" s="14" t="s">
        <v>183</v>
      </c>
      <c r="E46" s="14">
        <v>5</v>
      </c>
      <c r="F46" s="14" t="s">
        <v>199</v>
      </c>
      <c r="G46" s="14" t="s">
        <v>200</v>
      </c>
      <c r="H46" s="14" t="s">
        <v>201</v>
      </c>
      <c r="I46" s="14" t="s">
        <v>49</v>
      </c>
      <c r="J46" s="11" t="str">
        <f>HYPERLINK("https://www.codechef.com/problems/CANDYSTORE", "https://www.codechef.com/problems/CANDYSTORE")</f>
        <v>https://www.codechef.com/problems/CANDYSTORE</v>
      </c>
      <c r="K46" s="14"/>
      <c r="L46" s="14" t="s">
        <v>202</v>
      </c>
      <c r="M46" s="14"/>
      <c r="N46" s="14" t="s">
        <v>50</v>
      </c>
      <c r="O46" s="14" t="s">
        <v>51</v>
      </c>
    </row>
    <row r="47" spans="1:15">
      <c r="A47" s="15" t="s">
        <v>8</v>
      </c>
      <c r="B47" s="15" t="s">
        <v>181</v>
      </c>
      <c r="C47" s="15" t="s">
        <v>182</v>
      </c>
      <c r="D47" s="15" t="s">
        <v>183</v>
      </c>
      <c r="E47" s="15">
        <v>6</v>
      </c>
      <c r="F47" s="15" t="s">
        <v>203</v>
      </c>
      <c r="G47" s="15" t="s">
        <v>204</v>
      </c>
      <c r="H47" s="15" t="s">
        <v>205</v>
      </c>
      <c r="I47" s="15" t="s">
        <v>49</v>
      </c>
      <c r="J47" s="7" t="str">
        <f>HYPERLINK("https://www.codechef.com/problems/SCALENE", "https://www.codechef.com/problems/SCALENE")</f>
        <v>https://www.codechef.com/problems/SCALENE</v>
      </c>
      <c r="K47" s="15"/>
      <c r="L47" s="15"/>
      <c r="M47" s="15"/>
      <c r="N47" s="15" t="s">
        <v>50</v>
      </c>
      <c r="O47" s="15" t="s">
        <v>51</v>
      </c>
    </row>
    <row r="48" spans="1:15">
      <c r="A48" s="14" t="s">
        <v>8</v>
      </c>
      <c r="B48" s="14" t="s">
        <v>181</v>
      </c>
      <c r="C48" s="14" t="s">
        <v>182</v>
      </c>
      <c r="D48" s="14" t="s">
        <v>183</v>
      </c>
      <c r="E48" s="14">
        <v>7</v>
      </c>
      <c r="F48" s="14" t="s">
        <v>206</v>
      </c>
      <c r="G48" s="14" t="s">
        <v>207</v>
      </c>
      <c r="H48" s="14" t="s">
        <v>208</v>
      </c>
      <c r="I48" s="14" t="s">
        <v>49</v>
      </c>
      <c r="J48" s="11" t="str">
        <f>HYPERLINK("https://www.codechef.com/problems/FLOW006", "https://www.codechef.com/problems/FLOW006")</f>
        <v>https://www.codechef.com/problems/FLOW006</v>
      </c>
      <c r="K48" s="14"/>
      <c r="L48" s="14" t="s">
        <v>209</v>
      </c>
      <c r="M48" s="14"/>
      <c r="N48" s="14" t="s">
        <v>50</v>
      </c>
      <c r="O48" s="14" t="s">
        <v>51</v>
      </c>
    </row>
    <row r="49" spans="1:15">
      <c r="A49" s="15" t="s">
        <v>8</v>
      </c>
      <c r="B49" s="15" t="s">
        <v>181</v>
      </c>
      <c r="C49" s="15" t="s">
        <v>182</v>
      </c>
      <c r="D49" s="15" t="s">
        <v>183</v>
      </c>
      <c r="E49" s="15">
        <v>8</v>
      </c>
      <c r="F49" s="15" t="s">
        <v>210</v>
      </c>
      <c r="G49" s="15" t="s">
        <v>211</v>
      </c>
      <c r="H49" s="15" t="s">
        <v>212</v>
      </c>
      <c r="I49" s="15" t="s">
        <v>49</v>
      </c>
      <c r="J49" s="7" t="str">
        <f>HYPERLINK("https://www.codechef.com/problems/FAVOURITENUM", "https://www.codechef.com/problems/FAVOURITENUM")</f>
        <v>https://www.codechef.com/problems/FAVOURITENUM</v>
      </c>
      <c r="K49" s="15"/>
      <c r="L49" s="15" t="s">
        <v>213</v>
      </c>
      <c r="M49" s="15"/>
      <c r="N49" s="15" t="s">
        <v>50</v>
      </c>
      <c r="O49" s="15" t="s">
        <v>51</v>
      </c>
    </row>
    <row r="50" spans="1:15">
      <c r="A50" s="14" t="s">
        <v>8</v>
      </c>
      <c r="B50" s="14" t="s">
        <v>181</v>
      </c>
      <c r="C50" s="14" t="s">
        <v>182</v>
      </c>
      <c r="D50" s="14" t="s">
        <v>214</v>
      </c>
      <c r="E50" s="14">
        <v>9</v>
      </c>
      <c r="F50" s="14" t="s">
        <v>215</v>
      </c>
      <c r="G50" s="14" t="s">
        <v>216</v>
      </c>
      <c r="H50" s="14" t="s">
        <v>217</v>
      </c>
      <c r="I50" s="14" t="s">
        <v>49</v>
      </c>
      <c r="J50" s="11" t="str">
        <f>HYPERLINK("https://www.codechef.com/problems/TESTAVG", "https://www.codechef.com/problems/TESTAVG")</f>
        <v>https://www.codechef.com/problems/TESTAVG</v>
      </c>
      <c r="K50" s="14"/>
      <c r="L50" s="14"/>
      <c r="M50" s="14"/>
      <c r="N50" s="14" t="s">
        <v>50</v>
      </c>
      <c r="O50" s="14" t="s">
        <v>51</v>
      </c>
    </row>
    <row r="51" spans="1:15">
      <c r="A51" s="15" t="s">
        <v>8</v>
      </c>
      <c r="B51" s="15" t="s">
        <v>181</v>
      </c>
      <c r="C51" s="15" t="s">
        <v>182</v>
      </c>
      <c r="D51" s="15" t="s">
        <v>214</v>
      </c>
      <c r="E51" s="15">
        <v>10</v>
      </c>
      <c r="F51" s="15" t="s">
        <v>218</v>
      </c>
      <c r="G51" s="15" t="s">
        <v>219</v>
      </c>
      <c r="H51" s="15" t="s">
        <v>220</v>
      </c>
      <c r="I51" s="15" t="s">
        <v>49</v>
      </c>
      <c r="J51" s="7" t="str">
        <f>HYPERLINK("https://www.codechef.com/problems/SEVENRINGS", "https://www.codechef.com/problems/SEVENRINGS")</f>
        <v>https://www.codechef.com/problems/SEVENRINGS</v>
      </c>
      <c r="K51" s="15"/>
      <c r="L51" s="15"/>
      <c r="M51" s="15"/>
      <c r="N51" s="15" t="s">
        <v>50</v>
      </c>
      <c r="O51" s="15" t="s">
        <v>51</v>
      </c>
    </row>
    <row r="52" spans="1:15">
      <c r="A52" s="14" t="s">
        <v>8</v>
      </c>
      <c r="B52" s="14" t="s">
        <v>181</v>
      </c>
      <c r="C52" s="14" t="s">
        <v>182</v>
      </c>
      <c r="D52" s="14" t="s">
        <v>214</v>
      </c>
      <c r="E52" s="14">
        <v>11</v>
      </c>
      <c r="F52" s="14" t="s">
        <v>221</v>
      </c>
      <c r="G52" s="14" t="s">
        <v>222</v>
      </c>
      <c r="H52" s="14" t="s">
        <v>223</v>
      </c>
      <c r="I52" s="14" t="s">
        <v>49</v>
      </c>
      <c r="J52" s="11" t="str">
        <f>HYPERLINK("https://www.codechef.com/problems/MAKEAP", "https://www.codechef.com/problems/MAKEAP")</f>
        <v>https://www.codechef.com/problems/MAKEAP</v>
      </c>
      <c r="K52" s="14"/>
      <c r="L52" s="14"/>
      <c r="M52" s="14"/>
      <c r="N52" s="14" t="s">
        <v>50</v>
      </c>
      <c r="O52" s="14" t="s">
        <v>51</v>
      </c>
    </row>
    <row r="53" spans="1:15">
      <c r="A53" s="15" t="s">
        <v>8</v>
      </c>
      <c r="B53" s="15" t="s">
        <v>181</v>
      </c>
      <c r="C53" s="15" t="s">
        <v>182</v>
      </c>
      <c r="D53" s="15" t="s">
        <v>214</v>
      </c>
      <c r="E53" s="15">
        <v>12</v>
      </c>
      <c r="F53" s="15" t="s">
        <v>224</v>
      </c>
      <c r="G53" s="15" t="s">
        <v>225</v>
      </c>
      <c r="H53" s="15" t="s">
        <v>226</v>
      </c>
      <c r="I53" s="15" t="s">
        <v>49</v>
      </c>
      <c r="J53" s="7" t="str">
        <f>HYPERLINK("https://www.codechef.com/problems/SUMNEQ", "https://www.codechef.com/problems/SUMNEQ")</f>
        <v>https://www.codechef.com/problems/SUMNEQ</v>
      </c>
      <c r="K53" s="15"/>
      <c r="L53" s="15"/>
      <c r="M53" s="15"/>
      <c r="N53" s="15" t="s">
        <v>50</v>
      </c>
      <c r="O53" s="15" t="s">
        <v>51</v>
      </c>
    </row>
    <row r="54" spans="1:15">
      <c r="A54" s="14" t="s">
        <v>8</v>
      </c>
      <c r="B54" s="14" t="s">
        <v>181</v>
      </c>
      <c r="C54" s="14" t="s">
        <v>182</v>
      </c>
      <c r="D54" s="14" t="s">
        <v>214</v>
      </c>
      <c r="E54" s="14">
        <v>13</v>
      </c>
      <c r="F54" s="14" t="s">
        <v>227</v>
      </c>
      <c r="G54" s="14" t="s">
        <v>228</v>
      </c>
      <c r="H54" s="14" t="s">
        <v>229</v>
      </c>
      <c r="I54" s="14" t="s">
        <v>49</v>
      </c>
      <c r="J54" s="11" t="str">
        <f>HYPERLINK("https://www.codechef.com/problems/MINNOO", "https://www.codechef.com/problems/MINNOO")</f>
        <v>https://www.codechef.com/problems/MINNOO</v>
      </c>
      <c r="K54" s="14"/>
      <c r="L54" s="14"/>
      <c r="M54" s="14"/>
      <c r="N54" s="14" t="s">
        <v>50</v>
      </c>
      <c r="O54" s="14" t="s">
        <v>51</v>
      </c>
    </row>
    <row r="55" spans="1:15">
      <c r="A55" s="15" t="s">
        <v>8</v>
      </c>
      <c r="B55" s="15" t="s">
        <v>181</v>
      </c>
      <c r="C55" s="15" t="s">
        <v>182</v>
      </c>
      <c r="D55" s="15" t="s">
        <v>214</v>
      </c>
      <c r="E55" s="15">
        <v>14</v>
      </c>
      <c r="F55" s="15" t="s">
        <v>230</v>
      </c>
      <c r="G55" s="15" t="s">
        <v>231</v>
      </c>
      <c r="H55" s="15" t="s">
        <v>232</v>
      </c>
      <c r="I55" s="15" t="s">
        <v>49</v>
      </c>
      <c r="J55" s="7" t="str">
        <f>HYPERLINK("https://www.codechef.com/problems/NEGPROD", "https://www.codechef.com/problems/NEGPROD")</f>
        <v>https://www.codechef.com/problems/NEGPROD</v>
      </c>
      <c r="K55" s="15"/>
      <c r="L55" s="15"/>
      <c r="M55" s="15"/>
      <c r="N55" s="15" t="s">
        <v>50</v>
      </c>
      <c r="O55" s="15" t="s">
        <v>51</v>
      </c>
    </row>
    <row r="56" spans="1:15">
      <c r="A56" s="14" t="s">
        <v>8</v>
      </c>
      <c r="B56" s="14" t="s">
        <v>181</v>
      </c>
      <c r="C56" s="14" t="s">
        <v>182</v>
      </c>
      <c r="D56" s="14" t="s">
        <v>214</v>
      </c>
      <c r="E56" s="14">
        <v>15</v>
      </c>
      <c r="F56" s="14" t="s">
        <v>233</v>
      </c>
      <c r="G56" s="14" t="s">
        <v>234</v>
      </c>
      <c r="H56" s="14" t="s">
        <v>235</v>
      </c>
      <c r="I56" s="14" t="s">
        <v>49</v>
      </c>
      <c r="J56" s="11" t="str">
        <f>HYPERLINK("https://www.codechef.com/problems/FLOW016", "https://www.codechef.com/problems/FLOW016")</f>
        <v>https://www.codechef.com/problems/FLOW016</v>
      </c>
      <c r="K56" s="14"/>
      <c r="L56" s="14"/>
      <c r="M56" s="14"/>
      <c r="N56" s="14" t="s">
        <v>50</v>
      </c>
      <c r="O56" s="14" t="s">
        <v>51</v>
      </c>
    </row>
    <row r="57" spans="1:15">
      <c r="A57" s="15" t="s">
        <v>8</v>
      </c>
      <c r="B57" s="15" t="s">
        <v>181</v>
      </c>
      <c r="C57" s="15" t="s">
        <v>182</v>
      </c>
      <c r="D57" s="15" t="s">
        <v>214</v>
      </c>
      <c r="E57" s="15">
        <v>16</v>
      </c>
      <c r="F57" s="15" t="s">
        <v>236</v>
      </c>
      <c r="G57" s="15" t="s">
        <v>237</v>
      </c>
      <c r="H57" s="15" t="s">
        <v>238</v>
      </c>
      <c r="I57" s="15" t="s">
        <v>49</v>
      </c>
      <c r="J57" s="7" t="str">
        <f>HYPERLINK("https://www.codechef.com/problems/EQUALISE", "https://www.codechef.com/problems/EQUALISE")</f>
        <v>https://www.codechef.com/problems/EQUALISE</v>
      </c>
      <c r="K57" s="15"/>
      <c r="L57" s="15" t="s">
        <v>239</v>
      </c>
      <c r="M57" s="15"/>
      <c r="N57" s="15" t="s">
        <v>50</v>
      </c>
      <c r="O57" s="15" t="s">
        <v>51</v>
      </c>
    </row>
    <row r="58" spans="1:15">
      <c r="A58" s="14" t="s">
        <v>8</v>
      </c>
      <c r="B58" s="14" t="s">
        <v>181</v>
      </c>
      <c r="C58" s="14" t="s">
        <v>182</v>
      </c>
      <c r="D58" s="14" t="s">
        <v>214</v>
      </c>
      <c r="E58" s="14">
        <v>17</v>
      </c>
      <c r="F58" s="14" t="s">
        <v>240</v>
      </c>
      <c r="G58" s="14" t="s">
        <v>241</v>
      </c>
      <c r="H58" s="14" t="s">
        <v>242</v>
      </c>
      <c r="I58" s="14" t="s">
        <v>49</v>
      </c>
      <c r="J58" s="11" t="str">
        <f>HYPERLINK("https://www.codechef.com/problems/CONN", "https://www.codechef.com/problems/CONN")</f>
        <v>https://www.codechef.com/problems/CONN</v>
      </c>
      <c r="K58" s="14"/>
      <c r="L58" s="14" t="s">
        <v>194</v>
      </c>
      <c r="M58" s="14"/>
      <c r="N58" s="14" t="s">
        <v>50</v>
      </c>
      <c r="O58" s="14" t="s">
        <v>51</v>
      </c>
    </row>
    <row r="59" spans="1:15">
      <c r="A59" s="15" t="s">
        <v>8</v>
      </c>
      <c r="B59" s="15" t="s">
        <v>181</v>
      </c>
      <c r="C59" s="15" t="s">
        <v>182</v>
      </c>
      <c r="D59" s="15" t="s">
        <v>214</v>
      </c>
      <c r="E59" s="15">
        <v>18</v>
      </c>
      <c r="F59" s="15" t="s">
        <v>243</v>
      </c>
      <c r="G59" s="15" t="s">
        <v>244</v>
      </c>
      <c r="H59" s="15" t="s">
        <v>245</v>
      </c>
      <c r="I59" s="15" t="s">
        <v>49</v>
      </c>
      <c r="J59" s="7" t="str">
        <f>HYPERLINK("https://www.codechef.com/problems/ALTERADD", "https://www.codechef.com/problems/ALTERADD")</f>
        <v>https://www.codechef.com/problems/ALTERADD</v>
      </c>
      <c r="K59" s="15"/>
      <c r="L59" s="15" t="s">
        <v>194</v>
      </c>
      <c r="M59" s="15"/>
      <c r="N59" s="15" t="s">
        <v>50</v>
      </c>
      <c r="O59" s="15" t="s">
        <v>51</v>
      </c>
    </row>
    <row r="60" spans="1:15">
      <c r="A60" s="14" t="s">
        <v>8</v>
      </c>
      <c r="B60" s="14" t="s">
        <v>181</v>
      </c>
      <c r="C60" s="14" t="s">
        <v>182</v>
      </c>
      <c r="D60" s="14" t="s">
        <v>214</v>
      </c>
      <c r="E60" s="14">
        <v>19</v>
      </c>
      <c r="F60" s="14" t="s">
        <v>246</v>
      </c>
      <c r="G60" s="14" t="s">
        <v>247</v>
      </c>
      <c r="H60" s="14" t="s">
        <v>248</v>
      </c>
      <c r="I60" s="14" t="s">
        <v>49</v>
      </c>
      <c r="J60" s="11" t="str">
        <f>HYPERLINK("https://www.codechef.com/problems/RECTSQ", "https://www.codechef.com/problems/RECTSQ")</f>
        <v>https://www.codechef.com/problems/RECTSQ</v>
      </c>
      <c r="K60" s="14"/>
      <c r="L60" s="14"/>
      <c r="M60" s="14"/>
      <c r="N60" s="14" t="s">
        <v>50</v>
      </c>
      <c r="O60" s="14" t="s">
        <v>51</v>
      </c>
    </row>
    <row r="61" spans="1:15">
      <c r="A61" s="15" t="s">
        <v>8</v>
      </c>
      <c r="B61" s="15" t="s">
        <v>181</v>
      </c>
      <c r="C61" s="15" t="s">
        <v>182</v>
      </c>
      <c r="D61" s="15" t="s">
        <v>214</v>
      </c>
      <c r="E61" s="15">
        <v>20</v>
      </c>
      <c r="F61" s="15" t="s">
        <v>249</v>
      </c>
      <c r="G61" s="15" t="s">
        <v>250</v>
      </c>
      <c r="H61" s="15" t="s">
        <v>248</v>
      </c>
      <c r="I61" s="15" t="s">
        <v>49</v>
      </c>
      <c r="J61" s="7" t="str">
        <f>HYPERLINK("https://www.codechef.com/problems/TWOVSTEN", "https://www.codechef.com/problems/TWOVSTEN")</f>
        <v>https://www.codechef.com/problems/TWOVSTEN</v>
      </c>
      <c r="K61" s="15"/>
      <c r="L61" s="15"/>
      <c r="M61" s="15"/>
      <c r="N61" s="15" t="s">
        <v>50</v>
      </c>
      <c r="O61" s="15" t="s">
        <v>51</v>
      </c>
    </row>
    <row r="62" spans="1:15">
      <c r="A62" s="14" t="s">
        <v>8</v>
      </c>
      <c r="B62" s="14" t="s">
        <v>181</v>
      </c>
      <c r="C62" s="14" t="s">
        <v>182</v>
      </c>
      <c r="D62" s="14" t="s">
        <v>214</v>
      </c>
      <c r="E62" s="14">
        <v>21</v>
      </c>
      <c r="F62" s="14" t="s">
        <v>251</v>
      </c>
      <c r="G62" s="14" t="s">
        <v>252</v>
      </c>
      <c r="H62" s="14" t="s">
        <v>253</v>
      </c>
      <c r="I62" s="14" t="s">
        <v>49</v>
      </c>
      <c r="J62" s="11" t="str">
        <f>HYPERLINK("https://www.codechef.com/problems/PPSUM", "https://www.codechef.com/problems/PPSUM")</f>
        <v>https://www.codechef.com/problems/PPSUM</v>
      </c>
      <c r="K62" s="14"/>
      <c r="L62" s="14" t="s">
        <v>254</v>
      </c>
      <c r="M62" s="14"/>
      <c r="N62" s="14" t="s">
        <v>50</v>
      </c>
      <c r="O62" s="14" t="s">
        <v>51</v>
      </c>
    </row>
    <row r="63" spans="1:15">
      <c r="A63" s="15" t="s">
        <v>8</v>
      </c>
      <c r="B63" s="15" t="s">
        <v>181</v>
      </c>
      <c r="C63" s="15" t="s">
        <v>182</v>
      </c>
      <c r="D63" s="15" t="s">
        <v>214</v>
      </c>
      <c r="E63" s="15">
        <v>22</v>
      </c>
      <c r="F63" s="15" t="s">
        <v>255</v>
      </c>
      <c r="G63" s="15" t="s">
        <v>256</v>
      </c>
      <c r="H63" s="15" t="s">
        <v>257</v>
      </c>
      <c r="I63" s="15" t="s">
        <v>49</v>
      </c>
      <c r="J63" s="7" t="str">
        <f>HYPERLINK("https://www.codechef.com/problems/MODULO3", "https://www.codechef.com/problems/MODULO3")</f>
        <v>https://www.codechef.com/problems/MODULO3</v>
      </c>
      <c r="K63" s="15"/>
      <c r="L63" s="15"/>
      <c r="M63" s="15"/>
      <c r="N63" s="15" t="s">
        <v>50</v>
      </c>
      <c r="O63" s="15" t="s">
        <v>51</v>
      </c>
    </row>
    <row r="64" spans="1:15">
      <c r="A64" s="14" t="s">
        <v>8</v>
      </c>
      <c r="B64" s="14" t="s">
        <v>181</v>
      </c>
      <c r="C64" s="14" t="s">
        <v>182</v>
      </c>
      <c r="D64" s="14" t="s">
        <v>214</v>
      </c>
      <c r="E64" s="14">
        <v>23</v>
      </c>
      <c r="F64" s="14" t="s">
        <v>258</v>
      </c>
      <c r="G64" s="14" t="s">
        <v>259</v>
      </c>
      <c r="H64" s="14" t="s">
        <v>260</v>
      </c>
      <c r="I64" s="14" t="s">
        <v>49</v>
      </c>
      <c r="J64" s="11" t="str">
        <f>HYPERLINK("https://www.codechef.com/problems/BALLBOX", "https://www.codechef.com/problems/BALLBOX")</f>
        <v>https://www.codechef.com/problems/BALLBOX</v>
      </c>
      <c r="K64" s="14"/>
      <c r="L64" s="14" t="s">
        <v>194</v>
      </c>
      <c r="M64" s="14"/>
      <c r="N64" s="14" t="s">
        <v>50</v>
      </c>
      <c r="O64" s="14" t="s">
        <v>51</v>
      </c>
    </row>
    <row r="65" spans="1:15">
      <c r="A65" s="15" t="s">
        <v>8</v>
      </c>
      <c r="B65" s="15" t="s">
        <v>261</v>
      </c>
      <c r="C65" s="15" t="s">
        <v>262</v>
      </c>
      <c r="D65" s="15" t="s">
        <v>263</v>
      </c>
      <c r="E65" s="15">
        <v>1</v>
      </c>
      <c r="F65" s="15" t="s">
        <v>264</v>
      </c>
      <c r="G65" s="15" t="s">
        <v>265</v>
      </c>
      <c r="H65" s="15" t="s">
        <v>266</v>
      </c>
      <c r="I65" s="15" t="s">
        <v>49</v>
      </c>
      <c r="J65" s="7" t="str">
        <f>HYPERLINK("https://www.codechef.com/problems/TSORT", "https://www.codechef.com/problems/TSORT")</f>
        <v>https://www.codechef.com/problems/TSORT</v>
      </c>
      <c r="K65" s="15"/>
      <c r="L65" s="15"/>
      <c r="M65" s="15"/>
      <c r="N65" s="15" t="s">
        <v>50</v>
      </c>
      <c r="O65" s="15" t="s">
        <v>51</v>
      </c>
    </row>
    <row r="66" spans="1:15">
      <c r="A66" s="14" t="s">
        <v>8</v>
      </c>
      <c r="B66" s="14" t="s">
        <v>261</v>
      </c>
      <c r="C66" s="14" t="s">
        <v>262</v>
      </c>
      <c r="D66" s="14" t="s">
        <v>263</v>
      </c>
      <c r="E66" s="14">
        <v>2</v>
      </c>
      <c r="F66" s="14" t="s">
        <v>267</v>
      </c>
      <c r="G66" s="14" t="s">
        <v>268</v>
      </c>
      <c r="H66" s="14" t="s">
        <v>269</v>
      </c>
      <c r="I66" s="14" t="s">
        <v>49</v>
      </c>
      <c r="J66" s="11" t="str">
        <f>HYPERLINK("https://www.codechef.com/problems/SIMPSTAT", "https://www.codechef.com/problems/SIMPSTAT")</f>
        <v>https://www.codechef.com/problems/SIMPSTAT</v>
      </c>
      <c r="K66" s="14"/>
      <c r="L66" s="14"/>
      <c r="M66" s="14"/>
      <c r="N66" s="14" t="s">
        <v>50</v>
      </c>
      <c r="O66" s="14" t="s">
        <v>51</v>
      </c>
    </row>
    <row r="67" spans="1:15">
      <c r="A67" s="15" t="s">
        <v>8</v>
      </c>
      <c r="B67" s="15" t="s">
        <v>261</v>
      </c>
      <c r="C67" s="15" t="s">
        <v>262</v>
      </c>
      <c r="D67" s="15" t="s">
        <v>263</v>
      </c>
      <c r="E67" s="15">
        <v>3</v>
      </c>
      <c r="F67" s="15" t="s">
        <v>270</v>
      </c>
      <c r="G67" s="15" t="s">
        <v>271</v>
      </c>
      <c r="H67" s="15" t="s">
        <v>272</v>
      </c>
      <c r="I67" s="15" t="s">
        <v>49</v>
      </c>
      <c r="J67" s="7" t="str">
        <f>HYPERLINK("https://www.codechef.com/problems/HORSES", "https://www.codechef.com/problems/HORSES")</f>
        <v>https://www.codechef.com/problems/HORSES</v>
      </c>
      <c r="K67" s="15"/>
      <c r="L67" s="15" t="s">
        <v>273</v>
      </c>
      <c r="M67" s="15"/>
      <c r="N67" s="15" t="s">
        <v>50</v>
      </c>
      <c r="O67" s="15" t="s">
        <v>51</v>
      </c>
    </row>
    <row r="68" spans="1:15">
      <c r="A68" s="14" t="s">
        <v>8</v>
      </c>
      <c r="B68" s="14" t="s">
        <v>261</v>
      </c>
      <c r="C68" s="14" t="s">
        <v>262</v>
      </c>
      <c r="D68" s="14" t="s">
        <v>263</v>
      </c>
      <c r="E68" s="14">
        <v>4</v>
      </c>
      <c r="F68" s="14" t="s">
        <v>274</v>
      </c>
      <c r="G68" s="14" t="s">
        <v>275</v>
      </c>
      <c r="H68" s="14" t="s">
        <v>276</v>
      </c>
      <c r="I68" s="14" t="s">
        <v>49</v>
      </c>
      <c r="J68" s="11" t="str">
        <f>HYPERLINK("https://www.codechef.com/problems/DSCPPAS266", "https://www.codechef.com/problems/DSCPPAS266")</f>
        <v>https://www.codechef.com/problems/DSCPPAS266</v>
      </c>
      <c r="K68" s="14"/>
      <c r="L68" s="14" t="s">
        <v>277</v>
      </c>
      <c r="M68" s="14"/>
      <c r="N68" s="14" t="s">
        <v>50</v>
      </c>
      <c r="O68" s="14" t="s">
        <v>51</v>
      </c>
    </row>
    <row r="69" spans="1:15">
      <c r="A69" s="15" t="s">
        <v>8</v>
      </c>
      <c r="B69" s="15" t="s">
        <v>261</v>
      </c>
      <c r="C69" s="15" t="s">
        <v>262</v>
      </c>
      <c r="D69" s="15" t="s">
        <v>278</v>
      </c>
      <c r="E69" s="15">
        <v>5</v>
      </c>
      <c r="F69" s="15" t="s">
        <v>279</v>
      </c>
      <c r="G69" s="15" t="s">
        <v>280</v>
      </c>
      <c r="H69" s="15" t="s">
        <v>281</v>
      </c>
      <c r="I69" s="15" t="s">
        <v>49</v>
      </c>
      <c r="J69" s="7" t="str">
        <f>HYPERLINK("https://www.codechef.com/problems/MAXDIFF", "https://www.codechef.com/problems/MAXDIFF")</f>
        <v>https://www.codechef.com/problems/MAXDIFF</v>
      </c>
      <c r="K69" s="15"/>
      <c r="L69" s="15"/>
      <c r="M69" s="15"/>
      <c r="N69" s="15" t="s">
        <v>50</v>
      </c>
      <c r="O69" s="15" t="s">
        <v>51</v>
      </c>
    </row>
    <row r="70" spans="1:15">
      <c r="A70" s="14" t="s">
        <v>8</v>
      </c>
      <c r="B70" s="14" t="s">
        <v>261</v>
      </c>
      <c r="C70" s="14" t="s">
        <v>262</v>
      </c>
      <c r="D70" s="14" t="s">
        <v>278</v>
      </c>
      <c r="E70" s="14">
        <v>6</v>
      </c>
      <c r="F70" s="14" t="s">
        <v>282</v>
      </c>
      <c r="G70" s="14" t="s">
        <v>283</v>
      </c>
      <c r="H70" s="14" t="s">
        <v>284</v>
      </c>
      <c r="I70" s="14" t="s">
        <v>49</v>
      </c>
      <c r="J70" s="11" t="str">
        <f>HYPERLINK("https://www.codechef.com/problems/AMMEAT", "https://www.codechef.com/problems/AMMEAT")</f>
        <v>https://www.codechef.com/problems/AMMEAT</v>
      </c>
      <c r="K70" s="14"/>
      <c r="L70" s="14" t="s">
        <v>285</v>
      </c>
      <c r="M70" s="14"/>
      <c r="N70" s="14" t="s">
        <v>50</v>
      </c>
      <c r="O70" s="14" t="s">
        <v>51</v>
      </c>
    </row>
    <row r="71" spans="1:15">
      <c r="A71" s="15" t="s">
        <v>8</v>
      </c>
      <c r="B71" s="15" t="s">
        <v>261</v>
      </c>
      <c r="C71" s="15" t="s">
        <v>262</v>
      </c>
      <c r="D71" s="15" t="s">
        <v>278</v>
      </c>
      <c r="E71" s="15">
        <v>7</v>
      </c>
      <c r="F71" s="15" t="s">
        <v>286</v>
      </c>
      <c r="G71" s="15" t="s">
        <v>287</v>
      </c>
      <c r="H71" s="15" t="s">
        <v>288</v>
      </c>
      <c r="I71" s="15" t="s">
        <v>96</v>
      </c>
      <c r="J71" s="7" t="str">
        <f>HYPERLINK("https://www.codechef.com/problems/CHEFA", "https://www.codechef.com/problems/CHEFA")</f>
        <v>https://www.codechef.com/problems/CHEFA</v>
      </c>
      <c r="K71" s="15"/>
      <c r="L71" s="15" t="s">
        <v>289</v>
      </c>
      <c r="M71" s="15"/>
      <c r="N71" s="15" t="s">
        <v>50</v>
      </c>
      <c r="O71" s="15" t="s">
        <v>51</v>
      </c>
    </row>
    <row r="72" spans="1:15">
      <c r="A72" s="14" t="s">
        <v>8</v>
      </c>
      <c r="B72" s="14" t="s">
        <v>261</v>
      </c>
      <c r="C72" s="14" t="s">
        <v>262</v>
      </c>
      <c r="D72" s="14" t="s">
        <v>278</v>
      </c>
      <c r="E72" s="14">
        <v>8</v>
      </c>
      <c r="F72" s="14" t="s">
        <v>290</v>
      </c>
      <c r="G72" s="14" t="s">
        <v>291</v>
      </c>
      <c r="H72" s="14" t="s">
        <v>292</v>
      </c>
      <c r="I72" s="14" t="s">
        <v>49</v>
      </c>
      <c r="J72" s="11" t="str">
        <f>HYPERLINK("https://www.codechef.com/problems/STICKS", "https://www.codechef.com/problems/STICKS")</f>
        <v>https://www.codechef.com/problems/STICKS</v>
      </c>
      <c r="K72" s="14"/>
      <c r="L72" s="14"/>
      <c r="M72" s="14"/>
      <c r="N72" s="14" t="s">
        <v>50</v>
      </c>
      <c r="O72" s="14" t="s">
        <v>51</v>
      </c>
    </row>
    <row r="73" spans="1:15">
      <c r="A73" s="15" t="s">
        <v>8</v>
      </c>
      <c r="B73" s="15" t="s">
        <v>261</v>
      </c>
      <c r="C73" s="15" t="s">
        <v>262</v>
      </c>
      <c r="D73" s="15" t="s">
        <v>278</v>
      </c>
      <c r="E73" s="15">
        <v>9</v>
      </c>
      <c r="F73" s="15" t="s">
        <v>293</v>
      </c>
      <c r="G73" s="15" t="s">
        <v>294</v>
      </c>
      <c r="H73" s="15" t="s">
        <v>295</v>
      </c>
      <c r="I73" s="15" t="s">
        <v>49</v>
      </c>
      <c r="J73" s="7" t="str">
        <f>HYPERLINK("https://www.codechef.com/problems/ARRAYREOR", "https://www.codechef.com/problems/ARRAYREOR")</f>
        <v>https://www.codechef.com/problems/ARRAYREOR</v>
      </c>
      <c r="K73" s="15"/>
      <c r="L73" s="15"/>
      <c r="M73" s="15"/>
      <c r="N73" s="15" t="s">
        <v>50</v>
      </c>
      <c r="O73" s="15" t="s">
        <v>51</v>
      </c>
    </row>
    <row r="74" spans="1:15">
      <c r="A74" s="14" t="s">
        <v>8</v>
      </c>
      <c r="B74" s="14" t="s">
        <v>261</v>
      </c>
      <c r="C74" s="14" t="s">
        <v>262</v>
      </c>
      <c r="D74" s="14" t="s">
        <v>278</v>
      </c>
      <c r="E74" s="14">
        <v>10</v>
      </c>
      <c r="F74" s="14" t="s">
        <v>296</v>
      </c>
      <c r="G74" s="14" t="s">
        <v>297</v>
      </c>
      <c r="H74" s="14" t="s">
        <v>298</v>
      </c>
      <c r="I74" s="14" t="s">
        <v>96</v>
      </c>
      <c r="J74" s="11" t="str">
        <f>HYPERLINK("https://www.codechef.com/problems/DSCPPAS265", "https://www.codechef.com/problems/DSCPPAS265")</f>
        <v>https://www.codechef.com/problems/DSCPPAS265</v>
      </c>
      <c r="K74" s="14"/>
      <c r="L74" s="14"/>
      <c r="M74" s="14"/>
      <c r="N74" s="14" t="s">
        <v>50</v>
      </c>
      <c r="O74" s="14" t="s">
        <v>51</v>
      </c>
    </row>
    <row r="75" spans="1:15">
      <c r="A75" s="15" t="s">
        <v>8</v>
      </c>
      <c r="B75" s="15" t="s">
        <v>261</v>
      </c>
      <c r="C75" s="15" t="s">
        <v>262</v>
      </c>
      <c r="D75" s="15" t="s">
        <v>278</v>
      </c>
      <c r="E75" s="15">
        <v>11</v>
      </c>
      <c r="F75" s="15" t="s">
        <v>299</v>
      </c>
      <c r="G75" s="15" t="s">
        <v>300</v>
      </c>
      <c r="H75" s="15" t="s">
        <v>301</v>
      </c>
      <c r="I75" s="15" t="s">
        <v>96</v>
      </c>
      <c r="J75" s="7" t="str">
        <f>HYPERLINK("https://www.codechef.com/problems/BOOKCHEF", "https://www.codechef.com/problems/BOOKCHEF")</f>
        <v>https://www.codechef.com/problems/BOOKCHEF</v>
      </c>
      <c r="K75" s="15"/>
      <c r="L75" s="15"/>
      <c r="M75" s="15"/>
      <c r="N75" s="15" t="s">
        <v>50</v>
      </c>
      <c r="O75" s="15" t="s">
        <v>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dimension ref="A1:O361"/>
  <sheetViews>
    <sheetView topLeftCell="E1" zoomScale="55" zoomScaleNormal="55" workbookViewId="0">
      <selection activeCell="I47" sqref="I47"/>
    </sheetView>
  </sheetViews>
  <sheetFormatPr defaultRowHeight="14.5"/>
  <cols>
    <col min="1" max="1" width="18" customWidth="1"/>
    <col min="2" max="2" width="47" customWidth="1"/>
    <col min="3" max="3" width="272" customWidth="1"/>
    <col min="4" max="4" width="63" customWidth="1"/>
    <col min="5" max="5" width="16" customWidth="1"/>
    <col min="6" max="6" width="53" customWidth="1"/>
    <col min="7" max="7" width="15" customWidth="1"/>
    <col min="8" max="8" width="20" customWidth="1"/>
    <col min="9" max="9" width="19" customWidth="1"/>
    <col min="10" max="10" width="15" customWidth="1"/>
    <col min="11" max="11" width="17" customWidth="1"/>
    <col min="12" max="12" width="148" customWidth="1"/>
    <col min="13"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9</v>
      </c>
      <c r="B2" s="14" t="s">
        <v>302</v>
      </c>
      <c r="C2" s="14" t="s">
        <v>303</v>
      </c>
      <c r="D2" s="14" t="s">
        <v>304</v>
      </c>
      <c r="E2" s="14">
        <v>1</v>
      </c>
      <c r="F2" s="14" t="s">
        <v>305</v>
      </c>
      <c r="G2" s="14" t="s">
        <v>306</v>
      </c>
      <c r="H2" s="14" t="s">
        <v>60</v>
      </c>
      <c r="I2" s="14" t="s">
        <v>49</v>
      </c>
      <c r="J2" s="11" t="str">
        <f>HYPERLINK("https://www.codechef.com/problems/PREP55", "https://www.codechef.com/problems/PREP55")</f>
        <v>https://www.codechef.com/problems/PREP55</v>
      </c>
      <c r="K2" s="14"/>
      <c r="L2" s="14"/>
      <c r="M2" s="14"/>
      <c r="N2" s="14" t="s">
        <v>50</v>
      </c>
      <c r="O2" s="14" t="s">
        <v>51</v>
      </c>
    </row>
    <row r="3" spans="1:15">
      <c r="A3" s="15" t="s">
        <v>9</v>
      </c>
      <c r="B3" s="15" t="s">
        <v>302</v>
      </c>
      <c r="C3" s="15" t="s">
        <v>303</v>
      </c>
      <c r="D3" s="15" t="s">
        <v>304</v>
      </c>
      <c r="E3" s="15">
        <v>2</v>
      </c>
      <c r="F3" s="15" t="s">
        <v>307</v>
      </c>
      <c r="G3" s="15" t="s">
        <v>308</v>
      </c>
      <c r="H3" s="15" t="s">
        <v>309</v>
      </c>
      <c r="I3" s="15" t="s">
        <v>49</v>
      </c>
      <c r="J3" s="7" t="str">
        <f>HYPERLINK("https://www.codechef.com/problems/CRITLIST", "https://www.codechef.com/problems/CRITLIST")</f>
        <v>https://www.codechef.com/problems/CRITLIST</v>
      </c>
      <c r="K3" s="15"/>
      <c r="L3" s="15"/>
      <c r="M3" s="15"/>
      <c r="N3" s="15" t="s">
        <v>50</v>
      </c>
      <c r="O3" s="15" t="s">
        <v>51</v>
      </c>
    </row>
    <row r="4" spans="1:15">
      <c r="A4" s="14" t="s">
        <v>9</v>
      </c>
      <c r="B4" s="14" t="s">
        <v>302</v>
      </c>
      <c r="C4" s="14" t="s">
        <v>303</v>
      </c>
      <c r="D4" s="14" t="s">
        <v>304</v>
      </c>
      <c r="E4" s="14">
        <v>3</v>
      </c>
      <c r="F4" s="14" t="s">
        <v>310</v>
      </c>
      <c r="G4" s="14" t="s">
        <v>311</v>
      </c>
      <c r="H4" s="14" t="s">
        <v>312</v>
      </c>
      <c r="I4" s="14" t="s">
        <v>49</v>
      </c>
      <c r="J4" s="11" t="str">
        <f>HYPERLINK("https://www.codechef.com/problems/PREP58", "https://www.codechef.com/problems/PREP58")</f>
        <v>https://www.codechef.com/problems/PREP58</v>
      </c>
      <c r="K4" s="14"/>
      <c r="L4" s="14"/>
      <c r="M4" s="14"/>
      <c r="N4" s="14" t="s">
        <v>50</v>
      </c>
      <c r="O4" s="14" t="s">
        <v>51</v>
      </c>
    </row>
    <row r="5" spans="1:15">
      <c r="A5" s="15" t="s">
        <v>9</v>
      </c>
      <c r="B5" s="15" t="s">
        <v>302</v>
      </c>
      <c r="C5" s="15" t="s">
        <v>303</v>
      </c>
      <c r="D5" s="15" t="s">
        <v>304</v>
      </c>
      <c r="E5" s="15">
        <v>4</v>
      </c>
      <c r="F5" s="15" t="s">
        <v>313</v>
      </c>
      <c r="G5" s="15" t="s">
        <v>314</v>
      </c>
      <c r="H5" s="15"/>
      <c r="I5" s="15" t="s">
        <v>49</v>
      </c>
      <c r="J5" s="7" t="str">
        <f>HYPERLINK("https://www.codechef.com/problems/LINKLEN", "https://www.codechef.com/problems/LINKLEN")</f>
        <v>https://www.codechef.com/problems/LINKLEN</v>
      </c>
      <c r="K5" s="15"/>
      <c r="L5" s="15"/>
      <c r="M5" s="15"/>
      <c r="N5" s="15" t="s">
        <v>50</v>
      </c>
      <c r="O5" s="15" t="s">
        <v>51</v>
      </c>
    </row>
    <row r="6" spans="1:15">
      <c r="A6" s="14" t="s">
        <v>9</v>
      </c>
      <c r="B6" s="14" t="s">
        <v>302</v>
      </c>
      <c r="C6" s="14" t="s">
        <v>303</v>
      </c>
      <c r="D6" s="14" t="s">
        <v>304</v>
      </c>
      <c r="E6" s="14">
        <v>5</v>
      </c>
      <c r="F6" s="14" t="s">
        <v>315</v>
      </c>
      <c r="G6" s="14" t="s">
        <v>316</v>
      </c>
      <c r="H6" s="14" t="s">
        <v>180</v>
      </c>
      <c r="I6" s="14" t="s">
        <v>49</v>
      </c>
      <c r="J6" s="11" t="str">
        <f>HYPERLINK("https://www.codechef.com/problems/LLMID", "https://www.codechef.com/problems/LLMID")</f>
        <v>https://www.codechef.com/problems/LLMID</v>
      </c>
      <c r="K6" s="14"/>
      <c r="L6" s="14"/>
      <c r="M6" s="14"/>
      <c r="N6" s="14" t="s">
        <v>50</v>
      </c>
      <c r="O6" s="14" t="s">
        <v>51</v>
      </c>
    </row>
    <row r="7" spans="1:15">
      <c r="A7" s="15" t="s">
        <v>9</v>
      </c>
      <c r="B7" s="15" t="s">
        <v>302</v>
      </c>
      <c r="C7" s="15" t="s">
        <v>303</v>
      </c>
      <c r="D7" s="15" t="s">
        <v>304</v>
      </c>
      <c r="E7" s="15">
        <v>6</v>
      </c>
      <c r="F7" s="15" t="s">
        <v>317</v>
      </c>
      <c r="G7" s="15" t="s">
        <v>318</v>
      </c>
      <c r="H7" s="15"/>
      <c r="I7" s="15" t="s">
        <v>96</v>
      </c>
      <c r="J7" s="7" t="str">
        <f>HYPERLINK("https://www.codechef.com/problems/SEARCHLL", "https://www.codechef.com/problems/SEARCHLL")</f>
        <v>https://www.codechef.com/problems/SEARCHLL</v>
      </c>
      <c r="K7" s="15"/>
      <c r="L7" s="15"/>
      <c r="M7" s="15"/>
      <c r="N7" s="15" t="s">
        <v>50</v>
      </c>
      <c r="O7" s="15" t="s">
        <v>51</v>
      </c>
    </row>
    <row r="8" spans="1:15">
      <c r="A8" s="14" t="s">
        <v>9</v>
      </c>
      <c r="B8" s="14" t="s">
        <v>302</v>
      </c>
      <c r="C8" s="14" t="s">
        <v>303</v>
      </c>
      <c r="D8" s="14" t="s">
        <v>319</v>
      </c>
      <c r="E8" s="14">
        <v>7</v>
      </c>
      <c r="F8" s="14" t="s">
        <v>320</v>
      </c>
      <c r="G8" s="14" t="s">
        <v>321</v>
      </c>
      <c r="H8" s="14"/>
      <c r="I8" s="14" t="s">
        <v>322</v>
      </c>
      <c r="J8" s="11" t="str">
        <f>HYPERLINK("https://www.codechef.com/problems/LLCYCLE", "https://www.codechef.com/problems/LLCYCLE")</f>
        <v>https://www.codechef.com/problems/LLCYCLE</v>
      </c>
      <c r="K8" s="14"/>
      <c r="L8" s="14" t="s">
        <v>57</v>
      </c>
      <c r="M8" s="14"/>
      <c r="N8" s="14" t="s">
        <v>50</v>
      </c>
      <c r="O8" s="14" t="s">
        <v>51</v>
      </c>
    </row>
    <row r="9" spans="1:15">
      <c r="A9" s="15" t="s">
        <v>9</v>
      </c>
      <c r="B9" s="15" t="s">
        <v>302</v>
      </c>
      <c r="C9" s="15" t="s">
        <v>303</v>
      </c>
      <c r="D9" s="15" t="s">
        <v>319</v>
      </c>
      <c r="E9" s="15">
        <v>8</v>
      </c>
      <c r="F9" s="15" t="s">
        <v>323</v>
      </c>
      <c r="G9" s="15" t="s">
        <v>324</v>
      </c>
      <c r="H9" s="15"/>
      <c r="I9" s="15" t="s">
        <v>96</v>
      </c>
      <c r="J9" s="7" t="str">
        <f>HYPERLINK("https://www.codechef.com/problems/REVDBL", "https://www.codechef.com/problems/REVDBL")</f>
        <v>https://www.codechef.com/problems/REVDBL</v>
      </c>
      <c r="K9" s="15"/>
      <c r="L9" s="15"/>
      <c r="M9" s="15"/>
      <c r="N9" s="15" t="s">
        <v>50</v>
      </c>
      <c r="O9" s="15" t="s">
        <v>51</v>
      </c>
    </row>
    <row r="10" spans="1:15">
      <c r="A10" s="14" t="s">
        <v>9</v>
      </c>
      <c r="B10" s="14" t="s">
        <v>302</v>
      </c>
      <c r="C10" s="14" t="s">
        <v>303</v>
      </c>
      <c r="D10" s="14" t="s">
        <v>319</v>
      </c>
      <c r="E10" s="14">
        <v>9</v>
      </c>
      <c r="F10" s="14" t="s">
        <v>325</v>
      </c>
      <c r="G10" s="14" t="s">
        <v>326</v>
      </c>
      <c r="H10" s="14" t="s">
        <v>327</v>
      </c>
      <c r="I10" s="14" t="s">
        <v>49</v>
      </c>
      <c r="J10" s="11" t="str">
        <f>HYPERLINK("https://www.codechef.com/problems/LINKLP", "https://www.codechef.com/problems/LINKLP")</f>
        <v>https://www.codechef.com/problems/LINKLP</v>
      </c>
      <c r="K10" s="14"/>
      <c r="L10" s="14"/>
      <c r="M10" s="14"/>
      <c r="N10" s="14" t="s">
        <v>50</v>
      </c>
      <c r="O10" s="14" t="s">
        <v>51</v>
      </c>
    </row>
    <row r="11" spans="1:15">
      <c r="A11" s="15" t="s">
        <v>9</v>
      </c>
      <c r="B11" s="15" t="s">
        <v>302</v>
      </c>
      <c r="C11" s="15" t="s">
        <v>303</v>
      </c>
      <c r="D11" s="15" t="s">
        <v>319</v>
      </c>
      <c r="E11" s="15">
        <v>10</v>
      </c>
      <c r="F11" s="15" t="s">
        <v>328</v>
      </c>
      <c r="G11" s="15" t="s">
        <v>329</v>
      </c>
      <c r="H11" s="15" t="s">
        <v>327</v>
      </c>
      <c r="I11" s="15" t="s">
        <v>49</v>
      </c>
      <c r="J11" s="7" t="str">
        <f>HYPERLINK("https://www.codechef.com/problems/INSDELDLL", "https://www.codechef.com/problems/INSDELDLL")</f>
        <v>https://www.codechef.com/problems/INSDELDLL</v>
      </c>
      <c r="K11" s="15"/>
      <c r="L11" s="15"/>
      <c r="M11" s="15"/>
      <c r="N11" s="15" t="s">
        <v>50</v>
      </c>
      <c r="O11" s="15" t="s">
        <v>51</v>
      </c>
    </row>
    <row r="12" spans="1:15">
      <c r="A12" s="14" t="s">
        <v>9</v>
      </c>
      <c r="B12" s="14" t="s">
        <v>302</v>
      </c>
      <c r="C12" s="14" t="s">
        <v>303</v>
      </c>
      <c r="D12" s="14" t="s">
        <v>319</v>
      </c>
      <c r="E12" s="14">
        <v>11</v>
      </c>
      <c r="F12" s="14" t="s">
        <v>330</v>
      </c>
      <c r="G12" s="14" t="s">
        <v>331</v>
      </c>
      <c r="H12" s="14"/>
      <c r="I12" s="14" t="s">
        <v>322</v>
      </c>
      <c r="J12" s="11" t="str">
        <f>HYPERLINK("https://www.codechef.com/problems/PALINLIST", "https://www.codechef.com/problems/PALINLIST")</f>
        <v>https://www.codechef.com/problems/PALINLIST</v>
      </c>
      <c r="K12" s="14"/>
      <c r="L12" s="14" t="s">
        <v>57</v>
      </c>
      <c r="M12" s="14"/>
      <c r="N12" s="14" t="s">
        <v>50</v>
      </c>
      <c r="O12" s="14" t="s">
        <v>51</v>
      </c>
    </row>
    <row r="13" spans="1:15">
      <c r="A13" s="15" t="s">
        <v>9</v>
      </c>
      <c r="B13" s="15" t="s">
        <v>302</v>
      </c>
      <c r="C13" s="15" t="s">
        <v>303</v>
      </c>
      <c r="D13" s="15" t="s">
        <v>319</v>
      </c>
      <c r="E13" s="15">
        <v>12</v>
      </c>
      <c r="F13" s="15" t="s">
        <v>332</v>
      </c>
      <c r="G13" s="15" t="s">
        <v>333</v>
      </c>
      <c r="H13" s="15" t="s">
        <v>327</v>
      </c>
      <c r="I13" s="15" t="s">
        <v>49</v>
      </c>
      <c r="J13" s="7" t="str">
        <f>HYPERLINK("https://www.codechef.com/problems/SEGEO", "https://www.codechef.com/problems/SEGEO")</f>
        <v>https://www.codechef.com/problems/SEGEO</v>
      </c>
      <c r="K13" s="15"/>
      <c r="L13" s="15"/>
      <c r="M13" s="15"/>
      <c r="N13" s="15" t="s">
        <v>50</v>
      </c>
      <c r="O13" s="15" t="s">
        <v>51</v>
      </c>
    </row>
    <row r="14" spans="1:15">
      <c r="A14" s="14" t="s">
        <v>9</v>
      </c>
      <c r="B14" s="14" t="s">
        <v>302</v>
      </c>
      <c r="C14" s="14" t="s">
        <v>303</v>
      </c>
      <c r="D14" s="14" t="s">
        <v>319</v>
      </c>
      <c r="E14" s="14">
        <v>13</v>
      </c>
      <c r="F14" s="14" t="s">
        <v>334</v>
      </c>
      <c r="G14" s="14" t="s">
        <v>335</v>
      </c>
      <c r="H14" s="14" t="s">
        <v>327</v>
      </c>
      <c r="I14" s="14" t="s">
        <v>49</v>
      </c>
      <c r="J14" s="11" t="str">
        <f>HYPERLINK("https://www.codechef.com/problems/DSCPPAS273", "https://www.codechef.com/problems/DSCPPAS273")</f>
        <v>https://www.codechef.com/problems/DSCPPAS273</v>
      </c>
      <c r="K14" s="14"/>
      <c r="L14" s="14"/>
      <c r="M14" s="14"/>
      <c r="N14" s="14" t="s">
        <v>50</v>
      </c>
      <c r="O14" s="14" t="s">
        <v>51</v>
      </c>
    </row>
    <row r="15" spans="1:15">
      <c r="A15" s="15" t="s">
        <v>9</v>
      </c>
      <c r="B15" s="15" t="s">
        <v>302</v>
      </c>
      <c r="C15" s="15" t="s">
        <v>303</v>
      </c>
      <c r="D15" s="15" t="s">
        <v>319</v>
      </c>
      <c r="E15" s="15">
        <v>14</v>
      </c>
      <c r="F15" s="15" t="s">
        <v>336</v>
      </c>
      <c r="G15" s="15" t="s">
        <v>337</v>
      </c>
      <c r="H15" s="15" t="s">
        <v>327</v>
      </c>
      <c r="I15" s="15" t="s">
        <v>49</v>
      </c>
      <c r="J15" s="7" t="str">
        <f>HYPERLINK("https://www.codechef.com/problems/ROTLIST", "https://www.codechef.com/problems/ROTLIST")</f>
        <v>https://www.codechef.com/problems/ROTLIST</v>
      </c>
      <c r="K15" s="15"/>
      <c r="L15" s="15"/>
      <c r="M15" s="15"/>
      <c r="N15" s="15" t="s">
        <v>50</v>
      </c>
      <c r="O15" s="15" t="s">
        <v>51</v>
      </c>
    </row>
    <row r="16" spans="1:15">
      <c r="A16" s="14" t="s">
        <v>9</v>
      </c>
      <c r="B16" s="14" t="s">
        <v>302</v>
      </c>
      <c r="C16" s="14" t="s">
        <v>303</v>
      </c>
      <c r="D16" s="14" t="s">
        <v>319</v>
      </c>
      <c r="E16" s="14">
        <v>15</v>
      </c>
      <c r="F16" s="14" t="s">
        <v>338</v>
      </c>
      <c r="G16" s="14" t="s">
        <v>339</v>
      </c>
      <c r="H16" s="14" t="s">
        <v>340</v>
      </c>
      <c r="I16" s="14" t="s">
        <v>96</v>
      </c>
      <c r="J16" s="11" t="str">
        <f>HYPERLINK("https://www.codechef.com/problems/RTLL", "https://www.codechef.com/problems/RTLL")</f>
        <v>https://www.codechef.com/problems/RTLL</v>
      </c>
      <c r="K16" s="14"/>
      <c r="L16" s="14"/>
      <c r="M16" s="14"/>
      <c r="N16" s="14" t="s">
        <v>50</v>
      </c>
      <c r="O16" s="14" t="s">
        <v>51</v>
      </c>
    </row>
    <row r="17" spans="1:15">
      <c r="A17" s="15" t="s">
        <v>9</v>
      </c>
      <c r="B17" s="15" t="s">
        <v>302</v>
      </c>
      <c r="C17" s="15" t="s">
        <v>303</v>
      </c>
      <c r="D17" s="15" t="s">
        <v>319</v>
      </c>
      <c r="E17" s="15">
        <v>16</v>
      </c>
      <c r="F17" s="15" t="s">
        <v>341</v>
      </c>
      <c r="G17" s="15" t="s">
        <v>342</v>
      </c>
      <c r="H17" s="15" t="s">
        <v>343</v>
      </c>
      <c r="I17" s="15" t="s">
        <v>96</v>
      </c>
      <c r="J17" s="7" t="str">
        <f>HYPERLINK("https://www.codechef.com/problems/REVSEG", "https://www.codechef.com/problems/REVSEG")</f>
        <v>https://www.codechef.com/problems/REVSEG</v>
      </c>
      <c r="K17" s="15"/>
      <c r="L17" s="15"/>
      <c r="M17" s="15"/>
      <c r="N17" s="15" t="s">
        <v>50</v>
      </c>
      <c r="O17" s="15" t="s">
        <v>51</v>
      </c>
    </row>
    <row r="18" spans="1:15">
      <c r="A18" s="14" t="s">
        <v>9</v>
      </c>
      <c r="B18" s="14" t="s">
        <v>302</v>
      </c>
      <c r="C18" s="14" t="s">
        <v>303</v>
      </c>
      <c r="D18" s="14" t="s">
        <v>319</v>
      </c>
      <c r="E18" s="14">
        <v>17</v>
      </c>
      <c r="F18" s="14" t="s">
        <v>344</v>
      </c>
      <c r="G18" s="14" t="s">
        <v>345</v>
      </c>
      <c r="H18" s="14"/>
      <c r="I18" s="14" t="s">
        <v>96</v>
      </c>
      <c r="J18" s="11" t="str">
        <f>HYPERLINK("https://www.codechef.com/problems/SORTLL012", "https://www.codechef.com/problems/SORTLL012")</f>
        <v>https://www.codechef.com/problems/SORTLL012</v>
      </c>
      <c r="K18" s="14"/>
      <c r="L18" s="14"/>
      <c r="M18" s="14"/>
      <c r="N18" s="14" t="s">
        <v>50</v>
      </c>
      <c r="O18" s="14" t="s">
        <v>51</v>
      </c>
    </row>
    <row r="19" spans="1:15">
      <c r="A19" s="15" t="s">
        <v>9</v>
      </c>
      <c r="B19" s="15" t="s">
        <v>302</v>
      </c>
      <c r="C19" s="15" t="s">
        <v>303</v>
      </c>
      <c r="D19" s="15" t="s">
        <v>319</v>
      </c>
      <c r="E19" s="15">
        <v>18</v>
      </c>
      <c r="F19" s="15" t="s">
        <v>346</v>
      </c>
      <c r="G19" s="15" t="s">
        <v>347</v>
      </c>
      <c r="H19" s="15" t="s">
        <v>348</v>
      </c>
      <c r="I19" s="15" t="s">
        <v>96</v>
      </c>
      <c r="J19" s="7" t="str">
        <f>HYPERLINK("https://www.codechef.com/problems/NSELL", "https://www.codechef.com/problems/NSELL")</f>
        <v>https://www.codechef.com/problems/NSELL</v>
      </c>
      <c r="K19" s="15"/>
      <c r="L19" s="15"/>
      <c r="M19" s="15"/>
      <c r="N19" s="15" t="s">
        <v>50</v>
      </c>
      <c r="O19" s="15" t="s">
        <v>51</v>
      </c>
    </row>
    <row r="20" spans="1:15">
      <c r="A20" s="14" t="s">
        <v>9</v>
      </c>
      <c r="B20" s="14" t="s">
        <v>302</v>
      </c>
      <c r="C20" s="14" t="s">
        <v>303</v>
      </c>
      <c r="D20" s="14" t="s">
        <v>319</v>
      </c>
      <c r="E20" s="14">
        <v>19</v>
      </c>
      <c r="F20" s="14" t="s">
        <v>349</v>
      </c>
      <c r="G20" s="14" t="s">
        <v>350</v>
      </c>
      <c r="H20" s="14"/>
      <c r="I20" s="14" t="s">
        <v>96</v>
      </c>
      <c r="J20" s="11" t="str">
        <f>HYPERLINK("https://www.codechef.com/problems/DELMIDLL", "https://www.codechef.com/problems/DELMIDLL")</f>
        <v>https://www.codechef.com/problems/DELMIDLL</v>
      </c>
      <c r="K20" s="14"/>
      <c r="L20" s="14" t="s">
        <v>57</v>
      </c>
      <c r="M20" s="14"/>
      <c r="N20" s="14" t="s">
        <v>50</v>
      </c>
      <c r="O20" s="14" t="s">
        <v>51</v>
      </c>
    </row>
    <row r="21" spans="1:15">
      <c r="A21" s="15" t="s">
        <v>9</v>
      </c>
      <c r="B21" s="15" t="s">
        <v>302</v>
      </c>
      <c r="C21" s="15" t="s">
        <v>303</v>
      </c>
      <c r="D21" s="15" t="s">
        <v>319</v>
      </c>
      <c r="E21" s="15">
        <v>20</v>
      </c>
      <c r="F21" s="15" t="s">
        <v>351</v>
      </c>
      <c r="G21" s="15" t="s">
        <v>352</v>
      </c>
      <c r="H21" s="15" t="s">
        <v>348</v>
      </c>
      <c r="I21" s="15" t="s">
        <v>96</v>
      </c>
      <c r="J21" s="7" t="str">
        <f>HYPERLINK("https://www.codechef.com/problems/STRANGELIST", "https://www.codechef.com/problems/STRANGELIST")</f>
        <v>https://www.codechef.com/problems/STRANGELIST</v>
      </c>
      <c r="K21" s="15"/>
      <c r="L21" s="15"/>
      <c r="M21" s="15"/>
      <c r="N21" s="15" t="s">
        <v>50</v>
      </c>
      <c r="O21" s="15" t="s">
        <v>51</v>
      </c>
    </row>
    <row r="22" spans="1:15">
      <c r="A22" s="14" t="s">
        <v>9</v>
      </c>
      <c r="B22" s="14" t="s">
        <v>302</v>
      </c>
      <c r="C22" s="14" t="s">
        <v>303</v>
      </c>
      <c r="D22" s="14" t="s">
        <v>319</v>
      </c>
      <c r="E22" s="14">
        <v>21</v>
      </c>
      <c r="F22" s="14" t="s">
        <v>353</v>
      </c>
      <c r="G22" s="14" t="s">
        <v>354</v>
      </c>
      <c r="H22" s="14"/>
      <c r="I22" s="14" t="s">
        <v>96</v>
      </c>
      <c r="J22" s="11" t="str">
        <f>HYPERLINK("https://www.codechef.com/problems/ADDONELL", "https://www.codechef.com/problems/ADDONELL")</f>
        <v>https://www.codechef.com/problems/ADDONELL</v>
      </c>
      <c r="K22" s="14"/>
      <c r="L22" s="14"/>
      <c r="M22" s="14"/>
      <c r="N22" s="14" t="s">
        <v>50</v>
      </c>
      <c r="O22" s="14" t="s">
        <v>51</v>
      </c>
    </row>
    <row r="23" spans="1:15">
      <c r="A23" s="15" t="s">
        <v>9</v>
      </c>
      <c r="B23" s="15" t="s">
        <v>302</v>
      </c>
      <c r="C23" s="15" t="s">
        <v>303</v>
      </c>
      <c r="D23" s="15" t="s">
        <v>319</v>
      </c>
      <c r="E23" s="15">
        <v>22</v>
      </c>
      <c r="F23" s="15" t="s">
        <v>355</v>
      </c>
      <c r="G23" s="15" t="s">
        <v>356</v>
      </c>
      <c r="H23" s="15" t="s">
        <v>348</v>
      </c>
      <c r="I23" s="15" t="s">
        <v>96</v>
      </c>
      <c r="J23" s="7" t="str">
        <f>HYPERLINK("https://www.codechef.com/problems/KGRPREV", "https://www.codechef.com/problems/KGRPREV")</f>
        <v>https://www.codechef.com/problems/KGRPREV</v>
      </c>
      <c r="K23" s="15"/>
      <c r="L23" s="15"/>
      <c r="M23" s="15"/>
      <c r="N23" s="15" t="s">
        <v>50</v>
      </c>
      <c r="O23" s="15" t="s">
        <v>51</v>
      </c>
    </row>
    <row r="24" spans="1:15">
      <c r="A24" s="14" t="s">
        <v>9</v>
      </c>
      <c r="B24" s="14" t="s">
        <v>302</v>
      </c>
      <c r="C24" s="14" t="s">
        <v>303</v>
      </c>
      <c r="D24" s="14" t="s">
        <v>319</v>
      </c>
      <c r="E24" s="14">
        <v>23</v>
      </c>
      <c r="F24" s="14" t="s">
        <v>357</v>
      </c>
      <c r="G24" s="14" t="s">
        <v>358</v>
      </c>
      <c r="H24" s="14"/>
      <c r="I24" s="14" t="s">
        <v>96</v>
      </c>
      <c r="J24" s="11" t="str">
        <f>HYPERLINK("https://www.codechef.com/problems/ADDTWOLL", "https://www.codechef.com/problems/ADDTWOLL")</f>
        <v>https://www.codechef.com/problems/ADDTWOLL</v>
      </c>
      <c r="K24" s="14"/>
      <c r="L24" s="14" t="s">
        <v>57</v>
      </c>
      <c r="M24" s="14"/>
      <c r="N24" s="14" t="s">
        <v>50</v>
      </c>
      <c r="O24" s="14" t="s">
        <v>51</v>
      </c>
    </row>
    <row r="25" spans="1:15">
      <c r="A25" s="15" t="s">
        <v>9</v>
      </c>
      <c r="B25" s="15" t="s">
        <v>302</v>
      </c>
      <c r="C25" s="15" t="s">
        <v>303</v>
      </c>
      <c r="D25" s="15" t="s">
        <v>319</v>
      </c>
      <c r="E25" s="15">
        <v>24</v>
      </c>
      <c r="F25" s="15" t="s">
        <v>359</v>
      </c>
      <c r="G25" s="15" t="s">
        <v>360</v>
      </c>
      <c r="H25" s="15" t="s">
        <v>361</v>
      </c>
      <c r="I25" s="15" t="s">
        <v>96</v>
      </c>
      <c r="J25" s="7" t="str">
        <f>HYPERLINK("https://www.codechef.com/problems/SRTLL", "https://www.codechef.com/problems/SRTLL")</f>
        <v>https://www.codechef.com/problems/SRTLL</v>
      </c>
      <c r="K25" s="15"/>
      <c r="L25" s="15"/>
      <c r="M25" s="15"/>
      <c r="N25" s="15" t="s">
        <v>50</v>
      </c>
      <c r="O25" s="15" t="s">
        <v>51</v>
      </c>
    </row>
    <row r="26" spans="1:15">
      <c r="A26" s="14" t="s">
        <v>9</v>
      </c>
      <c r="B26" s="14" t="s">
        <v>302</v>
      </c>
      <c r="C26" s="14" t="s">
        <v>303</v>
      </c>
      <c r="D26" s="14" t="s">
        <v>319</v>
      </c>
      <c r="E26" s="14">
        <v>25</v>
      </c>
      <c r="F26" s="14" t="s">
        <v>362</v>
      </c>
      <c r="G26" s="14" t="s">
        <v>363</v>
      </c>
      <c r="H26" s="14"/>
      <c r="I26" s="14" t="s">
        <v>96</v>
      </c>
      <c r="J26" s="11" t="str">
        <f>HYPERLINK("https://www.codechef.com/problems/DELDOUBLY", "https://www.codechef.com/problems/DELDOUBLY")</f>
        <v>https://www.codechef.com/problems/DELDOUBLY</v>
      </c>
      <c r="K26" s="14"/>
      <c r="L26" s="14"/>
      <c r="M26" s="14"/>
      <c r="N26" s="14" t="s">
        <v>50</v>
      </c>
      <c r="O26" s="14" t="s">
        <v>51</v>
      </c>
    </row>
    <row r="27" spans="1:15">
      <c r="A27" s="15" t="s">
        <v>9</v>
      </c>
      <c r="B27" s="15" t="s">
        <v>302</v>
      </c>
      <c r="C27" s="15" t="s">
        <v>303</v>
      </c>
      <c r="D27" s="15" t="s">
        <v>319</v>
      </c>
      <c r="E27" s="15">
        <v>26</v>
      </c>
      <c r="F27" s="15" t="s">
        <v>364</v>
      </c>
      <c r="G27" s="15" t="s">
        <v>365</v>
      </c>
      <c r="H27" s="15"/>
      <c r="I27" s="15" t="s">
        <v>96</v>
      </c>
      <c r="J27" s="7" t="str">
        <f>HYPERLINK("https://www.codechef.com/problems/PAIRSUMDLL", "https://www.codechef.com/problems/PAIRSUMDLL")</f>
        <v>https://www.codechef.com/problems/PAIRSUMDLL</v>
      </c>
      <c r="K27" s="15"/>
      <c r="L27" s="15"/>
      <c r="M27" s="15"/>
      <c r="N27" s="15" t="s">
        <v>50</v>
      </c>
      <c r="O27" s="15" t="s">
        <v>51</v>
      </c>
    </row>
    <row r="28" spans="1:15">
      <c r="A28" s="14" t="s">
        <v>9</v>
      </c>
      <c r="B28" s="14" t="s">
        <v>302</v>
      </c>
      <c r="C28" s="14" t="s">
        <v>303</v>
      </c>
      <c r="D28" s="14" t="s">
        <v>319</v>
      </c>
      <c r="E28" s="14">
        <v>27</v>
      </c>
      <c r="F28" s="14" t="s">
        <v>366</v>
      </c>
      <c r="G28" s="14" t="s">
        <v>367</v>
      </c>
      <c r="H28" s="14"/>
      <c r="I28" s="14" t="s">
        <v>96</v>
      </c>
      <c r="J28" s="11" t="str">
        <f>HYPERLINK("https://www.codechef.com/problems/LLCOPY", "https://www.codechef.com/problems/LLCOPY")</f>
        <v>https://www.codechef.com/problems/LLCOPY</v>
      </c>
      <c r="K28" s="14"/>
      <c r="L28" s="14"/>
      <c r="M28" s="14"/>
      <c r="N28" s="14" t="s">
        <v>50</v>
      </c>
      <c r="O28" s="14" t="s">
        <v>51</v>
      </c>
    </row>
    <row r="29" spans="1:15">
      <c r="A29" s="15" t="s">
        <v>9</v>
      </c>
      <c r="B29" s="15" t="s">
        <v>368</v>
      </c>
      <c r="C29" s="15" t="s">
        <v>369</v>
      </c>
      <c r="D29" s="15" t="s">
        <v>370</v>
      </c>
      <c r="E29" s="15">
        <v>1</v>
      </c>
      <c r="F29" s="15" t="s">
        <v>371</v>
      </c>
      <c r="G29" s="15" t="s">
        <v>372</v>
      </c>
      <c r="H29" s="15"/>
      <c r="I29" s="15" t="s">
        <v>96</v>
      </c>
      <c r="J29" s="7" t="str">
        <f>HYPERLINK("https://www.codechef.com/problems/BBXJG01", "https://www.codechef.com/problems/BBXJG01")</f>
        <v>https://www.codechef.com/problems/BBXJG01</v>
      </c>
      <c r="K29" s="15"/>
      <c r="L29" s="15" t="s">
        <v>373</v>
      </c>
      <c r="M29" s="15"/>
      <c r="N29" s="15" t="s">
        <v>50</v>
      </c>
      <c r="O29" s="15" t="s">
        <v>51</v>
      </c>
    </row>
    <row r="30" spans="1:15">
      <c r="A30" s="14" t="s">
        <v>9</v>
      </c>
      <c r="B30" s="14" t="s">
        <v>368</v>
      </c>
      <c r="C30" s="14" t="s">
        <v>369</v>
      </c>
      <c r="D30" s="14" t="s">
        <v>370</v>
      </c>
      <c r="E30" s="14">
        <v>2</v>
      </c>
      <c r="F30" s="14" t="s">
        <v>374</v>
      </c>
      <c r="G30" s="14" t="s">
        <v>375</v>
      </c>
      <c r="H30" s="14"/>
      <c r="I30" s="14" t="s">
        <v>96</v>
      </c>
      <c r="J30" s="11" t="str">
        <f>HYPERLINK("https://www.codechef.com/problems/PPMUH01", "https://www.codechef.com/problems/PPMUH01")</f>
        <v>https://www.codechef.com/problems/PPMUH01</v>
      </c>
      <c r="K30" s="14"/>
      <c r="L30" s="14"/>
      <c r="M30" s="14"/>
      <c r="N30" s="14" t="s">
        <v>50</v>
      </c>
      <c r="O30" s="14" t="s">
        <v>51</v>
      </c>
    </row>
    <row r="31" spans="1:15">
      <c r="A31" s="15" t="s">
        <v>9</v>
      </c>
      <c r="B31" s="15" t="s">
        <v>368</v>
      </c>
      <c r="C31" s="15" t="s">
        <v>369</v>
      </c>
      <c r="D31" s="15" t="s">
        <v>370</v>
      </c>
      <c r="E31" s="15">
        <v>3</v>
      </c>
      <c r="F31" s="15" t="s">
        <v>376</v>
      </c>
      <c r="G31" s="15" t="s">
        <v>377</v>
      </c>
      <c r="H31" s="15" t="s">
        <v>312</v>
      </c>
      <c r="I31" s="15" t="s">
        <v>49</v>
      </c>
      <c r="J31" s="7" t="str">
        <f>HYPERLINK("https://www.codechef.com/problems/PREP59", "https://www.codechef.com/problems/PREP59")</f>
        <v>https://www.codechef.com/problems/PREP59</v>
      </c>
      <c r="K31" s="15"/>
      <c r="L31" s="15"/>
      <c r="M31" s="15"/>
      <c r="N31" s="15" t="s">
        <v>50</v>
      </c>
      <c r="O31" s="15" t="s">
        <v>51</v>
      </c>
    </row>
    <row r="32" spans="1:15">
      <c r="A32" s="14" t="s">
        <v>9</v>
      </c>
      <c r="B32" s="14" t="s">
        <v>368</v>
      </c>
      <c r="C32" s="14" t="s">
        <v>369</v>
      </c>
      <c r="D32" s="14" t="s">
        <v>370</v>
      </c>
      <c r="E32" s="14">
        <v>4</v>
      </c>
      <c r="F32" s="14" t="s">
        <v>378</v>
      </c>
      <c r="G32" s="14" t="s">
        <v>379</v>
      </c>
      <c r="H32" s="14" t="s">
        <v>380</v>
      </c>
      <c r="I32" s="14" t="s">
        <v>49</v>
      </c>
      <c r="J32" s="11" t="str">
        <f>HYPERLINK("https://www.codechef.com/problems/NEC", "https://www.codechef.com/problems/NEC")</f>
        <v>https://www.codechef.com/problems/NEC</v>
      </c>
      <c r="K32" s="14"/>
      <c r="L32" s="14"/>
      <c r="M32" s="14"/>
      <c r="N32" s="14" t="s">
        <v>50</v>
      </c>
      <c r="O32" s="14" t="s">
        <v>51</v>
      </c>
    </row>
    <row r="33" spans="1:15">
      <c r="A33" s="15" t="s">
        <v>9</v>
      </c>
      <c r="B33" s="15" t="s">
        <v>368</v>
      </c>
      <c r="C33" s="15" t="s">
        <v>369</v>
      </c>
      <c r="D33" s="15" t="s">
        <v>370</v>
      </c>
      <c r="E33" s="15">
        <v>5</v>
      </c>
      <c r="F33" s="15" t="s">
        <v>381</v>
      </c>
      <c r="G33" s="15" t="s">
        <v>382</v>
      </c>
      <c r="H33" s="15" t="s">
        <v>180</v>
      </c>
      <c r="I33" s="15" t="s">
        <v>49</v>
      </c>
      <c r="J33" s="7" t="str">
        <f>HYPERLINK("https://www.codechef.com/problems/STONE_PILE", "https://www.codechef.com/problems/STONE_PILE")</f>
        <v>https://www.codechef.com/problems/STONE_PILE</v>
      </c>
      <c r="K33" s="15"/>
      <c r="L33" s="15"/>
      <c r="M33" s="15"/>
      <c r="N33" s="15" t="s">
        <v>50</v>
      </c>
      <c r="O33" s="15" t="s">
        <v>51</v>
      </c>
    </row>
    <row r="34" spans="1:15">
      <c r="A34" s="14" t="s">
        <v>9</v>
      </c>
      <c r="B34" s="14" t="s">
        <v>368</v>
      </c>
      <c r="C34" s="14" t="s">
        <v>369</v>
      </c>
      <c r="D34" s="14" t="s">
        <v>370</v>
      </c>
      <c r="E34" s="14">
        <v>6</v>
      </c>
      <c r="F34" s="14" t="s">
        <v>383</v>
      </c>
      <c r="G34" s="14" t="s">
        <v>384</v>
      </c>
      <c r="H34" s="14" t="s">
        <v>309</v>
      </c>
      <c r="I34" s="14" t="s">
        <v>49</v>
      </c>
      <c r="J34" s="11" t="str">
        <f>HYPERLINK("https://www.codechef.com/problems/DSCPPAS269", "https://www.codechef.com/problems/DSCPPAS269")</f>
        <v>https://www.codechef.com/problems/DSCPPAS269</v>
      </c>
      <c r="K34" s="14"/>
      <c r="L34" s="14"/>
      <c r="M34" s="14"/>
      <c r="N34" s="14" t="s">
        <v>50</v>
      </c>
      <c r="O34" s="14" t="s">
        <v>51</v>
      </c>
    </row>
    <row r="35" spans="1:15">
      <c r="A35" s="15" t="s">
        <v>9</v>
      </c>
      <c r="B35" s="15" t="s">
        <v>368</v>
      </c>
      <c r="C35" s="15" t="s">
        <v>369</v>
      </c>
      <c r="D35" s="15" t="s">
        <v>370</v>
      </c>
      <c r="E35" s="15">
        <v>7</v>
      </c>
      <c r="F35" s="15" t="s">
        <v>385</v>
      </c>
      <c r="G35" s="15" t="s">
        <v>386</v>
      </c>
      <c r="H35" s="15" t="s">
        <v>327</v>
      </c>
      <c r="I35" s="15" t="s">
        <v>49</v>
      </c>
      <c r="J35" s="7" t="str">
        <f>HYPERLINK("https://www.codechef.com/problems/ONP", "https://www.codechef.com/problems/ONP")</f>
        <v>https://www.codechef.com/problems/ONP</v>
      </c>
      <c r="K35" s="15"/>
      <c r="L35" s="15" t="s">
        <v>387</v>
      </c>
      <c r="M35" s="15"/>
      <c r="N35" s="15" t="s">
        <v>50</v>
      </c>
      <c r="O35" s="15" t="s">
        <v>51</v>
      </c>
    </row>
    <row r="36" spans="1:15">
      <c r="A36" s="14" t="s">
        <v>9</v>
      </c>
      <c r="B36" s="14" t="s">
        <v>368</v>
      </c>
      <c r="C36" s="14" t="s">
        <v>369</v>
      </c>
      <c r="D36" s="14" t="s">
        <v>370</v>
      </c>
      <c r="E36" s="14">
        <v>8</v>
      </c>
      <c r="F36" s="14" t="s">
        <v>388</v>
      </c>
      <c r="G36" s="14" t="s">
        <v>389</v>
      </c>
      <c r="H36" s="14"/>
      <c r="I36" s="14" t="s">
        <v>96</v>
      </c>
      <c r="J36" s="11" t="str">
        <f>HYPERLINK("https://www.codechef.com/problems/DRKTZ01", "https://www.codechef.com/problems/DRKTZ01")</f>
        <v>https://www.codechef.com/problems/DRKTZ01</v>
      </c>
      <c r="K36" s="14"/>
      <c r="L36" s="14"/>
      <c r="M36" s="14"/>
      <c r="N36" s="14" t="s">
        <v>50</v>
      </c>
      <c r="O36" s="14" t="s">
        <v>51</v>
      </c>
    </row>
    <row r="37" spans="1:15">
      <c r="A37" s="15" t="s">
        <v>9</v>
      </c>
      <c r="B37" s="15" t="s">
        <v>368</v>
      </c>
      <c r="C37" s="15" t="s">
        <v>369</v>
      </c>
      <c r="D37" s="15" t="s">
        <v>390</v>
      </c>
      <c r="E37" s="15">
        <v>9</v>
      </c>
      <c r="F37" s="15" t="s">
        <v>391</v>
      </c>
      <c r="G37" s="15" t="s">
        <v>392</v>
      </c>
      <c r="H37" s="15" t="s">
        <v>180</v>
      </c>
      <c r="I37" s="15" t="s">
        <v>49</v>
      </c>
      <c r="J37" s="7" t="str">
        <f>HYPERLINK("https://www.codechef.com/problems/PREP21", "https://www.codechef.com/problems/PREP21")</f>
        <v>https://www.codechef.com/problems/PREP21</v>
      </c>
      <c r="K37" s="15"/>
      <c r="L37" s="15"/>
      <c r="M37" s="15"/>
      <c r="N37" s="15" t="s">
        <v>50</v>
      </c>
      <c r="O37" s="15" t="s">
        <v>51</v>
      </c>
    </row>
    <row r="38" spans="1:15">
      <c r="A38" s="14" t="s">
        <v>9</v>
      </c>
      <c r="B38" s="14" t="s">
        <v>368</v>
      </c>
      <c r="C38" s="14" t="s">
        <v>369</v>
      </c>
      <c r="D38" s="14" t="s">
        <v>390</v>
      </c>
      <c r="E38" s="14">
        <v>10</v>
      </c>
      <c r="F38" s="14" t="s">
        <v>393</v>
      </c>
      <c r="G38" s="14" t="s">
        <v>394</v>
      </c>
      <c r="H38" s="14" t="s">
        <v>340</v>
      </c>
      <c r="I38" s="14" t="s">
        <v>96</v>
      </c>
      <c r="J38" s="11" t="str">
        <f>HYPERLINK("https://www.codechef.com/problems/STKSORT", "https://www.codechef.com/problems/STKSORT")</f>
        <v>https://www.codechef.com/problems/STKSORT</v>
      </c>
      <c r="K38" s="14"/>
      <c r="L38" s="14"/>
      <c r="M38" s="14"/>
      <c r="N38" s="14" t="s">
        <v>50</v>
      </c>
      <c r="O38" s="14" t="s">
        <v>51</v>
      </c>
    </row>
    <row r="39" spans="1:15">
      <c r="A39" s="15" t="s">
        <v>9</v>
      </c>
      <c r="B39" s="15" t="s">
        <v>368</v>
      </c>
      <c r="C39" s="15" t="s">
        <v>369</v>
      </c>
      <c r="D39" s="15" t="s">
        <v>390</v>
      </c>
      <c r="E39" s="15">
        <v>11</v>
      </c>
      <c r="F39" s="15" t="s">
        <v>371</v>
      </c>
      <c r="G39" s="15" t="s">
        <v>395</v>
      </c>
      <c r="H39" s="15"/>
      <c r="I39" s="15" t="s">
        <v>96</v>
      </c>
      <c r="J39" s="7" t="str">
        <f>HYPERLINK("https://www.codechef.com/problems/LEJQI01", "https://www.codechef.com/problems/LEJQI01")</f>
        <v>https://www.codechef.com/problems/LEJQI01</v>
      </c>
      <c r="K39" s="15"/>
      <c r="L39" s="15"/>
      <c r="M39" s="15"/>
      <c r="N39" s="15" t="s">
        <v>50</v>
      </c>
      <c r="O39" s="15" t="s">
        <v>51</v>
      </c>
    </row>
    <row r="40" spans="1:15">
      <c r="A40" s="14" t="s">
        <v>9</v>
      </c>
      <c r="B40" s="14" t="s">
        <v>368</v>
      </c>
      <c r="C40" s="14" t="s">
        <v>369</v>
      </c>
      <c r="D40" s="14" t="s">
        <v>390</v>
      </c>
      <c r="E40" s="14">
        <v>12</v>
      </c>
      <c r="F40" s="14" t="s">
        <v>396</v>
      </c>
      <c r="G40" s="14" t="s">
        <v>397</v>
      </c>
      <c r="H40" s="14" t="s">
        <v>180</v>
      </c>
      <c r="I40" s="14" t="s">
        <v>49</v>
      </c>
      <c r="J40" s="11" t="str">
        <f>HYPERLINK("https://www.codechef.com/problems/PREP60", "https://www.codechef.com/problems/PREP60")</f>
        <v>https://www.codechef.com/problems/PREP60</v>
      </c>
      <c r="K40" s="14"/>
      <c r="L40" s="14"/>
      <c r="M40" s="14"/>
      <c r="N40" s="14" t="s">
        <v>50</v>
      </c>
      <c r="O40" s="14" t="s">
        <v>51</v>
      </c>
    </row>
    <row r="41" spans="1:15">
      <c r="A41" s="15" t="s">
        <v>9</v>
      </c>
      <c r="B41" s="15" t="s">
        <v>368</v>
      </c>
      <c r="C41" s="15" t="s">
        <v>369</v>
      </c>
      <c r="D41" s="15" t="s">
        <v>390</v>
      </c>
      <c r="E41" s="15">
        <v>13</v>
      </c>
      <c r="F41" s="15" t="s">
        <v>398</v>
      </c>
      <c r="G41" s="15" t="s">
        <v>399</v>
      </c>
      <c r="H41" s="15"/>
      <c r="I41" s="15" t="s">
        <v>96</v>
      </c>
      <c r="J41" s="7" t="str">
        <f>HYPERLINK("https://www.codechef.com/problems/HSUON01", "https://www.codechef.com/problems/HSUON01")</f>
        <v>https://www.codechef.com/problems/HSUON01</v>
      </c>
      <c r="K41" s="15"/>
      <c r="L41" s="15"/>
      <c r="M41" s="15"/>
      <c r="N41" s="15" t="s">
        <v>50</v>
      </c>
      <c r="O41" s="15" t="s">
        <v>51</v>
      </c>
    </row>
    <row r="42" spans="1:15">
      <c r="A42" s="14" t="s">
        <v>9</v>
      </c>
      <c r="B42" s="14" t="s">
        <v>368</v>
      </c>
      <c r="C42" s="14" t="s">
        <v>369</v>
      </c>
      <c r="D42" s="14" t="s">
        <v>390</v>
      </c>
      <c r="E42" s="14">
        <v>14</v>
      </c>
      <c r="F42" s="14" t="s">
        <v>400</v>
      </c>
      <c r="G42" s="14" t="s">
        <v>401</v>
      </c>
      <c r="H42" s="14"/>
      <c r="I42" s="14" t="s">
        <v>322</v>
      </c>
      <c r="J42" s="11" t="str">
        <f>HYPERLINK("https://www.codechef.com/problems/NFXON01", "https://www.codechef.com/problems/NFXON01")</f>
        <v>https://www.codechef.com/problems/NFXON01</v>
      </c>
      <c r="K42" s="14"/>
      <c r="L42" s="14"/>
      <c r="M42" s="14"/>
      <c r="N42" s="14" t="s">
        <v>50</v>
      </c>
      <c r="O42" s="14" t="s">
        <v>51</v>
      </c>
    </row>
    <row r="43" spans="1:15">
      <c r="A43" s="15" t="s">
        <v>9</v>
      </c>
      <c r="B43" s="15" t="s">
        <v>368</v>
      </c>
      <c r="C43" s="15" t="s">
        <v>369</v>
      </c>
      <c r="D43" s="15" t="s">
        <v>390</v>
      </c>
      <c r="E43" s="15">
        <v>15</v>
      </c>
      <c r="F43" s="15" t="s">
        <v>402</v>
      </c>
      <c r="G43" s="15" t="s">
        <v>403</v>
      </c>
      <c r="H43" s="15" t="s">
        <v>343</v>
      </c>
      <c r="I43" s="15" t="s">
        <v>96</v>
      </c>
      <c r="J43" s="7" t="str">
        <f>HYPERLINK("https://www.codechef.com/problems/SUSSTR", "https://www.codechef.com/problems/SUSSTR")</f>
        <v>https://www.codechef.com/problems/SUSSTR</v>
      </c>
      <c r="K43" s="15"/>
      <c r="L43" s="15"/>
      <c r="M43" s="15"/>
      <c r="N43" s="15" t="s">
        <v>50</v>
      </c>
      <c r="O43" s="15" t="s">
        <v>51</v>
      </c>
    </row>
    <row r="44" spans="1:15">
      <c r="A44" s="14" t="s">
        <v>9</v>
      </c>
      <c r="B44" s="14" t="s">
        <v>368</v>
      </c>
      <c r="C44" s="14" t="s">
        <v>369</v>
      </c>
      <c r="D44" s="14" t="s">
        <v>390</v>
      </c>
      <c r="E44" s="14">
        <v>16</v>
      </c>
      <c r="F44" s="14" t="s">
        <v>404</v>
      </c>
      <c r="G44" s="14" t="s">
        <v>405</v>
      </c>
      <c r="H44" s="14" t="s">
        <v>406</v>
      </c>
      <c r="I44" s="14" t="s">
        <v>96</v>
      </c>
      <c r="J44" s="11" t="str">
        <f>HYPERLINK("https://www.codechef.com/problems/SPLITPAL", "https://www.codechef.com/problems/SPLITPAL")</f>
        <v>https://www.codechef.com/problems/SPLITPAL</v>
      </c>
      <c r="K44" s="14"/>
      <c r="L44" s="14"/>
      <c r="M44" s="14"/>
      <c r="N44" s="14" t="s">
        <v>50</v>
      </c>
      <c r="O44" s="14" t="s">
        <v>51</v>
      </c>
    </row>
    <row r="45" spans="1:15">
      <c r="A45" s="15" t="s">
        <v>9</v>
      </c>
      <c r="B45" s="15" t="s">
        <v>368</v>
      </c>
      <c r="C45" s="15" t="s">
        <v>369</v>
      </c>
      <c r="D45" s="15" t="s">
        <v>390</v>
      </c>
      <c r="E45" s="15">
        <v>17</v>
      </c>
      <c r="F45" s="15" t="s">
        <v>407</v>
      </c>
      <c r="G45" s="15" t="s">
        <v>408</v>
      </c>
      <c r="H45" s="15" t="s">
        <v>348</v>
      </c>
      <c r="I45" s="15" t="s">
        <v>96</v>
      </c>
      <c r="J45" s="7" t="str">
        <f>HYPERLINK("https://www.codechef.com/problems/PREP23", "https://www.codechef.com/problems/PREP23")</f>
        <v>https://www.codechef.com/problems/PREP23</v>
      </c>
      <c r="K45" s="15"/>
      <c r="L45" s="15"/>
      <c r="M45" s="15"/>
      <c r="N45" s="15" t="s">
        <v>50</v>
      </c>
      <c r="O45" s="15" t="s">
        <v>51</v>
      </c>
    </row>
    <row r="46" spans="1:15">
      <c r="A46" s="14" t="s">
        <v>9</v>
      </c>
      <c r="B46" s="14" t="s">
        <v>368</v>
      </c>
      <c r="C46" s="14" t="s">
        <v>369</v>
      </c>
      <c r="D46" s="14" t="s">
        <v>390</v>
      </c>
      <c r="E46" s="14">
        <v>18</v>
      </c>
      <c r="F46" s="14" t="s">
        <v>409</v>
      </c>
      <c r="G46" s="14" t="s">
        <v>410</v>
      </c>
      <c r="H46" s="14"/>
      <c r="I46" s="14" t="s">
        <v>322</v>
      </c>
      <c r="J46" s="11" t="str">
        <f>HYPERLINK("https://www.codechef.com/problems/JQJTY01", "https://www.codechef.com/problems/JQJTY01")</f>
        <v>https://www.codechef.com/problems/JQJTY01</v>
      </c>
      <c r="K46" s="14"/>
      <c r="L46" s="14"/>
      <c r="M46" s="14"/>
      <c r="N46" s="14" t="s">
        <v>50</v>
      </c>
      <c r="O46" s="14" t="s">
        <v>51</v>
      </c>
    </row>
    <row r="47" spans="1:15">
      <c r="A47" s="15" t="s">
        <v>9</v>
      </c>
      <c r="B47" s="15" t="s">
        <v>368</v>
      </c>
      <c r="C47" s="15" t="s">
        <v>369</v>
      </c>
      <c r="D47" s="15" t="s">
        <v>390</v>
      </c>
      <c r="E47" s="15">
        <v>19</v>
      </c>
      <c r="F47" s="15" t="s">
        <v>411</v>
      </c>
      <c r="G47" s="15" t="s">
        <v>412</v>
      </c>
      <c r="H47" s="15" t="s">
        <v>413</v>
      </c>
      <c r="I47" s="15" t="s">
        <v>96</v>
      </c>
      <c r="J47" s="7" t="str">
        <f>HYPERLINK("https://www.codechef.com/problems/PREP22", "https://www.codechef.com/problems/PREP22")</f>
        <v>https://www.codechef.com/problems/PREP22</v>
      </c>
      <c r="K47" s="15"/>
      <c r="L47" s="15" t="s">
        <v>414</v>
      </c>
      <c r="M47" s="15"/>
      <c r="N47" s="15" t="s">
        <v>50</v>
      </c>
      <c r="O47" s="15" t="s">
        <v>51</v>
      </c>
    </row>
    <row r="48" spans="1:15">
      <c r="A48" s="14" t="s">
        <v>9</v>
      </c>
      <c r="B48" s="14" t="s">
        <v>368</v>
      </c>
      <c r="C48" s="14" t="s">
        <v>369</v>
      </c>
      <c r="D48" s="14" t="s">
        <v>390</v>
      </c>
      <c r="E48" s="14">
        <v>20</v>
      </c>
      <c r="F48" s="14" t="s">
        <v>415</v>
      </c>
      <c r="G48" s="14" t="s">
        <v>416</v>
      </c>
      <c r="H48" s="14"/>
      <c r="I48" s="14" t="s">
        <v>322</v>
      </c>
      <c r="J48" s="11" t="str">
        <f>HYPERLINK("https://www.codechef.com/problems/IEIJT01", "https://www.codechef.com/problems/IEIJT01")</f>
        <v>https://www.codechef.com/problems/IEIJT01</v>
      </c>
      <c r="K48" s="14"/>
      <c r="L48" s="14"/>
      <c r="M48" s="14"/>
      <c r="N48" s="14" t="s">
        <v>50</v>
      </c>
      <c r="O48" s="14" t="s">
        <v>51</v>
      </c>
    </row>
    <row r="49" spans="1:15">
      <c r="A49" s="15" t="s">
        <v>9</v>
      </c>
      <c r="B49" s="15" t="s">
        <v>368</v>
      </c>
      <c r="C49" s="15" t="s">
        <v>369</v>
      </c>
      <c r="D49" s="15" t="s">
        <v>390</v>
      </c>
      <c r="E49" s="15">
        <v>21</v>
      </c>
      <c r="F49" s="15" t="s">
        <v>417</v>
      </c>
      <c r="G49" s="15" t="s">
        <v>418</v>
      </c>
      <c r="H49" s="15" t="s">
        <v>419</v>
      </c>
      <c r="I49" s="15" t="s">
        <v>96</v>
      </c>
      <c r="J49" s="7" t="str">
        <f>HYPERLINK("https://www.codechef.com/problems/COMPILER", "https://www.codechef.com/problems/COMPILER")</f>
        <v>https://www.codechef.com/problems/COMPILER</v>
      </c>
      <c r="K49" s="15"/>
      <c r="L49" s="15" t="s">
        <v>420</v>
      </c>
      <c r="M49" s="15"/>
      <c r="N49" s="15" t="s">
        <v>50</v>
      </c>
      <c r="O49" s="15" t="s">
        <v>51</v>
      </c>
    </row>
    <row r="50" spans="1:15">
      <c r="A50" s="14" t="s">
        <v>9</v>
      </c>
      <c r="B50" s="14" t="s">
        <v>368</v>
      </c>
      <c r="C50" s="14" t="s">
        <v>369</v>
      </c>
      <c r="D50" s="14" t="s">
        <v>390</v>
      </c>
      <c r="E50" s="14">
        <v>22</v>
      </c>
      <c r="F50" s="14" t="s">
        <v>421</v>
      </c>
      <c r="G50" s="14" t="s">
        <v>422</v>
      </c>
      <c r="H50" s="14" t="s">
        <v>423</v>
      </c>
      <c r="I50" s="14" t="s">
        <v>96</v>
      </c>
      <c r="J50" s="11" t="str">
        <f>HYPERLINK("https://www.codechef.com/problems/SDSTRING", "https://www.codechef.com/problems/SDSTRING")</f>
        <v>https://www.codechef.com/problems/SDSTRING</v>
      </c>
      <c r="K50" s="14"/>
      <c r="L50" s="14"/>
      <c r="M50" s="14"/>
      <c r="N50" s="14" t="s">
        <v>50</v>
      </c>
      <c r="O50" s="14" t="s">
        <v>51</v>
      </c>
    </row>
    <row r="51" spans="1:15">
      <c r="A51" s="15" t="s">
        <v>9</v>
      </c>
      <c r="B51" s="15" t="s">
        <v>368</v>
      </c>
      <c r="C51" s="15" t="s">
        <v>369</v>
      </c>
      <c r="D51" s="15" t="s">
        <v>390</v>
      </c>
      <c r="E51" s="15">
        <v>23</v>
      </c>
      <c r="F51" s="15" t="s">
        <v>424</v>
      </c>
      <c r="G51" s="15" t="s">
        <v>425</v>
      </c>
      <c r="H51" s="15" t="s">
        <v>413</v>
      </c>
      <c r="I51" s="15" t="s">
        <v>96</v>
      </c>
      <c r="J51" s="7" t="str">
        <f>HYPERLINK("https://www.codechef.com/problems/MXWATR", "https://www.codechef.com/problems/MXWATR")</f>
        <v>https://www.codechef.com/problems/MXWATR</v>
      </c>
      <c r="K51" s="15"/>
      <c r="L51" s="15"/>
      <c r="M51" s="15"/>
      <c r="N51" s="15" t="s">
        <v>50</v>
      </c>
      <c r="O51" s="15" t="s">
        <v>51</v>
      </c>
    </row>
    <row r="52" spans="1:15">
      <c r="A52" s="14" t="s">
        <v>9</v>
      </c>
      <c r="B52" s="14" t="s">
        <v>368</v>
      </c>
      <c r="C52" s="14" t="s">
        <v>369</v>
      </c>
      <c r="D52" s="14" t="s">
        <v>390</v>
      </c>
      <c r="E52" s="14">
        <v>24</v>
      </c>
      <c r="F52" s="14" t="s">
        <v>426</v>
      </c>
      <c r="G52" s="14" t="s">
        <v>427</v>
      </c>
      <c r="H52" s="14" t="s">
        <v>361</v>
      </c>
      <c r="I52" s="14" t="s">
        <v>96</v>
      </c>
      <c r="J52" s="11" t="str">
        <f>HYPERLINK("https://www.codechef.com/problems/MAXREC", "https://www.codechef.com/problems/MAXREC")</f>
        <v>https://www.codechef.com/problems/MAXREC</v>
      </c>
      <c r="K52" s="14"/>
      <c r="L52" s="14"/>
      <c r="M52" s="14"/>
      <c r="N52" s="14" t="s">
        <v>50</v>
      </c>
      <c r="O52" s="14" t="s">
        <v>51</v>
      </c>
    </row>
    <row r="53" spans="1:15">
      <c r="A53" s="15" t="s">
        <v>9</v>
      </c>
      <c r="B53" s="15" t="s">
        <v>368</v>
      </c>
      <c r="C53" s="15" t="s">
        <v>369</v>
      </c>
      <c r="D53" s="15" t="s">
        <v>390</v>
      </c>
      <c r="E53" s="15">
        <v>25</v>
      </c>
      <c r="F53" s="15" t="s">
        <v>428</v>
      </c>
      <c r="G53" s="15" t="s">
        <v>429</v>
      </c>
      <c r="H53" s="15"/>
      <c r="I53" s="15" t="s">
        <v>322</v>
      </c>
      <c r="J53" s="7" t="str">
        <f>HYPERLINK("https://www.codechef.com/problems/DSCPPAS272", "https://www.codechef.com/problems/DSCPPAS272")</f>
        <v>https://www.codechef.com/problems/DSCPPAS272</v>
      </c>
      <c r="K53" s="15"/>
      <c r="L53" s="15"/>
      <c r="M53" s="15"/>
      <c r="N53" s="15" t="s">
        <v>50</v>
      </c>
      <c r="O53" s="15" t="s">
        <v>51</v>
      </c>
    </row>
    <row r="54" spans="1:15">
      <c r="A54" s="14" t="s">
        <v>9</v>
      </c>
      <c r="B54" s="14" t="s">
        <v>430</v>
      </c>
      <c r="C54" s="14" t="s">
        <v>431</v>
      </c>
      <c r="D54" s="14" t="s">
        <v>432</v>
      </c>
      <c r="E54" s="14">
        <v>1</v>
      </c>
      <c r="F54" s="14" t="s">
        <v>433</v>
      </c>
      <c r="G54" s="14" t="s">
        <v>434</v>
      </c>
      <c r="H54" s="14"/>
      <c r="I54" s="14" t="s">
        <v>49</v>
      </c>
      <c r="J54" s="11" t="str">
        <f>HYPERLINK("https://www.codechef.com/problems/MATDEF", "https://www.codechef.com/problems/MATDEF")</f>
        <v>https://www.codechef.com/problems/MATDEF</v>
      </c>
      <c r="K54" s="14"/>
      <c r="L54" s="14"/>
      <c r="M54" s="14"/>
      <c r="N54" s="14" t="s">
        <v>50</v>
      </c>
      <c r="O54" s="14" t="s">
        <v>51</v>
      </c>
    </row>
    <row r="55" spans="1:15">
      <c r="A55" s="15" t="s">
        <v>9</v>
      </c>
      <c r="B55" s="15" t="s">
        <v>430</v>
      </c>
      <c r="C55" s="15" t="s">
        <v>431</v>
      </c>
      <c r="D55" s="15" t="s">
        <v>432</v>
      </c>
      <c r="E55" s="15">
        <v>2</v>
      </c>
      <c r="F55" s="15" t="s">
        <v>435</v>
      </c>
      <c r="G55" s="15" t="s">
        <v>436</v>
      </c>
      <c r="H55" s="15"/>
      <c r="I55" s="15" t="s">
        <v>49</v>
      </c>
      <c r="J55" s="7" t="str">
        <f>HYPERLINK("https://www.codechef.com/problems/MATTYPES", "https://www.codechef.com/problems/MATTYPES")</f>
        <v>https://www.codechef.com/problems/MATTYPES</v>
      </c>
      <c r="K55" s="15"/>
      <c r="L55" s="15"/>
      <c r="M55" s="15"/>
      <c r="N55" s="15" t="s">
        <v>50</v>
      </c>
      <c r="O55" s="15" t="s">
        <v>51</v>
      </c>
    </row>
    <row r="56" spans="1:15">
      <c r="A56" s="14" t="s">
        <v>9</v>
      </c>
      <c r="B56" s="14" t="s">
        <v>430</v>
      </c>
      <c r="C56" s="14" t="s">
        <v>431</v>
      </c>
      <c r="D56" s="14" t="s">
        <v>432</v>
      </c>
      <c r="E56" s="14">
        <v>3</v>
      </c>
      <c r="F56" s="14" t="s">
        <v>437</v>
      </c>
      <c r="G56" s="14" t="s">
        <v>438</v>
      </c>
      <c r="H56" s="14"/>
      <c r="I56" s="14" t="s">
        <v>49</v>
      </c>
      <c r="J56" s="11" t="str">
        <f>HYPERLINK("https://www.codechef.com/problems/MATREP", "https://www.codechef.com/problems/MATREP")</f>
        <v>https://www.codechef.com/problems/MATREP</v>
      </c>
      <c r="K56" s="14"/>
      <c r="L56" s="14"/>
      <c r="M56" s="14"/>
      <c r="N56" s="14" t="s">
        <v>50</v>
      </c>
      <c r="O56" s="14" t="s">
        <v>51</v>
      </c>
    </row>
    <row r="57" spans="1:15">
      <c r="A57" s="15" t="s">
        <v>9</v>
      </c>
      <c r="B57" s="15" t="s">
        <v>430</v>
      </c>
      <c r="C57" s="15" t="s">
        <v>431</v>
      </c>
      <c r="D57" s="15" t="s">
        <v>432</v>
      </c>
      <c r="E57" s="15">
        <v>4</v>
      </c>
      <c r="F57" s="15" t="s">
        <v>439</v>
      </c>
      <c r="G57" s="15" t="s">
        <v>440</v>
      </c>
      <c r="H57" s="15"/>
      <c r="I57" s="15" t="s">
        <v>49</v>
      </c>
      <c r="J57" s="7" t="str">
        <f>HYPERLINK("https://www.codechef.com/problems/MATMCQ1", "https://www.codechef.com/problems/MATMCQ1")</f>
        <v>https://www.codechef.com/problems/MATMCQ1</v>
      </c>
      <c r="K57" s="15"/>
      <c r="L57" s="15"/>
      <c r="M57" s="15"/>
      <c r="N57" s="15" t="s">
        <v>50</v>
      </c>
      <c r="O57" s="15" t="s">
        <v>51</v>
      </c>
    </row>
    <row r="58" spans="1:15">
      <c r="A58" s="14" t="s">
        <v>9</v>
      </c>
      <c r="B58" s="14" t="s">
        <v>430</v>
      </c>
      <c r="C58" s="14" t="s">
        <v>431</v>
      </c>
      <c r="D58" s="14" t="s">
        <v>441</v>
      </c>
      <c r="E58" s="14">
        <v>5</v>
      </c>
      <c r="F58" s="14" t="s">
        <v>442</v>
      </c>
      <c r="G58" s="14" t="s">
        <v>443</v>
      </c>
      <c r="H58" s="14"/>
      <c r="I58" s="14" t="s">
        <v>49</v>
      </c>
      <c r="J58" s="11" t="str">
        <f>HYPERLINK("https://www.codechef.com/problems/MATADD", "https://www.codechef.com/problems/MATADD")</f>
        <v>https://www.codechef.com/problems/MATADD</v>
      </c>
      <c r="K58" s="14"/>
      <c r="L58" s="14"/>
      <c r="M58" s="14"/>
      <c r="N58" s="14" t="s">
        <v>50</v>
      </c>
      <c r="O58" s="14" t="s">
        <v>51</v>
      </c>
    </row>
    <row r="59" spans="1:15">
      <c r="A59" s="15" t="s">
        <v>9</v>
      </c>
      <c r="B59" s="15" t="s">
        <v>430</v>
      </c>
      <c r="C59" s="15" t="s">
        <v>431</v>
      </c>
      <c r="D59" s="15" t="s">
        <v>441</v>
      </c>
      <c r="E59" s="15">
        <v>6</v>
      </c>
      <c r="F59" s="15" t="s">
        <v>444</v>
      </c>
      <c r="G59" s="15" t="s">
        <v>445</v>
      </c>
      <c r="H59" s="15"/>
      <c r="I59" s="15" t="s">
        <v>96</v>
      </c>
      <c r="J59" s="7" t="str">
        <f>HYPERLINK("https://www.codechef.com/problems/MATZIGZAG", "https://www.codechef.com/problems/MATZIGZAG")</f>
        <v>https://www.codechef.com/problems/MATZIGZAG</v>
      </c>
      <c r="K59" s="15"/>
      <c r="L59" s="15"/>
      <c r="M59" s="15"/>
      <c r="N59" s="15" t="s">
        <v>50</v>
      </c>
      <c r="O59" s="15" t="s">
        <v>51</v>
      </c>
    </row>
    <row r="60" spans="1:15">
      <c r="A60" s="14" t="s">
        <v>9</v>
      </c>
      <c r="B60" s="14" t="s">
        <v>430</v>
      </c>
      <c r="C60" s="14" t="s">
        <v>431</v>
      </c>
      <c r="D60" s="14" t="s">
        <v>441</v>
      </c>
      <c r="E60" s="14">
        <v>7</v>
      </c>
      <c r="F60" s="14" t="s">
        <v>446</v>
      </c>
      <c r="G60" s="14" t="s">
        <v>447</v>
      </c>
      <c r="H60" s="14"/>
      <c r="I60" s="14" t="s">
        <v>49</v>
      </c>
      <c r="J60" s="11" t="str">
        <f>HYPERLINK("https://www.codechef.com/problems/MATTREVERSE", "https://www.codechef.com/problems/MATTREVERSE")</f>
        <v>https://www.codechef.com/problems/MATTREVERSE</v>
      </c>
      <c r="K60" s="14"/>
      <c r="L60" s="14"/>
      <c r="M60" s="14"/>
      <c r="N60" s="14" t="s">
        <v>50</v>
      </c>
      <c r="O60" s="14" t="s">
        <v>51</v>
      </c>
    </row>
    <row r="61" spans="1:15">
      <c r="A61" s="15" t="s">
        <v>9</v>
      </c>
      <c r="B61" s="15" t="s">
        <v>430</v>
      </c>
      <c r="C61" s="15" t="s">
        <v>431</v>
      </c>
      <c r="D61" s="15" t="s">
        <v>441</v>
      </c>
      <c r="E61" s="15">
        <v>8</v>
      </c>
      <c r="F61" s="15" t="s">
        <v>448</v>
      </c>
      <c r="G61" s="15" t="s">
        <v>449</v>
      </c>
      <c r="H61" s="15"/>
      <c r="I61" s="15" t="s">
        <v>49</v>
      </c>
      <c r="J61" s="7" t="str">
        <f>HYPERLINK("https://www.codechef.com/problems/MATDIAGSUM", "https://www.codechef.com/problems/MATDIAGSUM")</f>
        <v>https://www.codechef.com/problems/MATDIAGSUM</v>
      </c>
      <c r="K61" s="15"/>
      <c r="L61" s="15"/>
      <c r="M61" s="15"/>
      <c r="N61" s="15" t="s">
        <v>50</v>
      </c>
      <c r="O61" s="15" t="s">
        <v>51</v>
      </c>
    </row>
    <row r="62" spans="1:15">
      <c r="A62" s="14" t="s">
        <v>9</v>
      </c>
      <c r="B62" s="14" t="s">
        <v>430</v>
      </c>
      <c r="C62" s="14" t="s">
        <v>431</v>
      </c>
      <c r="D62" s="14" t="s">
        <v>441</v>
      </c>
      <c r="E62" s="14">
        <v>9</v>
      </c>
      <c r="F62" s="14" t="s">
        <v>450</v>
      </c>
      <c r="G62" s="14" t="s">
        <v>451</v>
      </c>
      <c r="H62" s="14"/>
      <c r="I62" s="14" t="s">
        <v>96</v>
      </c>
      <c r="J62" s="11" t="str">
        <f>HYPERLINK("https://www.codechef.com/problems/MATNEGCOUNT", "https://www.codechef.com/problems/MATNEGCOUNT")</f>
        <v>https://www.codechef.com/problems/MATNEGCOUNT</v>
      </c>
      <c r="K62" s="14"/>
      <c r="L62" s="14"/>
      <c r="M62" s="14"/>
      <c r="N62" s="14" t="s">
        <v>50</v>
      </c>
      <c r="O62" s="14" t="s">
        <v>51</v>
      </c>
    </row>
    <row r="63" spans="1:15">
      <c r="A63" s="15" t="s">
        <v>9</v>
      </c>
      <c r="B63" s="15" t="s">
        <v>430</v>
      </c>
      <c r="C63" s="15" t="s">
        <v>431</v>
      </c>
      <c r="D63" s="15" t="s">
        <v>441</v>
      </c>
      <c r="E63" s="15">
        <v>10</v>
      </c>
      <c r="F63" s="15" t="s">
        <v>452</v>
      </c>
      <c r="G63" s="15" t="s">
        <v>453</v>
      </c>
      <c r="H63" s="15"/>
      <c r="I63" s="15" t="s">
        <v>49</v>
      </c>
      <c r="J63" s="7" t="str">
        <f>HYPERLINK("https://www.codechef.com/problems/DSCPPAS263", "https://www.codechef.com/problems/DSCPPAS263")</f>
        <v>https://www.codechef.com/problems/DSCPPAS263</v>
      </c>
      <c r="K63" s="15"/>
      <c r="L63" s="15"/>
      <c r="M63" s="15"/>
      <c r="N63" s="15" t="s">
        <v>50</v>
      </c>
      <c r="O63" s="15" t="s">
        <v>51</v>
      </c>
    </row>
    <row r="64" spans="1:15">
      <c r="A64" s="14" t="s">
        <v>9</v>
      </c>
      <c r="B64" s="14" t="s">
        <v>430</v>
      </c>
      <c r="C64" s="14" t="s">
        <v>431</v>
      </c>
      <c r="D64" s="14" t="s">
        <v>441</v>
      </c>
      <c r="E64" s="14">
        <v>11</v>
      </c>
      <c r="F64" s="14" t="s">
        <v>454</v>
      </c>
      <c r="G64" s="14" t="s">
        <v>455</v>
      </c>
      <c r="H64" s="14"/>
      <c r="I64" s="14" t="s">
        <v>96</v>
      </c>
      <c r="J64" s="11" t="str">
        <f>HYPERLINK("https://www.codechef.com/problems/MATMULTIPLIC", "https://www.codechef.com/problems/MATMULTIPLIC")</f>
        <v>https://www.codechef.com/problems/MATMULTIPLIC</v>
      </c>
      <c r="K64" s="14"/>
      <c r="L64" s="14"/>
      <c r="M64" s="14"/>
      <c r="N64" s="14" t="s">
        <v>50</v>
      </c>
      <c r="O64" s="14" t="s">
        <v>51</v>
      </c>
    </row>
    <row r="65" spans="1:15">
      <c r="A65" s="15" t="s">
        <v>9</v>
      </c>
      <c r="B65" s="15" t="s">
        <v>430</v>
      </c>
      <c r="C65" s="15" t="s">
        <v>431</v>
      </c>
      <c r="D65" s="15" t="s">
        <v>441</v>
      </c>
      <c r="E65" s="15">
        <v>12</v>
      </c>
      <c r="F65" s="15" t="s">
        <v>456</v>
      </c>
      <c r="G65" s="15" t="s">
        <v>457</v>
      </c>
      <c r="H65" s="15"/>
      <c r="I65" s="15" t="s">
        <v>96</v>
      </c>
      <c r="J65" s="7" t="str">
        <f>HYPERLINK("https://www.codechef.com/problems/MATSORTDIAG", "https://www.codechef.com/problems/MATSORTDIAG")</f>
        <v>https://www.codechef.com/problems/MATSORTDIAG</v>
      </c>
      <c r="K65" s="15"/>
      <c r="L65" s="15"/>
      <c r="M65" s="15"/>
      <c r="N65" s="15" t="s">
        <v>50</v>
      </c>
      <c r="O65" s="15" t="s">
        <v>51</v>
      </c>
    </row>
    <row r="66" spans="1:15">
      <c r="A66" s="14" t="s">
        <v>9</v>
      </c>
      <c r="B66" s="14" t="s">
        <v>430</v>
      </c>
      <c r="C66" s="14" t="s">
        <v>431</v>
      </c>
      <c r="D66" s="14" t="s">
        <v>441</v>
      </c>
      <c r="E66" s="14">
        <v>13</v>
      </c>
      <c r="F66" s="14" t="s">
        <v>458</v>
      </c>
      <c r="G66" s="14" t="s">
        <v>459</v>
      </c>
      <c r="H66" s="14"/>
      <c r="I66" s="14" t="s">
        <v>96</v>
      </c>
      <c r="J66" s="11" t="str">
        <f>HYPERLINK("https://www.codechef.com/problems/MATSETZERO", "https://www.codechef.com/problems/MATSETZERO")</f>
        <v>https://www.codechef.com/problems/MATSETZERO</v>
      </c>
      <c r="K66" s="14"/>
      <c r="L66" s="14"/>
      <c r="M66" s="14"/>
      <c r="N66" s="14" t="s">
        <v>50</v>
      </c>
      <c r="O66" s="14" t="s">
        <v>51</v>
      </c>
    </row>
    <row r="67" spans="1:15">
      <c r="A67" s="15" t="s">
        <v>9</v>
      </c>
      <c r="B67" s="15" t="s">
        <v>430</v>
      </c>
      <c r="C67" s="15" t="s">
        <v>431</v>
      </c>
      <c r="D67" s="15" t="s">
        <v>441</v>
      </c>
      <c r="E67" s="15">
        <v>14</v>
      </c>
      <c r="F67" s="15" t="s">
        <v>460</v>
      </c>
      <c r="G67" s="15" t="s">
        <v>461</v>
      </c>
      <c r="H67" s="15"/>
      <c r="I67" s="15" t="s">
        <v>96</v>
      </c>
      <c r="J67" s="7" t="str">
        <f>HYPERLINK("https://www.codechef.com/problems/MATROTATE", "https://www.codechef.com/problems/MATROTATE")</f>
        <v>https://www.codechef.com/problems/MATROTATE</v>
      </c>
      <c r="K67" s="15"/>
      <c r="L67" s="15"/>
      <c r="M67" s="15"/>
      <c r="N67" s="15" t="s">
        <v>50</v>
      </c>
      <c r="O67" s="15" t="s">
        <v>51</v>
      </c>
    </row>
    <row r="68" spans="1:15">
      <c r="A68" s="14" t="s">
        <v>9</v>
      </c>
      <c r="B68" s="14" t="s">
        <v>430</v>
      </c>
      <c r="C68" s="14" t="s">
        <v>431</v>
      </c>
      <c r="D68" s="14" t="s">
        <v>441</v>
      </c>
      <c r="E68" s="14">
        <v>15</v>
      </c>
      <c r="F68" s="14" t="s">
        <v>462</v>
      </c>
      <c r="G68" s="14" t="s">
        <v>463</v>
      </c>
      <c r="H68" s="14"/>
      <c r="I68" s="14" t="s">
        <v>96</v>
      </c>
      <c r="J68" s="11" t="str">
        <f>HYPERLINK("https://www.codechef.com/problems/MATMAXROW", "https://www.codechef.com/problems/MATMAXROW")</f>
        <v>https://www.codechef.com/problems/MATMAXROW</v>
      </c>
      <c r="K68" s="14"/>
      <c r="L68" s="14"/>
      <c r="M68" s="14"/>
      <c r="N68" s="14" t="s">
        <v>50</v>
      </c>
      <c r="O68" s="14" t="s">
        <v>51</v>
      </c>
    </row>
    <row r="69" spans="1:15">
      <c r="A69" s="15" t="s">
        <v>9</v>
      </c>
      <c r="B69" s="15" t="s">
        <v>430</v>
      </c>
      <c r="C69" s="15" t="s">
        <v>431</v>
      </c>
      <c r="D69" s="15" t="s">
        <v>441</v>
      </c>
      <c r="E69" s="15">
        <v>16</v>
      </c>
      <c r="F69" s="15" t="s">
        <v>464</v>
      </c>
      <c r="G69" s="15" t="s">
        <v>465</v>
      </c>
      <c r="H69" s="15"/>
      <c r="I69" s="15" t="s">
        <v>96</v>
      </c>
      <c r="J69" s="7" t="str">
        <f>HYPERLINK("https://www.codechef.com/problems/MATEQRC", "https://www.codechef.com/problems/MATEQRC")</f>
        <v>https://www.codechef.com/problems/MATEQRC</v>
      </c>
      <c r="K69" s="15"/>
      <c r="L69" s="15"/>
      <c r="M69" s="15"/>
      <c r="N69" s="15" t="s">
        <v>50</v>
      </c>
      <c r="O69" s="15" t="s">
        <v>51</v>
      </c>
    </row>
    <row r="70" spans="1:15">
      <c r="A70" s="14" t="s">
        <v>9</v>
      </c>
      <c r="B70" s="14" t="s">
        <v>430</v>
      </c>
      <c r="C70" s="14" t="s">
        <v>431</v>
      </c>
      <c r="D70" s="14" t="s">
        <v>441</v>
      </c>
      <c r="E70" s="14">
        <v>17</v>
      </c>
      <c r="F70" s="14" t="s">
        <v>466</v>
      </c>
      <c r="G70" s="14" t="s">
        <v>467</v>
      </c>
      <c r="H70" s="14"/>
      <c r="I70" s="14" t="s">
        <v>96</v>
      </c>
      <c r="J70" s="11" t="str">
        <f>HYPERLINK("https://www.codechef.com/problems/MATMINPATH", "https://www.codechef.com/problems/MATMINPATH")</f>
        <v>https://www.codechef.com/problems/MATMINPATH</v>
      </c>
      <c r="K70" s="14"/>
      <c r="L70" s="14"/>
      <c r="M70" s="14"/>
      <c r="N70" s="14" t="s">
        <v>50</v>
      </c>
      <c r="O70" s="14" t="s">
        <v>51</v>
      </c>
    </row>
    <row r="71" spans="1:15">
      <c r="A71" s="15" t="s">
        <v>9</v>
      </c>
      <c r="B71" s="15" t="s">
        <v>430</v>
      </c>
      <c r="C71" s="15" t="s">
        <v>431</v>
      </c>
      <c r="D71" s="15" t="s">
        <v>441</v>
      </c>
      <c r="E71" s="15">
        <v>18</v>
      </c>
      <c r="F71" s="15" t="s">
        <v>468</v>
      </c>
      <c r="G71" s="15" t="s">
        <v>469</v>
      </c>
      <c r="H71" s="15"/>
      <c r="I71" s="15" t="s">
        <v>322</v>
      </c>
      <c r="J71" s="7" t="str">
        <f>HYPERLINK("https://www.codechef.com/problems/MATMAXSQ", "https://www.codechef.com/problems/MATMAXSQ")</f>
        <v>https://www.codechef.com/problems/MATMAXSQ</v>
      </c>
      <c r="K71" s="15"/>
      <c r="L71" s="15"/>
      <c r="M71" s="15"/>
      <c r="N71" s="15" t="s">
        <v>50</v>
      </c>
      <c r="O71" s="15" t="s">
        <v>51</v>
      </c>
    </row>
    <row r="72" spans="1:15">
      <c r="A72" s="14" t="s">
        <v>9</v>
      </c>
      <c r="B72" s="14" t="s">
        <v>430</v>
      </c>
      <c r="C72" s="14" t="s">
        <v>431</v>
      </c>
      <c r="D72" s="14" t="s">
        <v>441</v>
      </c>
      <c r="E72" s="14">
        <v>19</v>
      </c>
      <c r="F72" s="14" t="s">
        <v>470</v>
      </c>
      <c r="G72" s="14" t="s">
        <v>471</v>
      </c>
      <c r="H72" s="14"/>
      <c r="I72" s="14" t="s">
        <v>96</v>
      </c>
      <c r="J72" s="11" t="str">
        <f>HYPERLINK("https://www.codechef.com/problems/MATSPIRAL", "https://www.codechef.com/problems/MATSPIRAL")</f>
        <v>https://www.codechef.com/problems/MATSPIRAL</v>
      </c>
      <c r="K72" s="14"/>
      <c r="L72" s="14"/>
      <c r="M72" s="14"/>
      <c r="N72" s="14" t="s">
        <v>50</v>
      </c>
      <c r="O72" s="14" t="s">
        <v>51</v>
      </c>
    </row>
    <row r="73" spans="1:15">
      <c r="A73" s="15" t="s">
        <v>9</v>
      </c>
      <c r="B73" s="15" t="s">
        <v>430</v>
      </c>
      <c r="C73" s="15" t="s">
        <v>431</v>
      </c>
      <c r="D73" s="15" t="s">
        <v>441</v>
      </c>
      <c r="E73" s="15">
        <v>20</v>
      </c>
      <c r="F73" s="15" t="s">
        <v>472</v>
      </c>
      <c r="G73" s="15" t="s">
        <v>473</v>
      </c>
      <c r="H73" s="15"/>
      <c r="I73" s="15" t="s">
        <v>96</v>
      </c>
      <c r="J73" s="7" t="str">
        <f>HYPERLINK("https://www.codechef.com/problems/MATMAXISLAND", "https://www.codechef.com/problems/MATMAXISLAND")</f>
        <v>https://www.codechef.com/problems/MATMAXISLAND</v>
      </c>
      <c r="K73" s="15"/>
      <c r="L73" s="15"/>
      <c r="M73" s="15"/>
      <c r="N73" s="15" t="s">
        <v>50</v>
      </c>
      <c r="O73" s="15" t="s">
        <v>51</v>
      </c>
    </row>
    <row r="74" spans="1:15">
      <c r="A74" s="14" t="s">
        <v>9</v>
      </c>
      <c r="B74" s="14" t="s">
        <v>430</v>
      </c>
      <c r="C74" s="14" t="s">
        <v>431</v>
      </c>
      <c r="D74" s="14" t="s">
        <v>441</v>
      </c>
      <c r="E74" s="14">
        <v>21</v>
      </c>
      <c r="F74" s="14" t="s">
        <v>474</v>
      </c>
      <c r="G74" s="14" t="s">
        <v>475</v>
      </c>
      <c r="H74" s="14"/>
      <c r="I74" s="14" t="s">
        <v>322</v>
      </c>
      <c r="J74" s="11" t="str">
        <f>HYPERLINK("https://www.codechef.com/problems/MATROTAPPLE", "https://www.codechef.com/problems/MATROTAPPLE")</f>
        <v>https://www.codechef.com/problems/MATROTAPPLE</v>
      </c>
      <c r="K74" s="14"/>
      <c r="L74" s="14" t="s">
        <v>476</v>
      </c>
      <c r="M74" s="14"/>
      <c r="N74" s="14" t="s">
        <v>50</v>
      </c>
      <c r="O74" s="14" t="s">
        <v>51</v>
      </c>
    </row>
    <row r="75" spans="1:15">
      <c r="A75" s="15" t="s">
        <v>9</v>
      </c>
      <c r="B75" s="15" t="s">
        <v>430</v>
      </c>
      <c r="C75" s="15" t="s">
        <v>431</v>
      </c>
      <c r="D75" s="15" t="s">
        <v>441</v>
      </c>
      <c r="E75" s="15">
        <v>22</v>
      </c>
      <c r="F75" s="15" t="s">
        <v>477</v>
      </c>
      <c r="G75" s="15" t="s">
        <v>478</v>
      </c>
      <c r="H75" s="15"/>
      <c r="I75" s="15" t="s">
        <v>96</v>
      </c>
      <c r="J75" s="7" t="str">
        <f>HYPERLINK("https://www.codechef.com/problems/MATSEARCH", "https://www.codechef.com/problems/MATSEARCH")</f>
        <v>https://www.codechef.com/problems/MATSEARCH</v>
      </c>
      <c r="K75" s="15"/>
      <c r="L75" s="15"/>
      <c r="M75" s="15"/>
      <c r="N75" s="15" t="s">
        <v>50</v>
      </c>
      <c r="O75" s="15" t="s">
        <v>51</v>
      </c>
    </row>
    <row r="76" spans="1:15">
      <c r="A76" s="14" t="s">
        <v>9</v>
      </c>
      <c r="B76" s="14" t="s">
        <v>430</v>
      </c>
      <c r="C76" s="14" t="s">
        <v>431</v>
      </c>
      <c r="D76" s="14" t="s">
        <v>441</v>
      </c>
      <c r="E76" s="14">
        <v>23</v>
      </c>
      <c r="F76" s="14" t="s">
        <v>479</v>
      </c>
      <c r="G76" s="14" t="s">
        <v>480</v>
      </c>
      <c r="H76" s="14"/>
      <c r="I76" s="14" t="s">
        <v>322</v>
      </c>
      <c r="J76" s="11" t="str">
        <f>HYPERLINK("https://www.codechef.com/problems/MATNEARESTO", "https://www.codechef.com/problems/MATNEARESTO")</f>
        <v>https://www.codechef.com/problems/MATNEARESTO</v>
      </c>
      <c r="K76" s="14"/>
      <c r="L76" s="14"/>
      <c r="M76" s="14"/>
      <c r="N76" s="14" t="s">
        <v>50</v>
      </c>
      <c r="O76" s="14" t="s">
        <v>51</v>
      </c>
    </row>
    <row r="77" spans="1:15">
      <c r="A77" s="15" t="s">
        <v>9</v>
      </c>
      <c r="B77" s="15" t="s">
        <v>430</v>
      </c>
      <c r="C77" s="15" t="s">
        <v>431</v>
      </c>
      <c r="D77" s="15" t="s">
        <v>441</v>
      </c>
      <c r="E77" s="15">
        <v>24</v>
      </c>
      <c r="F77" s="15" t="s">
        <v>481</v>
      </c>
      <c r="G77" s="15" t="s">
        <v>482</v>
      </c>
      <c r="H77" s="15"/>
      <c r="I77" s="15" t="s">
        <v>322</v>
      </c>
      <c r="J77" s="7" t="str">
        <f>HYPERLINK("https://www.codechef.com/problems/MATMEDIAN", "https://www.codechef.com/problems/MATMEDIAN")</f>
        <v>https://www.codechef.com/problems/MATMEDIAN</v>
      </c>
      <c r="K77" s="15"/>
      <c r="L77" s="15"/>
      <c r="M77" s="15"/>
      <c r="N77" s="15" t="s">
        <v>50</v>
      </c>
      <c r="O77" s="15" t="s">
        <v>51</v>
      </c>
    </row>
    <row r="78" spans="1:15">
      <c r="A78" s="14" t="s">
        <v>9</v>
      </c>
      <c r="B78" s="14" t="s">
        <v>483</v>
      </c>
      <c r="C78" s="14" t="s">
        <v>484</v>
      </c>
      <c r="D78" s="14" t="s">
        <v>485</v>
      </c>
      <c r="E78" s="14">
        <v>1</v>
      </c>
      <c r="F78" s="14" t="s">
        <v>486</v>
      </c>
      <c r="G78" s="14" t="s">
        <v>487</v>
      </c>
      <c r="H78" s="14" t="s">
        <v>488</v>
      </c>
      <c r="I78" s="14" t="s">
        <v>49</v>
      </c>
      <c r="J78" s="11" t="str">
        <f>HYPERLINK("https://www.codechef.com/problems/HEAPEDU0", "https://www.codechef.com/problems/HEAPEDU0")</f>
        <v>https://www.codechef.com/problems/HEAPEDU0</v>
      </c>
      <c r="K78" s="14"/>
      <c r="L78" s="14"/>
      <c r="M78" s="14"/>
      <c r="N78" s="14" t="s">
        <v>50</v>
      </c>
      <c r="O78" s="14" t="s">
        <v>51</v>
      </c>
    </row>
    <row r="79" spans="1:15">
      <c r="A79" s="15" t="s">
        <v>9</v>
      </c>
      <c r="B79" s="15" t="s">
        <v>483</v>
      </c>
      <c r="C79" s="15" t="s">
        <v>484</v>
      </c>
      <c r="D79" s="15" t="s">
        <v>485</v>
      </c>
      <c r="E79" s="15">
        <v>2</v>
      </c>
      <c r="F79" s="15" t="s">
        <v>489</v>
      </c>
      <c r="G79" s="15" t="s">
        <v>490</v>
      </c>
      <c r="H79" s="15" t="s">
        <v>491</v>
      </c>
      <c r="I79" s="15" t="s">
        <v>49</v>
      </c>
      <c r="J79" s="7" t="str">
        <f>HYPERLINK("https://www.codechef.com/problems/HEAPEDU1", "https://www.codechef.com/problems/HEAPEDU1")</f>
        <v>https://www.codechef.com/problems/HEAPEDU1</v>
      </c>
      <c r="K79" s="15"/>
      <c r="L79" s="15"/>
      <c r="M79" s="15"/>
      <c r="N79" s="15" t="s">
        <v>50</v>
      </c>
      <c r="O79" s="15" t="s">
        <v>51</v>
      </c>
    </row>
    <row r="80" spans="1:15">
      <c r="A80" s="14" t="s">
        <v>9</v>
      </c>
      <c r="B80" s="14" t="s">
        <v>483</v>
      </c>
      <c r="C80" s="14" t="s">
        <v>484</v>
      </c>
      <c r="D80" s="14" t="s">
        <v>485</v>
      </c>
      <c r="E80" s="14">
        <v>3</v>
      </c>
      <c r="F80" s="14" t="s">
        <v>492</v>
      </c>
      <c r="G80" s="14" t="s">
        <v>493</v>
      </c>
      <c r="H80" s="14" t="s">
        <v>491</v>
      </c>
      <c r="I80" s="14" t="s">
        <v>49</v>
      </c>
      <c r="J80" s="11" t="str">
        <f>HYPERLINK("https://www.codechef.com/problems/HEAPEDU2", "https://www.codechef.com/problems/HEAPEDU2")</f>
        <v>https://www.codechef.com/problems/HEAPEDU2</v>
      </c>
      <c r="K80" s="14"/>
      <c r="L80" s="14"/>
      <c r="M80" s="14"/>
      <c r="N80" s="14" t="s">
        <v>50</v>
      </c>
      <c r="O80" s="14" t="s">
        <v>51</v>
      </c>
    </row>
    <row r="81" spans="1:15">
      <c r="A81" s="15" t="s">
        <v>9</v>
      </c>
      <c r="B81" s="15" t="s">
        <v>483</v>
      </c>
      <c r="C81" s="15" t="s">
        <v>484</v>
      </c>
      <c r="D81" s="15" t="s">
        <v>485</v>
      </c>
      <c r="E81" s="15">
        <v>4</v>
      </c>
      <c r="F81" s="15" t="s">
        <v>494</v>
      </c>
      <c r="G81" s="15" t="s">
        <v>495</v>
      </c>
      <c r="H81" s="15" t="s">
        <v>491</v>
      </c>
      <c r="I81" s="15" t="s">
        <v>49</v>
      </c>
      <c r="J81" s="7" t="str">
        <f>HYPERLINK("https://www.codechef.com/problems/HEAPEDU3", "https://www.codechef.com/problems/HEAPEDU3")</f>
        <v>https://www.codechef.com/problems/HEAPEDU3</v>
      </c>
      <c r="K81" s="15"/>
      <c r="L81" s="15"/>
      <c r="M81" s="15"/>
      <c r="N81" s="15" t="s">
        <v>50</v>
      </c>
      <c r="O81" s="15" t="s">
        <v>51</v>
      </c>
    </row>
    <row r="82" spans="1:15">
      <c r="A82" s="14" t="s">
        <v>9</v>
      </c>
      <c r="B82" s="14" t="s">
        <v>483</v>
      </c>
      <c r="C82" s="14" t="s">
        <v>484</v>
      </c>
      <c r="D82" s="14" t="s">
        <v>485</v>
      </c>
      <c r="E82" s="14">
        <v>5</v>
      </c>
      <c r="F82" s="14" t="s">
        <v>496</v>
      </c>
      <c r="G82" s="14" t="s">
        <v>497</v>
      </c>
      <c r="H82" s="14" t="s">
        <v>491</v>
      </c>
      <c r="I82" s="14" t="s">
        <v>49</v>
      </c>
      <c r="J82" s="11" t="str">
        <f>HYPERLINK("https://www.codechef.com/problems/HEAPEDU4", "https://www.codechef.com/problems/HEAPEDU4")</f>
        <v>https://www.codechef.com/problems/HEAPEDU4</v>
      </c>
      <c r="K82" s="14"/>
      <c r="L82" s="14"/>
      <c r="M82" s="14"/>
      <c r="N82" s="14" t="s">
        <v>50</v>
      </c>
      <c r="O82" s="14" t="s">
        <v>51</v>
      </c>
    </row>
    <row r="83" spans="1:15">
      <c r="A83" s="15" t="s">
        <v>9</v>
      </c>
      <c r="B83" s="15" t="s">
        <v>483</v>
      </c>
      <c r="C83" s="15" t="s">
        <v>484</v>
      </c>
      <c r="D83" s="15" t="s">
        <v>485</v>
      </c>
      <c r="E83" s="15">
        <v>6</v>
      </c>
      <c r="F83" s="15" t="s">
        <v>264</v>
      </c>
      <c r="G83" s="15" t="s">
        <v>265</v>
      </c>
      <c r="H83" s="15" t="s">
        <v>266</v>
      </c>
      <c r="I83" s="15" t="s">
        <v>49</v>
      </c>
      <c r="J83" s="7" t="str">
        <f>HYPERLINK("https://www.codechef.com/problems/TSORT", "https://www.codechef.com/problems/TSORT")</f>
        <v>https://www.codechef.com/problems/TSORT</v>
      </c>
      <c r="K83" s="15"/>
      <c r="L83" s="15"/>
      <c r="M83" s="15"/>
      <c r="N83" s="15" t="s">
        <v>50</v>
      </c>
      <c r="O83" s="15" t="s">
        <v>51</v>
      </c>
    </row>
    <row r="84" spans="1:15">
      <c r="A84" s="14" t="s">
        <v>9</v>
      </c>
      <c r="B84" s="14" t="s">
        <v>483</v>
      </c>
      <c r="C84" s="14" t="s">
        <v>484</v>
      </c>
      <c r="D84" s="14" t="s">
        <v>485</v>
      </c>
      <c r="E84" s="14">
        <v>7</v>
      </c>
      <c r="F84" s="14" t="s">
        <v>498</v>
      </c>
      <c r="G84" s="14" t="s">
        <v>499</v>
      </c>
      <c r="H84" s="14" t="s">
        <v>500</v>
      </c>
      <c r="I84" s="14" t="s">
        <v>49</v>
      </c>
      <c r="J84" s="11" t="str">
        <f>HYPERLINK("https://www.codechef.com/problems/TSTROBOT", "https://www.codechef.com/problems/TSTROBOT")</f>
        <v>https://www.codechef.com/problems/TSTROBOT</v>
      </c>
      <c r="K84" s="14"/>
      <c r="L84" s="14"/>
      <c r="M84" s="14"/>
      <c r="N84" s="14" t="s">
        <v>50</v>
      </c>
      <c r="O84" s="14" t="s">
        <v>51</v>
      </c>
    </row>
    <row r="85" spans="1:15">
      <c r="A85" s="15" t="s">
        <v>9</v>
      </c>
      <c r="B85" s="15" t="s">
        <v>483</v>
      </c>
      <c r="C85" s="15" t="s">
        <v>484</v>
      </c>
      <c r="D85" s="15" t="s">
        <v>485</v>
      </c>
      <c r="E85" s="15">
        <v>8</v>
      </c>
      <c r="F85" s="15" t="s">
        <v>501</v>
      </c>
      <c r="G85" s="15" t="s">
        <v>502</v>
      </c>
      <c r="H85" s="15" t="s">
        <v>503</v>
      </c>
      <c r="I85" s="15" t="s">
        <v>49</v>
      </c>
      <c r="J85" s="7" t="str">
        <f>HYPERLINK("https://www.codechef.com/problems/RRCOPY", "https://www.codechef.com/problems/RRCOPY")</f>
        <v>https://www.codechef.com/problems/RRCOPY</v>
      </c>
      <c r="K85" s="15"/>
      <c r="L85" s="15"/>
      <c r="M85" s="15"/>
      <c r="N85" s="15" t="s">
        <v>50</v>
      </c>
      <c r="O85" s="15" t="s">
        <v>51</v>
      </c>
    </row>
    <row r="86" spans="1:15">
      <c r="A86" s="14" t="s">
        <v>9</v>
      </c>
      <c r="B86" s="14" t="s">
        <v>483</v>
      </c>
      <c r="C86" s="14" t="s">
        <v>484</v>
      </c>
      <c r="D86" s="14" t="s">
        <v>485</v>
      </c>
      <c r="E86" s="14">
        <v>9</v>
      </c>
      <c r="F86" s="14" t="s">
        <v>504</v>
      </c>
      <c r="G86" s="14" t="s">
        <v>505</v>
      </c>
      <c r="H86" s="14" t="s">
        <v>506</v>
      </c>
      <c r="I86" s="14" t="s">
        <v>49</v>
      </c>
      <c r="J86" s="11" t="str">
        <f>HYPERLINK("https://www.codechef.com/problems/CAPPLE", "https://www.codechef.com/problems/CAPPLE")</f>
        <v>https://www.codechef.com/problems/CAPPLE</v>
      </c>
      <c r="K86" s="14"/>
      <c r="L86" s="14" t="s">
        <v>507</v>
      </c>
      <c r="M86" s="14"/>
      <c r="N86" s="14" t="s">
        <v>50</v>
      </c>
      <c r="O86" s="14" t="s">
        <v>51</v>
      </c>
    </row>
    <row r="87" spans="1:15">
      <c r="A87" s="15" t="s">
        <v>9</v>
      </c>
      <c r="B87" s="15" t="s">
        <v>483</v>
      </c>
      <c r="C87" s="15" t="s">
        <v>484</v>
      </c>
      <c r="D87" s="15" t="s">
        <v>485</v>
      </c>
      <c r="E87" s="15">
        <v>10</v>
      </c>
      <c r="F87" s="15" t="s">
        <v>508</v>
      </c>
      <c r="G87" s="15" t="s">
        <v>509</v>
      </c>
      <c r="H87" s="15" t="s">
        <v>510</v>
      </c>
      <c r="I87" s="15" t="s">
        <v>49</v>
      </c>
      <c r="J87" s="7" t="str">
        <f>HYPERLINK("https://www.codechef.com/problems/CLEANUP", "https://www.codechef.com/problems/CLEANUP")</f>
        <v>https://www.codechef.com/problems/CLEANUP</v>
      </c>
      <c r="K87" s="15"/>
      <c r="L87" s="15" t="s">
        <v>511</v>
      </c>
      <c r="M87" s="15"/>
      <c r="N87" s="15" t="s">
        <v>50</v>
      </c>
      <c r="O87" s="15" t="s">
        <v>51</v>
      </c>
    </row>
    <row r="88" spans="1:15">
      <c r="A88" s="14" t="s">
        <v>9</v>
      </c>
      <c r="B88" s="14" t="s">
        <v>483</v>
      </c>
      <c r="C88" s="14" t="s">
        <v>484</v>
      </c>
      <c r="D88" s="14" t="s">
        <v>485</v>
      </c>
      <c r="E88" s="14">
        <v>11</v>
      </c>
      <c r="F88" s="14" t="s">
        <v>512</v>
      </c>
      <c r="G88" s="14" t="s">
        <v>513</v>
      </c>
      <c r="H88" s="14"/>
      <c r="I88" s="14" t="s">
        <v>96</v>
      </c>
      <c r="J88" s="11" t="str">
        <f>HYPERLINK("https://www.codechef.com/problems/MINTOMAXHEAP", "https://www.codechef.com/problems/MINTOMAXHEAP")</f>
        <v>https://www.codechef.com/problems/MINTOMAXHEAP</v>
      </c>
      <c r="K88" s="14"/>
      <c r="L88" s="14"/>
      <c r="M88" s="14"/>
      <c r="N88" s="14" t="s">
        <v>50</v>
      </c>
      <c r="O88" s="14" t="s">
        <v>51</v>
      </c>
    </row>
    <row r="89" spans="1:15">
      <c r="A89" s="15" t="s">
        <v>9</v>
      </c>
      <c r="B89" s="15" t="s">
        <v>483</v>
      </c>
      <c r="C89" s="15" t="s">
        <v>484</v>
      </c>
      <c r="D89" s="15" t="s">
        <v>485</v>
      </c>
      <c r="E89" s="15">
        <v>12</v>
      </c>
      <c r="F89" s="15" t="s">
        <v>514</v>
      </c>
      <c r="G89" s="15" t="s">
        <v>515</v>
      </c>
      <c r="H89" s="15"/>
      <c r="I89" s="15" t="s">
        <v>322</v>
      </c>
      <c r="J89" s="7" t="str">
        <f>HYPERLINK("https://www.codechef.com/problems/MERGEKSORTED", "https://www.codechef.com/problems/MERGEKSORTED")</f>
        <v>https://www.codechef.com/problems/MERGEKSORTED</v>
      </c>
      <c r="K89" s="15"/>
      <c r="L89" s="15"/>
      <c r="M89" s="15"/>
      <c r="N89" s="15" t="s">
        <v>50</v>
      </c>
      <c r="O89" s="15" t="s">
        <v>51</v>
      </c>
    </row>
    <row r="90" spans="1:15">
      <c r="A90" s="14" t="s">
        <v>9</v>
      </c>
      <c r="B90" s="14" t="s">
        <v>483</v>
      </c>
      <c r="C90" s="14" t="s">
        <v>484</v>
      </c>
      <c r="D90" s="14" t="s">
        <v>516</v>
      </c>
      <c r="E90" s="14">
        <v>13</v>
      </c>
      <c r="F90" s="14" t="s">
        <v>517</v>
      </c>
      <c r="G90" s="14" t="s">
        <v>518</v>
      </c>
      <c r="H90" s="14" t="s">
        <v>519</v>
      </c>
      <c r="I90" s="14" t="s">
        <v>49</v>
      </c>
      <c r="J90" s="11" t="str">
        <f>HYPERLINK("https://www.codechef.com/problems/DISCHAR", "https://www.codechef.com/problems/DISCHAR")</f>
        <v>https://www.codechef.com/problems/DISCHAR</v>
      </c>
      <c r="K90" s="14"/>
      <c r="L90" s="14" t="s">
        <v>520</v>
      </c>
      <c r="M90" s="14"/>
      <c r="N90" s="14" t="s">
        <v>50</v>
      </c>
      <c r="O90" s="14" t="s">
        <v>51</v>
      </c>
    </row>
    <row r="91" spans="1:15">
      <c r="A91" s="15" t="s">
        <v>9</v>
      </c>
      <c r="B91" s="15" t="s">
        <v>483</v>
      </c>
      <c r="C91" s="15" t="s">
        <v>484</v>
      </c>
      <c r="D91" s="15" t="s">
        <v>516</v>
      </c>
      <c r="E91" s="15">
        <v>14</v>
      </c>
      <c r="F91" s="15" t="s">
        <v>521</v>
      </c>
      <c r="G91" s="15" t="s">
        <v>522</v>
      </c>
      <c r="H91" s="15" t="s">
        <v>523</v>
      </c>
      <c r="I91" s="15" t="s">
        <v>49</v>
      </c>
      <c r="J91" s="7" t="str">
        <f>HYPERLINK("https://www.codechef.com/problems/ALTTAB", "https://www.codechef.com/problems/ALTTAB")</f>
        <v>https://www.codechef.com/problems/ALTTAB</v>
      </c>
      <c r="K91" s="15"/>
      <c r="L91" s="15" t="s">
        <v>524</v>
      </c>
      <c r="M91" s="15"/>
      <c r="N91" s="15" t="s">
        <v>50</v>
      </c>
      <c r="O91" s="15" t="s">
        <v>51</v>
      </c>
    </row>
    <row r="92" spans="1:15">
      <c r="A92" s="14" t="s">
        <v>9</v>
      </c>
      <c r="B92" s="14" t="s">
        <v>483</v>
      </c>
      <c r="C92" s="14" t="s">
        <v>484</v>
      </c>
      <c r="D92" s="14" t="s">
        <v>516</v>
      </c>
      <c r="E92" s="14">
        <v>15</v>
      </c>
      <c r="F92" s="14" t="s">
        <v>525</v>
      </c>
      <c r="G92" s="14" t="s">
        <v>526</v>
      </c>
      <c r="H92" s="14" t="s">
        <v>343</v>
      </c>
      <c r="I92" s="14" t="s">
        <v>96</v>
      </c>
      <c r="J92" s="11" t="str">
        <f>HYPERLINK("https://www.codechef.com/problems/IPCTRAIN", "https://www.codechef.com/problems/IPCTRAIN")</f>
        <v>https://www.codechef.com/problems/IPCTRAIN</v>
      </c>
      <c r="K92" s="14"/>
      <c r="L92" s="14"/>
      <c r="M92" s="14"/>
      <c r="N92" s="14" t="s">
        <v>50</v>
      </c>
      <c r="O92" s="14" t="s">
        <v>51</v>
      </c>
    </row>
    <row r="93" spans="1:15">
      <c r="A93" s="15" t="s">
        <v>9</v>
      </c>
      <c r="B93" s="15" t="s">
        <v>483</v>
      </c>
      <c r="C93" s="15" t="s">
        <v>484</v>
      </c>
      <c r="D93" s="15" t="s">
        <v>516</v>
      </c>
      <c r="E93" s="15">
        <v>16</v>
      </c>
      <c r="F93" s="15" t="s">
        <v>527</v>
      </c>
      <c r="G93" s="15" t="s">
        <v>528</v>
      </c>
      <c r="H93" s="15"/>
      <c r="I93" s="15" t="s">
        <v>96</v>
      </c>
      <c r="J93" s="7" t="str">
        <f>HYPERLINK("https://www.codechef.com/problems/WTYDU01", "https://www.codechef.com/problems/WTYDU01")</f>
        <v>https://www.codechef.com/problems/WTYDU01</v>
      </c>
      <c r="K93" s="15"/>
      <c r="L93" s="15"/>
      <c r="M93" s="15"/>
      <c r="N93" s="15" t="s">
        <v>50</v>
      </c>
      <c r="O93" s="15" t="s">
        <v>51</v>
      </c>
    </row>
    <row r="94" spans="1:15">
      <c r="A94" s="14" t="s">
        <v>9</v>
      </c>
      <c r="B94" s="14" t="s">
        <v>483</v>
      </c>
      <c r="C94" s="14" t="s">
        <v>484</v>
      </c>
      <c r="D94" s="14" t="s">
        <v>516</v>
      </c>
      <c r="E94" s="14">
        <v>17</v>
      </c>
      <c r="F94" s="14" t="s">
        <v>529</v>
      </c>
      <c r="G94" s="14" t="s">
        <v>530</v>
      </c>
      <c r="H94" s="14" t="s">
        <v>343</v>
      </c>
      <c r="I94" s="14" t="s">
        <v>96</v>
      </c>
      <c r="J94" s="11" t="str">
        <f>HYPERLINK("https://www.codechef.com/problems/AIRTRAV", "https://www.codechef.com/problems/AIRTRAV")</f>
        <v>https://www.codechef.com/problems/AIRTRAV</v>
      </c>
      <c r="K94" s="14"/>
      <c r="L94" s="14"/>
      <c r="M94" s="14"/>
      <c r="N94" s="14" t="s">
        <v>50</v>
      </c>
      <c r="O94" s="14" t="s">
        <v>51</v>
      </c>
    </row>
    <row r="95" spans="1:15">
      <c r="A95" s="15" t="s">
        <v>9</v>
      </c>
      <c r="B95" s="15" t="s">
        <v>483</v>
      </c>
      <c r="C95" s="15" t="s">
        <v>484</v>
      </c>
      <c r="D95" s="15" t="s">
        <v>516</v>
      </c>
      <c r="E95" s="15">
        <v>18</v>
      </c>
      <c r="F95" s="15" t="s">
        <v>531</v>
      </c>
      <c r="G95" s="15" t="s">
        <v>532</v>
      </c>
      <c r="H95" s="15" t="s">
        <v>533</v>
      </c>
      <c r="I95" s="15" t="s">
        <v>96</v>
      </c>
      <c r="J95" s="7" t="str">
        <f>HYPERLINK("https://www.codechef.com/problems/CTEAMS", "https://www.codechef.com/problems/CTEAMS")</f>
        <v>https://www.codechef.com/problems/CTEAMS</v>
      </c>
      <c r="K95" s="15"/>
      <c r="L95" s="15" t="s">
        <v>534</v>
      </c>
      <c r="M95" s="15"/>
      <c r="N95" s="15" t="s">
        <v>50</v>
      </c>
      <c r="O95" s="15" t="s">
        <v>51</v>
      </c>
    </row>
    <row r="96" spans="1:15">
      <c r="A96" s="14" t="s">
        <v>9</v>
      </c>
      <c r="B96" s="14" t="s">
        <v>483</v>
      </c>
      <c r="C96" s="14" t="s">
        <v>484</v>
      </c>
      <c r="D96" s="14" t="s">
        <v>516</v>
      </c>
      <c r="E96" s="14">
        <v>19</v>
      </c>
      <c r="F96" s="14" t="s">
        <v>535</v>
      </c>
      <c r="G96" s="14" t="s">
        <v>536</v>
      </c>
      <c r="H96" s="14"/>
      <c r="I96" s="14" t="s">
        <v>322</v>
      </c>
      <c r="J96" s="11" t="str">
        <f>HYPERLINK("https://www.codechef.com/problems/CONSECARDS", "https://www.codechef.com/problems/CONSECARDS")</f>
        <v>https://www.codechef.com/problems/CONSECARDS</v>
      </c>
      <c r="K96" s="14"/>
      <c r="L96" s="14"/>
      <c r="M96" s="14"/>
      <c r="N96" s="14" t="s">
        <v>50</v>
      </c>
      <c r="O96" s="14" t="s">
        <v>51</v>
      </c>
    </row>
    <row r="97" spans="1:15">
      <c r="A97" s="15" t="s">
        <v>9</v>
      </c>
      <c r="B97" s="15" t="s">
        <v>483</v>
      </c>
      <c r="C97" s="15" t="s">
        <v>484</v>
      </c>
      <c r="D97" s="15" t="s">
        <v>516</v>
      </c>
      <c r="E97" s="15">
        <v>20</v>
      </c>
      <c r="F97" s="15" t="s">
        <v>537</v>
      </c>
      <c r="G97" s="15" t="s">
        <v>538</v>
      </c>
      <c r="H97" s="15" t="s">
        <v>539</v>
      </c>
      <c r="I97" s="15" t="s">
        <v>96</v>
      </c>
      <c r="J97" s="7" t="str">
        <f>HYPERLINK("https://www.codechef.com/problems/CIREQ", "https://www.codechef.com/problems/CIREQ")</f>
        <v>https://www.codechef.com/problems/CIREQ</v>
      </c>
      <c r="K97" s="15"/>
      <c r="L97" s="15" t="s">
        <v>540</v>
      </c>
      <c r="M97" s="15"/>
      <c r="N97" s="15" t="s">
        <v>50</v>
      </c>
      <c r="O97" s="15" t="s">
        <v>51</v>
      </c>
    </row>
    <row r="98" spans="1:15">
      <c r="A98" s="14" t="s">
        <v>9</v>
      </c>
      <c r="B98" s="14" t="s">
        <v>483</v>
      </c>
      <c r="C98" s="14" t="s">
        <v>484</v>
      </c>
      <c r="D98" s="14" t="s">
        <v>516</v>
      </c>
      <c r="E98" s="14">
        <v>21</v>
      </c>
      <c r="F98" s="14" t="s">
        <v>541</v>
      </c>
      <c r="G98" s="14" t="s">
        <v>542</v>
      </c>
      <c r="H98" s="14" t="s">
        <v>543</v>
      </c>
      <c r="I98" s="14" t="s">
        <v>96</v>
      </c>
      <c r="J98" s="11" t="str">
        <f>HYPERLINK("https://www.codechef.com/problems/RKS", "https://www.codechef.com/problems/RKS")</f>
        <v>https://www.codechef.com/problems/RKS</v>
      </c>
      <c r="K98" s="14"/>
      <c r="L98" s="14"/>
      <c r="M98" s="14"/>
      <c r="N98" s="14" t="s">
        <v>50</v>
      </c>
      <c r="O98" s="14" t="s">
        <v>51</v>
      </c>
    </row>
    <row r="99" spans="1:15">
      <c r="A99" s="15" t="s">
        <v>9</v>
      </c>
      <c r="B99" s="15" t="s">
        <v>483</v>
      </c>
      <c r="C99" s="15" t="s">
        <v>484</v>
      </c>
      <c r="D99" s="15" t="s">
        <v>516</v>
      </c>
      <c r="E99" s="15">
        <v>22</v>
      </c>
      <c r="F99" s="15" t="s">
        <v>544</v>
      </c>
      <c r="G99" s="15" t="s">
        <v>545</v>
      </c>
      <c r="H99" s="15" t="s">
        <v>546</v>
      </c>
      <c r="I99" s="15" t="s">
        <v>96</v>
      </c>
      <c r="J99" s="7" t="str">
        <f>HYPERLINK("https://www.codechef.com/problems/TOURMAP", "https://www.codechef.com/problems/TOURMAP")</f>
        <v>https://www.codechef.com/problems/TOURMAP</v>
      </c>
      <c r="K99" s="15"/>
      <c r="L99" s="15"/>
      <c r="M99" s="15"/>
      <c r="N99" s="15" t="s">
        <v>50</v>
      </c>
      <c r="O99" s="15" t="s">
        <v>51</v>
      </c>
    </row>
    <row r="100" spans="1:15">
      <c r="A100" s="14" t="s">
        <v>9</v>
      </c>
      <c r="B100" s="14" t="s">
        <v>483</v>
      </c>
      <c r="C100" s="14" t="s">
        <v>484</v>
      </c>
      <c r="D100" s="14" t="s">
        <v>516</v>
      </c>
      <c r="E100" s="14">
        <v>23</v>
      </c>
      <c r="F100" s="14" t="s">
        <v>547</v>
      </c>
      <c r="G100" s="14" t="s">
        <v>548</v>
      </c>
      <c r="H100" s="14" t="s">
        <v>413</v>
      </c>
      <c r="I100" s="14" t="s">
        <v>96</v>
      </c>
      <c r="J100" s="11" t="str">
        <f>HYPERLINK("https://www.codechef.com/problems/INC_HEIGHTS", "https://www.codechef.com/problems/INC_HEIGHTS")</f>
        <v>https://www.codechef.com/problems/INC_HEIGHTS</v>
      </c>
      <c r="K100" s="14"/>
      <c r="L100" s="14"/>
      <c r="M100" s="14"/>
      <c r="N100" s="14" t="s">
        <v>50</v>
      </c>
      <c r="O100" s="14" t="s">
        <v>51</v>
      </c>
    </row>
    <row r="101" spans="1:15">
      <c r="A101" s="15" t="s">
        <v>9</v>
      </c>
      <c r="B101" s="15" t="s">
        <v>483</v>
      </c>
      <c r="C101" s="15" t="s">
        <v>484</v>
      </c>
      <c r="D101" s="15" t="s">
        <v>516</v>
      </c>
      <c r="E101" s="15">
        <v>24</v>
      </c>
      <c r="F101" s="15" t="s">
        <v>549</v>
      </c>
      <c r="G101" s="15" t="s">
        <v>550</v>
      </c>
      <c r="H101" s="15" t="s">
        <v>551</v>
      </c>
      <c r="I101" s="15" t="s">
        <v>96</v>
      </c>
      <c r="J101" s="7" t="str">
        <f>HYPERLINK("https://www.codechef.com/problems/CHEFTMA", "https://www.codechef.com/problems/CHEFTMA")</f>
        <v>https://www.codechef.com/problems/CHEFTMA</v>
      </c>
      <c r="K101" s="15"/>
      <c r="L101" s="15" t="s">
        <v>552</v>
      </c>
      <c r="M101" s="15"/>
      <c r="N101" s="15" t="s">
        <v>50</v>
      </c>
      <c r="O101" s="15" t="s">
        <v>51</v>
      </c>
    </row>
    <row r="102" spans="1:15">
      <c r="A102" s="14" t="s">
        <v>9</v>
      </c>
      <c r="B102" s="14" t="s">
        <v>483</v>
      </c>
      <c r="C102" s="14" t="s">
        <v>484</v>
      </c>
      <c r="D102" s="14" t="s">
        <v>516</v>
      </c>
      <c r="E102" s="14">
        <v>25</v>
      </c>
      <c r="F102" s="14" t="s">
        <v>553</v>
      </c>
      <c r="G102" s="14" t="s">
        <v>554</v>
      </c>
      <c r="H102" s="14"/>
      <c r="I102" s="14" t="s">
        <v>322</v>
      </c>
      <c r="J102" s="11" t="str">
        <f>HYPERLINK("https://www.codechef.com/problems/HRYQX01", "https://www.codechef.com/problems/HRYQX01")</f>
        <v>https://www.codechef.com/problems/HRYQX01</v>
      </c>
      <c r="K102" s="14"/>
      <c r="L102" s="14" t="s">
        <v>373</v>
      </c>
      <c r="M102" s="14"/>
      <c r="N102" s="14" t="s">
        <v>50</v>
      </c>
      <c r="O102" s="14" t="s">
        <v>51</v>
      </c>
    </row>
    <row r="103" spans="1:15">
      <c r="A103" s="15" t="s">
        <v>9</v>
      </c>
      <c r="B103" s="15" t="s">
        <v>555</v>
      </c>
      <c r="C103" s="15" t="s">
        <v>556</v>
      </c>
      <c r="D103" s="15" t="s">
        <v>557</v>
      </c>
      <c r="E103" s="15">
        <v>1</v>
      </c>
      <c r="F103" s="15" t="s">
        <v>80</v>
      </c>
      <c r="G103" s="15" t="s">
        <v>81</v>
      </c>
      <c r="H103" s="15" t="s">
        <v>82</v>
      </c>
      <c r="I103" s="15" t="s">
        <v>49</v>
      </c>
      <c r="J103" s="7" t="str">
        <f>HYPERLINK("https://www.codechef.com/problems/SEARCHINARR", "https://www.codechef.com/problems/SEARCHINARR")</f>
        <v>https://www.codechef.com/problems/SEARCHINARR</v>
      </c>
      <c r="K103" s="15"/>
      <c r="L103" s="15"/>
      <c r="M103" s="15"/>
      <c r="N103" s="15" t="s">
        <v>50</v>
      </c>
      <c r="O103" s="15" t="s">
        <v>51</v>
      </c>
    </row>
    <row r="104" spans="1:15">
      <c r="A104" s="14" t="s">
        <v>9</v>
      </c>
      <c r="B104" s="14" t="s">
        <v>555</v>
      </c>
      <c r="C104" s="14" t="s">
        <v>556</v>
      </c>
      <c r="D104" s="14" t="s">
        <v>557</v>
      </c>
      <c r="E104" s="14">
        <v>2</v>
      </c>
      <c r="F104" s="14" t="s">
        <v>558</v>
      </c>
      <c r="G104" s="14" t="s">
        <v>559</v>
      </c>
      <c r="H104" s="14" t="s">
        <v>560</v>
      </c>
      <c r="I104" s="14" t="s">
        <v>49</v>
      </c>
      <c r="J104" s="11" t="str">
        <f>HYPERLINK("https://www.codechef.com/problems/MERGESORTED", "https://www.codechef.com/problems/MERGESORTED")</f>
        <v>https://www.codechef.com/problems/MERGESORTED</v>
      </c>
      <c r="K104" s="14"/>
      <c r="L104" s="14"/>
      <c r="M104" s="14"/>
      <c r="N104" s="14" t="s">
        <v>50</v>
      </c>
      <c r="O104" s="14" t="s">
        <v>51</v>
      </c>
    </row>
    <row r="105" spans="1:15">
      <c r="A105" s="15" t="s">
        <v>9</v>
      </c>
      <c r="B105" s="15" t="s">
        <v>555</v>
      </c>
      <c r="C105" s="15" t="s">
        <v>556</v>
      </c>
      <c r="D105" s="15" t="s">
        <v>557</v>
      </c>
      <c r="E105" s="15">
        <v>3</v>
      </c>
      <c r="F105" s="15" t="s">
        <v>561</v>
      </c>
      <c r="G105" s="15" t="s">
        <v>562</v>
      </c>
      <c r="H105" s="15"/>
      <c r="I105" s="15" t="s">
        <v>96</v>
      </c>
      <c r="J105" s="7" t="str">
        <f>HYPERLINK("https://www.codechef.com/problems/DSCPPAS276", "https://www.codechef.com/problems/DSCPPAS276")</f>
        <v>https://www.codechef.com/problems/DSCPPAS276</v>
      </c>
      <c r="K105" s="15"/>
      <c r="L105" s="15"/>
      <c r="M105" s="15"/>
      <c r="N105" s="15" t="s">
        <v>50</v>
      </c>
      <c r="O105" s="15" t="s">
        <v>51</v>
      </c>
    </row>
    <row r="106" spans="1:15">
      <c r="A106" s="14" t="s">
        <v>9</v>
      </c>
      <c r="B106" s="14" t="s">
        <v>555</v>
      </c>
      <c r="C106" s="14" t="s">
        <v>556</v>
      </c>
      <c r="D106" s="14" t="s">
        <v>557</v>
      </c>
      <c r="E106" s="14">
        <v>4</v>
      </c>
      <c r="F106" s="14" t="s">
        <v>563</v>
      </c>
      <c r="G106" s="14" t="s">
        <v>564</v>
      </c>
      <c r="H106" s="14" t="s">
        <v>565</v>
      </c>
      <c r="I106" s="14" t="s">
        <v>49</v>
      </c>
      <c r="J106" s="11" t="str">
        <f>HYPERLINK("https://www.codechef.com/problems/SLDW0102", "https://www.codechef.com/problems/SLDW0102")</f>
        <v>https://www.codechef.com/problems/SLDW0102</v>
      </c>
      <c r="K106" s="14"/>
      <c r="L106" s="14"/>
      <c r="M106" s="14"/>
      <c r="N106" s="14" t="s">
        <v>50</v>
      </c>
      <c r="O106" s="14" t="s">
        <v>51</v>
      </c>
    </row>
    <row r="107" spans="1:15">
      <c r="A107" s="15" t="s">
        <v>9</v>
      </c>
      <c r="B107" s="15" t="s">
        <v>555</v>
      </c>
      <c r="C107" s="15" t="s">
        <v>556</v>
      </c>
      <c r="D107" s="15" t="s">
        <v>557</v>
      </c>
      <c r="E107" s="15">
        <v>5</v>
      </c>
      <c r="F107" s="15" t="s">
        <v>566</v>
      </c>
      <c r="G107" s="15" t="s">
        <v>567</v>
      </c>
      <c r="H107" s="15"/>
      <c r="I107" s="15" t="s">
        <v>96</v>
      </c>
      <c r="J107" s="7" t="str">
        <f>HYPERLINK("https://www.codechef.com/problems/BTZIGZAG", "https://www.codechef.com/problems/BTZIGZAG")</f>
        <v>https://www.codechef.com/problems/BTZIGZAG</v>
      </c>
      <c r="K107" s="15"/>
      <c r="L107" s="15"/>
      <c r="M107" s="15"/>
      <c r="N107" s="15" t="s">
        <v>50</v>
      </c>
      <c r="O107" s="15" t="s">
        <v>51</v>
      </c>
    </row>
    <row r="108" spans="1:15">
      <c r="A108" s="14" t="s">
        <v>9</v>
      </c>
      <c r="B108" s="14" t="s">
        <v>555</v>
      </c>
      <c r="C108" s="14" t="s">
        <v>556</v>
      </c>
      <c r="D108" s="14" t="s">
        <v>557</v>
      </c>
      <c r="E108" s="14">
        <v>6</v>
      </c>
      <c r="F108" s="14" t="s">
        <v>568</v>
      </c>
      <c r="G108" s="14" t="s">
        <v>569</v>
      </c>
      <c r="H108" s="14"/>
      <c r="I108" s="14" t="s">
        <v>96</v>
      </c>
      <c r="J108" s="11" t="str">
        <f>HYPERLINK("https://www.codechef.com/problems/TREEDIAMETER", "https://www.codechef.com/problems/TREEDIAMETER")</f>
        <v>https://www.codechef.com/problems/TREEDIAMETER</v>
      </c>
      <c r="K108" s="14"/>
      <c r="L108" s="14"/>
      <c r="M108" s="14"/>
      <c r="N108" s="14" t="s">
        <v>50</v>
      </c>
      <c r="O108" s="14" t="s">
        <v>51</v>
      </c>
    </row>
    <row r="109" spans="1:15">
      <c r="A109" s="15" t="s">
        <v>9</v>
      </c>
      <c r="B109" s="15" t="s">
        <v>555</v>
      </c>
      <c r="C109" s="15" t="s">
        <v>556</v>
      </c>
      <c r="D109" s="15" t="s">
        <v>570</v>
      </c>
      <c r="E109" s="15">
        <v>7</v>
      </c>
      <c r="F109" s="15" t="s">
        <v>571</v>
      </c>
      <c r="G109" s="15" t="s">
        <v>572</v>
      </c>
      <c r="H109" s="15"/>
      <c r="I109" s="15" t="s">
        <v>49</v>
      </c>
      <c r="J109" s="7" t="str">
        <f>HYPERLINK("https://www.codechef.com/problems/BITMEDU5", "https://www.codechef.com/problems/BITMEDU5")</f>
        <v>https://www.codechef.com/problems/BITMEDU5</v>
      </c>
      <c r="K109" s="15"/>
      <c r="L109" s="15"/>
      <c r="M109" s="15"/>
      <c r="N109" s="15" t="s">
        <v>50</v>
      </c>
      <c r="O109" s="15" t="s">
        <v>51</v>
      </c>
    </row>
    <row r="110" spans="1:15">
      <c r="A110" s="14" t="s">
        <v>9</v>
      </c>
      <c r="B110" s="14" t="s">
        <v>555</v>
      </c>
      <c r="C110" s="14" t="s">
        <v>556</v>
      </c>
      <c r="D110" s="14" t="s">
        <v>570</v>
      </c>
      <c r="E110" s="14">
        <v>8</v>
      </c>
      <c r="F110" s="14" t="s">
        <v>310</v>
      </c>
      <c r="G110" s="14" t="s">
        <v>311</v>
      </c>
      <c r="H110" s="14" t="s">
        <v>312</v>
      </c>
      <c r="I110" s="14" t="s">
        <v>49</v>
      </c>
      <c r="J110" s="11" t="str">
        <f>HYPERLINK("https://www.codechef.com/problems/PREP58", "https://www.codechef.com/problems/PREP58")</f>
        <v>https://www.codechef.com/problems/PREP58</v>
      </c>
      <c r="K110" s="14"/>
      <c r="L110" s="14"/>
      <c r="M110" s="14"/>
      <c r="N110" s="14" t="s">
        <v>50</v>
      </c>
      <c r="O110" s="14" t="s">
        <v>51</v>
      </c>
    </row>
    <row r="111" spans="1:15">
      <c r="A111" s="15" t="s">
        <v>9</v>
      </c>
      <c r="B111" s="15" t="s">
        <v>555</v>
      </c>
      <c r="C111" s="15" t="s">
        <v>556</v>
      </c>
      <c r="D111" s="15" t="s">
        <v>570</v>
      </c>
      <c r="E111" s="15">
        <v>9</v>
      </c>
      <c r="F111" s="15" t="s">
        <v>573</v>
      </c>
      <c r="G111" s="15" t="s">
        <v>574</v>
      </c>
      <c r="H111" s="15" t="s">
        <v>180</v>
      </c>
      <c r="I111" s="15" t="s">
        <v>49</v>
      </c>
      <c r="J111" s="7" t="str">
        <f>HYPERLINK("https://www.codechef.com/problems/LINK02P09", "https://www.codechef.com/problems/LINK02P09")</f>
        <v>https://www.codechef.com/problems/LINK02P09</v>
      </c>
      <c r="K111" s="15"/>
      <c r="L111" s="15"/>
      <c r="M111" s="15"/>
      <c r="N111" s="15" t="s">
        <v>50</v>
      </c>
      <c r="O111" s="15" t="s">
        <v>51</v>
      </c>
    </row>
    <row r="112" spans="1:15">
      <c r="A112" s="14" t="s">
        <v>9</v>
      </c>
      <c r="B112" s="14" t="s">
        <v>555</v>
      </c>
      <c r="C112" s="14" t="s">
        <v>556</v>
      </c>
      <c r="D112" s="14" t="s">
        <v>570</v>
      </c>
      <c r="E112" s="14">
        <v>10</v>
      </c>
      <c r="F112" s="14" t="s">
        <v>575</v>
      </c>
      <c r="G112" s="14" t="s">
        <v>576</v>
      </c>
      <c r="H112" s="14"/>
      <c r="I112" s="14" t="s">
        <v>96</v>
      </c>
      <c r="J112" s="11" t="str">
        <f>HYPERLINK("https://www.codechef.com/problems/DSAPROB18", "https://www.codechef.com/problems/DSAPROB18")</f>
        <v>https://www.codechef.com/problems/DSAPROB18</v>
      </c>
      <c r="K112" s="14"/>
      <c r="L112" s="14"/>
      <c r="M112" s="14"/>
      <c r="N112" s="14" t="s">
        <v>50</v>
      </c>
      <c r="O112" s="14" t="s">
        <v>51</v>
      </c>
    </row>
    <row r="113" spans="1:15">
      <c r="A113" s="15" t="s">
        <v>9</v>
      </c>
      <c r="B113" s="15" t="s">
        <v>555</v>
      </c>
      <c r="C113" s="15" t="s">
        <v>556</v>
      </c>
      <c r="D113" s="15" t="s">
        <v>570</v>
      </c>
      <c r="E113" s="15">
        <v>11</v>
      </c>
      <c r="F113" s="15" t="s">
        <v>577</v>
      </c>
      <c r="G113" s="15" t="s">
        <v>578</v>
      </c>
      <c r="H113" s="15"/>
      <c r="I113" s="15" t="s">
        <v>96</v>
      </c>
      <c r="J113" s="7" t="str">
        <f>HYPERLINK("https://www.codechef.com/problems/BSEX01", "https://www.codechef.com/problems/BSEX01")</f>
        <v>https://www.codechef.com/problems/BSEX01</v>
      </c>
      <c r="K113" s="15"/>
      <c r="L113" s="15"/>
      <c r="M113" s="15"/>
      <c r="N113" s="15" t="s">
        <v>50</v>
      </c>
      <c r="O113" s="15" t="s">
        <v>51</v>
      </c>
    </row>
    <row r="114" spans="1:15">
      <c r="A114" s="14" t="s">
        <v>9</v>
      </c>
      <c r="B114" s="14" t="s">
        <v>555</v>
      </c>
      <c r="C114" s="14" t="s">
        <v>556</v>
      </c>
      <c r="D114" s="14" t="s">
        <v>570</v>
      </c>
      <c r="E114" s="14">
        <v>12</v>
      </c>
      <c r="F114" s="14" t="s">
        <v>579</v>
      </c>
      <c r="G114" s="14" t="s">
        <v>580</v>
      </c>
      <c r="H114" s="14"/>
      <c r="I114" s="14" t="s">
        <v>96</v>
      </c>
      <c r="J114" s="11" t="str">
        <f>HYPERLINK("https://www.codechef.com/problems/DIVNUMB", "https://www.codechef.com/problems/DIVNUMB")</f>
        <v>https://www.codechef.com/problems/DIVNUMB</v>
      </c>
      <c r="K114" s="14"/>
      <c r="L114" s="14"/>
      <c r="M114" s="14"/>
      <c r="N114" s="14" t="s">
        <v>50</v>
      </c>
      <c r="O114" s="14" t="s">
        <v>51</v>
      </c>
    </row>
    <row r="115" spans="1:15">
      <c r="A115" s="15" t="s">
        <v>9</v>
      </c>
      <c r="B115" s="15" t="s">
        <v>555</v>
      </c>
      <c r="C115" s="15" t="s">
        <v>556</v>
      </c>
      <c r="D115" s="15" t="s">
        <v>581</v>
      </c>
      <c r="E115" s="15">
        <v>13</v>
      </c>
      <c r="F115" s="15" t="s">
        <v>83</v>
      </c>
      <c r="G115" s="15" t="s">
        <v>84</v>
      </c>
      <c r="H115" s="15" t="s">
        <v>85</v>
      </c>
      <c r="I115" s="15" t="s">
        <v>49</v>
      </c>
      <c r="J115" s="7" t="str">
        <f>HYPERLINK("https://www.codechef.com/problems/UWCOI20A", "https://www.codechef.com/problems/UWCOI20A")</f>
        <v>https://www.codechef.com/problems/UWCOI20A</v>
      </c>
      <c r="K115" s="15"/>
      <c r="L115" s="15"/>
      <c r="M115" s="15"/>
      <c r="N115" s="15" t="s">
        <v>50</v>
      </c>
      <c r="O115" s="15" t="s">
        <v>51</v>
      </c>
    </row>
    <row r="116" spans="1:15">
      <c r="A116" s="14" t="s">
        <v>9</v>
      </c>
      <c r="B116" s="14" t="s">
        <v>555</v>
      </c>
      <c r="C116" s="14" t="s">
        <v>556</v>
      </c>
      <c r="D116" s="14" t="s">
        <v>581</v>
      </c>
      <c r="E116" s="14">
        <v>14</v>
      </c>
      <c r="F116" s="14" t="s">
        <v>494</v>
      </c>
      <c r="G116" s="14" t="s">
        <v>495</v>
      </c>
      <c r="H116" s="14" t="s">
        <v>491</v>
      </c>
      <c r="I116" s="14" t="s">
        <v>49</v>
      </c>
      <c r="J116" s="11" t="str">
        <f>HYPERLINK("https://www.codechef.com/problems/HEAPEDU3", "https://www.codechef.com/problems/HEAPEDU3")</f>
        <v>https://www.codechef.com/problems/HEAPEDU3</v>
      </c>
      <c r="K116" s="14"/>
      <c r="L116" s="14"/>
      <c r="M116" s="14"/>
      <c r="N116" s="14" t="s">
        <v>50</v>
      </c>
      <c r="O116" s="14" t="s">
        <v>51</v>
      </c>
    </row>
    <row r="117" spans="1:15">
      <c r="A117" s="15" t="s">
        <v>9</v>
      </c>
      <c r="B117" s="15" t="s">
        <v>555</v>
      </c>
      <c r="C117" s="15" t="s">
        <v>556</v>
      </c>
      <c r="D117" s="15" t="s">
        <v>581</v>
      </c>
      <c r="E117" s="15">
        <v>15</v>
      </c>
      <c r="F117" s="15" t="s">
        <v>582</v>
      </c>
      <c r="G117" s="15" t="s">
        <v>583</v>
      </c>
      <c r="H117" s="15" t="s">
        <v>584</v>
      </c>
      <c r="I117" s="15" t="s">
        <v>96</v>
      </c>
      <c r="J117" s="7" t="str">
        <f>HYPERLINK("https://www.codechef.com/problems/SUBINC", "https://www.codechef.com/problems/SUBINC")</f>
        <v>https://www.codechef.com/problems/SUBINC</v>
      </c>
      <c r="K117" s="15"/>
      <c r="L117" s="15"/>
      <c r="M117" s="15"/>
      <c r="N117" s="15" t="s">
        <v>50</v>
      </c>
      <c r="O117" s="15" t="s">
        <v>51</v>
      </c>
    </row>
    <row r="118" spans="1:15">
      <c r="A118" s="14" t="s">
        <v>9</v>
      </c>
      <c r="B118" s="14" t="s">
        <v>555</v>
      </c>
      <c r="C118" s="14" t="s">
        <v>556</v>
      </c>
      <c r="D118" s="14" t="s">
        <v>581</v>
      </c>
      <c r="E118" s="14">
        <v>16</v>
      </c>
      <c r="F118" s="14" t="s">
        <v>585</v>
      </c>
      <c r="G118" s="14" t="s">
        <v>586</v>
      </c>
      <c r="H118" s="14"/>
      <c r="I118" s="14" t="s">
        <v>322</v>
      </c>
      <c r="J118" s="11" t="str">
        <f>HYPERLINK("https://www.codechef.com/problems/TOPOSORTCS", "https://www.codechef.com/problems/TOPOSORTCS")</f>
        <v>https://www.codechef.com/problems/TOPOSORTCS</v>
      </c>
      <c r="K118" s="14"/>
      <c r="L118" s="14"/>
      <c r="M118" s="14"/>
      <c r="N118" s="14" t="s">
        <v>50</v>
      </c>
      <c r="O118" s="14" t="s">
        <v>51</v>
      </c>
    </row>
    <row r="119" spans="1:15">
      <c r="A119" s="15" t="s">
        <v>9</v>
      </c>
      <c r="B119" s="15" t="s">
        <v>555</v>
      </c>
      <c r="C119" s="15" t="s">
        <v>556</v>
      </c>
      <c r="D119" s="15" t="s">
        <v>581</v>
      </c>
      <c r="E119" s="15">
        <v>17</v>
      </c>
      <c r="F119" s="15" t="s">
        <v>541</v>
      </c>
      <c r="G119" s="15" t="s">
        <v>542</v>
      </c>
      <c r="H119" s="15" t="s">
        <v>543</v>
      </c>
      <c r="I119" s="15" t="s">
        <v>96</v>
      </c>
      <c r="J119" s="7" t="str">
        <f>HYPERLINK("https://www.codechef.com/problems/RKS", "https://www.codechef.com/problems/RKS")</f>
        <v>https://www.codechef.com/problems/RKS</v>
      </c>
      <c r="K119" s="15"/>
      <c r="L119" s="15"/>
      <c r="M119" s="15"/>
      <c r="N119" s="15" t="s">
        <v>50</v>
      </c>
      <c r="O119" s="15" t="s">
        <v>51</v>
      </c>
    </row>
    <row r="120" spans="1:15">
      <c r="A120" s="14" t="s">
        <v>9</v>
      </c>
      <c r="B120" s="14" t="s">
        <v>555</v>
      </c>
      <c r="C120" s="14" t="s">
        <v>556</v>
      </c>
      <c r="D120" s="14" t="s">
        <v>581</v>
      </c>
      <c r="E120" s="14">
        <v>18</v>
      </c>
      <c r="F120" s="14" t="s">
        <v>587</v>
      </c>
      <c r="G120" s="14" t="s">
        <v>588</v>
      </c>
      <c r="H120" s="14" t="s">
        <v>589</v>
      </c>
      <c r="I120" s="14" t="s">
        <v>96</v>
      </c>
      <c r="J120" s="11" t="str">
        <f>HYPERLINK("https://www.codechef.com/problems/SEGFAULT", "https://www.codechef.com/problems/SEGFAULT")</f>
        <v>https://www.codechef.com/problems/SEGFAULT</v>
      </c>
      <c r="K120" s="14"/>
      <c r="L120" s="14"/>
      <c r="M120" s="14"/>
      <c r="N120" s="14" t="s">
        <v>50</v>
      </c>
      <c r="O120" s="14" t="s">
        <v>51</v>
      </c>
    </row>
    <row r="121" spans="1:15">
      <c r="A121" s="15" t="s">
        <v>9</v>
      </c>
      <c r="B121" s="15" t="s">
        <v>555</v>
      </c>
      <c r="C121" s="15" t="s">
        <v>556</v>
      </c>
      <c r="D121" s="15" t="s">
        <v>590</v>
      </c>
      <c r="E121" s="15">
        <v>19</v>
      </c>
      <c r="F121" s="15" t="s">
        <v>195</v>
      </c>
      <c r="G121" s="15" t="s">
        <v>591</v>
      </c>
      <c r="H121" s="15"/>
      <c r="I121" s="15" t="s">
        <v>49</v>
      </c>
      <c r="J121" s="7" t="str">
        <f>HYPERLINK("https://www.codechef.com/problems/REMAINDER10", "https://www.codechef.com/problems/REMAINDER10")</f>
        <v>https://www.codechef.com/problems/REMAINDER10</v>
      </c>
      <c r="K121" s="15"/>
      <c r="L121" s="15"/>
      <c r="M121" s="15"/>
      <c r="N121" s="15" t="s">
        <v>50</v>
      </c>
      <c r="O121" s="15" t="s">
        <v>51</v>
      </c>
    </row>
    <row r="122" spans="1:15">
      <c r="A122" s="14" t="s">
        <v>9</v>
      </c>
      <c r="B122" s="14" t="s">
        <v>555</v>
      </c>
      <c r="C122" s="14" t="s">
        <v>556</v>
      </c>
      <c r="D122" s="14" t="s">
        <v>590</v>
      </c>
      <c r="E122" s="14">
        <v>20</v>
      </c>
      <c r="F122" s="14" t="s">
        <v>592</v>
      </c>
      <c r="G122" s="14" t="s">
        <v>593</v>
      </c>
      <c r="H122" s="14" t="s">
        <v>594</v>
      </c>
      <c r="I122" s="14" t="s">
        <v>49</v>
      </c>
      <c r="J122" s="11" t="str">
        <f>HYPERLINK("https://www.codechef.com/problems/APPLESORANGE", "https://www.codechef.com/problems/APPLESORANGE")</f>
        <v>https://www.codechef.com/problems/APPLESORANGE</v>
      </c>
      <c r="K122" s="14"/>
      <c r="L122" s="14"/>
      <c r="M122" s="14"/>
      <c r="N122" s="14" t="s">
        <v>50</v>
      </c>
      <c r="O122" s="14" t="s">
        <v>51</v>
      </c>
    </row>
    <row r="123" spans="1:15">
      <c r="A123" s="15" t="s">
        <v>9</v>
      </c>
      <c r="B123" s="15" t="s">
        <v>555</v>
      </c>
      <c r="C123" s="15" t="s">
        <v>556</v>
      </c>
      <c r="D123" s="15" t="s">
        <v>590</v>
      </c>
      <c r="E123" s="15">
        <v>21</v>
      </c>
      <c r="F123" s="15" t="s">
        <v>595</v>
      </c>
      <c r="G123" s="15" t="s">
        <v>596</v>
      </c>
      <c r="H123" s="15"/>
      <c r="I123" s="15" t="s">
        <v>96</v>
      </c>
      <c r="J123" s="7" t="str">
        <f>HYPERLINK("https://www.codechef.com/problems/ARRAYSORTED", "https://www.codechef.com/problems/ARRAYSORTED")</f>
        <v>https://www.codechef.com/problems/ARRAYSORTED</v>
      </c>
      <c r="K123" s="15"/>
      <c r="L123" s="15"/>
      <c r="M123" s="15"/>
      <c r="N123" s="15" t="s">
        <v>50</v>
      </c>
      <c r="O123" s="15" t="s">
        <v>51</v>
      </c>
    </row>
    <row r="124" spans="1:15">
      <c r="A124" s="14" t="s">
        <v>9</v>
      </c>
      <c r="B124" s="14" t="s">
        <v>555</v>
      </c>
      <c r="C124" s="14" t="s">
        <v>556</v>
      </c>
      <c r="D124" s="14" t="s">
        <v>590</v>
      </c>
      <c r="E124" s="14">
        <v>22</v>
      </c>
      <c r="F124" s="14" t="s">
        <v>597</v>
      </c>
      <c r="G124" s="14" t="s">
        <v>598</v>
      </c>
      <c r="H124" s="14"/>
      <c r="I124" s="14" t="s">
        <v>96</v>
      </c>
      <c r="J124" s="11" t="str">
        <f>HYPERLINK("https://www.codechef.com/problems/BITMEDU4", "https://www.codechef.com/problems/BITMEDU4")</f>
        <v>https://www.codechef.com/problems/BITMEDU4</v>
      </c>
      <c r="K124" s="14"/>
      <c r="L124" s="14"/>
      <c r="M124" s="14"/>
      <c r="N124" s="14" t="s">
        <v>50</v>
      </c>
      <c r="O124" s="14" t="s">
        <v>51</v>
      </c>
    </row>
    <row r="125" spans="1:15">
      <c r="A125" s="15" t="s">
        <v>9</v>
      </c>
      <c r="B125" s="15" t="s">
        <v>555</v>
      </c>
      <c r="C125" s="15" t="s">
        <v>556</v>
      </c>
      <c r="D125" s="15" t="s">
        <v>590</v>
      </c>
      <c r="E125" s="15">
        <v>23</v>
      </c>
      <c r="F125" s="15" t="s">
        <v>599</v>
      </c>
      <c r="G125" s="15" t="s">
        <v>600</v>
      </c>
      <c r="H125" s="15"/>
      <c r="I125" s="15" t="s">
        <v>96</v>
      </c>
      <c r="J125" s="7" t="str">
        <f>HYPERLINK("https://www.codechef.com/problems/MIRRORTREE", "https://www.codechef.com/problems/MIRRORTREE")</f>
        <v>https://www.codechef.com/problems/MIRRORTREE</v>
      </c>
      <c r="K125" s="15"/>
      <c r="L125" s="15"/>
      <c r="M125" s="15"/>
      <c r="N125" s="15" t="s">
        <v>50</v>
      </c>
      <c r="O125" s="15" t="s">
        <v>51</v>
      </c>
    </row>
    <row r="126" spans="1:15">
      <c r="A126" s="14" t="s">
        <v>9</v>
      </c>
      <c r="B126" s="14" t="s">
        <v>555</v>
      </c>
      <c r="C126" s="14" t="s">
        <v>556</v>
      </c>
      <c r="D126" s="14" t="s">
        <v>590</v>
      </c>
      <c r="E126" s="14">
        <v>24</v>
      </c>
      <c r="F126" s="14" t="s">
        <v>601</v>
      </c>
      <c r="G126" s="14" t="s">
        <v>602</v>
      </c>
      <c r="H126" s="14"/>
      <c r="I126" s="14" t="s">
        <v>96</v>
      </c>
      <c r="J126" s="11" t="str">
        <f>HYPERLINK("https://www.codechef.com/problems/GALACTICNW", "https://www.codechef.com/problems/GALACTICNW")</f>
        <v>https://www.codechef.com/problems/GALACTICNW</v>
      </c>
      <c r="K126" s="14"/>
      <c r="L126" s="14"/>
      <c r="M126" s="14"/>
      <c r="N126" s="14" t="s">
        <v>50</v>
      </c>
      <c r="O126" s="14" t="s">
        <v>51</v>
      </c>
    </row>
    <row r="127" spans="1:15">
      <c r="A127" s="15" t="s">
        <v>9</v>
      </c>
      <c r="B127" s="15" t="s">
        <v>555</v>
      </c>
      <c r="C127" s="15" t="s">
        <v>556</v>
      </c>
      <c r="D127" s="15" t="s">
        <v>603</v>
      </c>
      <c r="E127" s="15">
        <v>25</v>
      </c>
      <c r="F127" s="15" t="s">
        <v>604</v>
      </c>
      <c r="G127" s="15" t="s">
        <v>605</v>
      </c>
      <c r="H127" s="15"/>
      <c r="I127" s="15" t="s">
        <v>49</v>
      </c>
      <c r="J127" s="7" t="str">
        <f>HYPERLINK("https://www.codechef.com/problems/VOWELORNOT", "https://www.codechef.com/problems/VOWELORNOT")</f>
        <v>https://www.codechef.com/problems/VOWELORNOT</v>
      </c>
      <c r="K127" s="15"/>
      <c r="L127" s="15"/>
      <c r="M127" s="15"/>
      <c r="N127" s="15" t="s">
        <v>50</v>
      </c>
      <c r="O127" s="15" t="s">
        <v>51</v>
      </c>
    </row>
    <row r="128" spans="1:15">
      <c r="A128" s="14" t="s">
        <v>9</v>
      </c>
      <c r="B128" s="14" t="s">
        <v>555</v>
      </c>
      <c r="C128" s="14" t="s">
        <v>556</v>
      </c>
      <c r="D128" s="14" t="s">
        <v>603</v>
      </c>
      <c r="E128" s="14">
        <v>26</v>
      </c>
      <c r="F128" s="14" t="s">
        <v>606</v>
      </c>
      <c r="G128" s="14" t="s">
        <v>607</v>
      </c>
      <c r="H128" s="14"/>
      <c r="I128" s="14" t="s">
        <v>96</v>
      </c>
      <c r="J128" s="11" t="str">
        <f>HYPERLINK("https://www.codechef.com/problems/DSAPROB20", "https://www.codechef.com/problems/DSAPROB20")</f>
        <v>https://www.codechef.com/problems/DSAPROB20</v>
      </c>
      <c r="K128" s="14"/>
      <c r="L128" s="14"/>
      <c r="M128" s="14"/>
      <c r="N128" s="14" t="s">
        <v>50</v>
      </c>
      <c r="O128" s="14" t="s">
        <v>51</v>
      </c>
    </row>
    <row r="129" spans="1:15">
      <c r="A129" s="15" t="s">
        <v>9</v>
      </c>
      <c r="B129" s="15" t="s">
        <v>555</v>
      </c>
      <c r="C129" s="15" t="s">
        <v>556</v>
      </c>
      <c r="D129" s="15" t="s">
        <v>603</v>
      </c>
      <c r="E129" s="15">
        <v>27</v>
      </c>
      <c r="F129" s="15" t="s">
        <v>608</v>
      </c>
      <c r="G129" s="15" t="s">
        <v>609</v>
      </c>
      <c r="H129" s="15"/>
      <c r="I129" s="15" t="s">
        <v>322</v>
      </c>
      <c r="J129" s="7" t="str">
        <f>HYPERLINK("https://www.codechef.com/problems/COUNTSUBARAY", "https://www.codechef.com/problems/COUNTSUBARAY")</f>
        <v>https://www.codechef.com/problems/COUNTSUBARAY</v>
      </c>
      <c r="K129" s="15"/>
      <c r="L129" s="15"/>
      <c r="M129" s="15"/>
      <c r="N129" s="15" t="s">
        <v>50</v>
      </c>
      <c r="O129" s="15" t="s">
        <v>51</v>
      </c>
    </row>
    <row r="130" spans="1:15">
      <c r="A130" s="14" t="s">
        <v>9</v>
      </c>
      <c r="B130" s="14" t="s">
        <v>555</v>
      </c>
      <c r="C130" s="14" t="s">
        <v>556</v>
      </c>
      <c r="D130" s="14" t="s">
        <v>603</v>
      </c>
      <c r="E130" s="14">
        <v>28</v>
      </c>
      <c r="F130" s="14" t="s">
        <v>610</v>
      </c>
      <c r="G130" s="14" t="s">
        <v>611</v>
      </c>
      <c r="H130" s="14" t="s">
        <v>612</v>
      </c>
      <c r="I130" s="14" t="s">
        <v>96</v>
      </c>
      <c r="J130" s="11" t="str">
        <f>HYPERLINK("https://www.codechef.com/problems/MAXSC", "https://www.codechef.com/problems/MAXSC")</f>
        <v>https://www.codechef.com/problems/MAXSC</v>
      </c>
      <c r="K130" s="14"/>
      <c r="L130" s="14"/>
      <c r="M130" s="14"/>
      <c r="N130" s="14" t="s">
        <v>50</v>
      </c>
      <c r="O130" s="14" t="s">
        <v>51</v>
      </c>
    </row>
    <row r="131" spans="1:15">
      <c r="A131" s="15" t="s">
        <v>9</v>
      </c>
      <c r="B131" s="15" t="s">
        <v>555</v>
      </c>
      <c r="C131" s="15" t="s">
        <v>556</v>
      </c>
      <c r="D131" s="15" t="s">
        <v>603</v>
      </c>
      <c r="E131" s="15">
        <v>29</v>
      </c>
      <c r="F131" s="15" t="s">
        <v>613</v>
      </c>
      <c r="G131" s="15" t="s">
        <v>614</v>
      </c>
      <c r="H131" s="15"/>
      <c r="I131" s="15" t="s">
        <v>96</v>
      </c>
      <c r="J131" s="7" t="str">
        <f>HYPERLINK("https://www.codechef.com/problems/MERGEINTER", "https://www.codechef.com/problems/MERGEINTER")</f>
        <v>https://www.codechef.com/problems/MERGEINTER</v>
      </c>
      <c r="K131" s="15"/>
      <c r="L131" s="15"/>
      <c r="M131" s="15"/>
      <c r="N131" s="15" t="s">
        <v>50</v>
      </c>
      <c r="O131" s="15" t="s">
        <v>51</v>
      </c>
    </row>
    <row r="132" spans="1:15">
      <c r="A132" s="14" t="s">
        <v>9</v>
      </c>
      <c r="B132" s="14" t="s">
        <v>555</v>
      </c>
      <c r="C132" s="14" t="s">
        <v>556</v>
      </c>
      <c r="D132" s="14" t="s">
        <v>603</v>
      </c>
      <c r="E132" s="14">
        <v>30</v>
      </c>
      <c r="F132" s="14" t="s">
        <v>615</v>
      </c>
      <c r="G132" s="14" t="s">
        <v>616</v>
      </c>
      <c r="H132" s="14" t="s">
        <v>617</v>
      </c>
      <c r="I132" s="14" t="s">
        <v>96</v>
      </c>
      <c r="J132" s="11" t="str">
        <f>HYPERLINK("https://www.codechef.com/problems/COUNTPAL", "https://www.codechef.com/problems/COUNTPAL")</f>
        <v>https://www.codechef.com/problems/COUNTPAL</v>
      </c>
      <c r="K132" s="14"/>
      <c r="L132" s="14"/>
      <c r="M132" s="14"/>
      <c r="N132" s="14" t="s">
        <v>50</v>
      </c>
      <c r="O132" s="14" t="s">
        <v>51</v>
      </c>
    </row>
    <row r="133" spans="1:15">
      <c r="A133" s="15" t="s">
        <v>9</v>
      </c>
      <c r="B133" s="15" t="s">
        <v>555</v>
      </c>
      <c r="C133" s="15" t="s">
        <v>556</v>
      </c>
      <c r="D133" s="15" t="s">
        <v>618</v>
      </c>
      <c r="E133" s="15">
        <v>31</v>
      </c>
      <c r="F133" s="15" t="s">
        <v>619</v>
      </c>
      <c r="G133" s="15" t="s">
        <v>620</v>
      </c>
      <c r="H133" s="15"/>
      <c r="I133" s="15" t="s">
        <v>49</v>
      </c>
      <c r="J133" s="7" t="str">
        <f>HYPERLINK("https://www.codechef.com/problems/GRADETHEMARK", "https://www.codechef.com/problems/GRADETHEMARK")</f>
        <v>https://www.codechef.com/problems/GRADETHEMARK</v>
      </c>
      <c r="K133" s="15"/>
      <c r="L133" s="15"/>
      <c r="M133" s="15"/>
      <c r="N133" s="15" t="s">
        <v>50</v>
      </c>
      <c r="O133" s="15" t="s">
        <v>51</v>
      </c>
    </row>
    <row r="134" spans="1:15">
      <c r="A134" s="14" t="s">
        <v>9</v>
      </c>
      <c r="B134" s="14" t="s">
        <v>555</v>
      </c>
      <c r="C134" s="14" t="s">
        <v>556</v>
      </c>
      <c r="D134" s="14" t="s">
        <v>618</v>
      </c>
      <c r="E134" s="14">
        <v>32</v>
      </c>
      <c r="F134" s="14" t="s">
        <v>161</v>
      </c>
      <c r="G134" s="14" t="s">
        <v>162</v>
      </c>
      <c r="H134" s="14"/>
      <c r="I134" s="14" t="s">
        <v>96</v>
      </c>
      <c r="J134" s="11" t="str">
        <f>HYPERLINK("https://www.codechef.com/problems/SINGLENUM", "https://www.codechef.com/problems/SINGLENUM")</f>
        <v>https://www.codechef.com/problems/SINGLENUM</v>
      </c>
      <c r="K134" s="14"/>
      <c r="L134" s="14"/>
      <c r="M134" s="14"/>
      <c r="N134" s="14" t="s">
        <v>50</v>
      </c>
      <c r="O134" s="14" t="s">
        <v>51</v>
      </c>
    </row>
    <row r="135" spans="1:15">
      <c r="A135" s="15" t="s">
        <v>9</v>
      </c>
      <c r="B135" s="15" t="s">
        <v>555</v>
      </c>
      <c r="C135" s="15" t="s">
        <v>556</v>
      </c>
      <c r="D135" s="15" t="s">
        <v>618</v>
      </c>
      <c r="E135" s="15">
        <v>33</v>
      </c>
      <c r="F135" s="15" t="s">
        <v>325</v>
      </c>
      <c r="G135" s="15" t="s">
        <v>326</v>
      </c>
      <c r="H135" s="15" t="s">
        <v>327</v>
      </c>
      <c r="I135" s="15" t="s">
        <v>49</v>
      </c>
      <c r="J135" s="7" t="str">
        <f>HYPERLINK("https://www.codechef.com/problems/LINKLP", "https://www.codechef.com/problems/LINKLP")</f>
        <v>https://www.codechef.com/problems/LINKLP</v>
      </c>
      <c r="K135" s="15"/>
      <c r="L135" s="15"/>
      <c r="M135" s="15"/>
      <c r="N135" s="15" t="s">
        <v>50</v>
      </c>
      <c r="O135" s="15" t="s">
        <v>51</v>
      </c>
    </row>
    <row r="136" spans="1:15">
      <c r="A136" s="14" t="s">
        <v>9</v>
      </c>
      <c r="B136" s="14" t="s">
        <v>555</v>
      </c>
      <c r="C136" s="14" t="s">
        <v>556</v>
      </c>
      <c r="D136" s="14" t="s">
        <v>618</v>
      </c>
      <c r="E136" s="14">
        <v>34</v>
      </c>
      <c r="F136" s="14" t="s">
        <v>351</v>
      </c>
      <c r="G136" s="14" t="s">
        <v>352</v>
      </c>
      <c r="H136" s="14" t="s">
        <v>348</v>
      </c>
      <c r="I136" s="14" t="s">
        <v>96</v>
      </c>
      <c r="J136" s="11" t="str">
        <f>HYPERLINK("https://www.codechef.com/problems/STRANGELIST", "https://www.codechef.com/problems/STRANGELIST")</f>
        <v>https://www.codechef.com/problems/STRANGELIST</v>
      </c>
      <c r="K136" s="14"/>
      <c r="L136" s="14"/>
      <c r="M136" s="14"/>
      <c r="N136" s="14" t="s">
        <v>50</v>
      </c>
      <c r="O136" s="14" t="s">
        <v>51</v>
      </c>
    </row>
    <row r="137" spans="1:15">
      <c r="A137" s="15" t="s">
        <v>9</v>
      </c>
      <c r="B137" s="15" t="s">
        <v>555</v>
      </c>
      <c r="C137" s="15" t="s">
        <v>556</v>
      </c>
      <c r="D137" s="15" t="s">
        <v>618</v>
      </c>
      <c r="E137" s="15">
        <v>35</v>
      </c>
      <c r="F137" s="15" t="s">
        <v>621</v>
      </c>
      <c r="G137" s="15" t="s">
        <v>622</v>
      </c>
      <c r="H137" s="15"/>
      <c r="I137" s="15" t="s">
        <v>96</v>
      </c>
      <c r="J137" s="7" t="str">
        <f>HYPERLINK("https://www.codechef.com/problems/BSTKTHMAX", "https://www.codechef.com/problems/BSTKTHMAX")</f>
        <v>https://www.codechef.com/problems/BSTKTHMAX</v>
      </c>
      <c r="K137" s="15"/>
      <c r="L137" s="15"/>
      <c r="M137" s="15"/>
      <c r="N137" s="15" t="s">
        <v>50</v>
      </c>
      <c r="O137" s="15" t="s">
        <v>51</v>
      </c>
    </row>
    <row r="138" spans="1:15">
      <c r="A138" s="14" t="s">
        <v>9</v>
      </c>
      <c r="B138" s="14" t="s">
        <v>555</v>
      </c>
      <c r="C138" s="14" t="s">
        <v>556</v>
      </c>
      <c r="D138" s="14" t="s">
        <v>618</v>
      </c>
      <c r="E138" s="14">
        <v>36</v>
      </c>
      <c r="F138" s="14" t="s">
        <v>623</v>
      </c>
      <c r="G138" s="14" t="s">
        <v>624</v>
      </c>
      <c r="H138" s="14" t="s">
        <v>625</v>
      </c>
      <c r="I138" s="14" t="s">
        <v>96</v>
      </c>
      <c r="J138" s="11" t="str">
        <f>HYPERLINK("https://www.codechef.com/problems/HASHP02", "https://www.codechef.com/problems/HASHP02")</f>
        <v>https://www.codechef.com/problems/HASHP02</v>
      </c>
      <c r="K138" s="14"/>
      <c r="L138" s="14"/>
      <c r="M138" s="14"/>
      <c r="N138" s="14" t="s">
        <v>50</v>
      </c>
      <c r="O138" s="14" t="s">
        <v>51</v>
      </c>
    </row>
    <row r="139" spans="1:15">
      <c r="A139" s="15" t="s">
        <v>9</v>
      </c>
      <c r="B139" s="15" t="s">
        <v>555</v>
      </c>
      <c r="C139" s="15" t="s">
        <v>556</v>
      </c>
      <c r="D139" s="15" t="s">
        <v>626</v>
      </c>
      <c r="E139" s="15">
        <v>37</v>
      </c>
      <c r="F139" s="15" t="s">
        <v>627</v>
      </c>
      <c r="G139" s="15" t="s">
        <v>628</v>
      </c>
      <c r="H139" s="15"/>
      <c r="I139" s="15" t="s">
        <v>49</v>
      </c>
      <c r="J139" s="7" t="str">
        <f>HYPERLINK("https://www.codechef.com/problems/CENTURY", "https://www.codechef.com/problems/CENTURY")</f>
        <v>https://www.codechef.com/problems/CENTURY</v>
      </c>
      <c r="K139" s="15"/>
      <c r="L139" s="15"/>
      <c r="M139" s="15"/>
      <c r="N139" s="15" t="s">
        <v>50</v>
      </c>
      <c r="O139" s="15" t="s">
        <v>51</v>
      </c>
    </row>
    <row r="140" spans="1:15">
      <c r="A140" s="14" t="s">
        <v>9</v>
      </c>
      <c r="B140" s="14" t="s">
        <v>555</v>
      </c>
      <c r="C140" s="14" t="s">
        <v>556</v>
      </c>
      <c r="D140" s="14" t="s">
        <v>626</v>
      </c>
      <c r="E140" s="14">
        <v>38</v>
      </c>
      <c r="F140" s="14" t="s">
        <v>126</v>
      </c>
      <c r="G140" s="14" t="s">
        <v>127</v>
      </c>
      <c r="H140" s="14" t="s">
        <v>128</v>
      </c>
      <c r="I140" s="14" t="s">
        <v>49</v>
      </c>
      <c r="J140" s="11" t="str">
        <f>HYPERLINK("https://www.codechef.com/problems/DISCOUNTT", "https://www.codechef.com/problems/DISCOUNTT")</f>
        <v>https://www.codechef.com/problems/DISCOUNTT</v>
      </c>
      <c r="K140" s="14"/>
      <c r="L140" s="14"/>
      <c r="M140" s="14"/>
      <c r="N140" s="14" t="s">
        <v>50</v>
      </c>
      <c r="O140" s="14" t="s">
        <v>51</v>
      </c>
    </row>
    <row r="141" spans="1:15">
      <c r="A141" s="15" t="s">
        <v>9</v>
      </c>
      <c r="B141" s="15" t="s">
        <v>555</v>
      </c>
      <c r="C141" s="15" t="s">
        <v>556</v>
      </c>
      <c r="D141" s="15" t="s">
        <v>626</v>
      </c>
      <c r="E141" s="15">
        <v>39</v>
      </c>
      <c r="F141" s="15" t="s">
        <v>629</v>
      </c>
      <c r="G141" s="15" t="s">
        <v>630</v>
      </c>
      <c r="H141" s="15"/>
      <c r="I141" s="15" t="s">
        <v>96</v>
      </c>
      <c r="J141" s="7" t="str">
        <f>HYPERLINK("https://www.codechef.com/problems/SPIRALMATRIX", "https://www.codechef.com/problems/SPIRALMATRIX")</f>
        <v>https://www.codechef.com/problems/SPIRALMATRIX</v>
      </c>
      <c r="K141" s="15"/>
      <c r="L141" s="15"/>
      <c r="M141" s="15"/>
      <c r="N141" s="15" t="s">
        <v>50</v>
      </c>
      <c r="O141" s="15" t="s">
        <v>51</v>
      </c>
    </row>
    <row r="142" spans="1:15">
      <c r="A142" s="14" t="s">
        <v>9</v>
      </c>
      <c r="B142" s="14" t="s">
        <v>555</v>
      </c>
      <c r="C142" s="14" t="s">
        <v>556</v>
      </c>
      <c r="D142" s="14" t="s">
        <v>626</v>
      </c>
      <c r="E142" s="14">
        <v>40</v>
      </c>
      <c r="F142" s="14" t="s">
        <v>631</v>
      </c>
      <c r="G142" s="14" t="s">
        <v>632</v>
      </c>
      <c r="H142" s="14"/>
      <c r="I142" s="14" t="s">
        <v>96</v>
      </c>
      <c r="J142" s="11" t="str">
        <f>HYPERLINK("https://www.codechef.com/problems/KTHMISSING", "https://www.codechef.com/problems/KTHMISSING")</f>
        <v>https://www.codechef.com/problems/KTHMISSING</v>
      </c>
      <c r="K142" s="14"/>
      <c r="L142" s="14"/>
      <c r="M142" s="14"/>
      <c r="N142" s="14" t="s">
        <v>50</v>
      </c>
      <c r="O142" s="14" t="s">
        <v>51</v>
      </c>
    </row>
    <row r="143" spans="1:15">
      <c r="A143" s="15" t="s">
        <v>9</v>
      </c>
      <c r="B143" s="15" t="s">
        <v>555</v>
      </c>
      <c r="C143" s="15" t="s">
        <v>556</v>
      </c>
      <c r="D143" s="15" t="s">
        <v>626</v>
      </c>
      <c r="E143" s="15">
        <v>41</v>
      </c>
      <c r="F143" s="15" t="s">
        <v>633</v>
      </c>
      <c r="G143" s="15" t="s">
        <v>634</v>
      </c>
      <c r="H143" s="15" t="s">
        <v>635</v>
      </c>
      <c r="I143" s="15" t="s">
        <v>49</v>
      </c>
      <c r="J143" s="7" t="str">
        <f>HYPERLINK("https://www.codechef.com/problems/EXPSTP", "https://www.codechef.com/problems/EXPSTP")</f>
        <v>https://www.codechef.com/problems/EXPSTP</v>
      </c>
      <c r="K143" s="15"/>
      <c r="L143" s="15" t="s">
        <v>140</v>
      </c>
      <c r="M143" s="15"/>
      <c r="N143" s="15" t="s">
        <v>50</v>
      </c>
      <c r="O143" s="15" t="s">
        <v>51</v>
      </c>
    </row>
    <row r="144" spans="1:15">
      <c r="A144" s="14" t="s">
        <v>9</v>
      </c>
      <c r="B144" s="14" t="s">
        <v>555</v>
      </c>
      <c r="C144" s="14" t="s">
        <v>556</v>
      </c>
      <c r="D144" s="14" t="s">
        <v>626</v>
      </c>
      <c r="E144" s="14">
        <v>42</v>
      </c>
      <c r="F144" s="14" t="s">
        <v>636</v>
      </c>
      <c r="G144" s="14" t="s">
        <v>637</v>
      </c>
      <c r="H144" s="14" t="s">
        <v>638</v>
      </c>
      <c r="I144" s="14" t="s">
        <v>96</v>
      </c>
      <c r="J144" s="11" t="str">
        <f>HYPERLINK("https://www.codechef.com/problems/BINARYSUB", "https://www.codechef.com/problems/BINARYSUB")</f>
        <v>https://www.codechef.com/problems/BINARYSUB</v>
      </c>
      <c r="K144" s="14"/>
      <c r="L144" s="14" t="s">
        <v>639</v>
      </c>
      <c r="M144" s="14"/>
      <c r="N144" s="14" t="s">
        <v>50</v>
      </c>
      <c r="O144" s="14" t="s">
        <v>51</v>
      </c>
    </row>
    <row r="145" spans="1:15">
      <c r="A145" s="15" t="s">
        <v>9</v>
      </c>
      <c r="B145" s="15" t="s">
        <v>555</v>
      </c>
      <c r="C145" s="15" t="s">
        <v>556</v>
      </c>
      <c r="D145" s="15" t="s">
        <v>640</v>
      </c>
      <c r="E145" s="15">
        <v>43</v>
      </c>
      <c r="F145" s="15" t="s">
        <v>641</v>
      </c>
      <c r="G145" s="15" t="s">
        <v>642</v>
      </c>
      <c r="H145" s="15"/>
      <c r="I145" s="15" t="s">
        <v>49</v>
      </c>
      <c r="J145" s="7" t="str">
        <f>HYPERLINK("https://www.codechef.com/problems/ODDOREVEN", "https://www.codechef.com/problems/ODDOREVEN")</f>
        <v>https://www.codechef.com/problems/ODDOREVEN</v>
      </c>
      <c r="K145" s="15"/>
      <c r="L145" s="15"/>
      <c r="M145" s="15"/>
      <c r="N145" s="15" t="s">
        <v>50</v>
      </c>
      <c r="O145" s="15" t="s">
        <v>51</v>
      </c>
    </row>
    <row r="146" spans="1:15">
      <c r="A146" s="14" t="s">
        <v>9</v>
      </c>
      <c r="B146" s="14" t="s">
        <v>555</v>
      </c>
      <c r="C146" s="14" t="s">
        <v>556</v>
      </c>
      <c r="D146" s="14" t="s">
        <v>640</v>
      </c>
      <c r="E146" s="14">
        <v>44</v>
      </c>
      <c r="F146" s="14" t="s">
        <v>90</v>
      </c>
      <c r="G146" s="14" t="s">
        <v>91</v>
      </c>
      <c r="H146" s="14" t="s">
        <v>92</v>
      </c>
      <c r="I146" s="14" t="s">
        <v>49</v>
      </c>
      <c r="J146" s="11" t="str">
        <f>HYPERLINK("https://www.codechef.com/problems/OPMIN", "https://www.codechef.com/problems/OPMIN")</f>
        <v>https://www.codechef.com/problems/OPMIN</v>
      </c>
      <c r="K146" s="14"/>
      <c r="L146" s="14"/>
      <c r="M146" s="14"/>
      <c r="N146" s="14" t="s">
        <v>50</v>
      </c>
      <c r="O146" s="14" t="s">
        <v>51</v>
      </c>
    </row>
    <row r="147" spans="1:15">
      <c r="A147" s="15" t="s">
        <v>9</v>
      </c>
      <c r="B147" s="15" t="s">
        <v>555</v>
      </c>
      <c r="C147" s="15" t="s">
        <v>556</v>
      </c>
      <c r="D147" s="15" t="s">
        <v>640</v>
      </c>
      <c r="E147" s="15">
        <v>45</v>
      </c>
      <c r="F147" s="15" t="s">
        <v>458</v>
      </c>
      <c r="G147" s="15" t="s">
        <v>459</v>
      </c>
      <c r="H147" s="15"/>
      <c r="I147" s="15" t="s">
        <v>96</v>
      </c>
      <c r="J147" s="7" t="str">
        <f>HYPERLINK("https://www.codechef.com/problems/MATSETZERO", "https://www.codechef.com/problems/MATSETZERO")</f>
        <v>https://www.codechef.com/problems/MATSETZERO</v>
      </c>
      <c r="K147" s="15"/>
      <c r="L147" s="15"/>
      <c r="M147" s="15"/>
      <c r="N147" s="15" t="s">
        <v>50</v>
      </c>
      <c r="O147" s="15" t="s">
        <v>51</v>
      </c>
    </row>
    <row r="148" spans="1:15">
      <c r="A148" s="14" t="s">
        <v>9</v>
      </c>
      <c r="B148" s="14" t="s">
        <v>555</v>
      </c>
      <c r="C148" s="14" t="s">
        <v>556</v>
      </c>
      <c r="D148" s="14" t="s">
        <v>640</v>
      </c>
      <c r="E148" s="14">
        <v>46</v>
      </c>
      <c r="F148" s="14" t="s">
        <v>643</v>
      </c>
      <c r="G148" s="14" t="s">
        <v>644</v>
      </c>
      <c r="H148" s="14"/>
      <c r="I148" s="14" t="s">
        <v>322</v>
      </c>
      <c r="J148" s="11" t="str">
        <f>HYPERLINK("https://www.codechef.com/problems/CONSECUTIVE", "https://www.codechef.com/problems/CONSECUTIVE")</f>
        <v>https://www.codechef.com/problems/CONSECUTIVE</v>
      </c>
      <c r="K148" s="14"/>
      <c r="L148" s="14"/>
      <c r="M148" s="14"/>
      <c r="N148" s="14" t="s">
        <v>50</v>
      </c>
      <c r="O148" s="14" t="s">
        <v>51</v>
      </c>
    </row>
    <row r="149" spans="1:15">
      <c r="A149" s="15" t="s">
        <v>9</v>
      </c>
      <c r="B149" s="15" t="s">
        <v>555</v>
      </c>
      <c r="C149" s="15" t="s">
        <v>556</v>
      </c>
      <c r="D149" s="15" t="s">
        <v>640</v>
      </c>
      <c r="E149" s="15">
        <v>47</v>
      </c>
      <c r="F149" s="15" t="s">
        <v>645</v>
      </c>
      <c r="G149" s="15" t="s">
        <v>646</v>
      </c>
      <c r="H149" s="15" t="s">
        <v>647</v>
      </c>
      <c r="I149" s="15" t="s">
        <v>96</v>
      </c>
      <c r="J149" s="7" t="str">
        <f>HYPERLINK("https://www.codechef.com/problems/KLIP", "https://www.codechef.com/problems/KLIP")</f>
        <v>https://www.codechef.com/problems/KLIP</v>
      </c>
      <c r="K149" s="15"/>
      <c r="L149" s="15"/>
      <c r="M149" s="15"/>
      <c r="N149" s="15" t="s">
        <v>50</v>
      </c>
      <c r="O149" s="15" t="s">
        <v>51</v>
      </c>
    </row>
    <row r="150" spans="1:15">
      <c r="A150" s="14" t="s">
        <v>9</v>
      </c>
      <c r="B150" s="14" t="s">
        <v>555</v>
      </c>
      <c r="C150" s="14" t="s">
        <v>556</v>
      </c>
      <c r="D150" s="14" t="s">
        <v>640</v>
      </c>
      <c r="E150" s="14">
        <v>48</v>
      </c>
      <c r="F150" s="14" t="s">
        <v>648</v>
      </c>
      <c r="G150" s="14" t="s">
        <v>649</v>
      </c>
      <c r="H150" s="14" t="s">
        <v>650</v>
      </c>
      <c r="I150" s="14" t="s">
        <v>96</v>
      </c>
      <c r="J150" s="11" t="str">
        <f>HYPERLINK("https://www.codechef.com/problems/MAXLCS", "https://www.codechef.com/problems/MAXLCS")</f>
        <v>https://www.codechef.com/problems/MAXLCS</v>
      </c>
      <c r="K150" s="14"/>
      <c r="L150" s="14"/>
      <c r="M150" s="14"/>
      <c r="N150" s="14" t="s">
        <v>50</v>
      </c>
      <c r="O150" s="14" t="s">
        <v>51</v>
      </c>
    </row>
    <row r="151" spans="1:15">
      <c r="A151" s="15" t="s">
        <v>9</v>
      </c>
      <c r="B151" s="15" t="s">
        <v>555</v>
      </c>
      <c r="C151" s="15" t="s">
        <v>556</v>
      </c>
      <c r="D151" s="15" t="s">
        <v>651</v>
      </c>
      <c r="E151" s="15">
        <v>49</v>
      </c>
      <c r="F151" s="15" t="s">
        <v>652</v>
      </c>
      <c r="G151" s="15" t="s">
        <v>653</v>
      </c>
      <c r="H151" s="15"/>
      <c r="I151" s="15" t="s">
        <v>49</v>
      </c>
      <c r="J151" s="7" t="str">
        <f>HYPERLINK("https://www.codechef.com/problems/DIVISIBLEBY5", "https://www.codechef.com/problems/DIVISIBLEBY5")</f>
        <v>https://www.codechef.com/problems/DIVISIBLEBY5</v>
      </c>
      <c r="K151" s="15"/>
      <c r="L151" s="15"/>
      <c r="M151" s="15"/>
      <c r="N151" s="15" t="s">
        <v>50</v>
      </c>
      <c r="O151" s="15" t="s">
        <v>51</v>
      </c>
    </row>
    <row r="152" spans="1:15">
      <c r="A152" s="14" t="s">
        <v>9</v>
      </c>
      <c r="B152" s="14" t="s">
        <v>555</v>
      </c>
      <c r="C152" s="14" t="s">
        <v>556</v>
      </c>
      <c r="D152" s="14" t="s">
        <v>651</v>
      </c>
      <c r="E152" s="14">
        <v>50</v>
      </c>
      <c r="F152" s="14" t="s">
        <v>654</v>
      </c>
      <c r="G152" s="14" t="s">
        <v>655</v>
      </c>
      <c r="H152" s="14"/>
      <c r="I152" s="14" t="s">
        <v>49</v>
      </c>
      <c r="J152" s="11" t="str">
        <f>HYPERLINK("https://www.codechef.com/problems/RECUR07", "https://www.codechef.com/problems/RECUR07")</f>
        <v>https://www.codechef.com/problems/RECUR07</v>
      </c>
      <c r="K152" s="14"/>
      <c r="L152" s="14"/>
      <c r="M152" s="14"/>
      <c r="N152" s="14" t="s">
        <v>50</v>
      </c>
      <c r="O152" s="14" t="s">
        <v>51</v>
      </c>
    </row>
    <row r="153" spans="1:15">
      <c r="A153" s="15" t="s">
        <v>9</v>
      </c>
      <c r="B153" s="15" t="s">
        <v>555</v>
      </c>
      <c r="C153" s="15" t="s">
        <v>556</v>
      </c>
      <c r="D153" s="15" t="s">
        <v>651</v>
      </c>
      <c r="E153" s="15">
        <v>51</v>
      </c>
      <c r="F153" s="15" t="s">
        <v>656</v>
      </c>
      <c r="G153" s="15" t="s">
        <v>657</v>
      </c>
      <c r="H153" s="15" t="s">
        <v>658</v>
      </c>
      <c r="I153" s="15" t="s">
        <v>49</v>
      </c>
      <c r="J153" s="7" t="str">
        <f>HYPERLINK("https://www.codechef.com/problems/ANDOR", "https://www.codechef.com/problems/ANDOR")</f>
        <v>https://www.codechef.com/problems/ANDOR</v>
      </c>
      <c r="K153" s="15"/>
      <c r="L153" s="15" t="s">
        <v>659</v>
      </c>
      <c r="M153" s="15"/>
      <c r="N153" s="15" t="s">
        <v>50</v>
      </c>
      <c r="O153" s="15" t="s">
        <v>51</v>
      </c>
    </row>
    <row r="154" spans="1:15">
      <c r="A154" s="14" t="s">
        <v>9</v>
      </c>
      <c r="B154" s="14" t="s">
        <v>555</v>
      </c>
      <c r="C154" s="14" t="s">
        <v>556</v>
      </c>
      <c r="D154" s="14" t="s">
        <v>651</v>
      </c>
      <c r="E154" s="14">
        <v>52</v>
      </c>
      <c r="F154" s="14" t="s">
        <v>660</v>
      </c>
      <c r="G154" s="14" t="s">
        <v>661</v>
      </c>
      <c r="H154" s="14"/>
      <c r="I154" s="14" t="s">
        <v>322</v>
      </c>
      <c r="J154" s="11" t="str">
        <f>HYPERLINK("https://www.codechef.com/problems/SUBARRAYSUM", "https://www.codechef.com/problems/SUBARRAYSUM")</f>
        <v>https://www.codechef.com/problems/SUBARRAYSUM</v>
      </c>
      <c r="K154" s="14"/>
      <c r="L154" s="14"/>
      <c r="M154" s="14"/>
      <c r="N154" s="14" t="s">
        <v>50</v>
      </c>
      <c r="O154" s="14" t="s">
        <v>51</v>
      </c>
    </row>
    <row r="155" spans="1:15">
      <c r="A155" s="15" t="s">
        <v>9</v>
      </c>
      <c r="B155" s="15" t="s">
        <v>555</v>
      </c>
      <c r="C155" s="15" t="s">
        <v>556</v>
      </c>
      <c r="D155" s="15" t="s">
        <v>651</v>
      </c>
      <c r="E155" s="15">
        <v>53</v>
      </c>
      <c r="F155" s="15" t="s">
        <v>662</v>
      </c>
      <c r="G155" s="15" t="s">
        <v>663</v>
      </c>
      <c r="H155" s="15"/>
      <c r="I155" s="15" t="s">
        <v>322</v>
      </c>
      <c r="J155" s="7" t="str">
        <f>HYPERLINK("https://www.codechef.com/problems/DSAPROB8", "https://www.codechef.com/problems/DSAPROB8")</f>
        <v>https://www.codechef.com/problems/DSAPROB8</v>
      </c>
      <c r="K155" s="15"/>
      <c r="L155" s="15"/>
      <c r="M155" s="15"/>
      <c r="N155" s="15" t="s">
        <v>50</v>
      </c>
      <c r="O155" s="15" t="s">
        <v>51</v>
      </c>
    </row>
    <row r="156" spans="1:15">
      <c r="A156" s="14" t="s">
        <v>9</v>
      </c>
      <c r="B156" s="14" t="s">
        <v>555</v>
      </c>
      <c r="C156" s="14" t="s">
        <v>556</v>
      </c>
      <c r="D156" s="14" t="s">
        <v>651</v>
      </c>
      <c r="E156" s="14">
        <v>54</v>
      </c>
      <c r="F156" s="14" t="s">
        <v>664</v>
      </c>
      <c r="G156" s="14" t="s">
        <v>665</v>
      </c>
      <c r="H156" s="14"/>
      <c r="I156" s="14" t="s">
        <v>322</v>
      </c>
      <c r="J156" s="11" t="str">
        <f>HYPERLINK("https://www.codechef.com/problems/GETANCESTORS", "https://www.codechef.com/problems/GETANCESTORS")</f>
        <v>https://www.codechef.com/problems/GETANCESTORS</v>
      </c>
      <c r="K156" s="14"/>
      <c r="L156" s="14"/>
      <c r="M156" s="14"/>
      <c r="N156" s="14" t="s">
        <v>50</v>
      </c>
      <c r="O156" s="14" t="s">
        <v>51</v>
      </c>
    </row>
    <row r="157" spans="1:15">
      <c r="A157" s="15" t="s">
        <v>9</v>
      </c>
      <c r="B157" s="15" t="s">
        <v>555</v>
      </c>
      <c r="C157" s="15" t="s">
        <v>556</v>
      </c>
      <c r="D157" s="15" t="s">
        <v>666</v>
      </c>
      <c r="E157" s="15">
        <v>55</v>
      </c>
      <c r="F157" s="15" t="s">
        <v>667</v>
      </c>
      <c r="G157" s="15" t="s">
        <v>668</v>
      </c>
      <c r="H157" s="15"/>
      <c r="I157" s="15" t="s">
        <v>49</v>
      </c>
      <c r="J157" s="7" t="str">
        <f>HYPERLINK("https://www.codechef.com/problems/MINUS100X", "https://www.codechef.com/problems/MINUS100X")</f>
        <v>https://www.codechef.com/problems/MINUS100X</v>
      </c>
      <c r="K157" s="15"/>
      <c r="L157" s="15"/>
      <c r="M157" s="15"/>
      <c r="N157" s="15" t="s">
        <v>50</v>
      </c>
      <c r="O157" s="15" t="s">
        <v>51</v>
      </c>
    </row>
    <row r="158" spans="1:15">
      <c r="A158" s="14" t="s">
        <v>9</v>
      </c>
      <c r="B158" s="14" t="s">
        <v>555</v>
      </c>
      <c r="C158" s="14" t="s">
        <v>556</v>
      </c>
      <c r="D158" s="14" t="s">
        <v>666</v>
      </c>
      <c r="E158" s="14">
        <v>56</v>
      </c>
      <c r="F158" s="14" t="s">
        <v>669</v>
      </c>
      <c r="G158" s="14" t="s">
        <v>670</v>
      </c>
      <c r="H158" s="14" t="s">
        <v>671</v>
      </c>
      <c r="I158" s="14" t="s">
        <v>49</v>
      </c>
      <c r="J158" s="11" t="str">
        <f>HYPERLINK("https://www.codechef.com/problems/ODDSUMPAIR", "https://www.codechef.com/problems/ODDSUMPAIR")</f>
        <v>https://www.codechef.com/problems/ODDSUMPAIR</v>
      </c>
      <c r="K158" s="14"/>
      <c r="L158" s="14" t="s">
        <v>194</v>
      </c>
      <c r="M158" s="14"/>
      <c r="N158" s="14" t="s">
        <v>50</v>
      </c>
      <c r="O158" s="14" t="s">
        <v>51</v>
      </c>
    </row>
    <row r="159" spans="1:15">
      <c r="A159" s="15" t="s">
        <v>9</v>
      </c>
      <c r="B159" s="15" t="s">
        <v>555</v>
      </c>
      <c r="C159" s="15" t="s">
        <v>556</v>
      </c>
      <c r="D159" s="15" t="s">
        <v>666</v>
      </c>
      <c r="E159" s="15">
        <v>57</v>
      </c>
      <c r="F159" s="15" t="s">
        <v>672</v>
      </c>
      <c r="G159" s="15" t="s">
        <v>673</v>
      </c>
      <c r="H159" s="15" t="s">
        <v>674</v>
      </c>
      <c r="I159" s="15" t="s">
        <v>49</v>
      </c>
      <c r="J159" s="7" t="str">
        <f>HYPERLINK("https://www.codechef.com/problems/BOOKPAGES", "https://www.codechef.com/problems/BOOKPAGES")</f>
        <v>https://www.codechef.com/problems/BOOKPAGES</v>
      </c>
      <c r="K159" s="15"/>
      <c r="L159" s="15"/>
      <c r="M159" s="15"/>
      <c r="N159" s="15" t="s">
        <v>50</v>
      </c>
      <c r="O159" s="15" t="s">
        <v>51</v>
      </c>
    </row>
    <row r="160" spans="1:15">
      <c r="A160" s="14" t="s">
        <v>9</v>
      </c>
      <c r="B160" s="14" t="s">
        <v>555</v>
      </c>
      <c r="C160" s="14" t="s">
        <v>556</v>
      </c>
      <c r="D160" s="14" t="s">
        <v>666</v>
      </c>
      <c r="E160" s="14">
        <v>58</v>
      </c>
      <c r="F160" s="14" t="s">
        <v>675</v>
      </c>
      <c r="G160" s="14" t="s">
        <v>676</v>
      </c>
      <c r="H160" s="14"/>
      <c r="I160" s="14" t="s">
        <v>96</v>
      </c>
      <c r="J160" s="11" t="str">
        <f>HYPERLINK("https://www.codechef.com/problems/PREFPRO3", "https://www.codechef.com/problems/PREFPRO3")</f>
        <v>https://www.codechef.com/problems/PREFPRO3</v>
      </c>
      <c r="K160" s="14"/>
      <c r="L160" s="14"/>
      <c r="M160" s="14"/>
      <c r="N160" s="14" t="s">
        <v>50</v>
      </c>
      <c r="O160" s="14" t="s">
        <v>51</v>
      </c>
    </row>
    <row r="161" spans="1:15">
      <c r="A161" s="15" t="s">
        <v>9</v>
      </c>
      <c r="B161" s="15" t="s">
        <v>555</v>
      </c>
      <c r="C161" s="15" t="s">
        <v>556</v>
      </c>
      <c r="D161" s="15" t="s">
        <v>666</v>
      </c>
      <c r="E161" s="15">
        <v>59</v>
      </c>
      <c r="F161" s="15" t="s">
        <v>677</v>
      </c>
      <c r="G161" s="15" t="s">
        <v>678</v>
      </c>
      <c r="H161" s="15" t="s">
        <v>679</v>
      </c>
      <c r="I161" s="15" t="s">
        <v>96</v>
      </c>
      <c r="J161" s="7" t="str">
        <f>HYPERLINK("https://www.codechef.com/problems/TRIPLETMIN", "https://www.codechef.com/problems/TRIPLETMIN")</f>
        <v>https://www.codechef.com/problems/TRIPLETMIN</v>
      </c>
      <c r="K161" s="15"/>
      <c r="L161" s="15"/>
      <c r="M161" s="15"/>
      <c r="N161" s="15" t="s">
        <v>50</v>
      </c>
      <c r="O161" s="15" t="s">
        <v>51</v>
      </c>
    </row>
    <row r="162" spans="1:15">
      <c r="A162" s="14" t="s">
        <v>9</v>
      </c>
      <c r="B162" s="14" t="s">
        <v>555</v>
      </c>
      <c r="C162" s="14" t="s">
        <v>556</v>
      </c>
      <c r="D162" s="14" t="s">
        <v>666</v>
      </c>
      <c r="E162" s="14">
        <v>60</v>
      </c>
      <c r="F162" s="14" t="s">
        <v>680</v>
      </c>
      <c r="G162" s="14" t="s">
        <v>681</v>
      </c>
      <c r="H162" s="14" t="s">
        <v>682</v>
      </c>
      <c r="I162" s="14" t="s">
        <v>96</v>
      </c>
      <c r="J162" s="11" t="str">
        <f>HYPERLINK("https://www.codechef.com/problems/MOVES", "https://www.codechef.com/problems/MOVES")</f>
        <v>https://www.codechef.com/problems/MOVES</v>
      </c>
      <c r="K162" s="14"/>
      <c r="L162" s="14"/>
      <c r="M162" s="14"/>
      <c r="N162" s="14" t="s">
        <v>50</v>
      </c>
      <c r="O162" s="14" t="s">
        <v>51</v>
      </c>
    </row>
    <row r="163" spans="1:15">
      <c r="A163" s="15" t="s">
        <v>9</v>
      </c>
      <c r="B163" s="15" t="s">
        <v>555</v>
      </c>
      <c r="C163" s="15" t="s">
        <v>556</v>
      </c>
      <c r="D163" s="15" t="s">
        <v>683</v>
      </c>
      <c r="E163" s="15">
        <v>61</v>
      </c>
      <c r="F163" s="15" t="s">
        <v>684</v>
      </c>
      <c r="G163" s="15" t="s">
        <v>685</v>
      </c>
      <c r="H163" s="15"/>
      <c r="I163" s="15" t="s">
        <v>49</v>
      </c>
      <c r="J163" s="7" t="str">
        <f>HYPERLINK("https://www.codechef.com/problems/SQUAREOFN", "https://www.codechef.com/problems/SQUAREOFN")</f>
        <v>https://www.codechef.com/problems/SQUAREOFN</v>
      </c>
      <c r="K163" s="15"/>
      <c r="L163" s="15"/>
      <c r="M163" s="15"/>
      <c r="N163" s="15" t="s">
        <v>50</v>
      </c>
      <c r="O163" s="15" t="s">
        <v>51</v>
      </c>
    </row>
    <row r="164" spans="1:15">
      <c r="A164" s="14" t="s">
        <v>9</v>
      </c>
      <c r="B164" s="14" t="s">
        <v>555</v>
      </c>
      <c r="C164" s="14" t="s">
        <v>556</v>
      </c>
      <c r="D164" s="14" t="s">
        <v>683</v>
      </c>
      <c r="E164" s="14">
        <v>62</v>
      </c>
      <c r="F164" s="14" t="s">
        <v>86</v>
      </c>
      <c r="G164" s="14" t="s">
        <v>87</v>
      </c>
      <c r="H164" s="14" t="s">
        <v>88</v>
      </c>
      <c r="I164" s="14" t="s">
        <v>49</v>
      </c>
      <c r="J164" s="11" t="str">
        <f>HYPERLINK("https://www.codechef.com/problems/LARGESECOND", "https://www.codechef.com/problems/LARGESECOND")</f>
        <v>https://www.codechef.com/problems/LARGESECOND</v>
      </c>
      <c r="K164" s="14"/>
      <c r="L164" s="14" t="s">
        <v>89</v>
      </c>
      <c r="M164" s="14"/>
      <c r="N164" s="14" t="s">
        <v>50</v>
      </c>
      <c r="O164" s="14" t="s">
        <v>51</v>
      </c>
    </row>
    <row r="165" spans="1:15">
      <c r="A165" s="15" t="s">
        <v>9</v>
      </c>
      <c r="B165" s="15" t="s">
        <v>555</v>
      </c>
      <c r="C165" s="15" t="s">
        <v>556</v>
      </c>
      <c r="D165" s="15" t="s">
        <v>683</v>
      </c>
      <c r="E165" s="15">
        <v>63</v>
      </c>
      <c r="F165" s="15" t="s">
        <v>686</v>
      </c>
      <c r="G165" s="15" t="s">
        <v>687</v>
      </c>
      <c r="H165" s="15"/>
      <c r="I165" s="15" t="s">
        <v>322</v>
      </c>
      <c r="J165" s="7" t="str">
        <f>HYPERLINK("https://www.codechef.com/problems/CNTINVERSION", "https://www.codechef.com/problems/CNTINVERSION")</f>
        <v>https://www.codechef.com/problems/CNTINVERSION</v>
      </c>
      <c r="K165" s="15"/>
      <c r="L165" s="15"/>
      <c r="M165" s="15"/>
      <c r="N165" s="15" t="s">
        <v>50</v>
      </c>
      <c r="O165" s="15" t="s">
        <v>51</v>
      </c>
    </row>
    <row r="166" spans="1:15">
      <c r="A166" s="14" t="s">
        <v>9</v>
      </c>
      <c r="B166" s="14" t="s">
        <v>555</v>
      </c>
      <c r="C166" s="14" t="s">
        <v>556</v>
      </c>
      <c r="D166" s="14" t="s">
        <v>683</v>
      </c>
      <c r="E166" s="14">
        <v>64</v>
      </c>
      <c r="F166" s="14" t="s">
        <v>688</v>
      </c>
      <c r="G166" s="14" t="s">
        <v>689</v>
      </c>
      <c r="H166" s="14"/>
      <c r="I166" s="14" t="s">
        <v>322</v>
      </c>
      <c r="J166" s="11" t="str">
        <f>HYPERLINK("https://www.codechef.com/problems/THREESUM", "https://www.codechef.com/problems/THREESUM")</f>
        <v>https://www.codechef.com/problems/THREESUM</v>
      </c>
      <c r="K166" s="14"/>
      <c r="L166" s="14"/>
      <c r="M166" s="14"/>
      <c r="N166" s="14" t="s">
        <v>50</v>
      </c>
      <c r="O166" s="14" t="s">
        <v>51</v>
      </c>
    </row>
    <row r="167" spans="1:15">
      <c r="A167" s="15" t="s">
        <v>9</v>
      </c>
      <c r="B167" s="15" t="s">
        <v>555</v>
      </c>
      <c r="C167" s="15" t="s">
        <v>556</v>
      </c>
      <c r="D167" s="15" t="s">
        <v>683</v>
      </c>
      <c r="E167" s="15">
        <v>65</v>
      </c>
      <c r="F167" s="15" t="s">
        <v>690</v>
      </c>
      <c r="G167" s="15" t="s">
        <v>691</v>
      </c>
      <c r="H167" s="15" t="s">
        <v>692</v>
      </c>
      <c r="I167" s="15" t="s">
        <v>96</v>
      </c>
      <c r="J167" s="7" t="str">
        <f>HYPERLINK("https://www.codechef.com/problems/MAXSEGMP", "https://www.codechef.com/problems/MAXSEGMP")</f>
        <v>https://www.codechef.com/problems/MAXSEGMP</v>
      </c>
      <c r="K167" s="15"/>
      <c r="L167" s="15"/>
      <c r="M167" s="15"/>
      <c r="N167" s="15" t="s">
        <v>50</v>
      </c>
      <c r="O167" s="15" t="s">
        <v>51</v>
      </c>
    </row>
    <row r="168" spans="1:15">
      <c r="A168" s="14" t="s">
        <v>9</v>
      </c>
      <c r="B168" s="14" t="s">
        <v>555</v>
      </c>
      <c r="C168" s="14" t="s">
        <v>556</v>
      </c>
      <c r="D168" s="14" t="s">
        <v>683</v>
      </c>
      <c r="E168" s="14">
        <v>66</v>
      </c>
      <c r="F168" s="14" t="s">
        <v>693</v>
      </c>
      <c r="G168" s="14" t="s">
        <v>694</v>
      </c>
      <c r="H168" s="14" t="s">
        <v>340</v>
      </c>
      <c r="I168" s="14" t="s">
        <v>96</v>
      </c>
      <c r="J168" s="11" t="str">
        <f>HYPERLINK("https://www.codechef.com/problems/SLDW0104", "https://www.codechef.com/problems/SLDW0104")</f>
        <v>https://www.codechef.com/problems/SLDW0104</v>
      </c>
      <c r="K168" s="14"/>
      <c r="L168" s="14"/>
      <c r="M168" s="14"/>
      <c r="N168" s="14" t="s">
        <v>50</v>
      </c>
      <c r="O168" s="14" t="s">
        <v>51</v>
      </c>
    </row>
    <row r="169" spans="1:15">
      <c r="A169" s="15" t="s">
        <v>9</v>
      </c>
      <c r="B169" s="15" t="s">
        <v>555</v>
      </c>
      <c r="C169" s="15" t="s">
        <v>556</v>
      </c>
      <c r="D169" s="15" t="s">
        <v>695</v>
      </c>
      <c r="E169" s="15">
        <v>67</v>
      </c>
      <c r="F169" s="15" t="s">
        <v>696</v>
      </c>
      <c r="G169" s="15" t="s">
        <v>697</v>
      </c>
      <c r="H169" s="15"/>
      <c r="I169" s="15" t="s">
        <v>49</v>
      </c>
      <c r="J169" s="7" t="str">
        <f>HYPERLINK("https://www.codechef.com/problems/MAKE2DIGITS", "https://www.codechef.com/problems/MAKE2DIGITS")</f>
        <v>https://www.codechef.com/problems/MAKE2DIGITS</v>
      </c>
      <c r="K169" s="15"/>
      <c r="L169" s="15"/>
      <c r="M169" s="15"/>
      <c r="N169" s="15" t="s">
        <v>50</v>
      </c>
      <c r="O169" s="15" t="s">
        <v>51</v>
      </c>
    </row>
    <row r="170" spans="1:15">
      <c r="A170" s="14" t="s">
        <v>9</v>
      </c>
      <c r="B170" s="14" t="s">
        <v>555</v>
      </c>
      <c r="C170" s="14" t="s">
        <v>556</v>
      </c>
      <c r="D170" s="14" t="s">
        <v>695</v>
      </c>
      <c r="E170" s="14">
        <v>68</v>
      </c>
      <c r="F170" s="14" t="s">
        <v>698</v>
      </c>
      <c r="G170" s="14" t="s">
        <v>699</v>
      </c>
      <c r="H170" s="14"/>
      <c r="I170" s="14" t="s">
        <v>96</v>
      </c>
      <c r="J170" s="11" t="str">
        <f>HYPERLINK("https://www.codechef.com/problems/SORTARRAYS", "https://www.codechef.com/problems/SORTARRAYS")</f>
        <v>https://www.codechef.com/problems/SORTARRAYS</v>
      </c>
      <c r="K170" s="14"/>
      <c r="L170" s="14"/>
      <c r="M170" s="14"/>
      <c r="N170" s="14" t="s">
        <v>50</v>
      </c>
      <c r="O170" s="14" t="s">
        <v>51</v>
      </c>
    </row>
    <row r="171" spans="1:15">
      <c r="A171" s="15" t="s">
        <v>9</v>
      </c>
      <c r="B171" s="15" t="s">
        <v>555</v>
      </c>
      <c r="C171" s="15" t="s">
        <v>556</v>
      </c>
      <c r="D171" s="15" t="s">
        <v>695</v>
      </c>
      <c r="E171" s="15">
        <v>69</v>
      </c>
      <c r="F171" s="15" t="s">
        <v>700</v>
      </c>
      <c r="G171" s="15" t="s">
        <v>701</v>
      </c>
      <c r="H171" s="15"/>
      <c r="I171" s="15" t="s">
        <v>96</v>
      </c>
      <c r="J171" s="7" t="str">
        <f>HYPERLINK("https://www.codechef.com/problems/DSCPPAS261", "https://www.codechef.com/problems/DSCPPAS261")</f>
        <v>https://www.codechef.com/problems/DSCPPAS261</v>
      </c>
      <c r="K171" s="15"/>
      <c r="L171" s="15"/>
      <c r="M171" s="15"/>
      <c r="N171" s="15" t="s">
        <v>50</v>
      </c>
      <c r="O171" s="15" t="s">
        <v>51</v>
      </c>
    </row>
    <row r="172" spans="1:15">
      <c r="A172" s="14" t="s">
        <v>9</v>
      </c>
      <c r="B172" s="14" t="s">
        <v>555</v>
      </c>
      <c r="C172" s="14" t="s">
        <v>556</v>
      </c>
      <c r="D172" s="14" t="s">
        <v>695</v>
      </c>
      <c r="E172" s="14">
        <v>70</v>
      </c>
      <c r="F172" s="14" t="s">
        <v>702</v>
      </c>
      <c r="G172" s="14" t="s">
        <v>703</v>
      </c>
      <c r="H172" s="14" t="s">
        <v>500</v>
      </c>
      <c r="I172" s="14" t="s">
        <v>49</v>
      </c>
      <c r="J172" s="11" t="str">
        <f>HYPERLINK("https://www.codechef.com/problems/XYSTRPP", "https://www.codechef.com/problems/XYSTRPP")</f>
        <v>https://www.codechef.com/problems/XYSTRPP</v>
      </c>
      <c r="K172" s="14"/>
      <c r="L172" s="14"/>
      <c r="M172" s="14"/>
      <c r="N172" s="14" t="s">
        <v>50</v>
      </c>
      <c r="O172" s="14" t="s">
        <v>51</v>
      </c>
    </row>
    <row r="173" spans="1:15">
      <c r="A173" s="15" t="s">
        <v>9</v>
      </c>
      <c r="B173" s="15" t="s">
        <v>555</v>
      </c>
      <c r="C173" s="15" t="s">
        <v>556</v>
      </c>
      <c r="D173" s="15" t="s">
        <v>695</v>
      </c>
      <c r="E173" s="15">
        <v>71</v>
      </c>
      <c r="F173" s="15" t="s">
        <v>704</v>
      </c>
      <c r="G173" s="15" t="s">
        <v>705</v>
      </c>
      <c r="H173" s="15" t="s">
        <v>706</v>
      </c>
      <c r="I173" s="15" t="s">
        <v>96</v>
      </c>
      <c r="J173" s="7" t="str">
        <f>HYPERLINK("https://www.codechef.com/problems/HXORP", "https://www.codechef.com/problems/HXORP")</f>
        <v>https://www.codechef.com/problems/HXORP</v>
      </c>
      <c r="K173" s="15"/>
      <c r="L173" s="15"/>
      <c r="M173" s="15"/>
      <c r="N173" s="15" t="s">
        <v>50</v>
      </c>
      <c r="O173" s="15" t="s">
        <v>51</v>
      </c>
    </row>
    <row r="174" spans="1:15">
      <c r="A174" s="14" t="s">
        <v>9</v>
      </c>
      <c r="B174" s="14" t="s">
        <v>555</v>
      </c>
      <c r="C174" s="14" t="s">
        <v>556</v>
      </c>
      <c r="D174" s="14" t="s">
        <v>695</v>
      </c>
      <c r="E174" s="14">
        <v>72</v>
      </c>
      <c r="F174" s="14" t="s">
        <v>707</v>
      </c>
      <c r="G174" s="14" t="s">
        <v>708</v>
      </c>
      <c r="H174" s="14" t="s">
        <v>413</v>
      </c>
      <c r="I174" s="14" t="s">
        <v>96</v>
      </c>
      <c r="J174" s="11" t="str">
        <f>HYPERLINK("https://www.codechef.com/problems/ZCO15003P", "https://www.codechef.com/problems/ZCO15003P")</f>
        <v>https://www.codechef.com/problems/ZCO15003P</v>
      </c>
      <c r="K174" s="14"/>
      <c r="L174" s="14"/>
      <c r="M174" s="14"/>
      <c r="N174" s="14" t="s">
        <v>50</v>
      </c>
      <c r="O174" s="14" t="s">
        <v>51</v>
      </c>
    </row>
    <row r="175" spans="1:15">
      <c r="A175" s="15" t="s">
        <v>9</v>
      </c>
      <c r="B175" s="15" t="s">
        <v>555</v>
      </c>
      <c r="C175" s="15" t="s">
        <v>556</v>
      </c>
      <c r="D175" s="15" t="s">
        <v>709</v>
      </c>
      <c r="E175" s="15">
        <v>73</v>
      </c>
      <c r="F175" s="15" t="s">
        <v>710</v>
      </c>
      <c r="G175" s="15" t="s">
        <v>711</v>
      </c>
      <c r="H175" s="15"/>
      <c r="I175" s="15" t="s">
        <v>49</v>
      </c>
      <c r="J175" s="7" t="str">
        <f>HYPERLINK("https://www.codechef.com/problems/LESSTHAN10", "https://www.codechef.com/problems/LESSTHAN10")</f>
        <v>https://www.codechef.com/problems/LESSTHAN10</v>
      </c>
      <c r="K175" s="15"/>
      <c r="L175" s="15"/>
      <c r="M175" s="15"/>
      <c r="N175" s="15" t="s">
        <v>50</v>
      </c>
      <c r="O175" s="15" t="s">
        <v>51</v>
      </c>
    </row>
    <row r="176" spans="1:15">
      <c r="A176" s="14" t="s">
        <v>9</v>
      </c>
      <c r="B176" s="14" t="s">
        <v>555</v>
      </c>
      <c r="C176" s="14" t="s">
        <v>556</v>
      </c>
      <c r="D176" s="14" t="s">
        <v>709</v>
      </c>
      <c r="E176" s="14">
        <v>74</v>
      </c>
      <c r="F176" s="14" t="s">
        <v>122</v>
      </c>
      <c r="G176" s="14" t="s">
        <v>123</v>
      </c>
      <c r="H176" s="14" t="s">
        <v>124</v>
      </c>
      <c r="I176" s="14" t="s">
        <v>49</v>
      </c>
      <c r="J176" s="11" t="str">
        <f>HYPERLINK("https://www.codechef.com/problems/KITCHENCOST", "https://www.codechef.com/problems/KITCHENCOST")</f>
        <v>https://www.codechef.com/problems/KITCHENCOST</v>
      </c>
      <c r="K176" s="14"/>
      <c r="L176" s="14" t="s">
        <v>125</v>
      </c>
      <c r="M176" s="14"/>
      <c r="N176" s="14" t="s">
        <v>50</v>
      </c>
      <c r="O176" s="14" t="s">
        <v>51</v>
      </c>
    </row>
    <row r="177" spans="1:15">
      <c r="A177" s="15" t="s">
        <v>9</v>
      </c>
      <c r="B177" s="15" t="s">
        <v>555</v>
      </c>
      <c r="C177" s="15" t="s">
        <v>556</v>
      </c>
      <c r="D177" s="15" t="s">
        <v>709</v>
      </c>
      <c r="E177" s="15">
        <v>75</v>
      </c>
      <c r="F177" s="15" t="s">
        <v>151</v>
      </c>
      <c r="G177" s="15" t="s">
        <v>152</v>
      </c>
      <c r="H177" s="15" t="s">
        <v>153</v>
      </c>
      <c r="I177" s="15" t="s">
        <v>49</v>
      </c>
      <c r="J177" s="7" t="str">
        <f>HYPERLINK("https://www.codechef.com/problems/MAXCOUNT", "https://www.codechef.com/problems/MAXCOUNT")</f>
        <v>https://www.codechef.com/problems/MAXCOUNT</v>
      </c>
      <c r="K177" s="15"/>
      <c r="L177" s="15" t="s">
        <v>154</v>
      </c>
      <c r="M177" s="15"/>
      <c r="N177" s="15" t="s">
        <v>50</v>
      </c>
      <c r="O177" s="15" t="s">
        <v>51</v>
      </c>
    </row>
    <row r="178" spans="1:15">
      <c r="A178" s="14" t="s">
        <v>9</v>
      </c>
      <c r="B178" s="14" t="s">
        <v>555</v>
      </c>
      <c r="C178" s="14" t="s">
        <v>556</v>
      </c>
      <c r="D178" s="14" t="s">
        <v>709</v>
      </c>
      <c r="E178" s="14">
        <v>76</v>
      </c>
      <c r="F178" s="14" t="s">
        <v>712</v>
      </c>
      <c r="G178" s="14" t="s">
        <v>713</v>
      </c>
      <c r="H178" s="14"/>
      <c r="I178" s="14" t="s">
        <v>322</v>
      </c>
      <c r="J178" s="11" t="str">
        <f>HYPERLINK("https://www.codechef.com/problems/DSAPROB7", "https://www.codechef.com/problems/DSAPROB7")</f>
        <v>https://www.codechef.com/problems/DSAPROB7</v>
      </c>
      <c r="K178" s="14"/>
      <c r="L178" s="14"/>
      <c r="M178" s="14"/>
      <c r="N178" s="14" t="s">
        <v>50</v>
      </c>
      <c r="O178" s="14" t="s">
        <v>51</v>
      </c>
    </row>
    <row r="179" spans="1:15">
      <c r="A179" s="15" t="s">
        <v>9</v>
      </c>
      <c r="B179" s="15" t="s">
        <v>555</v>
      </c>
      <c r="C179" s="15" t="s">
        <v>556</v>
      </c>
      <c r="D179" s="15" t="s">
        <v>709</v>
      </c>
      <c r="E179" s="15">
        <v>77</v>
      </c>
      <c r="F179" s="15" t="s">
        <v>714</v>
      </c>
      <c r="G179" s="15" t="s">
        <v>715</v>
      </c>
      <c r="H179" s="15"/>
      <c r="I179" s="15" t="s">
        <v>96</v>
      </c>
      <c r="J179" s="7" t="str">
        <f>HYPERLINK("https://www.codechef.com/problems/RECUR22", "https://www.codechef.com/problems/RECUR22")</f>
        <v>https://www.codechef.com/problems/RECUR22</v>
      </c>
      <c r="K179" s="15"/>
      <c r="L179" s="15"/>
      <c r="M179" s="15"/>
      <c r="N179" s="15" t="s">
        <v>50</v>
      </c>
      <c r="O179" s="15" t="s">
        <v>51</v>
      </c>
    </row>
    <row r="180" spans="1:15">
      <c r="A180" s="14" t="s">
        <v>9</v>
      </c>
      <c r="B180" s="14" t="s">
        <v>555</v>
      </c>
      <c r="C180" s="14" t="s">
        <v>556</v>
      </c>
      <c r="D180" s="14" t="s">
        <v>709</v>
      </c>
      <c r="E180" s="14">
        <v>78</v>
      </c>
      <c r="F180" s="14" t="s">
        <v>716</v>
      </c>
      <c r="G180" s="14" t="s">
        <v>717</v>
      </c>
      <c r="H180" s="14"/>
      <c r="I180" s="14" t="s">
        <v>322</v>
      </c>
      <c r="J180" s="11" t="str">
        <f>HYPERLINK("https://www.codechef.com/problems/BSTRECOVER", "https://www.codechef.com/problems/BSTRECOVER")</f>
        <v>https://www.codechef.com/problems/BSTRECOVER</v>
      </c>
      <c r="K180" s="14"/>
      <c r="L180" s="14"/>
      <c r="M180" s="14"/>
      <c r="N180" s="14" t="s">
        <v>50</v>
      </c>
      <c r="O180" s="14" t="s">
        <v>51</v>
      </c>
    </row>
    <row r="181" spans="1:15">
      <c r="A181" s="15" t="s">
        <v>9</v>
      </c>
      <c r="B181" s="15" t="s">
        <v>555</v>
      </c>
      <c r="C181" s="15" t="s">
        <v>556</v>
      </c>
      <c r="D181" s="15" t="s">
        <v>718</v>
      </c>
      <c r="E181" s="15">
        <v>79</v>
      </c>
      <c r="F181" s="15" t="s">
        <v>719</v>
      </c>
      <c r="G181" s="15" t="s">
        <v>720</v>
      </c>
      <c r="H181" s="15"/>
      <c r="I181" s="15" t="s">
        <v>49</v>
      </c>
      <c r="J181" s="7" t="str">
        <f>HYPERLINK("https://www.codechef.com/problems/RESOLUTIONCP", "https://www.codechef.com/problems/RESOLUTIONCP")</f>
        <v>https://www.codechef.com/problems/RESOLUTIONCP</v>
      </c>
      <c r="K181" s="15"/>
      <c r="L181" s="15"/>
      <c r="M181" s="15"/>
      <c r="N181" s="15" t="s">
        <v>50</v>
      </c>
      <c r="O181" s="15" t="s">
        <v>51</v>
      </c>
    </row>
    <row r="182" spans="1:15">
      <c r="A182" s="14" t="s">
        <v>9</v>
      </c>
      <c r="B182" s="14" t="s">
        <v>555</v>
      </c>
      <c r="C182" s="14" t="s">
        <v>556</v>
      </c>
      <c r="D182" s="14" t="s">
        <v>718</v>
      </c>
      <c r="E182" s="14">
        <v>80</v>
      </c>
      <c r="F182" s="14" t="s">
        <v>721</v>
      </c>
      <c r="G182" s="14" t="s">
        <v>722</v>
      </c>
      <c r="H182" s="14" t="s">
        <v>723</v>
      </c>
      <c r="I182" s="14" t="s">
        <v>49</v>
      </c>
      <c r="J182" s="11" t="str">
        <f>HYPERLINK("https://www.codechef.com/problems/DNASTORAGEP", "https://www.codechef.com/problems/DNASTORAGEP")</f>
        <v>https://www.codechef.com/problems/DNASTORAGEP</v>
      </c>
      <c r="K182" s="14"/>
      <c r="L182" s="14"/>
      <c r="M182" s="14"/>
      <c r="N182" s="14" t="s">
        <v>50</v>
      </c>
      <c r="O182" s="14" t="s">
        <v>51</v>
      </c>
    </row>
    <row r="183" spans="1:15">
      <c r="A183" s="15" t="s">
        <v>9</v>
      </c>
      <c r="B183" s="15" t="s">
        <v>555</v>
      </c>
      <c r="C183" s="15" t="s">
        <v>556</v>
      </c>
      <c r="D183" s="15" t="s">
        <v>718</v>
      </c>
      <c r="E183" s="15">
        <v>81</v>
      </c>
      <c r="F183" s="15" t="s">
        <v>724</v>
      </c>
      <c r="G183" s="15" t="s">
        <v>725</v>
      </c>
      <c r="H183" s="15"/>
      <c r="I183" s="15" t="s">
        <v>49</v>
      </c>
      <c r="J183" s="7" t="str">
        <f>HYPERLINK("https://www.codechef.com/problems/NESTEDPARAN", "https://www.codechef.com/problems/NESTEDPARAN")</f>
        <v>https://www.codechef.com/problems/NESTEDPARAN</v>
      </c>
      <c r="K183" s="15"/>
      <c r="L183" s="15"/>
      <c r="M183" s="15"/>
      <c r="N183" s="15" t="s">
        <v>50</v>
      </c>
      <c r="O183" s="15" t="s">
        <v>51</v>
      </c>
    </row>
    <row r="184" spans="1:15">
      <c r="A184" s="14" t="s">
        <v>9</v>
      </c>
      <c r="B184" s="14" t="s">
        <v>555</v>
      </c>
      <c r="C184" s="14" t="s">
        <v>556</v>
      </c>
      <c r="D184" s="14" t="s">
        <v>718</v>
      </c>
      <c r="E184" s="14">
        <v>82</v>
      </c>
      <c r="F184" s="14" t="s">
        <v>341</v>
      </c>
      <c r="G184" s="14" t="s">
        <v>342</v>
      </c>
      <c r="H184" s="14" t="s">
        <v>343</v>
      </c>
      <c r="I184" s="14" t="s">
        <v>96</v>
      </c>
      <c r="J184" s="11" t="str">
        <f>HYPERLINK("https://www.codechef.com/problems/REVSEG", "https://www.codechef.com/problems/REVSEG")</f>
        <v>https://www.codechef.com/problems/REVSEG</v>
      </c>
      <c r="K184" s="14"/>
      <c r="L184" s="14"/>
      <c r="M184" s="14"/>
      <c r="N184" s="14" t="s">
        <v>50</v>
      </c>
      <c r="O184" s="14" t="s">
        <v>51</v>
      </c>
    </row>
    <row r="185" spans="1:15">
      <c r="A185" s="15" t="s">
        <v>9</v>
      </c>
      <c r="B185" s="15" t="s">
        <v>555</v>
      </c>
      <c r="C185" s="15" t="s">
        <v>556</v>
      </c>
      <c r="D185" s="15" t="s">
        <v>718</v>
      </c>
      <c r="E185" s="15">
        <v>83</v>
      </c>
      <c r="F185" s="15" t="s">
        <v>362</v>
      </c>
      <c r="G185" s="15" t="s">
        <v>363</v>
      </c>
      <c r="H185" s="15"/>
      <c r="I185" s="15" t="s">
        <v>96</v>
      </c>
      <c r="J185" s="7" t="str">
        <f>HYPERLINK("https://www.codechef.com/problems/DELDOUBLY", "https://www.codechef.com/problems/DELDOUBLY")</f>
        <v>https://www.codechef.com/problems/DELDOUBLY</v>
      </c>
      <c r="K185" s="15"/>
      <c r="L185" s="15"/>
      <c r="M185" s="15"/>
      <c r="N185" s="15" t="s">
        <v>50</v>
      </c>
      <c r="O185" s="15" t="s">
        <v>51</v>
      </c>
    </row>
    <row r="186" spans="1:15">
      <c r="A186" s="14" t="s">
        <v>9</v>
      </c>
      <c r="B186" s="14" t="s">
        <v>555</v>
      </c>
      <c r="C186" s="14" t="s">
        <v>556</v>
      </c>
      <c r="D186" s="14" t="s">
        <v>718</v>
      </c>
      <c r="E186" s="14">
        <v>84</v>
      </c>
      <c r="F186" s="14" t="s">
        <v>726</v>
      </c>
      <c r="G186" s="14" t="s">
        <v>727</v>
      </c>
      <c r="H186" s="14" t="s">
        <v>728</v>
      </c>
      <c r="I186" s="14" t="s">
        <v>96</v>
      </c>
      <c r="J186" s="11" t="str">
        <f>HYPERLINK("https://www.codechef.com/problems/LARGESTYP", "https://www.codechef.com/problems/LARGESTYP")</f>
        <v>https://www.codechef.com/problems/LARGESTYP</v>
      </c>
      <c r="K186" s="14"/>
      <c r="L186" s="14"/>
      <c r="M186" s="14"/>
      <c r="N186" s="14" t="s">
        <v>50</v>
      </c>
      <c r="O186" s="14" t="s">
        <v>51</v>
      </c>
    </row>
    <row r="187" spans="1:15">
      <c r="A187" s="15" t="s">
        <v>9</v>
      </c>
      <c r="B187" s="15" t="s">
        <v>555</v>
      </c>
      <c r="C187" s="15" t="s">
        <v>556</v>
      </c>
      <c r="D187" s="15" t="s">
        <v>729</v>
      </c>
      <c r="E187" s="15">
        <v>85</v>
      </c>
      <c r="F187" s="15" t="s">
        <v>730</v>
      </c>
      <c r="G187" s="15" t="s">
        <v>731</v>
      </c>
      <c r="H187" s="15"/>
      <c r="I187" s="15" t="s">
        <v>49</v>
      </c>
      <c r="J187" s="7" t="str">
        <f>HYPERLINK("https://www.codechef.com/problems/CHRISTMASVIS", "https://www.codechef.com/problems/CHRISTMASVIS")</f>
        <v>https://www.codechef.com/problems/CHRISTMASVIS</v>
      </c>
      <c r="K187" s="15"/>
      <c r="L187" s="15"/>
      <c r="M187" s="15"/>
      <c r="N187" s="15" t="s">
        <v>50</v>
      </c>
      <c r="O187" s="15" t="s">
        <v>51</v>
      </c>
    </row>
    <row r="188" spans="1:15">
      <c r="A188" s="14" t="s">
        <v>9</v>
      </c>
      <c r="B188" s="14" t="s">
        <v>555</v>
      </c>
      <c r="C188" s="14" t="s">
        <v>556</v>
      </c>
      <c r="D188" s="14" t="s">
        <v>729</v>
      </c>
      <c r="E188" s="14">
        <v>86</v>
      </c>
      <c r="F188" s="14" t="s">
        <v>732</v>
      </c>
      <c r="G188" s="14" t="s">
        <v>733</v>
      </c>
      <c r="H188" s="14"/>
      <c r="I188" s="14" t="s">
        <v>96</v>
      </c>
      <c r="J188" s="11" t="str">
        <f>HYPERLINK("https://www.codechef.com/problems/REMOVEPAREN", "https://www.codechef.com/problems/REMOVEPAREN")</f>
        <v>https://www.codechef.com/problems/REMOVEPAREN</v>
      </c>
      <c r="K188" s="14"/>
      <c r="L188" s="14"/>
      <c r="M188" s="14"/>
      <c r="N188" s="14" t="s">
        <v>50</v>
      </c>
      <c r="O188" s="14" t="s">
        <v>51</v>
      </c>
    </row>
    <row r="189" spans="1:15">
      <c r="A189" s="15" t="s">
        <v>9</v>
      </c>
      <c r="B189" s="15" t="s">
        <v>555</v>
      </c>
      <c r="C189" s="15" t="s">
        <v>556</v>
      </c>
      <c r="D189" s="15" t="s">
        <v>729</v>
      </c>
      <c r="E189" s="15">
        <v>87</v>
      </c>
      <c r="F189" s="15" t="s">
        <v>734</v>
      </c>
      <c r="G189" s="15" t="s">
        <v>735</v>
      </c>
      <c r="H189" s="15"/>
      <c r="I189" s="15" t="s">
        <v>322</v>
      </c>
      <c r="J189" s="7" t="str">
        <f>HYPERLINK("https://www.codechef.com/problems/LONGGIVENSUM", "https://www.codechef.com/problems/LONGGIVENSUM")</f>
        <v>https://www.codechef.com/problems/LONGGIVENSUM</v>
      </c>
      <c r="K189" s="15"/>
      <c r="L189" s="15"/>
      <c r="M189" s="15"/>
      <c r="N189" s="15" t="s">
        <v>50</v>
      </c>
      <c r="O189" s="15" t="s">
        <v>51</v>
      </c>
    </row>
    <row r="190" spans="1:15">
      <c r="A190" s="14" t="s">
        <v>9</v>
      </c>
      <c r="B190" s="14" t="s">
        <v>555</v>
      </c>
      <c r="C190" s="14" t="s">
        <v>556</v>
      </c>
      <c r="D190" s="14" t="s">
        <v>729</v>
      </c>
      <c r="E190" s="14">
        <v>88</v>
      </c>
      <c r="F190" s="14" t="s">
        <v>736</v>
      </c>
      <c r="G190" s="14" t="s">
        <v>737</v>
      </c>
      <c r="H190" s="14"/>
      <c r="I190" s="14" t="s">
        <v>322</v>
      </c>
      <c r="J190" s="11" t="str">
        <f>HYPERLINK("https://www.codechef.com/problems/BSTITERATOR", "https://www.codechef.com/problems/BSTITERATOR")</f>
        <v>https://www.codechef.com/problems/BSTITERATOR</v>
      </c>
      <c r="K190" s="14"/>
      <c r="L190" s="14"/>
      <c r="M190" s="14"/>
      <c r="N190" s="14" t="s">
        <v>50</v>
      </c>
      <c r="O190" s="14" t="s">
        <v>51</v>
      </c>
    </row>
    <row r="191" spans="1:15">
      <c r="A191" s="15" t="s">
        <v>9</v>
      </c>
      <c r="B191" s="15" t="s">
        <v>555</v>
      </c>
      <c r="C191" s="15" t="s">
        <v>556</v>
      </c>
      <c r="D191" s="15" t="s">
        <v>729</v>
      </c>
      <c r="E191" s="15">
        <v>89</v>
      </c>
      <c r="F191" s="15" t="s">
        <v>738</v>
      </c>
      <c r="G191" s="15" t="s">
        <v>739</v>
      </c>
      <c r="H191" s="15"/>
      <c r="I191" s="15" t="s">
        <v>96</v>
      </c>
      <c r="J191" s="7" t="str">
        <f>HYPERLINK("https://www.codechef.com/problems/TREEPATHSUM", "https://www.codechef.com/problems/TREEPATHSUM")</f>
        <v>https://www.codechef.com/problems/TREEPATHSUM</v>
      </c>
      <c r="K191" s="15"/>
      <c r="L191" s="15"/>
      <c r="M191" s="15"/>
      <c r="N191" s="15" t="s">
        <v>50</v>
      </c>
      <c r="O191" s="15" t="s">
        <v>51</v>
      </c>
    </row>
    <row r="192" spans="1:15">
      <c r="A192" s="14" t="s">
        <v>9</v>
      </c>
      <c r="B192" s="14" t="s">
        <v>555</v>
      </c>
      <c r="C192" s="14" t="s">
        <v>556</v>
      </c>
      <c r="D192" s="14" t="s">
        <v>729</v>
      </c>
      <c r="E192" s="14">
        <v>90</v>
      </c>
      <c r="F192" s="14" t="s">
        <v>740</v>
      </c>
      <c r="G192" s="14" t="s">
        <v>741</v>
      </c>
      <c r="H192" s="14"/>
      <c r="I192" s="14" t="s">
        <v>96</v>
      </c>
      <c r="J192" s="11" t="str">
        <f>HYPERLINK("https://www.codechef.com/problems/RIGTHSIDE", "https://www.codechef.com/problems/RIGTHSIDE")</f>
        <v>https://www.codechef.com/problems/RIGTHSIDE</v>
      </c>
      <c r="K192" s="14"/>
      <c r="L192" s="14"/>
      <c r="M192" s="14"/>
      <c r="N192" s="14" t="s">
        <v>50</v>
      </c>
      <c r="O192" s="14" t="s">
        <v>51</v>
      </c>
    </row>
    <row r="193" spans="1:15">
      <c r="A193" s="15" t="s">
        <v>9</v>
      </c>
      <c r="B193" s="15" t="s">
        <v>555</v>
      </c>
      <c r="C193" s="15" t="s">
        <v>556</v>
      </c>
      <c r="D193" s="15" t="s">
        <v>742</v>
      </c>
      <c r="E193" s="15">
        <v>91</v>
      </c>
      <c r="F193" s="15" t="s">
        <v>743</v>
      </c>
      <c r="G193" s="15" t="s">
        <v>744</v>
      </c>
      <c r="H193" s="15"/>
      <c r="I193" s="15" t="s">
        <v>49</v>
      </c>
      <c r="J193" s="7" t="str">
        <f>HYPERLINK("https://www.codechef.com/problems/BIRTHDAYCHOC", "https://www.codechef.com/problems/BIRTHDAYCHOC")</f>
        <v>https://www.codechef.com/problems/BIRTHDAYCHOC</v>
      </c>
      <c r="K193" s="15"/>
      <c r="L193" s="15"/>
      <c r="M193" s="15"/>
      <c r="N193" s="15" t="s">
        <v>50</v>
      </c>
      <c r="O193" s="15" t="s">
        <v>51</v>
      </c>
    </row>
    <row r="194" spans="1:15">
      <c r="A194" s="14" t="s">
        <v>9</v>
      </c>
      <c r="B194" s="14" t="s">
        <v>555</v>
      </c>
      <c r="C194" s="14" t="s">
        <v>556</v>
      </c>
      <c r="D194" s="14" t="s">
        <v>742</v>
      </c>
      <c r="E194" s="14">
        <v>92</v>
      </c>
      <c r="F194" s="14" t="s">
        <v>112</v>
      </c>
      <c r="G194" s="14" t="s">
        <v>113</v>
      </c>
      <c r="H194" s="14"/>
      <c r="I194" s="14" t="s">
        <v>49</v>
      </c>
      <c r="J194" s="11" t="str">
        <f>HYPERLINK("https://www.codechef.com/problems/MAXCONSECU", "https://www.codechef.com/problems/MAXCONSECU")</f>
        <v>https://www.codechef.com/problems/MAXCONSECU</v>
      </c>
      <c r="K194" s="14"/>
      <c r="L194" s="14"/>
      <c r="M194" s="14"/>
      <c r="N194" s="14" t="s">
        <v>50</v>
      </c>
      <c r="O194" s="14" t="s">
        <v>51</v>
      </c>
    </row>
    <row r="195" spans="1:15">
      <c r="A195" s="15" t="s">
        <v>9</v>
      </c>
      <c r="B195" s="15" t="s">
        <v>555</v>
      </c>
      <c r="C195" s="15" t="s">
        <v>556</v>
      </c>
      <c r="D195" s="15" t="s">
        <v>742</v>
      </c>
      <c r="E195" s="15">
        <v>93</v>
      </c>
      <c r="F195" s="15" t="s">
        <v>460</v>
      </c>
      <c r="G195" s="15" t="s">
        <v>461</v>
      </c>
      <c r="H195" s="15"/>
      <c r="I195" s="15" t="s">
        <v>96</v>
      </c>
      <c r="J195" s="7" t="str">
        <f>HYPERLINK("https://www.codechef.com/problems/MATROTATE", "https://www.codechef.com/problems/MATROTATE")</f>
        <v>https://www.codechef.com/problems/MATROTATE</v>
      </c>
      <c r="K195" s="15"/>
      <c r="L195" s="15"/>
      <c r="M195" s="15"/>
      <c r="N195" s="15" t="s">
        <v>50</v>
      </c>
      <c r="O195" s="15" t="s">
        <v>51</v>
      </c>
    </row>
    <row r="196" spans="1:15">
      <c r="A196" s="14" t="s">
        <v>9</v>
      </c>
      <c r="B196" s="14" t="s">
        <v>555</v>
      </c>
      <c r="C196" s="14" t="s">
        <v>556</v>
      </c>
      <c r="D196" s="14" t="s">
        <v>742</v>
      </c>
      <c r="E196" s="14">
        <v>94</v>
      </c>
      <c r="F196" s="14" t="s">
        <v>745</v>
      </c>
      <c r="G196" s="14" t="s">
        <v>746</v>
      </c>
      <c r="H196" s="14" t="s">
        <v>565</v>
      </c>
      <c r="I196" s="14" t="s">
        <v>49</v>
      </c>
      <c r="J196" s="11" t="str">
        <f>HYPERLINK("https://www.codechef.com/problems/SLDW0103", "https://www.codechef.com/problems/SLDW0103")</f>
        <v>https://www.codechef.com/problems/SLDW0103</v>
      </c>
      <c r="K196" s="14"/>
      <c r="L196" s="14"/>
      <c r="M196" s="14"/>
      <c r="N196" s="14" t="s">
        <v>50</v>
      </c>
      <c r="O196" s="14" t="s">
        <v>51</v>
      </c>
    </row>
    <row r="197" spans="1:15">
      <c r="A197" s="15" t="s">
        <v>9</v>
      </c>
      <c r="B197" s="15" t="s">
        <v>555</v>
      </c>
      <c r="C197" s="15" t="s">
        <v>556</v>
      </c>
      <c r="D197" s="15" t="s">
        <v>742</v>
      </c>
      <c r="E197" s="15">
        <v>95</v>
      </c>
      <c r="F197" s="15" t="s">
        <v>747</v>
      </c>
      <c r="G197" s="15" t="s">
        <v>748</v>
      </c>
      <c r="H197" s="15"/>
      <c r="I197" s="15" t="s">
        <v>96</v>
      </c>
      <c r="J197" s="7" t="str">
        <f>HYPERLINK("https://www.codechef.com/problems/DSCPPAS267", "https://www.codechef.com/problems/DSCPPAS267")</f>
        <v>https://www.codechef.com/problems/DSCPPAS267</v>
      </c>
      <c r="K197" s="15"/>
      <c r="L197" s="15"/>
      <c r="M197" s="15"/>
      <c r="N197" s="15" t="s">
        <v>50</v>
      </c>
      <c r="O197" s="15" t="s">
        <v>51</v>
      </c>
    </row>
    <row r="198" spans="1:15">
      <c r="A198" s="14" t="s">
        <v>9</v>
      </c>
      <c r="B198" s="14" t="s">
        <v>555</v>
      </c>
      <c r="C198" s="14" t="s">
        <v>556</v>
      </c>
      <c r="D198" s="14" t="s">
        <v>742</v>
      </c>
      <c r="E198" s="14">
        <v>96</v>
      </c>
      <c r="F198" s="14" t="s">
        <v>693</v>
      </c>
      <c r="G198" s="14" t="s">
        <v>749</v>
      </c>
      <c r="H198" s="14" t="s">
        <v>340</v>
      </c>
      <c r="I198" s="14" t="s">
        <v>96</v>
      </c>
      <c r="J198" s="11" t="str">
        <f>HYPERLINK("https://www.codechef.com/problems/SPSBTR", "https://www.codechef.com/problems/SPSBTR")</f>
        <v>https://www.codechef.com/problems/SPSBTR</v>
      </c>
      <c r="K198" s="14"/>
      <c r="L198" s="14"/>
      <c r="M198" s="14"/>
      <c r="N198" s="14" t="s">
        <v>50</v>
      </c>
      <c r="O198" s="14" t="s">
        <v>51</v>
      </c>
    </row>
    <row r="199" spans="1:15">
      <c r="A199" s="15" t="s">
        <v>9</v>
      </c>
      <c r="B199" s="15" t="s">
        <v>555</v>
      </c>
      <c r="C199" s="15" t="s">
        <v>556</v>
      </c>
      <c r="D199" s="15" t="s">
        <v>750</v>
      </c>
      <c r="E199" s="15">
        <v>97</v>
      </c>
      <c r="F199" s="15" t="s">
        <v>751</v>
      </c>
      <c r="G199" s="15" t="s">
        <v>752</v>
      </c>
      <c r="H199" s="15"/>
      <c r="I199" s="15" t="s">
        <v>49</v>
      </c>
      <c r="J199" s="7" t="str">
        <f>HYPERLINK("https://www.codechef.com/problems/CHEFPROFIT", "https://www.codechef.com/problems/CHEFPROFIT")</f>
        <v>https://www.codechef.com/problems/CHEFPROFIT</v>
      </c>
      <c r="K199" s="15"/>
      <c r="L199" s="15"/>
      <c r="M199" s="15"/>
      <c r="N199" s="15" t="s">
        <v>50</v>
      </c>
      <c r="O199" s="15" t="s">
        <v>51</v>
      </c>
    </row>
    <row r="200" spans="1:15">
      <c r="A200" s="14" t="s">
        <v>9</v>
      </c>
      <c r="B200" s="14" t="s">
        <v>555</v>
      </c>
      <c r="C200" s="14" t="s">
        <v>556</v>
      </c>
      <c r="D200" s="14" t="s">
        <v>750</v>
      </c>
      <c r="E200" s="14">
        <v>98</v>
      </c>
      <c r="F200" s="14" t="s">
        <v>753</v>
      </c>
      <c r="G200" s="14" t="s">
        <v>754</v>
      </c>
      <c r="H200" s="14"/>
      <c r="I200" s="14" t="s">
        <v>96</v>
      </c>
      <c r="J200" s="11" t="str">
        <f>HYPERLINK("https://www.codechef.com/problems/LASTZERO", "https://www.codechef.com/problems/LASTZERO")</f>
        <v>https://www.codechef.com/problems/LASTZERO</v>
      </c>
      <c r="K200" s="14"/>
      <c r="L200" s="14"/>
      <c r="M200" s="14"/>
      <c r="N200" s="14" t="s">
        <v>50</v>
      </c>
      <c r="O200" s="14" t="s">
        <v>51</v>
      </c>
    </row>
    <row r="201" spans="1:15">
      <c r="A201" s="15" t="s">
        <v>9</v>
      </c>
      <c r="B201" s="15" t="s">
        <v>555</v>
      </c>
      <c r="C201" s="15" t="s">
        <v>556</v>
      </c>
      <c r="D201" s="15" t="s">
        <v>750</v>
      </c>
      <c r="E201" s="15">
        <v>99</v>
      </c>
      <c r="F201" s="15" t="s">
        <v>755</v>
      </c>
      <c r="G201" s="15" t="s">
        <v>756</v>
      </c>
      <c r="H201" s="15"/>
      <c r="I201" s="15" t="s">
        <v>96</v>
      </c>
      <c r="J201" s="7" t="str">
        <f>HYPERLINK("https://www.codechef.com/problems/TWOSUMM", "https://www.codechef.com/problems/TWOSUMM")</f>
        <v>https://www.codechef.com/problems/TWOSUMM</v>
      </c>
      <c r="K201" s="15"/>
      <c r="L201" s="15"/>
      <c r="M201" s="15"/>
      <c r="N201" s="15" t="s">
        <v>50</v>
      </c>
      <c r="O201" s="15" t="s">
        <v>51</v>
      </c>
    </row>
    <row r="202" spans="1:15">
      <c r="A202" s="14" t="s">
        <v>9</v>
      </c>
      <c r="B202" s="14" t="s">
        <v>555</v>
      </c>
      <c r="C202" s="14" t="s">
        <v>556</v>
      </c>
      <c r="D202" s="14" t="s">
        <v>750</v>
      </c>
      <c r="E202" s="14">
        <v>100</v>
      </c>
      <c r="F202" s="14" t="s">
        <v>757</v>
      </c>
      <c r="G202" s="14" t="s">
        <v>758</v>
      </c>
      <c r="H202" s="14"/>
      <c r="I202" s="14" t="s">
        <v>96</v>
      </c>
      <c r="J202" s="11" t="str">
        <f>HYPERLINK("https://www.codechef.com/problems/BSTCHECK", "https://www.codechef.com/problems/BSTCHECK")</f>
        <v>https://www.codechef.com/problems/BSTCHECK</v>
      </c>
      <c r="K202" s="14"/>
      <c r="L202" s="14"/>
      <c r="M202" s="14"/>
      <c r="N202" s="14" t="s">
        <v>50</v>
      </c>
      <c r="O202" s="14" t="s">
        <v>51</v>
      </c>
    </row>
    <row r="203" spans="1:15">
      <c r="A203" s="15" t="s">
        <v>9</v>
      </c>
      <c r="B203" s="15" t="s">
        <v>555</v>
      </c>
      <c r="C203" s="15" t="s">
        <v>556</v>
      </c>
      <c r="D203" s="15" t="s">
        <v>750</v>
      </c>
      <c r="E203" s="15">
        <v>101</v>
      </c>
      <c r="F203" s="15" t="s">
        <v>759</v>
      </c>
      <c r="G203" s="15" t="s">
        <v>760</v>
      </c>
      <c r="H203" s="15" t="s">
        <v>761</v>
      </c>
      <c r="I203" s="15" t="s">
        <v>96</v>
      </c>
      <c r="J203" s="7" t="str">
        <f>HYPERLINK("https://www.codechef.com/problems/WCOUNT", "https://www.codechef.com/problems/WCOUNT")</f>
        <v>https://www.codechef.com/problems/WCOUNT</v>
      </c>
      <c r="K203" s="15"/>
      <c r="L203" s="15"/>
      <c r="M203" s="15"/>
      <c r="N203" s="15" t="s">
        <v>50</v>
      </c>
      <c r="O203" s="15" t="s">
        <v>51</v>
      </c>
    </row>
    <row r="204" spans="1:15">
      <c r="A204" s="14" t="s">
        <v>9</v>
      </c>
      <c r="B204" s="14" t="s">
        <v>555</v>
      </c>
      <c r="C204" s="14" t="s">
        <v>556</v>
      </c>
      <c r="D204" s="14" t="s">
        <v>750</v>
      </c>
      <c r="E204" s="14">
        <v>102</v>
      </c>
      <c r="F204" s="14" t="s">
        <v>762</v>
      </c>
      <c r="G204" s="14" t="s">
        <v>763</v>
      </c>
      <c r="H204" s="14"/>
      <c r="I204" s="14" t="s">
        <v>96</v>
      </c>
      <c r="J204" s="11" t="str">
        <f>HYPERLINK("https://www.codechef.com/problems/CHEFSERVER", "https://www.codechef.com/problems/CHEFSERVER")</f>
        <v>https://www.codechef.com/problems/CHEFSERVER</v>
      </c>
      <c r="K204" s="14"/>
      <c r="L204" s="14"/>
      <c r="M204" s="14"/>
      <c r="N204" s="14" t="s">
        <v>50</v>
      </c>
      <c r="O204" s="14" t="s">
        <v>51</v>
      </c>
    </row>
    <row r="205" spans="1:15">
      <c r="A205" s="15" t="s">
        <v>9</v>
      </c>
      <c r="B205" s="15" t="s">
        <v>555</v>
      </c>
      <c r="C205" s="15" t="s">
        <v>556</v>
      </c>
      <c r="D205" s="15" t="s">
        <v>764</v>
      </c>
      <c r="E205" s="15">
        <v>103</v>
      </c>
      <c r="F205" s="15" t="s">
        <v>765</v>
      </c>
      <c r="G205" s="15" t="s">
        <v>766</v>
      </c>
      <c r="H205" s="15"/>
      <c r="I205" s="15" t="s">
        <v>49</v>
      </c>
      <c r="J205" s="7" t="str">
        <f>HYPERLINK("https://www.codechef.com/problems/CHEFANDGIFTS", "https://www.codechef.com/problems/CHEFANDGIFTS")</f>
        <v>https://www.codechef.com/problems/CHEFANDGIFTS</v>
      </c>
      <c r="K205" s="15"/>
      <c r="L205" s="15"/>
      <c r="M205" s="15"/>
      <c r="N205" s="15" t="s">
        <v>50</v>
      </c>
      <c r="O205" s="15" t="s">
        <v>51</v>
      </c>
    </row>
    <row r="206" spans="1:15">
      <c r="A206" s="14" t="s">
        <v>9</v>
      </c>
      <c r="B206" s="14" t="s">
        <v>555</v>
      </c>
      <c r="C206" s="14" t="s">
        <v>556</v>
      </c>
      <c r="D206" s="14" t="s">
        <v>764</v>
      </c>
      <c r="E206" s="14">
        <v>104</v>
      </c>
      <c r="F206" s="14" t="s">
        <v>767</v>
      </c>
      <c r="G206" s="14" t="s">
        <v>768</v>
      </c>
      <c r="H206" s="14"/>
      <c r="I206" s="14" t="s">
        <v>96</v>
      </c>
      <c r="J206" s="11" t="str">
        <f>HYPERLINK("https://www.codechef.com/problems/CHEFROMAN", "https://www.codechef.com/problems/CHEFROMAN")</f>
        <v>https://www.codechef.com/problems/CHEFROMAN</v>
      </c>
      <c r="K206" s="14"/>
      <c r="L206" s="14"/>
      <c r="M206" s="14"/>
      <c r="N206" s="14" t="s">
        <v>50</v>
      </c>
      <c r="O206" s="14" t="s">
        <v>51</v>
      </c>
    </row>
    <row r="207" spans="1:15">
      <c r="A207" s="15" t="s">
        <v>9</v>
      </c>
      <c r="B207" s="15" t="s">
        <v>555</v>
      </c>
      <c r="C207" s="15" t="s">
        <v>556</v>
      </c>
      <c r="D207" s="15" t="s">
        <v>764</v>
      </c>
      <c r="E207" s="15">
        <v>105</v>
      </c>
      <c r="F207" s="15" t="s">
        <v>769</v>
      </c>
      <c r="G207" s="15" t="s">
        <v>770</v>
      </c>
      <c r="H207" s="15"/>
      <c r="I207" s="15" t="s">
        <v>96</v>
      </c>
      <c r="J207" s="7" t="str">
        <f>HYPERLINK("https://www.codechef.com/problems/STRINGTOINT", "https://www.codechef.com/problems/STRINGTOINT")</f>
        <v>https://www.codechef.com/problems/STRINGTOINT</v>
      </c>
      <c r="K207" s="15"/>
      <c r="L207" s="15"/>
      <c r="M207" s="15"/>
      <c r="N207" s="15" t="s">
        <v>50</v>
      </c>
      <c r="O207" s="15" t="s">
        <v>51</v>
      </c>
    </row>
    <row r="208" spans="1:15">
      <c r="A208" s="14" t="s">
        <v>9</v>
      </c>
      <c r="B208" s="14" t="s">
        <v>555</v>
      </c>
      <c r="C208" s="14" t="s">
        <v>556</v>
      </c>
      <c r="D208" s="14" t="s">
        <v>764</v>
      </c>
      <c r="E208" s="14">
        <v>106</v>
      </c>
      <c r="F208" s="14" t="s">
        <v>771</v>
      </c>
      <c r="G208" s="14" t="s">
        <v>772</v>
      </c>
      <c r="H208" s="14"/>
      <c r="I208" s="14" t="s">
        <v>322</v>
      </c>
      <c r="J208" s="11" t="str">
        <f>HYPERLINK("https://www.codechef.com/problems/PAINTSHODOWN", "https://www.codechef.com/problems/PAINTSHODOWN")</f>
        <v>https://www.codechef.com/problems/PAINTSHODOWN</v>
      </c>
      <c r="K208" s="14"/>
      <c r="L208" s="14"/>
      <c r="M208" s="14"/>
      <c r="N208" s="14" t="s">
        <v>50</v>
      </c>
      <c r="O208" s="14" t="s">
        <v>51</v>
      </c>
    </row>
    <row r="209" spans="1:15">
      <c r="A209" s="15" t="s">
        <v>9</v>
      </c>
      <c r="B209" s="15" t="s">
        <v>555</v>
      </c>
      <c r="C209" s="15" t="s">
        <v>556</v>
      </c>
      <c r="D209" s="15" t="s">
        <v>764</v>
      </c>
      <c r="E209" s="15">
        <v>107</v>
      </c>
      <c r="F209" s="15" t="s">
        <v>773</v>
      </c>
      <c r="G209" s="15" t="s">
        <v>774</v>
      </c>
      <c r="H209" s="15"/>
      <c r="I209" s="15" t="s">
        <v>96</v>
      </c>
      <c r="J209" s="7" t="str">
        <f>HYPERLINK("https://www.codechef.com/problems/RECUR25", "https://www.codechef.com/problems/RECUR25")</f>
        <v>https://www.codechef.com/problems/RECUR25</v>
      </c>
      <c r="K209" s="15"/>
      <c r="L209" s="15"/>
      <c r="M209" s="15"/>
      <c r="N209" s="15" t="s">
        <v>50</v>
      </c>
      <c r="O209" s="15" t="s">
        <v>51</v>
      </c>
    </row>
    <row r="210" spans="1:15">
      <c r="A210" s="14" t="s">
        <v>9</v>
      </c>
      <c r="B210" s="14" t="s">
        <v>555</v>
      </c>
      <c r="C210" s="14" t="s">
        <v>556</v>
      </c>
      <c r="D210" s="14" t="s">
        <v>764</v>
      </c>
      <c r="E210" s="14">
        <v>108</v>
      </c>
      <c r="F210" s="14" t="s">
        <v>775</v>
      </c>
      <c r="G210" s="14" t="s">
        <v>776</v>
      </c>
      <c r="H210" s="14" t="s">
        <v>777</v>
      </c>
      <c r="I210" s="14" t="s">
        <v>96</v>
      </c>
      <c r="J210" s="11" t="str">
        <f>HYPERLINK("https://www.codechef.com/problems/MAXCROSSP", "https://www.codechef.com/problems/MAXCROSSP")</f>
        <v>https://www.codechef.com/problems/MAXCROSSP</v>
      </c>
      <c r="K210" s="14"/>
      <c r="L210" s="14"/>
      <c r="M210" s="14"/>
      <c r="N210" s="14" t="s">
        <v>50</v>
      </c>
      <c r="O210" s="14" t="s">
        <v>51</v>
      </c>
    </row>
    <row r="211" spans="1:15">
      <c r="A211" s="15" t="s">
        <v>9</v>
      </c>
      <c r="B211" s="15" t="s">
        <v>555</v>
      </c>
      <c r="C211" s="15" t="s">
        <v>556</v>
      </c>
      <c r="D211" s="15" t="s">
        <v>778</v>
      </c>
      <c r="E211" s="15">
        <v>109</v>
      </c>
      <c r="F211" s="15" t="s">
        <v>779</v>
      </c>
      <c r="G211" s="15" t="s">
        <v>780</v>
      </c>
      <c r="H211" s="15"/>
      <c r="I211" s="15" t="s">
        <v>49</v>
      </c>
      <c r="J211" s="7" t="str">
        <f>HYPERLINK("https://www.codechef.com/problems/CHEFSOFFICE", "https://www.codechef.com/problems/CHEFSOFFICE")</f>
        <v>https://www.codechef.com/problems/CHEFSOFFICE</v>
      </c>
      <c r="K211" s="15"/>
      <c r="L211" s="15"/>
      <c r="M211" s="15"/>
      <c r="N211" s="15" t="s">
        <v>50</v>
      </c>
      <c r="O211" s="15" t="s">
        <v>51</v>
      </c>
    </row>
    <row r="212" spans="1:15">
      <c r="A212" s="14" t="s">
        <v>9</v>
      </c>
      <c r="B212" s="14" t="s">
        <v>555</v>
      </c>
      <c r="C212" s="14" t="s">
        <v>556</v>
      </c>
      <c r="D212" s="14" t="s">
        <v>778</v>
      </c>
      <c r="E212" s="14">
        <v>110</v>
      </c>
      <c r="F212" s="14" t="s">
        <v>781</v>
      </c>
      <c r="G212" s="14" t="s">
        <v>782</v>
      </c>
      <c r="H212" s="14"/>
      <c r="I212" s="14" t="s">
        <v>49</v>
      </c>
      <c r="J212" s="11" t="str">
        <f>HYPERLINK("https://www.codechef.com/problems/LONGESPREFIX", "https://www.codechef.com/problems/LONGESPREFIX")</f>
        <v>https://www.codechef.com/problems/LONGESPREFIX</v>
      </c>
      <c r="K212" s="14"/>
      <c r="L212" s="14"/>
      <c r="M212" s="14"/>
      <c r="N212" s="14" t="s">
        <v>50</v>
      </c>
      <c r="O212" s="14" t="s">
        <v>51</v>
      </c>
    </row>
    <row r="213" spans="1:15">
      <c r="A213" s="15" t="s">
        <v>9</v>
      </c>
      <c r="B213" s="15" t="s">
        <v>555</v>
      </c>
      <c r="C213" s="15" t="s">
        <v>556</v>
      </c>
      <c r="D213" s="15" t="s">
        <v>778</v>
      </c>
      <c r="E213" s="15">
        <v>111</v>
      </c>
      <c r="F213" s="15" t="s">
        <v>783</v>
      </c>
      <c r="G213" s="15" t="s">
        <v>784</v>
      </c>
      <c r="H213" s="15"/>
      <c r="I213" s="15" t="s">
        <v>49</v>
      </c>
      <c r="J213" s="7" t="str">
        <f>HYPERLINK("https://www.codechef.com/problems/VALIDANAGRAM", "https://www.codechef.com/problems/VALIDANAGRAM")</f>
        <v>https://www.codechef.com/problems/VALIDANAGRAM</v>
      </c>
      <c r="K213" s="15"/>
      <c r="L213" s="15"/>
      <c r="M213" s="15"/>
      <c r="N213" s="15" t="s">
        <v>50</v>
      </c>
      <c r="O213" s="15" t="s">
        <v>51</v>
      </c>
    </row>
    <row r="214" spans="1:15">
      <c r="A214" s="14" t="s">
        <v>9</v>
      </c>
      <c r="B214" s="14" t="s">
        <v>555</v>
      </c>
      <c r="C214" s="14" t="s">
        <v>556</v>
      </c>
      <c r="D214" s="14" t="s">
        <v>778</v>
      </c>
      <c r="E214" s="14">
        <v>112</v>
      </c>
      <c r="F214" s="14" t="s">
        <v>785</v>
      </c>
      <c r="G214" s="14" t="s">
        <v>786</v>
      </c>
      <c r="H214" s="14"/>
      <c r="I214" s="14" t="s">
        <v>96</v>
      </c>
      <c r="J214" s="11" t="str">
        <f>HYPERLINK("https://www.codechef.com/problems/ROTATIONARAY", "https://www.codechef.com/problems/ROTATIONARAY")</f>
        <v>https://www.codechef.com/problems/ROTATIONARAY</v>
      </c>
      <c r="K214" s="14"/>
      <c r="L214" s="14"/>
      <c r="M214" s="14"/>
      <c r="N214" s="14" t="s">
        <v>50</v>
      </c>
      <c r="O214" s="14" t="s">
        <v>51</v>
      </c>
    </row>
    <row r="215" spans="1:15">
      <c r="A215" s="15" t="s">
        <v>9</v>
      </c>
      <c r="B215" s="15" t="s">
        <v>555</v>
      </c>
      <c r="C215" s="15" t="s">
        <v>556</v>
      </c>
      <c r="D215" s="15" t="s">
        <v>778</v>
      </c>
      <c r="E215" s="15">
        <v>113</v>
      </c>
      <c r="F215" s="15" t="s">
        <v>787</v>
      </c>
      <c r="G215" s="15" t="s">
        <v>788</v>
      </c>
      <c r="H215" s="15"/>
      <c r="I215" s="15" t="s">
        <v>96</v>
      </c>
      <c r="J215" s="7" t="str">
        <f>HYPERLINK("https://www.codechef.com/problems/WEXLT01", "https://www.codechef.com/problems/WEXLT01")</f>
        <v>https://www.codechef.com/problems/WEXLT01</v>
      </c>
      <c r="K215" s="15"/>
      <c r="L215" s="15"/>
      <c r="M215" s="15"/>
      <c r="N215" s="15" t="s">
        <v>50</v>
      </c>
      <c r="O215" s="15" t="s">
        <v>51</v>
      </c>
    </row>
    <row r="216" spans="1:15">
      <c r="A216" s="14" t="s">
        <v>9</v>
      </c>
      <c r="B216" s="14" t="s">
        <v>555</v>
      </c>
      <c r="C216" s="14" t="s">
        <v>556</v>
      </c>
      <c r="D216" s="14" t="s">
        <v>778</v>
      </c>
      <c r="E216" s="14">
        <v>114</v>
      </c>
      <c r="F216" s="14" t="s">
        <v>789</v>
      </c>
      <c r="G216" s="14" t="s">
        <v>790</v>
      </c>
      <c r="H216" s="14"/>
      <c r="I216" s="14" t="s">
        <v>322</v>
      </c>
      <c r="J216" s="11" t="str">
        <f>HYPERLINK("https://www.codechef.com/problems/VERTEXCOLOR", "https://www.codechef.com/problems/VERTEXCOLOR")</f>
        <v>https://www.codechef.com/problems/VERTEXCOLOR</v>
      </c>
      <c r="K216" s="14"/>
      <c r="L216" s="14"/>
      <c r="M216" s="14"/>
      <c r="N216" s="14" t="s">
        <v>50</v>
      </c>
      <c r="O216" s="14" t="s">
        <v>51</v>
      </c>
    </row>
    <row r="217" spans="1:15">
      <c r="A217" s="15" t="s">
        <v>9</v>
      </c>
      <c r="B217" s="15" t="s">
        <v>555</v>
      </c>
      <c r="C217" s="15" t="s">
        <v>556</v>
      </c>
      <c r="D217" s="15" t="s">
        <v>791</v>
      </c>
      <c r="E217" s="15">
        <v>115</v>
      </c>
      <c r="F217" s="15" t="s">
        <v>792</v>
      </c>
      <c r="G217" s="15" t="s">
        <v>793</v>
      </c>
      <c r="H217" s="15"/>
      <c r="I217" s="15" t="s">
        <v>49</v>
      </c>
      <c r="J217" s="7" t="str">
        <f>HYPERLINK("https://www.codechef.com/problems/CRICKETPRO", "https://www.codechef.com/problems/CRICKETPRO")</f>
        <v>https://www.codechef.com/problems/CRICKETPRO</v>
      </c>
      <c r="K217" s="15"/>
      <c r="L217" s="15"/>
      <c r="M217" s="15"/>
      <c r="N217" s="15" t="s">
        <v>50</v>
      </c>
      <c r="O217" s="15" t="s">
        <v>51</v>
      </c>
    </row>
    <row r="218" spans="1:15">
      <c r="A218" s="14" t="s">
        <v>9</v>
      </c>
      <c r="B218" s="14" t="s">
        <v>555</v>
      </c>
      <c r="C218" s="14" t="s">
        <v>556</v>
      </c>
      <c r="D218" s="14" t="s">
        <v>791</v>
      </c>
      <c r="E218" s="14">
        <v>116</v>
      </c>
      <c r="F218" s="14" t="s">
        <v>794</v>
      </c>
      <c r="G218" s="14" t="s">
        <v>795</v>
      </c>
      <c r="H218" s="14"/>
      <c r="I218" s="14" t="s">
        <v>96</v>
      </c>
      <c r="J218" s="11" t="str">
        <f>HYPERLINK("https://www.codechef.com/problems/REMOVEDUPLIC", "https://www.codechef.com/problems/REMOVEDUPLIC")</f>
        <v>https://www.codechef.com/problems/REMOVEDUPLIC</v>
      </c>
      <c r="K218" s="14"/>
      <c r="L218" s="14"/>
      <c r="M218" s="14"/>
      <c r="N218" s="14" t="s">
        <v>50</v>
      </c>
      <c r="O218" s="14" t="s">
        <v>51</v>
      </c>
    </row>
    <row r="219" spans="1:15">
      <c r="A219" s="15" t="s">
        <v>9</v>
      </c>
      <c r="B219" s="15" t="s">
        <v>555</v>
      </c>
      <c r="C219" s="15" t="s">
        <v>556</v>
      </c>
      <c r="D219" s="15" t="s">
        <v>791</v>
      </c>
      <c r="E219" s="15">
        <v>117</v>
      </c>
      <c r="F219" s="15" t="s">
        <v>796</v>
      </c>
      <c r="G219" s="15" t="s">
        <v>797</v>
      </c>
      <c r="H219" s="15"/>
      <c r="I219" s="15" t="s">
        <v>96</v>
      </c>
      <c r="J219" s="7" t="str">
        <f>HYPERLINK("https://www.codechef.com/problems/FIRSTNDLAST", "https://www.codechef.com/problems/FIRSTNDLAST")</f>
        <v>https://www.codechef.com/problems/FIRSTNDLAST</v>
      </c>
      <c r="K219" s="15"/>
      <c r="L219" s="15"/>
      <c r="M219" s="15"/>
      <c r="N219" s="15" t="s">
        <v>50</v>
      </c>
      <c r="O219" s="15" t="s">
        <v>51</v>
      </c>
    </row>
    <row r="220" spans="1:15">
      <c r="A220" s="14" t="s">
        <v>9</v>
      </c>
      <c r="B220" s="14" t="s">
        <v>555</v>
      </c>
      <c r="C220" s="14" t="s">
        <v>556</v>
      </c>
      <c r="D220" s="14" t="s">
        <v>791</v>
      </c>
      <c r="E220" s="14">
        <v>118</v>
      </c>
      <c r="F220" s="14" t="s">
        <v>798</v>
      </c>
      <c r="G220" s="14" t="s">
        <v>799</v>
      </c>
      <c r="H220" s="14"/>
      <c r="I220" s="14" t="s">
        <v>322</v>
      </c>
      <c r="J220" s="11" t="str">
        <f>HYPERLINK("https://www.codechef.com/problems/XORRANGE", "https://www.codechef.com/problems/XORRANGE")</f>
        <v>https://www.codechef.com/problems/XORRANGE</v>
      </c>
      <c r="K220" s="14"/>
      <c r="L220" s="14"/>
      <c r="M220" s="14"/>
      <c r="N220" s="14" t="s">
        <v>50</v>
      </c>
      <c r="O220" s="14" t="s">
        <v>51</v>
      </c>
    </row>
    <row r="221" spans="1:15">
      <c r="A221" s="15" t="s">
        <v>9</v>
      </c>
      <c r="B221" s="15" t="s">
        <v>555</v>
      </c>
      <c r="C221" s="15" t="s">
        <v>556</v>
      </c>
      <c r="D221" s="15" t="s">
        <v>791</v>
      </c>
      <c r="E221" s="15">
        <v>119</v>
      </c>
      <c r="F221" s="15" t="s">
        <v>800</v>
      </c>
      <c r="G221" s="15" t="s">
        <v>801</v>
      </c>
      <c r="H221" s="15"/>
      <c r="I221" s="15" t="s">
        <v>96</v>
      </c>
      <c r="J221" s="7" t="str">
        <f>HYPERLINK("https://www.codechef.com/problems/PRIMENUMBERS", "https://www.codechef.com/problems/PRIMENUMBERS")</f>
        <v>https://www.codechef.com/problems/PRIMENUMBERS</v>
      </c>
      <c r="K221" s="15"/>
      <c r="L221" s="15"/>
      <c r="M221" s="15"/>
      <c r="N221" s="15" t="s">
        <v>50</v>
      </c>
      <c r="O221" s="15" t="s">
        <v>51</v>
      </c>
    </row>
    <row r="222" spans="1:15">
      <c r="A222" s="14" t="s">
        <v>9</v>
      </c>
      <c r="B222" s="14" t="s">
        <v>555</v>
      </c>
      <c r="C222" s="14" t="s">
        <v>556</v>
      </c>
      <c r="D222" s="14" t="s">
        <v>791</v>
      </c>
      <c r="E222" s="14">
        <v>120</v>
      </c>
      <c r="F222" s="14" t="s">
        <v>802</v>
      </c>
      <c r="G222" s="14" t="s">
        <v>803</v>
      </c>
      <c r="H222" s="14"/>
      <c r="I222" s="14" t="s">
        <v>322</v>
      </c>
      <c r="J222" s="11" t="str">
        <f>HYPERLINK("https://www.codechef.com/problems/RATMAZE", "https://www.codechef.com/problems/RATMAZE")</f>
        <v>https://www.codechef.com/problems/RATMAZE</v>
      </c>
      <c r="K222" s="14"/>
      <c r="L222" s="14"/>
      <c r="M222" s="14"/>
      <c r="N222" s="14" t="s">
        <v>50</v>
      </c>
      <c r="O222" s="14" t="s">
        <v>51</v>
      </c>
    </row>
    <row r="223" spans="1:15">
      <c r="A223" s="15" t="s">
        <v>9</v>
      </c>
      <c r="B223" s="15" t="s">
        <v>555</v>
      </c>
      <c r="C223" s="15" t="s">
        <v>556</v>
      </c>
      <c r="D223" s="15" t="s">
        <v>804</v>
      </c>
      <c r="E223" s="15">
        <v>121</v>
      </c>
      <c r="F223" s="15" t="s">
        <v>805</v>
      </c>
      <c r="G223" s="15" t="s">
        <v>806</v>
      </c>
      <c r="H223" s="15"/>
      <c r="I223" s="15" t="s">
        <v>49</v>
      </c>
      <c r="J223" s="7" t="str">
        <f>HYPERLINK("https://www.codechef.com/problems/FINALMATCH", "https://www.codechef.com/problems/FINALMATCH")</f>
        <v>https://www.codechef.com/problems/FINALMATCH</v>
      </c>
      <c r="K223" s="15"/>
      <c r="L223" s="15"/>
      <c r="M223" s="15"/>
      <c r="N223" s="15" t="s">
        <v>50</v>
      </c>
      <c r="O223" s="15" t="s">
        <v>51</v>
      </c>
    </row>
    <row r="224" spans="1:15">
      <c r="A224" s="14" t="s">
        <v>9</v>
      </c>
      <c r="B224" s="14" t="s">
        <v>555</v>
      </c>
      <c r="C224" s="14" t="s">
        <v>556</v>
      </c>
      <c r="D224" s="14" t="s">
        <v>804</v>
      </c>
      <c r="E224" s="14">
        <v>122</v>
      </c>
      <c r="F224" s="14" t="s">
        <v>807</v>
      </c>
      <c r="G224" s="14" t="s">
        <v>808</v>
      </c>
      <c r="H224" s="14"/>
      <c r="I224" s="14" t="s">
        <v>96</v>
      </c>
      <c r="J224" s="11" t="str">
        <f>HYPERLINK("https://www.codechef.com/problems/MAJORELEM", "https://www.codechef.com/problems/MAJORELEM")</f>
        <v>https://www.codechef.com/problems/MAJORELEM</v>
      </c>
      <c r="K224" s="14"/>
      <c r="L224" s="14"/>
      <c r="M224" s="14"/>
      <c r="N224" s="14" t="s">
        <v>50</v>
      </c>
      <c r="O224" s="14" t="s">
        <v>51</v>
      </c>
    </row>
    <row r="225" spans="1:15">
      <c r="A225" s="15" t="s">
        <v>9</v>
      </c>
      <c r="B225" s="15" t="s">
        <v>555</v>
      </c>
      <c r="C225" s="15" t="s">
        <v>556</v>
      </c>
      <c r="D225" s="15" t="s">
        <v>804</v>
      </c>
      <c r="E225" s="15">
        <v>123</v>
      </c>
      <c r="F225" s="15" t="s">
        <v>809</v>
      </c>
      <c r="G225" s="15" t="s">
        <v>810</v>
      </c>
      <c r="H225" s="15"/>
      <c r="I225" s="15" t="s">
        <v>96</v>
      </c>
      <c r="J225" s="7" t="str">
        <f>HYPERLINK("https://www.codechef.com/problems/FRUITBASKET", "https://www.codechef.com/problems/FRUITBASKET")</f>
        <v>https://www.codechef.com/problems/FRUITBASKET</v>
      </c>
      <c r="K225" s="15"/>
      <c r="L225" s="15"/>
      <c r="M225" s="15"/>
      <c r="N225" s="15" t="s">
        <v>50</v>
      </c>
      <c r="O225" s="15" t="s">
        <v>51</v>
      </c>
    </row>
    <row r="226" spans="1:15">
      <c r="A226" s="14" t="s">
        <v>9</v>
      </c>
      <c r="B226" s="14" t="s">
        <v>555</v>
      </c>
      <c r="C226" s="14" t="s">
        <v>556</v>
      </c>
      <c r="D226" s="14" t="s">
        <v>804</v>
      </c>
      <c r="E226" s="14">
        <v>124</v>
      </c>
      <c r="F226" s="14" t="s">
        <v>811</v>
      </c>
      <c r="G226" s="14" t="s">
        <v>812</v>
      </c>
      <c r="H226" s="14"/>
      <c r="I226" s="14" t="s">
        <v>96</v>
      </c>
      <c r="J226" s="11" t="str">
        <f>HYPERLINK("https://www.codechef.com/problems/PREORDER", "https://www.codechef.com/problems/PREORDER")</f>
        <v>https://www.codechef.com/problems/PREORDER</v>
      </c>
      <c r="K226" s="14"/>
      <c r="L226" s="14"/>
      <c r="M226" s="14"/>
      <c r="N226" s="14" t="s">
        <v>50</v>
      </c>
      <c r="O226" s="14" t="s">
        <v>51</v>
      </c>
    </row>
    <row r="227" spans="1:15">
      <c r="A227" s="15" t="s">
        <v>9</v>
      </c>
      <c r="B227" s="15" t="s">
        <v>555</v>
      </c>
      <c r="C227" s="15" t="s">
        <v>556</v>
      </c>
      <c r="D227" s="15" t="s">
        <v>804</v>
      </c>
      <c r="E227" s="15">
        <v>125</v>
      </c>
      <c r="F227" s="15" t="s">
        <v>813</v>
      </c>
      <c r="G227" s="15" t="s">
        <v>814</v>
      </c>
      <c r="H227" s="15"/>
      <c r="I227" s="15" t="s">
        <v>322</v>
      </c>
      <c r="J227" s="7" t="str">
        <f>HYPERLINK("https://www.codechef.com/problems/INORDERPOST", "https://www.codechef.com/problems/INORDERPOST")</f>
        <v>https://www.codechef.com/problems/INORDERPOST</v>
      </c>
      <c r="K227" s="15"/>
      <c r="L227" s="15"/>
      <c r="M227" s="15"/>
      <c r="N227" s="15" t="s">
        <v>50</v>
      </c>
      <c r="O227" s="15" t="s">
        <v>51</v>
      </c>
    </row>
    <row r="228" spans="1:15">
      <c r="A228" s="14" t="s">
        <v>9</v>
      </c>
      <c r="B228" s="14" t="s">
        <v>555</v>
      </c>
      <c r="C228" s="14" t="s">
        <v>556</v>
      </c>
      <c r="D228" s="14" t="s">
        <v>804</v>
      </c>
      <c r="E228" s="14">
        <v>126</v>
      </c>
      <c r="F228" s="14" t="s">
        <v>535</v>
      </c>
      <c r="G228" s="14" t="s">
        <v>536</v>
      </c>
      <c r="H228" s="14"/>
      <c r="I228" s="14" t="s">
        <v>322</v>
      </c>
      <c r="J228" s="11" t="str">
        <f>HYPERLINK("https://www.codechef.com/problems/CONSECARDS", "https://www.codechef.com/problems/CONSECARDS")</f>
        <v>https://www.codechef.com/problems/CONSECARDS</v>
      </c>
      <c r="K228" s="14"/>
      <c r="L228" s="14"/>
      <c r="M228" s="14"/>
      <c r="N228" s="14" t="s">
        <v>50</v>
      </c>
      <c r="O228" s="14" t="s">
        <v>51</v>
      </c>
    </row>
    <row r="229" spans="1:15">
      <c r="A229" s="15" t="s">
        <v>9</v>
      </c>
      <c r="B229" s="15" t="s">
        <v>555</v>
      </c>
      <c r="C229" s="15" t="s">
        <v>556</v>
      </c>
      <c r="D229" s="15" t="s">
        <v>815</v>
      </c>
      <c r="E229" s="15">
        <v>127</v>
      </c>
      <c r="F229" s="15" t="s">
        <v>816</v>
      </c>
      <c r="G229" s="15" t="s">
        <v>817</v>
      </c>
      <c r="H229" s="15"/>
      <c r="I229" s="15" t="s">
        <v>49</v>
      </c>
      <c r="J229" s="7" t="str">
        <f>HYPERLINK("https://www.codechef.com/problems/LADOOSPECIAL", "https://www.codechef.com/problems/LADOOSPECIAL")</f>
        <v>https://www.codechef.com/problems/LADOOSPECIAL</v>
      </c>
      <c r="K229" s="15"/>
      <c r="L229" s="15"/>
      <c r="M229" s="15"/>
      <c r="N229" s="15" t="s">
        <v>50</v>
      </c>
      <c r="O229" s="15" t="s">
        <v>51</v>
      </c>
    </row>
    <row r="230" spans="1:15">
      <c r="A230" s="14" t="s">
        <v>9</v>
      </c>
      <c r="B230" s="14" t="s">
        <v>555</v>
      </c>
      <c r="C230" s="14" t="s">
        <v>556</v>
      </c>
      <c r="D230" s="14" t="s">
        <v>815</v>
      </c>
      <c r="E230" s="14">
        <v>128</v>
      </c>
      <c r="F230" s="14" t="s">
        <v>818</v>
      </c>
      <c r="G230" s="14" t="s">
        <v>819</v>
      </c>
      <c r="H230" s="14"/>
      <c r="I230" s="14" t="s">
        <v>96</v>
      </c>
      <c r="J230" s="11" t="str">
        <f>HYPERLINK("https://www.codechef.com/problems/MISSNDREPEAT", "https://www.codechef.com/problems/MISSNDREPEAT")</f>
        <v>https://www.codechef.com/problems/MISSNDREPEAT</v>
      </c>
      <c r="K230" s="14"/>
      <c r="L230" s="14"/>
      <c r="M230" s="14"/>
      <c r="N230" s="14" t="s">
        <v>50</v>
      </c>
      <c r="O230" s="14" t="s">
        <v>51</v>
      </c>
    </row>
    <row r="231" spans="1:15">
      <c r="A231" s="15" t="s">
        <v>9</v>
      </c>
      <c r="B231" s="15" t="s">
        <v>555</v>
      </c>
      <c r="C231" s="15" t="s">
        <v>556</v>
      </c>
      <c r="D231" s="15" t="s">
        <v>815</v>
      </c>
      <c r="E231" s="15">
        <v>129</v>
      </c>
      <c r="F231" s="15" t="s">
        <v>820</v>
      </c>
      <c r="G231" s="15" t="s">
        <v>821</v>
      </c>
      <c r="H231" s="15"/>
      <c r="I231" s="15" t="s">
        <v>96</v>
      </c>
      <c r="J231" s="7" t="str">
        <f>HYPERLINK("https://www.codechef.com/problems/SWAPTWONUMS", "https://www.codechef.com/problems/SWAPTWONUMS")</f>
        <v>https://www.codechef.com/problems/SWAPTWONUMS</v>
      </c>
      <c r="K231" s="15"/>
      <c r="L231" s="15"/>
      <c r="M231" s="15"/>
      <c r="N231" s="15" t="s">
        <v>50</v>
      </c>
      <c r="O231" s="15" t="s">
        <v>51</v>
      </c>
    </row>
    <row r="232" spans="1:15">
      <c r="A232" s="14" t="s">
        <v>9</v>
      </c>
      <c r="B232" s="14" t="s">
        <v>555</v>
      </c>
      <c r="C232" s="14" t="s">
        <v>556</v>
      </c>
      <c r="D232" s="14" t="s">
        <v>815</v>
      </c>
      <c r="E232" s="14">
        <v>130</v>
      </c>
      <c r="F232" s="14" t="s">
        <v>822</v>
      </c>
      <c r="G232" s="14" t="s">
        <v>823</v>
      </c>
      <c r="H232" s="14"/>
      <c r="I232" s="14" t="s">
        <v>322</v>
      </c>
      <c r="J232" s="11" t="str">
        <f>HYPERLINK("https://www.codechef.com/problems/SINGLESORTED", "https://www.codechef.com/problems/SINGLESORTED")</f>
        <v>https://www.codechef.com/problems/SINGLESORTED</v>
      </c>
      <c r="K232" s="14"/>
      <c r="L232" s="14"/>
      <c r="M232" s="14"/>
      <c r="N232" s="14" t="s">
        <v>50</v>
      </c>
      <c r="O232" s="14" t="s">
        <v>51</v>
      </c>
    </row>
    <row r="233" spans="1:15">
      <c r="A233" s="15" t="s">
        <v>9</v>
      </c>
      <c r="B233" s="15" t="s">
        <v>555</v>
      </c>
      <c r="C233" s="15" t="s">
        <v>556</v>
      </c>
      <c r="D233" s="15" t="s">
        <v>815</v>
      </c>
      <c r="E233" s="15">
        <v>131</v>
      </c>
      <c r="F233" s="15" t="s">
        <v>824</v>
      </c>
      <c r="G233" s="15" t="s">
        <v>825</v>
      </c>
      <c r="H233" s="15"/>
      <c r="I233" s="15" t="s">
        <v>322</v>
      </c>
      <c r="J233" s="7" t="str">
        <f>HYPERLINK("https://www.codechef.com/problems/HYBDD01", "https://www.codechef.com/problems/HYBDD01")</f>
        <v>https://www.codechef.com/problems/HYBDD01</v>
      </c>
      <c r="K233" s="15"/>
      <c r="L233" s="15"/>
      <c r="M233" s="15"/>
      <c r="N233" s="15" t="s">
        <v>50</v>
      </c>
      <c r="O233" s="15" t="s">
        <v>51</v>
      </c>
    </row>
    <row r="234" spans="1:15">
      <c r="A234" s="14" t="s">
        <v>9</v>
      </c>
      <c r="B234" s="14" t="s">
        <v>555</v>
      </c>
      <c r="C234" s="14" t="s">
        <v>556</v>
      </c>
      <c r="D234" s="14" t="s">
        <v>815</v>
      </c>
      <c r="E234" s="14">
        <v>132</v>
      </c>
      <c r="F234" s="14" t="s">
        <v>826</v>
      </c>
      <c r="G234" s="14" t="s">
        <v>827</v>
      </c>
      <c r="H234" s="14"/>
      <c r="I234" s="14" t="s">
        <v>322</v>
      </c>
      <c r="J234" s="11" t="str">
        <f>HYPERLINK("https://www.codechef.com/problems/SZICS01", "https://www.codechef.com/problems/SZICS01")</f>
        <v>https://www.codechef.com/problems/SZICS01</v>
      </c>
      <c r="K234" s="14"/>
      <c r="L234" s="14"/>
      <c r="M234" s="14"/>
      <c r="N234" s="14" t="s">
        <v>50</v>
      </c>
      <c r="O234" s="14" t="s">
        <v>51</v>
      </c>
    </row>
    <row r="235" spans="1:15">
      <c r="A235" s="15" t="s">
        <v>9</v>
      </c>
      <c r="B235" s="15" t="s">
        <v>555</v>
      </c>
      <c r="C235" s="15" t="s">
        <v>556</v>
      </c>
      <c r="D235" s="15" t="s">
        <v>828</v>
      </c>
      <c r="E235" s="15">
        <v>133</v>
      </c>
      <c r="F235" s="15" t="s">
        <v>829</v>
      </c>
      <c r="G235" s="15" t="s">
        <v>830</v>
      </c>
      <c r="H235" s="15"/>
      <c r="I235" s="15" t="s">
        <v>49</v>
      </c>
      <c r="J235" s="7" t="str">
        <f>HYPERLINK("https://www.codechef.com/problems/TENNISMATCH", "https://www.codechef.com/problems/TENNISMATCH")</f>
        <v>https://www.codechef.com/problems/TENNISMATCH</v>
      </c>
      <c r="K235" s="15"/>
      <c r="L235" s="15"/>
      <c r="M235" s="15"/>
      <c r="N235" s="15" t="s">
        <v>50</v>
      </c>
      <c r="O235" s="15" t="s">
        <v>51</v>
      </c>
    </row>
    <row r="236" spans="1:15">
      <c r="A236" s="14" t="s">
        <v>9</v>
      </c>
      <c r="B236" s="14" t="s">
        <v>555</v>
      </c>
      <c r="C236" s="14" t="s">
        <v>556</v>
      </c>
      <c r="D236" s="14" t="s">
        <v>828</v>
      </c>
      <c r="E236" s="14">
        <v>134</v>
      </c>
      <c r="F236" s="14" t="s">
        <v>159</v>
      </c>
      <c r="G236" s="14" t="s">
        <v>160</v>
      </c>
      <c r="H236" s="14"/>
      <c r="I236" s="14" t="s">
        <v>49</v>
      </c>
      <c r="J236" s="11" t="str">
        <f>HYPERLINK("https://www.codechef.com/problems/MISSINPERM", "https://www.codechef.com/problems/MISSINPERM")</f>
        <v>https://www.codechef.com/problems/MISSINPERM</v>
      </c>
      <c r="K236" s="14"/>
      <c r="L236" s="14"/>
      <c r="M236" s="14"/>
      <c r="N236" s="14" t="s">
        <v>50</v>
      </c>
      <c r="O236" s="14" t="s">
        <v>51</v>
      </c>
    </row>
    <row r="237" spans="1:15">
      <c r="A237" s="15" t="s">
        <v>9</v>
      </c>
      <c r="B237" s="15" t="s">
        <v>555</v>
      </c>
      <c r="C237" s="15" t="s">
        <v>556</v>
      </c>
      <c r="D237" s="15" t="s">
        <v>828</v>
      </c>
      <c r="E237" s="15">
        <v>135</v>
      </c>
      <c r="F237" s="15" t="s">
        <v>831</v>
      </c>
      <c r="G237" s="15" t="s">
        <v>832</v>
      </c>
      <c r="H237" s="15"/>
      <c r="I237" s="15" t="s">
        <v>96</v>
      </c>
      <c r="J237" s="7" t="str">
        <f>HYPERLINK("https://www.codechef.com/problems/REVERSEWORD", "https://www.codechef.com/problems/REVERSEWORD")</f>
        <v>https://www.codechef.com/problems/REVERSEWORD</v>
      </c>
      <c r="K237" s="15"/>
      <c r="L237" s="15"/>
      <c r="M237" s="15"/>
      <c r="N237" s="15" t="s">
        <v>50</v>
      </c>
      <c r="O237" s="15" t="s">
        <v>51</v>
      </c>
    </row>
    <row r="238" spans="1:15">
      <c r="A238" s="14" t="s">
        <v>9</v>
      </c>
      <c r="B238" s="14" t="s">
        <v>555</v>
      </c>
      <c r="C238" s="14" t="s">
        <v>556</v>
      </c>
      <c r="D238" s="14" t="s">
        <v>828</v>
      </c>
      <c r="E238" s="14">
        <v>136</v>
      </c>
      <c r="F238" s="14" t="s">
        <v>833</v>
      </c>
      <c r="G238" s="14" t="s">
        <v>834</v>
      </c>
      <c r="H238" s="14"/>
      <c r="I238" s="14" t="s">
        <v>96</v>
      </c>
      <c r="J238" s="11" t="str">
        <f>HYPERLINK("https://www.codechef.com/problems/COOKIEDIST", "https://www.codechef.com/problems/COOKIEDIST")</f>
        <v>https://www.codechef.com/problems/COOKIEDIST</v>
      </c>
      <c r="K238" s="14"/>
      <c r="L238" s="14"/>
      <c r="M238" s="14"/>
      <c r="N238" s="14" t="s">
        <v>50</v>
      </c>
      <c r="O238" s="14" t="s">
        <v>51</v>
      </c>
    </row>
    <row r="239" spans="1:15">
      <c r="A239" s="15" t="s">
        <v>9</v>
      </c>
      <c r="B239" s="15" t="s">
        <v>555</v>
      </c>
      <c r="C239" s="15" t="s">
        <v>556</v>
      </c>
      <c r="D239" s="15" t="s">
        <v>828</v>
      </c>
      <c r="E239" s="15">
        <v>137</v>
      </c>
      <c r="F239" s="15" t="s">
        <v>835</v>
      </c>
      <c r="G239" s="15" t="s">
        <v>836</v>
      </c>
      <c r="H239" s="15"/>
      <c r="I239" s="15" t="s">
        <v>96</v>
      </c>
      <c r="J239" s="7" t="str">
        <f>HYPERLINK("https://www.codechef.com/problems/COUNTSUBSETS", "https://www.codechef.com/problems/COUNTSUBSETS")</f>
        <v>https://www.codechef.com/problems/COUNTSUBSETS</v>
      </c>
      <c r="K239" s="15"/>
      <c r="L239" s="15"/>
      <c r="M239" s="15"/>
      <c r="N239" s="15" t="s">
        <v>50</v>
      </c>
      <c r="O239" s="15" t="s">
        <v>51</v>
      </c>
    </row>
    <row r="240" spans="1:15">
      <c r="A240" s="14" t="s">
        <v>9</v>
      </c>
      <c r="B240" s="14" t="s">
        <v>555</v>
      </c>
      <c r="C240" s="14" t="s">
        <v>556</v>
      </c>
      <c r="D240" s="14" t="s">
        <v>828</v>
      </c>
      <c r="E240" s="14">
        <v>138</v>
      </c>
      <c r="F240" s="14" t="s">
        <v>837</v>
      </c>
      <c r="G240" s="14" t="s">
        <v>838</v>
      </c>
      <c r="H240" s="14"/>
      <c r="I240" s="14" t="s">
        <v>322</v>
      </c>
      <c r="J240" s="11" t="str">
        <f>HYPERLINK("https://www.codechef.com/problems/CHEFANDTWOFR", "https://www.codechef.com/problems/CHEFANDTWOFR")</f>
        <v>https://www.codechef.com/problems/CHEFANDTWOFR</v>
      </c>
      <c r="K240" s="14"/>
      <c r="L240" s="14"/>
      <c r="M240" s="14"/>
      <c r="N240" s="14" t="s">
        <v>50</v>
      </c>
      <c r="O240" s="14" t="s">
        <v>51</v>
      </c>
    </row>
    <row r="241" spans="1:15">
      <c r="A241" s="15" t="s">
        <v>9</v>
      </c>
      <c r="B241" s="15" t="s">
        <v>555</v>
      </c>
      <c r="C241" s="15" t="s">
        <v>556</v>
      </c>
      <c r="D241" s="15" t="s">
        <v>839</v>
      </c>
      <c r="E241" s="15">
        <v>139</v>
      </c>
      <c r="F241" s="15" t="s">
        <v>840</v>
      </c>
      <c r="G241" s="15" t="s">
        <v>841</v>
      </c>
      <c r="H241" s="15"/>
      <c r="I241" s="15" t="s">
        <v>322</v>
      </c>
      <c r="J241" s="7" t="str">
        <f>HYPERLINK("https://www.codechef.com/problems/FPTYY01", "https://www.codechef.com/problems/FPTYY01")</f>
        <v>https://www.codechef.com/problems/FPTYY01</v>
      </c>
      <c r="K241" s="15"/>
      <c r="L241" s="15"/>
      <c r="M241" s="15"/>
      <c r="N241" s="15" t="s">
        <v>50</v>
      </c>
      <c r="O241" s="15" t="s">
        <v>51</v>
      </c>
    </row>
    <row r="242" spans="1:15">
      <c r="A242" s="14" t="s">
        <v>9</v>
      </c>
      <c r="B242" s="14" t="s">
        <v>555</v>
      </c>
      <c r="C242" s="14" t="s">
        <v>556</v>
      </c>
      <c r="D242" s="14" t="s">
        <v>839</v>
      </c>
      <c r="E242" s="14">
        <v>140</v>
      </c>
      <c r="F242" s="14" t="s">
        <v>842</v>
      </c>
      <c r="G242" s="14" t="s">
        <v>843</v>
      </c>
      <c r="H242" s="14"/>
      <c r="I242" s="14" t="s">
        <v>96</v>
      </c>
      <c r="J242" s="11" t="str">
        <f>HYPERLINK("https://www.codechef.com/problems/ROTATEARRAY", "https://www.codechef.com/problems/ROTATEARRAY")</f>
        <v>https://www.codechef.com/problems/ROTATEARRAY</v>
      </c>
      <c r="K242" s="14"/>
      <c r="L242" s="14"/>
      <c r="M242" s="14"/>
      <c r="N242" s="14" t="s">
        <v>50</v>
      </c>
      <c r="O242" s="14" t="s">
        <v>51</v>
      </c>
    </row>
    <row r="243" spans="1:15">
      <c r="A243" s="15" t="s">
        <v>9</v>
      </c>
      <c r="B243" s="15" t="s">
        <v>555</v>
      </c>
      <c r="C243" s="15" t="s">
        <v>556</v>
      </c>
      <c r="D243" s="15" t="s">
        <v>839</v>
      </c>
      <c r="E243" s="15">
        <v>141</v>
      </c>
      <c r="F243" s="15" t="s">
        <v>798</v>
      </c>
      <c r="G243" s="15" t="s">
        <v>799</v>
      </c>
      <c r="H243" s="15"/>
      <c r="I243" s="15" t="s">
        <v>322</v>
      </c>
      <c r="J243" s="7" t="str">
        <f>HYPERLINK("https://www.codechef.com/problems/XORRANGE", "https://www.codechef.com/problems/XORRANGE")</f>
        <v>https://www.codechef.com/problems/XORRANGE</v>
      </c>
      <c r="K243" s="15"/>
      <c r="L243" s="15"/>
      <c r="M243" s="15"/>
      <c r="N243" s="15" t="s">
        <v>50</v>
      </c>
      <c r="O243" s="15" t="s">
        <v>51</v>
      </c>
    </row>
    <row r="244" spans="1:15">
      <c r="A244" s="14" t="s">
        <v>9</v>
      </c>
      <c r="B244" s="14" t="s">
        <v>555</v>
      </c>
      <c r="C244" s="14" t="s">
        <v>556</v>
      </c>
      <c r="D244" s="14" t="s">
        <v>839</v>
      </c>
      <c r="E244" s="14">
        <v>142</v>
      </c>
      <c r="F244" s="14" t="s">
        <v>844</v>
      </c>
      <c r="G244" s="14" t="s">
        <v>845</v>
      </c>
      <c r="H244" s="14"/>
      <c r="I244" s="14" t="s">
        <v>49</v>
      </c>
      <c r="J244" s="11" t="str">
        <f>HYPERLINK("https://www.codechef.com/problems/STOCKSPROFIT", "https://www.codechef.com/problems/STOCKSPROFIT")</f>
        <v>https://www.codechef.com/problems/STOCKSPROFIT</v>
      </c>
      <c r="K244" s="14"/>
      <c r="L244" s="14"/>
      <c r="M244" s="14"/>
      <c r="N244" s="14" t="s">
        <v>50</v>
      </c>
      <c r="O244" s="14" t="s">
        <v>51</v>
      </c>
    </row>
    <row r="245" spans="1:15">
      <c r="A245" s="15" t="s">
        <v>9</v>
      </c>
      <c r="B245" s="15" t="s">
        <v>555</v>
      </c>
      <c r="C245" s="15" t="s">
        <v>556</v>
      </c>
      <c r="D245" s="15" t="s">
        <v>839</v>
      </c>
      <c r="E245" s="15">
        <v>143</v>
      </c>
      <c r="F245" s="15" t="s">
        <v>846</v>
      </c>
      <c r="G245" s="15" t="s">
        <v>847</v>
      </c>
      <c r="H245" s="15"/>
      <c r="I245" s="15" t="s">
        <v>96</v>
      </c>
      <c r="J245" s="7" t="str">
        <f>HYPERLINK("https://www.codechef.com/problems/GBHHA01", "https://www.codechef.com/problems/GBHHA01")</f>
        <v>https://www.codechef.com/problems/GBHHA01</v>
      </c>
      <c r="K245" s="15"/>
      <c r="L245" s="15"/>
      <c r="M245" s="15"/>
      <c r="N245" s="15" t="s">
        <v>50</v>
      </c>
      <c r="O245" s="15" t="s">
        <v>51</v>
      </c>
    </row>
    <row r="246" spans="1:15">
      <c r="A246" s="14" t="s">
        <v>9</v>
      </c>
      <c r="B246" s="14" t="s">
        <v>555</v>
      </c>
      <c r="C246" s="14" t="s">
        <v>556</v>
      </c>
      <c r="D246" s="14" t="s">
        <v>839</v>
      </c>
      <c r="E246" s="14">
        <v>144</v>
      </c>
      <c r="F246" s="14" t="s">
        <v>848</v>
      </c>
      <c r="G246" s="14" t="s">
        <v>849</v>
      </c>
      <c r="H246" s="14"/>
      <c r="I246" s="14" t="s">
        <v>96</v>
      </c>
      <c r="J246" s="11" t="str">
        <f>HYPERLINK("https://www.codechef.com/problems/COCRZ01", "https://www.codechef.com/problems/COCRZ01")</f>
        <v>https://www.codechef.com/problems/COCRZ01</v>
      </c>
      <c r="K246" s="14"/>
      <c r="L246" s="14"/>
      <c r="M246" s="14"/>
      <c r="N246" s="14" t="s">
        <v>50</v>
      </c>
      <c r="O246" s="14" t="s">
        <v>51</v>
      </c>
    </row>
    <row r="247" spans="1:15">
      <c r="A247" s="15" t="s">
        <v>9</v>
      </c>
      <c r="B247" s="15" t="s">
        <v>555</v>
      </c>
      <c r="C247" s="15" t="s">
        <v>556</v>
      </c>
      <c r="D247" s="15" t="s">
        <v>850</v>
      </c>
      <c r="E247" s="15">
        <v>145</v>
      </c>
      <c r="F247" s="15" t="s">
        <v>831</v>
      </c>
      <c r="G247" s="15" t="s">
        <v>851</v>
      </c>
      <c r="H247" s="15"/>
      <c r="I247" s="15" t="s">
        <v>96</v>
      </c>
      <c r="J247" s="7" t="str">
        <f>HYPERLINK("https://www.codechef.com/problems/PALINDRCHECK", "https://www.codechef.com/problems/PALINDRCHECK")</f>
        <v>https://www.codechef.com/problems/PALINDRCHECK</v>
      </c>
      <c r="K247" s="15"/>
      <c r="L247" s="15"/>
      <c r="M247" s="15"/>
      <c r="N247" s="15" t="s">
        <v>50</v>
      </c>
      <c r="O247" s="15" t="s">
        <v>51</v>
      </c>
    </row>
    <row r="248" spans="1:15">
      <c r="A248" s="14" t="s">
        <v>9</v>
      </c>
      <c r="B248" s="14" t="s">
        <v>555</v>
      </c>
      <c r="C248" s="14" t="s">
        <v>556</v>
      </c>
      <c r="D248" s="14" t="s">
        <v>850</v>
      </c>
      <c r="E248" s="14">
        <v>146</v>
      </c>
      <c r="F248" s="14" t="s">
        <v>374</v>
      </c>
      <c r="G248" s="14" t="s">
        <v>375</v>
      </c>
      <c r="H248" s="14"/>
      <c r="I248" s="14" t="s">
        <v>96</v>
      </c>
      <c r="J248" s="11" t="str">
        <f>HYPERLINK("https://www.codechef.com/problems/PPMUH01", "https://www.codechef.com/problems/PPMUH01")</f>
        <v>https://www.codechef.com/problems/PPMUH01</v>
      </c>
      <c r="K248" s="14"/>
      <c r="L248" s="14"/>
      <c r="M248" s="14"/>
      <c r="N248" s="14" t="s">
        <v>50</v>
      </c>
      <c r="O248" s="14" t="s">
        <v>51</v>
      </c>
    </row>
    <row r="249" spans="1:15">
      <c r="A249" s="15" t="s">
        <v>9</v>
      </c>
      <c r="B249" s="15" t="s">
        <v>555</v>
      </c>
      <c r="C249" s="15" t="s">
        <v>556</v>
      </c>
      <c r="D249" s="15" t="s">
        <v>850</v>
      </c>
      <c r="E249" s="15">
        <v>147</v>
      </c>
      <c r="F249" s="15" t="s">
        <v>400</v>
      </c>
      <c r="G249" s="15" t="s">
        <v>401</v>
      </c>
      <c r="H249" s="15"/>
      <c r="I249" s="15" t="s">
        <v>322</v>
      </c>
      <c r="J249" s="7" t="str">
        <f>HYPERLINK("https://www.codechef.com/problems/NFXON01", "https://www.codechef.com/problems/NFXON01")</f>
        <v>https://www.codechef.com/problems/NFXON01</v>
      </c>
      <c r="K249" s="15"/>
      <c r="L249" s="15"/>
      <c r="M249" s="15"/>
      <c r="N249" s="15" t="s">
        <v>50</v>
      </c>
      <c r="O249" s="15" t="s">
        <v>51</v>
      </c>
    </row>
    <row r="250" spans="1:15">
      <c r="A250" s="14" t="s">
        <v>9</v>
      </c>
      <c r="B250" s="14" t="s">
        <v>555</v>
      </c>
      <c r="C250" s="14" t="s">
        <v>556</v>
      </c>
      <c r="D250" s="14" t="s">
        <v>850</v>
      </c>
      <c r="E250" s="14">
        <v>148</v>
      </c>
      <c r="F250" s="14" t="s">
        <v>388</v>
      </c>
      <c r="G250" s="14" t="s">
        <v>389</v>
      </c>
      <c r="H250" s="14"/>
      <c r="I250" s="14" t="s">
        <v>96</v>
      </c>
      <c r="J250" s="11" t="str">
        <f>HYPERLINK("https://www.codechef.com/problems/DRKTZ01", "https://www.codechef.com/problems/DRKTZ01")</f>
        <v>https://www.codechef.com/problems/DRKTZ01</v>
      </c>
      <c r="K250" s="14"/>
      <c r="L250" s="14"/>
      <c r="M250" s="14"/>
      <c r="N250" s="14" t="s">
        <v>50</v>
      </c>
      <c r="O250" s="14" t="s">
        <v>51</v>
      </c>
    </row>
    <row r="251" spans="1:15">
      <c r="A251" s="15" t="s">
        <v>9</v>
      </c>
      <c r="B251" s="15" t="s">
        <v>555</v>
      </c>
      <c r="C251" s="15" t="s">
        <v>556</v>
      </c>
      <c r="D251" s="15" t="s">
        <v>850</v>
      </c>
      <c r="E251" s="15">
        <v>149</v>
      </c>
      <c r="F251" s="15" t="s">
        <v>852</v>
      </c>
      <c r="G251" s="15" t="s">
        <v>853</v>
      </c>
      <c r="H251" s="15"/>
      <c r="I251" s="15" t="s">
        <v>96</v>
      </c>
      <c r="J251" s="7" t="str">
        <f>HYPERLINK("https://www.codechef.com/problems/MEXOPERATION", "https://www.codechef.com/problems/MEXOPERATION")</f>
        <v>https://www.codechef.com/problems/MEXOPERATION</v>
      </c>
      <c r="K251" s="15"/>
      <c r="L251" s="15"/>
      <c r="M251" s="15"/>
      <c r="N251" s="15" t="s">
        <v>50</v>
      </c>
      <c r="O251" s="15" t="s">
        <v>51</v>
      </c>
    </row>
    <row r="252" spans="1:15">
      <c r="A252" s="14" t="s">
        <v>9</v>
      </c>
      <c r="B252" s="14" t="s">
        <v>555</v>
      </c>
      <c r="C252" s="14" t="s">
        <v>556</v>
      </c>
      <c r="D252" s="14" t="s">
        <v>850</v>
      </c>
      <c r="E252" s="14">
        <v>150</v>
      </c>
      <c r="F252" s="14" t="s">
        <v>415</v>
      </c>
      <c r="G252" s="14" t="s">
        <v>416</v>
      </c>
      <c r="H252" s="14"/>
      <c r="I252" s="14" t="s">
        <v>322</v>
      </c>
      <c r="J252" s="11" t="str">
        <f>HYPERLINK("https://www.codechef.com/problems/IEIJT01", "https://www.codechef.com/problems/IEIJT01")</f>
        <v>https://www.codechef.com/problems/IEIJT01</v>
      </c>
      <c r="K252" s="14"/>
      <c r="L252" s="14"/>
      <c r="M252" s="14"/>
      <c r="N252" s="14" t="s">
        <v>50</v>
      </c>
      <c r="O252" s="14" t="s">
        <v>51</v>
      </c>
    </row>
    <row r="253" spans="1:15">
      <c r="A253" s="15" t="s">
        <v>9</v>
      </c>
      <c r="B253" s="15" t="s">
        <v>555</v>
      </c>
      <c r="C253" s="15" t="s">
        <v>556</v>
      </c>
      <c r="D253" s="15" t="s">
        <v>854</v>
      </c>
      <c r="E253" s="15">
        <v>151</v>
      </c>
      <c r="F253" s="15" t="s">
        <v>855</v>
      </c>
      <c r="G253" s="15" t="s">
        <v>856</v>
      </c>
      <c r="H253" s="15"/>
      <c r="I253" s="15" t="s">
        <v>322</v>
      </c>
      <c r="J253" s="7" t="str">
        <f>HYPERLINK("https://www.codechef.com/problems/REVERSEPAIRS", "https://www.codechef.com/problems/REVERSEPAIRS")</f>
        <v>https://www.codechef.com/problems/REVERSEPAIRS</v>
      </c>
      <c r="K253" s="15"/>
      <c r="L253" s="15"/>
      <c r="M253" s="15"/>
      <c r="N253" s="15" t="s">
        <v>50</v>
      </c>
      <c r="O253" s="15" t="s">
        <v>51</v>
      </c>
    </row>
    <row r="254" spans="1:15">
      <c r="A254" s="14" t="s">
        <v>9</v>
      </c>
      <c r="B254" s="14" t="s">
        <v>555</v>
      </c>
      <c r="C254" s="14" t="s">
        <v>556</v>
      </c>
      <c r="D254" s="14" t="s">
        <v>854</v>
      </c>
      <c r="E254" s="14">
        <v>152</v>
      </c>
      <c r="F254" s="14" t="s">
        <v>857</v>
      </c>
      <c r="G254" s="14" t="s">
        <v>858</v>
      </c>
      <c r="H254" s="14"/>
      <c r="I254" s="14" t="s">
        <v>322</v>
      </c>
      <c r="J254" s="11" t="str">
        <f>HYPERLINK("https://www.codechef.com/problems/MAXPROSUBARR", "https://www.codechef.com/problems/MAXPROSUBARR")</f>
        <v>https://www.codechef.com/problems/MAXPROSUBARR</v>
      </c>
      <c r="K254" s="14"/>
      <c r="L254" s="14"/>
      <c r="M254" s="14"/>
      <c r="N254" s="14" t="s">
        <v>50</v>
      </c>
      <c r="O254" s="14" t="s">
        <v>51</v>
      </c>
    </row>
    <row r="255" spans="1:15">
      <c r="A255" s="15" t="s">
        <v>9</v>
      </c>
      <c r="B255" s="15" t="s">
        <v>555</v>
      </c>
      <c r="C255" s="15" t="s">
        <v>556</v>
      </c>
      <c r="D255" s="15" t="s">
        <v>854</v>
      </c>
      <c r="E255" s="15">
        <v>153</v>
      </c>
      <c r="F255" s="15" t="s">
        <v>859</v>
      </c>
      <c r="G255" s="15" t="s">
        <v>860</v>
      </c>
      <c r="H255" s="15"/>
      <c r="I255" s="15" t="s">
        <v>96</v>
      </c>
      <c r="J255" s="7" t="str">
        <f>HYPERLINK("https://www.codechef.com/problems/HBJRG01", "https://www.codechef.com/problems/HBJRG01")</f>
        <v>https://www.codechef.com/problems/HBJRG01</v>
      </c>
      <c r="K255" s="15"/>
      <c r="L255" s="15"/>
      <c r="M255" s="15"/>
      <c r="N255" s="15" t="s">
        <v>50</v>
      </c>
      <c r="O255" s="15" t="s">
        <v>51</v>
      </c>
    </row>
    <row r="256" spans="1:15">
      <c r="A256" s="14" t="s">
        <v>9</v>
      </c>
      <c r="B256" s="14" t="s">
        <v>555</v>
      </c>
      <c r="C256" s="14" t="s">
        <v>556</v>
      </c>
      <c r="D256" s="14" t="s">
        <v>854</v>
      </c>
      <c r="E256" s="14">
        <v>154</v>
      </c>
      <c r="F256" s="14" t="s">
        <v>514</v>
      </c>
      <c r="G256" s="14" t="s">
        <v>515</v>
      </c>
      <c r="H256" s="14"/>
      <c r="I256" s="14" t="s">
        <v>322</v>
      </c>
      <c r="J256" s="11" t="str">
        <f>HYPERLINK("https://www.codechef.com/problems/MERGEKSORTED", "https://www.codechef.com/problems/MERGEKSORTED")</f>
        <v>https://www.codechef.com/problems/MERGEKSORTED</v>
      </c>
      <c r="K256" s="14"/>
      <c r="L256" s="14"/>
      <c r="M256" s="14"/>
      <c r="N256" s="14" t="s">
        <v>50</v>
      </c>
      <c r="O256" s="14" t="s">
        <v>51</v>
      </c>
    </row>
    <row r="257" spans="1:15">
      <c r="A257" s="15" t="s">
        <v>9</v>
      </c>
      <c r="B257" s="15" t="s">
        <v>555</v>
      </c>
      <c r="C257" s="15" t="s">
        <v>556</v>
      </c>
      <c r="D257" s="15" t="s">
        <v>854</v>
      </c>
      <c r="E257" s="15">
        <v>155</v>
      </c>
      <c r="F257" s="15" t="s">
        <v>826</v>
      </c>
      <c r="G257" s="15" t="s">
        <v>827</v>
      </c>
      <c r="H257" s="15"/>
      <c r="I257" s="15" t="s">
        <v>322</v>
      </c>
      <c r="J257" s="7" t="str">
        <f>HYPERLINK("https://www.codechef.com/problems/SZICS01", "https://www.codechef.com/problems/SZICS01")</f>
        <v>https://www.codechef.com/problems/SZICS01</v>
      </c>
      <c r="K257" s="15"/>
      <c r="L257" s="15"/>
      <c r="M257" s="15"/>
      <c r="N257" s="15" t="s">
        <v>50</v>
      </c>
      <c r="O257" s="15" t="s">
        <v>51</v>
      </c>
    </row>
    <row r="258" spans="1:15">
      <c r="A258" s="14" t="s">
        <v>9</v>
      </c>
      <c r="B258" s="14" t="s">
        <v>555</v>
      </c>
      <c r="C258" s="14" t="s">
        <v>556</v>
      </c>
      <c r="D258" s="14" t="s">
        <v>854</v>
      </c>
      <c r="E258" s="14">
        <v>156</v>
      </c>
      <c r="F258" s="14" t="s">
        <v>535</v>
      </c>
      <c r="G258" s="14" t="s">
        <v>536</v>
      </c>
      <c r="H258" s="14"/>
      <c r="I258" s="14" t="s">
        <v>322</v>
      </c>
      <c r="J258" s="11" t="str">
        <f>HYPERLINK("https://www.codechef.com/problems/CONSECARDS", "https://www.codechef.com/problems/CONSECARDS")</f>
        <v>https://www.codechef.com/problems/CONSECARDS</v>
      </c>
      <c r="K258" s="14"/>
      <c r="L258" s="14"/>
      <c r="M258" s="14"/>
      <c r="N258" s="14" t="s">
        <v>50</v>
      </c>
      <c r="O258" s="14" t="s">
        <v>51</v>
      </c>
    </row>
    <row r="259" spans="1:15">
      <c r="A259" s="15" t="s">
        <v>9</v>
      </c>
      <c r="B259" s="15" t="s">
        <v>555</v>
      </c>
      <c r="C259" s="15" t="s">
        <v>556</v>
      </c>
      <c r="D259" s="15" t="s">
        <v>861</v>
      </c>
      <c r="E259" s="15">
        <v>157</v>
      </c>
      <c r="F259" s="15" t="s">
        <v>862</v>
      </c>
      <c r="G259" s="15" t="s">
        <v>863</v>
      </c>
      <c r="H259" s="15"/>
      <c r="I259" s="15" t="s">
        <v>96</v>
      </c>
      <c r="J259" s="7" t="str">
        <f>HYPERLINK("https://www.codechef.com/problems/ALTNUMS", "https://www.codechef.com/problems/ALTNUMS")</f>
        <v>https://www.codechef.com/problems/ALTNUMS</v>
      </c>
      <c r="K259" s="15"/>
      <c r="L259" s="15"/>
      <c r="M259" s="15"/>
      <c r="N259" s="15" t="s">
        <v>50</v>
      </c>
      <c r="O259" s="15" t="s">
        <v>51</v>
      </c>
    </row>
    <row r="260" spans="1:15">
      <c r="A260" s="14" t="s">
        <v>9</v>
      </c>
      <c r="B260" s="14" t="s">
        <v>555</v>
      </c>
      <c r="C260" s="14" t="s">
        <v>556</v>
      </c>
      <c r="D260" s="14" t="s">
        <v>861</v>
      </c>
      <c r="E260" s="14">
        <v>158</v>
      </c>
      <c r="F260" s="14" t="s">
        <v>864</v>
      </c>
      <c r="G260" s="14" t="s">
        <v>865</v>
      </c>
      <c r="H260" s="14"/>
      <c r="I260" s="14" t="s">
        <v>322</v>
      </c>
      <c r="J260" s="11" t="str">
        <f>HYPERLINK("https://www.codechef.com/problems/PRINTSUBARAY", "https://www.codechef.com/problems/PRINTSUBARAY")</f>
        <v>https://www.codechef.com/problems/PRINTSUBARAY</v>
      </c>
      <c r="K260" s="14"/>
      <c r="L260" s="14"/>
      <c r="M260" s="14"/>
      <c r="N260" s="14" t="s">
        <v>50</v>
      </c>
      <c r="O260" s="14" t="s">
        <v>51</v>
      </c>
    </row>
    <row r="261" spans="1:15">
      <c r="A261" s="15" t="s">
        <v>9</v>
      </c>
      <c r="B261" s="15" t="s">
        <v>555</v>
      </c>
      <c r="C261" s="15" t="s">
        <v>556</v>
      </c>
      <c r="D261" s="15" t="s">
        <v>861</v>
      </c>
      <c r="E261" s="15">
        <v>159</v>
      </c>
      <c r="F261" s="15" t="s">
        <v>866</v>
      </c>
      <c r="G261" s="15" t="s">
        <v>867</v>
      </c>
      <c r="H261" s="15"/>
      <c r="I261" s="15" t="s">
        <v>96</v>
      </c>
      <c r="J261" s="7" t="str">
        <f>HYPERLINK("https://www.codechef.com/problems/BWFPF01", "https://www.codechef.com/problems/BWFPF01")</f>
        <v>https://www.codechef.com/problems/BWFPF01</v>
      </c>
      <c r="K261" s="15"/>
      <c r="L261" s="15"/>
      <c r="M261" s="15"/>
      <c r="N261" s="15" t="s">
        <v>50</v>
      </c>
      <c r="O261" s="15" t="s">
        <v>51</v>
      </c>
    </row>
    <row r="262" spans="1:15">
      <c r="A262" s="14" t="s">
        <v>9</v>
      </c>
      <c r="B262" s="14" t="s">
        <v>555</v>
      </c>
      <c r="C262" s="14" t="s">
        <v>556</v>
      </c>
      <c r="D262" s="14" t="s">
        <v>861</v>
      </c>
      <c r="E262" s="14">
        <v>160</v>
      </c>
      <c r="F262" s="14" t="s">
        <v>868</v>
      </c>
      <c r="G262" s="14" t="s">
        <v>869</v>
      </c>
      <c r="H262" s="14"/>
      <c r="I262" s="14" t="s">
        <v>96</v>
      </c>
      <c r="J262" s="11" t="str">
        <f>HYPERLINK("https://www.codechef.com/problems/VYYCI01", "https://www.codechef.com/problems/VYYCI01")</f>
        <v>https://www.codechef.com/problems/VYYCI01</v>
      </c>
      <c r="K262" s="14"/>
      <c r="L262" s="14"/>
      <c r="M262" s="14"/>
      <c r="N262" s="14" t="s">
        <v>50</v>
      </c>
      <c r="O262" s="14" t="s">
        <v>51</v>
      </c>
    </row>
    <row r="263" spans="1:15">
      <c r="A263" s="15" t="s">
        <v>9</v>
      </c>
      <c r="B263" s="15" t="s">
        <v>555</v>
      </c>
      <c r="C263" s="15" t="s">
        <v>556</v>
      </c>
      <c r="D263" s="15" t="s">
        <v>861</v>
      </c>
      <c r="E263" s="15">
        <v>161</v>
      </c>
      <c r="F263" s="15" t="s">
        <v>870</v>
      </c>
      <c r="G263" s="15" t="s">
        <v>871</v>
      </c>
      <c r="H263" s="15"/>
      <c r="I263" s="15" t="s">
        <v>96</v>
      </c>
      <c r="J263" s="7" t="str">
        <f>HYPERLINK("https://www.codechef.com/problems/NINJATRAIN", "https://www.codechef.com/problems/NINJATRAIN")</f>
        <v>https://www.codechef.com/problems/NINJATRAIN</v>
      </c>
      <c r="K263" s="15"/>
      <c r="L263" s="15"/>
      <c r="M263" s="15"/>
      <c r="N263" s="15" t="s">
        <v>50</v>
      </c>
      <c r="O263" s="15" t="s">
        <v>51</v>
      </c>
    </row>
    <row r="264" spans="1:15">
      <c r="A264" s="14" t="s">
        <v>9</v>
      </c>
      <c r="B264" s="14" t="s">
        <v>555</v>
      </c>
      <c r="C264" s="14" t="s">
        <v>556</v>
      </c>
      <c r="D264" s="14" t="s">
        <v>861</v>
      </c>
      <c r="E264" s="14">
        <v>162</v>
      </c>
      <c r="F264" s="14" t="s">
        <v>872</v>
      </c>
      <c r="G264" s="14" t="s">
        <v>873</v>
      </c>
      <c r="H264" s="14"/>
      <c r="I264" s="14" t="s">
        <v>322</v>
      </c>
      <c r="J264" s="11" t="str">
        <f>HYPERLINK("https://www.codechef.com/problems/VUUDN01", "https://www.codechef.com/problems/VUUDN01")</f>
        <v>https://www.codechef.com/problems/VUUDN01</v>
      </c>
      <c r="K264" s="14"/>
      <c r="L264" s="14"/>
      <c r="M264" s="14"/>
      <c r="N264" s="14" t="s">
        <v>50</v>
      </c>
      <c r="O264" s="14" t="s">
        <v>51</v>
      </c>
    </row>
    <row r="265" spans="1:15">
      <c r="A265" s="15" t="s">
        <v>9</v>
      </c>
      <c r="B265" s="15" t="s">
        <v>555</v>
      </c>
      <c r="C265" s="15" t="s">
        <v>556</v>
      </c>
      <c r="D265" s="15" t="s">
        <v>874</v>
      </c>
      <c r="E265" s="15">
        <v>163</v>
      </c>
      <c r="F265" s="15" t="s">
        <v>862</v>
      </c>
      <c r="G265" s="15" t="s">
        <v>863</v>
      </c>
      <c r="H265" s="15"/>
      <c r="I265" s="15" t="s">
        <v>96</v>
      </c>
      <c r="J265" s="7" t="str">
        <f>HYPERLINK("https://www.codechef.com/problems/ALTNUMS", "https://www.codechef.com/problems/ALTNUMS")</f>
        <v>https://www.codechef.com/problems/ALTNUMS</v>
      </c>
      <c r="K265" s="15"/>
      <c r="L265" s="15"/>
      <c r="M265" s="15"/>
      <c r="N265" s="15" t="s">
        <v>50</v>
      </c>
      <c r="O265" s="15" t="s">
        <v>51</v>
      </c>
    </row>
    <row r="266" spans="1:15">
      <c r="A266" s="14" t="s">
        <v>9</v>
      </c>
      <c r="B266" s="14" t="s">
        <v>555</v>
      </c>
      <c r="C266" s="14" t="s">
        <v>556</v>
      </c>
      <c r="D266" s="14" t="s">
        <v>874</v>
      </c>
      <c r="E266" s="14">
        <v>164</v>
      </c>
      <c r="F266" s="14" t="s">
        <v>857</v>
      </c>
      <c r="G266" s="14" t="s">
        <v>858</v>
      </c>
      <c r="H266" s="14"/>
      <c r="I266" s="14" t="s">
        <v>322</v>
      </c>
      <c r="J266" s="11" t="str">
        <f>HYPERLINK("https://www.codechef.com/problems/MAXPROSUBARR", "https://www.codechef.com/problems/MAXPROSUBARR")</f>
        <v>https://www.codechef.com/problems/MAXPROSUBARR</v>
      </c>
      <c r="K266" s="14"/>
      <c r="L266" s="14"/>
      <c r="M266" s="14"/>
      <c r="N266" s="14" t="s">
        <v>50</v>
      </c>
      <c r="O266" s="14" t="s">
        <v>51</v>
      </c>
    </row>
    <row r="267" spans="1:15">
      <c r="A267" s="15" t="s">
        <v>9</v>
      </c>
      <c r="B267" s="15" t="s">
        <v>555</v>
      </c>
      <c r="C267" s="15" t="s">
        <v>556</v>
      </c>
      <c r="D267" s="15" t="s">
        <v>874</v>
      </c>
      <c r="E267" s="15">
        <v>165</v>
      </c>
      <c r="F267" s="15" t="s">
        <v>875</v>
      </c>
      <c r="G267" s="15" t="s">
        <v>876</v>
      </c>
      <c r="H267" s="15"/>
      <c r="I267" s="15" t="s">
        <v>322</v>
      </c>
      <c r="J267" s="7" t="str">
        <f>HYPERLINK("https://www.codechef.com/problems/LARGESTBST", "https://www.codechef.com/problems/LARGESTBST")</f>
        <v>https://www.codechef.com/problems/LARGESTBST</v>
      </c>
      <c r="K267" s="15"/>
      <c r="L267" s="15"/>
      <c r="M267" s="15"/>
      <c r="N267" s="15" t="s">
        <v>50</v>
      </c>
      <c r="O267" s="15" t="s">
        <v>51</v>
      </c>
    </row>
    <row r="268" spans="1:15">
      <c r="A268" s="14" t="s">
        <v>9</v>
      </c>
      <c r="B268" s="14" t="s">
        <v>555</v>
      </c>
      <c r="C268" s="14" t="s">
        <v>556</v>
      </c>
      <c r="D268" s="14" t="s">
        <v>874</v>
      </c>
      <c r="E268" s="14">
        <v>166</v>
      </c>
      <c r="F268" s="14" t="s">
        <v>736</v>
      </c>
      <c r="G268" s="14" t="s">
        <v>737</v>
      </c>
      <c r="H268" s="14"/>
      <c r="I268" s="14" t="s">
        <v>322</v>
      </c>
      <c r="J268" s="11" t="str">
        <f>HYPERLINK("https://www.codechef.com/problems/BSTITERATOR", "https://www.codechef.com/problems/BSTITERATOR")</f>
        <v>https://www.codechef.com/problems/BSTITERATOR</v>
      </c>
      <c r="K268" s="14"/>
      <c r="L268" s="14"/>
      <c r="M268" s="14"/>
      <c r="N268" s="14" t="s">
        <v>50</v>
      </c>
      <c r="O268" s="14" t="s">
        <v>51</v>
      </c>
    </row>
    <row r="269" spans="1:15">
      <c r="A269" s="15" t="s">
        <v>9</v>
      </c>
      <c r="B269" s="15" t="s">
        <v>555</v>
      </c>
      <c r="C269" s="15" t="s">
        <v>556</v>
      </c>
      <c r="D269" s="15" t="s">
        <v>874</v>
      </c>
      <c r="E269" s="15">
        <v>167</v>
      </c>
      <c r="F269" s="15" t="s">
        <v>877</v>
      </c>
      <c r="G269" s="15" t="s">
        <v>878</v>
      </c>
      <c r="H269" s="15"/>
      <c r="I269" s="15" t="s">
        <v>322</v>
      </c>
      <c r="J269" s="7" t="str">
        <f>HYPERLINK("https://www.codechef.com/problems/EKMPU01", "https://www.codechef.com/problems/EKMPU01")</f>
        <v>https://www.codechef.com/problems/EKMPU01</v>
      </c>
      <c r="K269" s="15"/>
      <c r="L269" s="15"/>
      <c r="M269" s="15"/>
      <c r="N269" s="15" t="s">
        <v>50</v>
      </c>
      <c r="O269" s="15" t="s">
        <v>51</v>
      </c>
    </row>
    <row r="270" spans="1:15">
      <c r="A270" s="14" t="s">
        <v>9</v>
      </c>
      <c r="B270" s="14" t="s">
        <v>555</v>
      </c>
      <c r="C270" s="14" t="s">
        <v>556</v>
      </c>
      <c r="D270" s="14" t="s">
        <v>874</v>
      </c>
      <c r="E270" s="14">
        <v>168</v>
      </c>
      <c r="F270" s="14" t="s">
        <v>826</v>
      </c>
      <c r="G270" s="14" t="s">
        <v>827</v>
      </c>
      <c r="H270" s="14"/>
      <c r="I270" s="14" t="s">
        <v>322</v>
      </c>
      <c r="J270" s="11" t="str">
        <f>HYPERLINK("https://www.codechef.com/problems/SZICS01", "https://www.codechef.com/problems/SZICS01")</f>
        <v>https://www.codechef.com/problems/SZICS01</v>
      </c>
      <c r="K270" s="14"/>
      <c r="L270" s="14"/>
      <c r="M270" s="14"/>
      <c r="N270" s="14" t="s">
        <v>50</v>
      </c>
      <c r="O270" s="14" t="s">
        <v>51</v>
      </c>
    </row>
    <row r="271" spans="1:15">
      <c r="A271" s="15" t="s">
        <v>9</v>
      </c>
      <c r="B271" s="15" t="s">
        <v>555</v>
      </c>
      <c r="C271" s="15" t="s">
        <v>556</v>
      </c>
      <c r="D271" s="15" t="s">
        <v>879</v>
      </c>
      <c r="E271" s="15">
        <v>169</v>
      </c>
      <c r="F271" s="15" t="s">
        <v>320</v>
      </c>
      <c r="G271" s="15" t="s">
        <v>321</v>
      </c>
      <c r="H271" s="15"/>
      <c r="I271" s="15" t="s">
        <v>322</v>
      </c>
      <c r="J271" s="7" t="str">
        <f>HYPERLINK("https://www.codechef.com/problems/LLCYCLE", "https://www.codechef.com/problems/LLCYCLE")</f>
        <v>https://www.codechef.com/problems/LLCYCLE</v>
      </c>
      <c r="K271" s="15"/>
      <c r="L271" s="15" t="s">
        <v>57</v>
      </c>
      <c r="M271" s="15"/>
      <c r="N271" s="15" t="s">
        <v>50</v>
      </c>
      <c r="O271" s="15" t="s">
        <v>51</v>
      </c>
    </row>
    <row r="272" spans="1:15">
      <c r="A272" s="14" t="s">
        <v>9</v>
      </c>
      <c r="B272" s="14" t="s">
        <v>555</v>
      </c>
      <c r="C272" s="14" t="s">
        <v>556</v>
      </c>
      <c r="D272" s="14" t="s">
        <v>879</v>
      </c>
      <c r="E272" s="14">
        <v>170</v>
      </c>
      <c r="F272" s="14" t="s">
        <v>353</v>
      </c>
      <c r="G272" s="14" t="s">
        <v>354</v>
      </c>
      <c r="H272" s="14"/>
      <c r="I272" s="14" t="s">
        <v>96</v>
      </c>
      <c r="J272" s="11" t="str">
        <f>HYPERLINK("https://www.codechef.com/problems/ADDONELL", "https://www.codechef.com/problems/ADDONELL")</f>
        <v>https://www.codechef.com/problems/ADDONELL</v>
      </c>
      <c r="K272" s="14"/>
      <c r="L272" s="14"/>
      <c r="M272" s="14"/>
      <c r="N272" s="14" t="s">
        <v>50</v>
      </c>
      <c r="O272" s="14" t="s">
        <v>51</v>
      </c>
    </row>
    <row r="273" spans="1:15">
      <c r="A273" s="15" t="s">
        <v>9</v>
      </c>
      <c r="B273" s="15" t="s">
        <v>555</v>
      </c>
      <c r="C273" s="15" t="s">
        <v>556</v>
      </c>
      <c r="D273" s="15" t="s">
        <v>879</v>
      </c>
      <c r="E273" s="15">
        <v>171</v>
      </c>
      <c r="F273" s="15" t="s">
        <v>398</v>
      </c>
      <c r="G273" s="15" t="s">
        <v>399</v>
      </c>
      <c r="H273" s="15"/>
      <c r="I273" s="15" t="s">
        <v>96</v>
      </c>
      <c r="J273" s="7" t="str">
        <f>HYPERLINK("https://www.codechef.com/problems/HSUON01", "https://www.codechef.com/problems/HSUON01")</f>
        <v>https://www.codechef.com/problems/HSUON01</v>
      </c>
      <c r="K273" s="15"/>
      <c r="L273" s="15"/>
      <c r="M273" s="15"/>
      <c r="N273" s="15" t="s">
        <v>50</v>
      </c>
      <c r="O273" s="15" t="s">
        <v>51</v>
      </c>
    </row>
    <row r="274" spans="1:15">
      <c r="A274" s="14" t="s">
        <v>9</v>
      </c>
      <c r="B274" s="14" t="s">
        <v>555</v>
      </c>
      <c r="C274" s="14" t="s">
        <v>556</v>
      </c>
      <c r="D274" s="14" t="s">
        <v>879</v>
      </c>
      <c r="E274" s="14">
        <v>172</v>
      </c>
      <c r="F274" s="14" t="s">
        <v>409</v>
      </c>
      <c r="G274" s="14" t="s">
        <v>410</v>
      </c>
      <c r="H274" s="14"/>
      <c r="I274" s="14" t="s">
        <v>322</v>
      </c>
      <c r="J274" s="11" t="str">
        <f>HYPERLINK("https://www.codechef.com/problems/JQJTY01", "https://www.codechef.com/problems/JQJTY01")</f>
        <v>https://www.codechef.com/problems/JQJTY01</v>
      </c>
      <c r="K274" s="14"/>
      <c r="L274" s="14"/>
      <c r="M274" s="14"/>
      <c r="N274" s="14" t="s">
        <v>50</v>
      </c>
      <c r="O274" s="14" t="s">
        <v>51</v>
      </c>
    </row>
    <row r="275" spans="1:15">
      <c r="A275" s="15" t="s">
        <v>9</v>
      </c>
      <c r="B275" s="15" t="s">
        <v>555</v>
      </c>
      <c r="C275" s="15" t="s">
        <v>556</v>
      </c>
      <c r="D275" s="15" t="s">
        <v>879</v>
      </c>
      <c r="E275" s="15">
        <v>173</v>
      </c>
      <c r="F275" s="15" t="s">
        <v>880</v>
      </c>
      <c r="G275" s="15" t="s">
        <v>881</v>
      </c>
      <c r="H275" s="15"/>
      <c r="I275" s="15" t="s">
        <v>96</v>
      </c>
      <c r="J275" s="7" t="str">
        <f>HYPERLINK("https://www.codechef.com/problems/ZCIBE01", "https://www.codechef.com/problems/ZCIBE01")</f>
        <v>https://www.codechef.com/problems/ZCIBE01</v>
      </c>
      <c r="K275" s="15"/>
      <c r="L275" s="15"/>
      <c r="M275" s="15"/>
      <c r="N275" s="15" t="s">
        <v>50</v>
      </c>
      <c r="O275" s="15" t="s">
        <v>51</v>
      </c>
    </row>
    <row r="276" spans="1:15">
      <c r="A276" s="14" t="s">
        <v>9</v>
      </c>
      <c r="B276" s="14" t="s">
        <v>555</v>
      </c>
      <c r="C276" s="14" t="s">
        <v>556</v>
      </c>
      <c r="D276" s="14" t="s">
        <v>879</v>
      </c>
      <c r="E276" s="14">
        <v>174</v>
      </c>
      <c r="F276" s="14" t="s">
        <v>882</v>
      </c>
      <c r="G276" s="14" t="s">
        <v>883</v>
      </c>
      <c r="H276" s="14"/>
      <c r="I276" s="14" t="s">
        <v>322</v>
      </c>
      <c r="J276" s="11" t="str">
        <f>HYPERLINK("https://www.codechef.com/problems/TWOUNIQUE", "https://www.codechef.com/problems/TWOUNIQUE")</f>
        <v>https://www.codechef.com/problems/TWOUNIQUE</v>
      </c>
      <c r="K276" s="14"/>
      <c r="L276" s="14"/>
      <c r="M276" s="14"/>
      <c r="N276" s="14" t="s">
        <v>50</v>
      </c>
      <c r="O276" s="14" t="s">
        <v>51</v>
      </c>
    </row>
    <row r="277" spans="1:15">
      <c r="A277" s="15" t="s">
        <v>9</v>
      </c>
      <c r="B277" s="15" t="s">
        <v>555</v>
      </c>
      <c r="C277" s="15" t="s">
        <v>556</v>
      </c>
      <c r="D277" s="15" t="s">
        <v>884</v>
      </c>
      <c r="E277" s="15">
        <v>175</v>
      </c>
      <c r="F277" s="15" t="s">
        <v>885</v>
      </c>
      <c r="G277" s="15" t="s">
        <v>886</v>
      </c>
      <c r="H277" s="15"/>
      <c r="I277" s="15" t="s">
        <v>96</v>
      </c>
      <c r="J277" s="7" t="str">
        <f>HYPERLINK("https://www.codechef.com/problems/INSERTPOS", "https://www.codechef.com/problems/INSERTPOS")</f>
        <v>https://www.codechef.com/problems/INSERTPOS</v>
      </c>
      <c r="K277" s="15"/>
      <c r="L277" s="15"/>
      <c r="M277" s="15"/>
      <c r="N277" s="15" t="s">
        <v>50</v>
      </c>
      <c r="O277" s="15" t="s">
        <v>51</v>
      </c>
    </row>
    <row r="278" spans="1:15">
      <c r="A278" s="14" t="s">
        <v>9</v>
      </c>
      <c r="B278" s="14" t="s">
        <v>555</v>
      </c>
      <c r="C278" s="14" t="s">
        <v>556</v>
      </c>
      <c r="D278" s="14" t="s">
        <v>884</v>
      </c>
      <c r="E278" s="14">
        <v>176</v>
      </c>
      <c r="F278" s="14" t="s">
        <v>887</v>
      </c>
      <c r="G278" s="14" t="s">
        <v>888</v>
      </c>
      <c r="H278" s="14"/>
      <c r="I278" s="14" t="s">
        <v>322</v>
      </c>
      <c r="J278" s="11" t="str">
        <f>HYPERLINK("https://www.codechef.com/problems/MINEATING", "https://www.codechef.com/problems/MINEATING")</f>
        <v>https://www.codechef.com/problems/MINEATING</v>
      </c>
      <c r="K278" s="14"/>
      <c r="L278" s="14"/>
      <c r="M278" s="14"/>
      <c r="N278" s="14" t="s">
        <v>50</v>
      </c>
      <c r="O278" s="14" t="s">
        <v>51</v>
      </c>
    </row>
    <row r="279" spans="1:15">
      <c r="A279" s="15" t="s">
        <v>9</v>
      </c>
      <c r="B279" s="15" t="s">
        <v>555</v>
      </c>
      <c r="C279" s="15" t="s">
        <v>556</v>
      </c>
      <c r="D279" s="15" t="s">
        <v>884</v>
      </c>
      <c r="E279" s="15">
        <v>177</v>
      </c>
      <c r="F279" s="15" t="s">
        <v>889</v>
      </c>
      <c r="G279" s="15" t="s">
        <v>890</v>
      </c>
      <c r="H279" s="15"/>
      <c r="I279" s="15" t="s">
        <v>322</v>
      </c>
      <c r="J279" s="7" t="str">
        <f>HYPERLINK("https://www.codechef.com/problems/BOTTOMBINARY", "https://www.codechef.com/problems/BOTTOMBINARY")</f>
        <v>https://www.codechef.com/problems/BOTTOMBINARY</v>
      </c>
      <c r="K279" s="15"/>
      <c r="L279" s="15"/>
      <c r="M279" s="15"/>
      <c r="N279" s="15" t="s">
        <v>50</v>
      </c>
      <c r="O279" s="15" t="s">
        <v>51</v>
      </c>
    </row>
    <row r="280" spans="1:15">
      <c r="A280" s="14" t="s">
        <v>9</v>
      </c>
      <c r="B280" s="14" t="s">
        <v>555</v>
      </c>
      <c r="C280" s="14" t="s">
        <v>556</v>
      </c>
      <c r="D280" s="14" t="s">
        <v>884</v>
      </c>
      <c r="E280" s="14">
        <v>178</v>
      </c>
      <c r="F280" s="14" t="s">
        <v>891</v>
      </c>
      <c r="G280" s="14" t="s">
        <v>892</v>
      </c>
      <c r="H280" s="14"/>
      <c r="I280" s="14" t="s">
        <v>96</v>
      </c>
      <c r="J280" s="11" t="str">
        <f>HYPERLINK("https://www.codechef.com/problems/SYMMETRICTRE", "https://www.codechef.com/problems/SYMMETRICTRE")</f>
        <v>https://www.codechef.com/problems/SYMMETRICTRE</v>
      </c>
      <c r="K280" s="14"/>
      <c r="L280" s="14"/>
      <c r="M280" s="14"/>
      <c r="N280" s="14" t="s">
        <v>50</v>
      </c>
      <c r="O280" s="14" t="s">
        <v>51</v>
      </c>
    </row>
    <row r="281" spans="1:15">
      <c r="A281" s="15" t="s">
        <v>9</v>
      </c>
      <c r="B281" s="15" t="s">
        <v>555</v>
      </c>
      <c r="C281" s="15" t="s">
        <v>556</v>
      </c>
      <c r="D281" s="15" t="s">
        <v>884</v>
      </c>
      <c r="E281" s="15">
        <v>179</v>
      </c>
      <c r="F281" s="15" t="s">
        <v>893</v>
      </c>
      <c r="G281" s="15" t="s">
        <v>894</v>
      </c>
      <c r="H281" s="15"/>
      <c r="I281" s="15" t="s">
        <v>322</v>
      </c>
      <c r="J281" s="7" t="str">
        <f>HYPERLINK("https://www.codechef.com/problems/BURNBT", "https://www.codechef.com/problems/BURNBT")</f>
        <v>https://www.codechef.com/problems/BURNBT</v>
      </c>
      <c r="K281" s="15"/>
      <c r="L281" s="15"/>
      <c r="M281" s="15"/>
      <c r="N281" s="15" t="s">
        <v>50</v>
      </c>
      <c r="O281" s="15" t="s">
        <v>51</v>
      </c>
    </row>
    <row r="282" spans="1:15">
      <c r="A282" s="14" t="s">
        <v>9</v>
      </c>
      <c r="B282" s="14" t="s">
        <v>555</v>
      </c>
      <c r="C282" s="14" t="s">
        <v>556</v>
      </c>
      <c r="D282" s="14" t="s">
        <v>884</v>
      </c>
      <c r="E282" s="14">
        <v>180</v>
      </c>
      <c r="F282" s="14" t="s">
        <v>895</v>
      </c>
      <c r="G282" s="14" t="s">
        <v>896</v>
      </c>
      <c r="H282" s="14"/>
      <c r="I282" s="14" t="s">
        <v>96</v>
      </c>
      <c r="J282" s="11" t="str">
        <f>HYPERLINK("https://www.codechef.com/problems/ITERATIVEPRE", "https://www.codechef.com/problems/ITERATIVEPRE")</f>
        <v>https://www.codechef.com/problems/ITERATIVEPRE</v>
      </c>
      <c r="K282" s="14"/>
      <c r="L282" s="14"/>
      <c r="M282" s="14"/>
      <c r="N282" s="14" t="s">
        <v>50</v>
      </c>
      <c r="O282" s="14" t="s">
        <v>51</v>
      </c>
    </row>
    <row r="283" spans="1:15">
      <c r="A283" s="15" t="s">
        <v>9</v>
      </c>
      <c r="B283" s="15" t="s">
        <v>555</v>
      </c>
      <c r="C283" s="15" t="s">
        <v>556</v>
      </c>
      <c r="D283" s="15" t="s">
        <v>897</v>
      </c>
      <c r="E283" s="15">
        <v>181</v>
      </c>
      <c r="F283" s="15" t="s">
        <v>898</v>
      </c>
      <c r="G283" s="15" t="s">
        <v>899</v>
      </c>
      <c r="H283" s="15"/>
      <c r="I283" s="15" t="s">
        <v>322</v>
      </c>
      <c r="J283" s="7" t="str">
        <f>HYPERLINK("https://www.codechef.com/problems/MAXPATHSUM", "https://www.codechef.com/problems/MAXPATHSUM")</f>
        <v>https://www.codechef.com/problems/MAXPATHSUM</v>
      </c>
      <c r="K283" s="15"/>
      <c r="L283" s="15"/>
      <c r="M283" s="15"/>
      <c r="N283" s="15" t="s">
        <v>50</v>
      </c>
      <c r="O283" s="15" t="s">
        <v>51</v>
      </c>
    </row>
    <row r="284" spans="1:15">
      <c r="A284" s="14" t="s">
        <v>9</v>
      </c>
      <c r="B284" s="14" t="s">
        <v>555</v>
      </c>
      <c r="C284" s="14" t="s">
        <v>556</v>
      </c>
      <c r="D284" s="14" t="s">
        <v>897</v>
      </c>
      <c r="E284" s="14">
        <v>182</v>
      </c>
      <c r="F284" s="14" t="s">
        <v>900</v>
      </c>
      <c r="G284" s="14" t="s">
        <v>901</v>
      </c>
      <c r="H284" s="14"/>
      <c r="I284" s="14" t="s">
        <v>322</v>
      </c>
      <c r="J284" s="11" t="str">
        <f>HYPERLINK("https://www.codechef.com/problems/XGWUY01", "https://www.codechef.com/problems/XGWUY01")</f>
        <v>https://www.codechef.com/problems/XGWUY01</v>
      </c>
      <c r="K284" s="14"/>
      <c r="L284" s="14"/>
      <c r="M284" s="14"/>
      <c r="N284" s="14" t="s">
        <v>50</v>
      </c>
      <c r="O284" s="14" t="s">
        <v>51</v>
      </c>
    </row>
    <row r="285" spans="1:15">
      <c r="A285" s="15" t="s">
        <v>9</v>
      </c>
      <c r="B285" s="15" t="s">
        <v>555</v>
      </c>
      <c r="C285" s="15" t="s">
        <v>556</v>
      </c>
      <c r="D285" s="15" t="s">
        <v>897</v>
      </c>
      <c r="E285" s="15">
        <v>183</v>
      </c>
      <c r="F285" s="15" t="s">
        <v>902</v>
      </c>
      <c r="G285" s="15" t="s">
        <v>903</v>
      </c>
      <c r="H285" s="15"/>
      <c r="I285" s="15" t="s">
        <v>322</v>
      </c>
      <c r="J285" s="7" t="str">
        <f>HYPERLINK("https://www.codechef.com/problems/VERTICALTRAV", "https://www.codechef.com/problems/VERTICALTRAV")</f>
        <v>https://www.codechef.com/problems/VERTICALTRAV</v>
      </c>
      <c r="K285" s="15"/>
      <c r="L285" s="15"/>
      <c r="M285" s="15"/>
      <c r="N285" s="15" t="s">
        <v>50</v>
      </c>
      <c r="O285" s="15" t="s">
        <v>51</v>
      </c>
    </row>
    <row r="286" spans="1:15">
      <c r="A286" s="14" t="s">
        <v>9</v>
      </c>
      <c r="B286" s="14" t="s">
        <v>555</v>
      </c>
      <c r="C286" s="14" t="s">
        <v>556</v>
      </c>
      <c r="D286" s="14" t="s">
        <v>897</v>
      </c>
      <c r="E286" s="14">
        <v>184</v>
      </c>
      <c r="F286" s="14" t="s">
        <v>904</v>
      </c>
      <c r="G286" s="14" t="s">
        <v>905</v>
      </c>
      <c r="H286" s="14"/>
      <c r="I286" s="14" t="s">
        <v>96</v>
      </c>
      <c r="J286" s="11" t="str">
        <f>HYPERLINK("https://www.codechef.com/problems/TXBCN01", "https://www.codechef.com/problems/TXBCN01")</f>
        <v>https://www.codechef.com/problems/TXBCN01</v>
      </c>
      <c r="K286" s="14"/>
      <c r="L286" s="14"/>
      <c r="M286" s="14"/>
      <c r="N286" s="14" t="s">
        <v>50</v>
      </c>
      <c r="O286" s="14" t="s">
        <v>51</v>
      </c>
    </row>
    <row r="287" spans="1:15">
      <c r="A287" s="15" t="s">
        <v>9</v>
      </c>
      <c r="B287" s="15" t="s">
        <v>555</v>
      </c>
      <c r="C287" s="15" t="s">
        <v>556</v>
      </c>
      <c r="D287" s="15" t="s">
        <v>897</v>
      </c>
      <c r="E287" s="15">
        <v>185</v>
      </c>
      <c r="F287" s="15" t="s">
        <v>906</v>
      </c>
      <c r="G287" s="15" t="s">
        <v>907</v>
      </c>
      <c r="H287" s="15"/>
      <c r="I287" s="15" t="s">
        <v>322</v>
      </c>
      <c r="J287" s="7" t="str">
        <f>HYPERLINK("https://www.codechef.com/problems/DEQCN01", "https://www.codechef.com/problems/DEQCN01")</f>
        <v>https://www.codechef.com/problems/DEQCN01</v>
      </c>
      <c r="K287" s="15"/>
      <c r="L287" s="15"/>
      <c r="M287" s="15"/>
      <c r="N287" s="15" t="s">
        <v>50</v>
      </c>
      <c r="O287" s="15" t="s">
        <v>51</v>
      </c>
    </row>
    <row r="288" spans="1:15">
      <c r="A288" s="14" t="s">
        <v>9</v>
      </c>
      <c r="B288" s="14" t="s">
        <v>555</v>
      </c>
      <c r="C288" s="14" t="s">
        <v>556</v>
      </c>
      <c r="D288" s="14" t="s">
        <v>897</v>
      </c>
      <c r="E288" s="14">
        <v>186</v>
      </c>
      <c r="F288" s="14" t="s">
        <v>908</v>
      </c>
      <c r="G288" s="14" t="s">
        <v>909</v>
      </c>
      <c r="H288" s="14"/>
      <c r="I288" s="14" t="s">
        <v>96</v>
      </c>
      <c r="J288" s="11" t="str">
        <f>HYPERLINK("https://www.codechef.com/problems/EIHKO01", "https://www.codechef.com/problems/EIHKO01")</f>
        <v>https://www.codechef.com/problems/EIHKO01</v>
      </c>
      <c r="K288" s="14"/>
      <c r="L288" s="14"/>
      <c r="M288" s="14"/>
      <c r="N288" s="14" t="s">
        <v>50</v>
      </c>
      <c r="O288" s="14" t="s">
        <v>51</v>
      </c>
    </row>
    <row r="289" spans="1:15">
      <c r="A289" s="15" t="s">
        <v>9</v>
      </c>
      <c r="B289" s="15" t="s">
        <v>555</v>
      </c>
      <c r="C289" s="15" t="s">
        <v>556</v>
      </c>
      <c r="D289" s="15" t="s">
        <v>910</v>
      </c>
      <c r="E289" s="15">
        <v>187</v>
      </c>
      <c r="F289" s="15" t="s">
        <v>911</v>
      </c>
      <c r="G289" s="15" t="s">
        <v>912</v>
      </c>
      <c r="H289" s="15"/>
      <c r="I289" s="15" t="s">
        <v>96</v>
      </c>
      <c r="J289" s="7" t="str">
        <f>HYPERLINK("https://www.codechef.com/problems/PREINPOST", "https://www.codechef.com/problems/PREINPOST")</f>
        <v>https://www.codechef.com/problems/PREINPOST</v>
      </c>
      <c r="K289" s="15"/>
      <c r="L289" s="15"/>
      <c r="M289" s="15"/>
      <c r="N289" s="15" t="s">
        <v>50</v>
      </c>
      <c r="O289" s="15" t="s">
        <v>51</v>
      </c>
    </row>
    <row r="290" spans="1:15">
      <c r="A290" s="14" t="s">
        <v>9</v>
      </c>
      <c r="B290" s="14" t="s">
        <v>555</v>
      </c>
      <c r="C290" s="14" t="s">
        <v>556</v>
      </c>
      <c r="D290" s="14" t="s">
        <v>910</v>
      </c>
      <c r="E290" s="14">
        <v>188</v>
      </c>
      <c r="F290" s="14" t="s">
        <v>913</v>
      </c>
      <c r="G290" s="14" t="s">
        <v>914</v>
      </c>
      <c r="H290" s="14"/>
      <c r="I290" s="14" t="s">
        <v>49</v>
      </c>
      <c r="J290" s="11" t="str">
        <f>HYPERLINK("https://www.codechef.com/problems/NASTA01", "https://www.codechef.com/problems/NASTA01")</f>
        <v>https://www.codechef.com/problems/NASTA01</v>
      </c>
      <c r="K290" s="14"/>
      <c r="L290" s="14"/>
      <c r="M290" s="14"/>
      <c r="N290" s="14" t="s">
        <v>50</v>
      </c>
      <c r="O290" s="14" t="s">
        <v>51</v>
      </c>
    </row>
    <row r="291" spans="1:15">
      <c r="A291" s="15" t="s">
        <v>9</v>
      </c>
      <c r="B291" s="15" t="s">
        <v>555</v>
      </c>
      <c r="C291" s="15" t="s">
        <v>556</v>
      </c>
      <c r="D291" s="15" t="s">
        <v>910</v>
      </c>
      <c r="E291" s="15">
        <v>189</v>
      </c>
      <c r="F291" s="15" t="s">
        <v>915</v>
      </c>
      <c r="G291" s="15" t="s">
        <v>916</v>
      </c>
      <c r="H291" s="15"/>
      <c r="I291" s="15" t="s">
        <v>96</v>
      </c>
      <c r="J291" s="7" t="str">
        <f>HYPERLINK("https://www.codechef.com/problems/INSERTBST", "https://www.codechef.com/problems/INSERTBST")</f>
        <v>https://www.codechef.com/problems/INSERTBST</v>
      </c>
      <c r="K291" s="15"/>
      <c r="L291" s="15"/>
      <c r="M291" s="15"/>
      <c r="N291" s="15" t="s">
        <v>50</v>
      </c>
      <c r="O291" s="15" t="s">
        <v>51</v>
      </c>
    </row>
    <row r="292" spans="1:15">
      <c r="A292" s="14" t="s">
        <v>9</v>
      </c>
      <c r="B292" s="14" t="s">
        <v>555</v>
      </c>
      <c r="C292" s="14" t="s">
        <v>556</v>
      </c>
      <c r="D292" s="14" t="s">
        <v>910</v>
      </c>
      <c r="E292" s="14">
        <v>190</v>
      </c>
      <c r="F292" s="14" t="s">
        <v>917</v>
      </c>
      <c r="G292" s="14" t="s">
        <v>918</v>
      </c>
      <c r="H292" s="14"/>
      <c r="I292" s="14" t="s">
        <v>322</v>
      </c>
      <c r="J292" s="11" t="str">
        <f>HYPERLINK("https://www.codechef.com/problems/MPYSW01", "https://www.codechef.com/problems/MPYSW01")</f>
        <v>https://www.codechef.com/problems/MPYSW01</v>
      </c>
      <c r="K292" s="14"/>
      <c r="L292" s="14"/>
      <c r="M292" s="14"/>
      <c r="N292" s="14" t="s">
        <v>50</v>
      </c>
      <c r="O292" s="14" t="s">
        <v>51</v>
      </c>
    </row>
    <row r="293" spans="1:15">
      <c r="A293" s="15" t="s">
        <v>9</v>
      </c>
      <c r="B293" s="15" t="s">
        <v>555</v>
      </c>
      <c r="C293" s="15" t="s">
        <v>556</v>
      </c>
      <c r="D293" s="15" t="s">
        <v>910</v>
      </c>
      <c r="E293" s="15">
        <v>191</v>
      </c>
      <c r="F293" s="15" t="s">
        <v>919</v>
      </c>
      <c r="G293" s="15" t="s">
        <v>920</v>
      </c>
      <c r="H293" s="15"/>
      <c r="I293" s="15" t="s">
        <v>96</v>
      </c>
      <c r="J293" s="7" t="str">
        <f>HYPERLINK("https://www.codechef.com/problems/IUAIS01", "https://www.codechef.com/problems/IUAIS01")</f>
        <v>https://www.codechef.com/problems/IUAIS01</v>
      </c>
      <c r="K293" s="15"/>
      <c r="L293" s="15"/>
      <c r="M293" s="15"/>
      <c r="N293" s="15" t="s">
        <v>50</v>
      </c>
      <c r="O293" s="15" t="s">
        <v>51</v>
      </c>
    </row>
    <row r="294" spans="1:15">
      <c r="A294" s="14" t="s">
        <v>9</v>
      </c>
      <c r="B294" s="14" t="s">
        <v>555</v>
      </c>
      <c r="C294" s="14" t="s">
        <v>556</v>
      </c>
      <c r="D294" s="14" t="s">
        <v>910</v>
      </c>
      <c r="E294" s="14">
        <v>192</v>
      </c>
      <c r="F294" s="14" t="s">
        <v>921</v>
      </c>
      <c r="G294" s="14" t="s">
        <v>922</v>
      </c>
      <c r="H294" s="14"/>
      <c r="I294" s="14" t="s">
        <v>322</v>
      </c>
      <c r="J294" s="11" t="str">
        <f>HYPERLINK("https://www.codechef.com/problems/NZRYT01", "https://www.codechef.com/problems/NZRYT01")</f>
        <v>https://www.codechef.com/problems/NZRYT01</v>
      </c>
      <c r="K294" s="14"/>
      <c r="L294" s="14"/>
      <c r="M294" s="14"/>
      <c r="N294" s="14" t="s">
        <v>50</v>
      </c>
      <c r="O294" s="14" t="s">
        <v>51</v>
      </c>
    </row>
    <row r="295" spans="1:15">
      <c r="A295" s="15" t="s">
        <v>9</v>
      </c>
      <c r="B295" s="15" t="s">
        <v>555</v>
      </c>
      <c r="C295" s="15" t="s">
        <v>556</v>
      </c>
      <c r="D295" s="15" t="s">
        <v>923</v>
      </c>
      <c r="E295" s="15">
        <v>193</v>
      </c>
      <c r="F295" s="15" t="s">
        <v>924</v>
      </c>
      <c r="G295" s="15" t="s">
        <v>925</v>
      </c>
      <c r="H295" s="15" t="s">
        <v>625</v>
      </c>
      <c r="I295" s="15" t="s">
        <v>96</v>
      </c>
      <c r="J295" s="7" t="str">
        <f>HYPERLINK("https://www.codechef.com/problems/HASHP03", "https://www.codechef.com/problems/HASHP03")</f>
        <v>https://www.codechef.com/problems/HASHP03</v>
      </c>
      <c r="K295" s="15"/>
      <c r="L295" s="15"/>
      <c r="M295" s="15"/>
      <c r="N295" s="15" t="s">
        <v>50</v>
      </c>
      <c r="O295" s="15" t="s">
        <v>51</v>
      </c>
    </row>
    <row r="296" spans="1:15">
      <c r="A296" s="14" t="s">
        <v>9</v>
      </c>
      <c r="B296" s="14" t="s">
        <v>555</v>
      </c>
      <c r="C296" s="14" t="s">
        <v>556</v>
      </c>
      <c r="D296" s="14" t="s">
        <v>923</v>
      </c>
      <c r="E296" s="14">
        <v>194</v>
      </c>
      <c r="F296" s="14" t="s">
        <v>926</v>
      </c>
      <c r="G296" s="14" t="s">
        <v>927</v>
      </c>
      <c r="H296" s="14" t="s">
        <v>928</v>
      </c>
      <c r="I296" s="14" t="s">
        <v>96</v>
      </c>
      <c r="J296" s="11" t="str">
        <f>HYPERLINK("https://www.codechef.com/problems/MAXSUBARR", "https://www.codechef.com/problems/MAXSUBARR")</f>
        <v>https://www.codechef.com/problems/MAXSUBARR</v>
      </c>
      <c r="K296" s="14"/>
      <c r="L296" s="14" t="s">
        <v>929</v>
      </c>
      <c r="M296" s="14"/>
      <c r="N296" s="14" t="s">
        <v>50</v>
      </c>
      <c r="O296" s="14" t="s">
        <v>51</v>
      </c>
    </row>
    <row r="297" spans="1:15">
      <c r="A297" s="15" t="s">
        <v>9</v>
      </c>
      <c r="B297" s="15" t="s">
        <v>555</v>
      </c>
      <c r="C297" s="15" t="s">
        <v>556</v>
      </c>
      <c r="D297" s="15" t="s">
        <v>923</v>
      </c>
      <c r="E297" s="15">
        <v>195</v>
      </c>
      <c r="F297" s="15" t="s">
        <v>930</v>
      </c>
      <c r="G297" s="15" t="s">
        <v>931</v>
      </c>
      <c r="H297" s="15"/>
      <c r="I297" s="15" t="s">
        <v>322</v>
      </c>
      <c r="J297" s="7" t="str">
        <f>HYPERLINK("https://www.codechef.com/problems/NEXTPERM", "https://www.codechef.com/problems/NEXTPERM")</f>
        <v>https://www.codechef.com/problems/NEXTPERM</v>
      </c>
      <c r="K297" s="15"/>
      <c r="L297" s="15"/>
      <c r="M297" s="15"/>
      <c r="N297" s="15" t="s">
        <v>50</v>
      </c>
      <c r="O297" s="15" t="s">
        <v>51</v>
      </c>
    </row>
    <row r="298" spans="1:15">
      <c r="A298" s="14" t="s">
        <v>9</v>
      </c>
      <c r="B298" s="14" t="s">
        <v>555</v>
      </c>
      <c r="C298" s="14" t="s">
        <v>556</v>
      </c>
      <c r="D298" s="14" t="s">
        <v>923</v>
      </c>
      <c r="E298" s="14">
        <v>196</v>
      </c>
      <c r="F298" s="14" t="s">
        <v>932</v>
      </c>
      <c r="G298" s="14" t="s">
        <v>933</v>
      </c>
      <c r="H298" s="14"/>
      <c r="I298" s="14" t="s">
        <v>96</v>
      </c>
      <c r="J298" s="11" t="str">
        <f>HYPERLINK("https://www.codechef.com/problems/PREP39", "https://www.codechef.com/problems/PREP39")</f>
        <v>https://www.codechef.com/problems/PREP39</v>
      </c>
      <c r="K298" s="14"/>
      <c r="L298" s="14"/>
      <c r="M298" s="14"/>
      <c r="N298" s="14" t="s">
        <v>50</v>
      </c>
      <c r="O298" s="14" t="s">
        <v>51</v>
      </c>
    </row>
    <row r="299" spans="1:15">
      <c r="A299" s="15" t="s">
        <v>9</v>
      </c>
      <c r="B299" s="15" t="s">
        <v>555</v>
      </c>
      <c r="C299" s="15" t="s">
        <v>556</v>
      </c>
      <c r="D299" s="15" t="s">
        <v>923</v>
      </c>
      <c r="E299" s="15">
        <v>197</v>
      </c>
      <c r="F299" s="15" t="s">
        <v>934</v>
      </c>
      <c r="G299" s="15" t="s">
        <v>935</v>
      </c>
      <c r="H299" s="15"/>
      <c r="I299" s="15" t="s">
        <v>96</v>
      </c>
      <c r="J299" s="7" t="str">
        <f>HYPERLINK("https://www.codechef.com/problems/VISA02", "https://www.codechef.com/problems/VISA02")</f>
        <v>https://www.codechef.com/problems/VISA02</v>
      </c>
      <c r="K299" s="15"/>
      <c r="L299" s="15"/>
      <c r="M299" s="15"/>
      <c r="N299" s="15" t="s">
        <v>50</v>
      </c>
      <c r="O299" s="15" t="s">
        <v>51</v>
      </c>
    </row>
    <row r="300" spans="1:15">
      <c r="A300" s="14" t="s">
        <v>9</v>
      </c>
      <c r="B300" s="14" t="s">
        <v>555</v>
      </c>
      <c r="C300" s="14" t="s">
        <v>556</v>
      </c>
      <c r="D300" s="14" t="s">
        <v>923</v>
      </c>
      <c r="E300" s="14">
        <v>198</v>
      </c>
      <c r="F300" s="14" t="s">
        <v>936</v>
      </c>
      <c r="G300" s="14" t="s">
        <v>937</v>
      </c>
      <c r="H300" s="14"/>
      <c r="I300" s="14" t="s">
        <v>96</v>
      </c>
      <c r="J300" s="11" t="str">
        <f>HYPERLINK("https://www.codechef.com/problems/PREP31", "https://www.codechef.com/problems/PREP31")</f>
        <v>https://www.codechef.com/problems/PREP31</v>
      </c>
      <c r="K300" s="14"/>
      <c r="L300" s="14"/>
      <c r="M300" s="14"/>
      <c r="N300" s="14" t="s">
        <v>50</v>
      </c>
      <c r="O300" s="14" t="s">
        <v>51</v>
      </c>
    </row>
    <row r="301" spans="1:15">
      <c r="A301" s="15" t="s">
        <v>9</v>
      </c>
      <c r="B301" s="15" t="s">
        <v>555</v>
      </c>
      <c r="C301" s="15" t="s">
        <v>556</v>
      </c>
      <c r="D301" s="15" t="s">
        <v>938</v>
      </c>
      <c r="E301" s="15">
        <v>199</v>
      </c>
      <c r="F301" s="15" t="s">
        <v>939</v>
      </c>
      <c r="G301" s="15" t="s">
        <v>940</v>
      </c>
      <c r="H301" s="15"/>
      <c r="I301" s="15" t="s">
        <v>49</v>
      </c>
      <c r="J301" s="7" t="str">
        <f>HYPERLINK("https://www.codechef.com/problems/RATINGPEPS", "https://www.codechef.com/problems/RATINGPEPS")</f>
        <v>https://www.codechef.com/problems/RATINGPEPS</v>
      </c>
      <c r="K301" s="15"/>
      <c r="L301" s="15"/>
      <c r="M301" s="15"/>
      <c r="N301" s="15" t="s">
        <v>50</v>
      </c>
      <c r="O301" s="15" t="s">
        <v>51</v>
      </c>
    </row>
    <row r="302" spans="1:15">
      <c r="A302" s="14" t="s">
        <v>9</v>
      </c>
      <c r="B302" s="14" t="s">
        <v>555</v>
      </c>
      <c r="C302" s="14" t="s">
        <v>556</v>
      </c>
      <c r="D302" s="14" t="s">
        <v>938</v>
      </c>
      <c r="E302" s="14">
        <v>200</v>
      </c>
      <c r="F302" s="14" t="s">
        <v>654</v>
      </c>
      <c r="G302" s="14" t="s">
        <v>655</v>
      </c>
      <c r="H302" s="14"/>
      <c r="I302" s="14" t="s">
        <v>49</v>
      </c>
      <c r="J302" s="11" t="str">
        <f>HYPERLINK("https://www.codechef.com/problems/RECUR07", "https://www.codechef.com/problems/RECUR07")</f>
        <v>https://www.codechef.com/problems/RECUR07</v>
      </c>
      <c r="K302" s="14"/>
      <c r="L302" s="14"/>
      <c r="M302" s="14"/>
      <c r="N302" s="14" t="s">
        <v>50</v>
      </c>
      <c r="O302" s="14" t="s">
        <v>51</v>
      </c>
    </row>
    <row r="303" spans="1:15">
      <c r="A303" s="15" t="s">
        <v>9</v>
      </c>
      <c r="B303" s="15" t="s">
        <v>555</v>
      </c>
      <c r="C303" s="15" t="s">
        <v>556</v>
      </c>
      <c r="D303" s="15" t="s">
        <v>938</v>
      </c>
      <c r="E303" s="15">
        <v>201</v>
      </c>
      <c r="F303" s="15" t="s">
        <v>941</v>
      </c>
      <c r="G303" s="15" t="s">
        <v>942</v>
      </c>
      <c r="H303" s="15"/>
      <c r="I303" s="15" t="s">
        <v>96</v>
      </c>
      <c r="J303" s="7" t="str">
        <f>HYPERLINK("https://www.codechef.com/problems/DSAAGP36", "https://www.codechef.com/problems/DSAAGP36")</f>
        <v>https://www.codechef.com/problems/DSAAGP36</v>
      </c>
      <c r="K303" s="15"/>
      <c r="L303" s="15"/>
      <c r="M303" s="15"/>
      <c r="N303" s="15" t="s">
        <v>50</v>
      </c>
      <c r="O303" s="15" t="s">
        <v>51</v>
      </c>
    </row>
    <row r="304" spans="1:15">
      <c r="A304" s="14" t="s">
        <v>9</v>
      </c>
      <c r="B304" s="14" t="s">
        <v>555</v>
      </c>
      <c r="C304" s="14" t="s">
        <v>556</v>
      </c>
      <c r="D304" s="14" t="s">
        <v>938</v>
      </c>
      <c r="E304" s="14">
        <v>202</v>
      </c>
      <c r="F304" s="14" t="s">
        <v>943</v>
      </c>
      <c r="G304" s="14" t="s">
        <v>944</v>
      </c>
      <c r="H304" s="14"/>
      <c r="I304" s="14" t="s">
        <v>96</v>
      </c>
      <c r="J304" s="11" t="str">
        <f>HYPERLINK("https://www.codechef.com/problems/PREP51", "https://www.codechef.com/problems/PREP51")</f>
        <v>https://www.codechef.com/problems/PREP51</v>
      </c>
      <c r="K304" s="14"/>
      <c r="L304" s="14" t="s">
        <v>476</v>
      </c>
      <c r="M304" s="14"/>
      <c r="N304" s="14" t="s">
        <v>50</v>
      </c>
      <c r="O304" s="14" t="s">
        <v>51</v>
      </c>
    </row>
    <row r="305" spans="1:15">
      <c r="A305" s="15" t="s">
        <v>9</v>
      </c>
      <c r="B305" s="15" t="s">
        <v>555</v>
      </c>
      <c r="C305" s="15" t="s">
        <v>556</v>
      </c>
      <c r="D305" s="15" t="s">
        <v>938</v>
      </c>
      <c r="E305" s="15">
        <v>203</v>
      </c>
      <c r="F305" s="15" t="s">
        <v>945</v>
      </c>
      <c r="G305" s="15" t="s">
        <v>946</v>
      </c>
      <c r="H305" s="15"/>
      <c r="I305" s="15" t="s">
        <v>322</v>
      </c>
      <c r="J305" s="7" t="str">
        <f>HYPERLINK("https://www.codechef.com/problems/RECUR31", "https://www.codechef.com/problems/RECUR31")</f>
        <v>https://www.codechef.com/problems/RECUR31</v>
      </c>
      <c r="K305" s="15"/>
      <c r="L305" s="15"/>
      <c r="M305" s="15"/>
      <c r="N305" s="15" t="s">
        <v>50</v>
      </c>
      <c r="O305" s="15" t="s">
        <v>51</v>
      </c>
    </row>
    <row r="306" spans="1:15">
      <c r="A306" s="14" t="s">
        <v>9</v>
      </c>
      <c r="B306" s="14" t="s">
        <v>555</v>
      </c>
      <c r="C306" s="14" t="s">
        <v>556</v>
      </c>
      <c r="D306" s="14" t="s">
        <v>938</v>
      </c>
      <c r="E306" s="14">
        <v>204</v>
      </c>
      <c r="F306" s="14" t="s">
        <v>947</v>
      </c>
      <c r="G306" s="14" t="s">
        <v>948</v>
      </c>
      <c r="H306" s="14" t="s">
        <v>949</v>
      </c>
      <c r="I306" s="14" t="s">
        <v>49</v>
      </c>
      <c r="J306" s="11" t="str">
        <f>HYPERLINK("https://www.codechef.com/problems/CANDYDIST", "https://www.codechef.com/problems/CANDYDIST")</f>
        <v>https://www.codechef.com/problems/CANDYDIST</v>
      </c>
      <c r="K306" s="14"/>
      <c r="L306" s="14" t="s">
        <v>187</v>
      </c>
      <c r="M306" s="14"/>
      <c r="N306" s="14" t="s">
        <v>50</v>
      </c>
      <c r="O306" s="14" t="s">
        <v>51</v>
      </c>
    </row>
    <row r="307" spans="1:15">
      <c r="A307" s="15" t="s">
        <v>9</v>
      </c>
      <c r="B307" s="15" t="s">
        <v>555</v>
      </c>
      <c r="C307" s="15" t="s">
        <v>556</v>
      </c>
      <c r="D307" s="15" t="s">
        <v>950</v>
      </c>
      <c r="E307" s="15">
        <v>205</v>
      </c>
      <c r="F307" s="15" t="s">
        <v>951</v>
      </c>
      <c r="G307" s="15" t="s">
        <v>952</v>
      </c>
      <c r="H307" s="15"/>
      <c r="I307" s="15" t="s">
        <v>49</v>
      </c>
      <c r="J307" s="7" t="str">
        <f>HYPERLINK("https://www.codechef.com/problems/CHESSTOUR", "https://www.codechef.com/problems/CHESSTOUR")</f>
        <v>https://www.codechef.com/problems/CHESSTOUR</v>
      </c>
      <c r="K307" s="15"/>
      <c r="L307" s="15"/>
      <c r="M307" s="15"/>
      <c r="N307" s="15" t="s">
        <v>50</v>
      </c>
      <c r="O307" s="15" t="s">
        <v>51</v>
      </c>
    </row>
    <row r="308" spans="1:15">
      <c r="A308" s="14" t="s">
        <v>9</v>
      </c>
      <c r="B308" s="14" t="s">
        <v>555</v>
      </c>
      <c r="C308" s="14" t="s">
        <v>556</v>
      </c>
      <c r="D308" s="14" t="s">
        <v>950</v>
      </c>
      <c r="E308" s="14">
        <v>206</v>
      </c>
      <c r="F308" s="14" t="s">
        <v>129</v>
      </c>
      <c r="G308" s="14" t="s">
        <v>130</v>
      </c>
      <c r="H308" s="14" t="s">
        <v>131</v>
      </c>
      <c r="I308" s="14" t="s">
        <v>49</v>
      </c>
      <c r="J308" s="11" t="str">
        <f>HYPERLINK("https://www.codechef.com/problems/RUNCOMPARE", "https://www.codechef.com/problems/RUNCOMPARE")</f>
        <v>https://www.codechef.com/problems/RUNCOMPARE</v>
      </c>
      <c r="K308" s="14"/>
      <c r="L308" s="14"/>
      <c r="M308" s="14"/>
      <c r="N308" s="14" t="s">
        <v>50</v>
      </c>
      <c r="O308" s="14" t="s">
        <v>51</v>
      </c>
    </row>
    <row r="309" spans="1:15">
      <c r="A309" s="15" t="s">
        <v>9</v>
      </c>
      <c r="B309" s="15" t="s">
        <v>555</v>
      </c>
      <c r="C309" s="15" t="s">
        <v>556</v>
      </c>
      <c r="D309" s="15" t="s">
        <v>950</v>
      </c>
      <c r="E309" s="15">
        <v>207</v>
      </c>
      <c r="F309" s="15" t="s">
        <v>953</v>
      </c>
      <c r="G309" s="15" t="s">
        <v>954</v>
      </c>
      <c r="H309" s="15"/>
      <c r="I309" s="15" t="s">
        <v>96</v>
      </c>
      <c r="J309" s="7" t="str">
        <f>HYPERLINK("https://www.codechef.com/problems/PREP27", "https://www.codechef.com/problems/PREP27")</f>
        <v>https://www.codechef.com/problems/PREP27</v>
      </c>
      <c r="K309" s="15"/>
      <c r="L309" s="15"/>
      <c r="M309" s="15"/>
      <c r="N309" s="15" t="s">
        <v>50</v>
      </c>
      <c r="O309" s="15" t="s">
        <v>51</v>
      </c>
    </row>
    <row r="310" spans="1:15">
      <c r="A310" s="14" t="s">
        <v>9</v>
      </c>
      <c r="B310" s="14" t="s">
        <v>555</v>
      </c>
      <c r="C310" s="14" t="s">
        <v>556</v>
      </c>
      <c r="D310" s="14" t="s">
        <v>950</v>
      </c>
      <c r="E310" s="14">
        <v>208</v>
      </c>
      <c r="F310" s="14" t="s">
        <v>955</v>
      </c>
      <c r="G310" s="14" t="s">
        <v>956</v>
      </c>
      <c r="H310" s="14" t="s">
        <v>565</v>
      </c>
      <c r="I310" s="14" t="s">
        <v>49</v>
      </c>
      <c r="J310" s="11" t="str">
        <f>HYPERLINK("https://www.codechef.com/problems/DSAAGP1098", "https://www.codechef.com/problems/DSAAGP1098")</f>
        <v>https://www.codechef.com/problems/DSAAGP1098</v>
      </c>
      <c r="K310" s="14"/>
      <c r="L310" s="14"/>
      <c r="M310" s="14"/>
      <c r="N310" s="14" t="s">
        <v>50</v>
      </c>
      <c r="O310" s="14" t="s">
        <v>51</v>
      </c>
    </row>
    <row r="311" spans="1:15">
      <c r="A311" s="15" t="s">
        <v>9</v>
      </c>
      <c r="B311" s="15" t="s">
        <v>555</v>
      </c>
      <c r="C311" s="15" t="s">
        <v>556</v>
      </c>
      <c r="D311" s="15" t="s">
        <v>950</v>
      </c>
      <c r="E311" s="15">
        <v>209</v>
      </c>
      <c r="F311" s="15" t="s">
        <v>957</v>
      </c>
      <c r="G311" s="15" t="s">
        <v>958</v>
      </c>
      <c r="H311" s="15"/>
      <c r="I311" s="15" t="s">
        <v>96</v>
      </c>
      <c r="J311" s="7" t="str">
        <f>HYPERLINK("https://www.codechef.com/problems/PREP35", "https://www.codechef.com/problems/PREP35")</f>
        <v>https://www.codechef.com/problems/PREP35</v>
      </c>
      <c r="K311" s="15"/>
      <c r="L311" s="15"/>
      <c r="M311" s="15"/>
      <c r="N311" s="15" t="s">
        <v>50</v>
      </c>
      <c r="O311" s="15" t="s">
        <v>51</v>
      </c>
    </row>
    <row r="312" spans="1:15">
      <c r="A312" s="14" t="s">
        <v>9</v>
      </c>
      <c r="B312" s="14" t="s">
        <v>555</v>
      </c>
      <c r="C312" s="14" t="s">
        <v>556</v>
      </c>
      <c r="D312" s="14" t="s">
        <v>950</v>
      </c>
      <c r="E312" s="14">
        <v>210</v>
      </c>
      <c r="F312" s="14" t="s">
        <v>959</v>
      </c>
      <c r="G312" s="14" t="s">
        <v>960</v>
      </c>
      <c r="H312" s="14"/>
      <c r="I312" s="14" t="s">
        <v>322</v>
      </c>
      <c r="J312" s="11" t="str">
        <f>HYPERLINK("https://www.codechef.com/problems/KXTUW01", "https://www.codechef.com/problems/KXTUW01")</f>
        <v>https://www.codechef.com/problems/KXTUW01</v>
      </c>
      <c r="K312" s="14"/>
      <c r="L312" s="14"/>
      <c r="M312" s="14"/>
      <c r="N312" s="14" t="s">
        <v>50</v>
      </c>
      <c r="O312" s="14" t="s">
        <v>51</v>
      </c>
    </row>
    <row r="313" spans="1:15">
      <c r="A313" s="15" t="s">
        <v>9</v>
      </c>
      <c r="B313" s="15" t="s">
        <v>961</v>
      </c>
      <c r="C313" s="15" t="s">
        <v>962</v>
      </c>
      <c r="D313" s="15" t="s">
        <v>963</v>
      </c>
      <c r="E313" s="15">
        <v>1</v>
      </c>
      <c r="F313" s="15" t="s">
        <v>964</v>
      </c>
      <c r="G313" s="15" t="s">
        <v>965</v>
      </c>
      <c r="H313" s="15" t="s">
        <v>180</v>
      </c>
      <c r="I313" s="15" t="s">
        <v>49</v>
      </c>
      <c r="J313" s="7" t="str">
        <f>HYPERLINK("https://www.codechef.com/problems/STRTONUM", "https://www.codechef.com/problems/STRTONUM")</f>
        <v>https://www.codechef.com/problems/STRTONUM</v>
      </c>
      <c r="K313" s="15"/>
      <c r="L313" s="15"/>
      <c r="M313" s="15"/>
      <c r="N313" s="15" t="s">
        <v>50</v>
      </c>
      <c r="O313" s="15" t="s">
        <v>51</v>
      </c>
    </row>
    <row r="314" spans="1:15">
      <c r="A314" s="14" t="s">
        <v>9</v>
      </c>
      <c r="B314" s="14" t="s">
        <v>961</v>
      </c>
      <c r="C314" s="14" t="s">
        <v>962</v>
      </c>
      <c r="D314" s="14" t="s">
        <v>963</v>
      </c>
      <c r="E314" s="14">
        <v>2</v>
      </c>
      <c r="F314" s="14" t="s">
        <v>769</v>
      </c>
      <c r="G314" s="14" t="s">
        <v>770</v>
      </c>
      <c r="H314" s="14"/>
      <c r="I314" s="14" t="s">
        <v>96</v>
      </c>
      <c r="J314" s="11" t="str">
        <f>HYPERLINK("https://www.codechef.com/problems/STRINGTOINT", "https://www.codechef.com/problems/STRINGTOINT")</f>
        <v>https://www.codechef.com/problems/STRINGTOINT</v>
      </c>
      <c r="K314" s="14"/>
      <c r="L314" s="14"/>
      <c r="M314" s="14"/>
      <c r="N314" s="14" t="s">
        <v>50</v>
      </c>
      <c r="O314" s="14" t="s">
        <v>51</v>
      </c>
    </row>
    <row r="315" spans="1:15">
      <c r="A315" s="15" t="s">
        <v>9</v>
      </c>
      <c r="B315" s="15" t="s">
        <v>961</v>
      </c>
      <c r="C315" s="15" t="s">
        <v>962</v>
      </c>
      <c r="D315" s="15" t="s">
        <v>963</v>
      </c>
      <c r="E315" s="15">
        <v>3</v>
      </c>
      <c r="F315" s="15" t="s">
        <v>966</v>
      </c>
      <c r="G315" s="15" t="s">
        <v>967</v>
      </c>
      <c r="H315" s="15" t="s">
        <v>968</v>
      </c>
      <c r="I315" s="15" t="s">
        <v>49</v>
      </c>
      <c r="J315" s="7" t="str">
        <f>HYPERLINK("https://www.codechef.com/problems/EPANLNK", "https://www.codechef.com/problems/EPANLNK")</f>
        <v>https://www.codechef.com/problems/EPANLNK</v>
      </c>
      <c r="K315" s="15"/>
      <c r="L315" s="15"/>
      <c r="M315" s="15"/>
      <c r="N315" s="15" t="s">
        <v>50</v>
      </c>
      <c r="O315" s="15" t="s">
        <v>51</v>
      </c>
    </row>
    <row r="316" spans="1:15">
      <c r="A316" s="14" t="s">
        <v>9</v>
      </c>
      <c r="B316" s="14" t="s">
        <v>961</v>
      </c>
      <c r="C316" s="14" t="s">
        <v>962</v>
      </c>
      <c r="D316" s="14" t="s">
        <v>963</v>
      </c>
      <c r="E316" s="14">
        <v>4</v>
      </c>
      <c r="F316" s="14" t="s">
        <v>969</v>
      </c>
      <c r="G316" s="14" t="s">
        <v>970</v>
      </c>
      <c r="H316" s="14" t="s">
        <v>104</v>
      </c>
      <c r="I316" s="14" t="s">
        <v>49</v>
      </c>
      <c r="J316" s="11" t="str">
        <f>HYPERLINK("https://www.codechef.com/problems/ADDONE", "https://www.codechef.com/problems/ADDONE")</f>
        <v>https://www.codechef.com/problems/ADDONE</v>
      </c>
      <c r="K316" s="14"/>
      <c r="L316" s="14"/>
      <c r="M316" s="14"/>
      <c r="N316" s="14" t="s">
        <v>50</v>
      </c>
      <c r="O316" s="14" t="s">
        <v>51</v>
      </c>
    </row>
    <row r="317" spans="1:15">
      <c r="A317" s="15" t="s">
        <v>9</v>
      </c>
      <c r="B317" s="15" t="s">
        <v>961</v>
      </c>
      <c r="C317" s="15" t="s">
        <v>962</v>
      </c>
      <c r="D317" s="15" t="s">
        <v>963</v>
      </c>
      <c r="E317" s="15">
        <v>5</v>
      </c>
      <c r="F317" s="15" t="s">
        <v>767</v>
      </c>
      <c r="G317" s="15" t="s">
        <v>768</v>
      </c>
      <c r="H317" s="15"/>
      <c r="I317" s="15" t="s">
        <v>96</v>
      </c>
      <c r="J317" s="7" t="str">
        <f>HYPERLINK("https://www.codechef.com/problems/CHEFROMAN", "https://www.codechef.com/problems/CHEFROMAN")</f>
        <v>https://www.codechef.com/problems/CHEFROMAN</v>
      </c>
      <c r="K317" s="15"/>
      <c r="L317" s="15"/>
      <c r="M317" s="15"/>
      <c r="N317" s="15" t="s">
        <v>50</v>
      </c>
      <c r="O317" s="15" t="s">
        <v>51</v>
      </c>
    </row>
    <row r="318" spans="1:15">
      <c r="A318" s="14" t="s">
        <v>9</v>
      </c>
      <c r="B318" s="14" t="s">
        <v>961</v>
      </c>
      <c r="C318" s="14" t="s">
        <v>962</v>
      </c>
      <c r="D318" s="14" t="s">
        <v>963</v>
      </c>
      <c r="E318" s="14">
        <v>6</v>
      </c>
      <c r="F318" s="14" t="s">
        <v>831</v>
      </c>
      <c r="G318" s="14" t="s">
        <v>832</v>
      </c>
      <c r="H318" s="14"/>
      <c r="I318" s="14" t="s">
        <v>96</v>
      </c>
      <c r="J318" s="11" t="str">
        <f>HYPERLINK("https://www.codechef.com/problems/REVERSEWORD", "https://www.codechef.com/problems/REVERSEWORD")</f>
        <v>https://www.codechef.com/problems/REVERSEWORD</v>
      </c>
      <c r="K318" s="14"/>
      <c r="L318" s="14"/>
      <c r="M318" s="14"/>
      <c r="N318" s="14" t="s">
        <v>50</v>
      </c>
      <c r="O318" s="14" t="s">
        <v>51</v>
      </c>
    </row>
    <row r="319" spans="1:15">
      <c r="A319" s="15" t="s">
        <v>9</v>
      </c>
      <c r="B319" s="15" t="s">
        <v>961</v>
      </c>
      <c r="C319" s="15" t="s">
        <v>962</v>
      </c>
      <c r="D319" s="15" t="s">
        <v>963</v>
      </c>
      <c r="E319" s="15">
        <v>7</v>
      </c>
      <c r="F319" s="15" t="s">
        <v>971</v>
      </c>
      <c r="G319" s="15" t="s">
        <v>972</v>
      </c>
      <c r="H319" s="15"/>
      <c r="I319" s="15" t="s">
        <v>49</v>
      </c>
      <c r="J319" s="7" t="str">
        <f>HYPERLINK("https://www.codechef.com/problems/ROTATESTRING", "https://www.codechef.com/problems/ROTATESTRING")</f>
        <v>https://www.codechef.com/problems/ROTATESTRING</v>
      </c>
      <c r="K319" s="15"/>
      <c r="L319" s="15"/>
      <c r="M319" s="15"/>
      <c r="N319" s="15" t="s">
        <v>50</v>
      </c>
      <c r="O319" s="15" t="s">
        <v>51</v>
      </c>
    </row>
    <row r="320" spans="1:15">
      <c r="A320" s="14" t="s">
        <v>9</v>
      </c>
      <c r="B320" s="14" t="s">
        <v>961</v>
      </c>
      <c r="C320" s="14" t="s">
        <v>962</v>
      </c>
      <c r="D320" s="14" t="s">
        <v>963</v>
      </c>
      <c r="E320" s="14">
        <v>8</v>
      </c>
      <c r="F320" s="14" t="s">
        <v>781</v>
      </c>
      <c r="G320" s="14" t="s">
        <v>782</v>
      </c>
      <c r="H320" s="14"/>
      <c r="I320" s="14" t="s">
        <v>49</v>
      </c>
      <c r="J320" s="11" t="str">
        <f>HYPERLINK("https://www.codechef.com/problems/LONGESPREFIX", "https://www.codechef.com/problems/LONGESPREFIX")</f>
        <v>https://www.codechef.com/problems/LONGESPREFIX</v>
      </c>
      <c r="K320" s="14"/>
      <c r="L320" s="14"/>
      <c r="M320" s="14"/>
      <c r="N320" s="14" t="s">
        <v>50</v>
      </c>
      <c r="O320" s="14" t="s">
        <v>51</v>
      </c>
    </row>
    <row r="321" spans="1:15">
      <c r="A321" s="15" t="s">
        <v>9</v>
      </c>
      <c r="B321" s="15" t="s">
        <v>961</v>
      </c>
      <c r="C321" s="15" t="s">
        <v>962</v>
      </c>
      <c r="D321" s="15" t="s">
        <v>963</v>
      </c>
      <c r="E321" s="15">
        <v>9</v>
      </c>
      <c r="F321" s="15" t="s">
        <v>973</v>
      </c>
      <c r="G321" s="15" t="s">
        <v>974</v>
      </c>
      <c r="H321" s="15" t="s">
        <v>73</v>
      </c>
      <c r="I321" s="15" t="s">
        <v>49</v>
      </c>
      <c r="J321" s="7" t="str">
        <f>HYPERLINK("https://www.codechef.com/problems/ANAGRAMP", "https://www.codechef.com/problems/ANAGRAMP")</f>
        <v>https://www.codechef.com/problems/ANAGRAMP</v>
      </c>
      <c r="K321" s="15"/>
      <c r="L321" s="15"/>
      <c r="M321" s="15"/>
      <c r="N321" s="15" t="s">
        <v>50</v>
      </c>
      <c r="O321" s="15" t="s">
        <v>51</v>
      </c>
    </row>
    <row r="322" spans="1:15">
      <c r="A322" s="14" t="s">
        <v>9</v>
      </c>
      <c r="B322" s="14" t="s">
        <v>961</v>
      </c>
      <c r="C322" s="14" t="s">
        <v>962</v>
      </c>
      <c r="D322" s="14" t="s">
        <v>963</v>
      </c>
      <c r="E322" s="14">
        <v>10</v>
      </c>
      <c r="F322" s="14" t="s">
        <v>975</v>
      </c>
      <c r="G322" s="14" t="s">
        <v>976</v>
      </c>
      <c r="H322" s="14" t="s">
        <v>977</v>
      </c>
      <c r="I322" s="14" t="s">
        <v>49</v>
      </c>
      <c r="J322" s="11" t="str">
        <f>HYPERLINK("https://www.codechef.com/problems/LAPIN", "https://www.codechef.com/problems/LAPIN")</f>
        <v>https://www.codechef.com/problems/LAPIN</v>
      </c>
      <c r="K322" s="14"/>
      <c r="L322" s="14" t="s">
        <v>978</v>
      </c>
      <c r="M322" s="14"/>
      <c r="N322" s="14" t="s">
        <v>50</v>
      </c>
      <c r="O322" s="14" t="s">
        <v>51</v>
      </c>
    </row>
    <row r="323" spans="1:15">
      <c r="A323" s="15" t="s">
        <v>9</v>
      </c>
      <c r="B323" s="15" t="s">
        <v>961</v>
      </c>
      <c r="C323" s="15" t="s">
        <v>962</v>
      </c>
      <c r="D323" s="15" t="s">
        <v>963</v>
      </c>
      <c r="E323" s="15">
        <v>11</v>
      </c>
      <c r="F323" s="15" t="s">
        <v>979</v>
      </c>
      <c r="G323" s="15" t="s">
        <v>980</v>
      </c>
      <c r="H323" s="15"/>
      <c r="I323" s="15" t="s">
        <v>96</v>
      </c>
      <c r="J323" s="7" t="str">
        <f>HYPERLINK("https://www.codechef.com/problems/FREQUENCYSOR", "https://www.codechef.com/problems/FREQUENCYSOR")</f>
        <v>https://www.codechef.com/problems/FREQUENCYSOR</v>
      </c>
      <c r="K323" s="15"/>
      <c r="L323" s="15"/>
      <c r="M323" s="15"/>
      <c r="N323" s="15" t="s">
        <v>50</v>
      </c>
      <c r="O323" s="15" t="s">
        <v>51</v>
      </c>
    </row>
    <row r="324" spans="1:15">
      <c r="A324" s="14" t="s">
        <v>9</v>
      </c>
      <c r="B324" s="14" t="s">
        <v>961</v>
      </c>
      <c r="C324" s="14" t="s">
        <v>962</v>
      </c>
      <c r="D324" s="14" t="s">
        <v>963</v>
      </c>
      <c r="E324" s="14">
        <v>12</v>
      </c>
      <c r="F324" s="14" t="s">
        <v>724</v>
      </c>
      <c r="G324" s="14" t="s">
        <v>725</v>
      </c>
      <c r="H324" s="14"/>
      <c r="I324" s="14" t="s">
        <v>49</v>
      </c>
      <c r="J324" s="11" t="str">
        <f>HYPERLINK("https://www.codechef.com/problems/NESTEDPARAN", "https://www.codechef.com/problems/NESTEDPARAN")</f>
        <v>https://www.codechef.com/problems/NESTEDPARAN</v>
      </c>
      <c r="K324" s="14"/>
      <c r="L324" s="14"/>
      <c r="M324" s="14"/>
      <c r="N324" s="14" t="s">
        <v>50</v>
      </c>
      <c r="O324" s="14" t="s">
        <v>51</v>
      </c>
    </row>
    <row r="325" spans="1:15">
      <c r="A325" s="15" t="s">
        <v>9</v>
      </c>
      <c r="B325" s="15" t="s">
        <v>961</v>
      </c>
      <c r="C325" s="15" t="s">
        <v>962</v>
      </c>
      <c r="D325" s="15" t="s">
        <v>963</v>
      </c>
      <c r="E325" s="15">
        <v>13</v>
      </c>
      <c r="F325" s="15" t="s">
        <v>981</v>
      </c>
      <c r="G325" s="15" t="s">
        <v>982</v>
      </c>
      <c r="H325" s="15"/>
      <c r="I325" s="15" t="s">
        <v>96</v>
      </c>
      <c r="J325" s="7" t="str">
        <f>HYPERLINK("https://www.codechef.com/problems/VALIDPAREN", "https://www.codechef.com/problems/VALIDPAREN")</f>
        <v>https://www.codechef.com/problems/VALIDPAREN</v>
      </c>
      <c r="K325" s="15"/>
      <c r="L325" s="15"/>
      <c r="M325" s="15"/>
      <c r="N325" s="15" t="s">
        <v>50</v>
      </c>
      <c r="O325" s="15" t="s">
        <v>51</v>
      </c>
    </row>
    <row r="326" spans="1:15">
      <c r="A326" s="14" t="s">
        <v>9</v>
      </c>
      <c r="B326" s="14" t="s">
        <v>961</v>
      </c>
      <c r="C326" s="14" t="s">
        <v>962</v>
      </c>
      <c r="D326" s="14" t="s">
        <v>963</v>
      </c>
      <c r="E326" s="14">
        <v>14</v>
      </c>
      <c r="F326" s="14" t="s">
        <v>732</v>
      </c>
      <c r="G326" s="14" t="s">
        <v>733</v>
      </c>
      <c r="H326" s="14"/>
      <c r="I326" s="14" t="s">
        <v>96</v>
      </c>
      <c r="J326" s="11" t="str">
        <f>HYPERLINK("https://www.codechef.com/problems/REMOVEPAREN", "https://www.codechef.com/problems/REMOVEPAREN")</f>
        <v>https://www.codechef.com/problems/REMOVEPAREN</v>
      </c>
      <c r="K326" s="14"/>
      <c r="L326" s="14"/>
      <c r="M326" s="14"/>
      <c r="N326" s="14" t="s">
        <v>50</v>
      </c>
      <c r="O326" s="14" t="s">
        <v>51</v>
      </c>
    </row>
    <row r="327" spans="1:15">
      <c r="A327" s="15" t="s">
        <v>9</v>
      </c>
      <c r="B327" s="15" t="s">
        <v>961</v>
      </c>
      <c r="C327" s="15" t="s">
        <v>962</v>
      </c>
      <c r="D327" s="15" t="s">
        <v>963</v>
      </c>
      <c r="E327" s="15">
        <v>15</v>
      </c>
      <c r="F327" s="15" t="s">
        <v>983</v>
      </c>
      <c r="G327" s="15" t="s">
        <v>984</v>
      </c>
      <c r="H327" s="15" t="s">
        <v>985</v>
      </c>
      <c r="I327" s="15" t="s">
        <v>49</v>
      </c>
      <c r="J327" s="7" t="str">
        <f>HYPERLINK("https://www.codechef.com/problems/TWOSTR", "https://www.codechef.com/problems/TWOSTR")</f>
        <v>https://www.codechef.com/problems/TWOSTR</v>
      </c>
      <c r="K327" s="15"/>
      <c r="L327" s="15"/>
      <c r="M327" s="15"/>
      <c r="N327" s="15" t="s">
        <v>50</v>
      </c>
      <c r="O327" s="15" t="s">
        <v>51</v>
      </c>
    </row>
    <row r="328" spans="1:15">
      <c r="A328" s="14" t="s">
        <v>9</v>
      </c>
      <c r="B328" s="14" t="s">
        <v>961</v>
      </c>
      <c r="C328" s="14" t="s">
        <v>962</v>
      </c>
      <c r="D328" s="14" t="s">
        <v>963</v>
      </c>
      <c r="E328" s="14">
        <v>16</v>
      </c>
      <c r="F328" s="14" t="s">
        <v>986</v>
      </c>
      <c r="G328" s="14" t="s">
        <v>987</v>
      </c>
      <c r="H328" s="14" t="s">
        <v>988</v>
      </c>
      <c r="I328" s="14" t="s">
        <v>96</v>
      </c>
      <c r="J328" s="11" t="str">
        <f>HYPERLINK("https://www.codechef.com/problems/PASSWD", "https://www.codechef.com/problems/PASSWD")</f>
        <v>https://www.codechef.com/problems/PASSWD</v>
      </c>
      <c r="K328" s="14"/>
      <c r="L328" s="14"/>
      <c r="M328" s="14"/>
      <c r="N328" s="14" t="s">
        <v>50</v>
      </c>
      <c r="O328" s="14" t="s">
        <v>51</v>
      </c>
    </row>
    <row r="329" spans="1:15">
      <c r="A329" s="15" t="s">
        <v>9</v>
      </c>
      <c r="B329" s="15" t="s">
        <v>989</v>
      </c>
      <c r="C329" s="15" t="s">
        <v>990</v>
      </c>
      <c r="D329" s="15" t="s">
        <v>991</v>
      </c>
      <c r="E329" s="15">
        <v>1</v>
      </c>
      <c r="F329" s="15" t="s">
        <v>595</v>
      </c>
      <c r="G329" s="15" t="s">
        <v>596</v>
      </c>
      <c r="H329" s="15"/>
      <c r="I329" s="15" t="s">
        <v>96</v>
      </c>
      <c r="J329" s="7" t="str">
        <f>HYPERLINK("https://www.codechef.com/problems/ARRAYSORTED", "https://www.codechef.com/problems/ARRAYSORTED")</f>
        <v>https://www.codechef.com/problems/ARRAYSORTED</v>
      </c>
      <c r="K329" s="15"/>
      <c r="L329" s="15"/>
      <c r="M329" s="15"/>
      <c r="N329" s="15" t="s">
        <v>50</v>
      </c>
      <c r="O329" s="15" t="s">
        <v>51</v>
      </c>
    </row>
    <row r="330" spans="1:15">
      <c r="A330" s="14" t="s">
        <v>9</v>
      </c>
      <c r="B330" s="14" t="s">
        <v>989</v>
      </c>
      <c r="C330" s="14" t="s">
        <v>990</v>
      </c>
      <c r="D330" s="14" t="s">
        <v>991</v>
      </c>
      <c r="E330" s="14">
        <v>2</v>
      </c>
      <c r="F330" s="14" t="s">
        <v>842</v>
      </c>
      <c r="G330" s="14" t="s">
        <v>843</v>
      </c>
      <c r="H330" s="14"/>
      <c r="I330" s="14" t="s">
        <v>96</v>
      </c>
      <c r="J330" s="11" t="str">
        <f>HYPERLINK("https://www.codechef.com/problems/ROTATEARRAY", "https://www.codechef.com/problems/ROTATEARRAY")</f>
        <v>https://www.codechef.com/problems/ROTATEARRAY</v>
      </c>
      <c r="K330" s="14"/>
      <c r="L330" s="14"/>
      <c r="M330" s="14"/>
      <c r="N330" s="14" t="s">
        <v>50</v>
      </c>
      <c r="O330" s="14" t="s">
        <v>51</v>
      </c>
    </row>
    <row r="331" spans="1:15">
      <c r="A331" s="15" t="s">
        <v>9</v>
      </c>
      <c r="B331" s="15" t="s">
        <v>989</v>
      </c>
      <c r="C331" s="15" t="s">
        <v>990</v>
      </c>
      <c r="D331" s="15" t="s">
        <v>991</v>
      </c>
      <c r="E331" s="15">
        <v>3</v>
      </c>
      <c r="F331" s="15" t="s">
        <v>794</v>
      </c>
      <c r="G331" s="15" t="s">
        <v>795</v>
      </c>
      <c r="H331" s="15"/>
      <c r="I331" s="15" t="s">
        <v>96</v>
      </c>
      <c r="J331" s="7" t="str">
        <f>HYPERLINK("https://www.codechef.com/problems/REMOVEDUPLIC", "https://www.codechef.com/problems/REMOVEDUPLIC")</f>
        <v>https://www.codechef.com/problems/REMOVEDUPLIC</v>
      </c>
      <c r="K331" s="15"/>
      <c r="L331" s="15"/>
      <c r="M331" s="15"/>
      <c r="N331" s="15" t="s">
        <v>50</v>
      </c>
      <c r="O331" s="15" t="s">
        <v>51</v>
      </c>
    </row>
    <row r="332" spans="1:15">
      <c r="A332" s="14" t="s">
        <v>9</v>
      </c>
      <c r="B332" s="14" t="s">
        <v>989</v>
      </c>
      <c r="C332" s="14" t="s">
        <v>990</v>
      </c>
      <c r="D332" s="14" t="s">
        <v>991</v>
      </c>
      <c r="E332" s="14">
        <v>4</v>
      </c>
      <c r="F332" s="14" t="s">
        <v>753</v>
      </c>
      <c r="G332" s="14" t="s">
        <v>754</v>
      </c>
      <c r="H332" s="14"/>
      <c r="I332" s="14" t="s">
        <v>96</v>
      </c>
      <c r="J332" s="11" t="str">
        <f>HYPERLINK("https://www.codechef.com/problems/LASTZERO", "https://www.codechef.com/problems/LASTZERO")</f>
        <v>https://www.codechef.com/problems/LASTZERO</v>
      </c>
      <c r="K332" s="14"/>
      <c r="L332" s="14"/>
      <c r="M332" s="14"/>
      <c r="N332" s="14" t="s">
        <v>50</v>
      </c>
      <c r="O332" s="14" t="s">
        <v>51</v>
      </c>
    </row>
    <row r="333" spans="1:15">
      <c r="A333" s="15" t="s">
        <v>9</v>
      </c>
      <c r="B333" s="15" t="s">
        <v>989</v>
      </c>
      <c r="C333" s="15" t="s">
        <v>990</v>
      </c>
      <c r="D333" s="15" t="s">
        <v>991</v>
      </c>
      <c r="E333" s="15">
        <v>5</v>
      </c>
      <c r="F333" s="15" t="s">
        <v>558</v>
      </c>
      <c r="G333" s="15" t="s">
        <v>559</v>
      </c>
      <c r="H333" s="15" t="s">
        <v>560</v>
      </c>
      <c r="I333" s="15" t="s">
        <v>49</v>
      </c>
      <c r="J333" s="7" t="str">
        <f>HYPERLINK("https://www.codechef.com/problems/MERGESORTED", "https://www.codechef.com/problems/MERGESORTED")</f>
        <v>https://www.codechef.com/problems/MERGESORTED</v>
      </c>
      <c r="K333" s="15"/>
      <c r="L333" s="15"/>
      <c r="M333" s="15"/>
      <c r="N333" s="15" t="s">
        <v>50</v>
      </c>
      <c r="O333" s="15" t="s">
        <v>51</v>
      </c>
    </row>
    <row r="334" spans="1:15">
      <c r="A334" s="14" t="s">
        <v>9</v>
      </c>
      <c r="B334" s="14" t="s">
        <v>989</v>
      </c>
      <c r="C334" s="14" t="s">
        <v>990</v>
      </c>
      <c r="D334" s="14" t="s">
        <v>991</v>
      </c>
      <c r="E334" s="14">
        <v>6</v>
      </c>
      <c r="F334" s="14" t="s">
        <v>700</v>
      </c>
      <c r="G334" s="14" t="s">
        <v>701</v>
      </c>
      <c r="H334" s="14"/>
      <c r="I334" s="14" t="s">
        <v>96</v>
      </c>
      <c r="J334" s="11" t="str">
        <f>HYPERLINK("https://www.codechef.com/problems/DSCPPAS261", "https://www.codechef.com/problems/DSCPPAS261")</f>
        <v>https://www.codechef.com/problems/DSCPPAS261</v>
      </c>
      <c r="K334" s="14"/>
      <c r="L334" s="14"/>
      <c r="M334" s="14"/>
      <c r="N334" s="14" t="s">
        <v>50</v>
      </c>
      <c r="O334" s="14" t="s">
        <v>51</v>
      </c>
    </row>
    <row r="335" spans="1:15">
      <c r="A335" s="15" t="s">
        <v>9</v>
      </c>
      <c r="B335" s="15" t="s">
        <v>989</v>
      </c>
      <c r="C335" s="15" t="s">
        <v>990</v>
      </c>
      <c r="D335" s="15" t="s">
        <v>991</v>
      </c>
      <c r="E335" s="15">
        <v>7</v>
      </c>
      <c r="F335" s="15" t="s">
        <v>755</v>
      </c>
      <c r="G335" s="15" t="s">
        <v>756</v>
      </c>
      <c r="H335" s="15"/>
      <c r="I335" s="15" t="s">
        <v>96</v>
      </c>
      <c r="J335" s="7" t="str">
        <f>HYPERLINK("https://www.codechef.com/problems/TWOSUMM", "https://www.codechef.com/problems/TWOSUMM")</f>
        <v>https://www.codechef.com/problems/TWOSUMM</v>
      </c>
      <c r="K335" s="15"/>
      <c r="L335" s="15"/>
      <c r="M335" s="15"/>
      <c r="N335" s="15" t="s">
        <v>50</v>
      </c>
      <c r="O335" s="15" t="s">
        <v>51</v>
      </c>
    </row>
    <row r="336" spans="1:15">
      <c r="A336" s="14" t="s">
        <v>9</v>
      </c>
      <c r="B336" s="14" t="s">
        <v>989</v>
      </c>
      <c r="C336" s="14" t="s">
        <v>990</v>
      </c>
      <c r="D336" s="14" t="s">
        <v>991</v>
      </c>
      <c r="E336" s="14">
        <v>8</v>
      </c>
      <c r="F336" s="14" t="s">
        <v>807</v>
      </c>
      <c r="G336" s="14" t="s">
        <v>808</v>
      </c>
      <c r="H336" s="14"/>
      <c r="I336" s="14" t="s">
        <v>96</v>
      </c>
      <c r="J336" s="11" t="str">
        <f>HYPERLINK("https://www.codechef.com/problems/MAJORELEM", "https://www.codechef.com/problems/MAJORELEM")</f>
        <v>https://www.codechef.com/problems/MAJORELEM</v>
      </c>
      <c r="K336" s="14"/>
      <c r="L336" s="14"/>
      <c r="M336" s="14"/>
      <c r="N336" s="14" t="s">
        <v>50</v>
      </c>
      <c r="O336" s="14" t="s">
        <v>51</v>
      </c>
    </row>
    <row r="337" spans="1:15">
      <c r="A337" s="15" t="s">
        <v>9</v>
      </c>
      <c r="B337" s="15" t="s">
        <v>989</v>
      </c>
      <c r="C337" s="15" t="s">
        <v>990</v>
      </c>
      <c r="D337" s="15" t="s">
        <v>991</v>
      </c>
      <c r="E337" s="15">
        <v>9</v>
      </c>
      <c r="F337" s="15" t="s">
        <v>992</v>
      </c>
      <c r="G337" s="15" t="s">
        <v>993</v>
      </c>
      <c r="H337" s="15"/>
      <c r="I337" s="15" t="s">
        <v>96</v>
      </c>
      <c r="J337" s="7" t="str">
        <f>HYPERLINK("https://www.codechef.com/problems/MAJORELE2", "https://www.codechef.com/problems/MAJORELE2")</f>
        <v>https://www.codechef.com/problems/MAJORELE2</v>
      </c>
      <c r="K337" s="15"/>
      <c r="L337" s="15"/>
      <c r="M337" s="15"/>
      <c r="N337" s="15" t="s">
        <v>50</v>
      </c>
      <c r="O337" s="15" t="s">
        <v>51</v>
      </c>
    </row>
    <row r="338" spans="1:15">
      <c r="A338" s="14" t="s">
        <v>9</v>
      </c>
      <c r="B338" s="14" t="s">
        <v>989</v>
      </c>
      <c r="C338" s="14" t="s">
        <v>990</v>
      </c>
      <c r="D338" s="14" t="s">
        <v>991</v>
      </c>
      <c r="E338" s="14">
        <v>10</v>
      </c>
      <c r="F338" s="14" t="s">
        <v>844</v>
      </c>
      <c r="G338" s="14" t="s">
        <v>845</v>
      </c>
      <c r="H338" s="14"/>
      <c r="I338" s="14" t="s">
        <v>49</v>
      </c>
      <c r="J338" s="11" t="str">
        <f>HYPERLINK("https://www.codechef.com/problems/STOCKSPROFIT", "https://www.codechef.com/problems/STOCKSPROFIT")</f>
        <v>https://www.codechef.com/problems/STOCKSPROFIT</v>
      </c>
      <c r="K338" s="14"/>
      <c r="L338" s="14"/>
      <c r="M338" s="14"/>
      <c r="N338" s="14" t="s">
        <v>50</v>
      </c>
      <c r="O338" s="14" t="s">
        <v>51</v>
      </c>
    </row>
    <row r="339" spans="1:15">
      <c r="A339" s="15" t="s">
        <v>9</v>
      </c>
      <c r="B339" s="15" t="s">
        <v>989</v>
      </c>
      <c r="C339" s="15" t="s">
        <v>990</v>
      </c>
      <c r="D339" s="15" t="s">
        <v>991</v>
      </c>
      <c r="E339" s="15">
        <v>11</v>
      </c>
      <c r="F339" s="15" t="s">
        <v>994</v>
      </c>
      <c r="G339" s="15" t="s">
        <v>995</v>
      </c>
      <c r="H339" s="15"/>
      <c r="I339" s="15" t="s">
        <v>96</v>
      </c>
      <c r="J339" s="7" t="str">
        <f>HYPERLINK("https://www.codechef.com/problems/LEADERINARAY", "https://www.codechef.com/problems/LEADERINARAY")</f>
        <v>https://www.codechef.com/problems/LEADERINARAY</v>
      </c>
      <c r="K339" s="15"/>
      <c r="L339" s="15"/>
      <c r="M339" s="15"/>
      <c r="N339" s="15" t="s">
        <v>50</v>
      </c>
      <c r="O339" s="15" t="s">
        <v>51</v>
      </c>
    </row>
    <row r="340" spans="1:15">
      <c r="A340" s="14" t="s">
        <v>9</v>
      </c>
      <c r="B340" s="14" t="s">
        <v>989</v>
      </c>
      <c r="C340" s="14" t="s">
        <v>990</v>
      </c>
      <c r="D340" s="14" t="s">
        <v>991</v>
      </c>
      <c r="E340" s="14">
        <v>12</v>
      </c>
      <c r="F340" s="14" t="s">
        <v>698</v>
      </c>
      <c r="G340" s="14" t="s">
        <v>699</v>
      </c>
      <c r="H340" s="14"/>
      <c r="I340" s="14" t="s">
        <v>96</v>
      </c>
      <c r="J340" s="11" t="str">
        <f>HYPERLINK("https://www.codechef.com/problems/SORTARRAYS", "https://www.codechef.com/problems/SORTARRAYS")</f>
        <v>https://www.codechef.com/problems/SORTARRAYS</v>
      </c>
      <c r="K340" s="14"/>
      <c r="L340" s="14"/>
      <c r="M340" s="14"/>
      <c r="N340" s="14" t="s">
        <v>50</v>
      </c>
      <c r="O340" s="14" t="s">
        <v>51</v>
      </c>
    </row>
    <row r="341" spans="1:15">
      <c r="A341" s="15" t="s">
        <v>9</v>
      </c>
      <c r="B341" s="15" t="s">
        <v>989</v>
      </c>
      <c r="C341" s="15" t="s">
        <v>990</v>
      </c>
      <c r="D341" s="15" t="s">
        <v>996</v>
      </c>
      <c r="E341" s="15">
        <v>13</v>
      </c>
      <c r="F341" s="15" t="s">
        <v>433</v>
      </c>
      <c r="G341" s="15" t="s">
        <v>434</v>
      </c>
      <c r="H341" s="15"/>
      <c r="I341" s="15" t="s">
        <v>49</v>
      </c>
      <c r="J341" s="7" t="str">
        <f>HYPERLINK("https://www.codechef.com/problems/MATDEF", "https://www.codechef.com/problems/MATDEF")</f>
        <v>https://www.codechef.com/problems/MATDEF</v>
      </c>
      <c r="K341" s="15"/>
      <c r="L341" s="15"/>
      <c r="M341" s="15"/>
      <c r="N341" s="15" t="s">
        <v>50</v>
      </c>
      <c r="O341" s="15" t="s">
        <v>51</v>
      </c>
    </row>
    <row r="342" spans="1:15">
      <c r="A342" s="14" t="s">
        <v>9</v>
      </c>
      <c r="B342" s="14" t="s">
        <v>989</v>
      </c>
      <c r="C342" s="14" t="s">
        <v>990</v>
      </c>
      <c r="D342" s="14" t="s">
        <v>996</v>
      </c>
      <c r="E342" s="14">
        <v>14</v>
      </c>
      <c r="F342" s="14" t="s">
        <v>435</v>
      </c>
      <c r="G342" s="14" t="s">
        <v>436</v>
      </c>
      <c r="H342" s="14"/>
      <c r="I342" s="14" t="s">
        <v>49</v>
      </c>
      <c r="J342" s="11" t="str">
        <f>HYPERLINK("https://www.codechef.com/problems/MATTYPES", "https://www.codechef.com/problems/MATTYPES")</f>
        <v>https://www.codechef.com/problems/MATTYPES</v>
      </c>
      <c r="K342" s="14"/>
      <c r="L342" s="14"/>
      <c r="M342" s="14"/>
      <c r="N342" s="14" t="s">
        <v>50</v>
      </c>
      <c r="O342" s="14" t="s">
        <v>51</v>
      </c>
    </row>
    <row r="343" spans="1:15">
      <c r="A343" s="15" t="s">
        <v>9</v>
      </c>
      <c r="B343" s="15" t="s">
        <v>989</v>
      </c>
      <c r="C343" s="15" t="s">
        <v>990</v>
      </c>
      <c r="D343" s="15" t="s">
        <v>996</v>
      </c>
      <c r="E343" s="15">
        <v>15</v>
      </c>
      <c r="F343" s="15" t="s">
        <v>437</v>
      </c>
      <c r="G343" s="15" t="s">
        <v>438</v>
      </c>
      <c r="H343" s="15"/>
      <c r="I343" s="15" t="s">
        <v>49</v>
      </c>
      <c r="J343" s="7" t="str">
        <f>HYPERLINK("https://www.codechef.com/problems/MATREP", "https://www.codechef.com/problems/MATREP")</f>
        <v>https://www.codechef.com/problems/MATREP</v>
      </c>
      <c r="K343" s="15"/>
      <c r="L343" s="15"/>
      <c r="M343" s="15"/>
      <c r="N343" s="15" t="s">
        <v>50</v>
      </c>
      <c r="O343" s="15" t="s">
        <v>51</v>
      </c>
    </row>
    <row r="344" spans="1:15">
      <c r="A344" s="14" t="s">
        <v>9</v>
      </c>
      <c r="B344" s="14" t="s">
        <v>989</v>
      </c>
      <c r="C344" s="14" t="s">
        <v>990</v>
      </c>
      <c r="D344" s="14" t="s">
        <v>996</v>
      </c>
      <c r="E344" s="14">
        <v>16</v>
      </c>
      <c r="F344" s="14" t="s">
        <v>439</v>
      </c>
      <c r="G344" s="14" t="s">
        <v>440</v>
      </c>
      <c r="H344" s="14"/>
      <c r="I344" s="14" t="s">
        <v>49</v>
      </c>
      <c r="J344" s="11" t="str">
        <f>HYPERLINK("https://www.codechef.com/problems/MATMCQ1", "https://www.codechef.com/problems/MATMCQ1")</f>
        <v>https://www.codechef.com/problems/MATMCQ1</v>
      </c>
      <c r="K344" s="14"/>
      <c r="L344" s="14"/>
      <c r="M344" s="14"/>
      <c r="N344" s="14" t="s">
        <v>50</v>
      </c>
      <c r="O344" s="14" t="s">
        <v>51</v>
      </c>
    </row>
    <row r="345" spans="1:15">
      <c r="A345" s="15" t="s">
        <v>9</v>
      </c>
      <c r="B345" s="15" t="s">
        <v>989</v>
      </c>
      <c r="C345" s="15" t="s">
        <v>990</v>
      </c>
      <c r="D345" s="15" t="s">
        <v>997</v>
      </c>
      <c r="E345" s="15">
        <v>17</v>
      </c>
      <c r="F345" s="15" t="s">
        <v>442</v>
      </c>
      <c r="G345" s="15" t="s">
        <v>443</v>
      </c>
      <c r="H345" s="15"/>
      <c r="I345" s="15" t="s">
        <v>49</v>
      </c>
      <c r="J345" s="7" t="str">
        <f>HYPERLINK("https://www.codechef.com/problems/MATADD", "https://www.codechef.com/problems/MATADD")</f>
        <v>https://www.codechef.com/problems/MATADD</v>
      </c>
      <c r="K345" s="15"/>
      <c r="L345" s="15"/>
      <c r="M345" s="15"/>
      <c r="N345" s="15" t="s">
        <v>50</v>
      </c>
      <c r="O345" s="15" t="s">
        <v>51</v>
      </c>
    </row>
    <row r="346" spans="1:15">
      <c r="A346" s="14" t="s">
        <v>9</v>
      </c>
      <c r="B346" s="14" t="s">
        <v>989</v>
      </c>
      <c r="C346" s="14" t="s">
        <v>990</v>
      </c>
      <c r="D346" s="14" t="s">
        <v>997</v>
      </c>
      <c r="E346" s="14">
        <v>18</v>
      </c>
      <c r="F346" s="14" t="s">
        <v>444</v>
      </c>
      <c r="G346" s="14" t="s">
        <v>445</v>
      </c>
      <c r="H346" s="14"/>
      <c r="I346" s="14" t="s">
        <v>96</v>
      </c>
      <c r="J346" s="11" t="str">
        <f>HYPERLINK("https://www.codechef.com/problems/MATZIGZAG", "https://www.codechef.com/problems/MATZIGZAG")</f>
        <v>https://www.codechef.com/problems/MATZIGZAG</v>
      </c>
      <c r="K346" s="14"/>
      <c r="L346" s="14"/>
      <c r="M346" s="14"/>
      <c r="N346" s="14" t="s">
        <v>50</v>
      </c>
      <c r="O346" s="14" t="s">
        <v>51</v>
      </c>
    </row>
    <row r="347" spans="1:15">
      <c r="A347" s="15" t="s">
        <v>9</v>
      </c>
      <c r="B347" s="15" t="s">
        <v>989</v>
      </c>
      <c r="C347" s="15" t="s">
        <v>990</v>
      </c>
      <c r="D347" s="15" t="s">
        <v>997</v>
      </c>
      <c r="E347" s="15">
        <v>19</v>
      </c>
      <c r="F347" s="15" t="s">
        <v>446</v>
      </c>
      <c r="G347" s="15" t="s">
        <v>447</v>
      </c>
      <c r="H347" s="15"/>
      <c r="I347" s="15" t="s">
        <v>49</v>
      </c>
      <c r="J347" s="7" t="str">
        <f>HYPERLINK("https://www.codechef.com/problems/MATTREVERSE", "https://www.codechef.com/problems/MATTREVERSE")</f>
        <v>https://www.codechef.com/problems/MATTREVERSE</v>
      </c>
      <c r="K347" s="15"/>
      <c r="L347" s="15"/>
      <c r="M347" s="15"/>
      <c r="N347" s="15" t="s">
        <v>50</v>
      </c>
      <c r="O347" s="15" t="s">
        <v>51</v>
      </c>
    </row>
    <row r="348" spans="1:15">
      <c r="A348" s="14" t="s">
        <v>9</v>
      </c>
      <c r="B348" s="14" t="s">
        <v>989</v>
      </c>
      <c r="C348" s="14" t="s">
        <v>990</v>
      </c>
      <c r="D348" s="14" t="s">
        <v>997</v>
      </c>
      <c r="E348" s="14">
        <v>20</v>
      </c>
      <c r="F348" s="14" t="s">
        <v>448</v>
      </c>
      <c r="G348" s="14" t="s">
        <v>449</v>
      </c>
      <c r="H348" s="14"/>
      <c r="I348" s="14" t="s">
        <v>49</v>
      </c>
      <c r="J348" s="11" t="str">
        <f>HYPERLINK("https://www.codechef.com/problems/MATDIAGSUM", "https://www.codechef.com/problems/MATDIAGSUM")</f>
        <v>https://www.codechef.com/problems/MATDIAGSUM</v>
      </c>
      <c r="K348" s="14"/>
      <c r="L348" s="14"/>
      <c r="M348" s="14"/>
      <c r="N348" s="14" t="s">
        <v>50</v>
      </c>
      <c r="O348" s="14" t="s">
        <v>51</v>
      </c>
    </row>
    <row r="349" spans="1:15">
      <c r="A349" s="15" t="s">
        <v>9</v>
      </c>
      <c r="B349" s="15" t="s">
        <v>989</v>
      </c>
      <c r="C349" s="15" t="s">
        <v>990</v>
      </c>
      <c r="D349" s="15" t="s">
        <v>997</v>
      </c>
      <c r="E349" s="15">
        <v>21</v>
      </c>
      <c r="F349" s="15" t="s">
        <v>450</v>
      </c>
      <c r="G349" s="15" t="s">
        <v>451</v>
      </c>
      <c r="H349" s="15"/>
      <c r="I349" s="15" t="s">
        <v>96</v>
      </c>
      <c r="J349" s="7" t="str">
        <f>HYPERLINK("https://www.codechef.com/problems/MATNEGCOUNT", "https://www.codechef.com/problems/MATNEGCOUNT")</f>
        <v>https://www.codechef.com/problems/MATNEGCOUNT</v>
      </c>
      <c r="K349" s="15"/>
      <c r="L349" s="15"/>
      <c r="M349" s="15"/>
      <c r="N349" s="15" t="s">
        <v>50</v>
      </c>
      <c r="O349" s="15" t="s">
        <v>51</v>
      </c>
    </row>
    <row r="350" spans="1:15">
      <c r="A350" s="14" t="s">
        <v>9</v>
      </c>
      <c r="B350" s="14" t="s">
        <v>989</v>
      </c>
      <c r="C350" s="14" t="s">
        <v>990</v>
      </c>
      <c r="D350" s="14" t="s">
        <v>997</v>
      </c>
      <c r="E350" s="14">
        <v>22</v>
      </c>
      <c r="F350" s="14" t="s">
        <v>454</v>
      </c>
      <c r="G350" s="14" t="s">
        <v>455</v>
      </c>
      <c r="H350" s="14"/>
      <c r="I350" s="14" t="s">
        <v>96</v>
      </c>
      <c r="J350" s="11" t="str">
        <f>HYPERLINK("https://www.codechef.com/problems/MATMULTIPLIC", "https://www.codechef.com/problems/MATMULTIPLIC")</f>
        <v>https://www.codechef.com/problems/MATMULTIPLIC</v>
      </c>
      <c r="K350" s="14"/>
      <c r="L350" s="14"/>
      <c r="M350" s="14"/>
      <c r="N350" s="14" t="s">
        <v>50</v>
      </c>
      <c r="O350" s="14" t="s">
        <v>51</v>
      </c>
    </row>
    <row r="351" spans="1:15">
      <c r="A351" s="15" t="s">
        <v>9</v>
      </c>
      <c r="B351" s="15" t="s">
        <v>989</v>
      </c>
      <c r="C351" s="15" t="s">
        <v>990</v>
      </c>
      <c r="D351" s="15" t="s">
        <v>997</v>
      </c>
      <c r="E351" s="15">
        <v>23</v>
      </c>
      <c r="F351" s="15" t="s">
        <v>452</v>
      </c>
      <c r="G351" s="15" t="s">
        <v>453</v>
      </c>
      <c r="H351" s="15"/>
      <c r="I351" s="15" t="s">
        <v>49</v>
      </c>
      <c r="J351" s="7" t="str">
        <f>HYPERLINK("https://www.codechef.com/problems/DSCPPAS263", "https://www.codechef.com/problems/DSCPPAS263")</f>
        <v>https://www.codechef.com/problems/DSCPPAS263</v>
      </c>
      <c r="K351" s="15"/>
      <c r="L351" s="15"/>
      <c r="M351" s="15"/>
      <c r="N351" s="15" t="s">
        <v>50</v>
      </c>
      <c r="O351" s="15" t="s">
        <v>51</v>
      </c>
    </row>
    <row r="352" spans="1:15">
      <c r="A352" s="14" t="s">
        <v>9</v>
      </c>
      <c r="B352" s="14" t="s">
        <v>989</v>
      </c>
      <c r="C352" s="14" t="s">
        <v>990</v>
      </c>
      <c r="D352" s="14" t="s">
        <v>997</v>
      </c>
      <c r="E352" s="14">
        <v>24</v>
      </c>
      <c r="F352" s="14" t="s">
        <v>456</v>
      </c>
      <c r="G352" s="14" t="s">
        <v>457</v>
      </c>
      <c r="H352" s="14"/>
      <c r="I352" s="14" t="s">
        <v>96</v>
      </c>
      <c r="J352" s="11" t="str">
        <f>HYPERLINK("https://www.codechef.com/problems/MATSORTDIAG", "https://www.codechef.com/problems/MATSORTDIAG")</f>
        <v>https://www.codechef.com/problems/MATSORTDIAG</v>
      </c>
      <c r="K352" s="14"/>
      <c r="L352" s="14"/>
      <c r="M352" s="14"/>
      <c r="N352" s="14" t="s">
        <v>50</v>
      </c>
      <c r="O352" s="14" t="s">
        <v>51</v>
      </c>
    </row>
    <row r="353" spans="1:15">
      <c r="A353" s="15" t="s">
        <v>9</v>
      </c>
      <c r="B353" s="15" t="s">
        <v>989</v>
      </c>
      <c r="C353" s="15" t="s">
        <v>990</v>
      </c>
      <c r="D353" s="15" t="s">
        <v>997</v>
      </c>
      <c r="E353" s="15">
        <v>25</v>
      </c>
      <c r="F353" s="15" t="s">
        <v>458</v>
      </c>
      <c r="G353" s="15" t="s">
        <v>459</v>
      </c>
      <c r="H353" s="15"/>
      <c r="I353" s="15" t="s">
        <v>96</v>
      </c>
      <c r="J353" s="7" t="str">
        <f>HYPERLINK("https://www.codechef.com/problems/MATSETZERO", "https://www.codechef.com/problems/MATSETZERO")</f>
        <v>https://www.codechef.com/problems/MATSETZERO</v>
      </c>
      <c r="K353" s="15"/>
      <c r="L353" s="15"/>
      <c r="M353" s="15"/>
      <c r="N353" s="15" t="s">
        <v>50</v>
      </c>
      <c r="O353" s="15" t="s">
        <v>51</v>
      </c>
    </row>
    <row r="354" spans="1:15">
      <c r="A354" s="14" t="s">
        <v>9</v>
      </c>
      <c r="B354" s="14" t="s">
        <v>989</v>
      </c>
      <c r="C354" s="14" t="s">
        <v>990</v>
      </c>
      <c r="D354" s="14" t="s">
        <v>997</v>
      </c>
      <c r="E354" s="14">
        <v>26</v>
      </c>
      <c r="F354" s="14" t="s">
        <v>460</v>
      </c>
      <c r="G354" s="14" t="s">
        <v>461</v>
      </c>
      <c r="H354" s="14"/>
      <c r="I354" s="14" t="s">
        <v>96</v>
      </c>
      <c r="J354" s="11" t="str">
        <f>HYPERLINK("https://www.codechef.com/problems/MATROTATE", "https://www.codechef.com/problems/MATROTATE")</f>
        <v>https://www.codechef.com/problems/MATROTATE</v>
      </c>
      <c r="K354" s="14"/>
      <c r="L354" s="14"/>
      <c r="M354" s="14"/>
      <c r="N354" s="14" t="s">
        <v>50</v>
      </c>
      <c r="O354" s="14" t="s">
        <v>51</v>
      </c>
    </row>
    <row r="355" spans="1:15">
      <c r="A355" s="15" t="s">
        <v>9</v>
      </c>
      <c r="B355" s="15" t="s">
        <v>989</v>
      </c>
      <c r="C355" s="15" t="s">
        <v>990</v>
      </c>
      <c r="D355" s="15" t="s">
        <v>997</v>
      </c>
      <c r="E355" s="15">
        <v>27</v>
      </c>
      <c r="F355" s="15" t="s">
        <v>462</v>
      </c>
      <c r="G355" s="15" t="s">
        <v>463</v>
      </c>
      <c r="H355" s="15"/>
      <c r="I355" s="15" t="s">
        <v>96</v>
      </c>
      <c r="J355" s="7" t="str">
        <f>HYPERLINK("https://www.codechef.com/problems/MATMAXROW", "https://www.codechef.com/problems/MATMAXROW")</f>
        <v>https://www.codechef.com/problems/MATMAXROW</v>
      </c>
      <c r="K355" s="15"/>
      <c r="L355" s="15"/>
      <c r="M355" s="15"/>
      <c r="N355" s="15" t="s">
        <v>50</v>
      </c>
      <c r="O355" s="15" t="s">
        <v>51</v>
      </c>
    </row>
    <row r="356" spans="1:15">
      <c r="A356" s="14" t="s">
        <v>9</v>
      </c>
      <c r="B356" s="14" t="s">
        <v>989</v>
      </c>
      <c r="C356" s="14" t="s">
        <v>990</v>
      </c>
      <c r="D356" s="14" t="s">
        <v>997</v>
      </c>
      <c r="E356" s="14">
        <v>28</v>
      </c>
      <c r="F356" s="14" t="s">
        <v>464</v>
      </c>
      <c r="G356" s="14" t="s">
        <v>465</v>
      </c>
      <c r="H356" s="14"/>
      <c r="I356" s="14" t="s">
        <v>96</v>
      </c>
      <c r="J356" s="11" t="str">
        <f>HYPERLINK("https://www.codechef.com/problems/MATEQRC", "https://www.codechef.com/problems/MATEQRC")</f>
        <v>https://www.codechef.com/problems/MATEQRC</v>
      </c>
      <c r="K356" s="14"/>
      <c r="L356" s="14"/>
      <c r="M356" s="14"/>
      <c r="N356" s="14" t="s">
        <v>50</v>
      </c>
      <c r="O356" s="14" t="s">
        <v>51</v>
      </c>
    </row>
    <row r="357" spans="1:15">
      <c r="A357" s="15" t="s">
        <v>9</v>
      </c>
      <c r="B357" s="15" t="s">
        <v>989</v>
      </c>
      <c r="C357" s="15" t="s">
        <v>990</v>
      </c>
      <c r="D357" s="15" t="s">
        <v>997</v>
      </c>
      <c r="E357" s="15">
        <v>29</v>
      </c>
      <c r="F357" s="15" t="s">
        <v>466</v>
      </c>
      <c r="G357" s="15" t="s">
        <v>467</v>
      </c>
      <c r="H357" s="15"/>
      <c r="I357" s="15" t="s">
        <v>96</v>
      </c>
      <c r="J357" s="7" t="str">
        <f>HYPERLINK("https://www.codechef.com/problems/MATMINPATH", "https://www.codechef.com/problems/MATMINPATH")</f>
        <v>https://www.codechef.com/problems/MATMINPATH</v>
      </c>
      <c r="K357" s="15"/>
      <c r="L357" s="15"/>
      <c r="M357" s="15"/>
      <c r="N357" s="15" t="s">
        <v>50</v>
      </c>
      <c r="O357" s="15" t="s">
        <v>51</v>
      </c>
    </row>
    <row r="358" spans="1:15">
      <c r="A358" s="14" t="s">
        <v>9</v>
      </c>
      <c r="B358" s="14" t="s">
        <v>989</v>
      </c>
      <c r="C358" s="14" t="s">
        <v>990</v>
      </c>
      <c r="D358" s="14" t="s">
        <v>997</v>
      </c>
      <c r="E358" s="14">
        <v>30</v>
      </c>
      <c r="F358" s="14" t="s">
        <v>470</v>
      </c>
      <c r="G358" s="14" t="s">
        <v>471</v>
      </c>
      <c r="H358" s="14"/>
      <c r="I358" s="14" t="s">
        <v>96</v>
      </c>
      <c r="J358" s="11" t="str">
        <f>HYPERLINK("https://www.codechef.com/problems/MATSPIRAL", "https://www.codechef.com/problems/MATSPIRAL")</f>
        <v>https://www.codechef.com/problems/MATSPIRAL</v>
      </c>
      <c r="K358" s="14"/>
      <c r="L358" s="14"/>
      <c r="M358" s="14"/>
      <c r="N358" s="14" t="s">
        <v>50</v>
      </c>
      <c r="O358" s="14" t="s">
        <v>51</v>
      </c>
    </row>
    <row r="359" spans="1:15">
      <c r="A359" s="15" t="s">
        <v>9</v>
      </c>
      <c r="B359" s="15" t="s">
        <v>989</v>
      </c>
      <c r="C359" s="15" t="s">
        <v>990</v>
      </c>
      <c r="D359" s="15" t="s">
        <v>997</v>
      </c>
      <c r="E359" s="15">
        <v>31</v>
      </c>
      <c r="F359" s="15" t="s">
        <v>472</v>
      </c>
      <c r="G359" s="15" t="s">
        <v>473</v>
      </c>
      <c r="H359" s="15"/>
      <c r="I359" s="15" t="s">
        <v>96</v>
      </c>
      <c r="J359" s="7" t="str">
        <f>HYPERLINK("https://www.codechef.com/problems/MATMAXISLAND", "https://www.codechef.com/problems/MATMAXISLAND")</f>
        <v>https://www.codechef.com/problems/MATMAXISLAND</v>
      </c>
      <c r="K359" s="15"/>
      <c r="L359" s="15"/>
      <c r="M359" s="15"/>
      <c r="N359" s="15" t="s">
        <v>50</v>
      </c>
      <c r="O359" s="15" t="s">
        <v>51</v>
      </c>
    </row>
    <row r="360" spans="1:15">
      <c r="A360" s="14" t="s">
        <v>9</v>
      </c>
      <c r="B360" s="14" t="s">
        <v>989</v>
      </c>
      <c r="C360" s="14" t="s">
        <v>990</v>
      </c>
      <c r="D360" s="14" t="s">
        <v>997</v>
      </c>
      <c r="E360" s="14">
        <v>32</v>
      </c>
      <c r="F360" s="14" t="s">
        <v>477</v>
      </c>
      <c r="G360" s="14" t="s">
        <v>478</v>
      </c>
      <c r="H360" s="14"/>
      <c r="I360" s="14" t="s">
        <v>96</v>
      </c>
      <c r="J360" s="11" t="str">
        <f>HYPERLINK("https://www.codechef.com/problems/MATSEARCH", "https://www.codechef.com/problems/MATSEARCH")</f>
        <v>https://www.codechef.com/problems/MATSEARCH</v>
      </c>
      <c r="K360" s="14"/>
      <c r="L360" s="14"/>
      <c r="M360" s="14"/>
      <c r="N360" s="14" t="s">
        <v>50</v>
      </c>
      <c r="O360" s="14" t="s">
        <v>51</v>
      </c>
    </row>
    <row r="361" spans="1:15">
      <c r="A361" s="15" t="s">
        <v>9</v>
      </c>
      <c r="B361" s="15" t="s">
        <v>989</v>
      </c>
      <c r="C361" s="15" t="s">
        <v>990</v>
      </c>
      <c r="D361" s="15" t="s">
        <v>997</v>
      </c>
      <c r="E361" s="15">
        <v>33</v>
      </c>
      <c r="F361" s="15" t="s">
        <v>998</v>
      </c>
      <c r="G361" s="15" t="s">
        <v>999</v>
      </c>
      <c r="H361" s="15"/>
      <c r="I361" s="15" t="s">
        <v>96</v>
      </c>
      <c r="J361" s="7" t="str">
        <f>HYPERLINK("https://www.codechef.com/problems/DSCPPAS264", "https://www.codechef.com/problems/DSCPPAS264")</f>
        <v>https://www.codechef.com/problems/DSCPPAS264</v>
      </c>
      <c r="K361" s="15"/>
      <c r="L361" s="15"/>
      <c r="M361" s="15"/>
      <c r="N361" s="15" t="s">
        <v>50</v>
      </c>
      <c r="O361" s="15" t="s">
        <v>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dimension ref="A1:O260"/>
  <sheetViews>
    <sheetView workbookViewId="0"/>
  </sheetViews>
  <sheetFormatPr defaultRowHeight="14.5"/>
  <cols>
    <col min="1" max="1" width="13" customWidth="1"/>
    <col min="2" max="2" width="44" customWidth="1"/>
    <col min="3" max="3" width="246" customWidth="1"/>
    <col min="4" max="4" width="49" customWidth="1"/>
    <col min="5" max="5" width="16" customWidth="1"/>
    <col min="6" max="6" width="50" customWidth="1"/>
    <col min="7" max="7" width="15" customWidth="1"/>
    <col min="8" max="8" width="20" customWidth="1"/>
    <col min="9" max="9" width="19" customWidth="1"/>
    <col min="10" max="10" width="15" customWidth="1"/>
    <col min="11" max="11" width="17" customWidth="1"/>
    <col min="12" max="12" width="183" customWidth="1"/>
    <col min="13"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10</v>
      </c>
      <c r="B2" s="14" t="s">
        <v>1000</v>
      </c>
      <c r="C2" s="14" t="s">
        <v>1001</v>
      </c>
      <c r="D2" s="14" t="s">
        <v>1002</v>
      </c>
      <c r="E2" s="14">
        <v>1</v>
      </c>
      <c r="F2" s="14" t="s">
        <v>1003</v>
      </c>
      <c r="G2" s="14" t="s">
        <v>1004</v>
      </c>
      <c r="H2" s="14" t="s">
        <v>1005</v>
      </c>
      <c r="I2" s="14" t="s">
        <v>49</v>
      </c>
      <c r="J2" s="11" t="str">
        <f>HYPERLINK("https://www.codechef.com/problems/MISSP", "https://www.codechef.com/problems/MISSP")</f>
        <v>https://www.codechef.com/problems/MISSP</v>
      </c>
      <c r="K2" s="14"/>
      <c r="L2" s="14" t="s">
        <v>1006</v>
      </c>
      <c r="M2" s="14"/>
      <c r="N2" s="14" t="s">
        <v>50</v>
      </c>
      <c r="O2" s="14" t="s">
        <v>51</v>
      </c>
    </row>
    <row r="3" spans="1:15">
      <c r="A3" s="15" t="s">
        <v>10</v>
      </c>
      <c r="B3" s="15" t="s">
        <v>1000</v>
      </c>
      <c r="C3" s="15" t="s">
        <v>1001</v>
      </c>
      <c r="D3" s="15" t="s">
        <v>1002</v>
      </c>
      <c r="E3" s="15">
        <v>2</v>
      </c>
      <c r="F3" s="15" t="s">
        <v>1007</v>
      </c>
      <c r="G3" s="15" t="s">
        <v>1008</v>
      </c>
      <c r="H3" s="15" t="s">
        <v>1009</v>
      </c>
      <c r="I3" s="15" t="s">
        <v>49</v>
      </c>
      <c r="J3" s="7" t="str">
        <f>HYPERLINK("https://www.codechef.com/problems/CFRTEST", "https://www.codechef.com/problems/CFRTEST")</f>
        <v>https://www.codechef.com/problems/CFRTEST</v>
      </c>
      <c r="K3" s="15"/>
      <c r="L3" s="15"/>
      <c r="M3" s="15"/>
      <c r="N3" s="15" t="s">
        <v>50</v>
      </c>
      <c r="O3" s="15" t="s">
        <v>51</v>
      </c>
    </row>
    <row r="4" spans="1:15">
      <c r="A4" s="14" t="s">
        <v>10</v>
      </c>
      <c r="B4" s="14" t="s">
        <v>1000</v>
      </c>
      <c r="C4" s="14" t="s">
        <v>1001</v>
      </c>
      <c r="D4" s="14" t="s">
        <v>1002</v>
      </c>
      <c r="E4" s="14">
        <v>3</v>
      </c>
      <c r="F4" s="14" t="s">
        <v>1010</v>
      </c>
      <c r="G4" s="14" t="s">
        <v>1011</v>
      </c>
      <c r="H4" s="14" t="s">
        <v>63</v>
      </c>
      <c r="I4" s="14" t="s">
        <v>49</v>
      </c>
      <c r="J4" s="11" t="str">
        <f>HYPERLINK("https://www.codechef.com/problems/EQUALELE", "https://www.codechef.com/problems/EQUALELE")</f>
        <v>https://www.codechef.com/problems/EQUALELE</v>
      </c>
      <c r="K4" s="14"/>
      <c r="L4" s="14" t="s">
        <v>1012</v>
      </c>
      <c r="M4" s="14"/>
      <c r="N4" s="14" t="s">
        <v>50</v>
      </c>
      <c r="O4" s="14" t="s">
        <v>51</v>
      </c>
    </row>
    <row r="5" spans="1:15">
      <c r="A5" s="15" t="s">
        <v>10</v>
      </c>
      <c r="B5" s="15" t="s">
        <v>1000</v>
      </c>
      <c r="C5" s="15" t="s">
        <v>1001</v>
      </c>
      <c r="D5" s="15" t="s">
        <v>1002</v>
      </c>
      <c r="E5" s="15">
        <v>4</v>
      </c>
      <c r="F5" s="15" t="s">
        <v>1013</v>
      </c>
      <c r="G5" s="15" t="s">
        <v>1014</v>
      </c>
      <c r="H5" s="15" t="s">
        <v>1015</v>
      </c>
      <c r="I5" s="15" t="s">
        <v>49</v>
      </c>
      <c r="J5" s="7" t="str">
        <f>HYPERLINK("https://www.codechef.com/problems/DOMINANT2", "https://www.codechef.com/problems/DOMINANT2")</f>
        <v>https://www.codechef.com/problems/DOMINANT2</v>
      </c>
      <c r="K5" s="15"/>
      <c r="L5" s="15" t="s">
        <v>1012</v>
      </c>
      <c r="M5" s="15"/>
      <c r="N5" s="15" t="s">
        <v>50</v>
      </c>
      <c r="O5" s="15" t="s">
        <v>51</v>
      </c>
    </row>
    <row r="6" spans="1:15">
      <c r="A6" s="14" t="s">
        <v>10</v>
      </c>
      <c r="B6" s="14" t="s">
        <v>1000</v>
      </c>
      <c r="C6" s="14" t="s">
        <v>1001</v>
      </c>
      <c r="D6" s="14" t="s">
        <v>1002</v>
      </c>
      <c r="E6" s="14">
        <v>5</v>
      </c>
      <c r="F6" s="14" t="s">
        <v>1016</v>
      </c>
      <c r="G6" s="14" t="s">
        <v>1017</v>
      </c>
      <c r="H6" s="14" t="s">
        <v>1018</v>
      </c>
      <c r="I6" s="14" t="s">
        <v>49</v>
      </c>
      <c r="J6" s="11" t="str">
        <f>HYPERLINK("https://www.codechef.com/problems/DISTINCTCOL", "https://www.codechef.com/problems/DISTINCTCOL")</f>
        <v>https://www.codechef.com/problems/DISTINCTCOL</v>
      </c>
      <c r="K6" s="14"/>
      <c r="L6" s="14" t="s">
        <v>194</v>
      </c>
      <c r="M6" s="14"/>
      <c r="N6" s="14" t="s">
        <v>50</v>
      </c>
      <c r="O6" s="14" t="s">
        <v>51</v>
      </c>
    </row>
    <row r="7" spans="1:15">
      <c r="A7" s="15" t="s">
        <v>10</v>
      </c>
      <c r="B7" s="15" t="s">
        <v>1000</v>
      </c>
      <c r="C7" s="15" t="s">
        <v>1001</v>
      </c>
      <c r="D7" s="15" t="s">
        <v>1019</v>
      </c>
      <c r="E7" s="15">
        <v>6</v>
      </c>
      <c r="F7" s="15" t="s">
        <v>975</v>
      </c>
      <c r="G7" s="15" t="s">
        <v>976</v>
      </c>
      <c r="H7" s="15" t="s">
        <v>977</v>
      </c>
      <c r="I7" s="15" t="s">
        <v>49</v>
      </c>
      <c r="J7" s="7" t="str">
        <f>HYPERLINK("https://www.codechef.com/problems/LAPIN", "https://www.codechef.com/problems/LAPIN")</f>
        <v>https://www.codechef.com/problems/LAPIN</v>
      </c>
      <c r="K7" s="15"/>
      <c r="L7" s="15" t="s">
        <v>978</v>
      </c>
      <c r="M7" s="15"/>
      <c r="N7" s="15" t="s">
        <v>50</v>
      </c>
      <c r="O7" s="15" t="s">
        <v>51</v>
      </c>
    </row>
    <row r="8" spans="1:15">
      <c r="A8" s="14" t="s">
        <v>10</v>
      </c>
      <c r="B8" s="14" t="s">
        <v>1000</v>
      </c>
      <c r="C8" s="14" t="s">
        <v>1001</v>
      </c>
      <c r="D8" s="14" t="s">
        <v>1019</v>
      </c>
      <c r="E8" s="14">
        <v>7</v>
      </c>
      <c r="F8" s="14" t="s">
        <v>1020</v>
      </c>
      <c r="G8" s="14" t="s">
        <v>1021</v>
      </c>
      <c r="H8" s="14" t="s">
        <v>1022</v>
      </c>
      <c r="I8" s="14" t="s">
        <v>96</v>
      </c>
      <c r="J8" s="11" t="str">
        <f>HYPERLINK("https://www.codechef.com/problems/LELEMON", "https://www.codechef.com/problems/LELEMON")</f>
        <v>https://www.codechef.com/problems/LELEMON</v>
      </c>
      <c r="K8" s="14"/>
      <c r="L8" s="14"/>
      <c r="M8" s="14"/>
      <c r="N8" s="14" t="s">
        <v>50</v>
      </c>
      <c r="O8" s="14" t="s">
        <v>51</v>
      </c>
    </row>
    <row r="9" spans="1:15">
      <c r="A9" s="15" t="s">
        <v>10</v>
      </c>
      <c r="B9" s="15" t="s">
        <v>1000</v>
      </c>
      <c r="C9" s="15" t="s">
        <v>1001</v>
      </c>
      <c r="D9" s="15" t="s">
        <v>1019</v>
      </c>
      <c r="E9" s="15">
        <v>8</v>
      </c>
      <c r="F9" s="15" t="s">
        <v>1023</v>
      </c>
      <c r="G9" s="15" t="s">
        <v>1024</v>
      </c>
      <c r="H9" s="15" t="s">
        <v>1025</v>
      </c>
      <c r="I9" s="15" t="s">
        <v>49</v>
      </c>
      <c r="J9" s="7" t="str">
        <f>HYPERLINK("https://www.codechef.com/problems/EQDIS", "https://www.codechef.com/problems/EQDIS")</f>
        <v>https://www.codechef.com/problems/EQDIS</v>
      </c>
      <c r="K9" s="15"/>
      <c r="L9" s="15"/>
      <c r="M9" s="15"/>
      <c r="N9" s="15" t="s">
        <v>50</v>
      </c>
      <c r="O9" s="15" t="s">
        <v>51</v>
      </c>
    </row>
    <row r="10" spans="1:15">
      <c r="A10" s="14" t="s">
        <v>10</v>
      </c>
      <c r="B10" s="14" t="s">
        <v>1000</v>
      </c>
      <c r="C10" s="14" t="s">
        <v>1001</v>
      </c>
      <c r="D10" s="14" t="s">
        <v>1019</v>
      </c>
      <c r="E10" s="14">
        <v>9</v>
      </c>
      <c r="F10" s="14" t="s">
        <v>1026</v>
      </c>
      <c r="G10" s="14" t="s">
        <v>1027</v>
      </c>
      <c r="H10" s="14" t="s">
        <v>1028</v>
      </c>
      <c r="I10" s="14" t="s">
        <v>96</v>
      </c>
      <c r="J10" s="11" t="str">
        <f>HYPERLINK("https://www.codechef.com/problems/MAXEXP", "https://www.codechef.com/problems/MAXEXP")</f>
        <v>https://www.codechef.com/problems/MAXEXP</v>
      </c>
      <c r="K10" s="14"/>
      <c r="L10" s="14"/>
      <c r="M10" s="14"/>
      <c r="N10" s="14" t="s">
        <v>50</v>
      </c>
      <c r="O10" s="14" t="s">
        <v>51</v>
      </c>
    </row>
    <row r="11" spans="1:15">
      <c r="A11" s="15" t="s">
        <v>10</v>
      </c>
      <c r="B11" s="15" t="s">
        <v>1000</v>
      </c>
      <c r="C11" s="15" t="s">
        <v>1001</v>
      </c>
      <c r="D11" s="15" t="s">
        <v>1019</v>
      </c>
      <c r="E11" s="15">
        <v>10</v>
      </c>
      <c r="F11" s="15" t="s">
        <v>1029</v>
      </c>
      <c r="G11" s="15" t="s">
        <v>1030</v>
      </c>
      <c r="H11" s="15" t="s">
        <v>650</v>
      </c>
      <c r="I11" s="15" t="s">
        <v>96</v>
      </c>
      <c r="J11" s="7" t="str">
        <f>HYPERLINK("https://www.codechef.com/problems/LISTLIST", "https://www.codechef.com/problems/LISTLIST")</f>
        <v>https://www.codechef.com/problems/LISTLIST</v>
      </c>
      <c r="K11" s="15"/>
      <c r="L11" s="15"/>
      <c r="M11" s="15"/>
      <c r="N11" s="15" t="s">
        <v>50</v>
      </c>
      <c r="O11" s="15" t="s">
        <v>51</v>
      </c>
    </row>
    <row r="12" spans="1:15">
      <c r="A12" s="14" t="s">
        <v>10</v>
      </c>
      <c r="B12" s="14" t="s">
        <v>1031</v>
      </c>
      <c r="C12" s="14" t="s">
        <v>1032</v>
      </c>
      <c r="D12" s="14" t="s">
        <v>1033</v>
      </c>
      <c r="E12" s="14">
        <v>1</v>
      </c>
      <c r="F12" s="14" t="s">
        <v>1034</v>
      </c>
      <c r="G12" s="14" t="s">
        <v>1035</v>
      </c>
      <c r="H12" s="14"/>
      <c r="I12" s="14" t="s">
        <v>96</v>
      </c>
      <c r="J12" s="11" t="str">
        <f>HYPERLINK("https://www.codechef.com/problems/TDQVH01", "https://www.codechef.com/problems/TDQVH01")</f>
        <v>https://www.codechef.com/problems/TDQVH01</v>
      </c>
      <c r="K12" s="14"/>
      <c r="L12" s="14"/>
      <c r="M12" s="14"/>
      <c r="N12" s="14" t="s">
        <v>50</v>
      </c>
      <c r="O12" s="14" t="s">
        <v>51</v>
      </c>
    </row>
    <row r="13" spans="1:15">
      <c r="A13" s="15" t="s">
        <v>10</v>
      </c>
      <c r="B13" s="15" t="s">
        <v>1031</v>
      </c>
      <c r="C13" s="15" t="s">
        <v>1032</v>
      </c>
      <c r="D13" s="15" t="s">
        <v>1033</v>
      </c>
      <c r="E13" s="15">
        <v>2</v>
      </c>
      <c r="F13" s="15" t="s">
        <v>702</v>
      </c>
      <c r="G13" s="15" t="s">
        <v>1036</v>
      </c>
      <c r="H13" s="15" t="s">
        <v>500</v>
      </c>
      <c r="I13" s="15" t="s">
        <v>49</v>
      </c>
      <c r="J13" s="7" t="str">
        <f>HYPERLINK("https://www.codechef.com/problems/XYSTR", "https://www.codechef.com/problems/XYSTR")</f>
        <v>https://www.codechef.com/problems/XYSTR</v>
      </c>
      <c r="K13" s="15"/>
      <c r="L13" s="15"/>
      <c r="M13" s="15"/>
      <c r="N13" s="15" t="s">
        <v>50</v>
      </c>
      <c r="O13" s="15" t="s">
        <v>51</v>
      </c>
    </row>
    <row r="14" spans="1:15">
      <c r="A14" s="14" t="s">
        <v>10</v>
      </c>
      <c r="B14" s="14" t="s">
        <v>1031</v>
      </c>
      <c r="C14" s="14" t="s">
        <v>1032</v>
      </c>
      <c r="D14" s="14" t="s">
        <v>1033</v>
      </c>
      <c r="E14" s="14">
        <v>3</v>
      </c>
      <c r="F14" s="14" t="s">
        <v>1037</v>
      </c>
      <c r="G14" s="14" t="s">
        <v>1038</v>
      </c>
      <c r="H14" s="14" t="s">
        <v>1039</v>
      </c>
      <c r="I14" s="14" t="s">
        <v>49</v>
      </c>
      <c r="J14" s="11" t="str">
        <f>HYPERLINK("https://www.codechef.com/problems/PERMEXIS", "https://www.codechef.com/problems/PERMEXIS")</f>
        <v>https://www.codechef.com/problems/PERMEXIS</v>
      </c>
      <c r="K14" s="14"/>
      <c r="L14" s="14"/>
      <c r="M14" s="14"/>
      <c r="N14" s="14" t="s">
        <v>50</v>
      </c>
      <c r="O14" s="14" t="s">
        <v>51</v>
      </c>
    </row>
    <row r="15" spans="1:15">
      <c r="A15" s="15" t="s">
        <v>10</v>
      </c>
      <c r="B15" s="15" t="s">
        <v>1031</v>
      </c>
      <c r="C15" s="15" t="s">
        <v>1032</v>
      </c>
      <c r="D15" s="15" t="s">
        <v>1033</v>
      </c>
      <c r="E15" s="15">
        <v>4</v>
      </c>
      <c r="F15" s="15" t="s">
        <v>833</v>
      </c>
      <c r="G15" s="15" t="s">
        <v>834</v>
      </c>
      <c r="H15" s="15"/>
      <c r="I15" s="15" t="s">
        <v>96</v>
      </c>
      <c r="J15" s="7" t="str">
        <f>HYPERLINK("https://www.codechef.com/problems/COOKIEDIST", "https://www.codechef.com/problems/COOKIEDIST")</f>
        <v>https://www.codechef.com/problems/COOKIEDIST</v>
      </c>
      <c r="K15" s="15"/>
      <c r="L15" s="15"/>
      <c r="M15" s="15"/>
      <c r="N15" s="15" t="s">
        <v>50</v>
      </c>
      <c r="O15" s="15" t="s">
        <v>51</v>
      </c>
    </row>
    <row r="16" spans="1:15">
      <c r="A16" s="14" t="s">
        <v>10</v>
      </c>
      <c r="B16" s="14" t="s">
        <v>1031</v>
      </c>
      <c r="C16" s="14" t="s">
        <v>1032</v>
      </c>
      <c r="D16" s="14" t="s">
        <v>1033</v>
      </c>
      <c r="E16" s="14">
        <v>5</v>
      </c>
      <c r="F16" s="14" t="s">
        <v>1040</v>
      </c>
      <c r="G16" s="14" t="s">
        <v>1041</v>
      </c>
      <c r="H16" s="14" t="s">
        <v>1042</v>
      </c>
      <c r="I16" s="14" t="s">
        <v>96</v>
      </c>
      <c r="J16" s="11" t="str">
        <f>HYPERLINK("https://www.codechef.com/problems/MOONSOON", "https://www.codechef.com/problems/MOONSOON")</f>
        <v>https://www.codechef.com/problems/MOONSOON</v>
      </c>
      <c r="K16" s="14"/>
      <c r="L16" s="14" t="s">
        <v>1043</v>
      </c>
      <c r="M16" s="14"/>
      <c r="N16" s="14" t="s">
        <v>50</v>
      </c>
      <c r="O16" s="14" t="s">
        <v>51</v>
      </c>
    </row>
    <row r="17" spans="1:15">
      <c r="A17" s="15" t="s">
        <v>10</v>
      </c>
      <c r="B17" s="15" t="s">
        <v>1031</v>
      </c>
      <c r="C17" s="15" t="s">
        <v>1032</v>
      </c>
      <c r="D17" s="15" t="s">
        <v>1033</v>
      </c>
      <c r="E17" s="15">
        <v>6</v>
      </c>
      <c r="F17" s="15" t="s">
        <v>279</v>
      </c>
      <c r="G17" s="15" t="s">
        <v>280</v>
      </c>
      <c r="H17" s="15" t="s">
        <v>281</v>
      </c>
      <c r="I17" s="15" t="s">
        <v>49</v>
      </c>
      <c r="J17" s="7" t="str">
        <f>HYPERLINK("https://www.codechef.com/problems/MAXDIFF", "https://www.codechef.com/problems/MAXDIFF")</f>
        <v>https://www.codechef.com/problems/MAXDIFF</v>
      </c>
      <c r="K17" s="15"/>
      <c r="L17" s="15"/>
      <c r="M17" s="15"/>
      <c r="N17" s="15" t="s">
        <v>50</v>
      </c>
      <c r="O17" s="15" t="s">
        <v>51</v>
      </c>
    </row>
    <row r="18" spans="1:15">
      <c r="A18" s="14" t="s">
        <v>10</v>
      </c>
      <c r="B18" s="14" t="s">
        <v>1031</v>
      </c>
      <c r="C18" s="14" t="s">
        <v>1032</v>
      </c>
      <c r="D18" s="14" t="s">
        <v>1033</v>
      </c>
      <c r="E18" s="14">
        <v>7</v>
      </c>
      <c r="F18" s="14" t="s">
        <v>1044</v>
      </c>
      <c r="G18" s="14" t="s">
        <v>1045</v>
      </c>
      <c r="H18" s="14" t="s">
        <v>1046</v>
      </c>
      <c r="I18" s="14" t="s">
        <v>49</v>
      </c>
      <c r="J18" s="11" t="str">
        <f>HYPERLINK("https://www.codechef.com/problems/TACHSTCK", "https://www.codechef.com/problems/TACHSTCK")</f>
        <v>https://www.codechef.com/problems/TACHSTCK</v>
      </c>
      <c r="K18" s="14"/>
      <c r="L18" s="14"/>
      <c r="M18" s="14"/>
      <c r="N18" s="14" t="s">
        <v>50</v>
      </c>
      <c r="O18" s="14" t="s">
        <v>51</v>
      </c>
    </row>
    <row r="19" spans="1:15">
      <c r="A19" s="15" t="s">
        <v>10</v>
      </c>
      <c r="B19" s="15" t="s">
        <v>1031</v>
      </c>
      <c r="C19" s="15" t="s">
        <v>1032</v>
      </c>
      <c r="D19" s="15" t="s">
        <v>1033</v>
      </c>
      <c r="E19" s="15">
        <v>8</v>
      </c>
      <c r="F19" s="15" t="s">
        <v>1047</v>
      </c>
      <c r="G19" s="15" t="s">
        <v>1048</v>
      </c>
      <c r="H19" s="15" t="s">
        <v>1049</v>
      </c>
      <c r="I19" s="15" t="s">
        <v>96</v>
      </c>
      <c r="J19" s="7" t="str">
        <f>HYPERLINK("https://www.codechef.com/problems/SUMPAIR", "https://www.codechef.com/problems/SUMPAIR")</f>
        <v>https://www.codechef.com/problems/SUMPAIR</v>
      </c>
      <c r="K19" s="15"/>
      <c r="L19" s="15"/>
      <c r="M19" s="15"/>
      <c r="N19" s="15" t="s">
        <v>50</v>
      </c>
      <c r="O19" s="15" t="s">
        <v>51</v>
      </c>
    </row>
    <row r="20" spans="1:15">
      <c r="A20" s="14" t="s">
        <v>10</v>
      </c>
      <c r="B20" s="14" t="s">
        <v>1031</v>
      </c>
      <c r="C20" s="14" t="s">
        <v>1032</v>
      </c>
      <c r="D20" s="14" t="s">
        <v>1050</v>
      </c>
      <c r="E20" s="14">
        <v>9</v>
      </c>
      <c r="F20" s="14" t="s">
        <v>846</v>
      </c>
      <c r="G20" s="14" t="s">
        <v>847</v>
      </c>
      <c r="H20" s="14"/>
      <c r="I20" s="14" t="s">
        <v>96</v>
      </c>
      <c r="J20" s="11" t="str">
        <f>HYPERLINK("https://www.codechef.com/problems/GBHHA01", "https://www.codechef.com/problems/GBHHA01")</f>
        <v>https://www.codechef.com/problems/GBHHA01</v>
      </c>
      <c r="K20" s="14"/>
      <c r="L20" s="14"/>
      <c r="M20" s="14"/>
      <c r="N20" s="14" t="s">
        <v>50</v>
      </c>
      <c r="O20" s="14" t="s">
        <v>51</v>
      </c>
    </row>
    <row r="21" spans="1:15">
      <c r="A21" s="15" t="s">
        <v>10</v>
      </c>
      <c r="B21" s="15" t="s">
        <v>1031</v>
      </c>
      <c r="C21" s="15" t="s">
        <v>1032</v>
      </c>
      <c r="D21" s="15" t="s">
        <v>1050</v>
      </c>
      <c r="E21" s="15">
        <v>10</v>
      </c>
      <c r="F21" s="15" t="s">
        <v>1051</v>
      </c>
      <c r="G21" s="15" t="s">
        <v>1052</v>
      </c>
      <c r="H21" s="15"/>
      <c r="I21" s="15" t="s">
        <v>96</v>
      </c>
      <c r="J21" s="7" t="str">
        <f>HYPERLINK("https://www.codechef.com/problems/NSJNH01", "https://www.codechef.com/problems/NSJNH01")</f>
        <v>https://www.codechef.com/problems/NSJNH01</v>
      </c>
      <c r="K21" s="15"/>
      <c r="L21" s="15"/>
      <c r="M21" s="15"/>
      <c r="N21" s="15" t="s">
        <v>50</v>
      </c>
      <c r="O21" s="15" t="s">
        <v>51</v>
      </c>
    </row>
    <row r="22" spans="1:15">
      <c r="A22" s="14" t="s">
        <v>10</v>
      </c>
      <c r="B22" s="14" t="s">
        <v>1031</v>
      </c>
      <c r="C22" s="14" t="s">
        <v>1032</v>
      </c>
      <c r="D22" s="14" t="s">
        <v>1050</v>
      </c>
      <c r="E22" s="14">
        <v>11</v>
      </c>
      <c r="F22" s="14" t="s">
        <v>848</v>
      </c>
      <c r="G22" s="14" t="s">
        <v>849</v>
      </c>
      <c r="H22" s="14"/>
      <c r="I22" s="14" t="s">
        <v>96</v>
      </c>
      <c r="J22" s="11" t="str">
        <f>HYPERLINK("https://www.codechef.com/problems/COCRZ01", "https://www.codechef.com/problems/COCRZ01")</f>
        <v>https://www.codechef.com/problems/COCRZ01</v>
      </c>
      <c r="K22" s="14"/>
      <c r="L22" s="14"/>
      <c r="M22" s="14"/>
      <c r="N22" s="14" t="s">
        <v>50</v>
      </c>
      <c r="O22" s="14" t="s">
        <v>51</v>
      </c>
    </row>
    <row r="23" spans="1:15">
      <c r="A23" s="15" t="s">
        <v>10</v>
      </c>
      <c r="B23" s="15" t="s">
        <v>1031</v>
      </c>
      <c r="C23" s="15" t="s">
        <v>1032</v>
      </c>
      <c r="D23" s="15" t="s">
        <v>1050</v>
      </c>
      <c r="E23" s="15">
        <v>12</v>
      </c>
      <c r="F23" s="15" t="s">
        <v>707</v>
      </c>
      <c r="G23" s="15" t="s">
        <v>1053</v>
      </c>
      <c r="H23" s="15" t="s">
        <v>413</v>
      </c>
      <c r="I23" s="15" t="s">
        <v>96</v>
      </c>
      <c r="J23" s="7" t="str">
        <f>HYPERLINK("https://www.codechef.com/problems/ZCO15003", "https://www.codechef.com/problems/ZCO15003")</f>
        <v>https://www.codechef.com/problems/ZCO15003</v>
      </c>
      <c r="K23" s="15"/>
      <c r="L23" s="15"/>
      <c r="M23" s="15"/>
      <c r="N23" s="15" t="s">
        <v>50</v>
      </c>
      <c r="O23" s="15" t="s">
        <v>51</v>
      </c>
    </row>
    <row r="24" spans="1:15">
      <c r="A24" s="14" t="s">
        <v>10</v>
      </c>
      <c r="B24" s="14" t="s">
        <v>1031</v>
      </c>
      <c r="C24" s="14" t="s">
        <v>1032</v>
      </c>
      <c r="D24" s="14" t="s">
        <v>1050</v>
      </c>
      <c r="E24" s="14">
        <v>13</v>
      </c>
      <c r="F24" s="14" t="s">
        <v>1054</v>
      </c>
      <c r="G24" s="14" t="s">
        <v>1055</v>
      </c>
      <c r="H24" s="14" t="s">
        <v>1056</v>
      </c>
      <c r="I24" s="14" t="s">
        <v>96</v>
      </c>
      <c r="J24" s="11" t="str">
        <f>HYPERLINK("https://www.codechef.com/problems/LEMUSIC", "https://www.codechef.com/problems/LEMUSIC")</f>
        <v>https://www.codechef.com/problems/LEMUSIC</v>
      </c>
      <c r="K24" s="14"/>
      <c r="L24" s="14"/>
      <c r="M24" s="14"/>
      <c r="N24" s="14" t="s">
        <v>50</v>
      </c>
      <c r="O24" s="14" t="s">
        <v>51</v>
      </c>
    </row>
    <row r="25" spans="1:15">
      <c r="A25" s="15" t="s">
        <v>10</v>
      </c>
      <c r="B25" s="15" t="s">
        <v>1031</v>
      </c>
      <c r="C25" s="15" t="s">
        <v>1032</v>
      </c>
      <c r="D25" s="15" t="s">
        <v>1050</v>
      </c>
      <c r="E25" s="15">
        <v>14</v>
      </c>
      <c r="F25" s="15" t="s">
        <v>610</v>
      </c>
      <c r="G25" s="15" t="s">
        <v>611</v>
      </c>
      <c r="H25" s="15" t="s">
        <v>612</v>
      </c>
      <c r="I25" s="15" t="s">
        <v>96</v>
      </c>
      <c r="J25" s="7" t="str">
        <f>HYPERLINK("https://www.codechef.com/problems/MAXSC", "https://www.codechef.com/problems/MAXSC")</f>
        <v>https://www.codechef.com/problems/MAXSC</v>
      </c>
      <c r="K25" s="15"/>
      <c r="L25" s="15"/>
      <c r="M25" s="15"/>
      <c r="N25" s="15" t="s">
        <v>50</v>
      </c>
      <c r="O25" s="15" t="s">
        <v>51</v>
      </c>
    </row>
    <row r="26" spans="1:15">
      <c r="A26" s="14" t="s">
        <v>10</v>
      </c>
      <c r="B26" s="14" t="s">
        <v>1031</v>
      </c>
      <c r="C26" s="14" t="s">
        <v>1032</v>
      </c>
      <c r="D26" s="14" t="s">
        <v>1050</v>
      </c>
      <c r="E26" s="14">
        <v>15</v>
      </c>
      <c r="F26" s="14" t="s">
        <v>1057</v>
      </c>
      <c r="G26" s="14" t="s">
        <v>1058</v>
      </c>
      <c r="H26" s="14" t="s">
        <v>343</v>
      </c>
      <c r="I26" s="14" t="s">
        <v>96</v>
      </c>
      <c r="J26" s="11" t="str">
        <f>HYPERLINK("https://www.codechef.com/problems/SNELECT", "https://www.codechef.com/problems/SNELECT")</f>
        <v>https://www.codechef.com/problems/SNELECT</v>
      </c>
      <c r="K26" s="14"/>
      <c r="L26" s="14"/>
      <c r="M26" s="14"/>
      <c r="N26" s="14" t="s">
        <v>50</v>
      </c>
      <c r="O26" s="14" t="s">
        <v>51</v>
      </c>
    </row>
    <row r="27" spans="1:15">
      <c r="A27" s="15" t="s">
        <v>10</v>
      </c>
      <c r="B27" s="15" t="s">
        <v>1031</v>
      </c>
      <c r="C27" s="15" t="s">
        <v>1032</v>
      </c>
      <c r="D27" s="15" t="s">
        <v>1050</v>
      </c>
      <c r="E27" s="15">
        <v>16</v>
      </c>
      <c r="F27" s="15" t="s">
        <v>1059</v>
      </c>
      <c r="G27" s="15" t="s">
        <v>1060</v>
      </c>
      <c r="H27" s="15"/>
      <c r="I27" s="15" t="s">
        <v>322</v>
      </c>
      <c r="J27" s="7" t="str">
        <f>HYPERLINK("https://www.codechef.com/problems/ADYOB01", "https://www.codechef.com/problems/ADYOB01")</f>
        <v>https://www.codechef.com/problems/ADYOB01</v>
      </c>
      <c r="K27" s="15"/>
      <c r="L27" s="15"/>
      <c r="M27" s="15"/>
      <c r="N27" s="15" t="s">
        <v>50</v>
      </c>
      <c r="O27" s="15" t="s">
        <v>51</v>
      </c>
    </row>
    <row r="28" spans="1:15">
      <c r="A28" s="14" t="s">
        <v>10</v>
      </c>
      <c r="B28" s="14" t="s">
        <v>1031</v>
      </c>
      <c r="C28" s="14" t="s">
        <v>1032</v>
      </c>
      <c r="D28" s="14" t="s">
        <v>1050</v>
      </c>
      <c r="E28" s="14">
        <v>17</v>
      </c>
      <c r="F28" s="14" t="s">
        <v>1061</v>
      </c>
      <c r="G28" s="14" t="s">
        <v>1062</v>
      </c>
      <c r="H28" s="14"/>
      <c r="I28" s="14" t="s">
        <v>322</v>
      </c>
      <c r="J28" s="11" t="str">
        <f>HYPERLINK("https://www.codechef.com/problems/AVEEC01", "https://www.codechef.com/problems/AVEEC01")</f>
        <v>https://www.codechef.com/problems/AVEEC01</v>
      </c>
      <c r="K28" s="14"/>
      <c r="L28" s="14"/>
      <c r="M28" s="14"/>
      <c r="N28" s="14" t="s">
        <v>50</v>
      </c>
      <c r="O28" s="14" t="s">
        <v>51</v>
      </c>
    </row>
    <row r="29" spans="1:15">
      <c r="A29" s="15" t="s">
        <v>10</v>
      </c>
      <c r="B29" s="15" t="s">
        <v>1031</v>
      </c>
      <c r="C29" s="15" t="s">
        <v>1032</v>
      </c>
      <c r="D29" s="15" t="s">
        <v>1050</v>
      </c>
      <c r="E29" s="15">
        <v>18</v>
      </c>
      <c r="F29" s="15" t="s">
        <v>645</v>
      </c>
      <c r="G29" s="15" t="s">
        <v>646</v>
      </c>
      <c r="H29" s="15" t="s">
        <v>647</v>
      </c>
      <c r="I29" s="15" t="s">
        <v>96</v>
      </c>
      <c r="J29" s="7" t="str">
        <f>HYPERLINK("https://www.codechef.com/problems/KLIP", "https://www.codechef.com/problems/KLIP")</f>
        <v>https://www.codechef.com/problems/KLIP</v>
      </c>
      <c r="K29" s="15"/>
      <c r="L29" s="15"/>
      <c r="M29" s="15"/>
      <c r="N29" s="15" t="s">
        <v>50</v>
      </c>
      <c r="O29" s="15" t="s">
        <v>51</v>
      </c>
    </row>
    <row r="30" spans="1:15">
      <c r="A30" s="14" t="s">
        <v>10</v>
      </c>
      <c r="B30" s="14" t="s">
        <v>1063</v>
      </c>
      <c r="C30" s="14" t="s">
        <v>1064</v>
      </c>
      <c r="D30" s="14" t="s">
        <v>1065</v>
      </c>
      <c r="E30" s="14">
        <v>1</v>
      </c>
      <c r="F30" s="14" t="s">
        <v>1066</v>
      </c>
      <c r="G30" s="14" t="s">
        <v>1067</v>
      </c>
      <c r="H30" s="14" t="s">
        <v>1068</v>
      </c>
      <c r="I30" s="14" t="s">
        <v>96</v>
      </c>
      <c r="J30" s="11" t="str">
        <f>HYPERLINK("https://www.codechef.com/problems/SHKNUM", "https://www.codechef.com/problems/SHKNUM")</f>
        <v>https://www.codechef.com/problems/SHKNUM</v>
      </c>
      <c r="K30" s="14"/>
      <c r="L30" s="14"/>
      <c r="M30" s="14"/>
      <c r="N30" s="14" t="s">
        <v>50</v>
      </c>
      <c r="O30" s="14" t="s">
        <v>51</v>
      </c>
    </row>
    <row r="31" spans="1:15">
      <c r="A31" s="15" t="s">
        <v>10</v>
      </c>
      <c r="B31" s="15" t="s">
        <v>1063</v>
      </c>
      <c r="C31" s="15" t="s">
        <v>1064</v>
      </c>
      <c r="D31" s="15" t="s">
        <v>1065</v>
      </c>
      <c r="E31" s="15">
        <v>2</v>
      </c>
      <c r="F31" s="15" t="s">
        <v>1069</v>
      </c>
      <c r="G31" s="15" t="s">
        <v>1070</v>
      </c>
      <c r="H31" s="15" t="s">
        <v>1071</v>
      </c>
      <c r="I31" s="15" t="s">
        <v>96</v>
      </c>
      <c r="J31" s="7" t="str">
        <f>HYPERLINK("https://www.codechef.com/problems/MINEAT", "https://www.codechef.com/problems/MINEAT")</f>
        <v>https://www.codechef.com/problems/MINEAT</v>
      </c>
      <c r="K31" s="15"/>
      <c r="L31" s="15"/>
      <c r="M31" s="15"/>
      <c r="N31" s="15" t="s">
        <v>50</v>
      </c>
      <c r="O31" s="15" t="s">
        <v>51</v>
      </c>
    </row>
    <row r="32" spans="1:15">
      <c r="A32" s="14" t="s">
        <v>10</v>
      </c>
      <c r="B32" s="14" t="s">
        <v>1063</v>
      </c>
      <c r="C32" s="14" t="s">
        <v>1064</v>
      </c>
      <c r="D32" s="14" t="s">
        <v>1065</v>
      </c>
      <c r="E32" s="14">
        <v>3</v>
      </c>
      <c r="F32" s="14" t="s">
        <v>1072</v>
      </c>
      <c r="G32" s="14" t="s">
        <v>1073</v>
      </c>
      <c r="H32" s="14" t="s">
        <v>1074</v>
      </c>
      <c r="I32" s="14" t="s">
        <v>96</v>
      </c>
      <c r="J32" s="11" t="str">
        <f>HYPERLINK("https://www.codechef.com/problems/SNAKEEAT", "https://www.codechef.com/problems/SNAKEEAT")</f>
        <v>https://www.codechef.com/problems/SNAKEEAT</v>
      </c>
      <c r="K32" s="14"/>
      <c r="L32" s="14"/>
      <c r="M32" s="14"/>
      <c r="N32" s="14" t="s">
        <v>50</v>
      </c>
      <c r="O32" s="14" t="s">
        <v>51</v>
      </c>
    </row>
    <row r="33" spans="1:15">
      <c r="A33" s="15" t="s">
        <v>10</v>
      </c>
      <c r="B33" s="15" t="s">
        <v>1063</v>
      </c>
      <c r="C33" s="15" t="s">
        <v>1064</v>
      </c>
      <c r="D33" s="15" t="s">
        <v>1065</v>
      </c>
      <c r="E33" s="15">
        <v>4</v>
      </c>
      <c r="F33" s="15" t="s">
        <v>577</v>
      </c>
      <c r="G33" s="15" t="s">
        <v>578</v>
      </c>
      <c r="H33" s="15"/>
      <c r="I33" s="15" t="s">
        <v>96</v>
      </c>
      <c r="J33" s="7" t="str">
        <f>HYPERLINK("https://www.codechef.com/problems/BSEX01", "https://www.codechef.com/problems/BSEX01")</f>
        <v>https://www.codechef.com/problems/BSEX01</v>
      </c>
      <c r="K33" s="15"/>
      <c r="L33" s="15"/>
      <c r="M33" s="15"/>
      <c r="N33" s="15" t="s">
        <v>50</v>
      </c>
      <c r="O33" s="15" t="s">
        <v>51</v>
      </c>
    </row>
    <row r="34" spans="1:15">
      <c r="A34" s="14" t="s">
        <v>10</v>
      </c>
      <c r="B34" s="14" t="s">
        <v>1063</v>
      </c>
      <c r="C34" s="14" t="s">
        <v>1064</v>
      </c>
      <c r="D34" s="14" t="s">
        <v>1065</v>
      </c>
      <c r="E34" s="14">
        <v>5</v>
      </c>
      <c r="F34" s="14" t="s">
        <v>1075</v>
      </c>
      <c r="G34" s="14" t="s">
        <v>1076</v>
      </c>
      <c r="H34" s="14"/>
      <c r="I34" s="14" t="s">
        <v>322</v>
      </c>
      <c r="J34" s="11" t="str">
        <f>HYPERLINK("https://www.codechef.com/problems/BSEX03", "https://www.codechef.com/problems/BSEX03")</f>
        <v>https://www.codechef.com/problems/BSEX03</v>
      </c>
      <c r="K34" s="14"/>
      <c r="L34" s="14"/>
      <c r="M34" s="14"/>
      <c r="N34" s="14" t="s">
        <v>50</v>
      </c>
      <c r="O34" s="14" t="s">
        <v>51</v>
      </c>
    </row>
    <row r="35" spans="1:15">
      <c r="A35" s="15" t="s">
        <v>10</v>
      </c>
      <c r="B35" s="15" t="s">
        <v>1063</v>
      </c>
      <c r="C35" s="15" t="s">
        <v>1064</v>
      </c>
      <c r="D35" s="15" t="s">
        <v>1065</v>
      </c>
      <c r="E35" s="15">
        <v>6</v>
      </c>
      <c r="F35" s="15" t="s">
        <v>1077</v>
      </c>
      <c r="G35" s="15" t="s">
        <v>1078</v>
      </c>
      <c r="H35" s="15"/>
      <c r="I35" s="15" t="s">
        <v>322</v>
      </c>
      <c r="J35" s="7" t="str">
        <f>HYPERLINK("https://www.codechef.com/problems/MINROTSORTED", "https://www.codechef.com/problems/MINROTSORTED")</f>
        <v>https://www.codechef.com/problems/MINROTSORTED</v>
      </c>
      <c r="K35" s="15"/>
      <c r="L35" s="15"/>
      <c r="M35" s="15"/>
      <c r="N35" s="15" t="s">
        <v>50</v>
      </c>
      <c r="O35" s="15" t="s">
        <v>51</v>
      </c>
    </row>
    <row r="36" spans="1:15">
      <c r="A36" s="14" t="s">
        <v>10</v>
      </c>
      <c r="B36" s="14" t="s">
        <v>1063</v>
      </c>
      <c r="C36" s="14" t="s">
        <v>1064</v>
      </c>
      <c r="D36" s="14" t="s">
        <v>1065</v>
      </c>
      <c r="E36" s="14">
        <v>7</v>
      </c>
      <c r="F36" s="14" t="s">
        <v>1079</v>
      </c>
      <c r="G36" s="14" t="s">
        <v>1080</v>
      </c>
      <c r="H36" s="14"/>
      <c r="I36" s="14" t="s">
        <v>96</v>
      </c>
      <c r="J36" s="11" t="str">
        <f>HYPERLINK("https://www.codechef.com/problems/BSEX04", "https://www.codechef.com/problems/BSEX04")</f>
        <v>https://www.codechef.com/problems/BSEX04</v>
      </c>
      <c r="K36" s="14"/>
      <c r="L36" s="14"/>
      <c r="M36" s="14"/>
      <c r="N36" s="14" t="s">
        <v>50</v>
      </c>
      <c r="O36" s="14" t="s">
        <v>51</v>
      </c>
    </row>
    <row r="37" spans="1:15">
      <c r="A37" s="15" t="s">
        <v>10</v>
      </c>
      <c r="B37" s="15" t="s">
        <v>1063</v>
      </c>
      <c r="C37" s="15" t="s">
        <v>1064</v>
      </c>
      <c r="D37" s="15" t="s">
        <v>1065</v>
      </c>
      <c r="E37" s="15">
        <v>8</v>
      </c>
      <c r="F37" s="15" t="s">
        <v>1081</v>
      </c>
      <c r="G37" s="15" t="s">
        <v>1082</v>
      </c>
      <c r="H37" s="15"/>
      <c r="I37" s="15" t="s">
        <v>322</v>
      </c>
      <c r="J37" s="7" t="str">
        <f>HYPERLINK("https://www.codechef.com/problems/BSEX05", "https://www.codechef.com/problems/BSEX05")</f>
        <v>https://www.codechef.com/problems/BSEX05</v>
      </c>
      <c r="K37" s="15"/>
      <c r="L37" s="15"/>
      <c r="M37" s="15"/>
      <c r="N37" s="15" t="s">
        <v>50</v>
      </c>
      <c r="O37" s="15" t="s">
        <v>51</v>
      </c>
    </row>
    <row r="38" spans="1:15">
      <c r="A38" s="14" t="s">
        <v>10</v>
      </c>
      <c r="B38" s="14" t="s">
        <v>1063</v>
      </c>
      <c r="C38" s="14" t="s">
        <v>1064</v>
      </c>
      <c r="D38" s="14" t="s">
        <v>1065</v>
      </c>
      <c r="E38" s="14">
        <v>9</v>
      </c>
      <c r="F38" s="14" t="s">
        <v>1083</v>
      </c>
      <c r="G38" s="14" t="s">
        <v>1084</v>
      </c>
      <c r="H38" s="14"/>
      <c r="I38" s="14" t="s">
        <v>96</v>
      </c>
      <c r="J38" s="11" t="str">
        <f>HYPERLINK("https://www.codechef.com/problems/FINDPEAK", "https://www.codechef.com/problems/FINDPEAK")</f>
        <v>https://www.codechef.com/problems/FINDPEAK</v>
      </c>
      <c r="K38" s="14"/>
      <c r="L38" s="14" t="s">
        <v>1085</v>
      </c>
      <c r="M38" s="14"/>
      <c r="N38" s="14" t="s">
        <v>50</v>
      </c>
      <c r="O38" s="14" t="s">
        <v>51</v>
      </c>
    </row>
    <row r="39" spans="1:15">
      <c r="A39" s="15" t="s">
        <v>10</v>
      </c>
      <c r="B39" s="15" t="s">
        <v>1063</v>
      </c>
      <c r="C39" s="15" t="s">
        <v>1064</v>
      </c>
      <c r="D39" s="15" t="s">
        <v>1065</v>
      </c>
      <c r="E39" s="15">
        <v>10</v>
      </c>
      <c r="F39" s="15" t="s">
        <v>1086</v>
      </c>
      <c r="G39" s="15" t="s">
        <v>1087</v>
      </c>
      <c r="H39" s="15"/>
      <c r="I39" s="15" t="s">
        <v>322</v>
      </c>
      <c r="J39" s="7" t="str">
        <f>HYPERLINK("https://www.codechef.com/problems/BSEX06", "https://www.codechef.com/problems/BSEX06")</f>
        <v>https://www.codechef.com/problems/BSEX06</v>
      </c>
      <c r="K39" s="15"/>
      <c r="L39" s="15"/>
      <c r="M39" s="15"/>
      <c r="N39" s="15" t="s">
        <v>50</v>
      </c>
      <c r="O39" s="15" t="s">
        <v>51</v>
      </c>
    </row>
    <row r="40" spans="1:15">
      <c r="A40" s="14" t="s">
        <v>10</v>
      </c>
      <c r="B40" s="14" t="s">
        <v>1063</v>
      </c>
      <c r="C40" s="14" t="s">
        <v>1064</v>
      </c>
      <c r="D40" s="14" t="s">
        <v>1065</v>
      </c>
      <c r="E40" s="14">
        <v>11</v>
      </c>
      <c r="F40" s="14" t="s">
        <v>785</v>
      </c>
      <c r="G40" s="14" t="s">
        <v>786</v>
      </c>
      <c r="H40" s="14"/>
      <c r="I40" s="14" t="s">
        <v>96</v>
      </c>
      <c r="J40" s="11" t="str">
        <f>HYPERLINK("https://www.codechef.com/problems/ROTATIONARAY", "https://www.codechef.com/problems/ROTATIONARAY")</f>
        <v>https://www.codechef.com/problems/ROTATIONARAY</v>
      </c>
      <c r="K40" s="14"/>
      <c r="L40" s="14"/>
      <c r="M40" s="14"/>
      <c r="N40" s="14" t="s">
        <v>50</v>
      </c>
      <c r="O40" s="14" t="s">
        <v>51</v>
      </c>
    </row>
    <row r="41" spans="1:15">
      <c r="A41" s="15" t="s">
        <v>10</v>
      </c>
      <c r="B41" s="15" t="s">
        <v>1063</v>
      </c>
      <c r="C41" s="15" t="s">
        <v>1064</v>
      </c>
      <c r="D41" s="15" t="s">
        <v>1065</v>
      </c>
      <c r="E41" s="15">
        <v>12</v>
      </c>
      <c r="F41" s="15" t="s">
        <v>887</v>
      </c>
      <c r="G41" s="15" t="s">
        <v>888</v>
      </c>
      <c r="H41" s="15"/>
      <c r="I41" s="15" t="s">
        <v>322</v>
      </c>
      <c r="J41" s="7" t="str">
        <f>HYPERLINK("https://www.codechef.com/problems/MINEATING", "https://www.codechef.com/problems/MINEATING")</f>
        <v>https://www.codechef.com/problems/MINEATING</v>
      </c>
      <c r="K41" s="15"/>
      <c r="L41" s="15"/>
      <c r="M41" s="15"/>
      <c r="N41" s="15" t="s">
        <v>50</v>
      </c>
      <c r="O41" s="15" t="s">
        <v>51</v>
      </c>
    </row>
    <row r="42" spans="1:15">
      <c r="A42" s="14" t="s">
        <v>10</v>
      </c>
      <c r="B42" s="14" t="s">
        <v>1063</v>
      </c>
      <c r="C42" s="14" t="s">
        <v>1064</v>
      </c>
      <c r="D42" s="14" t="s">
        <v>1065</v>
      </c>
      <c r="E42" s="14">
        <v>13</v>
      </c>
      <c r="F42" s="14" t="s">
        <v>1088</v>
      </c>
      <c r="G42" s="14" t="s">
        <v>1089</v>
      </c>
      <c r="H42" s="14"/>
      <c r="I42" s="14" t="s">
        <v>322</v>
      </c>
      <c r="J42" s="11" t="str">
        <f>HYPERLINK("https://www.codechef.com/problems/BOUQUEGARDEN", "https://www.codechef.com/problems/BOUQUEGARDEN")</f>
        <v>https://www.codechef.com/problems/BOUQUEGARDEN</v>
      </c>
      <c r="K42" s="14"/>
      <c r="L42" s="14"/>
      <c r="M42" s="14"/>
      <c r="N42" s="14" t="s">
        <v>50</v>
      </c>
      <c r="O42" s="14" t="s">
        <v>51</v>
      </c>
    </row>
    <row r="43" spans="1:15">
      <c r="A43" s="15" t="s">
        <v>10</v>
      </c>
      <c r="B43" s="15" t="s">
        <v>1063</v>
      </c>
      <c r="C43" s="15" t="s">
        <v>1064</v>
      </c>
      <c r="D43" s="15" t="s">
        <v>1065</v>
      </c>
      <c r="E43" s="15">
        <v>14</v>
      </c>
      <c r="F43" s="15" t="s">
        <v>1090</v>
      </c>
      <c r="G43" s="15" t="s">
        <v>1091</v>
      </c>
      <c r="H43" s="15"/>
      <c r="I43" s="15" t="s">
        <v>96</v>
      </c>
      <c r="J43" s="7" t="str">
        <f>HYPERLINK("https://www.codechef.com/problems/SMALLESTDIVI", "https://www.codechef.com/problems/SMALLESTDIVI")</f>
        <v>https://www.codechef.com/problems/SMALLESTDIVI</v>
      </c>
      <c r="K43" s="15"/>
      <c r="L43" s="15"/>
      <c r="M43" s="15"/>
      <c r="N43" s="15" t="s">
        <v>50</v>
      </c>
      <c r="O43" s="15" t="s">
        <v>51</v>
      </c>
    </row>
    <row r="44" spans="1:15">
      <c r="A44" s="14" t="s">
        <v>10</v>
      </c>
      <c r="B44" s="14" t="s">
        <v>1063</v>
      </c>
      <c r="C44" s="14" t="s">
        <v>1064</v>
      </c>
      <c r="D44" s="14" t="s">
        <v>1065</v>
      </c>
      <c r="E44" s="14">
        <v>15</v>
      </c>
      <c r="F44" s="14" t="s">
        <v>1092</v>
      </c>
      <c r="G44" s="14" t="s">
        <v>1093</v>
      </c>
      <c r="H44" s="14"/>
      <c r="I44" s="14" t="s">
        <v>322</v>
      </c>
      <c r="J44" s="11" t="str">
        <f>HYPERLINK("https://www.codechef.com/problems/TRUCKDRIVER", "https://www.codechef.com/problems/TRUCKDRIVER")</f>
        <v>https://www.codechef.com/problems/TRUCKDRIVER</v>
      </c>
      <c r="K44" s="14"/>
      <c r="L44" s="14"/>
      <c r="M44" s="14"/>
      <c r="N44" s="14" t="s">
        <v>50</v>
      </c>
      <c r="O44" s="14" t="s">
        <v>51</v>
      </c>
    </row>
    <row r="45" spans="1:15">
      <c r="A45" s="15" t="s">
        <v>10</v>
      </c>
      <c r="B45" s="15" t="s">
        <v>1063</v>
      </c>
      <c r="C45" s="15" t="s">
        <v>1064</v>
      </c>
      <c r="D45" s="15" t="s">
        <v>1065</v>
      </c>
      <c r="E45" s="15">
        <v>16</v>
      </c>
      <c r="F45" s="15" t="s">
        <v>631</v>
      </c>
      <c r="G45" s="15" t="s">
        <v>632</v>
      </c>
      <c r="H45" s="15"/>
      <c r="I45" s="15" t="s">
        <v>96</v>
      </c>
      <c r="J45" s="7" t="str">
        <f>HYPERLINK("https://www.codechef.com/problems/KTHMISSING", "https://www.codechef.com/problems/KTHMISSING")</f>
        <v>https://www.codechef.com/problems/KTHMISSING</v>
      </c>
      <c r="K45" s="15"/>
      <c r="L45" s="15"/>
      <c r="M45" s="15"/>
      <c r="N45" s="15" t="s">
        <v>50</v>
      </c>
      <c r="O45" s="15" t="s">
        <v>51</v>
      </c>
    </row>
    <row r="46" spans="1:15">
      <c r="A46" s="14" t="s">
        <v>10</v>
      </c>
      <c r="B46" s="14" t="s">
        <v>1063</v>
      </c>
      <c r="C46" s="14" t="s">
        <v>1064</v>
      </c>
      <c r="D46" s="14" t="s">
        <v>1065</v>
      </c>
      <c r="E46" s="14">
        <v>17</v>
      </c>
      <c r="F46" s="14" t="s">
        <v>1094</v>
      </c>
      <c r="G46" s="14" t="s">
        <v>1095</v>
      </c>
      <c r="H46" s="14"/>
      <c r="I46" s="14" t="s">
        <v>322</v>
      </c>
      <c r="J46" s="11" t="str">
        <f>HYPERLINK("https://www.codechef.com/problems/SPLITARRAY", "https://www.codechef.com/problems/SPLITARRAY")</f>
        <v>https://www.codechef.com/problems/SPLITARRAY</v>
      </c>
      <c r="K46" s="14"/>
      <c r="L46" s="14"/>
      <c r="M46" s="14"/>
      <c r="N46" s="14" t="s">
        <v>50</v>
      </c>
      <c r="O46" s="14" t="s">
        <v>51</v>
      </c>
    </row>
    <row r="47" spans="1:15">
      <c r="A47" s="15" t="s">
        <v>10</v>
      </c>
      <c r="B47" s="15" t="s">
        <v>1063</v>
      </c>
      <c r="C47" s="15" t="s">
        <v>1064</v>
      </c>
      <c r="D47" s="15" t="s">
        <v>1065</v>
      </c>
      <c r="E47" s="15">
        <v>18</v>
      </c>
      <c r="F47" s="15" t="s">
        <v>1096</v>
      </c>
      <c r="G47" s="15" t="s">
        <v>1097</v>
      </c>
      <c r="H47" s="15"/>
      <c r="I47" s="15" t="s">
        <v>322</v>
      </c>
      <c r="J47" s="7" t="str">
        <f>HYPERLINK("https://www.codechef.com/problems/BOOKALLOCATE", "https://www.codechef.com/problems/BOOKALLOCATE")</f>
        <v>https://www.codechef.com/problems/BOOKALLOCATE</v>
      </c>
      <c r="K47" s="15"/>
      <c r="L47" s="15"/>
      <c r="M47" s="15"/>
      <c r="N47" s="15" t="s">
        <v>50</v>
      </c>
      <c r="O47" s="15" t="s">
        <v>51</v>
      </c>
    </row>
    <row r="48" spans="1:15">
      <c r="A48" s="14" t="s">
        <v>10</v>
      </c>
      <c r="B48" s="14" t="s">
        <v>1063</v>
      </c>
      <c r="C48" s="14" t="s">
        <v>1064</v>
      </c>
      <c r="D48" s="14" t="s">
        <v>1065</v>
      </c>
      <c r="E48" s="14">
        <v>19</v>
      </c>
      <c r="F48" s="14" t="s">
        <v>1098</v>
      </c>
      <c r="G48" s="14" t="s">
        <v>1099</v>
      </c>
      <c r="H48" s="14"/>
      <c r="I48" s="14" t="s">
        <v>322</v>
      </c>
      <c r="J48" s="11" t="str">
        <f>HYPERLINK("https://www.codechef.com/problems/MEDIANOFSORT", "https://www.codechef.com/problems/MEDIANOFSORT")</f>
        <v>https://www.codechef.com/problems/MEDIANOFSORT</v>
      </c>
      <c r="K48" s="14"/>
      <c r="L48" s="14"/>
      <c r="M48" s="14"/>
      <c r="N48" s="14" t="s">
        <v>50</v>
      </c>
      <c r="O48" s="14" t="s">
        <v>51</v>
      </c>
    </row>
    <row r="49" spans="1:15">
      <c r="A49" s="15" t="s">
        <v>10</v>
      </c>
      <c r="B49" s="15" t="s">
        <v>1063</v>
      </c>
      <c r="C49" s="15" t="s">
        <v>1064</v>
      </c>
      <c r="D49" s="15" t="s">
        <v>1065</v>
      </c>
      <c r="E49" s="15">
        <v>20</v>
      </c>
      <c r="F49" s="15" t="s">
        <v>771</v>
      </c>
      <c r="G49" s="15" t="s">
        <v>772</v>
      </c>
      <c r="H49" s="15"/>
      <c r="I49" s="15" t="s">
        <v>322</v>
      </c>
      <c r="J49" s="7" t="str">
        <f>HYPERLINK("https://www.codechef.com/problems/PAINTSHODOWN", "https://www.codechef.com/problems/PAINTSHODOWN")</f>
        <v>https://www.codechef.com/problems/PAINTSHODOWN</v>
      </c>
      <c r="K49" s="15"/>
      <c r="L49" s="15"/>
      <c r="M49" s="15"/>
      <c r="N49" s="15" t="s">
        <v>50</v>
      </c>
      <c r="O49" s="15" t="s">
        <v>51</v>
      </c>
    </row>
    <row r="50" spans="1:15">
      <c r="A50" s="14" t="s">
        <v>10</v>
      </c>
      <c r="B50" s="14" t="s">
        <v>1063</v>
      </c>
      <c r="C50" s="14" t="s">
        <v>1064</v>
      </c>
      <c r="D50" s="14" t="s">
        <v>1065</v>
      </c>
      <c r="E50" s="14">
        <v>21</v>
      </c>
      <c r="F50" s="14" t="s">
        <v>1100</v>
      </c>
      <c r="G50" s="14" t="s">
        <v>1101</v>
      </c>
      <c r="H50" s="14"/>
      <c r="I50" s="14" t="s">
        <v>96</v>
      </c>
      <c r="J50" s="11" t="str">
        <f>HYPERLINK("https://www.codechef.com/problems/KELMT2SORT", "https://www.codechef.com/problems/KELMT2SORT")</f>
        <v>https://www.codechef.com/problems/KELMT2SORT</v>
      </c>
      <c r="K50" s="14"/>
      <c r="L50" s="14"/>
      <c r="M50" s="14"/>
      <c r="N50" s="14" t="s">
        <v>50</v>
      </c>
      <c r="O50" s="14" t="s">
        <v>51</v>
      </c>
    </row>
    <row r="51" spans="1:15">
      <c r="A51" s="15" t="s">
        <v>10</v>
      </c>
      <c r="B51" s="15" t="s">
        <v>1063</v>
      </c>
      <c r="C51" s="15" t="s">
        <v>1064</v>
      </c>
      <c r="D51" s="15" t="s">
        <v>1065</v>
      </c>
      <c r="E51" s="15">
        <v>22</v>
      </c>
      <c r="F51" s="15" t="s">
        <v>1102</v>
      </c>
      <c r="G51" s="15" t="s">
        <v>1103</v>
      </c>
      <c r="H51" s="15"/>
      <c r="I51" s="15" t="s">
        <v>322</v>
      </c>
      <c r="J51" s="7" t="str">
        <f>HYPERLINK("https://www.codechef.com/problems/MATRIXMEDIAN", "https://www.codechef.com/problems/MATRIXMEDIAN")</f>
        <v>https://www.codechef.com/problems/MATRIXMEDIAN</v>
      </c>
      <c r="K51" s="15"/>
      <c r="L51" s="15" t="s">
        <v>57</v>
      </c>
      <c r="M51" s="15"/>
      <c r="N51" s="15" t="s">
        <v>50</v>
      </c>
      <c r="O51" s="15" t="s">
        <v>51</v>
      </c>
    </row>
    <row r="52" spans="1:15">
      <c r="A52" s="14" t="s">
        <v>10</v>
      </c>
      <c r="B52" s="14" t="s">
        <v>1063</v>
      </c>
      <c r="C52" s="14" t="s">
        <v>1064</v>
      </c>
      <c r="D52" s="14" t="s">
        <v>1065</v>
      </c>
      <c r="E52" s="14">
        <v>23</v>
      </c>
      <c r="F52" s="14" t="s">
        <v>1104</v>
      </c>
      <c r="G52" s="14" t="s">
        <v>1105</v>
      </c>
      <c r="H52" s="14"/>
      <c r="I52" s="14" t="s">
        <v>96</v>
      </c>
      <c r="J52" s="11" t="str">
        <f>HYPERLINK("https://www.codechef.com/problems/ROWMAXONE", "https://www.codechef.com/problems/ROWMAXONE")</f>
        <v>https://www.codechef.com/problems/ROWMAXONE</v>
      </c>
      <c r="K52" s="14"/>
      <c r="L52" s="14"/>
      <c r="M52" s="14"/>
      <c r="N52" s="14" t="s">
        <v>50</v>
      </c>
      <c r="O52" s="14" t="s">
        <v>51</v>
      </c>
    </row>
    <row r="53" spans="1:15">
      <c r="A53" s="15" t="s">
        <v>10</v>
      </c>
      <c r="B53" s="15" t="s">
        <v>1063</v>
      </c>
      <c r="C53" s="15" t="s">
        <v>1064</v>
      </c>
      <c r="D53" s="15" t="s">
        <v>1065</v>
      </c>
      <c r="E53" s="15">
        <v>24</v>
      </c>
      <c r="F53" s="15" t="s">
        <v>1106</v>
      </c>
      <c r="G53" s="15" t="s">
        <v>1107</v>
      </c>
      <c r="H53" s="15"/>
      <c r="I53" s="15" t="s">
        <v>322</v>
      </c>
      <c r="J53" s="7" t="str">
        <f>HYPERLINK("https://www.codechef.com/problems/PEAKELEMENTS", "https://www.codechef.com/problems/PEAKELEMENTS")</f>
        <v>https://www.codechef.com/problems/PEAKELEMENTS</v>
      </c>
      <c r="K53" s="15"/>
      <c r="L53" s="15"/>
      <c r="M53" s="15"/>
      <c r="N53" s="15" t="s">
        <v>50</v>
      </c>
      <c r="O53" s="15" t="s">
        <v>51</v>
      </c>
    </row>
    <row r="54" spans="1:15">
      <c r="A54" s="14" t="s">
        <v>10</v>
      </c>
      <c r="B54" s="14" t="s">
        <v>1063</v>
      </c>
      <c r="C54" s="14" t="s">
        <v>1064</v>
      </c>
      <c r="D54" s="14" t="s">
        <v>1108</v>
      </c>
      <c r="E54" s="14">
        <v>25</v>
      </c>
      <c r="F54" s="14" t="s">
        <v>822</v>
      </c>
      <c r="G54" s="14" t="s">
        <v>823</v>
      </c>
      <c r="H54" s="14"/>
      <c r="I54" s="14" t="s">
        <v>322</v>
      </c>
      <c r="J54" s="11" t="str">
        <f>HYPERLINK("https://www.codechef.com/problems/SINGLESORTED", "https://www.codechef.com/problems/SINGLESORTED")</f>
        <v>https://www.codechef.com/problems/SINGLESORTED</v>
      </c>
      <c r="K54" s="14"/>
      <c r="L54" s="14"/>
      <c r="M54" s="14"/>
      <c r="N54" s="14" t="s">
        <v>50</v>
      </c>
      <c r="O54" s="14" t="s">
        <v>51</v>
      </c>
    </row>
    <row r="55" spans="1:15">
      <c r="A55" s="15" t="s">
        <v>10</v>
      </c>
      <c r="B55" s="15" t="s">
        <v>1063</v>
      </c>
      <c r="C55" s="15" t="s">
        <v>1064</v>
      </c>
      <c r="D55" s="15" t="s">
        <v>1108</v>
      </c>
      <c r="E55" s="15">
        <v>26</v>
      </c>
      <c r="F55" s="15" t="s">
        <v>1109</v>
      </c>
      <c r="G55" s="15" t="s">
        <v>1110</v>
      </c>
      <c r="H55" s="15" t="s">
        <v>1111</v>
      </c>
      <c r="I55" s="15" t="s">
        <v>96</v>
      </c>
      <c r="J55" s="7" t="str">
        <f>HYPERLINK("https://www.codechef.com/problems/MINMAXARR", "https://www.codechef.com/problems/MINMAXARR")</f>
        <v>https://www.codechef.com/problems/MINMAXARR</v>
      </c>
      <c r="K55" s="15"/>
      <c r="L55" s="15"/>
      <c r="M55" s="15"/>
      <c r="N55" s="15" t="s">
        <v>50</v>
      </c>
      <c r="O55" s="15" t="s">
        <v>51</v>
      </c>
    </row>
    <row r="56" spans="1:15">
      <c r="A56" s="14" t="s">
        <v>10</v>
      </c>
      <c r="B56" s="14" t="s">
        <v>1063</v>
      </c>
      <c r="C56" s="14" t="s">
        <v>1064</v>
      </c>
      <c r="D56" s="14" t="s">
        <v>1108</v>
      </c>
      <c r="E56" s="14">
        <v>27</v>
      </c>
      <c r="F56" s="14" t="s">
        <v>1112</v>
      </c>
      <c r="G56" s="14" t="s">
        <v>1113</v>
      </c>
      <c r="H56" s="14" t="s">
        <v>1114</v>
      </c>
      <c r="I56" s="14" t="s">
        <v>96</v>
      </c>
      <c r="J56" s="11" t="str">
        <f>HYPERLINK("https://www.codechef.com/problems/CIRCINTE", "https://www.codechef.com/problems/CIRCINTE")</f>
        <v>https://www.codechef.com/problems/CIRCINTE</v>
      </c>
      <c r="K56" s="14"/>
      <c r="L56" s="14"/>
      <c r="M56" s="14"/>
      <c r="N56" s="14" t="s">
        <v>50</v>
      </c>
      <c r="O56" s="14" t="s">
        <v>51</v>
      </c>
    </row>
    <row r="57" spans="1:15">
      <c r="A57" s="15" t="s">
        <v>10</v>
      </c>
      <c r="B57" s="15" t="s">
        <v>1063</v>
      </c>
      <c r="C57" s="15" t="s">
        <v>1064</v>
      </c>
      <c r="D57" s="15" t="s">
        <v>1108</v>
      </c>
      <c r="E57" s="15">
        <v>28</v>
      </c>
      <c r="F57" s="15" t="s">
        <v>1115</v>
      </c>
      <c r="G57" s="15" t="s">
        <v>1116</v>
      </c>
      <c r="H57" s="15" t="s">
        <v>1117</v>
      </c>
      <c r="I57" s="15" t="s">
        <v>96</v>
      </c>
      <c r="J57" s="7" t="str">
        <f>HYPERLINK("https://www.codechef.com/problems/FORESTGA", "https://www.codechef.com/problems/FORESTGA")</f>
        <v>https://www.codechef.com/problems/FORESTGA</v>
      </c>
      <c r="K57" s="15"/>
      <c r="L57" s="15"/>
      <c r="M57" s="15"/>
      <c r="N57" s="15" t="s">
        <v>50</v>
      </c>
      <c r="O57" s="15" t="s">
        <v>51</v>
      </c>
    </row>
    <row r="58" spans="1:15">
      <c r="A58" s="14" t="s">
        <v>10</v>
      </c>
      <c r="B58" s="14" t="s">
        <v>1063</v>
      </c>
      <c r="C58" s="14" t="s">
        <v>1064</v>
      </c>
      <c r="D58" s="14" t="s">
        <v>1108</v>
      </c>
      <c r="E58" s="14">
        <v>29</v>
      </c>
      <c r="F58" s="14" t="s">
        <v>1118</v>
      </c>
      <c r="G58" s="14" t="s">
        <v>1119</v>
      </c>
      <c r="H58" s="14" t="s">
        <v>1120</v>
      </c>
      <c r="I58" s="14" t="s">
        <v>96</v>
      </c>
      <c r="J58" s="11" t="str">
        <f>HYPERLINK("https://www.codechef.com/problems/SQUIRREL", "https://www.codechef.com/problems/SQUIRREL")</f>
        <v>https://www.codechef.com/problems/SQUIRREL</v>
      </c>
      <c r="K58" s="14"/>
      <c r="L58" s="14"/>
      <c r="M58" s="14"/>
      <c r="N58" s="14" t="s">
        <v>50</v>
      </c>
      <c r="O58" s="14" t="s">
        <v>51</v>
      </c>
    </row>
    <row r="59" spans="1:15">
      <c r="A59" s="15" t="s">
        <v>10</v>
      </c>
      <c r="B59" s="15" t="s">
        <v>1063</v>
      </c>
      <c r="C59" s="15" t="s">
        <v>1064</v>
      </c>
      <c r="D59" s="15" t="s">
        <v>1108</v>
      </c>
      <c r="E59" s="15">
        <v>30</v>
      </c>
      <c r="F59" s="15" t="s">
        <v>1121</v>
      </c>
      <c r="G59" s="15" t="s">
        <v>1122</v>
      </c>
      <c r="H59" s="15" t="s">
        <v>1123</v>
      </c>
      <c r="I59" s="15" t="s">
        <v>96</v>
      </c>
      <c r="J59" s="7" t="str">
        <f>HYPERLINK("https://www.codechef.com/problems/FLUSHOT", "https://www.codechef.com/problems/FLUSHOT")</f>
        <v>https://www.codechef.com/problems/FLUSHOT</v>
      </c>
      <c r="K59" s="15"/>
      <c r="L59" s="15"/>
      <c r="M59" s="15"/>
      <c r="N59" s="15" t="s">
        <v>50</v>
      </c>
      <c r="O59" s="15" t="s">
        <v>51</v>
      </c>
    </row>
    <row r="60" spans="1:15">
      <c r="A60" s="14" t="s">
        <v>10</v>
      </c>
      <c r="B60" s="14" t="s">
        <v>1063</v>
      </c>
      <c r="C60" s="14" t="s">
        <v>1064</v>
      </c>
      <c r="D60" s="14" t="s">
        <v>1108</v>
      </c>
      <c r="E60" s="14">
        <v>31</v>
      </c>
      <c r="F60" s="14" t="s">
        <v>631</v>
      </c>
      <c r="G60" s="14" t="s">
        <v>632</v>
      </c>
      <c r="H60" s="14"/>
      <c r="I60" s="14" t="s">
        <v>96</v>
      </c>
      <c r="J60" s="11" t="str">
        <f>HYPERLINK("https://www.codechef.com/problems/KTHMISSING", "https://www.codechef.com/problems/KTHMISSING")</f>
        <v>https://www.codechef.com/problems/KTHMISSING</v>
      </c>
      <c r="K60" s="14"/>
      <c r="L60" s="14"/>
      <c r="M60" s="14"/>
      <c r="N60" s="14" t="s">
        <v>50</v>
      </c>
      <c r="O60" s="14" t="s">
        <v>51</v>
      </c>
    </row>
    <row r="61" spans="1:15">
      <c r="A61" s="15" t="s">
        <v>10</v>
      </c>
      <c r="B61" s="15" t="s">
        <v>1124</v>
      </c>
      <c r="C61" s="15" t="s">
        <v>1125</v>
      </c>
      <c r="D61" s="15" t="s">
        <v>1126</v>
      </c>
      <c r="E61" s="15">
        <v>1</v>
      </c>
      <c r="F61" s="15" t="s">
        <v>1127</v>
      </c>
      <c r="G61" s="15" t="s">
        <v>1128</v>
      </c>
      <c r="H61" s="15" t="s">
        <v>288</v>
      </c>
      <c r="I61" s="15" t="s">
        <v>96</v>
      </c>
      <c r="J61" s="7" t="str">
        <f>HYPERLINK("https://www.codechef.com/problems/ALTARAY", "https://www.codechef.com/problems/ALTARAY")</f>
        <v>https://www.codechef.com/problems/ALTARAY</v>
      </c>
      <c r="K61" s="15"/>
      <c r="L61" s="15" t="s">
        <v>1129</v>
      </c>
      <c r="M61" s="15"/>
      <c r="N61" s="15" t="s">
        <v>50</v>
      </c>
      <c r="O61" s="15" t="s">
        <v>51</v>
      </c>
    </row>
    <row r="62" spans="1:15">
      <c r="A62" s="14" t="s">
        <v>10</v>
      </c>
      <c r="B62" s="14" t="s">
        <v>1124</v>
      </c>
      <c r="C62" s="14" t="s">
        <v>1125</v>
      </c>
      <c r="D62" s="14" t="s">
        <v>1126</v>
      </c>
      <c r="E62" s="14">
        <v>2</v>
      </c>
      <c r="F62" s="14" t="s">
        <v>582</v>
      </c>
      <c r="G62" s="14" t="s">
        <v>583</v>
      </c>
      <c r="H62" s="14" t="s">
        <v>584</v>
      </c>
      <c r="I62" s="14" t="s">
        <v>96</v>
      </c>
      <c r="J62" s="11" t="str">
        <f>HYPERLINK("https://www.codechef.com/problems/SUBINC", "https://www.codechef.com/problems/SUBINC")</f>
        <v>https://www.codechef.com/problems/SUBINC</v>
      </c>
      <c r="K62" s="14"/>
      <c r="L62" s="14"/>
      <c r="M62" s="14"/>
      <c r="N62" s="14" t="s">
        <v>50</v>
      </c>
      <c r="O62" s="14" t="s">
        <v>51</v>
      </c>
    </row>
    <row r="63" spans="1:15">
      <c r="A63" s="15" t="s">
        <v>10</v>
      </c>
      <c r="B63" s="15" t="s">
        <v>1124</v>
      </c>
      <c r="C63" s="15" t="s">
        <v>1125</v>
      </c>
      <c r="D63" s="15" t="s">
        <v>1126</v>
      </c>
      <c r="E63" s="15">
        <v>3</v>
      </c>
      <c r="F63" s="15" t="s">
        <v>1130</v>
      </c>
      <c r="G63" s="15" t="s">
        <v>1131</v>
      </c>
      <c r="H63" s="15" t="s">
        <v>1132</v>
      </c>
      <c r="I63" s="15" t="s">
        <v>49</v>
      </c>
      <c r="J63" s="7" t="str">
        <f>HYPERLINK("https://www.codechef.com/problems/SUMTRIAN", "https://www.codechef.com/problems/SUMTRIAN")</f>
        <v>https://www.codechef.com/problems/SUMTRIAN</v>
      </c>
      <c r="K63" s="15"/>
      <c r="L63" s="15"/>
      <c r="M63" s="15"/>
      <c r="N63" s="15" t="s">
        <v>50</v>
      </c>
      <c r="O63" s="15" t="s">
        <v>51</v>
      </c>
    </row>
    <row r="64" spans="1:15">
      <c r="A64" s="14" t="s">
        <v>10</v>
      </c>
      <c r="B64" s="14" t="s">
        <v>1124</v>
      </c>
      <c r="C64" s="14" t="s">
        <v>1125</v>
      </c>
      <c r="D64" s="14" t="s">
        <v>1126</v>
      </c>
      <c r="E64" s="14">
        <v>4</v>
      </c>
      <c r="F64" s="14" t="s">
        <v>1133</v>
      </c>
      <c r="G64" s="14" t="s">
        <v>1134</v>
      </c>
      <c r="H64" s="14"/>
      <c r="I64" s="14" t="s">
        <v>96</v>
      </c>
      <c r="J64" s="11" t="str">
        <f>HYPERLINK("https://www.codechef.com/problems/DPFIBONACCI", "https://www.codechef.com/problems/DPFIBONACCI")</f>
        <v>https://www.codechef.com/problems/DPFIBONACCI</v>
      </c>
      <c r="K64" s="14"/>
      <c r="L64" s="14"/>
      <c r="M64" s="14"/>
      <c r="N64" s="14" t="s">
        <v>50</v>
      </c>
      <c r="O64" s="14" t="s">
        <v>51</v>
      </c>
    </row>
    <row r="65" spans="1:15">
      <c r="A65" s="15" t="s">
        <v>10</v>
      </c>
      <c r="B65" s="15" t="s">
        <v>1124</v>
      </c>
      <c r="C65" s="15" t="s">
        <v>1125</v>
      </c>
      <c r="D65" s="15" t="s">
        <v>1126</v>
      </c>
      <c r="E65" s="15">
        <v>5</v>
      </c>
      <c r="F65" s="15" t="s">
        <v>1135</v>
      </c>
      <c r="G65" s="15" t="s">
        <v>1136</v>
      </c>
      <c r="H65" s="15" t="s">
        <v>1120</v>
      </c>
      <c r="I65" s="15" t="s">
        <v>96</v>
      </c>
      <c r="J65" s="7" t="str">
        <f>HYPERLINK("https://www.codechef.com/problems/MAXCOMP", "https://www.codechef.com/problems/MAXCOMP")</f>
        <v>https://www.codechef.com/problems/MAXCOMP</v>
      </c>
      <c r="K65" s="15"/>
      <c r="L65" s="15" t="s">
        <v>1137</v>
      </c>
      <c r="M65" s="15"/>
      <c r="N65" s="15" t="s">
        <v>50</v>
      </c>
      <c r="O65" s="15" t="s">
        <v>51</v>
      </c>
    </row>
    <row r="66" spans="1:15">
      <c r="A66" s="14" t="s">
        <v>10</v>
      </c>
      <c r="B66" s="14" t="s">
        <v>1124</v>
      </c>
      <c r="C66" s="14" t="s">
        <v>1125</v>
      </c>
      <c r="D66" s="14" t="s">
        <v>1126</v>
      </c>
      <c r="E66" s="14">
        <v>6</v>
      </c>
      <c r="F66" s="14" t="s">
        <v>636</v>
      </c>
      <c r="G66" s="14" t="s">
        <v>637</v>
      </c>
      <c r="H66" s="14" t="s">
        <v>638</v>
      </c>
      <c r="I66" s="14" t="s">
        <v>96</v>
      </c>
      <c r="J66" s="11" t="str">
        <f>HYPERLINK("https://www.codechef.com/problems/BINARYSUB", "https://www.codechef.com/problems/BINARYSUB")</f>
        <v>https://www.codechef.com/problems/BINARYSUB</v>
      </c>
      <c r="K66" s="14"/>
      <c r="L66" s="14" t="s">
        <v>639</v>
      </c>
      <c r="M66" s="14"/>
      <c r="N66" s="14" t="s">
        <v>50</v>
      </c>
      <c r="O66" s="14" t="s">
        <v>51</v>
      </c>
    </row>
    <row r="67" spans="1:15">
      <c r="A67" s="15" t="s">
        <v>10</v>
      </c>
      <c r="B67" s="15" t="s">
        <v>1124</v>
      </c>
      <c r="C67" s="15" t="s">
        <v>1125</v>
      </c>
      <c r="D67" s="15" t="s">
        <v>1126</v>
      </c>
      <c r="E67" s="15">
        <v>7</v>
      </c>
      <c r="F67" s="15" t="s">
        <v>1138</v>
      </c>
      <c r="G67" s="15" t="s">
        <v>1139</v>
      </c>
      <c r="H67" s="15"/>
      <c r="I67" s="15" t="s">
        <v>96</v>
      </c>
      <c r="J67" s="7" t="str">
        <f>HYPERLINK("https://www.codechef.com/problems/MTSQO01", "https://www.codechef.com/problems/MTSQO01")</f>
        <v>https://www.codechef.com/problems/MTSQO01</v>
      </c>
      <c r="K67" s="15"/>
      <c r="L67" s="15"/>
      <c r="M67" s="15"/>
      <c r="N67" s="15" t="s">
        <v>50</v>
      </c>
      <c r="O67" s="15" t="s">
        <v>51</v>
      </c>
    </row>
    <row r="68" spans="1:15">
      <c r="A68" s="14" t="s">
        <v>10</v>
      </c>
      <c r="B68" s="14" t="s">
        <v>1124</v>
      </c>
      <c r="C68" s="14" t="s">
        <v>1125</v>
      </c>
      <c r="D68" s="14" t="s">
        <v>1126</v>
      </c>
      <c r="E68" s="14">
        <v>8</v>
      </c>
      <c r="F68" s="14" t="s">
        <v>1140</v>
      </c>
      <c r="G68" s="14" t="s">
        <v>1141</v>
      </c>
      <c r="H68" s="14" t="s">
        <v>406</v>
      </c>
      <c r="I68" s="14" t="s">
        <v>96</v>
      </c>
      <c r="J68" s="11" t="str">
        <f>HYPERLINK("https://www.codechef.com/problems/MGCRNK", "https://www.codechef.com/problems/MGCRNK")</f>
        <v>https://www.codechef.com/problems/MGCRNK</v>
      </c>
      <c r="K68" s="14"/>
      <c r="L68" s="14"/>
      <c r="M68" s="14"/>
      <c r="N68" s="14" t="s">
        <v>50</v>
      </c>
      <c r="O68" s="14" t="s">
        <v>51</v>
      </c>
    </row>
    <row r="69" spans="1:15">
      <c r="A69" s="15" t="s">
        <v>10</v>
      </c>
      <c r="B69" s="15" t="s">
        <v>1124</v>
      </c>
      <c r="C69" s="15" t="s">
        <v>1125</v>
      </c>
      <c r="D69" s="15" t="s">
        <v>1126</v>
      </c>
      <c r="E69" s="15">
        <v>9</v>
      </c>
      <c r="F69" s="15" t="s">
        <v>1142</v>
      </c>
      <c r="G69" s="15" t="s">
        <v>1143</v>
      </c>
      <c r="H69" s="15"/>
      <c r="I69" s="15" t="s">
        <v>96</v>
      </c>
      <c r="J69" s="7" t="str">
        <f>HYPERLINK("https://www.codechef.com/problems/ZCO14002", "https://www.codechef.com/problems/ZCO14002")</f>
        <v>https://www.codechef.com/problems/ZCO14002</v>
      </c>
      <c r="K69" s="15"/>
      <c r="L69" s="15"/>
      <c r="M69" s="15"/>
      <c r="N69" s="15" t="s">
        <v>50</v>
      </c>
      <c r="O69" s="15" t="s">
        <v>51</v>
      </c>
    </row>
    <row r="70" spans="1:15">
      <c r="A70" s="14" t="s">
        <v>10</v>
      </c>
      <c r="B70" s="14" t="s">
        <v>1124</v>
      </c>
      <c r="C70" s="14" t="s">
        <v>1125</v>
      </c>
      <c r="D70" s="14" t="s">
        <v>1126</v>
      </c>
      <c r="E70" s="14">
        <v>10</v>
      </c>
      <c r="F70" s="14" t="s">
        <v>908</v>
      </c>
      <c r="G70" s="14" t="s">
        <v>909</v>
      </c>
      <c r="H70" s="14"/>
      <c r="I70" s="14" t="s">
        <v>96</v>
      </c>
      <c r="J70" s="11" t="str">
        <f>HYPERLINK("https://www.codechef.com/problems/EIHKO01", "https://www.codechef.com/problems/EIHKO01")</f>
        <v>https://www.codechef.com/problems/EIHKO01</v>
      </c>
      <c r="K70" s="14"/>
      <c r="L70" s="14"/>
      <c r="M70" s="14"/>
      <c r="N70" s="14" t="s">
        <v>50</v>
      </c>
      <c r="O70" s="14" t="s">
        <v>51</v>
      </c>
    </row>
    <row r="71" spans="1:15">
      <c r="A71" s="15" t="s">
        <v>10</v>
      </c>
      <c r="B71" s="15" t="s">
        <v>1124</v>
      </c>
      <c r="C71" s="15" t="s">
        <v>1125</v>
      </c>
      <c r="D71" s="15" t="s">
        <v>1126</v>
      </c>
      <c r="E71" s="15">
        <v>11</v>
      </c>
      <c r="F71" s="15" t="s">
        <v>1144</v>
      </c>
      <c r="G71" s="15" t="s">
        <v>1145</v>
      </c>
      <c r="H71" s="15"/>
      <c r="I71" s="15" t="s">
        <v>322</v>
      </c>
      <c r="J71" s="7" t="str">
        <f>HYPERLINK("https://www.codechef.com/problems/ZCO14004", "https://www.codechef.com/problems/ZCO14004")</f>
        <v>https://www.codechef.com/problems/ZCO14004</v>
      </c>
      <c r="K71" s="15"/>
      <c r="L71" s="15"/>
      <c r="M71" s="15"/>
      <c r="N71" s="15" t="s">
        <v>50</v>
      </c>
      <c r="O71" s="15" t="s">
        <v>51</v>
      </c>
    </row>
    <row r="72" spans="1:15">
      <c r="A72" s="14" t="s">
        <v>10</v>
      </c>
      <c r="B72" s="14" t="s">
        <v>1124</v>
      </c>
      <c r="C72" s="14" t="s">
        <v>1125</v>
      </c>
      <c r="D72" s="14" t="s">
        <v>1126</v>
      </c>
      <c r="E72" s="14">
        <v>12</v>
      </c>
      <c r="F72" s="14" t="s">
        <v>1146</v>
      </c>
      <c r="G72" s="14" t="s">
        <v>1147</v>
      </c>
      <c r="H72" s="14"/>
      <c r="I72" s="14" t="s">
        <v>96</v>
      </c>
      <c r="J72" s="11" t="str">
        <f>HYPERLINK("https://www.codechef.com/problems/BGJOM01", "https://www.codechef.com/problems/BGJOM01")</f>
        <v>https://www.codechef.com/problems/BGJOM01</v>
      </c>
      <c r="K72" s="14"/>
      <c r="L72" s="14"/>
      <c r="M72" s="14"/>
      <c r="N72" s="14" t="s">
        <v>50</v>
      </c>
      <c r="O72" s="14" t="s">
        <v>51</v>
      </c>
    </row>
    <row r="73" spans="1:15">
      <c r="A73" s="15" t="s">
        <v>10</v>
      </c>
      <c r="B73" s="15" t="s">
        <v>1124</v>
      </c>
      <c r="C73" s="15" t="s">
        <v>1125</v>
      </c>
      <c r="D73" s="15" t="s">
        <v>1126</v>
      </c>
      <c r="E73" s="15">
        <v>13</v>
      </c>
      <c r="F73" s="15" t="s">
        <v>1148</v>
      </c>
      <c r="G73" s="15" t="s">
        <v>1149</v>
      </c>
      <c r="H73" s="15"/>
      <c r="I73" s="15" t="s">
        <v>322</v>
      </c>
      <c r="J73" s="7" t="str">
        <f>HYPERLINK("https://www.codechef.com/problems/ZCO15001", "https://www.codechef.com/problems/ZCO15001")</f>
        <v>https://www.codechef.com/problems/ZCO15001</v>
      </c>
      <c r="K73" s="15"/>
      <c r="L73" s="15"/>
      <c r="M73" s="15"/>
      <c r="N73" s="15" t="s">
        <v>50</v>
      </c>
      <c r="O73" s="15" t="s">
        <v>51</v>
      </c>
    </row>
    <row r="74" spans="1:15">
      <c r="A74" s="14" t="s">
        <v>10</v>
      </c>
      <c r="B74" s="14" t="s">
        <v>1124</v>
      </c>
      <c r="C74" s="14" t="s">
        <v>1125</v>
      </c>
      <c r="D74" s="14" t="s">
        <v>1126</v>
      </c>
      <c r="E74" s="14">
        <v>14</v>
      </c>
      <c r="F74" s="14" t="s">
        <v>1150</v>
      </c>
      <c r="G74" s="14" t="s">
        <v>1151</v>
      </c>
      <c r="H74" s="14"/>
      <c r="I74" s="14" t="s">
        <v>96</v>
      </c>
      <c r="J74" s="11" t="str">
        <f>HYPERLINK("https://www.codechef.com/problems/YMISN01", "https://www.codechef.com/problems/YMISN01")</f>
        <v>https://www.codechef.com/problems/YMISN01</v>
      </c>
      <c r="K74" s="14"/>
      <c r="L74" s="14"/>
      <c r="M74" s="14"/>
      <c r="N74" s="14" t="s">
        <v>50</v>
      </c>
      <c r="O74" s="14" t="s">
        <v>51</v>
      </c>
    </row>
    <row r="75" spans="1:15">
      <c r="A75" s="15" t="s">
        <v>10</v>
      </c>
      <c r="B75" s="15" t="s">
        <v>1124</v>
      </c>
      <c r="C75" s="15" t="s">
        <v>1125</v>
      </c>
      <c r="D75" s="15" t="s">
        <v>1126</v>
      </c>
      <c r="E75" s="15">
        <v>15</v>
      </c>
      <c r="F75" s="15" t="s">
        <v>908</v>
      </c>
      <c r="G75" s="15" t="s">
        <v>1152</v>
      </c>
      <c r="H75" s="15"/>
      <c r="I75" s="15" t="s">
        <v>96</v>
      </c>
      <c r="J75" s="7" t="str">
        <f>HYPERLINK("https://www.codechef.com/problems/ZJIHK01", "https://www.codechef.com/problems/ZJIHK01")</f>
        <v>https://www.codechef.com/problems/ZJIHK01</v>
      </c>
      <c r="K75" s="15"/>
      <c r="L75" s="15"/>
      <c r="M75" s="15"/>
      <c r="N75" s="15" t="s">
        <v>50</v>
      </c>
      <c r="O75" s="15" t="s">
        <v>51</v>
      </c>
    </row>
    <row r="76" spans="1:15">
      <c r="A76" s="14" t="s">
        <v>10</v>
      </c>
      <c r="B76" s="14" t="s">
        <v>1124</v>
      </c>
      <c r="C76" s="14" t="s">
        <v>1125</v>
      </c>
      <c r="D76" s="14" t="s">
        <v>1126</v>
      </c>
      <c r="E76" s="14">
        <v>16</v>
      </c>
      <c r="F76" s="14" t="s">
        <v>1153</v>
      </c>
      <c r="G76" s="14" t="s">
        <v>1154</v>
      </c>
      <c r="H76" s="14"/>
      <c r="I76" s="14" t="s">
        <v>96</v>
      </c>
      <c r="J76" s="11" t="str">
        <f>HYPERLINK("https://www.codechef.com/problems/NPTAS01", "https://www.codechef.com/problems/NPTAS01")</f>
        <v>https://www.codechef.com/problems/NPTAS01</v>
      </c>
      <c r="K76" s="14"/>
      <c r="L76" s="14"/>
      <c r="M76" s="14"/>
      <c r="N76" s="14" t="s">
        <v>50</v>
      </c>
      <c r="O76" s="14" t="s">
        <v>51</v>
      </c>
    </row>
    <row r="77" spans="1:15">
      <c r="A77" s="15" t="s">
        <v>10</v>
      </c>
      <c r="B77" s="15" t="s">
        <v>1124</v>
      </c>
      <c r="C77" s="15" t="s">
        <v>1125</v>
      </c>
      <c r="D77" s="15" t="s">
        <v>1126</v>
      </c>
      <c r="E77" s="15">
        <v>17</v>
      </c>
      <c r="F77" s="15" t="s">
        <v>1155</v>
      </c>
      <c r="G77" s="15" t="s">
        <v>1156</v>
      </c>
      <c r="H77" s="15"/>
      <c r="I77" s="15" t="s">
        <v>49</v>
      </c>
      <c r="J77" s="7" t="str">
        <f>HYPERLINK("https://www.codechef.com/problems/HBSBE01", "https://www.codechef.com/problems/HBSBE01")</f>
        <v>https://www.codechef.com/problems/HBSBE01</v>
      </c>
      <c r="K77" s="15"/>
      <c r="L77" s="15"/>
      <c r="M77" s="15"/>
      <c r="N77" s="15" t="s">
        <v>50</v>
      </c>
      <c r="O77" s="15" t="s">
        <v>51</v>
      </c>
    </row>
    <row r="78" spans="1:15">
      <c r="A78" s="14" t="s">
        <v>10</v>
      </c>
      <c r="B78" s="14" t="s">
        <v>1124</v>
      </c>
      <c r="C78" s="14" t="s">
        <v>1125</v>
      </c>
      <c r="D78" s="14" t="s">
        <v>1126</v>
      </c>
      <c r="E78" s="14">
        <v>18</v>
      </c>
      <c r="F78" s="14" t="s">
        <v>1157</v>
      </c>
      <c r="G78" s="14" t="s">
        <v>1158</v>
      </c>
      <c r="H78" s="14"/>
      <c r="I78" s="14" t="s">
        <v>96</v>
      </c>
      <c r="J78" s="11" t="str">
        <f>HYPERLINK("https://www.codechef.com/problems/WGBUW01", "https://www.codechef.com/problems/WGBUW01")</f>
        <v>https://www.codechef.com/problems/WGBUW01</v>
      </c>
      <c r="K78" s="14"/>
      <c r="L78" s="14"/>
      <c r="M78" s="14"/>
      <c r="N78" s="14" t="s">
        <v>50</v>
      </c>
      <c r="O78" s="14" t="s">
        <v>51</v>
      </c>
    </row>
    <row r="79" spans="1:15">
      <c r="A79" s="15" t="s">
        <v>10</v>
      </c>
      <c r="B79" s="15" t="s">
        <v>1124</v>
      </c>
      <c r="C79" s="15" t="s">
        <v>1125</v>
      </c>
      <c r="D79" s="15" t="s">
        <v>1159</v>
      </c>
      <c r="E79" s="15">
        <v>19</v>
      </c>
      <c r="F79" s="15" t="s">
        <v>1160</v>
      </c>
      <c r="G79" s="15" t="s">
        <v>1161</v>
      </c>
      <c r="H79" s="15"/>
      <c r="I79" s="15" t="s">
        <v>96</v>
      </c>
      <c r="J79" s="7" t="str">
        <f>HYPERLINK("https://www.codechef.com/problems/SUBSETTARGET", "https://www.codechef.com/problems/SUBSETTARGET")</f>
        <v>https://www.codechef.com/problems/SUBSETTARGET</v>
      </c>
      <c r="K79" s="15"/>
      <c r="L79" s="15"/>
      <c r="M79" s="15"/>
      <c r="N79" s="15" t="s">
        <v>50</v>
      </c>
      <c r="O79" s="15" t="s">
        <v>51</v>
      </c>
    </row>
    <row r="80" spans="1:15">
      <c r="A80" s="14" t="s">
        <v>10</v>
      </c>
      <c r="B80" s="14" t="s">
        <v>1124</v>
      </c>
      <c r="C80" s="14" t="s">
        <v>1125</v>
      </c>
      <c r="D80" s="14" t="s">
        <v>1159</v>
      </c>
      <c r="E80" s="14">
        <v>20</v>
      </c>
      <c r="F80" s="14" t="s">
        <v>775</v>
      </c>
      <c r="G80" s="14" t="s">
        <v>1162</v>
      </c>
      <c r="H80" s="14" t="s">
        <v>777</v>
      </c>
      <c r="I80" s="14" t="s">
        <v>96</v>
      </c>
      <c r="J80" s="11" t="str">
        <f>HYPERLINK("https://www.codechef.com/problems/MAXCROSS", "https://www.codechef.com/problems/MAXCROSS")</f>
        <v>https://www.codechef.com/problems/MAXCROSS</v>
      </c>
      <c r="K80" s="14"/>
      <c r="L80" s="14"/>
      <c r="M80" s="14"/>
      <c r="N80" s="14" t="s">
        <v>50</v>
      </c>
      <c r="O80" s="14" t="s">
        <v>51</v>
      </c>
    </row>
    <row r="81" spans="1:15">
      <c r="A81" s="15" t="s">
        <v>10</v>
      </c>
      <c r="B81" s="15" t="s">
        <v>1124</v>
      </c>
      <c r="C81" s="15" t="s">
        <v>1125</v>
      </c>
      <c r="D81" s="15" t="s">
        <v>1159</v>
      </c>
      <c r="E81" s="15">
        <v>21</v>
      </c>
      <c r="F81" s="15" t="s">
        <v>835</v>
      </c>
      <c r="G81" s="15" t="s">
        <v>836</v>
      </c>
      <c r="H81" s="15"/>
      <c r="I81" s="15" t="s">
        <v>96</v>
      </c>
      <c r="J81" s="7" t="str">
        <f>HYPERLINK("https://www.codechef.com/problems/COUNTSUBSETS", "https://www.codechef.com/problems/COUNTSUBSETS")</f>
        <v>https://www.codechef.com/problems/COUNTSUBSETS</v>
      </c>
      <c r="K81" s="15"/>
      <c r="L81" s="15"/>
      <c r="M81" s="15"/>
      <c r="N81" s="15" t="s">
        <v>50</v>
      </c>
      <c r="O81" s="15" t="s">
        <v>51</v>
      </c>
    </row>
    <row r="82" spans="1:15">
      <c r="A82" s="14" t="s">
        <v>10</v>
      </c>
      <c r="B82" s="14" t="s">
        <v>1124</v>
      </c>
      <c r="C82" s="14" t="s">
        <v>1125</v>
      </c>
      <c r="D82" s="14" t="s">
        <v>1159</v>
      </c>
      <c r="E82" s="14">
        <v>22</v>
      </c>
      <c r="F82" s="14" t="s">
        <v>1163</v>
      </c>
      <c r="G82" s="14" t="s">
        <v>1164</v>
      </c>
      <c r="H82" s="14" t="s">
        <v>1165</v>
      </c>
      <c r="I82" s="14" t="s">
        <v>96</v>
      </c>
      <c r="J82" s="11" t="str">
        <f>HYPERLINK("https://www.codechef.com/problems/E1", "https://www.codechef.com/problems/E1")</f>
        <v>https://www.codechef.com/problems/E1</v>
      </c>
      <c r="K82" s="14"/>
      <c r="L82" s="14"/>
      <c r="M82" s="14"/>
      <c r="N82" s="14" t="s">
        <v>50</v>
      </c>
      <c r="O82" s="14" t="s">
        <v>51</v>
      </c>
    </row>
    <row r="83" spans="1:15">
      <c r="A83" s="15" t="s">
        <v>10</v>
      </c>
      <c r="B83" s="15" t="s">
        <v>1124</v>
      </c>
      <c r="C83" s="15" t="s">
        <v>1125</v>
      </c>
      <c r="D83" s="15" t="s">
        <v>1159</v>
      </c>
      <c r="E83" s="15">
        <v>23</v>
      </c>
      <c r="F83" s="15" t="s">
        <v>1166</v>
      </c>
      <c r="G83" s="15" t="s">
        <v>1167</v>
      </c>
      <c r="H83" s="15"/>
      <c r="I83" s="15" t="s">
        <v>322</v>
      </c>
      <c r="J83" s="7" t="str">
        <f>HYPERLINK("https://www.codechef.com/problems/VYISQ01", "https://www.codechef.com/problems/VYISQ01")</f>
        <v>https://www.codechef.com/problems/VYISQ01</v>
      </c>
      <c r="K83" s="15"/>
      <c r="L83" s="15"/>
      <c r="M83" s="15"/>
      <c r="N83" s="15" t="s">
        <v>50</v>
      </c>
      <c r="O83" s="15" t="s">
        <v>51</v>
      </c>
    </row>
    <row r="84" spans="1:15">
      <c r="A84" s="14" t="s">
        <v>10</v>
      </c>
      <c r="B84" s="14" t="s">
        <v>1124</v>
      </c>
      <c r="C84" s="14" t="s">
        <v>1125</v>
      </c>
      <c r="D84" s="14" t="s">
        <v>1159</v>
      </c>
      <c r="E84" s="14">
        <v>24</v>
      </c>
      <c r="F84" s="14" t="s">
        <v>648</v>
      </c>
      <c r="G84" s="14" t="s">
        <v>649</v>
      </c>
      <c r="H84" s="14" t="s">
        <v>650</v>
      </c>
      <c r="I84" s="14" t="s">
        <v>96</v>
      </c>
      <c r="J84" s="11" t="str">
        <f>HYPERLINK("https://www.codechef.com/problems/MAXLCS", "https://www.codechef.com/problems/MAXLCS")</f>
        <v>https://www.codechef.com/problems/MAXLCS</v>
      </c>
      <c r="K84" s="14"/>
      <c r="L84" s="14"/>
      <c r="M84" s="14"/>
      <c r="N84" s="14" t="s">
        <v>50</v>
      </c>
      <c r="O84" s="14" t="s">
        <v>51</v>
      </c>
    </row>
    <row r="85" spans="1:15">
      <c r="A85" s="15" t="s">
        <v>10</v>
      </c>
      <c r="B85" s="15" t="s">
        <v>1124</v>
      </c>
      <c r="C85" s="15" t="s">
        <v>1125</v>
      </c>
      <c r="D85" s="15" t="s">
        <v>1159</v>
      </c>
      <c r="E85" s="15">
        <v>25</v>
      </c>
      <c r="F85" s="15" t="s">
        <v>1168</v>
      </c>
      <c r="G85" s="15" t="s">
        <v>1169</v>
      </c>
      <c r="H85" s="15"/>
      <c r="I85" s="15" t="s">
        <v>322</v>
      </c>
      <c r="J85" s="7" t="str">
        <f>HYPERLINK("https://www.codechef.com/problems/DORKL01", "https://www.codechef.com/problems/DORKL01")</f>
        <v>https://www.codechef.com/problems/DORKL01</v>
      </c>
      <c r="K85" s="15"/>
      <c r="L85" s="15"/>
      <c r="M85" s="15"/>
      <c r="N85" s="15" t="s">
        <v>50</v>
      </c>
      <c r="O85" s="15" t="s">
        <v>51</v>
      </c>
    </row>
    <row r="86" spans="1:15">
      <c r="A86" s="14" t="s">
        <v>10</v>
      </c>
      <c r="B86" s="14" t="s">
        <v>1124</v>
      </c>
      <c r="C86" s="14" t="s">
        <v>1125</v>
      </c>
      <c r="D86" s="14" t="s">
        <v>1159</v>
      </c>
      <c r="E86" s="14">
        <v>26</v>
      </c>
      <c r="F86" s="14" t="s">
        <v>904</v>
      </c>
      <c r="G86" s="14" t="s">
        <v>905</v>
      </c>
      <c r="H86" s="14"/>
      <c r="I86" s="14" t="s">
        <v>96</v>
      </c>
      <c r="J86" s="11" t="str">
        <f>HYPERLINK("https://www.codechef.com/problems/TXBCN01", "https://www.codechef.com/problems/TXBCN01")</f>
        <v>https://www.codechef.com/problems/TXBCN01</v>
      </c>
      <c r="K86" s="14"/>
      <c r="L86" s="14"/>
      <c r="M86" s="14"/>
      <c r="N86" s="14" t="s">
        <v>50</v>
      </c>
      <c r="O86" s="14" t="s">
        <v>51</v>
      </c>
    </row>
    <row r="87" spans="1:15">
      <c r="A87" s="15" t="s">
        <v>10</v>
      </c>
      <c r="B87" s="15" t="s">
        <v>1124</v>
      </c>
      <c r="C87" s="15" t="s">
        <v>1125</v>
      </c>
      <c r="D87" s="15" t="s">
        <v>1159</v>
      </c>
      <c r="E87" s="15">
        <v>27</v>
      </c>
      <c r="F87" s="15" t="s">
        <v>1170</v>
      </c>
      <c r="G87" s="15" t="s">
        <v>1171</v>
      </c>
      <c r="H87" s="15" t="s">
        <v>1172</v>
      </c>
      <c r="I87" s="15" t="s">
        <v>96</v>
      </c>
      <c r="J87" s="7" t="str">
        <f>HYPERLINK("https://www.codechef.com/problems/CAOS2", "https://www.codechef.com/problems/CAOS2")</f>
        <v>https://www.codechef.com/problems/CAOS2</v>
      </c>
      <c r="K87" s="15"/>
      <c r="L87" s="15"/>
      <c r="M87" s="15"/>
      <c r="N87" s="15" t="s">
        <v>50</v>
      </c>
      <c r="O87" s="15" t="s">
        <v>51</v>
      </c>
    </row>
    <row r="88" spans="1:15">
      <c r="A88" s="14" t="s">
        <v>10</v>
      </c>
      <c r="B88" s="14" t="s">
        <v>1124</v>
      </c>
      <c r="C88" s="14" t="s">
        <v>1125</v>
      </c>
      <c r="D88" s="14" t="s">
        <v>1159</v>
      </c>
      <c r="E88" s="14">
        <v>28</v>
      </c>
      <c r="F88" s="14" t="s">
        <v>870</v>
      </c>
      <c r="G88" s="14" t="s">
        <v>871</v>
      </c>
      <c r="H88" s="14"/>
      <c r="I88" s="14" t="s">
        <v>96</v>
      </c>
      <c r="J88" s="11" t="str">
        <f>HYPERLINK("https://www.codechef.com/problems/NINJATRAIN", "https://www.codechef.com/problems/NINJATRAIN")</f>
        <v>https://www.codechef.com/problems/NINJATRAIN</v>
      </c>
      <c r="K88" s="14"/>
      <c r="L88" s="14"/>
      <c r="M88" s="14"/>
      <c r="N88" s="14" t="s">
        <v>50</v>
      </c>
      <c r="O88" s="14" t="s">
        <v>51</v>
      </c>
    </row>
    <row r="89" spans="1:15">
      <c r="A89" s="15" t="s">
        <v>10</v>
      </c>
      <c r="B89" s="15" t="s">
        <v>1124</v>
      </c>
      <c r="C89" s="15" t="s">
        <v>1125</v>
      </c>
      <c r="D89" s="15" t="s">
        <v>1159</v>
      </c>
      <c r="E89" s="15">
        <v>29</v>
      </c>
      <c r="F89" s="15" t="s">
        <v>1173</v>
      </c>
      <c r="G89" s="15" t="s">
        <v>1174</v>
      </c>
      <c r="H89" s="15" t="s">
        <v>1175</v>
      </c>
      <c r="I89" s="15" t="s">
        <v>96</v>
      </c>
      <c r="J89" s="7" t="str">
        <f>HYPERLINK("https://www.codechef.com/problems/DISHDIS", "https://www.codechef.com/problems/DISHDIS")</f>
        <v>https://www.codechef.com/problems/DISHDIS</v>
      </c>
      <c r="K89" s="15"/>
      <c r="L89" s="15"/>
      <c r="M89" s="15"/>
      <c r="N89" s="15" t="s">
        <v>50</v>
      </c>
      <c r="O89" s="15" t="s">
        <v>51</v>
      </c>
    </row>
    <row r="90" spans="1:15">
      <c r="A90" s="14" t="s">
        <v>10</v>
      </c>
      <c r="B90" s="14" t="s">
        <v>1124</v>
      </c>
      <c r="C90" s="14" t="s">
        <v>1125</v>
      </c>
      <c r="D90" s="14" t="s">
        <v>1159</v>
      </c>
      <c r="E90" s="14">
        <v>30</v>
      </c>
      <c r="F90" s="14" t="s">
        <v>1176</v>
      </c>
      <c r="G90" s="14" t="s">
        <v>1177</v>
      </c>
      <c r="H90" s="14"/>
      <c r="I90" s="14" t="s">
        <v>96</v>
      </c>
      <c r="J90" s="11" t="str">
        <f>HYPERLINK("https://www.codechef.com/problems/TNGUI01", "https://www.codechef.com/problems/TNGUI01")</f>
        <v>https://www.codechef.com/problems/TNGUI01</v>
      </c>
      <c r="K90" s="14"/>
      <c r="L90" s="14"/>
      <c r="M90" s="14"/>
      <c r="N90" s="14" t="s">
        <v>50</v>
      </c>
      <c r="O90" s="14" t="s">
        <v>51</v>
      </c>
    </row>
    <row r="91" spans="1:15">
      <c r="A91" s="15" t="s">
        <v>10</v>
      </c>
      <c r="B91" s="15" t="s">
        <v>1124</v>
      </c>
      <c r="C91" s="15" t="s">
        <v>1125</v>
      </c>
      <c r="D91" s="15" t="s">
        <v>1159</v>
      </c>
      <c r="E91" s="15">
        <v>31</v>
      </c>
      <c r="F91" s="15" t="s">
        <v>615</v>
      </c>
      <c r="G91" s="15" t="s">
        <v>616</v>
      </c>
      <c r="H91" s="15" t="s">
        <v>617</v>
      </c>
      <c r="I91" s="15" t="s">
        <v>96</v>
      </c>
      <c r="J91" s="7" t="str">
        <f>HYPERLINK("https://www.codechef.com/problems/COUNTPAL", "https://www.codechef.com/problems/COUNTPAL")</f>
        <v>https://www.codechef.com/problems/COUNTPAL</v>
      </c>
      <c r="K91" s="15"/>
      <c r="L91" s="15"/>
      <c r="M91" s="15"/>
      <c r="N91" s="15" t="s">
        <v>50</v>
      </c>
      <c r="O91" s="15" t="s">
        <v>51</v>
      </c>
    </row>
    <row r="92" spans="1:15">
      <c r="A92" s="14" t="s">
        <v>10</v>
      </c>
      <c r="B92" s="14" t="s">
        <v>1124</v>
      </c>
      <c r="C92" s="14" t="s">
        <v>1125</v>
      </c>
      <c r="D92" s="14" t="s">
        <v>1159</v>
      </c>
      <c r="E92" s="14">
        <v>32</v>
      </c>
      <c r="F92" s="14" t="s">
        <v>913</v>
      </c>
      <c r="G92" s="14" t="s">
        <v>914</v>
      </c>
      <c r="H92" s="14"/>
      <c r="I92" s="14" t="s">
        <v>49</v>
      </c>
      <c r="J92" s="11" t="str">
        <f>HYPERLINK("https://www.codechef.com/problems/NASTA01", "https://www.codechef.com/problems/NASTA01")</f>
        <v>https://www.codechef.com/problems/NASTA01</v>
      </c>
      <c r="K92" s="14"/>
      <c r="L92" s="14"/>
      <c r="M92" s="14"/>
      <c r="N92" s="14" t="s">
        <v>50</v>
      </c>
      <c r="O92" s="14" t="s">
        <v>51</v>
      </c>
    </row>
    <row r="93" spans="1:15">
      <c r="A93" s="15" t="s">
        <v>10</v>
      </c>
      <c r="B93" s="15" t="s">
        <v>1124</v>
      </c>
      <c r="C93" s="15" t="s">
        <v>1125</v>
      </c>
      <c r="D93" s="15" t="s">
        <v>1159</v>
      </c>
      <c r="E93" s="15">
        <v>33</v>
      </c>
      <c r="F93" s="15" t="s">
        <v>1178</v>
      </c>
      <c r="G93" s="15" t="s">
        <v>1179</v>
      </c>
      <c r="H93" s="15" t="s">
        <v>1180</v>
      </c>
      <c r="I93" s="15" t="s">
        <v>96</v>
      </c>
      <c r="J93" s="7" t="str">
        <f>HYPERLINK("https://www.codechef.com/problems/FCBARCA", "https://www.codechef.com/problems/FCBARCA")</f>
        <v>https://www.codechef.com/problems/FCBARCA</v>
      </c>
      <c r="K93" s="15"/>
      <c r="L93" s="15"/>
      <c r="M93" s="15"/>
      <c r="N93" s="15" t="s">
        <v>50</v>
      </c>
      <c r="O93" s="15" t="s">
        <v>51</v>
      </c>
    </row>
    <row r="94" spans="1:15">
      <c r="A94" s="14" t="s">
        <v>10</v>
      </c>
      <c r="B94" s="14" t="s">
        <v>1124</v>
      </c>
      <c r="C94" s="14" t="s">
        <v>1125</v>
      </c>
      <c r="D94" s="14" t="s">
        <v>1159</v>
      </c>
      <c r="E94" s="14">
        <v>34</v>
      </c>
      <c r="F94" s="14" t="s">
        <v>1181</v>
      </c>
      <c r="G94" s="14" t="s">
        <v>1182</v>
      </c>
      <c r="H94" s="14"/>
      <c r="I94" s="14" t="s">
        <v>322</v>
      </c>
      <c r="J94" s="11" t="str">
        <f>HYPERLINK("https://www.codechef.com/problems/ZCO16002", "https://www.codechef.com/problems/ZCO16002")</f>
        <v>https://www.codechef.com/problems/ZCO16002</v>
      </c>
      <c r="K94" s="14"/>
      <c r="L94" s="14"/>
      <c r="M94" s="14"/>
      <c r="N94" s="14" t="s">
        <v>50</v>
      </c>
      <c r="O94" s="14" t="s">
        <v>51</v>
      </c>
    </row>
    <row r="95" spans="1:15">
      <c r="A95" s="15" t="s">
        <v>10</v>
      </c>
      <c r="B95" s="15" t="s">
        <v>1124</v>
      </c>
      <c r="C95" s="15" t="s">
        <v>1125</v>
      </c>
      <c r="D95" s="15" t="s">
        <v>1159</v>
      </c>
      <c r="E95" s="15">
        <v>35</v>
      </c>
      <c r="F95" s="15" t="s">
        <v>1183</v>
      </c>
      <c r="G95" s="15" t="s">
        <v>1184</v>
      </c>
      <c r="H95" s="15"/>
      <c r="I95" s="15" t="s">
        <v>322</v>
      </c>
      <c r="J95" s="7" t="str">
        <f>HYPERLINK("https://www.codechef.com/problems/INOI1301", "https://www.codechef.com/problems/INOI1301")</f>
        <v>https://www.codechef.com/problems/INOI1301</v>
      </c>
      <c r="K95" s="15"/>
      <c r="L95" s="15"/>
      <c r="M95" s="15"/>
      <c r="N95" s="15" t="s">
        <v>50</v>
      </c>
      <c r="O95" s="15" t="s">
        <v>51</v>
      </c>
    </row>
    <row r="96" spans="1:15">
      <c r="A96" s="14" t="s">
        <v>10</v>
      </c>
      <c r="B96" s="14" t="s">
        <v>1124</v>
      </c>
      <c r="C96" s="14" t="s">
        <v>1125</v>
      </c>
      <c r="D96" s="14" t="s">
        <v>1159</v>
      </c>
      <c r="E96" s="14">
        <v>36</v>
      </c>
      <c r="F96" s="14" t="s">
        <v>1185</v>
      </c>
      <c r="G96" s="14" t="s">
        <v>1186</v>
      </c>
      <c r="H96" s="14"/>
      <c r="I96" s="14" t="s">
        <v>322</v>
      </c>
      <c r="J96" s="11" t="str">
        <f>HYPERLINK("https://www.codechef.com/problems/PEC005", "https://www.codechef.com/problems/PEC005")</f>
        <v>https://www.codechef.com/problems/PEC005</v>
      </c>
      <c r="K96" s="14"/>
      <c r="L96" s="14"/>
      <c r="M96" s="14"/>
      <c r="N96" s="14" t="s">
        <v>50</v>
      </c>
      <c r="O96" s="14" t="s">
        <v>51</v>
      </c>
    </row>
    <row r="97" spans="1:15">
      <c r="A97" s="15" t="s">
        <v>10</v>
      </c>
      <c r="B97" s="15" t="s">
        <v>1124</v>
      </c>
      <c r="C97" s="15" t="s">
        <v>1125</v>
      </c>
      <c r="D97" s="15" t="s">
        <v>1159</v>
      </c>
      <c r="E97" s="15">
        <v>37</v>
      </c>
      <c r="F97" s="15" t="s">
        <v>1187</v>
      </c>
      <c r="G97" s="15" t="s">
        <v>1188</v>
      </c>
      <c r="H97" s="15"/>
      <c r="I97" s="15" t="s">
        <v>322</v>
      </c>
      <c r="J97" s="7" t="str">
        <f>HYPERLINK("https://www.codechef.com/problems/TILE", "https://www.codechef.com/problems/TILE")</f>
        <v>https://www.codechef.com/problems/TILE</v>
      </c>
      <c r="K97" s="15"/>
      <c r="L97" s="15"/>
      <c r="M97" s="15"/>
      <c r="N97" s="15" t="s">
        <v>50</v>
      </c>
      <c r="O97" s="15" t="s">
        <v>51</v>
      </c>
    </row>
    <row r="98" spans="1:15">
      <c r="A98" s="14" t="s">
        <v>10</v>
      </c>
      <c r="B98" s="14" t="s">
        <v>1124</v>
      </c>
      <c r="C98" s="14" t="s">
        <v>1125</v>
      </c>
      <c r="D98" s="14" t="s">
        <v>1159</v>
      </c>
      <c r="E98" s="14">
        <v>38</v>
      </c>
      <c r="F98" s="14" t="s">
        <v>1189</v>
      </c>
      <c r="G98" s="14" t="s">
        <v>1190</v>
      </c>
      <c r="H98" s="14"/>
      <c r="I98" s="14" t="s">
        <v>322</v>
      </c>
      <c r="J98" s="11" t="str">
        <f>HYPERLINK("https://www.codechef.com/problems/ZCO13002", "https://www.codechef.com/problems/ZCO13002")</f>
        <v>https://www.codechef.com/problems/ZCO13002</v>
      </c>
      <c r="K98" s="14"/>
      <c r="L98" s="14"/>
      <c r="M98" s="14"/>
      <c r="N98" s="14" t="s">
        <v>50</v>
      </c>
      <c r="O98" s="14" t="s">
        <v>51</v>
      </c>
    </row>
    <row r="99" spans="1:15">
      <c r="A99" s="15" t="s">
        <v>10</v>
      </c>
      <c r="B99" s="15" t="s">
        <v>1124</v>
      </c>
      <c r="C99" s="15" t="s">
        <v>1125</v>
      </c>
      <c r="D99" s="15" t="s">
        <v>1159</v>
      </c>
      <c r="E99" s="15">
        <v>39</v>
      </c>
      <c r="F99" s="15" t="s">
        <v>872</v>
      </c>
      <c r="G99" s="15" t="s">
        <v>873</v>
      </c>
      <c r="H99" s="15"/>
      <c r="I99" s="15" t="s">
        <v>322</v>
      </c>
      <c r="J99" s="7" t="str">
        <f>HYPERLINK("https://www.codechef.com/problems/VUUDN01", "https://www.codechef.com/problems/VUUDN01")</f>
        <v>https://www.codechef.com/problems/VUUDN01</v>
      </c>
      <c r="K99" s="15"/>
      <c r="L99" s="15"/>
      <c r="M99" s="15"/>
      <c r="N99" s="15" t="s">
        <v>50</v>
      </c>
      <c r="O99" s="15" t="s">
        <v>51</v>
      </c>
    </row>
    <row r="100" spans="1:15">
      <c r="A100" s="14" t="s">
        <v>10</v>
      </c>
      <c r="B100" s="14" t="s">
        <v>1124</v>
      </c>
      <c r="C100" s="14" t="s">
        <v>1125</v>
      </c>
      <c r="D100" s="14" t="s">
        <v>1159</v>
      </c>
      <c r="E100" s="14">
        <v>40</v>
      </c>
      <c r="F100" s="14" t="s">
        <v>1191</v>
      </c>
      <c r="G100" s="14" t="s">
        <v>1192</v>
      </c>
      <c r="H100" s="14"/>
      <c r="I100" s="14" t="s">
        <v>322</v>
      </c>
      <c r="J100" s="11" t="str">
        <f>HYPERLINK("https://www.codechef.com/problems/ZGXXI01", "https://www.codechef.com/problems/ZGXXI01")</f>
        <v>https://www.codechef.com/problems/ZGXXI01</v>
      </c>
      <c r="K100" s="14"/>
      <c r="L100" s="14"/>
      <c r="M100" s="14"/>
      <c r="N100" s="14" t="s">
        <v>50</v>
      </c>
      <c r="O100" s="14" t="s">
        <v>51</v>
      </c>
    </row>
    <row r="101" spans="1:15">
      <c r="A101" s="15" t="s">
        <v>10</v>
      </c>
      <c r="B101" s="15" t="s">
        <v>1124</v>
      </c>
      <c r="C101" s="15" t="s">
        <v>1125</v>
      </c>
      <c r="D101" s="15" t="s">
        <v>1159</v>
      </c>
      <c r="E101" s="15">
        <v>41</v>
      </c>
      <c r="F101" s="15" t="s">
        <v>1193</v>
      </c>
      <c r="G101" s="15" t="s">
        <v>1194</v>
      </c>
      <c r="H101" s="15"/>
      <c r="I101" s="15" t="s">
        <v>322</v>
      </c>
      <c r="J101" s="7" t="str">
        <f>HYPERLINK("https://www.codechef.com/problems/URERF01", "https://www.codechef.com/problems/URERF01")</f>
        <v>https://www.codechef.com/problems/URERF01</v>
      </c>
      <c r="K101" s="15"/>
      <c r="L101" s="15"/>
      <c r="M101" s="15"/>
      <c r="N101" s="15" t="s">
        <v>50</v>
      </c>
      <c r="O101" s="15" t="s">
        <v>51</v>
      </c>
    </row>
    <row r="102" spans="1:15">
      <c r="A102" s="14" t="s">
        <v>10</v>
      </c>
      <c r="B102" s="14" t="s">
        <v>1124</v>
      </c>
      <c r="C102" s="14" t="s">
        <v>1125</v>
      </c>
      <c r="D102" s="14" t="s">
        <v>1159</v>
      </c>
      <c r="E102" s="14">
        <v>42</v>
      </c>
      <c r="F102" s="14" t="s">
        <v>1195</v>
      </c>
      <c r="G102" s="14" t="s">
        <v>1196</v>
      </c>
      <c r="H102" s="14"/>
      <c r="I102" s="14" t="s">
        <v>322</v>
      </c>
      <c r="J102" s="11" t="str">
        <f>HYPERLINK("https://www.codechef.com/problems/UAAIW01", "https://www.codechef.com/problems/UAAIW01")</f>
        <v>https://www.codechef.com/problems/UAAIW01</v>
      </c>
      <c r="K102" s="14"/>
      <c r="L102" s="14"/>
      <c r="M102" s="14"/>
      <c r="N102" s="14" t="s">
        <v>50</v>
      </c>
      <c r="O102" s="14" t="s">
        <v>51</v>
      </c>
    </row>
    <row r="103" spans="1:15">
      <c r="A103" s="15" t="s">
        <v>10</v>
      </c>
      <c r="B103" s="15" t="s">
        <v>1124</v>
      </c>
      <c r="C103" s="15" t="s">
        <v>1125</v>
      </c>
      <c r="D103" s="15" t="s">
        <v>1159</v>
      </c>
      <c r="E103" s="15">
        <v>43</v>
      </c>
      <c r="F103" s="15" t="s">
        <v>1197</v>
      </c>
      <c r="G103" s="15" t="s">
        <v>1198</v>
      </c>
      <c r="H103" s="15"/>
      <c r="I103" s="15" t="s">
        <v>322</v>
      </c>
      <c r="J103" s="7" t="str">
        <f>HYPERLINK("https://www.codechef.com/problems/ZGXNF01", "https://www.codechef.com/problems/ZGXNF01")</f>
        <v>https://www.codechef.com/problems/ZGXNF01</v>
      </c>
      <c r="K103" s="15"/>
      <c r="L103" s="15"/>
      <c r="M103" s="15"/>
      <c r="N103" s="15" t="s">
        <v>50</v>
      </c>
      <c r="O103" s="15" t="s">
        <v>51</v>
      </c>
    </row>
    <row r="104" spans="1:15">
      <c r="A104" s="14" t="s">
        <v>10</v>
      </c>
      <c r="B104" s="14" t="s">
        <v>1124</v>
      </c>
      <c r="C104" s="14" t="s">
        <v>1125</v>
      </c>
      <c r="D104" s="14" t="s">
        <v>1159</v>
      </c>
      <c r="E104" s="14">
        <v>44</v>
      </c>
      <c r="F104" s="14" t="s">
        <v>921</v>
      </c>
      <c r="G104" s="14" t="s">
        <v>922</v>
      </c>
      <c r="H104" s="14"/>
      <c r="I104" s="14" t="s">
        <v>322</v>
      </c>
      <c r="J104" s="11" t="str">
        <f>HYPERLINK("https://www.codechef.com/problems/NZRYT01", "https://www.codechef.com/problems/NZRYT01")</f>
        <v>https://www.codechef.com/problems/NZRYT01</v>
      </c>
      <c r="K104" s="14"/>
      <c r="L104" s="14"/>
      <c r="M104" s="14"/>
      <c r="N104" s="14" t="s">
        <v>50</v>
      </c>
      <c r="O104" s="14" t="s">
        <v>51</v>
      </c>
    </row>
    <row r="105" spans="1:15">
      <c r="A105" s="15" t="s">
        <v>10</v>
      </c>
      <c r="B105" s="15" t="s">
        <v>1124</v>
      </c>
      <c r="C105" s="15" t="s">
        <v>1125</v>
      </c>
      <c r="D105" s="15" t="s">
        <v>1159</v>
      </c>
      <c r="E105" s="15">
        <v>45</v>
      </c>
      <c r="F105" s="15" t="s">
        <v>1199</v>
      </c>
      <c r="G105" s="15" t="s">
        <v>1200</v>
      </c>
      <c r="H105" s="15"/>
      <c r="I105" s="15" t="s">
        <v>322</v>
      </c>
      <c r="J105" s="7" t="str">
        <f>HYPERLINK("https://www.codechef.com/problems/YHPHV01", "https://www.codechef.com/problems/YHPHV01")</f>
        <v>https://www.codechef.com/problems/YHPHV01</v>
      </c>
      <c r="K105" s="15"/>
      <c r="L105" s="15"/>
      <c r="M105" s="15"/>
      <c r="N105" s="15" t="s">
        <v>50</v>
      </c>
      <c r="O105" s="15" t="s">
        <v>51</v>
      </c>
    </row>
    <row r="106" spans="1:15">
      <c r="A106" s="14" t="s">
        <v>10</v>
      </c>
      <c r="B106" s="14" t="s">
        <v>1124</v>
      </c>
      <c r="C106" s="14" t="s">
        <v>1125</v>
      </c>
      <c r="D106" s="14" t="s">
        <v>1159</v>
      </c>
      <c r="E106" s="14">
        <v>46</v>
      </c>
      <c r="F106" s="14" t="s">
        <v>1201</v>
      </c>
      <c r="G106" s="14" t="s">
        <v>1202</v>
      </c>
      <c r="H106" s="14"/>
      <c r="I106" s="14" t="s">
        <v>322</v>
      </c>
      <c r="J106" s="11" t="str">
        <f>HYPERLINK("https://www.codechef.com/problems/MLONT01", "https://www.codechef.com/problems/MLONT01")</f>
        <v>https://www.codechef.com/problems/MLONT01</v>
      </c>
      <c r="K106" s="14"/>
      <c r="L106" s="14"/>
      <c r="M106" s="14"/>
      <c r="N106" s="14" t="s">
        <v>50</v>
      </c>
      <c r="O106" s="14" t="s">
        <v>51</v>
      </c>
    </row>
    <row r="107" spans="1:15">
      <c r="A107" s="15" t="s">
        <v>10</v>
      </c>
      <c r="B107" s="15" t="s">
        <v>1124</v>
      </c>
      <c r="C107" s="15" t="s">
        <v>1125</v>
      </c>
      <c r="D107" s="15" t="s">
        <v>1159</v>
      </c>
      <c r="E107" s="15">
        <v>47</v>
      </c>
      <c r="F107" s="15" t="s">
        <v>1203</v>
      </c>
      <c r="G107" s="15" t="s">
        <v>1204</v>
      </c>
      <c r="H107" s="15"/>
      <c r="I107" s="15" t="s">
        <v>322</v>
      </c>
      <c r="J107" s="7" t="str">
        <f>HYPERLINK("https://www.codechef.com/problems/JKPLU01", "https://www.codechef.com/problems/JKPLU01")</f>
        <v>https://www.codechef.com/problems/JKPLU01</v>
      </c>
      <c r="K107" s="15"/>
      <c r="L107" s="15"/>
      <c r="M107" s="15"/>
      <c r="N107" s="15" t="s">
        <v>50</v>
      </c>
      <c r="O107" s="15" t="s">
        <v>51</v>
      </c>
    </row>
    <row r="108" spans="1:15">
      <c r="A108" s="14" t="s">
        <v>10</v>
      </c>
      <c r="B108" s="14" t="s">
        <v>1124</v>
      </c>
      <c r="C108" s="14" t="s">
        <v>1125</v>
      </c>
      <c r="D108" s="14" t="s">
        <v>1159</v>
      </c>
      <c r="E108" s="14">
        <v>48</v>
      </c>
      <c r="F108" s="14" t="s">
        <v>1205</v>
      </c>
      <c r="G108" s="14" t="s">
        <v>1206</v>
      </c>
      <c r="H108" s="14"/>
      <c r="I108" s="14" t="s">
        <v>96</v>
      </c>
      <c r="J108" s="11" t="str">
        <f>HYPERLINK("https://www.codechef.com/problems/OIWPE01", "https://www.codechef.com/problems/OIWPE01")</f>
        <v>https://www.codechef.com/problems/OIWPE01</v>
      </c>
      <c r="K108" s="14"/>
      <c r="L108" s="14"/>
      <c r="M108" s="14"/>
      <c r="N108" s="14" t="s">
        <v>50</v>
      </c>
      <c r="O108" s="14" t="s">
        <v>51</v>
      </c>
    </row>
    <row r="109" spans="1:15">
      <c r="A109" s="15" t="s">
        <v>10</v>
      </c>
      <c r="B109" s="15" t="s">
        <v>1124</v>
      </c>
      <c r="C109" s="15" t="s">
        <v>1125</v>
      </c>
      <c r="D109" s="15" t="s">
        <v>1159</v>
      </c>
      <c r="E109" s="15">
        <v>49</v>
      </c>
      <c r="F109" s="15" t="s">
        <v>1207</v>
      </c>
      <c r="G109" s="15" t="s">
        <v>1208</v>
      </c>
      <c r="H109" s="15"/>
      <c r="I109" s="15" t="s">
        <v>322</v>
      </c>
      <c r="J109" s="7" t="str">
        <f>HYPERLINK("https://www.codechef.com/problems/RXYOO01", "https://www.codechef.com/problems/RXYOO01")</f>
        <v>https://www.codechef.com/problems/RXYOO01</v>
      </c>
      <c r="K109" s="15"/>
      <c r="L109" s="15"/>
      <c r="M109" s="15"/>
      <c r="N109" s="15" t="s">
        <v>50</v>
      </c>
      <c r="O109" s="15" t="s">
        <v>51</v>
      </c>
    </row>
    <row r="110" spans="1:15">
      <c r="A110" s="14" t="s">
        <v>10</v>
      </c>
      <c r="B110" s="14" t="s">
        <v>1124</v>
      </c>
      <c r="C110" s="14" t="s">
        <v>1125</v>
      </c>
      <c r="D110" s="14" t="s">
        <v>1159</v>
      </c>
      <c r="E110" s="14">
        <v>50</v>
      </c>
      <c r="F110" s="14" t="s">
        <v>1209</v>
      </c>
      <c r="G110" s="14" t="s">
        <v>1210</v>
      </c>
      <c r="H110" s="14"/>
      <c r="I110" s="14" t="s">
        <v>322</v>
      </c>
      <c r="J110" s="11" t="str">
        <f>HYPERLINK("https://www.codechef.com/problems/NGEXK01", "https://www.codechef.com/problems/NGEXK01")</f>
        <v>https://www.codechef.com/problems/NGEXK01</v>
      </c>
      <c r="K110" s="14"/>
      <c r="L110" s="14"/>
      <c r="M110" s="14"/>
      <c r="N110" s="14" t="s">
        <v>50</v>
      </c>
      <c r="O110" s="14" t="s">
        <v>51</v>
      </c>
    </row>
    <row r="111" spans="1:15">
      <c r="A111" s="15" t="s">
        <v>10</v>
      </c>
      <c r="B111" s="15" t="s">
        <v>1124</v>
      </c>
      <c r="C111" s="15" t="s">
        <v>1125</v>
      </c>
      <c r="D111" s="15" t="s">
        <v>1159</v>
      </c>
      <c r="E111" s="15">
        <v>51</v>
      </c>
      <c r="F111" s="15" t="s">
        <v>837</v>
      </c>
      <c r="G111" s="15" t="s">
        <v>838</v>
      </c>
      <c r="H111" s="15"/>
      <c r="I111" s="15" t="s">
        <v>322</v>
      </c>
      <c r="J111" s="7" t="str">
        <f>HYPERLINK("https://www.codechef.com/problems/CHEFANDTWOFR", "https://www.codechef.com/problems/CHEFANDTWOFR")</f>
        <v>https://www.codechef.com/problems/CHEFANDTWOFR</v>
      </c>
      <c r="K111" s="15"/>
      <c r="L111" s="15"/>
      <c r="M111" s="15"/>
      <c r="N111" s="15" t="s">
        <v>50</v>
      </c>
      <c r="O111" s="15" t="s">
        <v>51</v>
      </c>
    </row>
    <row r="112" spans="1:15">
      <c r="A112" s="14" t="s">
        <v>10</v>
      </c>
      <c r="B112" s="14" t="s">
        <v>1211</v>
      </c>
      <c r="C112" s="14" t="s">
        <v>1212</v>
      </c>
      <c r="D112" s="14" t="s">
        <v>1213</v>
      </c>
      <c r="E112" s="14">
        <v>1</v>
      </c>
      <c r="F112" s="14" t="s">
        <v>1214</v>
      </c>
      <c r="G112" s="14" t="s">
        <v>1215</v>
      </c>
      <c r="H112" s="14" t="s">
        <v>1216</v>
      </c>
      <c r="I112" s="14" t="s">
        <v>49</v>
      </c>
      <c r="J112" s="11" t="str">
        <f>HYPERLINK("https://www.codechef.com/problems/BUDTECH", "https://www.codechef.com/problems/BUDTECH")</f>
        <v>https://www.codechef.com/problems/BUDTECH</v>
      </c>
      <c r="K112" s="14"/>
      <c r="L112" s="14"/>
      <c r="M112" s="14"/>
      <c r="N112" s="14" t="s">
        <v>50</v>
      </c>
      <c r="O112" s="14" t="s">
        <v>51</v>
      </c>
    </row>
    <row r="113" spans="1:15">
      <c r="A113" s="15" t="s">
        <v>10</v>
      </c>
      <c r="B113" s="15" t="s">
        <v>1211</v>
      </c>
      <c r="C113" s="15" t="s">
        <v>1212</v>
      </c>
      <c r="D113" s="15" t="s">
        <v>1213</v>
      </c>
      <c r="E113" s="15">
        <v>2</v>
      </c>
      <c r="F113" s="15" t="s">
        <v>1217</v>
      </c>
      <c r="G113" s="15" t="s">
        <v>1218</v>
      </c>
      <c r="H113" s="15" t="s">
        <v>1219</v>
      </c>
      <c r="I113" s="15" t="s">
        <v>49</v>
      </c>
      <c r="J113" s="7" t="str">
        <f>HYPERLINK("https://www.codechef.com/problems/RANKLISTPAGE", "https://www.codechef.com/problems/RANKLISTPAGE")</f>
        <v>https://www.codechef.com/problems/RANKLISTPAGE</v>
      </c>
      <c r="K113" s="15"/>
      <c r="L113" s="15"/>
      <c r="M113" s="15"/>
      <c r="N113" s="15" t="s">
        <v>50</v>
      </c>
      <c r="O113" s="15" t="s">
        <v>51</v>
      </c>
    </row>
    <row r="114" spans="1:15">
      <c r="A114" s="14" t="s">
        <v>10</v>
      </c>
      <c r="B114" s="14" t="s">
        <v>1211</v>
      </c>
      <c r="C114" s="14" t="s">
        <v>1212</v>
      </c>
      <c r="D114" s="14" t="s">
        <v>1213</v>
      </c>
      <c r="E114" s="14">
        <v>3</v>
      </c>
      <c r="F114" s="14" t="s">
        <v>1220</v>
      </c>
      <c r="G114" s="14" t="s">
        <v>1221</v>
      </c>
      <c r="H114" s="14" t="s">
        <v>1222</v>
      </c>
      <c r="I114" s="14" t="s">
        <v>49</v>
      </c>
      <c r="J114" s="11" t="str">
        <f>HYPERLINK("https://www.codechef.com/problems/BETDEAL", "https://www.codechef.com/problems/BETDEAL")</f>
        <v>https://www.codechef.com/problems/BETDEAL</v>
      </c>
      <c r="K114" s="14"/>
      <c r="L114" s="14" t="s">
        <v>213</v>
      </c>
      <c r="M114" s="14"/>
      <c r="N114" s="14" t="s">
        <v>50</v>
      </c>
      <c r="O114" s="14" t="s">
        <v>51</v>
      </c>
    </row>
    <row r="115" spans="1:15">
      <c r="A115" s="15" t="s">
        <v>10</v>
      </c>
      <c r="B115" s="15" t="s">
        <v>1211</v>
      </c>
      <c r="C115" s="15" t="s">
        <v>1212</v>
      </c>
      <c r="D115" s="15" t="s">
        <v>1213</v>
      </c>
      <c r="E115" s="15">
        <v>4</v>
      </c>
      <c r="F115" s="15" t="s">
        <v>1223</v>
      </c>
      <c r="G115" s="15" t="s">
        <v>1224</v>
      </c>
      <c r="H115" s="15" t="s">
        <v>1225</v>
      </c>
      <c r="I115" s="15" t="s">
        <v>49</v>
      </c>
      <c r="J115" s="7" t="str">
        <f>HYPERLINK("https://www.codechef.com/problems/FOODPLAN", "https://www.codechef.com/problems/FOODPLAN")</f>
        <v>https://www.codechef.com/problems/FOODPLAN</v>
      </c>
      <c r="K115" s="15"/>
      <c r="L115" s="15" t="s">
        <v>213</v>
      </c>
      <c r="M115" s="15"/>
      <c r="N115" s="15" t="s">
        <v>50</v>
      </c>
      <c r="O115" s="15" t="s">
        <v>51</v>
      </c>
    </row>
    <row r="116" spans="1:15">
      <c r="A116" s="14" t="s">
        <v>10</v>
      </c>
      <c r="B116" s="14" t="s">
        <v>1211</v>
      </c>
      <c r="C116" s="14" t="s">
        <v>1212</v>
      </c>
      <c r="D116" s="14" t="s">
        <v>1213</v>
      </c>
      <c r="E116" s="14">
        <v>5</v>
      </c>
      <c r="F116" s="14" t="s">
        <v>669</v>
      </c>
      <c r="G116" s="14" t="s">
        <v>670</v>
      </c>
      <c r="H116" s="14" t="s">
        <v>671</v>
      </c>
      <c r="I116" s="14" t="s">
        <v>49</v>
      </c>
      <c r="J116" s="11" t="str">
        <f>HYPERLINK("https://www.codechef.com/problems/ODDSUMPAIR", "https://www.codechef.com/problems/ODDSUMPAIR")</f>
        <v>https://www.codechef.com/problems/ODDSUMPAIR</v>
      </c>
      <c r="K116" s="14"/>
      <c r="L116" s="14" t="s">
        <v>194</v>
      </c>
      <c r="M116" s="14"/>
      <c r="N116" s="14" t="s">
        <v>50</v>
      </c>
      <c r="O116" s="14" t="s">
        <v>51</v>
      </c>
    </row>
    <row r="117" spans="1:15">
      <c r="A117" s="15" t="s">
        <v>10</v>
      </c>
      <c r="B117" s="15" t="s">
        <v>1211</v>
      </c>
      <c r="C117" s="15" t="s">
        <v>1212</v>
      </c>
      <c r="D117" s="15" t="s">
        <v>1213</v>
      </c>
      <c r="E117" s="15">
        <v>6</v>
      </c>
      <c r="F117" s="15" t="s">
        <v>672</v>
      </c>
      <c r="G117" s="15" t="s">
        <v>673</v>
      </c>
      <c r="H117" s="15" t="s">
        <v>674</v>
      </c>
      <c r="I117" s="15" t="s">
        <v>49</v>
      </c>
      <c r="J117" s="7" t="str">
        <f>HYPERLINK("https://www.codechef.com/problems/BOOKPAGES", "https://www.codechef.com/problems/BOOKPAGES")</f>
        <v>https://www.codechef.com/problems/BOOKPAGES</v>
      </c>
      <c r="K117" s="15"/>
      <c r="L117" s="15"/>
      <c r="M117" s="15"/>
      <c r="N117" s="15" t="s">
        <v>50</v>
      </c>
      <c r="O117" s="15" t="s">
        <v>51</v>
      </c>
    </row>
    <row r="118" spans="1:15">
      <c r="A118" s="14" t="s">
        <v>10</v>
      </c>
      <c r="B118" s="14" t="s">
        <v>1211</v>
      </c>
      <c r="C118" s="14" t="s">
        <v>1212</v>
      </c>
      <c r="D118" s="14" t="s">
        <v>1213</v>
      </c>
      <c r="E118" s="14">
        <v>7</v>
      </c>
      <c r="F118" s="14" t="s">
        <v>1226</v>
      </c>
      <c r="G118" s="14" t="s">
        <v>1227</v>
      </c>
      <c r="H118" s="14" t="s">
        <v>1228</v>
      </c>
      <c r="I118" s="14" t="s">
        <v>49</v>
      </c>
      <c r="J118" s="11" t="str">
        <f>HYPERLINK("https://www.codechef.com/problems/REDSTRBTN", "https://www.codechef.com/problems/REDSTRBTN")</f>
        <v>https://www.codechef.com/problems/REDSTRBTN</v>
      </c>
      <c r="K118" s="14"/>
      <c r="L118" s="14"/>
      <c r="M118" s="14"/>
      <c r="N118" s="14" t="s">
        <v>50</v>
      </c>
      <c r="O118" s="14" t="s">
        <v>51</v>
      </c>
    </row>
    <row r="119" spans="1:15">
      <c r="A119" s="15" t="s">
        <v>10</v>
      </c>
      <c r="B119" s="15" t="s">
        <v>1211</v>
      </c>
      <c r="C119" s="15" t="s">
        <v>1212</v>
      </c>
      <c r="D119" s="15" t="s">
        <v>1213</v>
      </c>
      <c r="E119" s="15">
        <v>8</v>
      </c>
      <c r="F119" s="15" t="s">
        <v>1229</v>
      </c>
      <c r="G119" s="15" t="s">
        <v>1230</v>
      </c>
      <c r="H119" s="15" t="s">
        <v>1231</v>
      </c>
      <c r="I119" s="15" t="s">
        <v>49</v>
      </c>
      <c r="J119" s="7" t="str">
        <f>HYPERLINK("https://www.codechef.com/problems/LUCKYN", "https://www.codechef.com/problems/LUCKYN")</f>
        <v>https://www.codechef.com/problems/LUCKYN</v>
      </c>
      <c r="K119" s="15"/>
      <c r="L119" s="15"/>
      <c r="M119" s="15"/>
      <c r="N119" s="15" t="s">
        <v>50</v>
      </c>
      <c r="O119" s="15" t="s">
        <v>51</v>
      </c>
    </row>
    <row r="120" spans="1:15">
      <c r="A120" s="14" t="s">
        <v>10</v>
      </c>
      <c r="B120" s="14" t="s">
        <v>1211</v>
      </c>
      <c r="C120" s="14" t="s">
        <v>1212</v>
      </c>
      <c r="D120" s="14" t="s">
        <v>1213</v>
      </c>
      <c r="E120" s="14">
        <v>9</v>
      </c>
      <c r="F120" s="14" t="s">
        <v>1232</v>
      </c>
      <c r="G120" s="14" t="s">
        <v>1233</v>
      </c>
      <c r="H120" s="14" t="s">
        <v>1234</v>
      </c>
      <c r="I120" s="14" t="s">
        <v>49</v>
      </c>
      <c r="J120" s="11" t="str">
        <f>HYPERLINK("https://www.codechef.com/problems/RETURNCHANGE", "https://www.codechef.com/problems/RETURNCHANGE")</f>
        <v>https://www.codechef.com/problems/RETURNCHANGE</v>
      </c>
      <c r="K120" s="14"/>
      <c r="L120" s="14"/>
      <c r="M120" s="14"/>
      <c r="N120" s="14" t="s">
        <v>50</v>
      </c>
      <c r="O120" s="14" t="s">
        <v>51</v>
      </c>
    </row>
    <row r="121" spans="1:15">
      <c r="A121" s="15" t="s">
        <v>10</v>
      </c>
      <c r="B121" s="15" t="s">
        <v>1211</v>
      </c>
      <c r="C121" s="15" t="s">
        <v>1212</v>
      </c>
      <c r="D121" s="15" t="s">
        <v>1213</v>
      </c>
      <c r="E121" s="15">
        <v>10</v>
      </c>
      <c r="F121" s="15" t="s">
        <v>1235</v>
      </c>
      <c r="G121" s="15" t="s">
        <v>1236</v>
      </c>
      <c r="H121" s="15" t="s">
        <v>380</v>
      </c>
      <c r="I121" s="15" t="s">
        <v>49</v>
      </c>
      <c r="J121" s="7" t="str">
        <f>HYPERLINK("https://www.codechef.com/problems/CUTPAPER", "https://www.codechef.com/problems/CUTPAPER")</f>
        <v>https://www.codechef.com/problems/CUTPAPER</v>
      </c>
      <c r="K121" s="15"/>
      <c r="L121" s="15" t="s">
        <v>194</v>
      </c>
      <c r="M121" s="15"/>
      <c r="N121" s="15" t="s">
        <v>50</v>
      </c>
      <c r="O121" s="15" t="s">
        <v>51</v>
      </c>
    </row>
    <row r="122" spans="1:15">
      <c r="A122" s="14" t="s">
        <v>10</v>
      </c>
      <c r="B122" s="14" t="s">
        <v>1211</v>
      </c>
      <c r="C122" s="14" t="s">
        <v>1212</v>
      </c>
      <c r="D122" s="14" t="s">
        <v>1213</v>
      </c>
      <c r="E122" s="14">
        <v>11</v>
      </c>
      <c r="F122" s="14" t="s">
        <v>592</v>
      </c>
      <c r="G122" s="14" t="s">
        <v>1237</v>
      </c>
      <c r="H122" s="14" t="s">
        <v>594</v>
      </c>
      <c r="I122" s="14" t="s">
        <v>49</v>
      </c>
      <c r="J122" s="11" t="str">
        <f>HYPERLINK("https://www.codechef.com/problems/APPLEORANGE", "https://www.codechef.com/problems/APPLEORANGE")</f>
        <v>https://www.codechef.com/problems/APPLEORANGE</v>
      </c>
      <c r="K122" s="14"/>
      <c r="L122" s="14" t="s">
        <v>1238</v>
      </c>
      <c r="M122" s="14"/>
      <c r="N122" s="14" t="s">
        <v>50</v>
      </c>
      <c r="O122" s="14" t="s">
        <v>51</v>
      </c>
    </row>
    <row r="123" spans="1:15">
      <c r="A123" s="15" t="s">
        <v>10</v>
      </c>
      <c r="B123" s="15" t="s">
        <v>1211</v>
      </c>
      <c r="C123" s="15" t="s">
        <v>1212</v>
      </c>
      <c r="D123" s="15" t="s">
        <v>1213</v>
      </c>
      <c r="E123" s="15">
        <v>12</v>
      </c>
      <c r="F123" s="15" t="s">
        <v>1239</v>
      </c>
      <c r="G123" s="15" t="s">
        <v>1240</v>
      </c>
      <c r="H123" s="15" t="s">
        <v>1241</v>
      </c>
      <c r="I123" s="15" t="s">
        <v>49</v>
      </c>
      <c r="J123" s="7" t="str">
        <f>HYPERLINK("https://www.codechef.com/problems/PRIMEDICE", "https://www.codechef.com/problems/PRIMEDICE")</f>
        <v>https://www.codechef.com/problems/PRIMEDICE</v>
      </c>
      <c r="K123" s="15"/>
      <c r="L123" s="15" t="s">
        <v>194</v>
      </c>
      <c r="M123" s="15"/>
      <c r="N123" s="15" t="s">
        <v>50</v>
      </c>
      <c r="O123" s="15" t="s">
        <v>51</v>
      </c>
    </row>
    <row r="124" spans="1:15">
      <c r="A124" s="14" t="s">
        <v>10</v>
      </c>
      <c r="B124" s="14" t="s">
        <v>1211</v>
      </c>
      <c r="C124" s="14" t="s">
        <v>1212</v>
      </c>
      <c r="D124" s="14" t="s">
        <v>1242</v>
      </c>
      <c r="E124" s="14">
        <v>13</v>
      </c>
      <c r="F124" s="14" t="s">
        <v>1243</v>
      </c>
      <c r="G124" s="14" t="s">
        <v>1244</v>
      </c>
      <c r="H124" s="14" t="s">
        <v>1245</v>
      </c>
      <c r="I124" s="14" t="s">
        <v>49</v>
      </c>
      <c r="J124" s="11" t="str">
        <f>HYPERLINK("https://www.codechef.com/problems/RECIPE", "https://www.codechef.com/problems/RECIPE")</f>
        <v>https://www.codechef.com/problems/RECIPE</v>
      </c>
      <c r="K124" s="14"/>
      <c r="L124" s="14"/>
      <c r="M124" s="14"/>
      <c r="N124" s="14" t="s">
        <v>50</v>
      </c>
      <c r="O124" s="14" t="s">
        <v>51</v>
      </c>
    </row>
    <row r="125" spans="1:15">
      <c r="A125" s="15" t="s">
        <v>10</v>
      </c>
      <c r="B125" s="15" t="s">
        <v>1211</v>
      </c>
      <c r="C125" s="15" t="s">
        <v>1212</v>
      </c>
      <c r="D125" s="15" t="s">
        <v>1242</v>
      </c>
      <c r="E125" s="15">
        <v>14</v>
      </c>
      <c r="F125" s="15" t="s">
        <v>1246</v>
      </c>
      <c r="G125" s="15" t="s">
        <v>1247</v>
      </c>
      <c r="H125" s="15" t="s">
        <v>88</v>
      </c>
      <c r="I125" s="15" t="s">
        <v>49</v>
      </c>
      <c r="J125" s="7" t="str">
        <f>HYPERLINK("https://www.codechef.com/problems/EXISTENCE", "https://www.codechef.com/problems/EXISTENCE")</f>
        <v>https://www.codechef.com/problems/EXISTENCE</v>
      </c>
      <c r="K125" s="15"/>
      <c r="L125" s="15" t="s">
        <v>1248</v>
      </c>
      <c r="M125" s="15"/>
      <c r="N125" s="15" t="s">
        <v>50</v>
      </c>
      <c r="O125" s="15" t="s">
        <v>51</v>
      </c>
    </row>
    <row r="126" spans="1:15">
      <c r="A126" s="14" t="s">
        <v>10</v>
      </c>
      <c r="B126" s="14" t="s">
        <v>1211</v>
      </c>
      <c r="C126" s="14" t="s">
        <v>1212</v>
      </c>
      <c r="D126" s="14" t="s">
        <v>1242</v>
      </c>
      <c r="E126" s="14">
        <v>15</v>
      </c>
      <c r="F126" s="14" t="s">
        <v>1249</v>
      </c>
      <c r="G126" s="14" t="s">
        <v>1250</v>
      </c>
      <c r="H126" s="14" t="s">
        <v>1251</v>
      </c>
      <c r="I126" s="14" t="s">
        <v>49</v>
      </c>
      <c r="J126" s="11" t="str">
        <f>HYPERLINK("https://www.codechef.com/problems/ANUWTA", "https://www.codechef.com/problems/ANUWTA")</f>
        <v>https://www.codechef.com/problems/ANUWTA</v>
      </c>
      <c r="K126" s="14"/>
      <c r="L126" s="14"/>
      <c r="M126" s="14"/>
      <c r="N126" s="14" t="s">
        <v>50</v>
      </c>
      <c r="O126" s="14" t="s">
        <v>51</v>
      </c>
    </row>
    <row r="127" spans="1:15">
      <c r="A127" s="15" t="s">
        <v>10</v>
      </c>
      <c r="B127" s="15" t="s">
        <v>1211</v>
      </c>
      <c r="C127" s="15" t="s">
        <v>1212</v>
      </c>
      <c r="D127" s="15" t="s">
        <v>1242</v>
      </c>
      <c r="E127" s="15">
        <v>16</v>
      </c>
      <c r="F127" s="15" t="s">
        <v>1252</v>
      </c>
      <c r="G127" s="15" t="s">
        <v>1253</v>
      </c>
      <c r="H127" s="15" t="s">
        <v>1028</v>
      </c>
      <c r="I127" s="15" t="s">
        <v>96</v>
      </c>
      <c r="J127" s="7" t="str">
        <f>HYPERLINK("https://www.codechef.com/problems/MUSICHAIR", "https://www.codechef.com/problems/MUSICHAIR")</f>
        <v>https://www.codechef.com/problems/MUSICHAIR</v>
      </c>
      <c r="K127" s="15"/>
      <c r="L127" s="15"/>
      <c r="M127" s="15"/>
      <c r="N127" s="15" t="s">
        <v>50</v>
      </c>
      <c r="O127" s="15" t="s">
        <v>51</v>
      </c>
    </row>
    <row r="128" spans="1:15">
      <c r="A128" s="14" t="s">
        <v>10</v>
      </c>
      <c r="B128" s="14" t="s">
        <v>1211</v>
      </c>
      <c r="C128" s="14" t="s">
        <v>1212</v>
      </c>
      <c r="D128" s="14" t="s">
        <v>1242</v>
      </c>
      <c r="E128" s="14">
        <v>17</v>
      </c>
      <c r="F128" s="14" t="s">
        <v>1254</v>
      </c>
      <c r="G128" s="14" t="s">
        <v>1255</v>
      </c>
      <c r="H128" s="14" t="s">
        <v>1256</v>
      </c>
      <c r="I128" s="14" t="s">
        <v>96</v>
      </c>
      <c r="J128" s="11" t="str">
        <f>HYPERLINK("https://www.codechef.com/problems/CHEFLCM", "https://www.codechef.com/problems/CHEFLCM")</f>
        <v>https://www.codechef.com/problems/CHEFLCM</v>
      </c>
      <c r="K128" s="14"/>
      <c r="L128" s="14"/>
      <c r="M128" s="14"/>
      <c r="N128" s="14" t="s">
        <v>50</v>
      </c>
      <c r="O128" s="14" t="s">
        <v>51</v>
      </c>
    </row>
    <row r="129" spans="1:15">
      <c r="A129" s="15" t="s">
        <v>10</v>
      </c>
      <c r="B129" s="15" t="s">
        <v>1211</v>
      </c>
      <c r="C129" s="15" t="s">
        <v>1212</v>
      </c>
      <c r="D129" s="15" t="s">
        <v>1242</v>
      </c>
      <c r="E129" s="15">
        <v>18</v>
      </c>
      <c r="F129" s="15" t="s">
        <v>1257</v>
      </c>
      <c r="G129" s="15" t="s">
        <v>1258</v>
      </c>
      <c r="H129" s="15" t="s">
        <v>1259</v>
      </c>
      <c r="I129" s="15" t="s">
        <v>49</v>
      </c>
      <c r="J129" s="7" t="str">
        <f>HYPERLINK("https://www.codechef.com/problems/PRIMEFACT", "https://www.codechef.com/problems/PRIMEFACT")</f>
        <v>https://www.codechef.com/problems/PRIMEFACT</v>
      </c>
      <c r="K129" s="15"/>
      <c r="L129" s="15"/>
      <c r="M129" s="15"/>
      <c r="N129" s="15" t="s">
        <v>50</v>
      </c>
      <c r="O129" s="15" t="s">
        <v>51</v>
      </c>
    </row>
    <row r="130" spans="1:15">
      <c r="A130" s="14" t="s">
        <v>10</v>
      </c>
      <c r="B130" s="14" t="s">
        <v>1211</v>
      </c>
      <c r="C130" s="14" t="s">
        <v>1212</v>
      </c>
      <c r="D130" s="14" t="s">
        <v>1242</v>
      </c>
      <c r="E130" s="14">
        <v>19</v>
      </c>
      <c r="F130" s="14" t="s">
        <v>1260</v>
      </c>
      <c r="G130" s="14" t="s">
        <v>1261</v>
      </c>
      <c r="H130" s="14" t="s">
        <v>1262</v>
      </c>
      <c r="I130" s="14" t="s">
        <v>49</v>
      </c>
      <c r="J130" s="11" t="str">
        <f>HYPERLINK("https://www.codechef.com/problems/NOTUNIT", "https://www.codechef.com/problems/NOTUNIT")</f>
        <v>https://www.codechef.com/problems/NOTUNIT</v>
      </c>
      <c r="K130" s="14"/>
      <c r="L130" s="14"/>
      <c r="M130" s="14"/>
      <c r="N130" s="14" t="s">
        <v>50</v>
      </c>
      <c r="O130" s="14" t="s">
        <v>51</v>
      </c>
    </row>
    <row r="131" spans="1:15">
      <c r="A131" s="15" t="s">
        <v>10</v>
      </c>
      <c r="B131" s="15" t="s">
        <v>1211</v>
      </c>
      <c r="C131" s="15" t="s">
        <v>1212</v>
      </c>
      <c r="D131" s="15" t="s">
        <v>1242</v>
      </c>
      <c r="E131" s="15">
        <v>20</v>
      </c>
      <c r="F131" s="15" t="s">
        <v>1263</v>
      </c>
      <c r="G131" s="15" t="s">
        <v>1264</v>
      </c>
      <c r="H131" s="15" t="s">
        <v>1265</v>
      </c>
      <c r="I131" s="15" t="s">
        <v>96</v>
      </c>
      <c r="J131" s="7" t="str">
        <f>HYPERLINK("https://www.codechef.com/problems/NUMFACT", "https://www.codechef.com/problems/NUMFACT")</f>
        <v>https://www.codechef.com/problems/NUMFACT</v>
      </c>
      <c r="K131" s="15"/>
      <c r="L131" s="15"/>
      <c r="M131" s="15"/>
      <c r="N131" s="15" t="s">
        <v>50</v>
      </c>
      <c r="O131" s="15" t="s">
        <v>51</v>
      </c>
    </row>
    <row r="132" spans="1:15">
      <c r="A132" s="14" t="s">
        <v>10</v>
      </c>
      <c r="B132" s="14" t="s">
        <v>1211</v>
      </c>
      <c r="C132" s="14" t="s">
        <v>1212</v>
      </c>
      <c r="D132" s="14" t="s">
        <v>1242</v>
      </c>
      <c r="E132" s="14">
        <v>21</v>
      </c>
      <c r="F132" s="14" t="s">
        <v>1266</v>
      </c>
      <c r="G132" s="14" t="s">
        <v>1267</v>
      </c>
      <c r="H132" s="14" t="s">
        <v>1268</v>
      </c>
      <c r="I132" s="14" t="s">
        <v>49</v>
      </c>
      <c r="J132" s="11" t="str">
        <f>HYPERLINK("https://www.codechef.com/problems/DIVIDEMAKEEQ", "https://www.codechef.com/problems/DIVIDEMAKEEQ")</f>
        <v>https://www.codechef.com/problems/DIVIDEMAKEEQ</v>
      </c>
      <c r="K132" s="14"/>
      <c r="L132" s="14" t="s">
        <v>1238</v>
      </c>
      <c r="M132" s="14"/>
      <c r="N132" s="14" t="s">
        <v>50</v>
      </c>
      <c r="O132" s="14" t="s">
        <v>51</v>
      </c>
    </row>
    <row r="133" spans="1:15">
      <c r="A133" s="15" t="s">
        <v>10</v>
      </c>
      <c r="B133" s="15" t="s">
        <v>1211</v>
      </c>
      <c r="C133" s="15" t="s">
        <v>1212</v>
      </c>
      <c r="D133" s="15" t="s">
        <v>1242</v>
      </c>
      <c r="E133" s="15">
        <v>22</v>
      </c>
      <c r="F133" s="15" t="s">
        <v>1269</v>
      </c>
      <c r="G133" s="15" t="s">
        <v>1270</v>
      </c>
      <c r="H133" s="15" t="s">
        <v>1271</v>
      </c>
      <c r="I133" s="15" t="s">
        <v>96</v>
      </c>
      <c r="J133" s="7" t="str">
        <f>HYPERLINK("https://www.codechef.com/problems/LEDIV", "https://www.codechef.com/problems/LEDIV")</f>
        <v>https://www.codechef.com/problems/LEDIV</v>
      </c>
      <c r="K133" s="15"/>
      <c r="L133" s="15"/>
      <c r="M133" s="15"/>
      <c r="N133" s="15" t="s">
        <v>50</v>
      </c>
      <c r="O133" s="15" t="s">
        <v>51</v>
      </c>
    </row>
    <row r="134" spans="1:15">
      <c r="A134" s="14" t="s">
        <v>10</v>
      </c>
      <c r="B134" s="14" t="s">
        <v>1211</v>
      </c>
      <c r="C134" s="14" t="s">
        <v>1212</v>
      </c>
      <c r="D134" s="14" t="s">
        <v>1242</v>
      </c>
      <c r="E134" s="14">
        <v>23</v>
      </c>
      <c r="F134" s="14" t="s">
        <v>1272</v>
      </c>
      <c r="G134" s="14" t="s">
        <v>1273</v>
      </c>
      <c r="H134" s="14" t="s">
        <v>1117</v>
      </c>
      <c r="I134" s="14" t="s">
        <v>96</v>
      </c>
      <c r="J134" s="11" t="str">
        <f>HYPERLINK("https://www.codechef.com/problems/GCDDIV", "https://www.codechef.com/problems/GCDDIV")</f>
        <v>https://www.codechef.com/problems/GCDDIV</v>
      </c>
      <c r="K134" s="14"/>
      <c r="L134" s="14"/>
      <c r="M134" s="14"/>
      <c r="N134" s="14" t="s">
        <v>50</v>
      </c>
      <c r="O134" s="14" t="s">
        <v>51</v>
      </c>
    </row>
    <row r="135" spans="1:15">
      <c r="A135" s="15" t="s">
        <v>10</v>
      </c>
      <c r="B135" s="15" t="s">
        <v>1211</v>
      </c>
      <c r="C135" s="15" t="s">
        <v>1212</v>
      </c>
      <c r="D135" s="15" t="s">
        <v>1242</v>
      </c>
      <c r="E135" s="15">
        <v>24</v>
      </c>
      <c r="F135" s="15" t="s">
        <v>1274</v>
      </c>
      <c r="G135" s="15" t="s">
        <v>1275</v>
      </c>
      <c r="H135" s="15" t="s">
        <v>1276</v>
      </c>
      <c r="I135" s="15" t="s">
        <v>96</v>
      </c>
      <c r="J135" s="7" t="str">
        <f>HYPERLINK("https://www.codechef.com/problems/STRNG", "https://www.codechef.com/problems/STRNG")</f>
        <v>https://www.codechef.com/problems/STRNG</v>
      </c>
      <c r="K135" s="15"/>
      <c r="L135" s="15"/>
      <c r="M135" s="15"/>
      <c r="N135" s="15" t="s">
        <v>50</v>
      </c>
      <c r="O135" s="15" t="s">
        <v>51</v>
      </c>
    </row>
    <row r="136" spans="1:15">
      <c r="A136" s="14" t="s">
        <v>10</v>
      </c>
      <c r="B136" s="14" t="s">
        <v>1277</v>
      </c>
      <c r="C136" s="14" t="s">
        <v>1278</v>
      </c>
      <c r="D136" s="14" t="s">
        <v>1279</v>
      </c>
      <c r="E136" s="14">
        <v>1</v>
      </c>
      <c r="F136" s="14" t="s">
        <v>1280</v>
      </c>
      <c r="G136" s="14" t="s">
        <v>1281</v>
      </c>
      <c r="H136" s="14" t="s">
        <v>60</v>
      </c>
      <c r="I136" s="14" t="s">
        <v>49</v>
      </c>
      <c r="J136" s="11" t="str">
        <f>HYPERLINK("https://www.codechef.com/problems/PREP69", "https://www.codechef.com/problems/PREP69")</f>
        <v>https://www.codechef.com/problems/PREP69</v>
      </c>
      <c r="K136" s="14"/>
      <c r="L136" s="14"/>
      <c r="M136" s="14"/>
      <c r="N136" s="14" t="s">
        <v>50</v>
      </c>
      <c r="O136" s="14" t="s">
        <v>51</v>
      </c>
    </row>
    <row r="137" spans="1:15">
      <c r="A137" s="15" t="s">
        <v>10</v>
      </c>
      <c r="B137" s="15" t="s">
        <v>1277</v>
      </c>
      <c r="C137" s="15" t="s">
        <v>1278</v>
      </c>
      <c r="D137" s="15" t="s">
        <v>1279</v>
      </c>
      <c r="E137" s="15">
        <v>2</v>
      </c>
      <c r="F137" s="15" t="s">
        <v>1282</v>
      </c>
      <c r="G137" s="15" t="s">
        <v>1283</v>
      </c>
      <c r="H137" s="15" t="s">
        <v>1284</v>
      </c>
      <c r="I137" s="15" t="s">
        <v>49</v>
      </c>
      <c r="J137" s="7" t="str">
        <f>HYPERLINK("https://www.codechef.com/problems/NAME2", "https://www.codechef.com/problems/NAME2")</f>
        <v>https://www.codechef.com/problems/NAME2</v>
      </c>
      <c r="K137" s="15"/>
      <c r="L137" s="15"/>
      <c r="M137" s="15"/>
      <c r="N137" s="15" t="s">
        <v>50</v>
      </c>
      <c r="O137" s="15" t="s">
        <v>51</v>
      </c>
    </row>
    <row r="138" spans="1:15">
      <c r="A138" s="14" t="s">
        <v>10</v>
      </c>
      <c r="B138" s="14" t="s">
        <v>1277</v>
      </c>
      <c r="C138" s="14" t="s">
        <v>1278</v>
      </c>
      <c r="D138" s="14" t="s">
        <v>1279</v>
      </c>
      <c r="E138" s="14">
        <v>3</v>
      </c>
      <c r="F138" s="14" t="s">
        <v>1285</v>
      </c>
      <c r="G138" s="14" t="s">
        <v>1286</v>
      </c>
      <c r="H138" s="14"/>
      <c r="I138" s="14" t="s">
        <v>96</v>
      </c>
      <c r="J138" s="11" t="str">
        <f>HYPERLINK("https://www.codechef.com/problems/DSAPROB16", "https://www.codechef.com/problems/DSAPROB16")</f>
        <v>https://www.codechef.com/problems/DSAPROB16</v>
      </c>
      <c r="K138" s="14"/>
      <c r="L138" s="14"/>
      <c r="M138" s="14"/>
      <c r="N138" s="14" t="s">
        <v>50</v>
      </c>
      <c r="O138" s="14" t="s">
        <v>51</v>
      </c>
    </row>
    <row r="139" spans="1:15">
      <c r="A139" s="15" t="s">
        <v>10</v>
      </c>
      <c r="B139" s="15" t="s">
        <v>1277</v>
      </c>
      <c r="C139" s="15" t="s">
        <v>1278</v>
      </c>
      <c r="D139" s="15" t="s">
        <v>1279</v>
      </c>
      <c r="E139" s="15">
        <v>4</v>
      </c>
      <c r="F139" s="15" t="s">
        <v>1287</v>
      </c>
      <c r="G139" s="15" t="s">
        <v>1288</v>
      </c>
      <c r="H139" s="15" t="s">
        <v>1289</v>
      </c>
      <c r="I139" s="15" t="s">
        <v>49</v>
      </c>
      <c r="J139" s="7" t="str">
        <f>HYPERLINK("https://www.codechef.com/problems/COVID19", "https://www.codechef.com/problems/COVID19")</f>
        <v>https://www.codechef.com/problems/COVID19</v>
      </c>
      <c r="K139" s="15"/>
      <c r="L139" s="15" t="s">
        <v>1290</v>
      </c>
      <c r="M139" s="15"/>
      <c r="N139" s="15" t="s">
        <v>50</v>
      </c>
      <c r="O139" s="15" t="s">
        <v>51</v>
      </c>
    </row>
    <row r="140" spans="1:15">
      <c r="A140" s="14" t="s">
        <v>10</v>
      </c>
      <c r="B140" s="14" t="s">
        <v>1277</v>
      </c>
      <c r="C140" s="14" t="s">
        <v>1278</v>
      </c>
      <c r="D140" s="14" t="s">
        <v>1279</v>
      </c>
      <c r="E140" s="14">
        <v>5</v>
      </c>
      <c r="F140" s="14" t="s">
        <v>1291</v>
      </c>
      <c r="G140" s="14" t="s">
        <v>1292</v>
      </c>
      <c r="H140" s="14" t="s">
        <v>309</v>
      </c>
      <c r="I140" s="14" t="s">
        <v>49</v>
      </c>
      <c r="J140" s="11" t="str">
        <f>HYPERLINK("https://www.codechef.com/problems/PREP68", "https://www.codechef.com/problems/PREP68")</f>
        <v>https://www.codechef.com/problems/PREP68</v>
      </c>
      <c r="K140" s="14"/>
      <c r="L140" s="14" t="s">
        <v>1293</v>
      </c>
      <c r="M140" s="14"/>
      <c r="N140" s="14" t="s">
        <v>50</v>
      </c>
      <c r="O140" s="14" t="s">
        <v>51</v>
      </c>
    </row>
    <row r="141" spans="1:15">
      <c r="A141" s="15" t="s">
        <v>10</v>
      </c>
      <c r="B141" s="15" t="s">
        <v>1277</v>
      </c>
      <c r="C141" s="15" t="s">
        <v>1278</v>
      </c>
      <c r="D141" s="15" t="s">
        <v>1279</v>
      </c>
      <c r="E141" s="15">
        <v>6</v>
      </c>
      <c r="F141" s="15" t="s">
        <v>1294</v>
      </c>
      <c r="G141" s="15" t="s">
        <v>1295</v>
      </c>
      <c r="H141" s="15" t="s">
        <v>312</v>
      </c>
      <c r="I141" s="15" t="s">
        <v>49</v>
      </c>
      <c r="J141" s="7" t="str">
        <f>HYPERLINK("https://www.codechef.com/problems/PREP17", "https://www.codechef.com/problems/PREP17")</f>
        <v>https://www.codechef.com/problems/PREP17</v>
      </c>
      <c r="K141" s="15"/>
      <c r="L141" s="15"/>
      <c r="M141" s="15"/>
      <c r="N141" s="15" t="s">
        <v>50</v>
      </c>
      <c r="O141" s="15" t="s">
        <v>51</v>
      </c>
    </row>
    <row r="142" spans="1:15">
      <c r="A142" s="14" t="s">
        <v>10</v>
      </c>
      <c r="B142" s="14" t="s">
        <v>1277</v>
      </c>
      <c r="C142" s="14" t="s">
        <v>1278</v>
      </c>
      <c r="D142" s="14" t="s">
        <v>1296</v>
      </c>
      <c r="E142" s="14">
        <v>7</v>
      </c>
      <c r="F142" s="14" t="s">
        <v>1297</v>
      </c>
      <c r="G142" s="14" t="s">
        <v>1298</v>
      </c>
      <c r="H142" s="14" t="s">
        <v>1299</v>
      </c>
      <c r="I142" s="14" t="s">
        <v>96</v>
      </c>
      <c r="J142" s="11" t="str">
        <f>HYPERLINK("https://www.codechef.com/problems/RAINBOWA", "https://www.codechef.com/problems/RAINBOWA")</f>
        <v>https://www.codechef.com/problems/RAINBOWA</v>
      </c>
      <c r="K142" s="14"/>
      <c r="L142" s="14"/>
      <c r="M142" s="14"/>
      <c r="N142" s="14" t="s">
        <v>50</v>
      </c>
      <c r="O142" s="14" t="s">
        <v>51</v>
      </c>
    </row>
    <row r="143" spans="1:15">
      <c r="A143" s="15" t="s">
        <v>10</v>
      </c>
      <c r="B143" s="15" t="s">
        <v>1277</v>
      </c>
      <c r="C143" s="15" t="s">
        <v>1278</v>
      </c>
      <c r="D143" s="15" t="s">
        <v>1296</v>
      </c>
      <c r="E143" s="15">
        <v>8</v>
      </c>
      <c r="F143" s="15" t="s">
        <v>561</v>
      </c>
      <c r="G143" s="15" t="s">
        <v>562</v>
      </c>
      <c r="H143" s="15"/>
      <c r="I143" s="15" t="s">
        <v>96</v>
      </c>
      <c r="J143" s="7" t="str">
        <f>HYPERLINK("https://www.codechef.com/problems/DSCPPAS276", "https://www.codechef.com/problems/DSCPPAS276")</f>
        <v>https://www.codechef.com/problems/DSCPPAS276</v>
      </c>
      <c r="K143" s="15"/>
      <c r="L143" s="15"/>
      <c r="M143" s="15"/>
      <c r="N143" s="15" t="s">
        <v>50</v>
      </c>
      <c r="O143" s="15" t="s">
        <v>51</v>
      </c>
    </row>
    <row r="144" spans="1:15">
      <c r="A144" s="14" t="s">
        <v>10</v>
      </c>
      <c r="B144" s="14" t="s">
        <v>1277</v>
      </c>
      <c r="C144" s="14" t="s">
        <v>1278</v>
      </c>
      <c r="D144" s="14" t="s">
        <v>1296</v>
      </c>
      <c r="E144" s="14">
        <v>9</v>
      </c>
      <c r="F144" s="14" t="s">
        <v>606</v>
      </c>
      <c r="G144" s="14" t="s">
        <v>607</v>
      </c>
      <c r="H144" s="14"/>
      <c r="I144" s="14" t="s">
        <v>96</v>
      </c>
      <c r="J144" s="11" t="str">
        <f>HYPERLINK("https://www.codechef.com/problems/DSAPROB20", "https://www.codechef.com/problems/DSAPROB20")</f>
        <v>https://www.codechef.com/problems/DSAPROB20</v>
      </c>
      <c r="K144" s="14"/>
      <c r="L144" s="14"/>
      <c r="M144" s="14"/>
      <c r="N144" s="14" t="s">
        <v>50</v>
      </c>
      <c r="O144" s="14" t="s">
        <v>51</v>
      </c>
    </row>
    <row r="145" spans="1:15">
      <c r="A145" s="15" t="s">
        <v>10</v>
      </c>
      <c r="B145" s="15" t="s">
        <v>1277</v>
      </c>
      <c r="C145" s="15" t="s">
        <v>1278</v>
      </c>
      <c r="D145" s="15" t="s">
        <v>1296</v>
      </c>
      <c r="E145" s="15">
        <v>10</v>
      </c>
      <c r="F145" s="15" t="s">
        <v>1300</v>
      </c>
      <c r="G145" s="15" t="s">
        <v>1301</v>
      </c>
      <c r="H145" s="15"/>
      <c r="I145" s="15" t="s">
        <v>96</v>
      </c>
      <c r="J145" s="7" t="str">
        <f>HYPERLINK("https://www.codechef.com/problems/DSCPPAS278C", "https://www.codechef.com/problems/DSCPPAS278C")</f>
        <v>https://www.codechef.com/problems/DSCPPAS278C</v>
      </c>
      <c r="K145" s="15"/>
      <c r="L145" s="15"/>
      <c r="M145" s="15"/>
      <c r="N145" s="15" t="s">
        <v>50</v>
      </c>
      <c r="O145" s="15" t="s">
        <v>51</v>
      </c>
    </row>
    <row r="146" spans="1:15">
      <c r="A146" s="14" t="s">
        <v>10</v>
      </c>
      <c r="B146" s="14" t="s">
        <v>1277</v>
      </c>
      <c r="C146" s="14" t="s">
        <v>1278</v>
      </c>
      <c r="D146" s="14" t="s">
        <v>1296</v>
      </c>
      <c r="E146" s="14">
        <v>11</v>
      </c>
      <c r="F146" s="14" t="s">
        <v>1302</v>
      </c>
      <c r="G146" s="14" t="s">
        <v>1303</v>
      </c>
      <c r="H146" s="14" t="s">
        <v>343</v>
      </c>
      <c r="I146" s="14" t="s">
        <v>96</v>
      </c>
      <c r="J146" s="11" t="str">
        <f>HYPERLINK("https://www.codechef.com/problems/PREP18", "https://www.codechef.com/problems/PREP18")</f>
        <v>https://www.codechef.com/problems/PREP18</v>
      </c>
      <c r="K146" s="14"/>
      <c r="L146" s="14"/>
      <c r="M146" s="14"/>
      <c r="N146" s="14" t="s">
        <v>50</v>
      </c>
      <c r="O146" s="14" t="s">
        <v>51</v>
      </c>
    </row>
    <row r="147" spans="1:15">
      <c r="A147" s="15" t="s">
        <v>10</v>
      </c>
      <c r="B147" s="15" t="s">
        <v>1277</v>
      </c>
      <c r="C147" s="15" t="s">
        <v>1278</v>
      </c>
      <c r="D147" s="15" t="s">
        <v>1296</v>
      </c>
      <c r="E147" s="15">
        <v>12</v>
      </c>
      <c r="F147" s="15" t="s">
        <v>1304</v>
      </c>
      <c r="G147" s="15" t="s">
        <v>1305</v>
      </c>
      <c r="H147" s="15"/>
      <c r="I147" s="15" t="s">
        <v>96</v>
      </c>
      <c r="J147" s="7" t="str">
        <f>HYPERLINK("https://www.codechef.com/problems/DSAPROB15", "https://www.codechef.com/problems/DSAPROB15")</f>
        <v>https://www.codechef.com/problems/DSAPROB15</v>
      </c>
      <c r="K147" s="15"/>
      <c r="L147" s="15"/>
      <c r="M147" s="15"/>
      <c r="N147" s="15" t="s">
        <v>50</v>
      </c>
      <c r="O147" s="15" t="s">
        <v>51</v>
      </c>
    </row>
    <row r="148" spans="1:15">
      <c r="A148" s="14" t="s">
        <v>10</v>
      </c>
      <c r="B148" s="14" t="s">
        <v>1277</v>
      </c>
      <c r="C148" s="14" t="s">
        <v>1278</v>
      </c>
      <c r="D148" s="14" t="s">
        <v>1296</v>
      </c>
      <c r="E148" s="14">
        <v>13</v>
      </c>
      <c r="F148" s="14" t="s">
        <v>1306</v>
      </c>
      <c r="G148" s="14" t="s">
        <v>1307</v>
      </c>
      <c r="H148" s="14"/>
      <c r="I148" s="14" t="s">
        <v>322</v>
      </c>
      <c r="J148" s="11" t="str">
        <f>HYPERLINK("https://www.codechef.com/problems/DSCPPAS277", "https://www.codechef.com/problems/DSCPPAS277")</f>
        <v>https://www.codechef.com/problems/DSCPPAS277</v>
      </c>
      <c r="K148" s="14"/>
      <c r="L148" s="14"/>
      <c r="M148" s="14"/>
      <c r="N148" s="14" t="s">
        <v>50</v>
      </c>
      <c r="O148" s="14" t="s">
        <v>51</v>
      </c>
    </row>
    <row r="149" spans="1:15">
      <c r="A149" s="15" t="s">
        <v>10</v>
      </c>
      <c r="B149" s="15" t="s">
        <v>1277</v>
      </c>
      <c r="C149" s="15" t="s">
        <v>1278</v>
      </c>
      <c r="D149" s="15" t="s">
        <v>1296</v>
      </c>
      <c r="E149" s="15">
        <v>14</v>
      </c>
      <c r="F149" s="15" t="s">
        <v>1308</v>
      </c>
      <c r="G149" s="15" t="s">
        <v>1309</v>
      </c>
      <c r="H149" s="15" t="s">
        <v>1310</v>
      </c>
      <c r="I149" s="15" t="s">
        <v>96</v>
      </c>
      <c r="J149" s="7" t="str">
        <f>HYPERLINK("https://www.codechef.com/problems/COLGLF5", "https://www.codechef.com/problems/COLGLF5")</f>
        <v>https://www.codechef.com/problems/COLGLF5</v>
      </c>
      <c r="K149" s="15"/>
      <c r="L149" s="15" t="s">
        <v>1311</v>
      </c>
      <c r="M149" s="15"/>
      <c r="N149" s="15" t="s">
        <v>50</v>
      </c>
      <c r="O149" s="15" t="s">
        <v>51</v>
      </c>
    </row>
    <row r="150" spans="1:15">
      <c r="A150" s="14" t="s">
        <v>10</v>
      </c>
      <c r="B150" s="14" t="s">
        <v>1277</v>
      </c>
      <c r="C150" s="14" t="s">
        <v>1278</v>
      </c>
      <c r="D150" s="14" t="s">
        <v>1296</v>
      </c>
      <c r="E150" s="14">
        <v>15</v>
      </c>
      <c r="F150" s="14" t="s">
        <v>1312</v>
      </c>
      <c r="G150" s="14" t="s">
        <v>1313</v>
      </c>
      <c r="H150" s="14" t="s">
        <v>728</v>
      </c>
      <c r="I150" s="14" t="s">
        <v>96</v>
      </c>
      <c r="J150" s="11" t="str">
        <f>HYPERLINK("https://www.codechef.com/problems/VOWANX", "https://www.codechef.com/problems/VOWANX")</f>
        <v>https://www.codechef.com/problems/VOWANX</v>
      </c>
      <c r="K150" s="14"/>
      <c r="L150" s="14"/>
      <c r="M150" s="14"/>
      <c r="N150" s="14" t="s">
        <v>50</v>
      </c>
      <c r="O150" s="14" t="s">
        <v>51</v>
      </c>
    </row>
    <row r="151" spans="1:15">
      <c r="A151" s="15" t="s">
        <v>10</v>
      </c>
      <c r="B151" s="15" t="s">
        <v>1277</v>
      </c>
      <c r="C151" s="15" t="s">
        <v>1278</v>
      </c>
      <c r="D151" s="15" t="s">
        <v>1314</v>
      </c>
      <c r="E151" s="15">
        <v>16</v>
      </c>
      <c r="F151" s="15" t="s">
        <v>1315</v>
      </c>
      <c r="G151" s="15" t="s">
        <v>1316</v>
      </c>
      <c r="H151" s="15" t="s">
        <v>565</v>
      </c>
      <c r="I151" s="15" t="s">
        <v>49</v>
      </c>
      <c r="J151" s="7" t="str">
        <f>HYPERLINK("https://www.codechef.com/problems/SLDW0101", "https://www.codechef.com/problems/SLDW0101")</f>
        <v>https://www.codechef.com/problems/SLDW0101</v>
      </c>
      <c r="K151" s="15"/>
      <c r="L151" s="15"/>
      <c r="M151" s="15"/>
      <c r="N151" s="15" t="s">
        <v>50</v>
      </c>
      <c r="O151" s="15" t="s">
        <v>51</v>
      </c>
    </row>
    <row r="152" spans="1:15">
      <c r="A152" s="14" t="s">
        <v>10</v>
      </c>
      <c r="B152" s="14" t="s">
        <v>1277</v>
      </c>
      <c r="C152" s="14" t="s">
        <v>1278</v>
      </c>
      <c r="D152" s="14" t="s">
        <v>1314</v>
      </c>
      <c r="E152" s="14">
        <v>17</v>
      </c>
      <c r="F152" s="14" t="s">
        <v>1317</v>
      </c>
      <c r="G152" s="14" t="s">
        <v>1318</v>
      </c>
      <c r="H152" s="14" t="s">
        <v>1319</v>
      </c>
      <c r="I152" s="14" t="s">
        <v>49</v>
      </c>
      <c r="J152" s="11" t="str">
        <f>HYPERLINK("https://www.codechef.com/problems/PROC18A", "https://www.codechef.com/problems/PROC18A")</f>
        <v>https://www.codechef.com/problems/PROC18A</v>
      </c>
      <c r="K152" s="14"/>
      <c r="L152" s="14" t="s">
        <v>1290</v>
      </c>
      <c r="M152" s="14"/>
      <c r="N152" s="14" t="s">
        <v>50</v>
      </c>
      <c r="O152" s="14" t="s">
        <v>51</v>
      </c>
    </row>
    <row r="153" spans="1:15">
      <c r="A153" s="15" t="s">
        <v>10</v>
      </c>
      <c r="B153" s="15" t="s">
        <v>1277</v>
      </c>
      <c r="C153" s="15" t="s">
        <v>1278</v>
      </c>
      <c r="D153" s="15" t="s">
        <v>1314</v>
      </c>
      <c r="E153" s="15">
        <v>18</v>
      </c>
      <c r="F153" s="15" t="s">
        <v>563</v>
      </c>
      <c r="G153" s="15" t="s">
        <v>564</v>
      </c>
      <c r="H153" s="15" t="s">
        <v>565</v>
      </c>
      <c r="I153" s="15" t="s">
        <v>49</v>
      </c>
      <c r="J153" s="7" t="str">
        <f>HYPERLINK("https://www.codechef.com/problems/SLDW0102", "https://www.codechef.com/problems/SLDW0102")</f>
        <v>https://www.codechef.com/problems/SLDW0102</v>
      </c>
      <c r="K153" s="15"/>
      <c r="L153" s="15"/>
      <c r="M153" s="15"/>
      <c r="N153" s="15" t="s">
        <v>50</v>
      </c>
      <c r="O153" s="15" t="s">
        <v>51</v>
      </c>
    </row>
    <row r="154" spans="1:15">
      <c r="A154" s="14" t="s">
        <v>10</v>
      </c>
      <c r="B154" s="14" t="s">
        <v>1277</v>
      </c>
      <c r="C154" s="14" t="s">
        <v>1278</v>
      </c>
      <c r="D154" s="14" t="s">
        <v>1314</v>
      </c>
      <c r="E154" s="14">
        <v>19</v>
      </c>
      <c r="F154" s="14" t="s">
        <v>1320</v>
      </c>
      <c r="G154" s="14" t="s">
        <v>1321</v>
      </c>
      <c r="H154" s="14"/>
      <c r="I154" s="14" t="s">
        <v>96</v>
      </c>
      <c r="J154" s="11" t="str">
        <f>HYPERLINK("https://www.codechef.com/problems/SLDW0105", "https://www.codechef.com/problems/SLDW0105")</f>
        <v>https://www.codechef.com/problems/SLDW0105</v>
      </c>
      <c r="K154" s="14"/>
      <c r="L154" s="14"/>
      <c r="M154" s="14"/>
      <c r="N154" s="14" t="s">
        <v>50</v>
      </c>
      <c r="O154" s="14" t="s">
        <v>51</v>
      </c>
    </row>
    <row r="155" spans="1:15">
      <c r="A155" s="15" t="s">
        <v>10</v>
      </c>
      <c r="B155" s="15" t="s">
        <v>1277</v>
      </c>
      <c r="C155" s="15" t="s">
        <v>1278</v>
      </c>
      <c r="D155" s="15" t="s">
        <v>1314</v>
      </c>
      <c r="E155" s="15">
        <v>20</v>
      </c>
      <c r="F155" s="15" t="s">
        <v>1322</v>
      </c>
      <c r="G155" s="15" t="s">
        <v>1323</v>
      </c>
      <c r="H155" s="15"/>
      <c r="I155" s="15" t="s">
        <v>96</v>
      </c>
      <c r="J155" s="7" t="str">
        <f>HYPERLINK("https://www.codechef.com/problems/DSCPPAS278B", "https://www.codechef.com/problems/DSCPPAS278B")</f>
        <v>https://www.codechef.com/problems/DSCPPAS278B</v>
      </c>
      <c r="K155" s="15"/>
      <c r="L155" s="15"/>
      <c r="M155" s="15"/>
      <c r="N155" s="15" t="s">
        <v>50</v>
      </c>
      <c r="O155" s="15" t="s">
        <v>51</v>
      </c>
    </row>
    <row r="156" spans="1:15">
      <c r="A156" s="14" t="s">
        <v>10</v>
      </c>
      <c r="B156" s="14" t="s">
        <v>1277</v>
      </c>
      <c r="C156" s="14" t="s">
        <v>1278</v>
      </c>
      <c r="D156" s="14" t="s">
        <v>1314</v>
      </c>
      <c r="E156" s="14">
        <v>21</v>
      </c>
      <c r="F156" s="14" t="s">
        <v>745</v>
      </c>
      <c r="G156" s="14" t="s">
        <v>746</v>
      </c>
      <c r="H156" s="14" t="s">
        <v>565</v>
      </c>
      <c r="I156" s="14" t="s">
        <v>49</v>
      </c>
      <c r="J156" s="11" t="str">
        <f>HYPERLINK("https://www.codechef.com/problems/SLDW0103", "https://www.codechef.com/problems/SLDW0103")</f>
        <v>https://www.codechef.com/problems/SLDW0103</v>
      </c>
      <c r="K156" s="14"/>
      <c r="L156" s="14"/>
      <c r="M156" s="14"/>
      <c r="N156" s="14" t="s">
        <v>50</v>
      </c>
      <c r="O156" s="14" t="s">
        <v>51</v>
      </c>
    </row>
    <row r="157" spans="1:15">
      <c r="A157" s="15" t="s">
        <v>10</v>
      </c>
      <c r="B157" s="15" t="s">
        <v>1277</v>
      </c>
      <c r="C157" s="15" t="s">
        <v>1278</v>
      </c>
      <c r="D157" s="15" t="s">
        <v>1314</v>
      </c>
      <c r="E157" s="15">
        <v>22</v>
      </c>
      <c r="F157" s="15" t="s">
        <v>693</v>
      </c>
      <c r="G157" s="15" t="s">
        <v>694</v>
      </c>
      <c r="H157" s="15" t="s">
        <v>340</v>
      </c>
      <c r="I157" s="15" t="s">
        <v>96</v>
      </c>
      <c r="J157" s="7" t="str">
        <f>HYPERLINK("https://www.codechef.com/problems/SLDW0104", "https://www.codechef.com/problems/SLDW0104")</f>
        <v>https://www.codechef.com/problems/SLDW0104</v>
      </c>
      <c r="K157" s="15"/>
      <c r="L157" s="15"/>
      <c r="M157" s="15"/>
      <c r="N157" s="15" t="s">
        <v>50</v>
      </c>
      <c r="O157" s="15" t="s">
        <v>51</v>
      </c>
    </row>
    <row r="158" spans="1:15">
      <c r="A158" s="14" t="s">
        <v>10</v>
      </c>
      <c r="B158" s="14" t="s">
        <v>1277</v>
      </c>
      <c r="C158" s="14" t="s">
        <v>1278</v>
      </c>
      <c r="D158" s="14" t="s">
        <v>1314</v>
      </c>
      <c r="E158" s="14">
        <v>23</v>
      </c>
      <c r="F158" s="14" t="s">
        <v>693</v>
      </c>
      <c r="G158" s="14" t="s">
        <v>749</v>
      </c>
      <c r="H158" s="14" t="s">
        <v>340</v>
      </c>
      <c r="I158" s="14" t="s">
        <v>96</v>
      </c>
      <c r="J158" s="11" t="str">
        <f>HYPERLINK("https://www.codechef.com/problems/SPSBTR", "https://www.codechef.com/problems/SPSBTR")</f>
        <v>https://www.codechef.com/problems/SPSBTR</v>
      </c>
      <c r="K158" s="14"/>
      <c r="L158" s="14"/>
      <c r="M158" s="14"/>
      <c r="N158" s="14" t="s">
        <v>50</v>
      </c>
      <c r="O158" s="14" t="s">
        <v>51</v>
      </c>
    </row>
    <row r="159" spans="1:15">
      <c r="A159" s="15" t="s">
        <v>10</v>
      </c>
      <c r="B159" s="15" t="s">
        <v>1277</v>
      </c>
      <c r="C159" s="15" t="s">
        <v>1278</v>
      </c>
      <c r="D159" s="15" t="s">
        <v>1314</v>
      </c>
      <c r="E159" s="15">
        <v>24</v>
      </c>
      <c r="F159" s="15" t="s">
        <v>809</v>
      </c>
      <c r="G159" s="15" t="s">
        <v>810</v>
      </c>
      <c r="H159" s="15"/>
      <c r="I159" s="15" t="s">
        <v>96</v>
      </c>
      <c r="J159" s="7" t="str">
        <f>HYPERLINK("https://www.codechef.com/problems/FRUITBASKET", "https://www.codechef.com/problems/FRUITBASKET")</f>
        <v>https://www.codechef.com/problems/FRUITBASKET</v>
      </c>
      <c r="K159" s="15"/>
      <c r="L159" s="15"/>
      <c r="M159" s="15"/>
      <c r="N159" s="15" t="s">
        <v>50</v>
      </c>
      <c r="O159" s="15" t="s">
        <v>51</v>
      </c>
    </row>
    <row r="160" spans="1:15">
      <c r="A160" s="14" t="s">
        <v>10</v>
      </c>
      <c r="B160" s="14" t="s">
        <v>1277</v>
      </c>
      <c r="C160" s="14" t="s">
        <v>1278</v>
      </c>
      <c r="D160" s="14" t="s">
        <v>1314</v>
      </c>
      <c r="E160" s="14">
        <v>25</v>
      </c>
      <c r="F160" s="14" t="s">
        <v>1324</v>
      </c>
      <c r="G160" s="14" t="s">
        <v>1325</v>
      </c>
      <c r="H160" s="14"/>
      <c r="I160" s="14" t="s">
        <v>96</v>
      </c>
      <c r="J160" s="11" t="str">
        <f>HYPERLINK("https://www.codechef.com/problems/DSCPPAS275", "https://www.codechef.com/problems/DSCPPAS275")</f>
        <v>https://www.codechef.com/problems/DSCPPAS275</v>
      </c>
      <c r="K160" s="14"/>
      <c r="L160" s="14"/>
      <c r="M160" s="14"/>
      <c r="N160" s="14" t="s">
        <v>50</v>
      </c>
      <c r="O160" s="14" t="s">
        <v>51</v>
      </c>
    </row>
    <row r="161" spans="1:15">
      <c r="A161" s="15" t="s">
        <v>10</v>
      </c>
      <c r="B161" s="15" t="s">
        <v>1277</v>
      </c>
      <c r="C161" s="15" t="s">
        <v>1278</v>
      </c>
      <c r="D161" s="15" t="s">
        <v>1314</v>
      </c>
      <c r="E161" s="15">
        <v>26</v>
      </c>
      <c r="F161" s="15" t="s">
        <v>690</v>
      </c>
      <c r="G161" s="15" t="s">
        <v>1326</v>
      </c>
      <c r="H161" s="15" t="s">
        <v>692</v>
      </c>
      <c r="I161" s="15" t="s">
        <v>96</v>
      </c>
      <c r="J161" s="7" t="str">
        <f>HYPERLINK("https://www.codechef.com/problems/MAXSEGM", "https://www.codechef.com/problems/MAXSEGM")</f>
        <v>https://www.codechef.com/problems/MAXSEGM</v>
      </c>
      <c r="K161" s="15"/>
      <c r="L161" s="15" t="s">
        <v>1327</v>
      </c>
      <c r="M161" s="15"/>
      <c r="N161" s="15" t="s">
        <v>50</v>
      </c>
      <c r="O161" s="15" t="s">
        <v>51</v>
      </c>
    </row>
    <row r="162" spans="1:15">
      <c r="A162" s="14" t="s">
        <v>10</v>
      </c>
      <c r="B162" s="14" t="s">
        <v>1277</v>
      </c>
      <c r="C162" s="14" t="s">
        <v>1278</v>
      </c>
      <c r="D162" s="14" t="s">
        <v>1314</v>
      </c>
      <c r="E162" s="14">
        <v>27</v>
      </c>
      <c r="F162" s="14" t="s">
        <v>1328</v>
      </c>
      <c r="G162" s="14" t="s">
        <v>1329</v>
      </c>
      <c r="H162" s="14" t="s">
        <v>343</v>
      </c>
      <c r="I162" s="14" t="s">
        <v>96</v>
      </c>
      <c r="J162" s="11" t="str">
        <f>HYPERLINK("https://www.codechef.com/problems/MINSIM", "https://www.codechef.com/problems/MINSIM")</f>
        <v>https://www.codechef.com/problems/MINSIM</v>
      </c>
      <c r="K162" s="14"/>
      <c r="L162" s="14"/>
      <c r="M162" s="14"/>
      <c r="N162" s="14" t="s">
        <v>50</v>
      </c>
      <c r="O162" s="14" t="s">
        <v>51</v>
      </c>
    </row>
    <row r="163" spans="1:15">
      <c r="A163" s="15" t="s">
        <v>10</v>
      </c>
      <c r="B163" s="15" t="s">
        <v>1277</v>
      </c>
      <c r="C163" s="15" t="s">
        <v>1278</v>
      </c>
      <c r="D163" s="15" t="s">
        <v>1314</v>
      </c>
      <c r="E163" s="15">
        <v>28</v>
      </c>
      <c r="F163" s="15" t="s">
        <v>1330</v>
      </c>
      <c r="G163" s="15" t="s">
        <v>1331</v>
      </c>
      <c r="H163" s="15" t="s">
        <v>1332</v>
      </c>
      <c r="I163" s="15" t="s">
        <v>49</v>
      </c>
      <c r="J163" s="7" t="str">
        <f>HYPERLINK("https://www.codechef.com/problems/ARRSWAP", "https://www.codechef.com/problems/ARRSWAP")</f>
        <v>https://www.codechef.com/problems/ARRSWAP</v>
      </c>
      <c r="K163" s="15"/>
      <c r="L163" s="15" t="s">
        <v>1333</v>
      </c>
      <c r="M163" s="15"/>
      <c r="N163" s="15" t="s">
        <v>50</v>
      </c>
      <c r="O163" s="15" t="s">
        <v>51</v>
      </c>
    </row>
    <row r="164" spans="1:15">
      <c r="A164" s="14" t="s">
        <v>10</v>
      </c>
      <c r="B164" s="14" t="s">
        <v>1277</v>
      </c>
      <c r="C164" s="14" t="s">
        <v>1278</v>
      </c>
      <c r="D164" s="14" t="s">
        <v>1314</v>
      </c>
      <c r="E164" s="14">
        <v>29</v>
      </c>
      <c r="F164" s="14" t="s">
        <v>1334</v>
      </c>
      <c r="G164" s="14" t="s">
        <v>1335</v>
      </c>
      <c r="H164" s="14"/>
      <c r="I164" s="14" t="s">
        <v>322</v>
      </c>
      <c r="J164" s="11" t="str">
        <f>HYPERLINK("https://www.codechef.com/problems/KSUBARRAYS", "https://www.codechef.com/problems/KSUBARRAYS")</f>
        <v>https://www.codechef.com/problems/KSUBARRAYS</v>
      </c>
      <c r="K164" s="14"/>
      <c r="L164" s="14" t="s">
        <v>1085</v>
      </c>
      <c r="M164" s="14"/>
      <c r="N164" s="14" t="s">
        <v>50</v>
      </c>
      <c r="O164" s="14" t="s">
        <v>51</v>
      </c>
    </row>
    <row r="165" spans="1:15">
      <c r="A165" s="15" t="s">
        <v>10</v>
      </c>
      <c r="B165" s="15" t="s">
        <v>1336</v>
      </c>
      <c r="C165" s="15" t="s">
        <v>1337</v>
      </c>
      <c r="D165" s="15" t="s">
        <v>1338</v>
      </c>
      <c r="E165" s="15">
        <v>1</v>
      </c>
      <c r="F165" s="15" t="s">
        <v>1339</v>
      </c>
      <c r="G165" s="15" t="s">
        <v>1340</v>
      </c>
      <c r="H165" s="15"/>
      <c r="I165" s="15" t="s">
        <v>49</v>
      </c>
      <c r="J165" s="7" t="str">
        <f>HYPERLINK("https://www.codechef.com/problems/BITMEDU1", "https://www.codechef.com/problems/BITMEDU1")</f>
        <v>https://www.codechef.com/problems/BITMEDU1</v>
      </c>
      <c r="K165" s="15"/>
      <c r="L165" s="15"/>
      <c r="M165" s="15"/>
      <c r="N165" s="15" t="s">
        <v>50</v>
      </c>
      <c r="O165" s="15" t="s">
        <v>51</v>
      </c>
    </row>
    <row r="166" spans="1:15">
      <c r="A166" s="14" t="s">
        <v>10</v>
      </c>
      <c r="B166" s="14" t="s">
        <v>1336</v>
      </c>
      <c r="C166" s="14" t="s">
        <v>1337</v>
      </c>
      <c r="D166" s="14" t="s">
        <v>1338</v>
      </c>
      <c r="E166" s="14">
        <v>2</v>
      </c>
      <c r="F166" s="14" t="s">
        <v>1341</v>
      </c>
      <c r="G166" s="14" t="s">
        <v>1342</v>
      </c>
      <c r="H166" s="14"/>
      <c r="I166" s="14" t="s">
        <v>49</v>
      </c>
      <c r="J166" s="11" t="str">
        <f>HYPERLINK("https://www.codechef.com/problems/BITMEDU6", "https://www.codechef.com/problems/BITMEDU6")</f>
        <v>https://www.codechef.com/problems/BITMEDU6</v>
      </c>
      <c r="K166" s="14"/>
      <c r="L166" s="14"/>
      <c r="M166" s="14"/>
      <c r="N166" s="14" t="s">
        <v>50</v>
      </c>
      <c r="O166" s="14" t="s">
        <v>51</v>
      </c>
    </row>
    <row r="167" spans="1:15">
      <c r="A167" s="15" t="s">
        <v>10</v>
      </c>
      <c r="B167" s="15" t="s">
        <v>1336</v>
      </c>
      <c r="C167" s="15" t="s">
        <v>1337</v>
      </c>
      <c r="D167" s="15" t="s">
        <v>1338</v>
      </c>
      <c r="E167" s="15">
        <v>3</v>
      </c>
      <c r="F167" s="15" t="s">
        <v>1343</v>
      </c>
      <c r="G167" s="15" t="s">
        <v>1344</v>
      </c>
      <c r="H167" s="15"/>
      <c r="I167" s="15" t="s">
        <v>49</v>
      </c>
      <c r="J167" s="7" t="str">
        <f>HYPERLINK("https://www.codechef.com/problems/BITMEDU3", "https://www.codechef.com/problems/BITMEDU3")</f>
        <v>https://www.codechef.com/problems/BITMEDU3</v>
      </c>
      <c r="K167" s="15"/>
      <c r="L167" s="15"/>
      <c r="M167" s="15"/>
      <c r="N167" s="15" t="s">
        <v>50</v>
      </c>
      <c r="O167" s="15" t="s">
        <v>51</v>
      </c>
    </row>
    <row r="168" spans="1:15">
      <c r="A168" s="14" t="s">
        <v>10</v>
      </c>
      <c r="B168" s="14" t="s">
        <v>1336</v>
      </c>
      <c r="C168" s="14" t="s">
        <v>1337</v>
      </c>
      <c r="D168" s="14" t="s">
        <v>1338</v>
      </c>
      <c r="E168" s="14">
        <v>4</v>
      </c>
      <c r="F168" s="14" t="s">
        <v>597</v>
      </c>
      <c r="G168" s="14" t="s">
        <v>598</v>
      </c>
      <c r="H168" s="14"/>
      <c r="I168" s="14" t="s">
        <v>96</v>
      </c>
      <c r="J168" s="11" t="str">
        <f>HYPERLINK("https://www.codechef.com/problems/BITMEDU4", "https://www.codechef.com/problems/BITMEDU4")</f>
        <v>https://www.codechef.com/problems/BITMEDU4</v>
      </c>
      <c r="K168" s="14"/>
      <c r="L168" s="14"/>
      <c r="M168" s="14"/>
      <c r="N168" s="14" t="s">
        <v>50</v>
      </c>
      <c r="O168" s="14" t="s">
        <v>51</v>
      </c>
    </row>
    <row r="169" spans="1:15">
      <c r="A169" s="15" t="s">
        <v>10</v>
      </c>
      <c r="B169" s="15" t="s">
        <v>1336</v>
      </c>
      <c r="C169" s="15" t="s">
        <v>1337</v>
      </c>
      <c r="D169" s="15" t="s">
        <v>1338</v>
      </c>
      <c r="E169" s="15">
        <v>5</v>
      </c>
      <c r="F169" s="15" t="s">
        <v>1345</v>
      </c>
      <c r="G169" s="15" t="s">
        <v>1346</v>
      </c>
      <c r="H169" s="15"/>
      <c r="I169" s="15" t="s">
        <v>49</v>
      </c>
      <c r="J169" s="7" t="str">
        <f>HYPERLINK("https://www.codechef.com/problems/BITMEDU7", "https://www.codechef.com/problems/BITMEDU7")</f>
        <v>https://www.codechef.com/problems/BITMEDU7</v>
      </c>
      <c r="K169" s="15"/>
      <c r="L169" s="15"/>
      <c r="M169" s="15"/>
      <c r="N169" s="15" t="s">
        <v>50</v>
      </c>
      <c r="O169" s="15" t="s">
        <v>51</v>
      </c>
    </row>
    <row r="170" spans="1:15">
      <c r="A170" s="14" t="s">
        <v>10</v>
      </c>
      <c r="B170" s="14" t="s">
        <v>1336</v>
      </c>
      <c r="C170" s="14" t="s">
        <v>1337</v>
      </c>
      <c r="D170" s="14" t="s">
        <v>1338</v>
      </c>
      <c r="E170" s="14">
        <v>6</v>
      </c>
      <c r="F170" s="14" t="s">
        <v>1347</v>
      </c>
      <c r="G170" s="14" t="s">
        <v>1348</v>
      </c>
      <c r="H170" s="14"/>
      <c r="I170" s="14" t="s">
        <v>49</v>
      </c>
      <c r="J170" s="11" t="str">
        <f>HYPERLINK("https://www.codechef.com/problems/BITMEDU2", "https://www.codechef.com/problems/BITMEDU2")</f>
        <v>https://www.codechef.com/problems/BITMEDU2</v>
      </c>
      <c r="K170" s="14"/>
      <c r="L170" s="14"/>
      <c r="M170" s="14"/>
      <c r="N170" s="14" t="s">
        <v>50</v>
      </c>
      <c r="O170" s="14" t="s">
        <v>51</v>
      </c>
    </row>
    <row r="171" spans="1:15">
      <c r="A171" s="15" t="s">
        <v>10</v>
      </c>
      <c r="B171" s="15" t="s">
        <v>1336</v>
      </c>
      <c r="C171" s="15" t="s">
        <v>1337</v>
      </c>
      <c r="D171" s="15" t="s">
        <v>1338</v>
      </c>
      <c r="E171" s="15">
        <v>7</v>
      </c>
      <c r="F171" s="15" t="s">
        <v>571</v>
      </c>
      <c r="G171" s="15" t="s">
        <v>572</v>
      </c>
      <c r="H171" s="15"/>
      <c r="I171" s="15" t="s">
        <v>49</v>
      </c>
      <c r="J171" s="7" t="str">
        <f>HYPERLINK("https://www.codechef.com/problems/BITMEDU5", "https://www.codechef.com/problems/BITMEDU5")</f>
        <v>https://www.codechef.com/problems/BITMEDU5</v>
      </c>
      <c r="K171" s="15"/>
      <c r="L171" s="15"/>
      <c r="M171" s="15"/>
      <c r="N171" s="15" t="s">
        <v>50</v>
      </c>
      <c r="O171" s="15" t="s">
        <v>51</v>
      </c>
    </row>
    <row r="172" spans="1:15">
      <c r="A172" s="14" t="s">
        <v>10</v>
      </c>
      <c r="B172" s="14" t="s">
        <v>1336</v>
      </c>
      <c r="C172" s="14" t="s">
        <v>1337</v>
      </c>
      <c r="D172" s="14" t="s">
        <v>1338</v>
      </c>
      <c r="E172" s="14">
        <v>8</v>
      </c>
      <c r="F172" s="14" t="s">
        <v>1349</v>
      </c>
      <c r="G172" s="14" t="s">
        <v>1350</v>
      </c>
      <c r="H172" s="14"/>
      <c r="I172" s="14" t="s">
        <v>49</v>
      </c>
      <c r="J172" s="11" t="str">
        <f>HYPERLINK("https://www.codechef.com/problems/ITHBITSET", "https://www.codechef.com/problems/ITHBITSET")</f>
        <v>https://www.codechef.com/problems/ITHBITSET</v>
      </c>
      <c r="K172" s="14"/>
      <c r="L172" s="14" t="s">
        <v>1085</v>
      </c>
      <c r="M172" s="14"/>
      <c r="N172" s="14" t="s">
        <v>50</v>
      </c>
      <c r="O172" s="14" t="s">
        <v>51</v>
      </c>
    </row>
    <row r="173" spans="1:15">
      <c r="A173" s="15" t="s">
        <v>10</v>
      </c>
      <c r="B173" s="15" t="s">
        <v>1336</v>
      </c>
      <c r="C173" s="15" t="s">
        <v>1337</v>
      </c>
      <c r="D173" s="15" t="s">
        <v>1338</v>
      </c>
      <c r="E173" s="15">
        <v>9</v>
      </c>
      <c r="F173" s="15" t="s">
        <v>1351</v>
      </c>
      <c r="G173" s="15" t="s">
        <v>1352</v>
      </c>
      <c r="H173" s="15"/>
      <c r="I173" s="15" t="s">
        <v>96</v>
      </c>
      <c r="J173" s="7" t="str">
        <f>HYPERLINK("https://www.codechef.com/problems/PREP46", "https://www.codechef.com/problems/PREP46")</f>
        <v>https://www.codechef.com/problems/PREP46</v>
      </c>
      <c r="K173" s="15"/>
      <c r="L173" s="15"/>
      <c r="M173" s="15"/>
      <c r="N173" s="15" t="s">
        <v>50</v>
      </c>
      <c r="O173" s="15" t="s">
        <v>51</v>
      </c>
    </row>
    <row r="174" spans="1:15">
      <c r="A174" s="14" t="s">
        <v>10</v>
      </c>
      <c r="B174" s="14" t="s">
        <v>1336</v>
      </c>
      <c r="C174" s="14" t="s">
        <v>1337</v>
      </c>
      <c r="D174" s="14" t="s">
        <v>1338</v>
      </c>
      <c r="E174" s="14">
        <v>10</v>
      </c>
      <c r="F174" s="14" t="s">
        <v>1353</v>
      </c>
      <c r="G174" s="14" t="s">
        <v>1354</v>
      </c>
      <c r="H174" s="14"/>
      <c r="I174" s="14" t="s">
        <v>96</v>
      </c>
      <c r="J174" s="11" t="str">
        <f>HYPERLINK("https://www.codechef.com/problems/XHHAP01", "https://www.codechef.com/problems/XHHAP01")</f>
        <v>https://www.codechef.com/problems/XHHAP01</v>
      </c>
      <c r="K174" s="14"/>
      <c r="L174" s="14"/>
      <c r="M174" s="14"/>
      <c r="N174" s="14" t="s">
        <v>50</v>
      </c>
      <c r="O174" s="14" t="s">
        <v>51</v>
      </c>
    </row>
    <row r="175" spans="1:15">
      <c r="A175" s="15" t="s">
        <v>10</v>
      </c>
      <c r="B175" s="15" t="s">
        <v>1336</v>
      </c>
      <c r="C175" s="15" t="s">
        <v>1337</v>
      </c>
      <c r="D175" s="15" t="s">
        <v>1338</v>
      </c>
      <c r="E175" s="15">
        <v>11</v>
      </c>
      <c r="F175" s="15" t="s">
        <v>1355</v>
      </c>
      <c r="G175" s="15" t="s">
        <v>1356</v>
      </c>
      <c r="H175" s="15"/>
      <c r="I175" s="15" t="s">
        <v>96</v>
      </c>
      <c r="J175" s="7" t="str">
        <f>HYPERLINK("https://www.codechef.com/problems/PREP45", "https://www.codechef.com/problems/PREP45")</f>
        <v>https://www.codechef.com/problems/PREP45</v>
      </c>
      <c r="K175" s="15"/>
      <c r="L175" s="15"/>
      <c r="M175" s="15"/>
      <c r="N175" s="15" t="s">
        <v>50</v>
      </c>
      <c r="O175" s="15" t="s">
        <v>51</v>
      </c>
    </row>
    <row r="176" spans="1:15">
      <c r="A176" s="14" t="s">
        <v>10</v>
      </c>
      <c r="B176" s="14" t="s">
        <v>1336</v>
      </c>
      <c r="C176" s="14" t="s">
        <v>1337</v>
      </c>
      <c r="D176" s="14" t="s">
        <v>1357</v>
      </c>
      <c r="E176" s="14">
        <v>12</v>
      </c>
      <c r="F176" s="14" t="s">
        <v>1358</v>
      </c>
      <c r="G176" s="14" t="s">
        <v>1359</v>
      </c>
      <c r="H176" s="14" t="s">
        <v>1360</v>
      </c>
      <c r="I176" s="14" t="s">
        <v>49</v>
      </c>
      <c r="J176" s="11" t="str">
        <f>HYPERLINK("https://www.codechef.com/problems/XORPAL", "https://www.codechef.com/problems/XORPAL")</f>
        <v>https://www.codechef.com/problems/XORPAL</v>
      </c>
      <c r="K176" s="14"/>
      <c r="L176" s="14"/>
      <c r="M176" s="14"/>
      <c r="N176" s="14" t="s">
        <v>50</v>
      </c>
      <c r="O176" s="14" t="s">
        <v>51</v>
      </c>
    </row>
    <row r="177" spans="1:15">
      <c r="A177" s="15" t="s">
        <v>10</v>
      </c>
      <c r="B177" s="15" t="s">
        <v>1336</v>
      </c>
      <c r="C177" s="15" t="s">
        <v>1337</v>
      </c>
      <c r="D177" s="15" t="s">
        <v>1357</v>
      </c>
      <c r="E177" s="15">
        <v>13</v>
      </c>
      <c r="F177" s="15" t="s">
        <v>1361</v>
      </c>
      <c r="G177" s="15" t="s">
        <v>1362</v>
      </c>
      <c r="H177" s="15"/>
      <c r="I177" s="15" t="s">
        <v>49</v>
      </c>
      <c r="J177" s="7" t="str">
        <f>HYPERLINK("https://www.codechef.com/problems/CCWFS01", "https://www.codechef.com/problems/CCWFS01")</f>
        <v>https://www.codechef.com/problems/CCWFS01</v>
      </c>
      <c r="K177" s="15"/>
      <c r="L177" s="15"/>
      <c r="M177" s="15"/>
      <c r="N177" s="15" t="s">
        <v>50</v>
      </c>
      <c r="O177" s="15" t="s">
        <v>51</v>
      </c>
    </row>
    <row r="178" spans="1:15">
      <c r="A178" s="14" t="s">
        <v>10</v>
      </c>
      <c r="B178" s="14" t="s">
        <v>1336</v>
      </c>
      <c r="C178" s="14" t="s">
        <v>1337</v>
      </c>
      <c r="D178" s="14" t="s">
        <v>1357</v>
      </c>
      <c r="E178" s="14">
        <v>14</v>
      </c>
      <c r="F178" s="14" t="s">
        <v>1363</v>
      </c>
      <c r="G178" s="14" t="s">
        <v>1364</v>
      </c>
      <c r="H178" s="14" t="s">
        <v>1365</v>
      </c>
      <c r="I178" s="14" t="s">
        <v>49</v>
      </c>
      <c r="J178" s="11" t="str">
        <f>HYPERLINK("https://www.codechef.com/problems/XORAGN", "https://www.codechef.com/problems/XORAGN")</f>
        <v>https://www.codechef.com/problems/XORAGN</v>
      </c>
      <c r="K178" s="14"/>
      <c r="L178" s="14"/>
      <c r="M178" s="14"/>
      <c r="N178" s="14" t="s">
        <v>50</v>
      </c>
      <c r="O178" s="14" t="s">
        <v>51</v>
      </c>
    </row>
    <row r="179" spans="1:15">
      <c r="A179" s="15" t="s">
        <v>10</v>
      </c>
      <c r="B179" s="15" t="s">
        <v>1336</v>
      </c>
      <c r="C179" s="15" t="s">
        <v>1337</v>
      </c>
      <c r="D179" s="15" t="s">
        <v>1357</v>
      </c>
      <c r="E179" s="15">
        <v>15</v>
      </c>
      <c r="F179" s="15" t="s">
        <v>1366</v>
      </c>
      <c r="G179" s="15" t="s">
        <v>1367</v>
      </c>
      <c r="H179" s="15" t="s">
        <v>1368</v>
      </c>
      <c r="I179" s="15" t="s">
        <v>49</v>
      </c>
      <c r="J179" s="7" t="str">
        <f>HYPERLINK("https://www.codechef.com/problems/FIZZBUZZ2304", "https://www.codechef.com/problems/FIZZBUZZ2304")</f>
        <v>https://www.codechef.com/problems/FIZZBUZZ2304</v>
      </c>
      <c r="K179" s="15"/>
      <c r="L179" s="15" t="s">
        <v>1369</v>
      </c>
      <c r="M179" s="15"/>
      <c r="N179" s="15" t="s">
        <v>50</v>
      </c>
      <c r="O179" s="15" t="s">
        <v>51</v>
      </c>
    </row>
    <row r="180" spans="1:15">
      <c r="A180" s="14" t="s">
        <v>10</v>
      </c>
      <c r="B180" s="14" t="s">
        <v>1336</v>
      </c>
      <c r="C180" s="14" t="s">
        <v>1337</v>
      </c>
      <c r="D180" s="14" t="s">
        <v>1357</v>
      </c>
      <c r="E180" s="14">
        <v>16</v>
      </c>
      <c r="F180" s="14" t="s">
        <v>656</v>
      </c>
      <c r="G180" s="14" t="s">
        <v>657</v>
      </c>
      <c r="H180" s="14" t="s">
        <v>658</v>
      </c>
      <c r="I180" s="14" t="s">
        <v>49</v>
      </c>
      <c r="J180" s="11" t="str">
        <f>HYPERLINK("https://www.codechef.com/problems/ANDOR", "https://www.codechef.com/problems/ANDOR")</f>
        <v>https://www.codechef.com/problems/ANDOR</v>
      </c>
      <c r="K180" s="14"/>
      <c r="L180" s="14" t="s">
        <v>659</v>
      </c>
      <c r="M180" s="14"/>
      <c r="N180" s="14" t="s">
        <v>50</v>
      </c>
      <c r="O180" s="14" t="s">
        <v>51</v>
      </c>
    </row>
    <row r="181" spans="1:15">
      <c r="A181" s="15" t="s">
        <v>10</v>
      </c>
      <c r="B181" s="15" t="s">
        <v>1336</v>
      </c>
      <c r="C181" s="15" t="s">
        <v>1337</v>
      </c>
      <c r="D181" s="15" t="s">
        <v>1357</v>
      </c>
      <c r="E181" s="15">
        <v>17</v>
      </c>
      <c r="F181" s="15" t="s">
        <v>1370</v>
      </c>
      <c r="G181" s="15" t="s">
        <v>1371</v>
      </c>
      <c r="H181" s="15" t="s">
        <v>248</v>
      </c>
      <c r="I181" s="15" t="s">
        <v>49</v>
      </c>
      <c r="J181" s="7" t="str">
        <f>HYPERLINK("https://www.codechef.com/problems/CIELRCPT", "https://www.codechef.com/problems/CIELRCPT")</f>
        <v>https://www.codechef.com/problems/CIELRCPT</v>
      </c>
      <c r="K181" s="15"/>
      <c r="L181" s="15" t="s">
        <v>1372</v>
      </c>
      <c r="M181" s="15"/>
      <c r="N181" s="15" t="s">
        <v>50</v>
      </c>
      <c r="O181" s="15" t="s">
        <v>51</v>
      </c>
    </row>
    <row r="182" spans="1:15">
      <c r="A182" s="14" t="s">
        <v>10</v>
      </c>
      <c r="B182" s="14" t="s">
        <v>1336</v>
      </c>
      <c r="C182" s="14" t="s">
        <v>1337</v>
      </c>
      <c r="D182" s="14" t="s">
        <v>1357</v>
      </c>
      <c r="E182" s="14">
        <v>18</v>
      </c>
      <c r="F182" s="14" t="s">
        <v>1373</v>
      </c>
      <c r="G182" s="14" t="s">
        <v>1374</v>
      </c>
      <c r="H182" s="14" t="s">
        <v>1375</v>
      </c>
      <c r="I182" s="14" t="s">
        <v>49</v>
      </c>
      <c r="J182" s="11" t="str">
        <f>HYPERLINK("https://www.codechef.com/problems/AXNODR", "https://www.codechef.com/problems/AXNODR")</f>
        <v>https://www.codechef.com/problems/AXNODR</v>
      </c>
      <c r="K182" s="14"/>
      <c r="L182" s="14" t="s">
        <v>1376</v>
      </c>
      <c r="M182" s="14"/>
      <c r="N182" s="14" t="s">
        <v>50</v>
      </c>
      <c r="O182" s="14" t="s">
        <v>51</v>
      </c>
    </row>
    <row r="183" spans="1:15">
      <c r="A183" s="15" t="s">
        <v>10</v>
      </c>
      <c r="B183" s="15" t="s">
        <v>1336</v>
      </c>
      <c r="C183" s="15" t="s">
        <v>1337</v>
      </c>
      <c r="D183" s="15" t="s">
        <v>1357</v>
      </c>
      <c r="E183" s="15">
        <v>19</v>
      </c>
      <c r="F183" s="15" t="s">
        <v>798</v>
      </c>
      <c r="G183" s="15" t="s">
        <v>799</v>
      </c>
      <c r="H183" s="15"/>
      <c r="I183" s="15" t="s">
        <v>322</v>
      </c>
      <c r="J183" s="7" t="str">
        <f>HYPERLINK("https://www.codechef.com/problems/XORRANGE", "https://www.codechef.com/problems/XORRANGE")</f>
        <v>https://www.codechef.com/problems/XORRANGE</v>
      </c>
      <c r="K183" s="15"/>
      <c r="L183" s="15"/>
      <c r="M183" s="15"/>
      <c r="N183" s="15" t="s">
        <v>50</v>
      </c>
      <c r="O183" s="15" t="s">
        <v>51</v>
      </c>
    </row>
    <row r="184" spans="1:15">
      <c r="A184" s="14" t="s">
        <v>10</v>
      </c>
      <c r="B184" s="14" t="s">
        <v>1336</v>
      </c>
      <c r="C184" s="14" t="s">
        <v>1337</v>
      </c>
      <c r="D184" s="14" t="s">
        <v>1357</v>
      </c>
      <c r="E184" s="14">
        <v>20</v>
      </c>
      <c r="F184" s="14" t="s">
        <v>1377</v>
      </c>
      <c r="G184" s="14" t="s">
        <v>1378</v>
      </c>
      <c r="H184" s="14" t="s">
        <v>1379</v>
      </c>
      <c r="I184" s="14" t="s">
        <v>49</v>
      </c>
      <c r="J184" s="11" t="str">
        <f>HYPERLINK("https://www.codechef.com/problems/CENS20D", "https://www.codechef.com/problems/CENS20D")</f>
        <v>https://www.codechef.com/problems/CENS20D</v>
      </c>
      <c r="K184" s="14"/>
      <c r="L184" s="14" t="s">
        <v>1380</v>
      </c>
      <c r="M184" s="14"/>
      <c r="N184" s="14" t="s">
        <v>50</v>
      </c>
      <c r="O184" s="14" t="s">
        <v>51</v>
      </c>
    </row>
    <row r="185" spans="1:15">
      <c r="A185" s="15" t="s">
        <v>10</v>
      </c>
      <c r="B185" s="15" t="s">
        <v>1336</v>
      </c>
      <c r="C185" s="15" t="s">
        <v>1337</v>
      </c>
      <c r="D185" s="15" t="s">
        <v>1357</v>
      </c>
      <c r="E185" s="15">
        <v>21</v>
      </c>
      <c r="F185" s="15" t="s">
        <v>1381</v>
      </c>
      <c r="G185" s="15" t="s">
        <v>1382</v>
      </c>
      <c r="H185" s="15" t="s">
        <v>1383</v>
      </c>
      <c r="I185" s="15" t="s">
        <v>96</v>
      </c>
      <c r="J185" s="7" t="str">
        <f>HYPERLINK("https://www.codechef.com/problems/XOREQUAL", "https://www.codechef.com/problems/XOREQUAL")</f>
        <v>https://www.codechef.com/problems/XOREQUAL</v>
      </c>
      <c r="K185" s="15"/>
      <c r="L185" s="15"/>
      <c r="M185" s="15"/>
      <c r="N185" s="15" t="s">
        <v>50</v>
      </c>
      <c r="O185" s="15" t="s">
        <v>51</v>
      </c>
    </row>
    <row r="186" spans="1:15">
      <c r="A186" s="14" t="s">
        <v>10</v>
      </c>
      <c r="B186" s="14" t="s">
        <v>1336</v>
      </c>
      <c r="C186" s="14" t="s">
        <v>1337</v>
      </c>
      <c r="D186" s="14" t="s">
        <v>1357</v>
      </c>
      <c r="E186" s="14">
        <v>22</v>
      </c>
      <c r="F186" s="14" t="s">
        <v>1384</v>
      </c>
      <c r="G186" s="14" t="s">
        <v>1385</v>
      </c>
      <c r="H186" s="14" t="s">
        <v>1386</v>
      </c>
      <c r="I186" s="14" t="s">
        <v>49</v>
      </c>
      <c r="J186" s="11" t="str">
        <f>HYPERLINK("https://www.codechef.com/problems/UNCHANGEDOR", "https://www.codechef.com/problems/UNCHANGEDOR")</f>
        <v>https://www.codechef.com/problems/UNCHANGEDOR</v>
      </c>
      <c r="K186" s="14"/>
      <c r="L186" s="14"/>
      <c r="M186" s="14"/>
      <c r="N186" s="14" t="s">
        <v>50</v>
      </c>
      <c r="O186" s="14" t="s">
        <v>51</v>
      </c>
    </row>
    <row r="187" spans="1:15">
      <c r="A187" s="15" t="s">
        <v>10</v>
      </c>
      <c r="B187" s="15" t="s">
        <v>1336</v>
      </c>
      <c r="C187" s="15" t="s">
        <v>1337</v>
      </c>
      <c r="D187" s="15" t="s">
        <v>1357</v>
      </c>
      <c r="E187" s="15">
        <v>23</v>
      </c>
      <c r="F187" s="15" t="s">
        <v>1387</v>
      </c>
      <c r="G187" s="15" t="s">
        <v>1388</v>
      </c>
      <c r="H187" s="15" t="s">
        <v>1389</v>
      </c>
      <c r="I187" s="15" t="s">
        <v>96</v>
      </c>
      <c r="J187" s="7" t="str">
        <f>HYPERLINK("https://www.codechef.com/problems/ANDSUBAR", "https://www.codechef.com/problems/ANDSUBAR")</f>
        <v>https://www.codechef.com/problems/ANDSUBAR</v>
      </c>
      <c r="K187" s="15"/>
      <c r="L187" s="15" t="s">
        <v>1390</v>
      </c>
      <c r="M187" s="15"/>
      <c r="N187" s="15" t="s">
        <v>50</v>
      </c>
      <c r="O187" s="15" t="s">
        <v>51</v>
      </c>
    </row>
    <row r="188" spans="1:15">
      <c r="A188" s="14" t="s">
        <v>10</v>
      </c>
      <c r="B188" s="14" t="s">
        <v>1336</v>
      </c>
      <c r="C188" s="14" t="s">
        <v>1337</v>
      </c>
      <c r="D188" s="14" t="s">
        <v>1357</v>
      </c>
      <c r="E188" s="14">
        <v>24</v>
      </c>
      <c r="F188" s="14" t="s">
        <v>1391</v>
      </c>
      <c r="G188" s="14" t="s">
        <v>1392</v>
      </c>
      <c r="H188" s="14" t="s">
        <v>343</v>
      </c>
      <c r="I188" s="14" t="s">
        <v>96</v>
      </c>
      <c r="J188" s="11" t="str">
        <f>HYPERLINK("https://www.codechef.com/problems/PREP16", "https://www.codechef.com/problems/PREP16")</f>
        <v>https://www.codechef.com/problems/PREP16</v>
      </c>
      <c r="K188" s="14"/>
      <c r="L188" s="14"/>
      <c r="M188" s="14"/>
      <c r="N188" s="14" t="s">
        <v>50</v>
      </c>
      <c r="O188" s="14" t="s">
        <v>51</v>
      </c>
    </row>
    <row r="189" spans="1:15">
      <c r="A189" s="15" t="s">
        <v>10</v>
      </c>
      <c r="B189" s="15" t="s">
        <v>1336</v>
      </c>
      <c r="C189" s="15" t="s">
        <v>1337</v>
      </c>
      <c r="D189" s="15" t="s">
        <v>1357</v>
      </c>
      <c r="E189" s="15">
        <v>25</v>
      </c>
      <c r="F189" s="15" t="s">
        <v>1393</v>
      </c>
      <c r="G189" s="15" t="s">
        <v>1394</v>
      </c>
      <c r="H189" s="15" t="s">
        <v>1395</v>
      </c>
      <c r="I189" s="15" t="s">
        <v>96</v>
      </c>
      <c r="J189" s="7" t="str">
        <f>HYPERLINK("https://www.codechef.com/problems/XORNUBER", "https://www.codechef.com/problems/XORNUBER")</f>
        <v>https://www.codechef.com/problems/XORNUBER</v>
      </c>
      <c r="K189" s="15"/>
      <c r="L189" s="15"/>
      <c r="M189" s="15"/>
      <c r="N189" s="15" t="s">
        <v>50</v>
      </c>
      <c r="O189" s="15" t="s">
        <v>51</v>
      </c>
    </row>
    <row r="190" spans="1:15">
      <c r="A190" s="14" t="s">
        <v>10</v>
      </c>
      <c r="B190" s="14" t="s">
        <v>1336</v>
      </c>
      <c r="C190" s="14" t="s">
        <v>1337</v>
      </c>
      <c r="D190" s="14" t="s">
        <v>1357</v>
      </c>
      <c r="E190" s="14">
        <v>26</v>
      </c>
      <c r="F190" s="14" t="s">
        <v>1396</v>
      </c>
      <c r="G190" s="14" t="s">
        <v>1397</v>
      </c>
      <c r="H190" s="14" t="s">
        <v>1398</v>
      </c>
      <c r="I190" s="14" t="s">
        <v>96</v>
      </c>
      <c r="J190" s="11" t="str">
        <f>HYPERLINK("https://www.codechef.com/problems/XORAND", "https://www.codechef.com/problems/XORAND")</f>
        <v>https://www.codechef.com/problems/XORAND</v>
      </c>
      <c r="K190" s="14"/>
      <c r="L190" s="14"/>
      <c r="M190" s="14"/>
      <c r="N190" s="14" t="s">
        <v>50</v>
      </c>
      <c r="O190" s="14" t="s">
        <v>51</v>
      </c>
    </row>
    <row r="191" spans="1:15">
      <c r="A191" s="15" t="s">
        <v>10</v>
      </c>
      <c r="B191" s="15" t="s">
        <v>1336</v>
      </c>
      <c r="C191" s="15" t="s">
        <v>1337</v>
      </c>
      <c r="D191" s="15" t="s">
        <v>1357</v>
      </c>
      <c r="E191" s="15">
        <v>27</v>
      </c>
      <c r="F191" s="15" t="s">
        <v>866</v>
      </c>
      <c r="G191" s="15" t="s">
        <v>1399</v>
      </c>
      <c r="H191" s="15"/>
      <c r="I191" s="15" t="s">
        <v>96</v>
      </c>
      <c r="J191" s="7" t="str">
        <f>HYPERLINK("https://www.codechef.com/problems/CVDMX01", "https://www.codechef.com/problems/CVDMX01")</f>
        <v>https://www.codechef.com/problems/CVDMX01</v>
      </c>
      <c r="K191" s="15"/>
      <c r="L191" s="15" t="s">
        <v>373</v>
      </c>
      <c r="M191" s="15"/>
      <c r="N191" s="15" t="s">
        <v>50</v>
      </c>
      <c r="O191" s="15" t="s">
        <v>51</v>
      </c>
    </row>
    <row r="192" spans="1:15">
      <c r="A192" s="14" t="s">
        <v>10</v>
      </c>
      <c r="B192" s="14" t="s">
        <v>1336</v>
      </c>
      <c r="C192" s="14" t="s">
        <v>1337</v>
      </c>
      <c r="D192" s="14" t="s">
        <v>1357</v>
      </c>
      <c r="E192" s="14">
        <v>28</v>
      </c>
      <c r="F192" s="14" t="s">
        <v>1400</v>
      </c>
      <c r="G192" s="14" t="s">
        <v>1401</v>
      </c>
      <c r="H192" s="14" t="s">
        <v>1402</v>
      </c>
      <c r="I192" s="14" t="s">
        <v>49</v>
      </c>
      <c r="J192" s="11" t="str">
        <f>HYPERLINK("https://www.codechef.com/problems/APPENDOR", "https://www.codechef.com/problems/APPENDOR")</f>
        <v>https://www.codechef.com/problems/APPENDOR</v>
      </c>
      <c r="K192" s="14"/>
      <c r="L192" s="14" t="s">
        <v>1403</v>
      </c>
      <c r="M192" s="14"/>
      <c r="N192" s="14" t="s">
        <v>50</v>
      </c>
      <c r="O192" s="14" t="s">
        <v>51</v>
      </c>
    </row>
    <row r="193" spans="1:15">
      <c r="A193" s="15" t="s">
        <v>10</v>
      </c>
      <c r="B193" s="15" t="s">
        <v>1336</v>
      </c>
      <c r="C193" s="15" t="s">
        <v>1337</v>
      </c>
      <c r="D193" s="15" t="s">
        <v>1357</v>
      </c>
      <c r="E193" s="15">
        <v>29</v>
      </c>
      <c r="F193" s="15" t="s">
        <v>1404</v>
      </c>
      <c r="G193" s="15" t="s">
        <v>1405</v>
      </c>
      <c r="H193" s="15" t="s">
        <v>1046</v>
      </c>
      <c r="I193" s="15" t="s">
        <v>49</v>
      </c>
      <c r="J193" s="7" t="str">
        <f>HYPERLINK("https://www.codechef.com/problems/MAKEZERO", "https://www.codechef.com/problems/MAKEZERO")</f>
        <v>https://www.codechef.com/problems/MAKEZERO</v>
      </c>
      <c r="K193" s="15"/>
      <c r="L193" s="15"/>
      <c r="M193" s="15"/>
      <c r="N193" s="15" t="s">
        <v>50</v>
      </c>
      <c r="O193" s="15" t="s">
        <v>51</v>
      </c>
    </row>
    <row r="194" spans="1:15">
      <c r="A194" s="14" t="s">
        <v>10</v>
      </c>
      <c r="B194" s="14" t="s">
        <v>1336</v>
      </c>
      <c r="C194" s="14" t="s">
        <v>1337</v>
      </c>
      <c r="D194" s="14" t="s">
        <v>1357</v>
      </c>
      <c r="E194" s="14">
        <v>30</v>
      </c>
      <c r="F194" s="14" t="s">
        <v>1406</v>
      </c>
      <c r="G194" s="14" t="s">
        <v>1407</v>
      </c>
      <c r="H194" s="14" t="s">
        <v>1408</v>
      </c>
      <c r="I194" s="14" t="s">
        <v>96</v>
      </c>
      <c r="J194" s="11" t="str">
        <f>HYPERLINK("https://www.codechef.com/problems/CS2023_PON", "https://www.codechef.com/problems/CS2023_PON")</f>
        <v>https://www.codechef.com/problems/CS2023_PON</v>
      </c>
      <c r="K194" s="14"/>
      <c r="L194" s="14" t="s">
        <v>1409</v>
      </c>
      <c r="M194" s="14"/>
      <c r="N194" s="14" t="s">
        <v>50</v>
      </c>
      <c r="O194" s="14" t="s">
        <v>51</v>
      </c>
    </row>
    <row r="195" spans="1:15">
      <c r="A195" s="15" t="s">
        <v>10</v>
      </c>
      <c r="B195" s="15" t="s">
        <v>1336</v>
      </c>
      <c r="C195" s="15" t="s">
        <v>1337</v>
      </c>
      <c r="D195" s="15" t="s">
        <v>1357</v>
      </c>
      <c r="E195" s="15">
        <v>31</v>
      </c>
      <c r="F195" s="15" t="s">
        <v>1410</v>
      </c>
      <c r="G195" s="15" t="s">
        <v>1411</v>
      </c>
      <c r="H195" s="15" t="s">
        <v>1412</v>
      </c>
      <c r="I195" s="15" t="s">
        <v>49</v>
      </c>
      <c r="J195" s="7" t="str">
        <f>HYPERLINK("https://www.codechef.com/problems/SIMPLE_XOR", "https://www.codechef.com/problems/SIMPLE_XOR")</f>
        <v>https://www.codechef.com/problems/SIMPLE_XOR</v>
      </c>
      <c r="K195" s="15"/>
      <c r="L195" s="15"/>
      <c r="M195" s="15"/>
      <c r="N195" s="15" t="s">
        <v>50</v>
      </c>
      <c r="O195" s="15" t="s">
        <v>51</v>
      </c>
    </row>
    <row r="196" spans="1:15">
      <c r="A196" s="14" t="s">
        <v>10</v>
      </c>
      <c r="B196" s="14" t="s">
        <v>1336</v>
      </c>
      <c r="C196" s="14" t="s">
        <v>1337</v>
      </c>
      <c r="D196" s="14" t="s">
        <v>1357</v>
      </c>
      <c r="E196" s="14">
        <v>32</v>
      </c>
      <c r="F196" s="14" t="s">
        <v>1413</v>
      </c>
      <c r="G196" s="14" t="s">
        <v>1414</v>
      </c>
      <c r="H196" s="14" t="s">
        <v>1415</v>
      </c>
      <c r="I196" s="14" t="s">
        <v>96</v>
      </c>
      <c r="J196" s="11" t="str">
        <f>HYPERLINK("https://www.codechef.com/problems/BITEQU", "https://www.codechef.com/problems/BITEQU")</f>
        <v>https://www.codechef.com/problems/BITEQU</v>
      </c>
      <c r="K196" s="14"/>
      <c r="L196" s="14" t="s">
        <v>1416</v>
      </c>
      <c r="M196" s="14"/>
      <c r="N196" s="14" t="s">
        <v>50</v>
      </c>
      <c r="O196" s="14" t="s">
        <v>51</v>
      </c>
    </row>
    <row r="197" spans="1:15">
      <c r="A197" s="15" t="s">
        <v>10</v>
      </c>
      <c r="B197" s="15" t="s">
        <v>1336</v>
      </c>
      <c r="C197" s="15" t="s">
        <v>1337</v>
      </c>
      <c r="D197" s="15" t="s">
        <v>1357</v>
      </c>
      <c r="E197" s="15">
        <v>33</v>
      </c>
      <c r="F197" s="15" t="s">
        <v>882</v>
      </c>
      <c r="G197" s="15" t="s">
        <v>883</v>
      </c>
      <c r="H197" s="15"/>
      <c r="I197" s="15" t="s">
        <v>322</v>
      </c>
      <c r="J197" s="7" t="str">
        <f>HYPERLINK("https://www.codechef.com/problems/TWOUNIQUE", "https://www.codechef.com/problems/TWOUNIQUE")</f>
        <v>https://www.codechef.com/problems/TWOUNIQUE</v>
      </c>
      <c r="K197" s="15"/>
      <c r="L197" s="15"/>
      <c r="M197" s="15"/>
      <c r="N197" s="15" t="s">
        <v>50</v>
      </c>
      <c r="O197" s="15" t="s">
        <v>51</v>
      </c>
    </row>
    <row r="198" spans="1:15">
      <c r="A198" s="14" t="s">
        <v>10</v>
      </c>
      <c r="B198" s="14" t="s">
        <v>1336</v>
      </c>
      <c r="C198" s="14" t="s">
        <v>1337</v>
      </c>
      <c r="D198" s="14" t="s">
        <v>1357</v>
      </c>
      <c r="E198" s="14">
        <v>34</v>
      </c>
      <c r="F198" s="14" t="s">
        <v>1417</v>
      </c>
      <c r="G198" s="14" t="s">
        <v>1418</v>
      </c>
      <c r="H198" s="14"/>
      <c r="I198" s="14" t="s">
        <v>96</v>
      </c>
      <c r="J198" s="11" t="str">
        <f>HYPERLINK("https://www.codechef.com/problems/EBQZC01", "https://www.codechef.com/problems/EBQZC01")</f>
        <v>https://www.codechef.com/problems/EBQZC01</v>
      </c>
      <c r="K198" s="14"/>
      <c r="L198" s="14"/>
      <c r="M198" s="14"/>
      <c r="N198" s="14" t="s">
        <v>50</v>
      </c>
      <c r="O198" s="14" t="s">
        <v>51</v>
      </c>
    </row>
    <row r="199" spans="1:15">
      <c r="A199" s="15" t="s">
        <v>10</v>
      </c>
      <c r="B199" s="15" t="s">
        <v>1336</v>
      </c>
      <c r="C199" s="15" t="s">
        <v>1337</v>
      </c>
      <c r="D199" s="15" t="s">
        <v>1357</v>
      </c>
      <c r="E199" s="15">
        <v>35</v>
      </c>
      <c r="F199" s="15" t="s">
        <v>726</v>
      </c>
      <c r="G199" s="15" t="s">
        <v>1419</v>
      </c>
      <c r="H199" s="15" t="s">
        <v>728</v>
      </c>
      <c r="I199" s="15" t="s">
        <v>96</v>
      </c>
      <c r="J199" s="7" t="str">
        <f>HYPERLINK("https://www.codechef.com/problems/LARGESTY", "https://www.codechef.com/problems/LARGESTY")</f>
        <v>https://www.codechef.com/problems/LARGESTY</v>
      </c>
      <c r="K199" s="15"/>
      <c r="L199" s="15" t="s">
        <v>1420</v>
      </c>
      <c r="M199" s="15"/>
      <c r="N199" s="15" t="s">
        <v>50</v>
      </c>
      <c r="O199" s="15" t="s">
        <v>51</v>
      </c>
    </row>
    <row r="200" spans="1:15">
      <c r="A200" s="14" t="s">
        <v>10</v>
      </c>
      <c r="B200" s="14" t="s">
        <v>1336</v>
      </c>
      <c r="C200" s="14" t="s">
        <v>1337</v>
      </c>
      <c r="D200" s="14" t="s">
        <v>1357</v>
      </c>
      <c r="E200" s="14">
        <v>36</v>
      </c>
      <c r="F200" s="14" t="s">
        <v>1421</v>
      </c>
      <c r="G200" s="14" t="s">
        <v>1422</v>
      </c>
      <c r="H200" s="14" t="s">
        <v>1423</v>
      </c>
      <c r="I200" s="14" t="s">
        <v>96</v>
      </c>
      <c r="J200" s="11" t="str">
        <f>HYPERLINK("https://www.codechef.com/problems/PRIME_XOR", "https://www.codechef.com/problems/PRIME_XOR")</f>
        <v>https://www.codechef.com/problems/PRIME_XOR</v>
      </c>
      <c r="K200" s="14"/>
      <c r="L200" s="14" t="s">
        <v>1403</v>
      </c>
      <c r="M200" s="14"/>
      <c r="N200" s="14" t="s">
        <v>50</v>
      </c>
      <c r="O200" s="14" t="s">
        <v>51</v>
      </c>
    </row>
    <row r="201" spans="1:15">
      <c r="A201" s="15" t="s">
        <v>10</v>
      </c>
      <c r="B201" s="15" t="s">
        <v>1336</v>
      </c>
      <c r="C201" s="15" t="s">
        <v>1337</v>
      </c>
      <c r="D201" s="15" t="s">
        <v>1357</v>
      </c>
      <c r="E201" s="15">
        <v>37</v>
      </c>
      <c r="F201" s="15" t="s">
        <v>1424</v>
      </c>
      <c r="G201" s="15" t="s">
        <v>1425</v>
      </c>
      <c r="H201" s="15" t="s">
        <v>1426</v>
      </c>
      <c r="I201" s="15" t="s">
        <v>96</v>
      </c>
      <c r="J201" s="7" t="str">
        <f>HYPERLINK("https://www.codechef.com/problems/XORABC", "https://www.codechef.com/problems/XORABC")</f>
        <v>https://www.codechef.com/problems/XORABC</v>
      </c>
      <c r="K201" s="15"/>
      <c r="L201" s="15"/>
      <c r="M201" s="15"/>
      <c r="N201" s="15" t="s">
        <v>50</v>
      </c>
      <c r="O201" s="15" t="s">
        <v>51</v>
      </c>
    </row>
    <row r="202" spans="1:15">
      <c r="A202" s="14" t="s">
        <v>10</v>
      </c>
      <c r="B202" s="14" t="s">
        <v>1336</v>
      </c>
      <c r="C202" s="14" t="s">
        <v>1337</v>
      </c>
      <c r="D202" s="14" t="s">
        <v>1357</v>
      </c>
      <c r="E202" s="14">
        <v>38</v>
      </c>
      <c r="F202" s="14" t="s">
        <v>1427</v>
      </c>
      <c r="G202" s="14" t="s">
        <v>1428</v>
      </c>
      <c r="H202" s="14" t="s">
        <v>1429</v>
      </c>
      <c r="I202" s="14" t="s">
        <v>96</v>
      </c>
      <c r="J202" s="11" t="str">
        <f>HYPERLINK("https://www.codechef.com/problems/NBONACCI", "https://www.codechef.com/problems/NBONACCI")</f>
        <v>https://www.codechef.com/problems/NBONACCI</v>
      </c>
      <c r="K202" s="14"/>
      <c r="L202" s="14" t="s">
        <v>1430</v>
      </c>
      <c r="M202" s="14"/>
      <c r="N202" s="14" t="s">
        <v>50</v>
      </c>
      <c r="O202" s="14" t="s">
        <v>51</v>
      </c>
    </row>
    <row r="203" spans="1:15">
      <c r="A203" s="15" t="s">
        <v>10</v>
      </c>
      <c r="B203" s="15" t="s">
        <v>1336</v>
      </c>
      <c r="C203" s="15" t="s">
        <v>1337</v>
      </c>
      <c r="D203" s="15" t="s">
        <v>1357</v>
      </c>
      <c r="E203" s="15">
        <v>39</v>
      </c>
      <c r="F203" s="15" t="s">
        <v>1431</v>
      </c>
      <c r="G203" s="15" t="s">
        <v>1432</v>
      </c>
      <c r="H203" s="15" t="s">
        <v>1433</v>
      </c>
      <c r="I203" s="15" t="s">
        <v>96</v>
      </c>
      <c r="J203" s="7" t="str">
        <f>HYPERLINK("https://www.codechef.com/problems/ANDORUNI", "https://www.codechef.com/problems/ANDORUNI")</f>
        <v>https://www.codechef.com/problems/ANDORUNI</v>
      </c>
      <c r="K203" s="15"/>
      <c r="L203" s="15" t="s">
        <v>1434</v>
      </c>
      <c r="M203" s="15"/>
      <c r="N203" s="15" t="s">
        <v>50</v>
      </c>
      <c r="O203" s="15" t="s">
        <v>51</v>
      </c>
    </row>
    <row r="204" spans="1:15">
      <c r="A204" s="14" t="s">
        <v>10</v>
      </c>
      <c r="B204" s="14" t="s">
        <v>1336</v>
      </c>
      <c r="C204" s="14" t="s">
        <v>1337</v>
      </c>
      <c r="D204" s="14" t="s">
        <v>1357</v>
      </c>
      <c r="E204" s="14">
        <v>40</v>
      </c>
      <c r="F204" s="14" t="s">
        <v>1435</v>
      </c>
      <c r="G204" s="14" t="s">
        <v>1436</v>
      </c>
      <c r="H204" s="14" t="s">
        <v>1180</v>
      </c>
      <c r="I204" s="14" t="s">
        <v>96</v>
      </c>
      <c r="J204" s="11" t="str">
        <f>HYPERLINK("https://www.codechef.com/problems/ORTHODOX", "https://www.codechef.com/problems/ORTHODOX")</f>
        <v>https://www.codechef.com/problems/ORTHODOX</v>
      </c>
      <c r="K204" s="14"/>
      <c r="L204" s="14" t="s">
        <v>1437</v>
      </c>
      <c r="M204" s="14"/>
      <c r="N204" s="14" t="s">
        <v>50</v>
      </c>
      <c r="O204" s="14" t="s">
        <v>51</v>
      </c>
    </row>
    <row r="205" spans="1:15">
      <c r="A205" s="15" t="s">
        <v>10</v>
      </c>
      <c r="B205" s="15" t="s">
        <v>1336</v>
      </c>
      <c r="C205" s="15" t="s">
        <v>1337</v>
      </c>
      <c r="D205" s="15" t="s">
        <v>1357</v>
      </c>
      <c r="E205" s="15">
        <v>41</v>
      </c>
      <c r="F205" s="15" t="s">
        <v>704</v>
      </c>
      <c r="G205" s="15" t="s">
        <v>1438</v>
      </c>
      <c r="H205" s="15" t="s">
        <v>706</v>
      </c>
      <c r="I205" s="15" t="s">
        <v>96</v>
      </c>
      <c r="J205" s="7" t="str">
        <f>HYPERLINK("https://www.codechef.com/problems/HXOR", "https://www.codechef.com/problems/HXOR")</f>
        <v>https://www.codechef.com/problems/HXOR</v>
      </c>
      <c r="K205" s="15"/>
      <c r="L205" s="15" t="s">
        <v>1439</v>
      </c>
      <c r="M205" s="15"/>
      <c r="N205" s="15" t="s">
        <v>50</v>
      </c>
      <c r="O205" s="15" t="s">
        <v>51</v>
      </c>
    </row>
    <row r="206" spans="1:15">
      <c r="A206" s="14" t="s">
        <v>10</v>
      </c>
      <c r="B206" s="14" t="s">
        <v>1336</v>
      </c>
      <c r="C206" s="14" t="s">
        <v>1337</v>
      </c>
      <c r="D206" s="14" t="s">
        <v>1357</v>
      </c>
      <c r="E206" s="14">
        <v>42</v>
      </c>
      <c r="F206" s="14" t="s">
        <v>1440</v>
      </c>
      <c r="G206" s="14" t="s">
        <v>1441</v>
      </c>
      <c r="H206" s="14" t="s">
        <v>1442</v>
      </c>
      <c r="I206" s="14" t="s">
        <v>96</v>
      </c>
      <c r="J206" s="11" t="str">
        <f>HYPERLINK("https://www.codechef.com/problems/BINSHFFL", "https://www.codechef.com/problems/BINSHFFL")</f>
        <v>https://www.codechef.com/problems/BINSHFFL</v>
      </c>
      <c r="K206" s="14"/>
      <c r="L206" s="14" t="s">
        <v>1443</v>
      </c>
      <c r="M206" s="14"/>
      <c r="N206" s="14" t="s">
        <v>50</v>
      </c>
      <c r="O206" s="14" t="s">
        <v>51</v>
      </c>
    </row>
    <row r="207" spans="1:15">
      <c r="A207" s="15" t="s">
        <v>10</v>
      </c>
      <c r="B207" s="15" t="s">
        <v>1336</v>
      </c>
      <c r="C207" s="15" t="s">
        <v>1337</v>
      </c>
      <c r="D207" s="15" t="s">
        <v>1357</v>
      </c>
      <c r="E207" s="15">
        <v>43</v>
      </c>
      <c r="F207" s="15" t="s">
        <v>1444</v>
      </c>
      <c r="G207" s="15" t="s">
        <v>1445</v>
      </c>
      <c r="H207" s="15"/>
      <c r="I207" s="15" t="s">
        <v>322</v>
      </c>
      <c r="J207" s="7" t="str">
        <f>HYPERLINK("https://www.codechef.com/problems/PMLYR01", "https://www.codechef.com/problems/PMLYR01")</f>
        <v>https://www.codechef.com/problems/PMLYR01</v>
      </c>
      <c r="K207" s="15"/>
      <c r="L207" s="15"/>
      <c r="M207" s="15"/>
      <c r="N207" s="15" t="s">
        <v>50</v>
      </c>
      <c r="O207" s="15" t="s">
        <v>51</v>
      </c>
    </row>
    <row r="208" spans="1:15">
      <c r="A208" s="14" t="s">
        <v>10</v>
      </c>
      <c r="B208" s="14" t="s">
        <v>1446</v>
      </c>
      <c r="C208" s="14" t="s">
        <v>1447</v>
      </c>
      <c r="D208" s="14" t="s">
        <v>1448</v>
      </c>
      <c r="E208" s="14">
        <v>1</v>
      </c>
      <c r="F208" s="14" t="s">
        <v>166</v>
      </c>
      <c r="G208" s="14" t="s">
        <v>167</v>
      </c>
      <c r="H208" s="14"/>
      <c r="I208" s="14" t="s">
        <v>49</v>
      </c>
      <c r="J208" s="11" t="str">
        <f>HYPERLINK("https://www.codechef.com/problems/PREFPRO1", "https://www.codechef.com/problems/PREFPRO1")</f>
        <v>https://www.codechef.com/problems/PREFPRO1</v>
      </c>
      <c r="K208" s="14"/>
      <c r="L208" s="14"/>
      <c r="M208" s="14"/>
      <c r="N208" s="14" t="s">
        <v>50</v>
      </c>
      <c r="O208" s="14" t="s">
        <v>51</v>
      </c>
    </row>
    <row r="209" spans="1:15">
      <c r="A209" s="15" t="s">
        <v>10</v>
      </c>
      <c r="B209" s="15" t="s">
        <v>1446</v>
      </c>
      <c r="C209" s="15" t="s">
        <v>1447</v>
      </c>
      <c r="D209" s="15" t="s">
        <v>1448</v>
      </c>
      <c r="E209" s="15">
        <v>2</v>
      </c>
      <c r="F209" s="15" t="s">
        <v>168</v>
      </c>
      <c r="G209" s="15" t="s">
        <v>169</v>
      </c>
      <c r="H209" s="15"/>
      <c r="I209" s="15" t="s">
        <v>96</v>
      </c>
      <c r="J209" s="7" t="str">
        <f>HYPERLINK("https://www.codechef.com/problems/PREFPRO2", "https://www.codechef.com/problems/PREFPRO2")</f>
        <v>https://www.codechef.com/problems/PREFPRO2</v>
      </c>
      <c r="K209" s="15"/>
      <c r="L209" s="15"/>
      <c r="M209" s="15"/>
      <c r="N209" s="15" t="s">
        <v>50</v>
      </c>
      <c r="O209" s="15" t="s">
        <v>51</v>
      </c>
    </row>
    <row r="210" spans="1:15">
      <c r="A210" s="14" t="s">
        <v>10</v>
      </c>
      <c r="B210" s="14" t="s">
        <v>1446</v>
      </c>
      <c r="C210" s="14" t="s">
        <v>1447</v>
      </c>
      <c r="D210" s="14" t="s">
        <v>1448</v>
      </c>
      <c r="E210" s="14">
        <v>3</v>
      </c>
      <c r="F210" s="14" t="s">
        <v>170</v>
      </c>
      <c r="G210" s="14" t="s">
        <v>171</v>
      </c>
      <c r="H210" s="14" t="s">
        <v>172</v>
      </c>
      <c r="I210" s="14" t="s">
        <v>49</v>
      </c>
      <c r="J210" s="11" t="str">
        <f>HYPERLINK("https://www.codechef.com/problems/NUM239", "https://www.codechef.com/problems/NUM239")</f>
        <v>https://www.codechef.com/problems/NUM239</v>
      </c>
      <c r="K210" s="14"/>
      <c r="L210" s="14" t="s">
        <v>173</v>
      </c>
      <c r="M210" s="14"/>
      <c r="N210" s="14" t="s">
        <v>50</v>
      </c>
      <c r="O210" s="14" t="s">
        <v>51</v>
      </c>
    </row>
    <row r="211" spans="1:15">
      <c r="A211" s="15" t="s">
        <v>10</v>
      </c>
      <c r="B211" s="15" t="s">
        <v>1446</v>
      </c>
      <c r="C211" s="15" t="s">
        <v>1447</v>
      </c>
      <c r="D211" s="15" t="s">
        <v>1448</v>
      </c>
      <c r="E211" s="15">
        <v>4</v>
      </c>
      <c r="F211" s="15" t="s">
        <v>174</v>
      </c>
      <c r="G211" s="15" t="s">
        <v>175</v>
      </c>
      <c r="H211" s="15" t="s">
        <v>176</v>
      </c>
      <c r="I211" s="15" t="s">
        <v>49</v>
      </c>
      <c r="J211" s="7" t="str">
        <f>HYPERLINK("https://www.codechef.com/problems/CHEFSUM", "https://www.codechef.com/problems/CHEFSUM")</f>
        <v>https://www.codechef.com/problems/CHEFSUM</v>
      </c>
      <c r="K211" s="15"/>
      <c r="L211" s="15" t="s">
        <v>177</v>
      </c>
      <c r="M211" s="15"/>
      <c r="N211" s="15" t="s">
        <v>50</v>
      </c>
      <c r="O211" s="15" t="s">
        <v>51</v>
      </c>
    </row>
    <row r="212" spans="1:15">
      <c r="A212" s="14" t="s">
        <v>10</v>
      </c>
      <c r="B212" s="14" t="s">
        <v>1446</v>
      </c>
      <c r="C212" s="14" t="s">
        <v>1447</v>
      </c>
      <c r="D212" s="14" t="s">
        <v>1448</v>
      </c>
      <c r="E212" s="14">
        <v>5</v>
      </c>
      <c r="F212" s="14" t="s">
        <v>178</v>
      </c>
      <c r="G212" s="14" t="s">
        <v>179</v>
      </c>
      <c r="H212" s="14" t="s">
        <v>180</v>
      </c>
      <c r="I212" s="14" t="s">
        <v>49</v>
      </c>
      <c r="J212" s="11" t="str">
        <f>HYPERLINK("https://www.codechef.com/problems/PREFPRO5", "https://www.codechef.com/problems/PREFPRO5")</f>
        <v>https://www.codechef.com/problems/PREFPRO5</v>
      </c>
      <c r="K212" s="14"/>
      <c r="L212" s="14"/>
      <c r="M212" s="14"/>
      <c r="N212" s="14" t="s">
        <v>50</v>
      </c>
      <c r="O212" s="14" t="s">
        <v>51</v>
      </c>
    </row>
    <row r="213" spans="1:15">
      <c r="A213" s="15" t="s">
        <v>10</v>
      </c>
      <c r="B213" s="15" t="s">
        <v>1446</v>
      </c>
      <c r="C213" s="15" t="s">
        <v>1447</v>
      </c>
      <c r="D213" s="15" t="s">
        <v>1448</v>
      </c>
      <c r="E213" s="15">
        <v>6</v>
      </c>
      <c r="F213" s="15" t="s">
        <v>1449</v>
      </c>
      <c r="G213" s="15" t="s">
        <v>1450</v>
      </c>
      <c r="H213" s="15" t="s">
        <v>1451</v>
      </c>
      <c r="I213" s="15" t="s">
        <v>96</v>
      </c>
      <c r="J213" s="7" t="str">
        <f>HYPERLINK("https://www.codechef.com/problems/MINNOTES", "https://www.codechef.com/problems/MINNOTES")</f>
        <v>https://www.codechef.com/problems/MINNOTES</v>
      </c>
      <c r="K213" s="15"/>
      <c r="L213" s="15" t="s">
        <v>1452</v>
      </c>
      <c r="M213" s="15"/>
      <c r="N213" s="15" t="s">
        <v>50</v>
      </c>
      <c r="O213" s="15" t="s">
        <v>51</v>
      </c>
    </row>
    <row r="214" spans="1:15">
      <c r="A214" s="14" t="s">
        <v>10</v>
      </c>
      <c r="B214" s="14" t="s">
        <v>1446</v>
      </c>
      <c r="C214" s="14" t="s">
        <v>1447</v>
      </c>
      <c r="D214" s="14" t="s">
        <v>1448</v>
      </c>
      <c r="E214" s="14">
        <v>7</v>
      </c>
      <c r="F214" s="14" t="s">
        <v>675</v>
      </c>
      <c r="G214" s="14" t="s">
        <v>676</v>
      </c>
      <c r="H214" s="14"/>
      <c r="I214" s="14" t="s">
        <v>96</v>
      </c>
      <c r="J214" s="11" t="str">
        <f>HYPERLINK("https://www.codechef.com/problems/PREFPRO3", "https://www.codechef.com/problems/PREFPRO3")</f>
        <v>https://www.codechef.com/problems/PREFPRO3</v>
      </c>
      <c r="K214" s="14"/>
      <c r="L214" s="14"/>
      <c r="M214" s="14"/>
      <c r="N214" s="14" t="s">
        <v>50</v>
      </c>
      <c r="O214" s="14" t="s">
        <v>51</v>
      </c>
    </row>
    <row r="215" spans="1:15">
      <c r="A215" s="15" t="s">
        <v>10</v>
      </c>
      <c r="B215" s="15" t="s">
        <v>1446</v>
      </c>
      <c r="C215" s="15" t="s">
        <v>1447</v>
      </c>
      <c r="D215" s="15" t="s">
        <v>1448</v>
      </c>
      <c r="E215" s="15">
        <v>8</v>
      </c>
      <c r="F215" s="15" t="s">
        <v>1453</v>
      </c>
      <c r="G215" s="15" t="s">
        <v>1454</v>
      </c>
      <c r="H215" s="15" t="s">
        <v>327</v>
      </c>
      <c r="I215" s="15" t="s">
        <v>49</v>
      </c>
      <c r="J215" s="7" t="str">
        <f>HYPERLINK("https://www.codechef.com/problems/PREFPRO4", "https://www.codechef.com/problems/PREFPRO4")</f>
        <v>https://www.codechef.com/problems/PREFPRO4</v>
      </c>
      <c r="K215" s="15"/>
      <c r="L215" s="15"/>
      <c r="M215" s="15"/>
      <c r="N215" s="15" t="s">
        <v>50</v>
      </c>
      <c r="O215" s="15" t="s">
        <v>51</v>
      </c>
    </row>
    <row r="216" spans="1:15">
      <c r="A216" s="14" t="s">
        <v>10</v>
      </c>
      <c r="B216" s="14" t="s">
        <v>1446</v>
      </c>
      <c r="C216" s="14" t="s">
        <v>1447</v>
      </c>
      <c r="D216" s="14" t="s">
        <v>1448</v>
      </c>
      <c r="E216" s="14">
        <v>9</v>
      </c>
      <c r="F216" s="14" t="s">
        <v>1455</v>
      </c>
      <c r="G216" s="14" t="s">
        <v>1456</v>
      </c>
      <c r="H216" s="14" t="s">
        <v>1457</v>
      </c>
      <c r="I216" s="14" t="s">
        <v>96</v>
      </c>
      <c r="J216" s="11" t="str">
        <f>HYPERLINK("https://www.codechef.com/problems/RECTQUER", "https://www.codechef.com/problems/RECTQUER")</f>
        <v>https://www.codechef.com/problems/RECTQUER</v>
      </c>
      <c r="K216" s="14"/>
      <c r="L216" s="14"/>
      <c r="M216" s="14"/>
      <c r="N216" s="14" t="s">
        <v>50</v>
      </c>
      <c r="O216" s="14" t="s">
        <v>51</v>
      </c>
    </row>
    <row r="217" spans="1:15">
      <c r="A217" s="15" t="s">
        <v>10</v>
      </c>
      <c r="B217" s="15" t="s">
        <v>1446</v>
      </c>
      <c r="C217" s="15" t="s">
        <v>1447</v>
      </c>
      <c r="D217" s="15" t="s">
        <v>1448</v>
      </c>
      <c r="E217" s="15">
        <v>10</v>
      </c>
      <c r="F217" s="15" t="s">
        <v>1458</v>
      </c>
      <c r="G217" s="15" t="s">
        <v>1459</v>
      </c>
      <c r="H217" s="15" t="s">
        <v>706</v>
      </c>
      <c r="I217" s="15" t="s">
        <v>96</v>
      </c>
      <c r="J217" s="7" t="str">
        <f>HYPERLINK("https://www.codechef.com/problems/KLXOR", "https://www.codechef.com/problems/KLXOR")</f>
        <v>https://www.codechef.com/problems/KLXOR</v>
      </c>
      <c r="K217" s="15"/>
      <c r="L217" s="15" t="s">
        <v>1460</v>
      </c>
      <c r="M217" s="15"/>
      <c r="N217" s="15" t="s">
        <v>50</v>
      </c>
      <c r="O217" s="15" t="s">
        <v>51</v>
      </c>
    </row>
    <row r="218" spans="1:15">
      <c r="A218" s="14" t="s">
        <v>10</v>
      </c>
      <c r="B218" s="14" t="s">
        <v>1446</v>
      </c>
      <c r="C218" s="14" t="s">
        <v>1447</v>
      </c>
      <c r="D218" s="14" t="s">
        <v>1448</v>
      </c>
      <c r="E218" s="14">
        <v>11</v>
      </c>
      <c r="F218" s="14" t="s">
        <v>1461</v>
      </c>
      <c r="G218" s="14" t="s">
        <v>1462</v>
      </c>
      <c r="H218" s="14" t="s">
        <v>1463</v>
      </c>
      <c r="I218" s="14" t="s">
        <v>96</v>
      </c>
      <c r="J218" s="11" t="str">
        <f>HYPERLINK("https://www.codechef.com/problems/BIN_OD", "https://www.codechef.com/problems/BIN_OD")</f>
        <v>https://www.codechef.com/problems/BIN_OD</v>
      </c>
      <c r="K218" s="14"/>
      <c r="L218" s="14" t="s">
        <v>1464</v>
      </c>
      <c r="M218" s="14"/>
      <c r="N218" s="14" t="s">
        <v>50</v>
      </c>
      <c r="O218" s="14" t="s">
        <v>51</v>
      </c>
    </row>
    <row r="219" spans="1:15">
      <c r="A219" s="15" t="s">
        <v>10</v>
      </c>
      <c r="B219" s="15" t="s">
        <v>1446</v>
      </c>
      <c r="C219" s="15" t="s">
        <v>1447</v>
      </c>
      <c r="D219" s="15" t="s">
        <v>1448</v>
      </c>
      <c r="E219" s="15">
        <v>12</v>
      </c>
      <c r="F219" s="15" t="s">
        <v>1465</v>
      </c>
      <c r="G219" s="15" t="s">
        <v>1466</v>
      </c>
      <c r="H219" s="15" t="s">
        <v>1467</v>
      </c>
      <c r="I219" s="15" t="s">
        <v>96</v>
      </c>
      <c r="J219" s="7" t="str">
        <f>HYPERLINK("https://www.codechef.com/problems/XORGAND", "https://www.codechef.com/problems/XORGAND")</f>
        <v>https://www.codechef.com/problems/XORGAND</v>
      </c>
      <c r="K219" s="15"/>
      <c r="L219" s="15"/>
      <c r="M219" s="15"/>
      <c r="N219" s="15" t="s">
        <v>50</v>
      </c>
      <c r="O219" s="15" t="s">
        <v>51</v>
      </c>
    </row>
    <row r="220" spans="1:15">
      <c r="A220" s="14" t="s">
        <v>10</v>
      </c>
      <c r="B220" s="14" t="s">
        <v>1446</v>
      </c>
      <c r="C220" s="14" t="s">
        <v>1447</v>
      </c>
      <c r="D220" s="14" t="s">
        <v>1448</v>
      </c>
      <c r="E220" s="14">
        <v>13</v>
      </c>
      <c r="F220" s="14" t="s">
        <v>587</v>
      </c>
      <c r="G220" s="14" t="s">
        <v>588</v>
      </c>
      <c r="H220" s="14" t="s">
        <v>589</v>
      </c>
      <c r="I220" s="14" t="s">
        <v>96</v>
      </c>
      <c r="J220" s="11" t="str">
        <f>HYPERLINK("https://www.codechef.com/problems/SEGFAULT", "https://www.codechef.com/problems/SEGFAULT")</f>
        <v>https://www.codechef.com/problems/SEGFAULT</v>
      </c>
      <c r="K220" s="14"/>
      <c r="L220" s="14"/>
      <c r="M220" s="14"/>
      <c r="N220" s="14" t="s">
        <v>50</v>
      </c>
      <c r="O220" s="14" t="s">
        <v>51</v>
      </c>
    </row>
    <row r="221" spans="1:15">
      <c r="A221" s="15" t="s">
        <v>10</v>
      </c>
      <c r="B221" s="15" t="s">
        <v>1446</v>
      </c>
      <c r="C221" s="15" t="s">
        <v>1447</v>
      </c>
      <c r="D221" s="15" t="s">
        <v>1448</v>
      </c>
      <c r="E221" s="15">
        <v>14</v>
      </c>
      <c r="F221" s="15" t="s">
        <v>677</v>
      </c>
      <c r="G221" s="15" t="s">
        <v>678</v>
      </c>
      <c r="H221" s="15" t="s">
        <v>679</v>
      </c>
      <c r="I221" s="15" t="s">
        <v>96</v>
      </c>
      <c r="J221" s="7" t="str">
        <f>HYPERLINK("https://www.codechef.com/problems/TRIPLETMIN", "https://www.codechef.com/problems/TRIPLETMIN")</f>
        <v>https://www.codechef.com/problems/TRIPLETMIN</v>
      </c>
      <c r="K221" s="15"/>
      <c r="L221" s="15"/>
      <c r="M221" s="15"/>
      <c r="N221" s="15" t="s">
        <v>50</v>
      </c>
      <c r="O221" s="15" t="s">
        <v>51</v>
      </c>
    </row>
    <row r="222" spans="1:15">
      <c r="A222" s="14" t="s">
        <v>10</v>
      </c>
      <c r="B222" s="14" t="s">
        <v>1468</v>
      </c>
      <c r="C222" s="14" t="s">
        <v>1469</v>
      </c>
      <c r="D222" s="14" t="s">
        <v>1470</v>
      </c>
      <c r="E222" s="14">
        <v>1</v>
      </c>
      <c r="F222" s="14" t="s">
        <v>688</v>
      </c>
      <c r="G222" s="14" t="s">
        <v>689</v>
      </c>
      <c r="H222" s="14"/>
      <c r="I222" s="14" t="s">
        <v>322</v>
      </c>
      <c r="J222" s="11" t="str">
        <f>HYPERLINK("https://www.codechef.com/problems/THREESUM", "https://www.codechef.com/problems/THREESUM")</f>
        <v>https://www.codechef.com/problems/THREESUM</v>
      </c>
      <c r="K222" s="14"/>
      <c r="L222" s="14"/>
      <c r="M222" s="14"/>
      <c r="N222" s="14" t="s">
        <v>50</v>
      </c>
      <c r="O222" s="14" t="s">
        <v>51</v>
      </c>
    </row>
    <row r="223" spans="1:15">
      <c r="A223" s="15" t="s">
        <v>10</v>
      </c>
      <c r="B223" s="15" t="s">
        <v>1468</v>
      </c>
      <c r="C223" s="15" t="s">
        <v>1469</v>
      </c>
      <c r="D223" s="15" t="s">
        <v>1470</v>
      </c>
      <c r="E223" s="15">
        <v>2</v>
      </c>
      <c r="F223" s="15" t="s">
        <v>953</v>
      </c>
      <c r="G223" s="15" t="s">
        <v>954</v>
      </c>
      <c r="H223" s="15"/>
      <c r="I223" s="15" t="s">
        <v>96</v>
      </c>
      <c r="J223" s="7" t="str">
        <f>HYPERLINK("https://www.codechef.com/problems/PREP27", "https://www.codechef.com/problems/PREP27")</f>
        <v>https://www.codechef.com/problems/PREP27</v>
      </c>
      <c r="K223" s="15"/>
      <c r="L223" s="15"/>
      <c r="M223" s="15"/>
      <c r="N223" s="15" t="s">
        <v>50</v>
      </c>
      <c r="O223" s="15" t="s">
        <v>51</v>
      </c>
    </row>
    <row r="224" spans="1:15">
      <c r="A224" s="14" t="s">
        <v>10</v>
      </c>
      <c r="B224" s="14" t="s">
        <v>1468</v>
      </c>
      <c r="C224" s="14" t="s">
        <v>1469</v>
      </c>
      <c r="D224" s="14" t="s">
        <v>1470</v>
      </c>
      <c r="E224" s="14">
        <v>3</v>
      </c>
      <c r="F224" s="14" t="s">
        <v>857</v>
      </c>
      <c r="G224" s="14" t="s">
        <v>858</v>
      </c>
      <c r="H224" s="14"/>
      <c r="I224" s="14" t="s">
        <v>322</v>
      </c>
      <c r="J224" s="11" t="str">
        <f>HYPERLINK("https://www.codechef.com/problems/MAXPROSUBARR", "https://www.codechef.com/problems/MAXPROSUBARR")</f>
        <v>https://www.codechef.com/problems/MAXPROSUBARR</v>
      </c>
      <c r="K224" s="14"/>
      <c r="L224" s="14"/>
      <c r="M224" s="14"/>
      <c r="N224" s="14" t="s">
        <v>50</v>
      </c>
      <c r="O224" s="14" t="s">
        <v>51</v>
      </c>
    </row>
    <row r="225" spans="1:15">
      <c r="A225" s="15" t="s">
        <v>10</v>
      </c>
      <c r="B225" s="15" t="s">
        <v>1468</v>
      </c>
      <c r="C225" s="15" t="s">
        <v>1469</v>
      </c>
      <c r="D225" s="15" t="s">
        <v>1470</v>
      </c>
      <c r="E225" s="15">
        <v>4</v>
      </c>
      <c r="F225" s="15" t="s">
        <v>926</v>
      </c>
      <c r="G225" s="15" t="s">
        <v>927</v>
      </c>
      <c r="H225" s="15" t="s">
        <v>928</v>
      </c>
      <c r="I225" s="15" t="s">
        <v>96</v>
      </c>
      <c r="J225" s="7" t="str">
        <f>HYPERLINK("https://www.codechef.com/problems/MAXSUBARR", "https://www.codechef.com/problems/MAXSUBARR")</f>
        <v>https://www.codechef.com/problems/MAXSUBARR</v>
      </c>
      <c r="K225" s="15"/>
      <c r="L225" s="15" t="s">
        <v>929</v>
      </c>
      <c r="M225" s="15"/>
      <c r="N225" s="15" t="s">
        <v>50</v>
      </c>
      <c r="O225" s="15" t="s">
        <v>51</v>
      </c>
    </row>
    <row r="226" spans="1:15">
      <c r="A226" s="14" t="s">
        <v>10</v>
      </c>
      <c r="B226" s="14" t="s">
        <v>1468</v>
      </c>
      <c r="C226" s="14" t="s">
        <v>1469</v>
      </c>
      <c r="D226" s="14" t="s">
        <v>1470</v>
      </c>
      <c r="E226" s="14">
        <v>5</v>
      </c>
      <c r="F226" s="14" t="s">
        <v>1471</v>
      </c>
      <c r="G226" s="14" t="s">
        <v>1472</v>
      </c>
      <c r="H226" s="14"/>
      <c r="I226" s="14" t="s">
        <v>96</v>
      </c>
      <c r="J226" s="11" t="str">
        <f>HYPERLINK("https://www.codechef.com/problems/DSCPPAS262", "https://www.codechef.com/problems/DSCPPAS262")</f>
        <v>https://www.codechef.com/problems/DSCPPAS262</v>
      </c>
      <c r="K226" s="14"/>
      <c r="L226" s="14"/>
      <c r="M226" s="14"/>
      <c r="N226" s="14" t="s">
        <v>50</v>
      </c>
      <c r="O226" s="14" t="s">
        <v>51</v>
      </c>
    </row>
    <row r="227" spans="1:15">
      <c r="A227" s="15" t="s">
        <v>10</v>
      </c>
      <c r="B227" s="15" t="s">
        <v>1468</v>
      </c>
      <c r="C227" s="15" t="s">
        <v>1469</v>
      </c>
      <c r="D227" s="15" t="s">
        <v>1470</v>
      </c>
      <c r="E227" s="15">
        <v>6</v>
      </c>
      <c r="F227" s="15" t="s">
        <v>613</v>
      </c>
      <c r="G227" s="15" t="s">
        <v>614</v>
      </c>
      <c r="H227" s="15"/>
      <c r="I227" s="15" t="s">
        <v>96</v>
      </c>
      <c r="J227" s="7" t="str">
        <f>HYPERLINK("https://www.codechef.com/problems/MERGEINTER", "https://www.codechef.com/problems/MERGEINTER")</f>
        <v>https://www.codechef.com/problems/MERGEINTER</v>
      </c>
      <c r="K227" s="15"/>
      <c r="L227" s="15"/>
      <c r="M227" s="15"/>
      <c r="N227" s="15" t="s">
        <v>50</v>
      </c>
      <c r="O227" s="15" t="s">
        <v>51</v>
      </c>
    </row>
    <row r="228" spans="1:15">
      <c r="A228" s="14" t="s">
        <v>10</v>
      </c>
      <c r="B228" s="14" t="s">
        <v>1468</v>
      </c>
      <c r="C228" s="14" t="s">
        <v>1469</v>
      </c>
      <c r="D228" s="14" t="s">
        <v>1470</v>
      </c>
      <c r="E228" s="14">
        <v>7</v>
      </c>
      <c r="F228" s="14" t="s">
        <v>930</v>
      </c>
      <c r="G228" s="14" t="s">
        <v>931</v>
      </c>
      <c r="H228" s="14"/>
      <c r="I228" s="14" t="s">
        <v>322</v>
      </c>
      <c r="J228" s="11" t="str">
        <f>HYPERLINK("https://www.codechef.com/problems/NEXTPERM", "https://www.codechef.com/problems/NEXTPERM")</f>
        <v>https://www.codechef.com/problems/NEXTPERM</v>
      </c>
      <c r="K228" s="14"/>
      <c r="L228" s="14"/>
      <c r="M228" s="14"/>
      <c r="N228" s="14" t="s">
        <v>50</v>
      </c>
      <c r="O228" s="14" t="s">
        <v>51</v>
      </c>
    </row>
    <row r="229" spans="1:15">
      <c r="A229" s="15" t="s">
        <v>10</v>
      </c>
      <c r="B229" s="15" t="s">
        <v>1468</v>
      </c>
      <c r="C229" s="15" t="s">
        <v>1469</v>
      </c>
      <c r="D229" s="15" t="s">
        <v>1470</v>
      </c>
      <c r="E229" s="15">
        <v>8</v>
      </c>
      <c r="F229" s="15" t="s">
        <v>818</v>
      </c>
      <c r="G229" s="15" t="s">
        <v>819</v>
      </c>
      <c r="H229" s="15"/>
      <c r="I229" s="15" t="s">
        <v>96</v>
      </c>
      <c r="J229" s="7" t="str">
        <f>HYPERLINK("https://www.codechef.com/problems/MISSNDREPEAT", "https://www.codechef.com/problems/MISSNDREPEAT")</f>
        <v>https://www.codechef.com/problems/MISSNDREPEAT</v>
      </c>
      <c r="K229" s="15"/>
      <c r="L229" s="15"/>
      <c r="M229" s="15"/>
      <c r="N229" s="15" t="s">
        <v>50</v>
      </c>
      <c r="O229" s="15" t="s">
        <v>51</v>
      </c>
    </row>
    <row r="230" spans="1:15">
      <c r="A230" s="14" t="s">
        <v>10</v>
      </c>
      <c r="B230" s="14" t="s">
        <v>1468</v>
      </c>
      <c r="C230" s="14" t="s">
        <v>1469</v>
      </c>
      <c r="D230" s="14" t="s">
        <v>1470</v>
      </c>
      <c r="E230" s="14">
        <v>9</v>
      </c>
      <c r="F230" s="14" t="s">
        <v>686</v>
      </c>
      <c r="G230" s="14" t="s">
        <v>687</v>
      </c>
      <c r="H230" s="14"/>
      <c r="I230" s="14" t="s">
        <v>322</v>
      </c>
      <c r="J230" s="11" t="str">
        <f>HYPERLINK("https://www.codechef.com/problems/CNTINVERSION", "https://www.codechef.com/problems/CNTINVERSION")</f>
        <v>https://www.codechef.com/problems/CNTINVERSION</v>
      </c>
      <c r="K230" s="14"/>
      <c r="L230" s="14"/>
      <c r="M230" s="14"/>
      <c r="N230" s="14" t="s">
        <v>50</v>
      </c>
      <c r="O230" s="14" t="s">
        <v>51</v>
      </c>
    </row>
    <row r="231" spans="1:15">
      <c r="A231" s="15" t="s">
        <v>10</v>
      </c>
      <c r="B231" s="15" t="s">
        <v>1468</v>
      </c>
      <c r="C231" s="15" t="s">
        <v>1469</v>
      </c>
      <c r="D231" s="15" t="s">
        <v>1470</v>
      </c>
      <c r="E231" s="15">
        <v>10</v>
      </c>
      <c r="F231" s="15" t="s">
        <v>855</v>
      </c>
      <c r="G231" s="15" t="s">
        <v>856</v>
      </c>
      <c r="H231" s="15"/>
      <c r="I231" s="15" t="s">
        <v>322</v>
      </c>
      <c r="J231" s="7" t="str">
        <f>HYPERLINK("https://www.codechef.com/problems/REVERSEPAIRS", "https://www.codechef.com/problems/REVERSEPAIRS")</f>
        <v>https://www.codechef.com/problems/REVERSEPAIRS</v>
      </c>
      <c r="K231" s="15"/>
      <c r="L231" s="15"/>
      <c r="M231" s="15"/>
      <c r="N231" s="15" t="s">
        <v>50</v>
      </c>
      <c r="O231" s="15" t="s">
        <v>51</v>
      </c>
    </row>
    <row r="232" spans="1:15">
      <c r="A232" s="14" t="s">
        <v>10</v>
      </c>
      <c r="B232" s="14" t="s">
        <v>1468</v>
      </c>
      <c r="C232" s="14" t="s">
        <v>1469</v>
      </c>
      <c r="D232" s="14" t="s">
        <v>1470</v>
      </c>
      <c r="E232" s="14">
        <v>11</v>
      </c>
      <c r="F232" s="14" t="s">
        <v>1473</v>
      </c>
      <c r="G232" s="14" t="s">
        <v>1474</v>
      </c>
      <c r="H232" s="14" t="s">
        <v>1475</v>
      </c>
      <c r="I232" s="14" t="s">
        <v>96</v>
      </c>
      <c r="J232" s="11" t="str">
        <f>HYPERLINK("https://www.codechef.com/problems/MINVOTE", "https://www.codechef.com/problems/MINVOTE")</f>
        <v>https://www.codechef.com/problems/MINVOTE</v>
      </c>
      <c r="K232" s="14"/>
      <c r="L232" s="14"/>
      <c r="M232" s="14"/>
      <c r="N232" s="14" t="s">
        <v>50</v>
      </c>
      <c r="O232" s="14" t="s">
        <v>51</v>
      </c>
    </row>
    <row r="233" spans="1:15">
      <c r="A233" s="15" t="s">
        <v>10</v>
      </c>
      <c r="B233" s="15" t="s">
        <v>1468</v>
      </c>
      <c r="C233" s="15" t="s">
        <v>1469</v>
      </c>
      <c r="D233" s="15" t="s">
        <v>1470</v>
      </c>
      <c r="E233" s="15">
        <v>12</v>
      </c>
      <c r="F233" s="15" t="s">
        <v>1476</v>
      </c>
      <c r="G233" s="15" t="s">
        <v>1477</v>
      </c>
      <c r="H233" s="15" t="s">
        <v>1478</v>
      </c>
      <c r="I233" s="15" t="s">
        <v>96</v>
      </c>
      <c r="J233" s="7" t="str">
        <f>HYPERLINK("https://www.codechef.com/problems/SUMQ", "https://www.codechef.com/problems/SUMQ")</f>
        <v>https://www.codechef.com/problems/SUMQ</v>
      </c>
      <c r="K233" s="15"/>
      <c r="L233" s="15"/>
      <c r="M233" s="15"/>
      <c r="N233" s="15" t="s">
        <v>50</v>
      </c>
      <c r="O233" s="15" t="s">
        <v>51</v>
      </c>
    </row>
    <row r="234" spans="1:15">
      <c r="A234" s="14" t="s">
        <v>10</v>
      </c>
      <c r="B234" s="14" t="s">
        <v>1468</v>
      </c>
      <c r="C234" s="14" t="s">
        <v>1469</v>
      </c>
      <c r="D234" s="14" t="s">
        <v>1470</v>
      </c>
      <c r="E234" s="14">
        <v>13</v>
      </c>
      <c r="F234" s="14" t="s">
        <v>1449</v>
      </c>
      <c r="G234" s="14" t="s">
        <v>1450</v>
      </c>
      <c r="H234" s="14" t="s">
        <v>1451</v>
      </c>
      <c r="I234" s="14" t="s">
        <v>96</v>
      </c>
      <c r="J234" s="11" t="str">
        <f>HYPERLINK("https://www.codechef.com/problems/MINNOTES", "https://www.codechef.com/problems/MINNOTES")</f>
        <v>https://www.codechef.com/problems/MINNOTES</v>
      </c>
      <c r="K234" s="14"/>
      <c r="L234" s="14" t="s">
        <v>1452</v>
      </c>
      <c r="M234" s="14"/>
      <c r="N234" s="14" t="s">
        <v>50</v>
      </c>
      <c r="O234" s="14" t="s">
        <v>51</v>
      </c>
    </row>
    <row r="235" spans="1:15">
      <c r="A235" s="15" t="s">
        <v>10</v>
      </c>
      <c r="B235" s="15" t="s">
        <v>1468</v>
      </c>
      <c r="C235" s="15" t="s">
        <v>1469</v>
      </c>
      <c r="D235" s="15" t="s">
        <v>1470</v>
      </c>
      <c r="E235" s="15">
        <v>14</v>
      </c>
      <c r="F235" s="15" t="s">
        <v>675</v>
      </c>
      <c r="G235" s="15" t="s">
        <v>676</v>
      </c>
      <c r="H235" s="15"/>
      <c r="I235" s="15" t="s">
        <v>96</v>
      </c>
      <c r="J235" s="7" t="str">
        <f>HYPERLINK("https://www.codechef.com/problems/PREFPRO3", "https://www.codechef.com/problems/PREFPRO3")</f>
        <v>https://www.codechef.com/problems/PREFPRO3</v>
      </c>
      <c r="K235" s="15"/>
      <c r="L235" s="15"/>
      <c r="M235" s="15"/>
      <c r="N235" s="15" t="s">
        <v>50</v>
      </c>
      <c r="O235" s="15" t="s">
        <v>51</v>
      </c>
    </row>
    <row r="236" spans="1:15">
      <c r="A236" s="14" t="s">
        <v>10</v>
      </c>
      <c r="B236" s="14" t="s">
        <v>1468</v>
      </c>
      <c r="C236" s="14" t="s">
        <v>1469</v>
      </c>
      <c r="D236" s="14" t="s">
        <v>1470</v>
      </c>
      <c r="E236" s="14">
        <v>15</v>
      </c>
      <c r="F236" s="14" t="s">
        <v>1453</v>
      </c>
      <c r="G236" s="14" t="s">
        <v>1454</v>
      </c>
      <c r="H236" s="14" t="s">
        <v>327</v>
      </c>
      <c r="I236" s="14" t="s">
        <v>49</v>
      </c>
      <c r="J236" s="11" t="str">
        <f>HYPERLINK("https://www.codechef.com/problems/PREFPRO4", "https://www.codechef.com/problems/PREFPRO4")</f>
        <v>https://www.codechef.com/problems/PREFPRO4</v>
      </c>
      <c r="K236" s="14"/>
      <c r="L236" s="14"/>
      <c r="M236" s="14"/>
      <c r="N236" s="14" t="s">
        <v>50</v>
      </c>
      <c r="O236" s="14" t="s">
        <v>51</v>
      </c>
    </row>
    <row r="237" spans="1:15">
      <c r="A237" s="15" t="s">
        <v>10</v>
      </c>
      <c r="B237" s="15" t="s">
        <v>1468</v>
      </c>
      <c r="C237" s="15" t="s">
        <v>1469</v>
      </c>
      <c r="D237" s="15" t="s">
        <v>1470</v>
      </c>
      <c r="E237" s="15">
        <v>16</v>
      </c>
      <c r="F237" s="15" t="s">
        <v>1455</v>
      </c>
      <c r="G237" s="15" t="s">
        <v>1456</v>
      </c>
      <c r="H237" s="15" t="s">
        <v>1457</v>
      </c>
      <c r="I237" s="15" t="s">
        <v>96</v>
      </c>
      <c r="J237" s="7" t="str">
        <f>HYPERLINK("https://www.codechef.com/problems/RECTQUER", "https://www.codechef.com/problems/RECTQUER")</f>
        <v>https://www.codechef.com/problems/RECTQUER</v>
      </c>
      <c r="K237" s="15"/>
      <c r="L237" s="15"/>
      <c r="M237" s="15"/>
      <c r="N237" s="15" t="s">
        <v>50</v>
      </c>
      <c r="O237" s="15" t="s">
        <v>51</v>
      </c>
    </row>
    <row r="238" spans="1:15">
      <c r="A238" s="14" t="s">
        <v>10</v>
      </c>
      <c r="B238" s="14" t="s">
        <v>1468</v>
      </c>
      <c r="C238" s="14" t="s">
        <v>1469</v>
      </c>
      <c r="D238" s="14" t="s">
        <v>1470</v>
      </c>
      <c r="E238" s="14">
        <v>17</v>
      </c>
      <c r="F238" s="14" t="s">
        <v>587</v>
      </c>
      <c r="G238" s="14" t="s">
        <v>588</v>
      </c>
      <c r="H238" s="14" t="s">
        <v>589</v>
      </c>
      <c r="I238" s="14" t="s">
        <v>96</v>
      </c>
      <c r="J238" s="11" t="str">
        <f>HYPERLINK("https://www.codechef.com/problems/SEGFAULT", "https://www.codechef.com/problems/SEGFAULT")</f>
        <v>https://www.codechef.com/problems/SEGFAULT</v>
      </c>
      <c r="K238" s="14"/>
      <c r="L238" s="14"/>
      <c r="M238" s="14"/>
      <c r="N238" s="14" t="s">
        <v>50</v>
      </c>
      <c r="O238" s="14" t="s">
        <v>51</v>
      </c>
    </row>
    <row r="239" spans="1:15">
      <c r="A239" s="15" t="s">
        <v>10</v>
      </c>
      <c r="B239" s="15" t="s">
        <v>1468</v>
      </c>
      <c r="C239" s="15" t="s">
        <v>1469</v>
      </c>
      <c r="D239" s="15" t="s">
        <v>1470</v>
      </c>
      <c r="E239" s="15">
        <v>18</v>
      </c>
      <c r="F239" s="15" t="s">
        <v>643</v>
      </c>
      <c r="G239" s="15" t="s">
        <v>644</v>
      </c>
      <c r="H239" s="15"/>
      <c r="I239" s="15" t="s">
        <v>322</v>
      </c>
      <c r="J239" s="7" t="str">
        <f>HYPERLINK("https://www.codechef.com/problems/CONSECUTIVE", "https://www.codechef.com/problems/CONSECUTIVE")</f>
        <v>https://www.codechef.com/problems/CONSECUTIVE</v>
      </c>
      <c r="K239" s="15"/>
      <c r="L239" s="15"/>
      <c r="M239" s="15"/>
      <c r="N239" s="15" t="s">
        <v>50</v>
      </c>
      <c r="O239" s="15" t="s">
        <v>51</v>
      </c>
    </row>
    <row r="240" spans="1:15">
      <c r="A240" s="14" t="s">
        <v>10</v>
      </c>
      <c r="B240" s="14" t="s">
        <v>1468</v>
      </c>
      <c r="C240" s="14" t="s">
        <v>1469</v>
      </c>
      <c r="D240" s="14" t="s">
        <v>1470</v>
      </c>
      <c r="E240" s="14">
        <v>19</v>
      </c>
      <c r="F240" s="14" t="s">
        <v>864</v>
      </c>
      <c r="G240" s="14" t="s">
        <v>865</v>
      </c>
      <c r="H240" s="14"/>
      <c r="I240" s="14" t="s">
        <v>322</v>
      </c>
      <c r="J240" s="11" t="str">
        <f>HYPERLINK("https://www.codechef.com/problems/PRINTSUBARAY", "https://www.codechef.com/problems/PRINTSUBARAY")</f>
        <v>https://www.codechef.com/problems/PRINTSUBARAY</v>
      </c>
      <c r="K240" s="14"/>
      <c r="L240" s="14"/>
      <c r="M240" s="14"/>
      <c r="N240" s="14" t="s">
        <v>50</v>
      </c>
      <c r="O240" s="14" t="s">
        <v>51</v>
      </c>
    </row>
    <row r="241" spans="1:15">
      <c r="A241" s="15" t="s">
        <v>10</v>
      </c>
      <c r="B241" s="15" t="s">
        <v>1468</v>
      </c>
      <c r="C241" s="15" t="s">
        <v>1469</v>
      </c>
      <c r="D241" s="15" t="s">
        <v>1470</v>
      </c>
      <c r="E241" s="15">
        <v>20</v>
      </c>
      <c r="F241" s="15" t="s">
        <v>468</v>
      </c>
      <c r="G241" s="15" t="s">
        <v>469</v>
      </c>
      <c r="H241" s="15"/>
      <c r="I241" s="15" t="s">
        <v>322</v>
      </c>
      <c r="J241" s="7" t="str">
        <f>HYPERLINK("https://www.codechef.com/problems/MATMAXSQ", "https://www.codechef.com/problems/MATMAXSQ")</f>
        <v>https://www.codechef.com/problems/MATMAXSQ</v>
      </c>
      <c r="K241" s="15"/>
      <c r="L241" s="15"/>
      <c r="M241" s="15"/>
      <c r="N241" s="15" t="s">
        <v>50</v>
      </c>
      <c r="O241" s="15" t="s">
        <v>51</v>
      </c>
    </row>
    <row r="242" spans="1:15">
      <c r="A242" s="14" t="s">
        <v>10</v>
      </c>
      <c r="B242" s="14" t="s">
        <v>1468</v>
      </c>
      <c r="C242" s="14" t="s">
        <v>1469</v>
      </c>
      <c r="D242" s="14" t="s">
        <v>1470</v>
      </c>
      <c r="E242" s="14">
        <v>21</v>
      </c>
      <c r="F242" s="14" t="s">
        <v>474</v>
      </c>
      <c r="G242" s="14" t="s">
        <v>475</v>
      </c>
      <c r="H242" s="14"/>
      <c r="I242" s="14" t="s">
        <v>322</v>
      </c>
      <c r="J242" s="11" t="str">
        <f>HYPERLINK("https://www.codechef.com/problems/MATROTAPPLE", "https://www.codechef.com/problems/MATROTAPPLE")</f>
        <v>https://www.codechef.com/problems/MATROTAPPLE</v>
      </c>
      <c r="K242" s="14"/>
      <c r="L242" s="14" t="s">
        <v>476</v>
      </c>
      <c r="M242" s="14"/>
      <c r="N242" s="14" t="s">
        <v>50</v>
      </c>
      <c r="O242" s="14" t="s">
        <v>51</v>
      </c>
    </row>
    <row r="243" spans="1:15">
      <c r="A243" s="15" t="s">
        <v>10</v>
      </c>
      <c r="B243" s="15" t="s">
        <v>1468</v>
      </c>
      <c r="C243" s="15" t="s">
        <v>1469</v>
      </c>
      <c r="D243" s="15" t="s">
        <v>1470</v>
      </c>
      <c r="E243" s="15">
        <v>22</v>
      </c>
      <c r="F243" s="15" t="s">
        <v>479</v>
      </c>
      <c r="G243" s="15" t="s">
        <v>480</v>
      </c>
      <c r="H243" s="15"/>
      <c r="I243" s="15" t="s">
        <v>322</v>
      </c>
      <c r="J243" s="7" t="str">
        <f>HYPERLINK("https://www.codechef.com/problems/MATNEARESTO", "https://www.codechef.com/problems/MATNEARESTO")</f>
        <v>https://www.codechef.com/problems/MATNEARESTO</v>
      </c>
      <c r="K243" s="15"/>
      <c r="L243" s="15"/>
      <c r="M243" s="15"/>
      <c r="N243" s="15" t="s">
        <v>50</v>
      </c>
      <c r="O243" s="15" t="s">
        <v>51</v>
      </c>
    </row>
    <row r="244" spans="1:15">
      <c r="A244" s="14" t="s">
        <v>10</v>
      </c>
      <c r="B244" s="14" t="s">
        <v>1468</v>
      </c>
      <c r="C244" s="14" t="s">
        <v>1469</v>
      </c>
      <c r="D244" s="14" t="s">
        <v>1470</v>
      </c>
      <c r="E244" s="14">
        <v>23</v>
      </c>
      <c r="F244" s="14" t="s">
        <v>481</v>
      </c>
      <c r="G244" s="14" t="s">
        <v>482</v>
      </c>
      <c r="H244" s="14"/>
      <c r="I244" s="14" t="s">
        <v>322</v>
      </c>
      <c r="J244" s="11" t="str">
        <f>HYPERLINK("https://www.codechef.com/problems/MATMEDIAN", "https://www.codechef.com/problems/MATMEDIAN")</f>
        <v>https://www.codechef.com/problems/MATMEDIAN</v>
      </c>
      <c r="K244" s="14"/>
      <c r="L244" s="14"/>
      <c r="M244" s="14"/>
      <c r="N244" s="14" t="s">
        <v>50</v>
      </c>
      <c r="O244" s="14" t="s">
        <v>51</v>
      </c>
    </row>
    <row r="245" spans="1:15">
      <c r="A245" s="15" t="s">
        <v>10</v>
      </c>
      <c r="B245" s="15" t="s">
        <v>1468</v>
      </c>
      <c r="C245" s="15" t="s">
        <v>1469</v>
      </c>
      <c r="D245" s="15" t="s">
        <v>1470</v>
      </c>
      <c r="E245" s="15">
        <v>24</v>
      </c>
      <c r="F245" s="15" t="s">
        <v>1479</v>
      </c>
      <c r="G245" s="15" t="s">
        <v>1480</v>
      </c>
      <c r="H245" s="15" t="s">
        <v>1481</v>
      </c>
      <c r="I245" s="15" t="s">
        <v>96</v>
      </c>
      <c r="J245" s="7" t="str">
        <f>HYPERLINK("https://www.codechef.com/problems/SEACO", "https://www.codechef.com/problems/SEACO")</f>
        <v>https://www.codechef.com/problems/SEACO</v>
      </c>
      <c r="K245" s="15"/>
      <c r="L245" s="15"/>
      <c r="M245" s="15"/>
      <c r="N245" s="15" t="s">
        <v>50</v>
      </c>
      <c r="O245" s="15" t="s">
        <v>51</v>
      </c>
    </row>
    <row r="246" spans="1:15">
      <c r="A246" s="14" t="s">
        <v>10</v>
      </c>
      <c r="B246" s="14" t="s">
        <v>1468</v>
      </c>
      <c r="C246" s="14" t="s">
        <v>1469</v>
      </c>
      <c r="D246" s="14" t="s">
        <v>1470</v>
      </c>
      <c r="E246" s="14">
        <v>25</v>
      </c>
      <c r="F246" s="14" t="s">
        <v>1482</v>
      </c>
      <c r="G246" s="14" t="s">
        <v>1483</v>
      </c>
      <c r="H246" s="14" t="s">
        <v>1484</v>
      </c>
      <c r="I246" s="14" t="s">
        <v>96</v>
      </c>
      <c r="J246" s="11" t="str">
        <f>HYPERLINK("https://www.codechef.com/problems/STRQ", "https://www.codechef.com/problems/STRQ")</f>
        <v>https://www.codechef.com/problems/STRQ</v>
      </c>
      <c r="K246" s="14"/>
      <c r="L246" s="14"/>
      <c r="M246" s="14"/>
      <c r="N246" s="14" t="s">
        <v>50</v>
      </c>
      <c r="O246" s="14" t="s">
        <v>51</v>
      </c>
    </row>
    <row r="247" spans="1:15">
      <c r="A247" s="15" t="s">
        <v>10</v>
      </c>
      <c r="B247" s="15" t="s">
        <v>1468</v>
      </c>
      <c r="C247" s="15" t="s">
        <v>1469</v>
      </c>
      <c r="D247" s="15" t="s">
        <v>1470</v>
      </c>
      <c r="E247" s="15">
        <v>26</v>
      </c>
      <c r="F247" s="15" t="s">
        <v>1485</v>
      </c>
      <c r="G247" s="15" t="s">
        <v>1486</v>
      </c>
      <c r="H247" s="15" t="s">
        <v>1487</v>
      </c>
      <c r="I247" s="15" t="s">
        <v>322</v>
      </c>
      <c r="J247" s="7" t="str">
        <f>HYPERLINK("https://www.codechef.com/problems/MAXREMOV", "https://www.codechef.com/problems/MAXREMOV")</f>
        <v>https://www.codechef.com/problems/MAXREMOV</v>
      </c>
      <c r="K247" s="15"/>
      <c r="L247" s="15" t="s">
        <v>1488</v>
      </c>
      <c r="M247" s="15"/>
      <c r="N247" s="15" t="s">
        <v>50</v>
      </c>
      <c r="O247" s="15" t="s">
        <v>51</v>
      </c>
    </row>
    <row r="248" spans="1:15">
      <c r="A248" s="14" t="s">
        <v>10</v>
      </c>
      <c r="B248" s="14" t="s">
        <v>1468</v>
      </c>
      <c r="C248" s="14" t="s">
        <v>1469</v>
      </c>
      <c r="D248" s="14" t="s">
        <v>1470</v>
      </c>
      <c r="E248" s="14">
        <v>27</v>
      </c>
      <c r="F248" s="14" t="s">
        <v>1489</v>
      </c>
      <c r="G248" s="14" t="s">
        <v>1490</v>
      </c>
      <c r="H248" s="14" t="s">
        <v>1491</v>
      </c>
      <c r="I248" s="14" t="s">
        <v>322</v>
      </c>
      <c r="J248" s="11" t="str">
        <f>HYPERLINK("https://www.codechef.com/problems/AGCY", "https://www.codechef.com/problems/AGCY")</f>
        <v>https://www.codechef.com/problems/AGCY</v>
      </c>
      <c r="K248" s="14"/>
      <c r="L248" s="14" t="s">
        <v>1492</v>
      </c>
      <c r="M248" s="14"/>
      <c r="N248" s="14" t="s">
        <v>50</v>
      </c>
      <c r="O248" s="14" t="s">
        <v>51</v>
      </c>
    </row>
    <row r="249" spans="1:15">
      <c r="A249" s="15" t="s">
        <v>10</v>
      </c>
      <c r="B249" s="15" t="s">
        <v>1468</v>
      </c>
      <c r="C249" s="15" t="s">
        <v>1469</v>
      </c>
      <c r="D249" s="15" t="s">
        <v>1470</v>
      </c>
      <c r="E249" s="15">
        <v>28</v>
      </c>
      <c r="F249" s="15" t="s">
        <v>1493</v>
      </c>
      <c r="G249" s="15" t="s">
        <v>1494</v>
      </c>
      <c r="H249" s="15" t="s">
        <v>1495</v>
      </c>
      <c r="I249" s="15" t="s">
        <v>322</v>
      </c>
      <c r="J249" s="7" t="str">
        <f>HYPERLINK("https://www.codechef.com/problems/CENS20A", "https://www.codechef.com/problems/CENS20A")</f>
        <v>https://www.codechef.com/problems/CENS20A</v>
      </c>
      <c r="K249" s="15"/>
      <c r="L249" s="15" t="s">
        <v>1496</v>
      </c>
      <c r="M249" s="15"/>
      <c r="N249" s="15" t="s">
        <v>50</v>
      </c>
      <c r="O249" s="15" t="s">
        <v>51</v>
      </c>
    </row>
    <row r="250" spans="1:15">
      <c r="A250" s="14" t="s">
        <v>10</v>
      </c>
      <c r="B250" s="14" t="s">
        <v>1468</v>
      </c>
      <c r="C250" s="14" t="s">
        <v>1469</v>
      </c>
      <c r="D250" s="14" t="s">
        <v>1470</v>
      </c>
      <c r="E250" s="14">
        <v>29</v>
      </c>
      <c r="F250" s="14" t="s">
        <v>1497</v>
      </c>
      <c r="G250" s="14" t="s">
        <v>1498</v>
      </c>
      <c r="H250" s="14" t="s">
        <v>1499</v>
      </c>
      <c r="I250" s="14" t="s">
        <v>322</v>
      </c>
      <c r="J250" s="11" t="str">
        <f>HYPERLINK("https://www.codechef.com/problems/SUMOFCUBE", "https://www.codechef.com/problems/SUMOFCUBE")</f>
        <v>https://www.codechef.com/problems/SUMOFCUBE</v>
      </c>
      <c r="K250" s="14"/>
      <c r="L250" s="14"/>
      <c r="M250" s="14"/>
      <c r="N250" s="14" t="s">
        <v>50</v>
      </c>
      <c r="O250" s="14" t="s">
        <v>51</v>
      </c>
    </row>
    <row r="251" spans="1:15">
      <c r="A251" s="15" t="s">
        <v>10</v>
      </c>
      <c r="B251" s="15" t="s">
        <v>1468</v>
      </c>
      <c r="C251" s="15" t="s">
        <v>1469</v>
      </c>
      <c r="D251" s="15" t="s">
        <v>1500</v>
      </c>
      <c r="E251" s="15">
        <v>30</v>
      </c>
      <c r="F251" s="15" t="s">
        <v>1501</v>
      </c>
      <c r="G251" s="15" t="s">
        <v>1502</v>
      </c>
      <c r="H251" s="15" t="s">
        <v>309</v>
      </c>
      <c r="I251" s="15" t="s">
        <v>49</v>
      </c>
      <c r="J251" s="7" t="str">
        <f>HYPERLINK("https://www.codechef.com/problems/SUBSTRINGP", "https://www.codechef.com/problems/SUBSTRINGP")</f>
        <v>https://www.codechef.com/problems/SUBSTRINGP</v>
      </c>
      <c r="K251" s="15"/>
      <c r="L251" s="15"/>
      <c r="M251" s="15"/>
      <c r="N251" s="15" t="s">
        <v>50</v>
      </c>
      <c r="O251" s="15" t="s">
        <v>51</v>
      </c>
    </row>
    <row r="252" spans="1:15">
      <c r="A252" s="14" t="s">
        <v>10</v>
      </c>
      <c r="B252" s="14" t="s">
        <v>1468</v>
      </c>
      <c r="C252" s="14" t="s">
        <v>1469</v>
      </c>
      <c r="D252" s="14" t="s">
        <v>1500</v>
      </c>
      <c r="E252" s="14">
        <v>31</v>
      </c>
      <c r="F252" s="14" t="s">
        <v>1503</v>
      </c>
      <c r="G252" s="14" t="s">
        <v>1504</v>
      </c>
      <c r="H252" s="14"/>
      <c r="I252" s="14" t="s">
        <v>96</v>
      </c>
      <c r="J252" s="11" t="str">
        <f>HYPERLINK("https://www.codechef.com/problems/STRINGMATCH", "https://www.codechef.com/problems/STRINGMATCH")</f>
        <v>https://www.codechef.com/problems/STRINGMATCH</v>
      </c>
      <c r="K252" s="14"/>
      <c r="L252" s="14"/>
      <c r="M252" s="14"/>
      <c r="N252" s="14" t="s">
        <v>50</v>
      </c>
      <c r="O252" s="14" t="s">
        <v>51</v>
      </c>
    </row>
    <row r="253" spans="1:15">
      <c r="A253" s="15" t="s">
        <v>10</v>
      </c>
      <c r="B253" s="15" t="s">
        <v>1468</v>
      </c>
      <c r="C253" s="15" t="s">
        <v>1469</v>
      </c>
      <c r="D253" s="15" t="s">
        <v>1500</v>
      </c>
      <c r="E253" s="15">
        <v>32</v>
      </c>
      <c r="F253" s="15" t="s">
        <v>1505</v>
      </c>
      <c r="G253" s="15" t="s">
        <v>1506</v>
      </c>
      <c r="H253" s="15"/>
      <c r="I253" s="15" t="s">
        <v>96</v>
      </c>
      <c r="J253" s="7" t="str">
        <f>HYPERLINK("https://www.codechef.com/problems/COUNTSAY", "https://www.codechef.com/problems/COUNTSAY")</f>
        <v>https://www.codechef.com/problems/COUNTSAY</v>
      </c>
      <c r="K253" s="15"/>
      <c r="L253" s="15"/>
      <c r="M253" s="15"/>
      <c r="N253" s="15" t="s">
        <v>50</v>
      </c>
      <c r="O253" s="15" t="s">
        <v>51</v>
      </c>
    </row>
    <row r="254" spans="1:15">
      <c r="A254" s="14" t="s">
        <v>10</v>
      </c>
      <c r="B254" s="14" t="s">
        <v>1468</v>
      </c>
      <c r="C254" s="14" t="s">
        <v>1469</v>
      </c>
      <c r="D254" s="14" t="s">
        <v>1500</v>
      </c>
      <c r="E254" s="14">
        <v>33</v>
      </c>
      <c r="F254" s="14" t="s">
        <v>1507</v>
      </c>
      <c r="G254" s="14" t="s">
        <v>1508</v>
      </c>
      <c r="H254" s="14"/>
      <c r="I254" s="14" t="s">
        <v>96</v>
      </c>
      <c r="J254" s="11" t="str">
        <f>HYPERLINK("https://www.codechef.com/problems/ISOMORPHICST", "https://www.codechef.com/problems/ISOMORPHICST")</f>
        <v>https://www.codechef.com/problems/ISOMORPHICST</v>
      </c>
      <c r="K254" s="14"/>
      <c r="L254" s="14"/>
      <c r="M254" s="14"/>
      <c r="N254" s="14" t="s">
        <v>50</v>
      </c>
      <c r="O254" s="14" t="s">
        <v>51</v>
      </c>
    </row>
    <row r="255" spans="1:15">
      <c r="A255" s="15" t="s">
        <v>10</v>
      </c>
      <c r="B255" s="15" t="s">
        <v>1468</v>
      </c>
      <c r="C255" s="15" t="s">
        <v>1469</v>
      </c>
      <c r="D255" s="15" t="s">
        <v>1500</v>
      </c>
      <c r="E255" s="15">
        <v>34</v>
      </c>
      <c r="F255" s="15" t="s">
        <v>1509</v>
      </c>
      <c r="G255" s="15" t="s">
        <v>1510</v>
      </c>
      <c r="H255" s="15"/>
      <c r="I255" s="15" t="s">
        <v>96</v>
      </c>
      <c r="J255" s="7" t="str">
        <f>HYPERLINK("https://www.codechef.com/problems/SUBSTRINGSUM", "https://www.codechef.com/problems/SUBSTRINGSUM")</f>
        <v>https://www.codechef.com/problems/SUBSTRINGSUM</v>
      </c>
      <c r="K255" s="15"/>
      <c r="L255" s="15"/>
      <c r="M255" s="15"/>
      <c r="N255" s="15" t="s">
        <v>50</v>
      </c>
      <c r="O255" s="15" t="s">
        <v>51</v>
      </c>
    </row>
    <row r="256" spans="1:15">
      <c r="A256" s="14" t="s">
        <v>10</v>
      </c>
      <c r="B256" s="14" t="s">
        <v>1468</v>
      </c>
      <c r="C256" s="14" t="s">
        <v>1469</v>
      </c>
      <c r="D256" s="14" t="s">
        <v>1500</v>
      </c>
      <c r="E256" s="14">
        <v>35</v>
      </c>
      <c r="F256" s="14" t="s">
        <v>1511</v>
      </c>
      <c r="G256" s="14" t="s">
        <v>1512</v>
      </c>
      <c r="H256" s="14"/>
      <c r="I256" s="14" t="s">
        <v>96</v>
      </c>
      <c r="J256" s="11" t="str">
        <f>HYPERLINK("https://www.codechef.com/problems/LONGESTPALIN", "https://www.codechef.com/problems/LONGESTPALIN")</f>
        <v>https://www.codechef.com/problems/LONGESTPALIN</v>
      </c>
      <c r="K256" s="14"/>
      <c r="L256" s="14"/>
      <c r="M256" s="14"/>
      <c r="N256" s="14" t="s">
        <v>50</v>
      </c>
      <c r="O256" s="14" t="s">
        <v>51</v>
      </c>
    </row>
    <row r="257" spans="1:15">
      <c r="A257" s="15" t="s">
        <v>10</v>
      </c>
      <c r="B257" s="15" t="s">
        <v>1468</v>
      </c>
      <c r="C257" s="15" t="s">
        <v>1469</v>
      </c>
      <c r="D257" s="15" t="s">
        <v>1500</v>
      </c>
      <c r="E257" s="15">
        <v>36</v>
      </c>
      <c r="F257" s="15" t="s">
        <v>1513</v>
      </c>
      <c r="G257" s="15" t="s">
        <v>1514</v>
      </c>
      <c r="H257" s="15"/>
      <c r="I257" s="15" t="s">
        <v>96</v>
      </c>
      <c r="J257" s="7" t="str">
        <f>HYPERLINK("https://www.codechef.com/problems/HAPPYNUMBER", "https://www.codechef.com/problems/HAPPYNUMBER")</f>
        <v>https://www.codechef.com/problems/HAPPYNUMBER</v>
      </c>
      <c r="K257" s="15"/>
      <c r="L257" s="15"/>
      <c r="M257" s="15"/>
      <c r="N257" s="15" t="s">
        <v>50</v>
      </c>
      <c r="O257" s="15" t="s">
        <v>51</v>
      </c>
    </row>
    <row r="258" spans="1:15">
      <c r="A258" s="14" t="s">
        <v>10</v>
      </c>
      <c r="B258" s="14" t="s">
        <v>1468</v>
      </c>
      <c r="C258" s="14" t="s">
        <v>1469</v>
      </c>
      <c r="D258" s="14" t="s">
        <v>1500</v>
      </c>
      <c r="E258" s="14">
        <v>37</v>
      </c>
      <c r="F258" s="14" t="s">
        <v>1515</v>
      </c>
      <c r="G258" s="14" t="s">
        <v>1516</v>
      </c>
      <c r="H258" s="14"/>
      <c r="I258" s="14" t="s">
        <v>96</v>
      </c>
      <c r="J258" s="11" t="str">
        <f>HYPERLINK("https://www.codechef.com/problems/ZFUNCTION", "https://www.codechef.com/problems/ZFUNCTION")</f>
        <v>https://www.codechef.com/problems/ZFUNCTION</v>
      </c>
      <c r="K258" s="14"/>
      <c r="L258" s="14"/>
      <c r="M258" s="14"/>
      <c r="N258" s="14" t="s">
        <v>50</v>
      </c>
      <c r="O258" s="14" t="s">
        <v>51</v>
      </c>
    </row>
    <row r="259" spans="1:15">
      <c r="A259" s="15" t="s">
        <v>10</v>
      </c>
      <c r="B259" s="15" t="s">
        <v>1468</v>
      </c>
      <c r="C259" s="15" t="s">
        <v>1469</v>
      </c>
      <c r="D259" s="15" t="s">
        <v>1500</v>
      </c>
      <c r="E259" s="15">
        <v>38</v>
      </c>
      <c r="F259" s="15" t="s">
        <v>1517</v>
      </c>
      <c r="G259" s="15" t="s">
        <v>1518</v>
      </c>
      <c r="H259" s="15"/>
      <c r="I259" s="15" t="s">
        <v>322</v>
      </c>
      <c r="J259" s="7" t="str">
        <f>HYPERLINK("https://www.codechef.com/problems/SHORTPALINDR", "https://www.codechef.com/problems/SHORTPALINDR")</f>
        <v>https://www.codechef.com/problems/SHORTPALINDR</v>
      </c>
      <c r="K259" s="15"/>
      <c r="L259" s="15"/>
      <c r="M259" s="15"/>
      <c r="N259" s="15" t="s">
        <v>50</v>
      </c>
      <c r="O259" s="15" t="s">
        <v>51</v>
      </c>
    </row>
    <row r="260" spans="1:15">
      <c r="A260" s="14" t="s">
        <v>10</v>
      </c>
      <c r="B260" s="14" t="s">
        <v>1468</v>
      </c>
      <c r="C260" s="14" t="s">
        <v>1469</v>
      </c>
      <c r="D260" s="14" t="s">
        <v>1500</v>
      </c>
      <c r="E260" s="14">
        <v>39</v>
      </c>
      <c r="F260" s="14" t="s">
        <v>1519</v>
      </c>
      <c r="G260" s="14" t="s">
        <v>1520</v>
      </c>
      <c r="H260" s="14" t="s">
        <v>295</v>
      </c>
      <c r="I260" s="14" t="s">
        <v>49</v>
      </c>
      <c r="J260" s="11" t="str">
        <f>HYPERLINK("https://www.codechef.com/problems/TYPE", "https://www.codechef.com/problems/TYPE")</f>
        <v>https://www.codechef.com/problems/TYPE</v>
      </c>
      <c r="K260" s="14"/>
      <c r="L260" s="14"/>
      <c r="M260" s="14"/>
      <c r="N260" s="14" t="s">
        <v>50</v>
      </c>
      <c r="O260" s="14" t="s">
        <v>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dimension ref="A1:O865"/>
  <sheetViews>
    <sheetView workbookViewId="0"/>
  </sheetViews>
  <sheetFormatPr defaultRowHeight="14.5"/>
  <cols>
    <col min="1" max="1" width="25" customWidth="1"/>
    <col min="2" max="2" width="35" customWidth="1"/>
    <col min="3" max="3" width="117" customWidth="1"/>
    <col min="4" max="4" width="82" customWidth="1"/>
    <col min="5" max="5" width="16" customWidth="1"/>
    <col min="6" max="6" width="53" customWidth="1"/>
    <col min="7" max="7" width="15" customWidth="1"/>
    <col min="8" max="8" width="20" customWidth="1"/>
    <col min="9" max="9" width="19" customWidth="1"/>
    <col min="10" max="10" width="15" customWidth="1"/>
    <col min="11" max="11" width="17" customWidth="1"/>
    <col min="12" max="12" width="183" customWidth="1"/>
    <col min="13"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11</v>
      </c>
      <c r="B2" s="14" t="s">
        <v>1521</v>
      </c>
      <c r="C2" s="14" t="s">
        <v>1522</v>
      </c>
      <c r="D2" s="14" t="s">
        <v>1523</v>
      </c>
      <c r="E2" s="14">
        <v>1</v>
      </c>
      <c r="F2" s="14" t="s">
        <v>1524</v>
      </c>
      <c r="G2" s="14" t="s">
        <v>1525</v>
      </c>
      <c r="H2" s="14" t="s">
        <v>1526</v>
      </c>
      <c r="I2" s="14" t="s">
        <v>49</v>
      </c>
      <c r="J2" s="11" t="str">
        <f>HYPERLINK("https://www.codechef.com/problems/CWC23QUALIF", "https://www.codechef.com/problems/CWC23QUALIF")</f>
        <v>https://www.codechef.com/problems/CWC23QUALIF</v>
      </c>
      <c r="K2" s="14"/>
      <c r="L2" s="14" t="s">
        <v>1527</v>
      </c>
      <c r="M2" s="14"/>
      <c r="N2" s="14" t="s">
        <v>50</v>
      </c>
      <c r="O2" s="14" t="s">
        <v>51</v>
      </c>
    </row>
    <row r="3" spans="1:15">
      <c r="A3" s="15" t="s">
        <v>11</v>
      </c>
      <c r="B3" s="15" t="s">
        <v>1521</v>
      </c>
      <c r="C3" s="15" t="s">
        <v>1522</v>
      </c>
      <c r="D3" s="15" t="s">
        <v>1523</v>
      </c>
      <c r="E3" s="15">
        <v>2</v>
      </c>
      <c r="F3" s="15" t="s">
        <v>1528</v>
      </c>
      <c r="G3" s="15" t="s">
        <v>1529</v>
      </c>
      <c r="H3" s="15" t="s">
        <v>1530</v>
      </c>
      <c r="I3" s="15" t="s">
        <v>49</v>
      </c>
      <c r="J3" s="7" t="str">
        <f>HYPERLINK("https://www.codechef.com/problems/LUCKYSEVEN", "https://www.codechef.com/problems/LUCKYSEVEN")</f>
        <v>https://www.codechef.com/problems/LUCKYSEVEN</v>
      </c>
      <c r="K3" s="15"/>
      <c r="L3" s="15" t="s">
        <v>125</v>
      </c>
      <c r="M3" s="15"/>
      <c r="N3" s="15" t="s">
        <v>50</v>
      </c>
      <c r="O3" s="15" t="s">
        <v>51</v>
      </c>
    </row>
    <row r="4" spans="1:15">
      <c r="A4" s="14" t="s">
        <v>11</v>
      </c>
      <c r="B4" s="14" t="s">
        <v>1521</v>
      </c>
      <c r="C4" s="14" t="s">
        <v>1522</v>
      </c>
      <c r="D4" s="14" t="s">
        <v>1523</v>
      </c>
      <c r="E4" s="14">
        <v>3</v>
      </c>
      <c r="F4" s="14" t="s">
        <v>1531</v>
      </c>
      <c r="G4" s="14" t="s">
        <v>1532</v>
      </c>
      <c r="H4" s="14" t="s">
        <v>1533</v>
      </c>
      <c r="I4" s="14" t="s">
        <v>49</v>
      </c>
      <c r="J4" s="11" t="str">
        <f>HYPERLINK("https://www.codechef.com/problems/CLEARDAY", "https://www.codechef.com/problems/CLEARDAY")</f>
        <v>https://www.codechef.com/problems/CLEARDAY</v>
      </c>
      <c r="K4" s="14"/>
      <c r="L4" s="14" t="s">
        <v>1534</v>
      </c>
      <c r="M4" s="14"/>
      <c r="N4" s="14" t="s">
        <v>50</v>
      </c>
      <c r="O4" s="14" t="s">
        <v>51</v>
      </c>
    </row>
    <row r="5" spans="1:15">
      <c r="A5" s="15" t="s">
        <v>11</v>
      </c>
      <c r="B5" s="15" t="s">
        <v>1521</v>
      </c>
      <c r="C5" s="15" t="s">
        <v>1522</v>
      </c>
      <c r="D5" s="15" t="s">
        <v>1523</v>
      </c>
      <c r="E5" s="15">
        <v>4</v>
      </c>
      <c r="F5" s="15" t="s">
        <v>1535</v>
      </c>
      <c r="G5" s="15" t="s">
        <v>1536</v>
      </c>
      <c r="H5" s="15" t="s">
        <v>1537</v>
      </c>
      <c r="I5" s="15" t="s">
        <v>49</v>
      </c>
      <c r="J5" s="7" t="str">
        <f>HYPERLINK("https://www.codechef.com/problems/DOUBLERENT", "https://www.codechef.com/problems/DOUBLERENT")</f>
        <v>https://www.codechef.com/problems/DOUBLERENT</v>
      </c>
      <c r="K5" s="15"/>
      <c r="L5" s="15" t="s">
        <v>1538</v>
      </c>
      <c r="M5" s="15"/>
      <c r="N5" s="15" t="s">
        <v>50</v>
      </c>
      <c r="O5" s="15" t="s">
        <v>51</v>
      </c>
    </row>
    <row r="6" spans="1:15">
      <c r="A6" s="14" t="s">
        <v>11</v>
      </c>
      <c r="B6" s="14" t="s">
        <v>1521</v>
      </c>
      <c r="C6" s="14" t="s">
        <v>1522</v>
      </c>
      <c r="D6" s="14" t="s">
        <v>1523</v>
      </c>
      <c r="E6" s="14">
        <v>5</v>
      </c>
      <c r="F6" s="14" t="s">
        <v>1539</v>
      </c>
      <c r="G6" s="14" t="s">
        <v>1540</v>
      </c>
      <c r="H6" s="14" t="s">
        <v>1541</v>
      </c>
      <c r="I6" s="14" t="s">
        <v>49</v>
      </c>
      <c r="J6" s="11" t="str">
        <f>HYPERLINK("https://www.codechef.com/problems/TAXSAVING", "https://www.codechef.com/problems/TAXSAVING")</f>
        <v>https://www.codechef.com/problems/TAXSAVING</v>
      </c>
      <c r="K6" s="14"/>
      <c r="L6" s="14"/>
      <c r="M6" s="14"/>
      <c r="N6" s="14" t="s">
        <v>50</v>
      </c>
      <c r="O6" s="14" t="s">
        <v>51</v>
      </c>
    </row>
    <row r="7" spans="1:15">
      <c r="A7" s="15" t="s">
        <v>11</v>
      </c>
      <c r="B7" s="15" t="s">
        <v>1521</v>
      </c>
      <c r="C7" s="15" t="s">
        <v>1522</v>
      </c>
      <c r="D7" s="15" t="s">
        <v>1523</v>
      </c>
      <c r="E7" s="15">
        <v>6</v>
      </c>
      <c r="F7" s="15" t="s">
        <v>1542</v>
      </c>
      <c r="G7" s="15" t="s">
        <v>1543</v>
      </c>
      <c r="H7" s="15" t="s">
        <v>1544</v>
      </c>
      <c r="I7" s="15" t="s">
        <v>49</v>
      </c>
      <c r="J7" s="7" t="str">
        <f>HYPERLINK("https://www.codechef.com/problems/TOP10", "https://www.codechef.com/problems/TOP10")</f>
        <v>https://www.codechef.com/problems/TOP10</v>
      </c>
      <c r="K7" s="15"/>
      <c r="L7" s="15"/>
      <c r="M7" s="15"/>
      <c r="N7" s="15" t="s">
        <v>50</v>
      </c>
      <c r="O7" s="15" t="s">
        <v>51</v>
      </c>
    </row>
    <row r="8" spans="1:15">
      <c r="A8" s="14" t="s">
        <v>11</v>
      </c>
      <c r="B8" s="14" t="s">
        <v>1521</v>
      </c>
      <c r="C8" s="14" t="s">
        <v>1522</v>
      </c>
      <c r="D8" s="14" t="s">
        <v>1523</v>
      </c>
      <c r="E8" s="14">
        <v>7</v>
      </c>
      <c r="F8" s="14" t="s">
        <v>1545</v>
      </c>
      <c r="G8" s="14" t="s">
        <v>1546</v>
      </c>
      <c r="H8" s="14" t="s">
        <v>1547</v>
      </c>
      <c r="I8" s="14" t="s">
        <v>49</v>
      </c>
      <c r="J8" s="11" t="str">
        <f>HYPERLINK("https://www.codechef.com/problems/BIRYANI", "https://www.codechef.com/problems/BIRYANI")</f>
        <v>https://www.codechef.com/problems/BIRYANI</v>
      </c>
      <c r="K8" s="14"/>
      <c r="L8" s="14" t="s">
        <v>125</v>
      </c>
      <c r="M8" s="14"/>
      <c r="N8" s="14" t="s">
        <v>50</v>
      </c>
      <c r="O8" s="14" t="s">
        <v>51</v>
      </c>
    </row>
    <row r="9" spans="1:15">
      <c r="A9" s="15" t="s">
        <v>11</v>
      </c>
      <c r="B9" s="15" t="s">
        <v>1521</v>
      </c>
      <c r="C9" s="15" t="s">
        <v>1522</v>
      </c>
      <c r="D9" s="15" t="s">
        <v>1523</v>
      </c>
      <c r="E9" s="15">
        <v>8</v>
      </c>
      <c r="F9" s="15" t="s">
        <v>1548</v>
      </c>
      <c r="G9" s="15" t="s">
        <v>1549</v>
      </c>
      <c r="H9" s="15" t="s">
        <v>1550</v>
      </c>
      <c r="I9" s="15" t="s">
        <v>49</v>
      </c>
      <c r="J9" s="7" t="str">
        <f>HYPERLINK("https://www.codechef.com/problems/LUDO", "https://www.codechef.com/problems/LUDO")</f>
        <v>https://www.codechef.com/problems/LUDO</v>
      </c>
      <c r="K9" s="15"/>
      <c r="L9" s="15" t="s">
        <v>125</v>
      </c>
      <c r="M9" s="15"/>
      <c r="N9" s="15" t="s">
        <v>50</v>
      </c>
      <c r="O9" s="15" t="s">
        <v>51</v>
      </c>
    </row>
    <row r="10" spans="1:15">
      <c r="A10" s="14" t="s">
        <v>11</v>
      </c>
      <c r="B10" s="14" t="s">
        <v>1521</v>
      </c>
      <c r="C10" s="14" t="s">
        <v>1522</v>
      </c>
      <c r="D10" s="14" t="s">
        <v>1523</v>
      </c>
      <c r="E10" s="14">
        <v>9</v>
      </c>
      <c r="F10" s="14" t="s">
        <v>1551</v>
      </c>
      <c r="G10" s="14" t="s">
        <v>1552</v>
      </c>
      <c r="H10" s="14" t="s">
        <v>1553</v>
      </c>
      <c r="I10" s="14" t="s">
        <v>49</v>
      </c>
      <c r="J10" s="11" t="str">
        <f>HYPERLINK("https://www.codechef.com/problems/PRACLIST", "https://www.codechef.com/problems/PRACLIST")</f>
        <v>https://www.codechef.com/problems/PRACLIST</v>
      </c>
      <c r="K10" s="14"/>
      <c r="L10" s="14" t="s">
        <v>125</v>
      </c>
      <c r="M10" s="14"/>
      <c r="N10" s="14" t="s">
        <v>50</v>
      </c>
      <c r="O10" s="14" t="s">
        <v>51</v>
      </c>
    </row>
    <row r="11" spans="1:15">
      <c r="A11" s="15" t="s">
        <v>11</v>
      </c>
      <c r="B11" s="15" t="s">
        <v>1521</v>
      </c>
      <c r="C11" s="15" t="s">
        <v>1522</v>
      </c>
      <c r="D11" s="15" t="s">
        <v>1523</v>
      </c>
      <c r="E11" s="15">
        <v>10</v>
      </c>
      <c r="F11" s="15" t="s">
        <v>1554</v>
      </c>
      <c r="G11" s="15" t="s">
        <v>1555</v>
      </c>
      <c r="H11" s="15" t="s">
        <v>1556</v>
      </c>
      <c r="I11" s="15" t="s">
        <v>49</v>
      </c>
      <c r="J11" s="7" t="str">
        <f>HYPERLINK("https://www.codechef.com/problems/DETSCORE", "https://www.codechef.com/problems/DETSCORE")</f>
        <v>https://www.codechef.com/problems/DETSCORE</v>
      </c>
      <c r="K11" s="15"/>
      <c r="L11" s="15" t="s">
        <v>187</v>
      </c>
      <c r="M11" s="15"/>
      <c r="N11" s="15" t="s">
        <v>50</v>
      </c>
      <c r="O11" s="15" t="s">
        <v>51</v>
      </c>
    </row>
    <row r="12" spans="1:15">
      <c r="A12" s="14" t="s">
        <v>11</v>
      </c>
      <c r="B12" s="14" t="s">
        <v>1521</v>
      </c>
      <c r="C12" s="14" t="s">
        <v>1522</v>
      </c>
      <c r="D12" s="14" t="s">
        <v>1523</v>
      </c>
      <c r="E12" s="14">
        <v>11</v>
      </c>
      <c r="F12" s="14" t="s">
        <v>1557</v>
      </c>
      <c r="G12" s="14" t="s">
        <v>1558</v>
      </c>
      <c r="H12" s="14" t="s">
        <v>1556</v>
      </c>
      <c r="I12" s="14" t="s">
        <v>49</v>
      </c>
      <c r="J12" s="11" t="str">
        <f>HYPERLINK("https://www.codechef.com/problems/ERROR404", "https://www.codechef.com/problems/ERROR404")</f>
        <v>https://www.codechef.com/problems/ERROR404</v>
      </c>
      <c r="K12" s="14"/>
      <c r="L12" s="14" t="s">
        <v>1559</v>
      </c>
      <c r="M12" s="14"/>
      <c r="N12" s="14" t="s">
        <v>50</v>
      </c>
      <c r="O12" s="14" t="s">
        <v>51</v>
      </c>
    </row>
    <row r="13" spans="1:15">
      <c r="A13" s="15" t="s">
        <v>11</v>
      </c>
      <c r="B13" s="15" t="s">
        <v>1521</v>
      </c>
      <c r="C13" s="15" t="s">
        <v>1522</v>
      </c>
      <c r="D13" s="15" t="s">
        <v>1523</v>
      </c>
      <c r="E13" s="15">
        <v>12</v>
      </c>
      <c r="F13" s="15" t="s">
        <v>1560</v>
      </c>
      <c r="G13" s="15" t="s">
        <v>1561</v>
      </c>
      <c r="H13" s="15" t="s">
        <v>1562</v>
      </c>
      <c r="I13" s="15" t="s">
        <v>49</v>
      </c>
      <c r="J13" s="7" t="str">
        <f>HYPERLINK("https://www.codechef.com/problems/OFFBY1", "https://www.codechef.com/problems/OFFBY1")</f>
        <v>https://www.codechef.com/problems/OFFBY1</v>
      </c>
      <c r="K13" s="15"/>
      <c r="L13" s="15" t="s">
        <v>125</v>
      </c>
      <c r="M13" s="15"/>
      <c r="N13" s="15" t="s">
        <v>50</v>
      </c>
      <c r="O13" s="15" t="s">
        <v>51</v>
      </c>
    </row>
    <row r="14" spans="1:15">
      <c r="A14" s="14" t="s">
        <v>11</v>
      </c>
      <c r="B14" s="14" t="s">
        <v>1521</v>
      </c>
      <c r="C14" s="14" t="s">
        <v>1522</v>
      </c>
      <c r="D14" s="14" t="s">
        <v>1523</v>
      </c>
      <c r="E14" s="14">
        <v>13</v>
      </c>
      <c r="F14" s="14" t="s">
        <v>1563</v>
      </c>
      <c r="G14" s="14" t="s">
        <v>1564</v>
      </c>
      <c r="H14" s="14" t="s">
        <v>1565</v>
      </c>
      <c r="I14" s="14" t="s">
        <v>49</v>
      </c>
      <c r="J14" s="11" t="str">
        <f>HYPERLINK("https://www.codechef.com/problems/DONDRIVE", "https://www.codechef.com/problems/DONDRIVE")</f>
        <v>https://www.codechef.com/problems/DONDRIVE</v>
      </c>
      <c r="K14" s="14"/>
      <c r="L14" s="14" t="s">
        <v>194</v>
      </c>
      <c r="M14" s="14"/>
      <c r="N14" s="14" t="s">
        <v>50</v>
      </c>
      <c r="O14" s="14" t="s">
        <v>51</v>
      </c>
    </row>
    <row r="15" spans="1:15">
      <c r="A15" s="15" t="s">
        <v>11</v>
      </c>
      <c r="B15" s="15" t="s">
        <v>1521</v>
      </c>
      <c r="C15" s="15" t="s">
        <v>1522</v>
      </c>
      <c r="D15" s="15" t="s">
        <v>1523</v>
      </c>
      <c r="E15" s="15">
        <v>14</v>
      </c>
      <c r="F15" s="15" t="s">
        <v>1566</v>
      </c>
      <c r="G15" s="15" t="s">
        <v>1567</v>
      </c>
      <c r="H15" s="15" t="s">
        <v>1568</v>
      </c>
      <c r="I15" s="15" t="s">
        <v>49</v>
      </c>
      <c r="J15" s="7" t="str">
        <f>HYPERLINK("https://www.codechef.com/problems/KITCHENTIME", "https://www.codechef.com/problems/KITCHENTIME")</f>
        <v>https://www.codechef.com/problems/KITCHENTIME</v>
      </c>
      <c r="K15" s="15"/>
      <c r="L15" s="15" t="s">
        <v>194</v>
      </c>
      <c r="M15" s="15"/>
      <c r="N15" s="15" t="s">
        <v>50</v>
      </c>
      <c r="O15" s="15" t="s">
        <v>51</v>
      </c>
    </row>
    <row r="16" spans="1:15">
      <c r="A16" s="14" t="s">
        <v>11</v>
      </c>
      <c r="B16" s="14" t="s">
        <v>1521</v>
      </c>
      <c r="C16" s="14" t="s">
        <v>1522</v>
      </c>
      <c r="D16" s="14" t="s">
        <v>1523</v>
      </c>
      <c r="E16" s="14">
        <v>15</v>
      </c>
      <c r="F16" s="14" t="s">
        <v>1569</v>
      </c>
      <c r="G16" s="14" t="s">
        <v>1570</v>
      </c>
      <c r="H16" s="14" t="s">
        <v>1568</v>
      </c>
      <c r="I16" s="14" t="s">
        <v>49</v>
      </c>
      <c r="J16" s="11" t="str">
        <f>HYPERLINK("https://www.codechef.com/problems/IPLTRSH", "https://www.codechef.com/problems/IPLTRSH")</f>
        <v>https://www.codechef.com/problems/IPLTRSH</v>
      </c>
      <c r="K16" s="14"/>
      <c r="L16" s="14" t="s">
        <v>194</v>
      </c>
      <c r="M16" s="14"/>
      <c r="N16" s="14" t="s">
        <v>50</v>
      </c>
      <c r="O16" s="14" t="s">
        <v>51</v>
      </c>
    </row>
    <row r="17" spans="1:15">
      <c r="A17" s="15" t="s">
        <v>11</v>
      </c>
      <c r="B17" s="15" t="s">
        <v>1521</v>
      </c>
      <c r="C17" s="15" t="s">
        <v>1522</v>
      </c>
      <c r="D17" s="15" t="s">
        <v>1523</v>
      </c>
      <c r="E17" s="15">
        <v>16</v>
      </c>
      <c r="F17" s="15" t="s">
        <v>1571</v>
      </c>
      <c r="G17" s="15" t="s">
        <v>1572</v>
      </c>
      <c r="H17" s="15" t="s">
        <v>1573</v>
      </c>
      <c r="I17" s="15" t="s">
        <v>49</v>
      </c>
      <c r="J17" s="7" t="str">
        <f>HYPERLINK("https://www.codechef.com/problems/AUDIBLE", "https://www.codechef.com/problems/AUDIBLE")</f>
        <v>https://www.codechef.com/problems/AUDIBLE</v>
      </c>
      <c r="K17" s="15"/>
      <c r="L17" s="15" t="s">
        <v>194</v>
      </c>
      <c r="M17" s="15"/>
      <c r="N17" s="15" t="s">
        <v>50</v>
      </c>
      <c r="O17" s="15" t="s">
        <v>51</v>
      </c>
    </row>
    <row r="18" spans="1:15">
      <c r="A18" s="14" t="s">
        <v>11</v>
      </c>
      <c r="B18" s="14" t="s">
        <v>1521</v>
      </c>
      <c r="C18" s="14" t="s">
        <v>1522</v>
      </c>
      <c r="D18" s="14" t="s">
        <v>1523</v>
      </c>
      <c r="E18" s="14">
        <v>17</v>
      </c>
      <c r="F18" s="14" t="s">
        <v>1574</v>
      </c>
      <c r="G18" s="14" t="s">
        <v>1575</v>
      </c>
      <c r="H18" s="14" t="s">
        <v>1573</v>
      </c>
      <c r="I18" s="14" t="s">
        <v>49</v>
      </c>
      <c r="J18" s="11" t="str">
        <f>HYPERLINK("https://www.codechef.com/problems/TIMELY", "https://www.codechef.com/problems/TIMELY")</f>
        <v>https://www.codechef.com/problems/TIMELY</v>
      </c>
      <c r="K18" s="14"/>
      <c r="L18" s="14"/>
      <c r="M18" s="14"/>
      <c r="N18" s="14" t="s">
        <v>50</v>
      </c>
      <c r="O18" s="14" t="s">
        <v>51</v>
      </c>
    </row>
    <row r="19" spans="1:15">
      <c r="A19" s="15" t="s">
        <v>11</v>
      </c>
      <c r="B19" s="15" t="s">
        <v>1521</v>
      </c>
      <c r="C19" s="15" t="s">
        <v>1522</v>
      </c>
      <c r="D19" s="15" t="s">
        <v>1523</v>
      </c>
      <c r="E19" s="15">
        <v>18</v>
      </c>
      <c r="F19" s="15" t="s">
        <v>1576</v>
      </c>
      <c r="G19" s="15" t="s">
        <v>1577</v>
      </c>
      <c r="H19" s="15" t="s">
        <v>1573</v>
      </c>
      <c r="I19" s="15" t="s">
        <v>49</v>
      </c>
      <c r="J19" s="7" t="str">
        <f>HYPERLINK("https://www.codechef.com/problems/PUZHUNT", "https://www.codechef.com/problems/PUZHUNT")</f>
        <v>https://www.codechef.com/problems/PUZHUNT</v>
      </c>
      <c r="K19" s="15"/>
      <c r="L19" s="15" t="s">
        <v>1578</v>
      </c>
      <c r="M19" s="15"/>
      <c r="N19" s="15" t="s">
        <v>50</v>
      </c>
      <c r="O19" s="15" t="s">
        <v>51</v>
      </c>
    </row>
    <row r="20" spans="1:15">
      <c r="A20" s="14" t="s">
        <v>11</v>
      </c>
      <c r="B20" s="14" t="s">
        <v>1521</v>
      </c>
      <c r="C20" s="14" t="s">
        <v>1522</v>
      </c>
      <c r="D20" s="14" t="s">
        <v>1523</v>
      </c>
      <c r="E20" s="14">
        <v>19</v>
      </c>
      <c r="F20" s="14" t="s">
        <v>1579</v>
      </c>
      <c r="G20" s="14" t="s">
        <v>1580</v>
      </c>
      <c r="H20" s="14" t="s">
        <v>1581</v>
      </c>
      <c r="I20" s="14" t="s">
        <v>49</v>
      </c>
      <c r="J20" s="11" t="str">
        <f>HYPERLINK("https://www.codechef.com/problems/BNE_APT", "https://www.codechef.com/problems/BNE_APT")</f>
        <v>https://www.codechef.com/problems/BNE_APT</v>
      </c>
      <c r="K20" s="14"/>
      <c r="L20" s="14" t="s">
        <v>1582</v>
      </c>
      <c r="M20" s="14"/>
      <c r="N20" s="14" t="s">
        <v>50</v>
      </c>
      <c r="O20" s="14" t="s">
        <v>51</v>
      </c>
    </row>
    <row r="21" spans="1:15">
      <c r="A21" s="15" t="s">
        <v>11</v>
      </c>
      <c r="B21" s="15" t="s">
        <v>1521</v>
      </c>
      <c r="C21" s="15" t="s">
        <v>1522</v>
      </c>
      <c r="D21" s="15" t="s">
        <v>1523</v>
      </c>
      <c r="E21" s="15">
        <v>20</v>
      </c>
      <c r="F21" s="15" t="s">
        <v>1583</v>
      </c>
      <c r="G21" s="15" t="s">
        <v>1584</v>
      </c>
      <c r="H21" s="15" t="s">
        <v>1585</v>
      </c>
      <c r="I21" s="15" t="s">
        <v>49</v>
      </c>
      <c r="J21" s="7" t="str">
        <f>HYPERLINK("https://www.codechef.com/problems/TALLER", "https://www.codechef.com/problems/TALLER")</f>
        <v>https://www.codechef.com/problems/TALLER</v>
      </c>
      <c r="K21" s="15"/>
      <c r="L21" s="15"/>
      <c r="M21" s="15"/>
      <c r="N21" s="15" t="s">
        <v>50</v>
      </c>
      <c r="O21" s="15" t="s">
        <v>51</v>
      </c>
    </row>
    <row r="22" spans="1:15">
      <c r="A22" s="14" t="s">
        <v>11</v>
      </c>
      <c r="B22" s="14" t="s">
        <v>1521</v>
      </c>
      <c r="C22" s="14" t="s">
        <v>1522</v>
      </c>
      <c r="D22" s="14" t="s">
        <v>1523</v>
      </c>
      <c r="E22" s="14">
        <v>21</v>
      </c>
      <c r="F22" s="14" t="s">
        <v>1586</v>
      </c>
      <c r="G22" s="14" t="s">
        <v>1587</v>
      </c>
      <c r="H22" s="14" t="s">
        <v>1585</v>
      </c>
      <c r="I22" s="14" t="s">
        <v>49</v>
      </c>
      <c r="J22" s="11" t="str">
        <f>HYPERLINK("https://www.codechef.com/problems/REACHTARGET", "https://www.codechef.com/problems/REACHTARGET")</f>
        <v>https://www.codechef.com/problems/REACHTARGET</v>
      </c>
      <c r="K22" s="14"/>
      <c r="L22" s="14"/>
      <c r="M22" s="14"/>
      <c r="N22" s="14" t="s">
        <v>50</v>
      </c>
      <c r="O22" s="14" t="s">
        <v>51</v>
      </c>
    </row>
    <row r="23" spans="1:15">
      <c r="A23" s="15" t="s">
        <v>11</v>
      </c>
      <c r="B23" s="15" t="s">
        <v>1521</v>
      </c>
      <c r="C23" s="15" t="s">
        <v>1522</v>
      </c>
      <c r="D23" s="15" t="s">
        <v>1523</v>
      </c>
      <c r="E23" s="15">
        <v>22</v>
      </c>
      <c r="F23" s="15" t="s">
        <v>1588</v>
      </c>
      <c r="G23" s="15" t="s">
        <v>1589</v>
      </c>
      <c r="H23" s="15" t="s">
        <v>1590</v>
      </c>
      <c r="I23" s="15" t="s">
        <v>49</v>
      </c>
      <c r="J23" s="7" t="str">
        <f>HYPERLINK("https://www.codechef.com/problems/BESTOFTWO", "https://www.codechef.com/problems/BESTOFTWO")</f>
        <v>https://www.codechef.com/problems/BESTOFTWO</v>
      </c>
      <c r="K23" s="15"/>
      <c r="L23" s="15" t="s">
        <v>1591</v>
      </c>
      <c r="M23" s="15"/>
      <c r="N23" s="15" t="s">
        <v>50</v>
      </c>
      <c r="O23" s="15" t="s">
        <v>51</v>
      </c>
    </row>
    <row r="24" spans="1:15">
      <c r="A24" s="14" t="s">
        <v>11</v>
      </c>
      <c r="B24" s="14" t="s">
        <v>1521</v>
      </c>
      <c r="C24" s="14" t="s">
        <v>1522</v>
      </c>
      <c r="D24" s="14" t="s">
        <v>1523</v>
      </c>
      <c r="E24" s="14">
        <v>23</v>
      </c>
      <c r="F24" s="14" t="s">
        <v>1592</v>
      </c>
      <c r="G24" s="14" t="s">
        <v>1593</v>
      </c>
      <c r="H24" s="14" t="s">
        <v>1590</v>
      </c>
      <c r="I24" s="14" t="s">
        <v>49</v>
      </c>
      <c r="J24" s="11" t="str">
        <f>HYPERLINK("https://www.codechef.com/problems/RIP2000", "https://www.codechef.com/problems/RIP2000")</f>
        <v>https://www.codechef.com/problems/RIP2000</v>
      </c>
      <c r="K24" s="14"/>
      <c r="L24" s="14"/>
      <c r="M24" s="14"/>
      <c r="N24" s="14" t="s">
        <v>50</v>
      </c>
      <c r="O24" s="14" t="s">
        <v>51</v>
      </c>
    </row>
    <row r="25" spans="1:15">
      <c r="A25" s="15" t="s">
        <v>11</v>
      </c>
      <c r="B25" s="15" t="s">
        <v>1521</v>
      </c>
      <c r="C25" s="15" t="s">
        <v>1522</v>
      </c>
      <c r="D25" s="15" t="s">
        <v>1523</v>
      </c>
      <c r="E25" s="15">
        <v>24</v>
      </c>
      <c r="F25" s="15" t="s">
        <v>1594</v>
      </c>
      <c r="G25" s="15" t="s">
        <v>1595</v>
      </c>
      <c r="H25" s="15" t="s">
        <v>1596</v>
      </c>
      <c r="I25" s="15" t="s">
        <v>49</v>
      </c>
      <c r="J25" s="7" t="str">
        <f>HYPERLINK("https://www.codechef.com/problems/MINHEIGHT", "https://www.codechef.com/problems/MINHEIGHT")</f>
        <v>https://www.codechef.com/problems/MINHEIGHT</v>
      </c>
      <c r="K25" s="15"/>
      <c r="L25" s="15" t="s">
        <v>1597</v>
      </c>
      <c r="M25" s="15"/>
      <c r="N25" s="15" t="s">
        <v>50</v>
      </c>
      <c r="O25" s="15" t="s">
        <v>51</v>
      </c>
    </row>
    <row r="26" spans="1:15">
      <c r="A26" s="14" t="s">
        <v>11</v>
      </c>
      <c r="B26" s="14" t="s">
        <v>1521</v>
      </c>
      <c r="C26" s="14" t="s">
        <v>1522</v>
      </c>
      <c r="D26" s="14" t="s">
        <v>1523</v>
      </c>
      <c r="E26" s="14">
        <v>25</v>
      </c>
      <c r="F26" s="14" t="s">
        <v>1598</v>
      </c>
      <c r="G26" s="14" t="s">
        <v>1599</v>
      </c>
      <c r="H26" s="14" t="s">
        <v>1600</v>
      </c>
      <c r="I26" s="14" t="s">
        <v>49</v>
      </c>
      <c r="J26" s="11" t="str">
        <f>HYPERLINK("https://www.codechef.com/problems/CANDIVIDE", "https://www.codechef.com/problems/CANDIVIDE")</f>
        <v>https://www.codechef.com/problems/CANDIVIDE</v>
      </c>
      <c r="K26" s="14"/>
      <c r="L26" s="14" t="s">
        <v>213</v>
      </c>
      <c r="M26" s="14"/>
      <c r="N26" s="14" t="s">
        <v>50</v>
      </c>
      <c r="O26" s="14" t="s">
        <v>51</v>
      </c>
    </row>
    <row r="27" spans="1:15">
      <c r="A27" s="15" t="s">
        <v>11</v>
      </c>
      <c r="B27" s="15" t="s">
        <v>1521</v>
      </c>
      <c r="C27" s="15" t="s">
        <v>1522</v>
      </c>
      <c r="D27" s="15" t="s">
        <v>1523</v>
      </c>
      <c r="E27" s="15">
        <v>26</v>
      </c>
      <c r="F27" s="15" t="s">
        <v>1601</v>
      </c>
      <c r="G27" s="15" t="s">
        <v>1602</v>
      </c>
      <c r="H27" s="15" t="s">
        <v>1603</v>
      </c>
      <c r="I27" s="15" t="s">
        <v>49</v>
      </c>
      <c r="J27" s="7" t="str">
        <f>HYPERLINK("https://www.codechef.com/problems/CHEFONDATE", "https://www.codechef.com/problems/CHEFONDATE")</f>
        <v>https://www.codechef.com/problems/CHEFONDATE</v>
      </c>
      <c r="K27" s="15"/>
      <c r="L27" s="15" t="s">
        <v>125</v>
      </c>
      <c r="M27" s="15"/>
      <c r="N27" s="15" t="s">
        <v>50</v>
      </c>
      <c r="O27" s="15" t="s">
        <v>51</v>
      </c>
    </row>
    <row r="28" spans="1:15">
      <c r="A28" s="14" t="s">
        <v>11</v>
      </c>
      <c r="B28" s="14" t="s">
        <v>1521</v>
      </c>
      <c r="C28" s="14" t="s">
        <v>1522</v>
      </c>
      <c r="D28" s="14" t="s">
        <v>1523</v>
      </c>
      <c r="E28" s="14">
        <v>27</v>
      </c>
      <c r="F28" s="14" t="s">
        <v>1604</v>
      </c>
      <c r="G28" s="14" t="s">
        <v>1605</v>
      </c>
      <c r="H28" s="14" t="s">
        <v>1606</v>
      </c>
      <c r="I28" s="14" t="s">
        <v>49</v>
      </c>
      <c r="J28" s="11" t="str">
        <f>HYPERLINK("https://www.codechef.com/problems/PAR2", "https://www.codechef.com/problems/PAR2")</f>
        <v>https://www.codechef.com/problems/PAR2</v>
      </c>
      <c r="K28" s="14"/>
      <c r="L28" s="14"/>
      <c r="M28" s="14"/>
      <c r="N28" s="14" t="s">
        <v>50</v>
      </c>
      <c r="O28" s="14" t="s">
        <v>51</v>
      </c>
    </row>
    <row r="29" spans="1:15">
      <c r="A29" s="15" t="s">
        <v>11</v>
      </c>
      <c r="B29" s="15" t="s">
        <v>1521</v>
      </c>
      <c r="C29" s="15" t="s">
        <v>1522</v>
      </c>
      <c r="D29" s="15" t="s">
        <v>1523</v>
      </c>
      <c r="E29" s="15">
        <v>28</v>
      </c>
      <c r="F29" s="15" t="s">
        <v>1607</v>
      </c>
      <c r="G29" s="15" t="s">
        <v>1608</v>
      </c>
      <c r="H29" s="15" t="s">
        <v>1609</v>
      </c>
      <c r="I29" s="15" t="s">
        <v>49</v>
      </c>
      <c r="J29" s="7" t="str">
        <f>HYPERLINK("https://www.codechef.com/problems/PRIZEPOOL", "https://www.codechef.com/problems/PRIZEPOOL")</f>
        <v>https://www.codechef.com/problems/PRIZEPOOL</v>
      </c>
      <c r="K29" s="15"/>
      <c r="L29" s="15" t="s">
        <v>209</v>
      </c>
      <c r="M29" s="15"/>
      <c r="N29" s="15" t="s">
        <v>50</v>
      </c>
      <c r="O29" s="15" t="s">
        <v>51</v>
      </c>
    </row>
    <row r="30" spans="1:15">
      <c r="A30" s="14" t="s">
        <v>11</v>
      </c>
      <c r="B30" s="14" t="s">
        <v>1521</v>
      </c>
      <c r="C30" s="14" t="s">
        <v>1522</v>
      </c>
      <c r="D30" s="14" t="s">
        <v>1523</v>
      </c>
      <c r="E30" s="14">
        <v>29</v>
      </c>
      <c r="F30" s="14" t="s">
        <v>1610</v>
      </c>
      <c r="G30" s="14" t="s">
        <v>1611</v>
      </c>
      <c r="H30" s="14" t="s">
        <v>1609</v>
      </c>
      <c r="I30" s="14" t="s">
        <v>49</v>
      </c>
      <c r="J30" s="11" t="str">
        <f>HYPERLINK("https://www.codechef.com/problems/CNTWRD", "https://www.codechef.com/problems/CNTWRD")</f>
        <v>https://www.codechef.com/problems/CNTWRD</v>
      </c>
      <c r="K30" s="14"/>
      <c r="L30" s="14" t="s">
        <v>187</v>
      </c>
      <c r="M30" s="14"/>
      <c r="N30" s="14" t="s">
        <v>50</v>
      </c>
      <c r="O30" s="14" t="s">
        <v>51</v>
      </c>
    </row>
    <row r="31" spans="1:15">
      <c r="A31" s="15" t="s">
        <v>11</v>
      </c>
      <c r="B31" s="15" t="s">
        <v>1521</v>
      </c>
      <c r="C31" s="15" t="s">
        <v>1522</v>
      </c>
      <c r="D31" s="15" t="s">
        <v>1523</v>
      </c>
      <c r="E31" s="15">
        <v>30</v>
      </c>
      <c r="F31" s="15" t="s">
        <v>1612</v>
      </c>
      <c r="G31" s="15" t="s">
        <v>1613</v>
      </c>
      <c r="H31" s="15" t="s">
        <v>1609</v>
      </c>
      <c r="I31" s="15" t="s">
        <v>49</v>
      </c>
      <c r="J31" s="7" t="str">
        <f>HYPERLINK("https://www.codechef.com/problems/BTRYHLTH", "https://www.codechef.com/problems/BTRYHLTH")</f>
        <v>https://www.codechef.com/problems/BTRYHLTH</v>
      </c>
      <c r="K31" s="15"/>
      <c r="L31" s="15" t="s">
        <v>1578</v>
      </c>
      <c r="M31" s="15"/>
      <c r="N31" s="15" t="s">
        <v>50</v>
      </c>
      <c r="O31" s="15" t="s">
        <v>51</v>
      </c>
    </row>
    <row r="32" spans="1:15">
      <c r="A32" s="14" t="s">
        <v>11</v>
      </c>
      <c r="B32" s="14" t="s">
        <v>1521</v>
      </c>
      <c r="C32" s="14" t="s">
        <v>1522</v>
      </c>
      <c r="D32" s="14" t="s">
        <v>1523</v>
      </c>
      <c r="E32" s="14">
        <v>31</v>
      </c>
      <c r="F32" s="14" t="s">
        <v>1614</v>
      </c>
      <c r="G32" s="14" t="s">
        <v>1615</v>
      </c>
      <c r="H32" s="14" t="s">
        <v>1616</v>
      </c>
      <c r="I32" s="14" t="s">
        <v>49</v>
      </c>
      <c r="J32" s="11" t="str">
        <f>HYPERLINK("https://www.codechef.com/problems/JERRYCHASE", "https://www.codechef.com/problems/JERRYCHASE")</f>
        <v>https://www.codechef.com/problems/JERRYCHASE</v>
      </c>
      <c r="K32" s="14"/>
      <c r="L32" s="14" t="s">
        <v>1578</v>
      </c>
      <c r="M32" s="14"/>
      <c r="N32" s="14" t="s">
        <v>50</v>
      </c>
      <c r="O32" s="14" t="s">
        <v>51</v>
      </c>
    </row>
    <row r="33" spans="1:15">
      <c r="A33" s="15" t="s">
        <v>11</v>
      </c>
      <c r="B33" s="15" t="s">
        <v>1521</v>
      </c>
      <c r="C33" s="15" t="s">
        <v>1522</v>
      </c>
      <c r="D33" s="15" t="s">
        <v>1523</v>
      </c>
      <c r="E33" s="15">
        <v>32</v>
      </c>
      <c r="F33" s="15" t="s">
        <v>1617</v>
      </c>
      <c r="G33" s="15" t="s">
        <v>1618</v>
      </c>
      <c r="H33" s="15" t="s">
        <v>1619</v>
      </c>
      <c r="I33" s="15" t="s">
        <v>49</v>
      </c>
      <c r="J33" s="7" t="str">
        <f>HYPERLINK("https://www.codechef.com/problems/AGEING", "https://www.codechef.com/problems/AGEING")</f>
        <v>https://www.codechef.com/problems/AGEING</v>
      </c>
      <c r="K33" s="15"/>
      <c r="L33" s="15" t="s">
        <v>194</v>
      </c>
      <c r="M33" s="15"/>
      <c r="N33" s="15" t="s">
        <v>50</v>
      </c>
      <c r="O33" s="15" t="s">
        <v>51</v>
      </c>
    </row>
    <row r="34" spans="1:15">
      <c r="A34" s="14" t="s">
        <v>11</v>
      </c>
      <c r="B34" s="14" t="s">
        <v>1521</v>
      </c>
      <c r="C34" s="14" t="s">
        <v>1522</v>
      </c>
      <c r="D34" s="14" t="s">
        <v>1523</v>
      </c>
      <c r="E34" s="14">
        <v>33</v>
      </c>
      <c r="F34" s="14" t="s">
        <v>1620</v>
      </c>
      <c r="G34" s="14" t="s">
        <v>1621</v>
      </c>
      <c r="H34" s="14" t="s">
        <v>1619</v>
      </c>
      <c r="I34" s="14" t="s">
        <v>49</v>
      </c>
      <c r="J34" s="11" t="str">
        <f>HYPERLINK("https://www.codechef.com/problems/RIGHTTHERE", "https://www.codechef.com/problems/RIGHTTHERE")</f>
        <v>https://www.codechef.com/problems/RIGHTTHERE</v>
      </c>
      <c r="K34" s="14"/>
      <c r="L34" s="14"/>
      <c r="M34" s="14"/>
      <c r="N34" s="14" t="s">
        <v>50</v>
      </c>
      <c r="O34" s="14" t="s">
        <v>51</v>
      </c>
    </row>
    <row r="35" spans="1:15">
      <c r="A35" s="15" t="s">
        <v>11</v>
      </c>
      <c r="B35" s="15" t="s">
        <v>1521</v>
      </c>
      <c r="C35" s="15" t="s">
        <v>1522</v>
      </c>
      <c r="D35" s="15" t="s">
        <v>1523</v>
      </c>
      <c r="E35" s="15">
        <v>34</v>
      </c>
      <c r="F35" s="15" t="s">
        <v>188</v>
      </c>
      <c r="G35" s="15" t="s">
        <v>189</v>
      </c>
      <c r="H35" s="15" t="s">
        <v>190</v>
      </c>
      <c r="I35" s="15" t="s">
        <v>49</v>
      </c>
      <c r="J35" s="7" t="str">
        <f>HYPERLINK("https://www.codechef.com/problems/SNDMAX", "https://www.codechef.com/problems/SNDMAX")</f>
        <v>https://www.codechef.com/problems/SNDMAX</v>
      </c>
      <c r="K35" s="15"/>
      <c r="L35" s="15"/>
      <c r="M35" s="15"/>
      <c r="N35" s="15" t="s">
        <v>50</v>
      </c>
      <c r="O35" s="15" t="s">
        <v>51</v>
      </c>
    </row>
    <row r="36" spans="1:15">
      <c r="A36" s="14" t="s">
        <v>11</v>
      </c>
      <c r="B36" s="14" t="s">
        <v>1521</v>
      </c>
      <c r="C36" s="14" t="s">
        <v>1522</v>
      </c>
      <c r="D36" s="14" t="s">
        <v>1523</v>
      </c>
      <c r="E36" s="14">
        <v>35</v>
      </c>
      <c r="F36" s="14" t="s">
        <v>1622</v>
      </c>
      <c r="G36" s="14" t="s">
        <v>1623</v>
      </c>
      <c r="H36" s="14" t="s">
        <v>190</v>
      </c>
      <c r="I36" s="14" t="s">
        <v>49</v>
      </c>
      <c r="J36" s="11" t="str">
        <f>HYPERLINK("https://www.codechef.com/problems/BULLBEAR", "https://www.codechef.com/problems/BULLBEAR")</f>
        <v>https://www.codechef.com/problems/BULLBEAR</v>
      </c>
      <c r="K36" s="14"/>
      <c r="L36" s="14" t="s">
        <v>125</v>
      </c>
      <c r="M36" s="14"/>
      <c r="N36" s="14" t="s">
        <v>50</v>
      </c>
      <c r="O36" s="14" t="s">
        <v>51</v>
      </c>
    </row>
    <row r="37" spans="1:15">
      <c r="A37" s="15" t="s">
        <v>11</v>
      </c>
      <c r="B37" s="15" t="s">
        <v>1521</v>
      </c>
      <c r="C37" s="15" t="s">
        <v>1522</v>
      </c>
      <c r="D37" s="15" t="s">
        <v>1523</v>
      </c>
      <c r="E37" s="15">
        <v>36</v>
      </c>
      <c r="F37" s="15" t="s">
        <v>1624</v>
      </c>
      <c r="G37" s="15" t="s">
        <v>1625</v>
      </c>
      <c r="H37" s="15" t="s">
        <v>1626</v>
      </c>
      <c r="I37" s="15" t="s">
        <v>49</v>
      </c>
      <c r="J37" s="7" t="str">
        <f>HYPERLINK("https://www.codechef.com/problems/FOURTICKETS", "https://www.codechef.com/problems/FOURTICKETS")</f>
        <v>https://www.codechef.com/problems/FOURTICKETS</v>
      </c>
      <c r="K37" s="15"/>
      <c r="L37" s="15" t="s">
        <v>194</v>
      </c>
      <c r="M37" s="15"/>
      <c r="N37" s="15" t="s">
        <v>50</v>
      </c>
      <c r="O37" s="15" t="s">
        <v>51</v>
      </c>
    </row>
    <row r="38" spans="1:15">
      <c r="A38" s="14" t="s">
        <v>11</v>
      </c>
      <c r="B38" s="14" t="s">
        <v>1521</v>
      </c>
      <c r="C38" s="14" t="s">
        <v>1522</v>
      </c>
      <c r="D38" s="14" t="s">
        <v>1523</v>
      </c>
      <c r="E38" s="14">
        <v>37</v>
      </c>
      <c r="F38" s="14" t="s">
        <v>1627</v>
      </c>
      <c r="G38" s="14" t="s">
        <v>1628</v>
      </c>
      <c r="H38" s="14" t="s">
        <v>1629</v>
      </c>
      <c r="I38" s="14" t="s">
        <v>49</v>
      </c>
      <c r="J38" s="11" t="str">
        <f>HYPERLINK("https://www.codechef.com/problems/CHAIRS_", "https://www.codechef.com/problems/CHAIRS_")</f>
        <v>https://www.codechef.com/problems/CHAIRS_</v>
      </c>
      <c r="K38" s="14"/>
      <c r="L38" s="14" t="s">
        <v>209</v>
      </c>
      <c r="M38" s="14"/>
      <c r="N38" s="14" t="s">
        <v>50</v>
      </c>
      <c r="O38" s="14" t="s">
        <v>51</v>
      </c>
    </row>
    <row r="39" spans="1:15">
      <c r="A39" s="15" t="s">
        <v>11</v>
      </c>
      <c r="B39" s="15" t="s">
        <v>1521</v>
      </c>
      <c r="C39" s="15" t="s">
        <v>1522</v>
      </c>
      <c r="D39" s="15" t="s">
        <v>1523</v>
      </c>
      <c r="E39" s="15">
        <v>38</v>
      </c>
      <c r="F39" s="15" t="s">
        <v>1630</v>
      </c>
      <c r="G39" s="15" t="s">
        <v>1631</v>
      </c>
      <c r="H39" s="15" t="s">
        <v>1629</v>
      </c>
      <c r="I39" s="15" t="s">
        <v>49</v>
      </c>
      <c r="J39" s="7" t="str">
        <f>HYPERLINK("https://www.codechef.com/problems/DNATION", "https://www.codechef.com/problems/DNATION")</f>
        <v>https://www.codechef.com/problems/DNATION</v>
      </c>
      <c r="K39" s="15"/>
      <c r="L39" s="15" t="s">
        <v>194</v>
      </c>
      <c r="M39" s="15"/>
      <c r="N39" s="15" t="s">
        <v>50</v>
      </c>
      <c r="O39" s="15" t="s">
        <v>51</v>
      </c>
    </row>
    <row r="40" spans="1:15">
      <c r="A40" s="14" t="s">
        <v>11</v>
      </c>
      <c r="B40" s="14" t="s">
        <v>1521</v>
      </c>
      <c r="C40" s="14" t="s">
        <v>1522</v>
      </c>
      <c r="D40" s="14" t="s">
        <v>1523</v>
      </c>
      <c r="E40" s="14">
        <v>39</v>
      </c>
      <c r="F40" s="14" t="s">
        <v>1632</v>
      </c>
      <c r="G40" s="14" t="s">
        <v>1633</v>
      </c>
      <c r="H40" s="14" t="s">
        <v>1634</v>
      </c>
      <c r="I40" s="14" t="s">
        <v>49</v>
      </c>
      <c r="J40" s="11" t="str">
        <f>HYPERLINK("https://www.codechef.com/problems/SUMM", "https://www.codechef.com/problems/SUMM")</f>
        <v>https://www.codechef.com/problems/SUMM</v>
      </c>
      <c r="K40" s="14"/>
      <c r="L40" s="14"/>
      <c r="M40" s="14"/>
      <c r="N40" s="14" t="s">
        <v>50</v>
      </c>
      <c r="O40" s="14" t="s">
        <v>51</v>
      </c>
    </row>
    <row r="41" spans="1:15">
      <c r="A41" s="15" t="s">
        <v>11</v>
      </c>
      <c r="B41" s="15" t="s">
        <v>1521</v>
      </c>
      <c r="C41" s="15" t="s">
        <v>1522</v>
      </c>
      <c r="D41" s="15" t="s">
        <v>1523</v>
      </c>
      <c r="E41" s="15">
        <v>40</v>
      </c>
      <c r="F41" s="15" t="s">
        <v>1635</v>
      </c>
      <c r="G41" s="15" t="s">
        <v>1636</v>
      </c>
      <c r="H41" s="15" t="s">
        <v>1637</v>
      </c>
      <c r="I41" s="15" t="s">
        <v>49</v>
      </c>
      <c r="J41" s="7" t="str">
        <f>HYPERLINK("https://www.codechef.com/problems/SUBSCRIBE", "https://www.codechef.com/problems/SUBSCRIBE")</f>
        <v>https://www.codechef.com/problems/SUBSCRIBE</v>
      </c>
      <c r="K41" s="15"/>
      <c r="L41" s="15"/>
      <c r="M41" s="15"/>
      <c r="N41" s="15" t="s">
        <v>50</v>
      </c>
      <c r="O41" s="15" t="s">
        <v>51</v>
      </c>
    </row>
    <row r="42" spans="1:15">
      <c r="A42" s="14" t="s">
        <v>11</v>
      </c>
      <c r="B42" s="14" t="s">
        <v>1521</v>
      </c>
      <c r="C42" s="14" t="s">
        <v>1522</v>
      </c>
      <c r="D42" s="14" t="s">
        <v>1523</v>
      </c>
      <c r="E42" s="14">
        <v>41</v>
      </c>
      <c r="F42" s="14" t="s">
        <v>1638</v>
      </c>
      <c r="G42" s="14" t="s">
        <v>1639</v>
      </c>
      <c r="H42" s="14" t="s">
        <v>1640</v>
      </c>
      <c r="I42" s="14" t="s">
        <v>49</v>
      </c>
      <c r="J42" s="11" t="str">
        <f>HYPERLINK("https://www.codechef.com/problems/MVR", "https://www.codechef.com/problems/MVR")</f>
        <v>https://www.codechef.com/problems/MVR</v>
      </c>
      <c r="K42" s="14"/>
      <c r="L42" s="14"/>
      <c r="M42" s="14"/>
      <c r="N42" s="14" t="s">
        <v>50</v>
      </c>
      <c r="O42" s="14" t="s">
        <v>51</v>
      </c>
    </row>
    <row r="43" spans="1:15">
      <c r="A43" s="15" t="s">
        <v>11</v>
      </c>
      <c r="B43" s="15" t="s">
        <v>1521</v>
      </c>
      <c r="C43" s="15" t="s">
        <v>1522</v>
      </c>
      <c r="D43" s="15" t="s">
        <v>1523</v>
      </c>
      <c r="E43" s="15">
        <v>42</v>
      </c>
      <c r="F43" s="15" t="s">
        <v>1641</v>
      </c>
      <c r="G43" s="15" t="s">
        <v>1642</v>
      </c>
      <c r="H43" s="15" t="s">
        <v>1643</v>
      </c>
      <c r="I43" s="15" t="s">
        <v>49</v>
      </c>
      <c r="J43" s="7" t="str">
        <f>HYPERLINK("https://www.codechef.com/problems/WAITTIME", "https://www.codechef.com/problems/WAITTIME")</f>
        <v>https://www.codechef.com/problems/WAITTIME</v>
      </c>
      <c r="K43" s="15"/>
      <c r="L43" s="15"/>
      <c r="M43" s="15"/>
      <c r="N43" s="15" t="s">
        <v>50</v>
      </c>
      <c r="O43" s="15" t="s">
        <v>51</v>
      </c>
    </row>
    <row r="44" spans="1:15">
      <c r="A44" s="14" t="s">
        <v>11</v>
      </c>
      <c r="B44" s="14" t="s">
        <v>1521</v>
      </c>
      <c r="C44" s="14" t="s">
        <v>1522</v>
      </c>
      <c r="D44" s="14" t="s">
        <v>1523</v>
      </c>
      <c r="E44" s="14">
        <v>43</v>
      </c>
      <c r="F44" s="14" t="s">
        <v>1644</v>
      </c>
      <c r="G44" s="14" t="s">
        <v>1645</v>
      </c>
      <c r="H44" s="14" t="s">
        <v>1643</v>
      </c>
      <c r="I44" s="14" t="s">
        <v>49</v>
      </c>
      <c r="J44" s="11" t="str">
        <f>HYPERLINK("https://www.codechef.com/problems/OCTATHON", "https://www.codechef.com/problems/OCTATHON")</f>
        <v>https://www.codechef.com/problems/OCTATHON</v>
      </c>
      <c r="K44" s="14"/>
      <c r="L44" s="14"/>
      <c r="M44" s="14"/>
      <c r="N44" s="14" t="s">
        <v>50</v>
      </c>
      <c r="O44" s="14" t="s">
        <v>51</v>
      </c>
    </row>
    <row r="45" spans="1:15">
      <c r="A45" s="15" t="s">
        <v>11</v>
      </c>
      <c r="B45" s="15" t="s">
        <v>1521</v>
      </c>
      <c r="C45" s="15" t="s">
        <v>1522</v>
      </c>
      <c r="D45" s="15" t="s">
        <v>1523</v>
      </c>
      <c r="E45" s="15">
        <v>44</v>
      </c>
      <c r="F45" s="15" t="s">
        <v>1646</v>
      </c>
      <c r="G45" s="15" t="s">
        <v>1647</v>
      </c>
      <c r="H45" s="15" t="s">
        <v>1648</v>
      </c>
      <c r="I45" s="15" t="s">
        <v>49</v>
      </c>
      <c r="J45" s="7" t="str">
        <f>HYPERLINK("https://www.codechef.com/problems/ONEMORE", "https://www.codechef.com/problems/ONEMORE")</f>
        <v>https://www.codechef.com/problems/ONEMORE</v>
      </c>
      <c r="K45" s="15"/>
      <c r="L45" s="15" t="s">
        <v>1578</v>
      </c>
      <c r="M45" s="15"/>
      <c r="N45" s="15" t="s">
        <v>50</v>
      </c>
      <c r="O45" s="15" t="s">
        <v>51</v>
      </c>
    </row>
    <row r="46" spans="1:15">
      <c r="A46" s="14" t="s">
        <v>11</v>
      </c>
      <c r="B46" s="14" t="s">
        <v>1521</v>
      </c>
      <c r="C46" s="14" t="s">
        <v>1522</v>
      </c>
      <c r="D46" s="14" t="s">
        <v>1523</v>
      </c>
      <c r="E46" s="14">
        <v>45</v>
      </c>
      <c r="F46" s="14" t="s">
        <v>1649</v>
      </c>
      <c r="G46" s="14" t="s">
        <v>1650</v>
      </c>
      <c r="H46" s="14" t="s">
        <v>1651</v>
      </c>
      <c r="I46" s="14" t="s">
        <v>49</v>
      </c>
      <c r="J46" s="11" t="str">
        <f>HYPERLINK("https://www.codechef.com/problems/MANAPTS", "https://www.codechef.com/problems/MANAPTS")</f>
        <v>https://www.codechef.com/problems/MANAPTS</v>
      </c>
      <c r="K46" s="14"/>
      <c r="L46" s="14"/>
      <c r="M46" s="14"/>
      <c r="N46" s="14" t="s">
        <v>50</v>
      </c>
      <c r="O46" s="14" t="s">
        <v>51</v>
      </c>
    </row>
    <row r="47" spans="1:15">
      <c r="A47" s="15" t="s">
        <v>11</v>
      </c>
      <c r="B47" s="15" t="s">
        <v>1521</v>
      </c>
      <c r="C47" s="15" t="s">
        <v>1522</v>
      </c>
      <c r="D47" s="15" t="s">
        <v>1523</v>
      </c>
      <c r="E47" s="15">
        <v>46</v>
      </c>
      <c r="F47" s="15" t="s">
        <v>1652</v>
      </c>
      <c r="G47" s="15" t="s">
        <v>1653</v>
      </c>
      <c r="H47" s="15" t="s">
        <v>1654</v>
      </c>
      <c r="I47" s="15" t="s">
        <v>49</v>
      </c>
      <c r="J47" s="7" t="str">
        <f>HYPERLINK("https://www.codechef.com/problems/RAINFALL1", "https://www.codechef.com/problems/RAINFALL1")</f>
        <v>https://www.codechef.com/problems/RAINFALL1</v>
      </c>
      <c r="K47" s="15"/>
      <c r="L47" s="15"/>
      <c r="M47" s="15"/>
      <c r="N47" s="15" t="s">
        <v>50</v>
      </c>
      <c r="O47" s="15" t="s">
        <v>51</v>
      </c>
    </row>
    <row r="48" spans="1:15">
      <c r="A48" s="14" t="s">
        <v>11</v>
      </c>
      <c r="B48" s="14" t="s">
        <v>1521</v>
      </c>
      <c r="C48" s="14" t="s">
        <v>1522</v>
      </c>
      <c r="D48" s="14" t="s">
        <v>1523</v>
      </c>
      <c r="E48" s="14">
        <v>47</v>
      </c>
      <c r="F48" s="14" t="s">
        <v>1655</v>
      </c>
      <c r="G48" s="14" t="s">
        <v>1656</v>
      </c>
      <c r="H48" s="14" t="s">
        <v>1657</v>
      </c>
      <c r="I48" s="14" t="s">
        <v>49</v>
      </c>
      <c r="J48" s="11" t="str">
        <f>HYPERLINK("https://www.codechef.com/problems/AUCTION", "https://www.codechef.com/problems/AUCTION")</f>
        <v>https://www.codechef.com/problems/AUCTION</v>
      </c>
      <c r="K48" s="14"/>
      <c r="L48" s="14" t="s">
        <v>125</v>
      </c>
      <c r="M48" s="14"/>
      <c r="N48" s="14" t="s">
        <v>50</v>
      </c>
      <c r="O48" s="14" t="s">
        <v>51</v>
      </c>
    </row>
    <row r="49" spans="1:15">
      <c r="A49" s="15" t="s">
        <v>11</v>
      </c>
      <c r="B49" s="15" t="s">
        <v>1521</v>
      </c>
      <c r="C49" s="15" t="s">
        <v>1522</v>
      </c>
      <c r="D49" s="15" t="s">
        <v>1523</v>
      </c>
      <c r="E49" s="15">
        <v>48</v>
      </c>
      <c r="F49" s="15" t="s">
        <v>1658</v>
      </c>
      <c r="G49" s="15" t="s">
        <v>1659</v>
      </c>
      <c r="H49" s="15" t="s">
        <v>1660</v>
      </c>
      <c r="I49" s="15" t="s">
        <v>49</v>
      </c>
      <c r="J49" s="7" t="str">
        <f>HYPERLINK("https://www.codechef.com/problems/FINE", "https://www.codechef.com/problems/FINE")</f>
        <v>https://www.codechef.com/problems/FINE</v>
      </c>
      <c r="K49" s="15"/>
      <c r="L49" s="15" t="s">
        <v>125</v>
      </c>
      <c r="M49" s="15"/>
      <c r="N49" s="15" t="s">
        <v>50</v>
      </c>
      <c r="O49" s="15" t="s">
        <v>51</v>
      </c>
    </row>
    <row r="50" spans="1:15">
      <c r="A50" s="14" t="s">
        <v>11</v>
      </c>
      <c r="B50" s="14" t="s">
        <v>1521</v>
      </c>
      <c r="C50" s="14" t="s">
        <v>1522</v>
      </c>
      <c r="D50" s="14" t="s">
        <v>1523</v>
      </c>
      <c r="E50" s="14">
        <v>49</v>
      </c>
      <c r="F50" s="14" t="s">
        <v>1661</v>
      </c>
      <c r="G50" s="14" t="s">
        <v>1662</v>
      </c>
      <c r="H50" s="14" t="s">
        <v>1663</v>
      </c>
      <c r="I50" s="14" t="s">
        <v>49</v>
      </c>
      <c r="J50" s="11" t="str">
        <f>HYPERLINK("https://www.codechef.com/problems/CHESSTIME", "https://www.codechef.com/problems/CHESSTIME")</f>
        <v>https://www.codechef.com/problems/CHESSTIME</v>
      </c>
      <c r="K50" s="14"/>
      <c r="L50" s="14" t="s">
        <v>194</v>
      </c>
      <c r="M50" s="14"/>
      <c r="N50" s="14" t="s">
        <v>50</v>
      </c>
      <c r="O50" s="14" t="s">
        <v>51</v>
      </c>
    </row>
    <row r="51" spans="1:15">
      <c r="A51" s="15" t="s">
        <v>11</v>
      </c>
      <c r="B51" s="15" t="s">
        <v>1521</v>
      </c>
      <c r="C51" s="15" t="s">
        <v>1522</v>
      </c>
      <c r="D51" s="15" t="s">
        <v>1523</v>
      </c>
      <c r="E51" s="15">
        <v>50</v>
      </c>
      <c r="F51" s="15" t="s">
        <v>1664</v>
      </c>
      <c r="G51" s="15" t="s">
        <v>1665</v>
      </c>
      <c r="H51" s="15" t="s">
        <v>1666</v>
      </c>
      <c r="I51" s="15" t="s">
        <v>49</v>
      </c>
      <c r="J51" s="7" t="str">
        <f>HYPERLINK("https://www.codechef.com/problems/FAIRPASS", "https://www.codechef.com/problems/FAIRPASS")</f>
        <v>https://www.codechef.com/problems/FAIRPASS</v>
      </c>
      <c r="K51" s="15"/>
      <c r="L51" s="15" t="s">
        <v>194</v>
      </c>
      <c r="M51" s="15"/>
      <c r="N51" s="15" t="s">
        <v>50</v>
      </c>
      <c r="O51" s="15" t="s">
        <v>51</v>
      </c>
    </row>
    <row r="52" spans="1:15">
      <c r="A52" s="14" t="s">
        <v>11</v>
      </c>
      <c r="B52" s="14" t="s">
        <v>1521</v>
      </c>
      <c r="C52" s="14" t="s">
        <v>1522</v>
      </c>
      <c r="D52" s="14" t="s">
        <v>1523</v>
      </c>
      <c r="E52" s="14">
        <v>51</v>
      </c>
      <c r="F52" s="14" t="s">
        <v>1667</v>
      </c>
      <c r="G52" s="14" t="s">
        <v>1668</v>
      </c>
      <c r="H52" s="14" t="s">
        <v>1669</v>
      </c>
      <c r="I52" s="14" t="s">
        <v>49</v>
      </c>
      <c r="J52" s="11" t="str">
        <f>HYPERLINK("https://www.codechef.com/problems/READPAGES", "https://www.codechef.com/problems/READPAGES")</f>
        <v>https://www.codechef.com/problems/READPAGES</v>
      </c>
      <c r="K52" s="14"/>
      <c r="L52" s="14"/>
      <c r="M52" s="14"/>
      <c r="N52" s="14" t="s">
        <v>50</v>
      </c>
      <c r="O52" s="14" t="s">
        <v>51</v>
      </c>
    </row>
    <row r="53" spans="1:15">
      <c r="A53" s="15" t="s">
        <v>11</v>
      </c>
      <c r="B53" s="15" t="s">
        <v>1521</v>
      </c>
      <c r="C53" s="15" t="s">
        <v>1522</v>
      </c>
      <c r="D53" s="15" t="s">
        <v>1523</v>
      </c>
      <c r="E53" s="15">
        <v>52</v>
      </c>
      <c r="F53" s="15" t="s">
        <v>1670</v>
      </c>
      <c r="G53" s="15" t="s">
        <v>1671</v>
      </c>
      <c r="H53" s="15" t="s">
        <v>1672</v>
      </c>
      <c r="I53" s="15" t="s">
        <v>49</v>
      </c>
      <c r="J53" s="7" t="str">
        <f>HYPERLINK("https://www.codechef.com/problems/COUGAME", "https://www.codechef.com/problems/COUGAME")</f>
        <v>https://www.codechef.com/problems/COUGAME</v>
      </c>
      <c r="K53" s="15"/>
      <c r="L53" s="15" t="s">
        <v>194</v>
      </c>
      <c r="M53" s="15"/>
      <c r="N53" s="15" t="s">
        <v>50</v>
      </c>
      <c r="O53" s="15" t="s">
        <v>51</v>
      </c>
    </row>
    <row r="54" spans="1:15">
      <c r="A54" s="14" t="s">
        <v>11</v>
      </c>
      <c r="B54" s="14" t="s">
        <v>1521</v>
      </c>
      <c r="C54" s="14" t="s">
        <v>1522</v>
      </c>
      <c r="D54" s="14" t="s">
        <v>1523</v>
      </c>
      <c r="E54" s="14">
        <v>53</v>
      </c>
      <c r="F54" s="14" t="s">
        <v>1673</v>
      </c>
      <c r="G54" s="14" t="s">
        <v>1674</v>
      </c>
      <c r="H54" s="14" t="s">
        <v>1672</v>
      </c>
      <c r="I54" s="14" t="s">
        <v>49</v>
      </c>
      <c r="J54" s="11" t="str">
        <f>HYPERLINK("https://www.codechef.com/problems/AIRINDEX", "https://www.codechef.com/problems/AIRINDEX")</f>
        <v>https://www.codechef.com/problems/AIRINDEX</v>
      </c>
      <c r="K54" s="14"/>
      <c r="L54" s="14" t="s">
        <v>1578</v>
      </c>
      <c r="M54" s="14"/>
      <c r="N54" s="14" t="s">
        <v>50</v>
      </c>
      <c r="O54" s="14" t="s">
        <v>51</v>
      </c>
    </row>
    <row r="55" spans="1:15">
      <c r="A55" s="15" t="s">
        <v>11</v>
      </c>
      <c r="B55" s="15" t="s">
        <v>1521</v>
      </c>
      <c r="C55" s="15" t="s">
        <v>1522</v>
      </c>
      <c r="D55" s="15" t="s">
        <v>1523</v>
      </c>
      <c r="E55" s="15">
        <v>54</v>
      </c>
      <c r="F55" s="15" t="s">
        <v>1675</v>
      </c>
      <c r="G55" s="15" t="s">
        <v>1676</v>
      </c>
      <c r="H55" s="15" t="s">
        <v>1677</v>
      </c>
      <c r="I55" s="15" t="s">
        <v>49</v>
      </c>
      <c r="J55" s="7" t="str">
        <f>HYPERLINK("https://www.codechef.com/problems/FEVER", "https://www.codechef.com/problems/FEVER")</f>
        <v>https://www.codechef.com/problems/FEVER</v>
      </c>
      <c r="K55" s="15"/>
      <c r="L55" s="15" t="s">
        <v>125</v>
      </c>
      <c r="M55" s="15"/>
      <c r="N55" s="15" t="s">
        <v>50</v>
      </c>
      <c r="O55" s="15" t="s">
        <v>51</v>
      </c>
    </row>
    <row r="56" spans="1:15">
      <c r="A56" s="14" t="s">
        <v>11</v>
      </c>
      <c r="B56" s="14" t="s">
        <v>1521</v>
      </c>
      <c r="C56" s="14" t="s">
        <v>1522</v>
      </c>
      <c r="D56" s="14" t="s">
        <v>1523</v>
      </c>
      <c r="E56" s="14">
        <v>55</v>
      </c>
      <c r="F56" s="14" t="s">
        <v>1678</v>
      </c>
      <c r="G56" s="14" t="s">
        <v>1679</v>
      </c>
      <c r="H56" s="14" t="s">
        <v>1677</v>
      </c>
      <c r="I56" s="14" t="s">
        <v>49</v>
      </c>
      <c r="J56" s="11" t="str">
        <f>HYPERLINK("https://www.codechef.com/problems/SLEEP", "https://www.codechef.com/problems/SLEEP")</f>
        <v>https://www.codechef.com/problems/SLEEP</v>
      </c>
      <c r="K56" s="14"/>
      <c r="L56" s="14"/>
      <c r="M56" s="14"/>
      <c r="N56" s="14" t="s">
        <v>50</v>
      </c>
      <c r="O56" s="14" t="s">
        <v>51</v>
      </c>
    </row>
    <row r="57" spans="1:15">
      <c r="A57" s="15" t="s">
        <v>11</v>
      </c>
      <c r="B57" s="15" t="s">
        <v>1521</v>
      </c>
      <c r="C57" s="15" t="s">
        <v>1522</v>
      </c>
      <c r="D57" s="15" t="s">
        <v>1523</v>
      </c>
      <c r="E57" s="15">
        <v>56</v>
      </c>
      <c r="F57" s="15" t="s">
        <v>1680</v>
      </c>
      <c r="G57" s="15" t="s">
        <v>1681</v>
      </c>
      <c r="H57" s="15" t="s">
        <v>1682</v>
      </c>
      <c r="I57" s="15" t="s">
        <v>49</v>
      </c>
      <c r="J57" s="7" t="str">
        <f>HYPERLINK("https://www.codechef.com/problems/M1ENROL", "https://www.codechef.com/problems/M1ENROL")</f>
        <v>https://www.codechef.com/problems/M1ENROL</v>
      </c>
      <c r="K57" s="15"/>
      <c r="L57" s="15"/>
      <c r="M57" s="15"/>
      <c r="N57" s="15" t="s">
        <v>50</v>
      </c>
      <c r="O57" s="15" t="s">
        <v>51</v>
      </c>
    </row>
    <row r="58" spans="1:15">
      <c r="A58" s="14" t="s">
        <v>11</v>
      </c>
      <c r="B58" s="14" t="s">
        <v>1521</v>
      </c>
      <c r="C58" s="14" t="s">
        <v>1522</v>
      </c>
      <c r="D58" s="14" t="s">
        <v>1523</v>
      </c>
      <c r="E58" s="14">
        <v>57</v>
      </c>
      <c r="F58" s="14" t="s">
        <v>1683</v>
      </c>
      <c r="G58" s="14" t="s">
        <v>1684</v>
      </c>
      <c r="H58" s="14" t="s">
        <v>1685</v>
      </c>
      <c r="I58" s="14" t="s">
        <v>49</v>
      </c>
      <c r="J58" s="11" t="str">
        <f>HYPERLINK("https://www.codechef.com/problems/SEMCOURSES", "https://www.codechef.com/problems/SEMCOURSES")</f>
        <v>https://www.codechef.com/problems/SEMCOURSES</v>
      </c>
      <c r="K58" s="14"/>
      <c r="L58" s="14"/>
      <c r="M58" s="14"/>
      <c r="N58" s="14" t="s">
        <v>50</v>
      </c>
      <c r="O58" s="14" t="s">
        <v>51</v>
      </c>
    </row>
    <row r="59" spans="1:15">
      <c r="A59" s="15" t="s">
        <v>11</v>
      </c>
      <c r="B59" s="15" t="s">
        <v>1521</v>
      </c>
      <c r="C59" s="15" t="s">
        <v>1522</v>
      </c>
      <c r="D59" s="15" t="s">
        <v>1523</v>
      </c>
      <c r="E59" s="15">
        <v>58</v>
      </c>
      <c r="F59" s="15" t="s">
        <v>1686</v>
      </c>
      <c r="G59" s="15" t="s">
        <v>1687</v>
      </c>
      <c r="H59" s="15" t="s">
        <v>1688</v>
      </c>
      <c r="I59" s="15" t="s">
        <v>49</v>
      </c>
      <c r="J59" s="7" t="str">
        <f>HYPERLINK("https://www.codechef.com/problems/WATERREQ", "https://www.codechef.com/problems/WATERREQ")</f>
        <v>https://www.codechef.com/problems/WATERREQ</v>
      </c>
      <c r="K59" s="15"/>
      <c r="L59" s="15"/>
      <c r="M59" s="15"/>
      <c r="N59" s="15" t="s">
        <v>50</v>
      </c>
      <c r="O59" s="15" t="s">
        <v>51</v>
      </c>
    </row>
    <row r="60" spans="1:15">
      <c r="A60" s="14" t="s">
        <v>11</v>
      </c>
      <c r="B60" s="14" t="s">
        <v>1521</v>
      </c>
      <c r="C60" s="14" t="s">
        <v>1522</v>
      </c>
      <c r="D60" s="14" t="s">
        <v>1523</v>
      </c>
      <c r="E60" s="14">
        <v>59</v>
      </c>
      <c r="F60" s="14" t="s">
        <v>1689</v>
      </c>
      <c r="G60" s="14" t="s">
        <v>1690</v>
      </c>
      <c r="H60" s="14" t="s">
        <v>1691</v>
      </c>
      <c r="I60" s="14" t="s">
        <v>49</v>
      </c>
      <c r="J60" s="11" t="str">
        <f>HYPERLINK("https://www.codechef.com/problems/LTIME", "https://www.codechef.com/problems/LTIME")</f>
        <v>https://www.codechef.com/problems/LTIME</v>
      </c>
      <c r="K60" s="14"/>
      <c r="L60" s="14" t="s">
        <v>194</v>
      </c>
      <c r="M60" s="14"/>
      <c r="N60" s="14" t="s">
        <v>50</v>
      </c>
      <c r="O60" s="14" t="s">
        <v>51</v>
      </c>
    </row>
    <row r="61" spans="1:15">
      <c r="A61" s="15" t="s">
        <v>11</v>
      </c>
      <c r="B61" s="15" t="s">
        <v>1521</v>
      </c>
      <c r="C61" s="15" t="s">
        <v>1522</v>
      </c>
      <c r="D61" s="15" t="s">
        <v>1523</v>
      </c>
      <c r="E61" s="15">
        <v>60</v>
      </c>
      <c r="F61" s="15" t="s">
        <v>1692</v>
      </c>
      <c r="G61" s="15" t="s">
        <v>1693</v>
      </c>
      <c r="H61" s="15" t="s">
        <v>1694</v>
      </c>
      <c r="I61" s="15" t="s">
        <v>49</v>
      </c>
      <c r="J61" s="7" t="str">
        <f>HYPERLINK("https://www.codechef.com/problems/INVESTMENT", "https://www.codechef.com/problems/INVESTMENT")</f>
        <v>https://www.codechef.com/problems/INVESTMENT</v>
      </c>
      <c r="K61" s="15"/>
      <c r="L61" s="15" t="s">
        <v>125</v>
      </c>
      <c r="M61" s="15"/>
      <c r="N61" s="15" t="s">
        <v>50</v>
      </c>
      <c r="O61" s="15" t="s">
        <v>51</v>
      </c>
    </row>
    <row r="62" spans="1:15">
      <c r="A62" s="14" t="s">
        <v>11</v>
      </c>
      <c r="B62" s="14" t="s">
        <v>1521</v>
      </c>
      <c r="C62" s="14" t="s">
        <v>1522</v>
      </c>
      <c r="D62" s="14" t="s">
        <v>1523</v>
      </c>
      <c r="E62" s="14">
        <v>61</v>
      </c>
      <c r="F62" s="14" t="s">
        <v>1695</v>
      </c>
      <c r="G62" s="14" t="s">
        <v>1696</v>
      </c>
      <c r="H62" s="14" t="s">
        <v>1697</v>
      </c>
      <c r="I62" s="14" t="s">
        <v>49</v>
      </c>
      <c r="J62" s="11" t="str">
        <f>HYPERLINK("https://www.codechef.com/problems/POPULATION", "https://www.codechef.com/problems/POPULATION")</f>
        <v>https://www.codechef.com/problems/POPULATION</v>
      </c>
      <c r="K62" s="14"/>
      <c r="L62" s="14" t="s">
        <v>194</v>
      </c>
      <c r="M62" s="14"/>
      <c r="N62" s="14" t="s">
        <v>50</v>
      </c>
      <c r="O62" s="14" t="s">
        <v>51</v>
      </c>
    </row>
    <row r="63" spans="1:15">
      <c r="A63" s="15" t="s">
        <v>11</v>
      </c>
      <c r="B63" s="15" t="s">
        <v>1521</v>
      </c>
      <c r="C63" s="15" t="s">
        <v>1522</v>
      </c>
      <c r="D63" s="15" t="s">
        <v>1523</v>
      </c>
      <c r="E63" s="15">
        <v>62</v>
      </c>
      <c r="F63" s="15" t="s">
        <v>1698</v>
      </c>
      <c r="G63" s="15" t="s">
        <v>1699</v>
      </c>
      <c r="H63" s="15" t="s">
        <v>1700</v>
      </c>
      <c r="I63" s="15" t="s">
        <v>49</v>
      </c>
      <c r="J63" s="7" t="str">
        <f>HYPERLINK("https://www.codechef.com/problems/PARTY2", "https://www.codechef.com/problems/PARTY2")</f>
        <v>https://www.codechef.com/problems/PARTY2</v>
      </c>
      <c r="K63" s="15"/>
      <c r="L63" s="15" t="s">
        <v>1701</v>
      </c>
      <c r="M63" s="15"/>
      <c r="N63" s="15" t="s">
        <v>50</v>
      </c>
      <c r="O63" s="15" t="s">
        <v>51</v>
      </c>
    </row>
    <row r="64" spans="1:15">
      <c r="A64" s="14" t="s">
        <v>11</v>
      </c>
      <c r="B64" s="14" t="s">
        <v>1521</v>
      </c>
      <c r="C64" s="14" t="s">
        <v>1522</v>
      </c>
      <c r="D64" s="14" t="s">
        <v>1523</v>
      </c>
      <c r="E64" s="14">
        <v>63</v>
      </c>
      <c r="F64" s="14" t="s">
        <v>1702</v>
      </c>
      <c r="G64" s="14" t="s">
        <v>1703</v>
      </c>
      <c r="H64" s="14" t="s">
        <v>1704</v>
      </c>
      <c r="I64" s="14" t="s">
        <v>49</v>
      </c>
      <c r="J64" s="11" t="str">
        <f>HYPERLINK("https://www.codechef.com/problems/COMPLEXITY", "https://www.codechef.com/problems/COMPLEXITY")</f>
        <v>https://www.codechef.com/problems/COMPLEXITY</v>
      </c>
      <c r="K64" s="14"/>
      <c r="L64" s="14" t="s">
        <v>125</v>
      </c>
      <c r="M64" s="14"/>
      <c r="N64" s="14" t="s">
        <v>50</v>
      </c>
      <c r="O64" s="14" t="s">
        <v>51</v>
      </c>
    </row>
    <row r="65" spans="1:15">
      <c r="A65" s="15" t="s">
        <v>11</v>
      </c>
      <c r="B65" s="15" t="s">
        <v>1521</v>
      </c>
      <c r="C65" s="15" t="s">
        <v>1522</v>
      </c>
      <c r="D65" s="15" t="s">
        <v>1523</v>
      </c>
      <c r="E65" s="15">
        <v>64</v>
      </c>
      <c r="F65" s="15" t="s">
        <v>1705</v>
      </c>
      <c r="G65" s="15" t="s">
        <v>1706</v>
      </c>
      <c r="H65" s="15" t="s">
        <v>1707</v>
      </c>
      <c r="I65" s="15" t="s">
        <v>49</v>
      </c>
      <c r="J65" s="7" t="str">
        <f>HYPERLINK("https://www.codechef.com/problems/INTRDSGN", "https://www.codechef.com/problems/INTRDSGN")</f>
        <v>https://www.codechef.com/problems/INTRDSGN</v>
      </c>
      <c r="K65" s="15"/>
      <c r="L65" s="15" t="s">
        <v>194</v>
      </c>
      <c r="M65" s="15"/>
      <c r="N65" s="15" t="s">
        <v>50</v>
      </c>
      <c r="O65" s="15" t="s">
        <v>51</v>
      </c>
    </row>
    <row r="66" spans="1:15">
      <c r="A66" s="14" t="s">
        <v>11</v>
      </c>
      <c r="B66" s="14" t="s">
        <v>1521</v>
      </c>
      <c r="C66" s="14" t="s">
        <v>1522</v>
      </c>
      <c r="D66" s="14" t="s">
        <v>1523</v>
      </c>
      <c r="E66" s="14">
        <v>65</v>
      </c>
      <c r="F66" s="14" t="s">
        <v>1708</v>
      </c>
      <c r="G66" s="14" t="s">
        <v>1709</v>
      </c>
      <c r="H66" s="14" t="s">
        <v>1710</v>
      </c>
      <c r="I66" s="14" t="s">
        <v>49</v>
      </c>
      <c r="J66" s="11" t="str">
        <f>HYPERLINK("https://www.codechef.com/problems/CARTRIP", "https://www.codechef.com/problems/CARTRIP")</f>
        <v>https://www.codechef.com/problems/CARTRIP</v>
      </c>
      <c r="K66" s="14"/>
      <c r="L66" s="14" t="s">
        <v>187</v>
      </c>
      <c r="M66" s="14"/>
      <c r="N66" s="14" t="s">
        <v>50</v>
      </c>
      <c r="O66" s="14" t="s">
        <v>51</v>
      </c>
    </row>
    <row r="67" spans="1:15">
      <c r="A67" s="15" t="s">
        <v>11</v>
      </c>
      <c r="B67" s="15" t="s">
        <v>1521</v>
      </c>
      <c r="C67" s="15" t="s">
        <v>1522</v>
      </c>
      <c r="D67" s="15" t="s">
        <v>1523</v>
      </c>
      <c r="E67" s="15">
        <v>66</v>
      </c>
      <c r="F67" s="15" t="s">
        <v>1711</v>
      </c>
      <c r="G67" s="15" t="s">
        <v>1712</v>
      </c>
      <c r="H67" s="15" t="s">
        <v>1713</v>
      </c>
      <c r="I67" s="15" t="s">
        <v>49</v>
      </c>
      <c r="J67" s="7" t="str">
        <f>HYPERLINK("https://www.codechef.com/problems/TABLETS", "https://www.codechef.com/problems/TABLETS")</f>
        <v>https://www.codechef.com/problems/TABLETS</v>
      </c>
      <c r="K67" s="15"/>
      <c r="L67" s="15"/>
      <c r="M67" s="15"/>
      <c r="N67" s="15" t="s">
        <v>50</v>
      </c>
      <c r="O67" s="15" t="s">
        <v>51</v>
      </c>
    </row>
    <row r="68" spans="1:15">
      <c r="A68" s="14" t="s">
        <v>11</v>
      </c>
      <c r="B68" s="14" t="s">
        <v>1521</v>
      </c>
      <c r="C68" s="14" t="s">
        <v>1522</v>
      </c>
      <c r="D68" s="14" t="s">
        <v>1523</v>
      </c>
      <c r="E68" s="14">
        <v>67</v>
      </c>
      <c r="F68" s="14" t="s">
        <v>1714</v>
      </c>
      <c r="G68" s="14" t="s">
        <v>1715</v>
      </c>
      <c r="H68" s="14" t="s">
        <v>1716</v>
      </c>
      <c r="I68" s="14" t="s">
        <v>49</v>
      </c>
      <c r="J68" s="11" t="str">
        <f>HYPERLINK("https://www.codechef.com/problems/SIXFRIENDS", "https://www.codechef.com/problems/SIXFRIENDS")</f>
        <v>https://www.codechef.com/problems/SIXFRIENDS</v>
      </c>
      <c r="K68" s="14"/>
      <c r="L68" s="14"/>
      <c r="M68" s="14"/>
      <c r="N68" s="14" t="s">
        <v>50</v>
      </c>
      <c r="O68" s="14" t="s">
        <v>51</v>
      </c>
    </row>
    <row r="69" spans="1:15">
      <c r="A69" s="15" t="s">
        <v>11</v>
      </c>
      <c r="B69" s="15" t="s">
        <v>1521</v>
      </c>
      <c r="C69" s="15" t="s">
        <v>1522</v>
      </c>
      <c r="D69" s="15" t="s">
        <v>1523</v>
      </c>
      <c r="E69" s="15">
        <v>68</v>
      </c>
      <c r="F69" s="15" t="s">
        <v>1717</v>
      </c>
      <c r="G69" s="15" t="s">
        <v>1718</v>
      </c>
      <c r="H69" s="15" t="s">
        <v>1719</v>
      </c>
      <c r="I69" s="15" t="s">
        <v>49</v>
      </c>
      <c r="J69" s="7" t="str">
        <f>HYPERLINK("https://www.codechef.com/problems/CWIREFRAME", "https://www.codechef.com/problems/CWIREFRAME")</f>
        <v>https://www.codechef.com/problems/CWIREFRAME</v>
      </c>
      <c r="K69" s="15"/>
      <c r="L69" s="15" t="s">
        <v>187</v>
      </c>
      <c r="M69" s="15"/>
      <c r="N69" s="15" t="s">
        <v>50</v>
      </c>
      <c r="O69" s="15" t="s">
        <v>51</v>
      </c>
    </row>
    <row r="70" spans="1:15">
      <c r="A70" s="14" t="s">
        <v>11</v>
      </c>
      <c r="B70" s="14" t="s">
        <v>1521</v>
      </c>
      <c r="C70" s="14" t="s">
        <v>1522</v>
      </c>
      <c r="D70" s="14" t="s">
        <v>1523</v>
      </c>
      <c r="E70" s="14">
        <v>69</v>
      </c>
      <c r="F70" s="14" t="s">
        <v>1720</v>
      </c>
      <c r="G70" s="14" t="s">
        <v>1721</v>
      </c>
      <c r="H70" s="14" t="s">
        <v>1722</v>
      </c>
      <c r="I70" s="14" t="s">
        <v>49</v>
      </c>
      <c r="J70" s="11" t="str">
        <f>HYPERLINK("https://www.codechef.com/problems/MINCOINSREQ", "https://www.codechef.com/problems/MINCOINSREQ")</f>
        <v>https://www.codechef.com/problems/MINCOINSREQ</v>
      </c>
      <c r="K70" s="14"/>
      <c r="L70" s="14" t="s">
        <v>194</v>
      </c>
      <c r="M70" s="14"/>
      <c r="N70" s="14" t="s">
        <v>50</v>
      </c>
      <c r="O70" s="14" t="s">
        <v>51</v>
      </c>
    </row>
    <row r="71" spans="1:15">
      <c r="A71" s="15" t="s">
        <v>11</v>
      </c>
      <c r="B71" s="15" t="s">
        <v>1521</v>
      </c>
      <c r="C71" s="15" t="s">
        <v>1522</v>
      </c>
      <c r="D71" s="15" t="s">
        <v>1523</v>
      </c>
      <c r="E71" s="15">
        <v>70</v>
      </c>
      <c r="F71" s="15" t="s">
        <v>1723</v>
      </c>
      <c r="G71" s="15" t="s">
        <v>1724</v>
      </c>
      <c r="H71" s="15" t="s">
        <v>1722</v>
      </c>
      <c r="I71" s="15" t="s">
        <v>49</v>
      </c>
      <c r="J71" s="7" t="str">
        <f>HYPERLINK("https://www.codechef.com/problems/KITCHENSPICE", "https://www.codechef.com/problems/KITCHENSPICE")</f>
        <v>https://www.codechef.com/problems/KITCHENSPICE</v>
      </c>
      <c r="K71" s="15"/>
      <c r="L71" s="15"/>
      <c r="M71" s="15"/>
      <c r="N71" s="15" t="s">
        <v>50</v>
      </c>
      <c r="O71" s="15" t="s">
        <v>51</v>
      </c>
    </row>
    <row r="72" spans="1:15">
      <c r="A72" s="14" t="s">
        <v>11</v>
      </c>
      <c r="B72" s="14" t="s">
        <v>1521</v>
      </c>
      <c r="C72" s="14" t="s">
        <v>1522</v>
      </c>
      <c r="D72" s="14" t="s">
        <v>1523</v>
      </c>
      <c r="E72" s="14">
        <v>71</v>
      </c>
      <c r="F72" s="14" t="s">
        <v>1725</v>
      </c>
      <c r="G72" s="14" t="s">
        <v>1726</v>
      </c>
      <c r="H72" s="14" t="s">
        <v>1722</v>
      </c>
      <c r="I72" s="14" t="s">
        <v>49</v>
      </c>
      <c r="J72" s="11" t="str">
        <f>HYPERLINK("https://www.codechef.com/problems/CS2023_GIFT", "https://www.codechef.com/problems/CS2023_GIFT")</f>
        <v>https://www.codechef.com/problems/CS2023_GIFT</v>
      </c>
      <c r="K72" s="14"/>
      <c r="L72" s="14" t="s">
        <v>125</v>
      </c>
      <c r="M72" s="14"/>
      <c r="N72" s="14" t="s">
        <v>50</v>
      </c>
      <c r="O72" s="14" t="s">
        <v>51</v>
      </c>
    </row>
    <row r="73" spans="1:15">
      <c r="A73" s="15" t="s">
        <v>11</v>
      </c>
      <c r="B73" s="15" t="s">
        <v>1521</v>
      </c>
      <c r="C73" s="15" t="s">
        <v>1522</v>
      </c>
      <c r="D73" s="15" t="s">
        <v>1523</v>
      </c>
      <c r="E73" s="15">
        <v>72</v>
      </c>
      <c r="F73" s="15" t="s">
        <v>1727</v>
      </c>
      <c r="G73" s="15" t="s">
        <v>1728</v>
      </c>
      <c r="H73" s="15" t="s">
        <v>1729</v>
      </c>
      <c r="I73" s="15" t="s">
        <v>49</v>
      </c>
      <c r="J73" s="7" t="str">
        <f>HYPERLINK("https://www.codechef.com/problems/REACH_HOME", "https://www.codechef.com/problems/REACH_HOME")</f>
        <v>https://www.codechef.com/problems/REACH_HOME</v>
      </c>
      <c r="K73" s="15"/>
      <c r="L73" s="15"/>
      <c r="M73" s="15"/>
      <c r="N73" s="15" t="s">
        <v>50</v>
      </c>
      <c r="O73" s="15" t="s">
        <v>51</v>
      </c>
    </row>
    <row r="74" spans="1:15">
      <c r="A74" s="14" t="s">
        <v>11</v>
      </c>
      <c r="B74" s="14" t="s">
        <v>1521</v>
      </c>
      <c r="C74" s="14" t="s">
        <v>1522</v>
      </c>
      <c r="D74" s="14" t="s">
        <v>1523</v>
      </c>
      <c r="E74" s="14">
        <v>73</v>
      </c>
      <c r="F74" s="14" t="s">
        <v>1730</v>
      </c>
      <c r="G74" s="14" t="s">
        <v>1731</v>
      </c>
      <c r="H74" s="14" t="s">
        <v>1729</v>
      </c>
      <c r="I74" s="14" t="s">
        <v>49</v>
      </c>
      <c r="J74" s="11" t="str">
        <f>HYPERLINK("https://www.codechef.com/problems/DOREWARD", "https://www.codechef.com/problems/DOREWARD")</f>
        <v>https://www.codechef.com/problems/DOREWARD</v>
      </c>
      <c r="K74" s="14"/>
      <c r="L74" s="14" t="s">
        <v>1578</v>
      </c>
      <c r="M74" s="14"/>
      <c r="N74" s="14" t="s">
        <v>50</v>
      </c>
      <c r="O74" s="14" t="s">
        <v>51</v>
      </c>
    </row>
    <row r="75" spans="1:15">
      <c r="A75" s="15" t="s">
        <v>11</v>
      </c>
      <c r="B75" s="15" t="s">
        <v>1521</v>
      </c>
      <c r="C75" s="15" t="s">
        <v>1522</v>
      </c>
      <c r="D75" s="15" t="s">
        <v>1523</v>
      </c>
      <c r="E75" s="15">
        <v>74</v>
      </c>
      <c r="F75" s="15" t="s">
        <v>1732</v>
      </c>
      <c r="G75" s="15" t="s">
        <v>1733</v>
      </c>
      <c r="H75" s="15" t="s">
        <v>1734</v>
      </c>
      <c r="I75" s="15" t="s">
        <v>49</v>
      </c>
      <c r="J75" s="7" t="str">
        <f>HYPERLINK("https://www.codechef.com/problems/TFPAPER", "https://www.codechef.com/problems/TFPAPER")</f>
        <v>https://www.codechef.com/problems/TFPAPER</v>
      </c>
      <c r="K75" s="15"/>
      <c r="L75" s="15"/>
      <c r="M75" s="15"/>
      <c r="N75" s="15" t="s">
        <v>50</v>
      </c>
      <c r="O75" s="15" t="s">
        <v>51</v>
      </c>
    </row>
    <row r="76" spans="1:15">
      <c r="A76" s="14" t="s">
        <v>11</v>
      </c>
      <c r="B76" s="14" t="s">
        <v>1521</v>
      </c>
      <c r="C76" s="14" t="s">
        <v>1522</v>
      </c>
      <c r="D76" s="14" t="s">
        <v>1523</v>
      </c>
      <c r="E76" s="14">
        <v>75</v>
      </c>
      <c r="F76" s="14" t="s">
        <v>1735</v>
      </c>
      <c r="G76" s="14" t="s">
        <v>1736</v>
      </c>
      <c r="H76" s="14" t="s">
        <v>1737</v>
      </c>
      <c r="I76" s="14" t="s">
        <v>49</v>
      </c>
      <c r="J76" s="11" t="str">
        <f>HYPERLINK("https://www.codechef.com/problems/CABS", "https://www.codechef.com/problems/CABS")</f>
        <v>https://www.codechef.com/problems/CABS</v>
      </c>
      <c r="K76" s="14"/>
      <c r="L76" s="14" t="s">
        <v>1578</v>
      </c>
      <c r="M76" s="14"/>
      <c r="N76" s="14" t="s">
        <v>50</v>
      </c>
      <c r="O76" s="14" t="s">
        <v>51</v>
      </c>
    </row>
    <row r="77" spans="1:15">
      <c r="A77" s="15" t="s">
        <v>11</v>
      </c>
      <c r="B77" s="15" t="s">
        <v>1521</v>
      </c>
      <c r="C77" s="15" t="s">
        <v>1522</v>
      </c>
      <c r="D77" s="15" t="s">
        <v>1523</v>
      </c>
      <c r="E77" s="15">
        <v>76</v>
      </c>
      <c r="F77" s="15" t="s">
        <v>1738</v>
      </c>
      <c r="G77" s="15" t="s">
        <v>1739</v>
      </c>
      <c r="H77" s="15" t="s">
        <v>1740</v>
      </c>
      <c r="I77" s="15" t="s">
        <v>49</v>
      </c>
      <c r="J77" s="7" t="str">
        <f>HYPERLINK("https://www.codechef.com/problems/DISCNT", "https://www.codechef.com/problems/DISCNT")</f>
        <v>https://www.codechef.com/problems/DISCNT</v>
      </c>
      <c r="K77" s="15"/>
      <c r="L77" s="15" t="s">
        <v>1741</v>
      </c>
      <c r="M77" s="15"/>
      <c r="N77" s="15" t="s">
        <v>50</v>
      </c>
      <c r="O77" s="15" t="s">
        <v>51</v>
      </c>
    </row>
    <row r="78" spans="1:15">
      <c r="A78" s="14" t="s">
        <v>11</v>
      </c>
      <c r="B78" s="14" t="s">
        <v>1521</v>
      </c>
      <c r="C78" s="14" t="s">
        <v>1522</v>
      </c>
      <c r="D78" s="14" t="s">
        <v>1523</v>
      </c>
      <c r="E78" s="14">
        <v>77</v>
      </c>
      <c r="F78" s="14" t="s">
        <v>1742</v>
      </c>
      <c r="G78" s="14" t="s">
        <v>1743</v>
      </c>
      <c r="H78" s="14" t="s">
        <v>193</v>
      </c>
      <c r="I78" s="14" t="s">
        <v>49</v>
      </c>
      <c r="J78" s="11" t="str">
        <f>HYPERLINK("https://www.codechef.com/problems/HEIGHTRATION", "https://www.codechef.com/problems/HEIGHTRATION")</f>
        <v>https://www.codechef.com/problems/HEIGHTRATION</v>
      </c>
      <c r="K78" s="14"/>
      <c r="L78" s="14" t="s">
        <v>187</v>
      </c>
      <c r="M78" s="14"/>
      <c r="N78" s="14" t="s">
        <v>50</v>
      </c>
      <c r="O78" s="14" t="s">
        <v>51</v>
      </c>
    </row>
    <row r="79" spans="1:15">
      <c r="A79" s="15" t="s">
        <v>11</v>
      </c>
      <c r="B79" s="15" t="s">
        <v>1521</v>
      </c>
      <c r="C79" s="15" t="s">
        <v>1522</v>
      </c>
      <c r="D79" s="15" t="s">
        <v>1523</v>
      </c>
      <c r="E79" s="15">
        <v>78</v>
      </c>
      <c r="F79" s="15" t="s">
        <v>1744</v>
      </c>
      <c r="G79" s="15" t="s">
        <v>1745</v>
      </c>
      <c r="H79" s="15" t="s">
        <v>1746</v>
      </c>
      <c r="I79" s="15" t="s">
        <v>49</v>
      </c>
      <c r="J79" s="7" t="str">
        <f>HYPERLINK("https://www.codechef.com/problems/INSTAGRAM", "https://www.codechef.com/problems/INSTAGRAM")</f>
        <v>https://www.codechef.com/problems/INSTAGRAM</v>
      </c>
      <c r="K79" s="15"/>
      <c r="L79" s="15" t="s">
        <v>1578</v>
      </c>
      <c r="M79" s="15"/>
      <c r="N79" s="15" t="s">
        <v>50</v>
      </c>
      <c r="O79" s="15" t="s">
        <v>51</v>
      </c>
    </row>
    <row r="80" spans="1:15">
      <c r="A80" s="14" t="s">
        <v>11</v>
      </c>
      <c r="B80" s="14" t="s">
        <v>1521</v>
      </c>
      <c r="C80" s="14" t="s">
        <v>1522</v>
      </c>
      <c r="D80" s="14" t="s">
        <v>1523</v>
      </c>
      <c r="E80" s="14">
        <v>79</v>
      </c>
      <c r="F80" s="14" t="s">
        <v>1747</v>
      </c>
      <c r="G80" s="14" t="s">
        <v>1748</v>
      </c>
      <c r="H80" s="14" t="s">
        <v>1749</v>
      </c>
      <c r="I80" s="14" t="s">
        <v>49</v>
      </c>
      <c r="J80" s="11" t="str">
        <f>HYPERLINK("https://www.codechef.com/problems/VOLCONTROL", "https://www.codechef.com/problems/VOLCONTROL")</f>
        <v>https://www.codechef.com/problems/VOLCONTROL</v>
      </c>
      <c r="K80" s="14"/>
      <c r="L80" s="14"/>
      <c r="M80" s="14"/>
      <c r="N80" s="14" t="s">
        <v>50</v>
      </c>
      <c r="O80" s="14" t="s">
        <v>51</v>
      </c>
    </row>
    <row r="81" spans="1:15">
      <c r="A81" s="15" t="s">
        <v>11</v>
      </c>
      <c r="B81" s="15" t="s">
        <v>1521</v>
      </c>
      <c r="C81" s="15" t="s">
        <v>1522</v>
      </c>
      <c r="D81" s="15" t="s">
        <v>1523</v>
      </c>
      <c r="E81" s="15">
        <v>80</v>
      </c>
      <c r="F81" s="15" t="s">
        <v>1750</v>
      </c>
      <c r="G81" s="15" t="s">
        <v>1751</v>
      </c>
      <c r="H81" s="15" t="s">
        <v>1752</v>
      </c>
      <c r="I81" s="15" t="s">
        <v>49</v>
      </c>
      <c r="J81" s="7" t="str">
        <f>HYPERLINK("https://www.codechef.com/problems/HS08TEST", "https://www.codechef.com/problems/HS08TEST")</f>
        <v>https://www.codechef.com/problems/HS08TEST</v>
      </c>
      <c r="K81" s="15"/>
      <c r="L81" s="15" t="s">
        <v>1753</v>
      </c>
      <c r="M81" s="15"/>
      <c r="N81" s="15" t="s">
        <v>50</v>
      </c>
      <c r="O81" s="15" t="s">
        <v>51</v>
      </c>
    </row>
    <row r="82" spans="1:15">
      <c r="A82" s="14" t="s">
        <v>11</v>
      </c>
      <c r="B82" s="14" t="s">
        <v>1521</v>
      </c>
      <c r="C82" s="14" t="s">
        <v>1522</v>
      </c>
      <c r="D82" s="14" t="s">
        <v>1523</v>
      </c>
      <c r="E82" s="14">
        <v>81</v>
      </c>
      <c r="F82" s="14" t="s">
        <v>1754</v>
      </c>
      <c r="G82" s="14" t="s">
        <v>1755</v>
      </c>
      <c r="H82" s="14" t="s">
        <v>1752</v>
      </c>
      <c r="I82" s="14" t="s">
        <v>49</v>
      </c>
      <c r="J82" s="11" t="str">
        <f>HYPERLINK("https://www.codechef.com/problems/HOTCOLD", "https://www.codechef.com/problems/HOTCOLD")</f>
        <v>https://www.codechef.com/problems/HOTCOLD</v>
      </c>
      <c r="K82" s="14"/>
      <c r="L82" s="14" t="s">
        <v>1701</v>
      </c>
      <c r="M82" s="14"/>
      <c r="N82" s="14" t="s">
        <v>50</v>
      </c>
      <c r="O82" s="14" t="s">
        <v>51</v>
      </c>
    </row>
    <row r="83" spans="1:15">
      <c r="A83" s="15" t="s">
        <v>11</v>
      </c>
      <c r="B83" s="15" t="s">
        <v>1521</v>
      </c>
      <c r="C83" s="15" t="s">
        <v>1522</v>
      </c>
      <c r="D83" s="15" t="s">
        <v>1523</v>
      </c>
      <c r="E83" s="15">
        <v>82</v>
      </c>
      <c r="F83" s="15" t="s">
        <v>1756</v>
      </c>
      <c r="G83" s="15" t="s">
        <v>1757</v>
      </c>
      <c r="H83" s="15" t="s">
        <v>1758</v>
      </c>
      <c r="I83" s="15" t="s">
        <v>49</v>
      </c>
      <c r="J83" s="7" t="str">
        <f>HYPERLINK("https://www.codechef.com/problems/PROINC", "https://www.codechef.com/problems/PROINC")</f>
        <v>https://www.codechef.com/problems/PROINC</v>
      </c>
      <c r="K83" s="15"/>
      <c r="L83" s="15" t="s">
        <v>194</v>
      </c>
      <c r="M83" s="15"/>
      <c r="N83" s="15" t="s">
        <v>50</v>
      </c>
      <c r="O83" s="15" t="s">
        <v>51</v>
      </c>
    </row>
    <row r="84" spans="1:15">
      <c r="A84" s="14" t="s">
        <v>11</v>
      </c>
      <c r="B84" s="14" t="s">
        <v>1521</v>
      </c>
      <c r="C84" s="14" t="s">
        <v>1522</v>
      </c>
      <c r="D84" s="14" t="s">
        <v>1523</v>
      </c>
      <c r="E84" s="14">
        <v>83</v>
      </c>
      <c r="F84" s="14" t="s">
        <v>1759</v>
      </c>
      <c r="G84" s="14" t="s">
        <v>1760</v>
      </c>
      <c r="H84" s="14" t="s">
        <v>1761</v>
      </c>
      <c r="I84" s="14" t="s">
        <v>49</v>
      </c>
      <c r="J84" s="11" t="str">
        <f>HYPERLINK("https://www.codechef.com/problems/FBC", "https://www.codechef.com/problems/FBC")</f>
        <v>https://www.codechef.com/problems/FBC</v>
      </c>
      <c r="K84" s="14"/>
      <c r="L84" s="14" t="s">
        <v>1762</v>
      </c>
      <c r="M84" s="14"/>
      <c r="N84" s="14" t="s">
        <v>50</v>
      </c>
      <c r="O84" s="14" t="s">
        <v>51</v>
      </c>
    </row>
    <row r="85" spans="1:15">
      <c r="A85" s="15" t="s">
        <v>11</v>
      </c>
      <c r="B85" s="15" t="s">
        <v>1521</v>
      </c>
      <c r="C85" s="15" t="s">
        <v>1522</v>
      </c>
      <c r="D85" s="15" t="s">
        <v>1523</v>
      </c>
      <c r="E85" s="15">
        <v>84</v>
      </c>
      <c r="F85" s="15" t="s">
        <v>1763</v>
      </c>
      <c r="G85" s="15" t="s">
        <v>1764</v>
      </c>
      <c r="H85" s="15" t="s">
        <v>1761</v>
      </c>
      <c r="I85" s="15" t="s">
        <v>49</v>
      </c>
      <c r="J85" s="7" t="str">
        <f>HYPERLINK("https://www.codechef.com/problems/PARLIAMENT", "https://www.codechef.com/problems/PARLIAMENT")</f>
        <v>https://www.codechef.com/problems/PARLIAMENT</v>
      </c>
      <c r="K85" s="15"/>
      <c r="L85" s="15"/>
      <c r="M85" s="15"/>
      <c r="N85" s="15" t="s">
        <v>50</v>
      </c>
      <c r="O85" s="15" t="s">
        <v>51</v>
      </c>
    </row>
    <row r="86" spans="1:15">
      <c r="A86" s="14" t="s">
        <v>11</v>
      </c>
      <c r="B86" s="14" t="s">
        <v>1521</v>
      </c>
      <c r="C86" s="14" t="s">
        <v>1522</v>
      </c>
      <c r="D86" s="14" t="s">
        <v>1523</v>
      </c>
      <c r="E86" s="14">
        <v>85</v>
      </c>
      <c r="F86" s="14" t="s">
        <v>195</v>
      </c>
      <c r="G86" s="14" t="s">
        <v>196</v>
      </c>
      <c r="H86" s="14" t="s">
        <v>197</v>
      </c>
      <c r="I86" s="14" t="s">
        <v>49</v>
      </c>
      <c r="J86" s="11" t="str">
        <f>HYPERLINK("https://www.codechef.com/problems/FLOW002", "https://www.codechef.com/problems/FLOW002")</f>
        <v>https://www.codechef.com/problems/FLOW002</v>
      </c>
      <c r="K86" s="14"/>
      <c r="L86" s="14" t="s">
        <v>198</v>
      </c>
      <c r="M86" s="14"/>
      <c r="N86" s="14" t="s">
        <v>50</v>
      </c>
      <c r="O86" s="14" t="s">
        <v>51</v>
      </c>
    </row>
    <row r="87" spans="1:15">
      <c r="A87" s="15" t="s">
        <v>11</v>
      </c>
      <c r="B87" s="15" t="s">
        <v>1521</v>
      </c>
      <c r="C87" s="15" t="s">
        <v>1522</v>
      </c>
      <c r="D87" s="15" t="s">
        <v>1523</v>
      </c>
      <c r="E87" s="15">
        <v>86</v>
      </c>
      <c r="F87" s="15" t="s">
        <v>1765</v>
      </c>
      <c r="G87" s="15" t="s">
        <v>1766</v>
      </c>
      <c r="H87" s="15" t="s">
        <v>1767</v>
      </c>
      <c r="I87" s="15" t="s">
        <v>49</v>
      </c>
      <c r="J87" s="7" t="str">
        <f>HYPERLINK("https://www.codechef.com/problems/MANIPULATE", "https://www.codechef.com/problems/MANIPULATE")</f>
        <v>https://www.codechef.com/problems/MANIPULATE</v>
      </c>
      <c r="K87" s="15"/>
      <c r="L87" s="15" t="s">
        <v>1578</v>
      </c>
      <c r="M87" s="15"/>
      <c r="N87" s="15" t="s">
        <v>50</v>
      </c>
      <c r="O87" s="15" t="s">
        <v>51</v>
      </c>
    </row>
    <row r="88" spans="1:15">
      <c r="A88" s="14" t="s">
        <v>11</v>
      </c>
      <c r="B88" s="14" t="s">
        <v>1521</v>
      </c>
      <c r="C88" s="14" t="s">
        <v>1522</v>
      </c>
      <c r="D88" s="14" t="s">
        <v>1523</v>
      </c>
      <c r="E88" s="14">
        <v>87</v>
      </c>
      <c r="F88" s="14" t="s">
        <v>1768</v>
      </c>
      <c r="G88" s="14" t="s">
        <v>1769</v>
      </c>
      <c r="H88" s="14" t="s">
        <v>1770</v>
      </c>
      <c r="I88" s="14" t="s">
        <v>49</v>
      </c>
      <c r="J88" s="11" t="str">
        <f>HYPERLINK("https://www.codechef.com/problems/CMASKS", "https://www.codechef.com/problems/CMASKS")</f>
        <v>https://www.codechef.com/problems/CMASKS</v>
      </c>
      <c r="K88" s="14"/>
      <c r="L88" s="14" t="s">
        <v>1771</v>
      </c>
      <c r="M88" s="14"/>
      <c r="N88" s="14" t="s">
        <v>50</v>
      </c>
      <c r="O88" s="14" t="s">
        <v>51</v>
      </c>
    </row>
    <row r="89" spans="1:15">
      <c r="A89" s="15" t="s">
        <v>11</v>
      </c>
      <c r="B89" s="15" t="s">
        <v>1521</v>
      </c>
      <c r="C89" s="15" t="s">
        <v>1522</v>
      </c>
      <c r="D89" s="15" t="s">
        <v>1523</v>
      </c>
      <c r="E89" s="15">
        <v>88</v>
      </c>
      <c r="F89" s="15" t="s">
        <v>1772</v>
      </c>
      <c r="G89" s="15" t="s">
        <v>1773</v>
      </c>
      <c r="H89" s="15" t="s">
        <v>1774</v>
      </c>
      <c r="I89" s="15" t="s">
        <v>49</v>
      </c>
      <c r="J89" s="7" t="str">
        <f>HYPERLINK("https://www.codechef.com/problems/SPECIALITY", "https://www.codechef.com/problems/SPECIALITY")</f>
        <v>https://www.codechef.com/problems/SPECIALITY</v>
      </c>
      <c r="K89" s="15"/>
      <c r="L89" s="15"/>
      <c r="M89" s="15"/>
      <c r="N89" s="15" t="s">
        <v>50</v>
      </c>
      <c r="O89" s="15" t="s">
        <v>51</v>
      </c>
    </row>
    <row r="90" spans="1:15">
      <c r="A90" s="14" t="s">
        <v>11</v>
      </c>
      <c r="B90" s="14" t="s">
        <v>1521</v>
      </c>
      <c r="C90" s="14" t="s">
        <v>1522</v>
      </c>
      <c r="D90" s="14" t="s">
        <v>1523</v>
      </c>
      <c r="E90" s="14">
        <v>89</v>
      </c>
      <c r="F90" s="14" t="s">
        <v>1775</v>
      </c>
      <c r="G90" s="14" t="s">
        <v>1776</v>
      </c>
      <c r="H90" s="14" t="s">
        <v>1777</v>
      </c>
      <c r="I90" s="14" t="s">
        <v>49</v>
      </c>
      <c r="J90" s="11" t="str">
        <f>HYPERLINK("https://www.codechef.com/problems/MAXIMUMSUBS", "https://www.codechef.com/problems/MAXIMUMSUBS")</f>
        <v>https://www.codechef.com/problems/MAXIMUMSUBS</v>
      </c>
      <c r="K90" s="14"/>
      <c r="L90" s="14"/>
      <c r="M90" s="14"/>
      <c r="N90" s="14" t="s">
        <v>50</v>
      </c>
      <c r="O90" s="14" t="s">
        <v>51</v>
      </c>
    </row>
    <row r="91" spans="1:15">
      <c r="A91" s="15" t="s">
        <v>11</v>
      </c>
      <c r="B91" s="15" t="s">
        <v>1521</v>
      </c>
      <c r="C91" s="15" t="s">
        <v>1522</v>
      </c>
      <c r="D91" s="15" t="s">
        <v>1523</v>
      </c>
      <c r="E91" s="15">
        <v>90</v>
      </c>
      <c r="F91" s="15" t="s">
        <v>1778</v>
      </c>
      <c r="G91" s="15" t="s">
        <v>1779</v>
      </c>
      <c r="H91" s="15" t="s">
        <v>1780</v>
      </c>
      <c r="I91" s="15" t="s">
        <v>49</v>
      </c>
      <c r="J91" s="7" t="str">
        <f>HYPERLINK("https://www.codechef.com/problems/TVDISC", "https://www.codechef.com/problems/TVDISC")</f>
        <v>https://www.codechef.com/problems/TVDISC</v>
      </c>
      <c r="K91" s="15"/>
      <c r="L91" s="15"/>
      <c r="M91" s="15"/>
      <c r="N91" s="15" t="s">
        <v>50</v>
      </c>
      <c r="O91" s="15" t="s">
        <v>51</v>
      </c>
    </row>
    <row r="92" spans="1:15">
      <c r="A92" s="14" t="s">
        <v>11</v>
      </c>
      <c r="B92" s="14" t="s">
        <v>1521</v>
      </c>
      <c r="C92" s="14" t="s">
        <v>1522</v>
      </c>
      <c r="D92" s="14" t="s">
        <v>1523</v>
      </c>
      <c r="E92" s="14">
        <v>91</v>
      </c>
      <c r="F92" s="14" t="s">
        <v>1781</v>
      </c>
      <c r="G92" s="14" t="s">
        <v>1782</v>
      </c>
      <c r="H92" s="14" t="s">
        <v>1783</v>
      </c>
      <c r="I92" s="14" t="s">
        <v>49</v>
      </c>
      <c r="J92" s="11" t="str">
        <f>HYPERLINK("https://www.codechef.com/problems/BROKENPHONE", "https://www.codechef.com/problems/BROKENPHONE")</f>
        <v>https://www.codechef.com/problems/BROKENPHONE</v>
      </c>
      <c r="K92" s="14"/>
      <c r="L92" s="14" t="s">
        <v>125</v>
      </c>
      <c r="M92" s="14"/>
      <c r="N92" s="14" t="s">
        <v>50</v>
      </c>
      <c r="O92" s="14" t="s">
        <v>51</v>
      </c>
    </row>
    <row r="93" spans="1:15">
      <c r="A93" s="15" t="s">
        <v>11</v>
      </c>
      <c r="B93" s="15" t="s">
        <v>1521</v>
      </c>
      <c r="C93" s="15" t="s">
        <v>1522</v>
      </c>
      <c r="D93" s="15" t="s">
        <v>1523</v>
      </c>
      <c r="E93" s="15">
        <v>92</v>
      </c>
      <c r="F93" s="15" t="s">
        <v>1784</v>
      </c>
      <c r="G93" s="15" t="s">
        <v>1785</v>
      </c>
      <c r="H93" s="15" t="s">
        <v>1786</v>
      </c>
      <c r="I93" s="15" t="s">
        <v>49</v>
      </c>
      <c r="J93" s="7" t="str">
        <f>HYPERLINK("https://www.codechef.com/problems/TYRE", "https://www.codechef.com/problems/TYRE")</f>
        <v>https://www.codechef.com/problems/TYRE</v>
      </c>
      <c r="K93" s="15"/>
      <c r="L93" s="15"/>
      <c r="M93" s="15"/>
      <c r="N93" s="15" t="s">
        <v>50</v>
      </c>
      <c r="O93" s="15" t="s">
        <v>51</v>
      </c>
    </row>
    <row r="94" spans="1:15">
      <c r="A94" s="14" t="s">
        <v>11</v>
      </c>
      <c r="B94" s="14" t="s">
        <v>1521</v>
      </c>
      <c r="C94" s="14" t="s">
        <v>1522</v>
      </c>
      <c r="D94" s="14" t="s">
        <v>1523</v>
      </c>
      <c r="E94" s="14">
        <v>93</v>
      </c>
      <c r="F94" s="14" t="s">
        <v>206</v>
      </c>
      <c r="G94" s="14" t="s">
        <v>207</v>
      </c>
      <c r="H94" s="14" t="s">
        <v>208</v>
      </c>
      <c r="I94" s="14" t="s">
        <v>49</v>
      </c>
      <c r="J94" s="11" t="str">
        <f>HYPERLINK("https://www.codechef.com/problems/FLOW006", "https://www.codechef.com/problems/FLOW006")</f>
        <v>https://www.codechef.com/problems/FLOW006</v>
      </c>
      <c r="K94" s="14"/>
      <c r="L94" s="14" t="s">
        <v>209</v>
      </c>
      <c r="M94" s="14"/>
      <c r="N94" s="14" t="s">
        <v>50</v>
      </c>
      <c r="O94" s="14" t="s">
        <v>51</v>
      </c>
    </row>
    <row r="95" spans="1:15">
      <c r="A95" s="15" t="s">
        <v>11</v>
      </c>
      <c r="B95" s="15" t="s">
        <v>1521</v>
      </c>
      <c r="C95" s="15" t="s">
        <v>1522</v>
      </c>
      <c r="D95" s="15" t="s">
        <v>1523</v>
      </c>
      <c r="E95" s="15">
        <v>94</v>
      </c>
      <c r="F95" s="15" t="s">
        <v>1787</v>
      </c>
      <c r="G95" s="15" t="s">
        <v>1788</v>
      </c>
      <c r="H95" s="15" t="s">
        <v>1789</v>
      </c>
      <c r="I95" s="15" t="s">
        <v>49</v>
      </c>
      <c r="J95" s="7" t="str">
        <f>HYPERLINK("https://www.codechef.com/problems/BUDGET_", "https://www.codechef.com/problems/BUDGET_")</f>
        <v>https://www.codechef.com/problems/BUDGET_</v>
      </c>
      <c r="K95" s="15"/>
      <c r="L95" s="15" t="s">
        <v>1762</v>
      </c>
      <c r="M95" s="15"/>
      <c r="N95" s="15" t="s">
        <v>50</v>
      </c>
      <c r="O95" s="15" t="s">
        <v>51</v>
      </c>
    </row>
    <row r="96" spans="1:15">
      <c r="A96" s="14" t="s">
        <v>11</v>
      </c>
      <c r="B96" s="14" t="s">
        <v>1521</v>
      </c>
      <c r="C96" s="14" t="s">
        <v>1522</v>
      </c>
      <c r="D96" s="14" t="s">
        <v>1523</v>
      </c>
      <c r="E96" s="14">
        <v>95</v>
      </c>
      <c r="F96" s="14" t="s">
        <v>1790</v>
      </c>
      <c r="G96" s="14" t="s">
        <v>1791</v>
      </c>
      <c r="H96" s="14" t="s">
        <v>1792</v>
      </c>
      <c r="I96" s="14" t="s">
        <v>49</v>
      </c>
      <c r="J96" s="11" t="str">
        <f>HYPERLINK("https://www.codechef.com/problems/CREDSCORE", "https://www.codechef.com/problems/CREDSCORE")</f>
        <v>https://www.codechef.com/problems/CREDSCORE</v>
      </c>
      <c r="K96" s="14"/>
      <c r="L96" s="14" t="s">
        <v>1578</v>
      </c>
      <c r="M96" s="14"/>
      <c r="N96" s="14" t="s">
        <v>50</v>
      </c>
      <c r="O96" s="14" t="s">
        <v>51</v>
      </c>
    </row>
    <row r="97" spans="1:15">
      <c r="A97" s="15" t="s">
        <v>11</v>
      </c>
      <c r="B97" s="15" t="s">
        <v>1521</v>
      </c>
      <c r="C97" s="15" t="s">
        <v>1522</v>
      </c>
      <c r="D97" s="15" t="s">
        <v>1523</v>
      </c>
      <c r="E97" s="15">
        <v>96</v>
      </c>
      <c r="F97" s="15" t="s">
        <v>1793</v>
      </c>
      <c r="G97" s="15" t="s">
        <v>1794</v>
      </c>
      <c r="H97" s="15" t="s">
        <v>1795</v>
      </c>
      <c r="I97" s="15" t="s">
        <v>49</v>
      </c>
      <c r="J97" s="7" t="str">
        <f>HYPERLINK("https://www.codechef.com/problems/FLOW004", "https://www.codechef.com/problems/FLOW004")</f>
        <v>https://www.codechef.com/problems/FLOW004</v>
      </c>
      <c r="K97" s="15"/>
      <c r="L97" s="15" t="s">
        <v>1796</v>
      </c>
      <c r="M97" s="15"/>
      <c r="N97" s="15" t="s">
        <v>50</v>
      </c>
      <c r="O97" s="15" t="s">
        <v>51</v>
      </c>
    </row>
    <row r="98" spans="1:15">
      <c r="A98" s="14" t="s">
        <v>11</v>
      </c>
      <c r="B98" s="14" t="s">
        <v>1521</v>
      </c>
      <c r="C98" s="14" t="s">
        <v>1522</v>
      </c>
      <c r="D98" s="14" t="s">
        <v>1523</v>
      </c>
      <c r="E98" s="14">
        <v>97</v>
      </c>
      <c r="F98" s="14" t="s">
        <v>1797</v>
      </c>
      <c r="G98" s="14" t="s">
        <v>1798</v>
      </c>
      <c r="H98" s="14" t="s">
        <v>1799</v>
      </c>
      <c r="I98" s="14" t="s">
        <v>49</v>
      </c>
      <c r="J98" s="11" t="str">
        <f>HYPERLINK("https://www.codechef.com/problems/INTEST", "https://www.codechef.com/problems/INTEST")</f>
        <v>https://www.codechef.com/problems/INTEST</v>
      </c>
      <c r="K98" s="14"/>
      <c r="L98" s="14" t="s">
        <v>1578</v>
      </c>
      <c r="M98" s="14"/>
      <c r="N98" s="14" t="s">
        <v>50</v>
      </c>
      <c r="O98" s="14" t="s">
        <v>51</v>
      </c>
    </row>
    <row r="99" spans="1:15">
      <c r="A99" s="15" t="s">
        <v>11</v>
      </c>
      <c r="B99" s="15" t="s">
        <v>1521</v>
      </c>
      <c r="C99" s="15" t="s">
        <v>1522</v>
      </c>
      <c r="D99" s="15" t="s">
        <v>1523</v>
      </c>
      <c r="E99" s="15">
        <v>98</v>
      </c>
      <c r="F99" s="15" t="s">
        <v>1800</v>
      </c>
      <c r="G99" s="15" t="s">
        <v>1801</v>
      </c>
      <c r="H99" s="15" t="s">
        <v>1802</v>
      </c>
      <c r="I99" s="15" t="s">
        <v>49</v>
      </c>
      <c r="J99" s="7" t="str">
        <f>HYPERLINK("https://www.codechef.com/problems/PRACTICEPERF", "https://www.codechef.com/problems/PRACTICEPERF")</f>
        <v>https://www.codechef.com/problems/PRACTICEPERF</v>
      </c>
      <c r="K99" s="15"/>
      <c r="L99" s="15" t="s">
        <v>1803</v>
      </c>
      <c r="M99" s="15"/>
      <c r="N99" s="15" t="s">
        <v>50</v>
      </c>
      <c r="O99" s="15" t="s">
        <v>51</v>
      </c>
    </row>
    <row r="100" spans="1:15">
      <c r="A100" s="14" t="s">
        <v>11</v>
      </c>
      <c r="B100" s="14" t="s">
        <v>1521</v>
      </c>
      <c r="C100" s="14" t="s">
        <v>1522</v>
      </c>
      <c r="D100" s="14" t="s">
        <v>1523</v>
      </c>
      <c r="E100" s="14">
        <v>99</v>
      </c>
      <c r="F100" s="14" t="s">
        <v>1804</v>
      </c>
      <c r="G100" s="14" t="s">
        <v>1805</v>
      </c>
      <c r="H100" s="14" t="s">
        <v>1806</v>
      </c>
      <c r="I100" s="14" t="s">
        <v>49</v>
      </c>
      <c r="J100" s="11" t="str">
        <f>HYPERLINK("https://www.codechef.com/problems/ASSIGNMNT", "https://www.codechef.com/problems/ASSIGNMNT")</f>
        <v>https://www.codechef.com/problems/ASSIGNMNT</v>
      </c>
      <c r="K100" s="14"/>
      <c r="L100" s="14" t="s">
        <v>1534</v>
      </c>
      <c r="M100" s="14"/>
      <c r="N100" s="14" t="s">
        <v>50</v>
      </c>
      <c r="O100" s="14" t="s">
        <v>51</v>
      </c>
    </row>
    <row r="101" spans="1:15">
      <c r="A101" s="15" t="s">
        <v>11</v>
      </c>
      <c r="B101" s="15" t="s">
        <v>1521</v>
      </c>
      <c r="C101" s="15" t="s">
        <v>1522</v>
      </c>
      <c r="D101" s="15" t="s">
        <v>1523</v>
      </c>
      <c r="E101" s="15">
        <v>100</v>
      </c>
      <c r="F101" s="15" t="s">
        <v>1807</v>
      </c>
      <c r="G101" s="15" t="s">
        <v>1808</v>
      </c>
      <c r="H101" s="15" t="s">
        <v>1809</v>
      </c>
      <c r="I101" s="15" t="s">
        <v>49</v>
      </c>
      <c r="J101" s="7" t="str">
        <f>HYPERLINK("https://www.codechef.com/problems/COURSEREG", "https://www.codechef.com/problems/COURSEREG")</f>
        <v>https://www.codechef.com/problems/COURSEREG</v>
      </c>
      <c r="K101" s="15"/>
      <c r="L101" s="15" t="s">
        <v>1810</v>
      </c>
      <c r="M101" s="15"/>
      <c r="N101" s="15" t="s">
        <v>50</v>
      </c>
      <c r="O101" s="15" t="s">
        <v>51</v>
      </c>
    </row>
    <row r="102" spans="1:15">
      <c r="A102" s="14" t="s">
        <v>11</v>
      </c>
      <c r="B102" s="14" t="s">
        <v>1521</v>
      </c>
      <c r="C102" s="14" t="s">
        <v>1522</v>
      </c>
      <c r="D102" s="14" t="s">
        <v>1523</v>
      </c>
      <c r="E102" s="14">
        <v>101</v>
      </c>
      <c r="F102" s="14" t="s">
        <v>1811</v>
      </c>
      <c r="G102" s="14" t="s">
        <v>1812</v>
      </c>
      <c r="H102" s="14" t="s">
        <v>1813</v>
      </c>
      <c r="I102" s="14" t="s">
        <v>49</v>
      </c>
      <c r="J102" s="11" t="str">
        <f>HYPERLINK("https://www.codechef.com/problems/INSURANCE", "https://www.codechef.com/problems/INSURANCE")</f>
        <v>https://www.codechef.com/problems/INSURANCE</v>
      </c>
      <c r="K102" s="14"/>
      <c r="L102" s="14" t="s">
        <v>187</v>
      </c>
      <c r="M102" s="14"/>
      <c r="N102" s="14" t="s">
        <v>50</v>
      </c>
      <c r="O102" s="14" t="s">
        <v>51</v>
      </c>
    </row>
    <row r="103" spans="1:15">
      <c r="A103" s="15" t="s">
        <v>11</v>
      </c>
      <c r="B103" s="15" t="s">
        <v>1521</v>
      </c>
      <c r="C103" s="15" t="s">
        <v>1522</v>
      </c>
      <c r="D103" s="15" t="s">
        <v>1523</v>
      </c>
      <c r="E103" s="15">
        <v>102</v>
      </c>
      <c r="F103" s="15" t="s">
        <v>1814</v>
      </c>
      <c r="G103" s="15" t="s">
        <v>1815</v>
      </c>
      <c r="H103" s="15" t="s">
        <v>1813</v>
      </c>
      <c r="I103" s="15" t="s">
        <v>49</v>
      </c>
      <c r="J103" s="7" t="str">
        <f>HYPERLINK("https://www.codechef.com/problems/AIRLINES", "https://www.codechef.com/problems/AIRLINES")</f>
        <v>https://www.codechef.com/problems/AIRLINES</v>
      </c>
      <c r="K103" s="15"/>
      <c r="L103" s="15" t="s">
        <v>194</v>
      </c>
      <c r="M103" s="15"/>
      <c r="N103" s="15" t="s">
        <v>50</v>
      </c>
      <c r="O103" s="15" t="s">
        <v>51</v>
      </c>
    </row>
    <row r="104" spans="1:15">
      <c r="A104" s="14" t="s">
        <v>11</v>
      </c>
      <c r="B104" s="14" t="s">
        <v>1521</v>
      </c>
      <c r="C104" s="14" t="s">
        <v>1522</v>
      </c>
      <c r="D104" s="14" t="s">
        <v>1523</v>
      </c>
      <c r="E104" s="14">
        <v>103</v>
      </c>
      <c r="F104" s="14" t="s">
        <v>1816</v>
      </c>
      <c r="G104" s="14" t="s">
        <v>1817</v>
      </c>
      <c r="H104" s="14" t="s">
        <v>1818</v>
      </c>
      <c r="I104" s="14" t="s">
        <v>49</v>
      </c>
      <c r="J104" s="11" t="str">
        <f>HYPERLINK("https://www.codechef.com/problems/INCRIQ", "https://www.codechef.com/problems/INCRIQ")</f>
        <v>https://www.codechef.com/problems/INCRIQ</v>
      </c>
      <c r="K104" s="14"/>
      <c r="L104" s="14" t="s">
        <v>1578</v>
      </c>
      <c r="M104" s="14"/>
      <c r="N104" s="14" t="s">
        <v>50</v>
      </c>
      <c r="O104" s="14" t="s">
        <v>51</v>
      </c>
    </row>
    <row r="105" spans="1:15">
      <c r="A105" s="15" t="s">
        <v>11</v>
      </c>
      <c r="B105" s="15" t="s">
        <v>1521</v>
      </c>
      <c r="C105" s="15" t="s">
        <v>1522</v>
      </c>
      <c r="D105" s="15" t="s">
        <v>1523</v>
      </c>
      <c r="E105" s="15">
        <v>104</v>
      </c>
      <c r="F105" s="15" t="s">
        <v>1819</v>
      </c>
      <c r="G105" s="15" t="s">
        <v>1820</v>
      </c>
      <c r="H105" s="15" t="s">
        <v>1821</v>
      </c>
      <c r="I105" s="15" t="s">
        <v>49</v>
      </c>
      <c r="J105" s="7" t="str">
        <f>HYPERLINK("https://www.codechef.com/problems/BATTERYLOW", "https://www.codechef.com/problems/BATTERYLOW")</f>
        <v>https://www.codechef.com/problems/BATTERYLOW</v>
      </c>
      <c r="K105" s="15"/>
      <c r="L105" s="15" t="s">
        <v>1578</v>
      </c>
      <c r="M105" s="15"/>
      <c r="N105" s="15" t="s">
        <v>50</v>
      </c>
      <c r="O105" s="15" t="s">
        <v>51</v>
      </c>
    </row>
    <row r="106" spans="1:15">
      <c r="A106" s="14" t="s">
        <v>11</v>
      </c>
      <c r="B106" s="14" t="s">
        <v>1521</v>
      </c>
      <c r="C106" s="14" t="s">
        <v>1522</v>
      </c>
      <c r="D106" s="14" t="s">
        <v>1523</v>
      </c>
      <c r="E106" s="14">
        <v>105</v>
      </c>
      <c r="F106" s="14" t="s">
        <v>1822</v>
      </c>
      <c r="G106" s="14" t="s">
        <v>1823</v>
      </c>
      <c r="H106" s="14" t="s">
        <v>1824</v>
      </c>
      <c r="I106" s="14" t="s">
        <v>49</v>
      </c>
      <c r="J106" s="11" t="str">
        <f>HYPERLINK("https://www.codechef.com/problems/BOBBANK", "https://www.codechef.com/problems/BOBBANK")</f>
        <v>https://www.codechef.com/problems/BOBBANK</v>
      </c>
      <c r="K106" s="14"/>
      <c r="L106" s="14" t="s">
        <v>125</v>
      </c>
      <c r="M106" s="14"/>
      <c r="N106" s="14" t="s">
        <v>50</v>
      </c>
      <c r="O106" s="14" t="s">
        <v>51</v>
      </c>
    </row>
    <row r="107" spans="1:15">
      <c r="A107" s="15" t="s">
        <v>11</v>
      </c>
      <c r="B107" s="15" t="s">
        <v>1521</v>
      </c>
      <c r="C107" s="15" t="s">
        <v>1522</v>
      </c>
      <c r="D107" s="15" t="s">
        <v>1523</v>
      </c>
      <c r="E107" s="15">
        <v>106</v>
      </c>
      <c r="F107" s="15" t="s">
        <v>1825</v>
      </c>
      <c r="G107" s="15" t="s">
        <v>1826</v>
      </c>
      <c r="H107" s="15" t="s">
        <v>1827</v>
      </c>
      <c r="I107" s="15" t="s">
        <v>49</v>
      </c>
      <c r="J107" s="7" t="str">
        <f>HYPERLINK("https://www.codechef.com/problems/MANGOES", "https://www.codechef.com/problems/MANGOES")</f>
        <v>https://www.codechef.com/problems/MANGOES</v>
      </c>
      <c r="K107" s="15"/>
      <c r="L107" s="15" t="s">
        <v>1828</v>
      </c>
      <c r="M107" s="15"/>
      <c r="N107" s="15" t="s">
        <v>50</v>
      </c>
      <c r="O107" s="15" t="s">
        <v>51</v>
      </c>
    </row>
    <row r="108" spans="1:15">
      <c r="A108" s="14" t="s">
        <v>11</v>
      </c>
      <c r="B108" s="14" t="s">
        <v>1521</v>
      </c>
      <c r="C108" s="14" t="s">
        <v>1522</v>
      </c>
      <c r="D108" s="14" t="s">
        <v>1523</v>
      </c>
      <c r="E108" s="14">
        <v>107</v>
      </c>
      <c r="F108" s="14" t="s">
        <v>1829</v>
      </c>
      <c r="G108" s="14" t="s">
        <v>1830</v>
      </c>
      <c r="H108" s="14" t="s">
        <v>1827</v>
      </c>
      <c r="I108" s="14" t="s">
        <v>49</v>
      </c>
      <c r="J108" s="11" t="str">
        <f>HYPERLINK("https://www.codechef.com/problems/MONOPOLY", "https://www.codechef.com/problems/MONOPOLY")</f>
        <v>https://www.codechef.com/problems/MONOPOLY</v>
      </c>
      <c r="K108" s="14"/>
      <c r="L108" s="14"/>
      <c r="M108" s="14"/>
      <c r="N108" s="14" t="s">
        <v>50</v>
      </c>
      <c r="O108" s="14" t="s">
        <v>51</v>
      </c>
    </row>
    <row r="109" spans="1:15">
      <c r="A109" s="15" t="s">
        <v>11</v>
      </c>
      <c r="B109" s="15" t="s">
        <v>1521</v>
      </c>
      <c r="C109" s="15" t="s">
        <v>1522</v>
      </c>
      <c r="D109" s="15" t="s">
        <v>1523</v>
      </c>
      <c r="E109" s="15">
        <v>108</v>
      </c>
      <c r="F109" s="15" t="s">
        <v>1831</v>
      </c>
      <c r="G109" s="15" t="s">
        <v>1832</v>
      </c>
      <c r="H109" s="15" t="s">
        <v>1833</v>
      </c>
      <c r="I109" s="15" t="s">
        <v>49</v>
      </c>
      <c r="J109" s="7" t="str">
        <f>HYPERLINK("https://www.codechef.com/problems/WATERFLOW", "https://www.codechef.com/problems/WATERFLOW")</f>
        <v>https://www.codechef.com/problems/WATERFLOW</v>
      </c>
      <c r="K109" s="15"/>
      <c r="L109" s="15"/>
      <c r="M109" s="15"/>
      <c r="N109" s="15" t="s">
        <v>50</v>
      </c>
      <c r="O109" s="15" t="s">
        <v>51</v>
      </c>
    </row>
    <row r="110" spans="1:15">
      <c r="A110" s="14" t="s">
        <v>11</v>
      </c>
      <c r="B110" s="14" t="s">
        <v>1521</v>
      </c>
      <c r="C110" s="14" t="s">
        <v>1522</v>
      </c>
      <c r="D110" s="14" t="s">
        <v>1523</v>
      </c>
      <c r="E110" s="14">
        <v>109</v>
      </c>
      <c r="F110" s="14" t="s">
        <v>1834</v>
      </c>
      <c r="G110" s="14" t="s">
        <v>1835</v>
      </c>
      <c r="H110" s="14" t="s">
        <v>1836</v>
      </c>
      <c r="I110" s="14" t="s">
        <v>49</v>
      </c>
      <c r="J110" s="11" t="str">
        <f>HYPERLINK("https://www.codechef.com/problems/F1RULE", "https://www.codechef.com/problems/F1RULE")</f>
        <v>https://www.codechef.com/problems/F1RULE</v>
      </c>
      <c r="K110" s="14"/>
      <c r="L110" s="14" t="s">
        <v>213</v>
      </c>
      <c r="M110" s="14"/>
      <c r="N110" s="14" t="s">
        <v>50</v>
      </c>
      <c r="O110" s="14" t="s">
        <v>51</v>
      </c>
    </row>
    <row r="111" spans="1:15">
      <c r="A111" s="15" t="s">
        <v>11</v>
      </c>
      <c r="B111" s="15" t="s">
        <v>1521</v>
      </c>
      <c r="C111" s="15" t="s">
        <v>1522</v>
      </c>
      <c r="D111" s="15" t="s">
        <v>1523</v>
      </c>
      <c r="E111" s="15">
        <v>110</v>
      </c>
      <c r="F111" s="15" t="s">
        <v>1837</v>
      </c>
      <c r="G111" s="15" t="s">
        <v>1838</v>
      </c>
      <c r="H111" s="15" t="s">
        <v>1839</v>
      </c>
      <c r="I111" s="15" t="s">
        <v>49</v>
      </c>
      <c r="J111" s="7" t="str">
        <f>HYPERLINK("https://www.codechef.com/problems/DOMINANT", "https://www.codechef.com/problems/DOMINANT")</f>
        <v>https://www.codechef.com/problems/DOMINANT</v>
      </c>
      <c r="K111" s="15"/>
      <c r="L111" s="15" t="s">
        <v>1701</v>
      </c>
      <c r="M111" s="15"/>
      <c r="N111" s="15" t="s">
        <v>50</v>
      </c>
      <c r="O111" s="15" t="s">
        <v>51</v>
      </c>
    </row>
    <row r="112" spans="1:15">
      <c r="A112" s="14" t="s">
        <v>11</v>
      </c>
      <c r="B112" s="14" t="s">
        <v>1521</v>
      </c>
      <c r="C112" s="14" t="s">
        <v>1522</v>
      </c>
      <c r="D112" s="14" t="s">
        <v>1523</v>
      </c>
      <c r="E112" s="14">
        <v>111</v>
      </c>
      <c r="F112" s="14" t="s">
        <v>1840</v>
      </c>
      <c r="G112" s="14" t="s">
        <v>1841</v>
      </c>
      <c r="H112" s="14" t="s">
        <v>1842</v>
      </c>
      <c r="I112" s="14" t="s">
        <v>49</v>
      </c>
      <c r="J112" s="11" t="str">
        <f>HYPERLINK("https://www.codechef.com/problems/SONGS", "https://www.codechef.com/problems/SONGS")</f>
        <v>https://www.codechef.com/problems/SONGS</v>
      </c>
      <c r="K112" s="14"/>
      <c r="L112" s="14"/>
      <c r="M112" s="14"/>
      <c r="N112" s="14" t="s">
        <v>50</v>
      </c>
      <c r="O112" s="14" t="s">
        <v>51</v>
      </c>
    </row>
    <row r="113" spans="1:15">
      <c r="A113" s="15" t="s">
        <v>11</v>
      </c>
      <c r="B113" s="15" t="s">
        <v>1521</v>
      </c>
      <c r="C113" s="15" t="s">
        <v>1522</v>
      </c>
      <c r="D113" s="15" t="s">
        <v>1523</v>
      </c>
      <c r="E113" s="15">
        <v>112</v>
      </c>
      <c r="F113" s="15" t="s">
        <v>191</v>
      </c>
      <c r="G113" s="15" t="s">
        <v>1843</v>
      </c>
      <c r="H113" s="15" t="s">
        <v>1844</v>
      </c>
      <c r="I113" s="15" t="s">
        <v>49</v>
      </c>
      <c r="J113" s="7" t="str">
        <f>HYPERLINK("https://www.codechef.com/problems/CHEFCHOCO", "https://www.codechef.com/problems/CHEFCHOCO")</f>
        <v>https://www.codechef.com/problems/CHEFCHOCO</v>
      </c>
      <c r="K113" s="15"/>
      <c r="L113" s="15" t="s">
        <v>1762</v>
      </c>
      <c r="M113" s="15"/>
      <c r="N113" s="15" t="s">
        <v>50</v>
      </c>
      <c r="O113" s="15" t="s">
        <v>51</v>
      </c>
    </row>
    <row r="114" spans="1:15">
      <c r="A114" s="14" t="s">
        <v>11</v>
      </c>
      <c r="B114" s="14" t="s">
        <v>1521</v>
      </c>
      <c r="C114" s="14" t="s">
        <v>1522</v>
      </c>
      <c r="D114" s="14" t="s">
        <v>1523</v>
      </c>
      <c r="E114" s="14">
        <v>113</v>
      </c>
      <c r="F114" s="14" t="s">
        <v>1845</v>
      </c>
      <c r="G114" s="14" t="s">
        <v>1846</v>
      </c>
      <c r="H114" s="14" t="s">
        <v>1847</v>
      </c>
      <c r="I114" s="14" t="s">
        <v>49</v>
      </c>
      <c r="J114" s="11" t="str">
        <f>HYPERLINK("https://www.codechef.com/problems/NETFLIX", "https://www.codechef.com/problems/NETFLIX")</f>
        <v>https://www.codechef.com/problems/NETFLIX</v>
      </c>
      <c r="K114" s="14"/>
      <c r="L114" s="14" t="s">
        <v>1578</v>
      </c>
      <c r="M114" s="14"/>
      <c r="N114" s="14" t="s">
        <v>50</v>
      </c>
      <c r="O114" s="14" t="s">
        <v>51</v>
      </c>
    </row>
    <row r="115" spans="1:15">
      <c r="A115" s="15" t="s">
        <v>11</v>
      </c>
      <c r="B115" s="15" t="s">
        <v>1521</v>
      </c>
      <c r="C115" s="15" t="s">
        <v>1522</v>
      </c>
      <c r="D115" s="15" t="s">
        <v>1523</v>
      </c>
      <c r="E115" s="15">
        <v>114</v>
      </c>
      <c r="F115" s="15" t="s">
        <v>1848</v>
      </c>
      <c r="G115" s="15" t="s">
        <v>1849</v>
      </c>
      <c r="H115" s="15" t="s">
        <v>1850</v>
      </c>
      <c r="I115" s="15" t="s">
        <v>49</v>
      </c>
      <c r="J115" s="7" t="str">
        <f>HYPERLINK("https://www.codechef.com/problems/CGYM", "https://www.codechef.com/problems/CGYM")</f>
        <v>https://www.codechef.com/problems/CGYM</v>
      </c>
      <c r="K115" s="15"/>
      <c r="L115" s="15" t="s">
        <v>1771</v>
      </c>
      <c r="M115" s="15"/>
      <c r="N115" s="15" t="s">
        <v>50</v>
      </c>
      <c r="O115" s="15" t="s">
        <v>51</v>
      </c>
    </row>
    <row r="116" spans="1:15">
      <c r="A116" s="14" t="s">
        <v>11</v>
      </c>
      <c r="B116" s="14" t="s">
        <v>1521</v>
      </c>
      <c r="C116" s="14" t="s">
        <v>1522</v>
      </c>
      <c r="D116" s="14" t="s">
        <v>1523</v>
      </c>
      <c r="E116" s="14">
        <v>115</v>
      </c>
      <c r="F116" s="14" t="s">
        <v>1851</v>
      </c>
      <c r="G116" s="14" t="s">
        <v>1852</v>
      </c>
      <c r="H116" s="14" t="s">
        <v>1850</v>
      </c>
      <c r="I116" s="14" t="s">
        <v>49</v>
      </c>
      <c r="J116" s="11" t="str">
        <f>HYPERLINK("https://www.codechef.com/problems/CHEAPFOOD", "https://www.codechef.com/problems/CHEAPFOOD")</f>
        <v>https://www.codechef.com/problems/CHEAPFOOD</v>
      </c>
      <c r="K116" s="14"/>
      <c r="L116" s="14" t="s">
        <v>194</v>
      </c>
      <c r="M116" s="14"/>
      <c r="N116" s="14" t="s">
        <v>50</v>
      </c>
      <c r="O116" s="14" t="s">
        <v>51</v>
      </c>
    </row>
    <row r="117" spans="1:15">
      <c r="A117" s="15" t="s">
        <v>11</v>
      </c>
      <c r="B117" s="15" t="s">
        <v>1853</v>
      </c>
      <c r="C117" s="15" t="s">
        <v>1854</v>
      </c>
      <c r="D117" s="15" t="s">
        <v>1855</v>
      </c>
      <c r="E117" s="15">
        <v>1</v>
      </c>
      <c r="F117" s="15" t="s">
        <v>1856</v>
      </c>
      <c r="G117" s="15" t="s">
        <v>1857</v>
      </c>
      <c r="H117" s="15" t="s">
        <v>674</v>
      </c>
      <c r="I117" s="15" t="s">
        <v>49</v>
      </c>
      <c r="J117" s="7" t="str">
        <f>HYPERLINK("https://www.codechef.com/problems/AVGPROBLEM", "https://www.codechef.com/problems/AVGPROBLEM")</f>
        <v>https://www.codechef.com/problems/AVGPROBLEM</v>
      </c>
      <c r="K117" s="15"/>
      <c r="L117" s="15" t="s">
        <v>194</v>
      </c>
      <c r="M117" s="15"/>
      <c r="N117" s="15" t="s">
        <v>50</v>
      </c>
      <c r="O117" s="15" t="s">
        <v>51</v>
      </c>
    </row>
    <row r="118" spans="1:15">
      <c r="A118" s="14" t="s">
        <v>11</v>
      </c>
      <c r="B118" s="14" t="s">
        <v>1853</v>
      </c>
      <c r="C118" s="14" t="s">
        <v>1854</v>
      </c>
      <c r="D118" s="14" t="s">
        <v>1855</v>
      </c>
      <c r="E118" s="14">
        <v>2</v>
      </c>
      <c r="F118" s="14" t="s">
        <v>1858</v>
      </c>
      <c r="G118" s="14" t="s">
        <v>1859</v>
      </c>
      <c r="H118" s="14" t="s">
        <v>1860</v>
      </c>
      <c r="I118" s="14" t="s">
        <v>49</v>
      </c>
      <c r="J118" s="11" t="str">
        <f>HYPERLINK("https://www.codechef.com/problems/SUBSCRIBE_", "https://www.codechef.com/problems/SUBSCRIBE_")</f>
        <v>https://www.codechef.com/problems/SUBSCRIBE_</v>
      </c>
      <c r="K118" s="14"/>
      <c r="L118" s="14"/>
      <c r="M118" s="14"/>
      <c r="N118" s="14" t="s">
        <v>50</v>
      </c>
      <c r="O118" s="14" t="s">
        <v>51</v>
      </c>
    </row>
    <row r="119" spans="1:15">
      <c r="A119" s="15" t="s">
        <v>11</v>
      </c>
      <c r="B119" s="15" t="s">
        <v>1853</v>
      </c>
      <c r="C119" s="15" t="s">
        <v>1854</v>
      </c>
      <c r="D119" s="15" t="s">
        <v>1855</v>
      </c>
      <c r="E119" s="15">
        <v>3</v>
      </c>
      <c r="F119" s="15" t="s">
        <v>1861</v>
      </c>
      <c r="G119" s="15" t="s">
        <v>1862</v>
      </c>
      <c r="H119" s="15" t="s">
        <v>1863</v>
      </c>
      <c r="I119" s="15" t="s">
        <v>49</v>
      </c>
      <c r="J119" s="7" t="str">
        <f>HYPERLINK("https://www.codechef.com/problems/JASSIGNMENTS", "https://www.codechef.com/problems/JASSIGNMENTS")</f>
        <v>https://www.codechef.com/problems/JASSIGNMENTS</v>
      </c>
      <c r="K119" s="15"/>
      <c r="L119" s="15"/>
      <c r="M119" s="15"/>
      <c r="N119" s="15" t="s">
        <v>50</v>
      </c>
      <c r="O119" s="15" t="s">
        <v>51</v>
      </c>
    </row>
    <row r="120" spans="1:15">
      <c r="A120" s="14" t="s">
        <v>11</v>
      </c>
      <c r="B120" s="14" t="s">
        <v>1853</v>
      </c>
      <c r="C120" s="14" t="s">
        <v>1854</v>
      </c>
      <c r="D120" s="14" t="s">
        <v>1855</v>
      </c>
      <c r="E120" s="14">
        <v>4</v>
      </c>
      <c r="F120" s="14" t="s">
        <v>1864</v>
      </c>
      <c r="G120" s="14" t="s">
        <v>1865</v>
      </c>
      <c r="H120" s="14" t="s">
        <v>1866</v>
      </c>
      <c r="I120" s="14" t="s">
        <v>49</v>
      </c>
      <c r="J120" s="11" t="str">
        <f>HYPERLINK("https://www.codechef.com/problems/EXAMCHEF", "https://www.codechef.com/problems/EXAMCHEF")</f>
        <v>https://www.codechef.com/problems/EXAMCHEF</v>
      </c>
      <c r="K120" s="14"/>
      <c r="L120" s="14" t="s">
        <v>1559</v>
      </c>
      <c r="M120" s="14"/>
      <c r="N120" s="14" t="s">
        <v>50</v>
      </c>
      <c r="O120" s="14" t="s">
        <v>51</v>
      </c>
    </row>
    <row r="121" spans="1:15">
      <c r="A121" s="15" t="s">
        <v>11</v>
      </c>
      <c r="B121" s="15" t="s">
        <v>1853</v>
      </c>
      <c r="C121" s="15" t="s">
        <v>1854</v>
      </c>
      <c r="D121" s="15" t="s">
        <v>1855</v>
      </c>
      <c r="E121" s="15">
        <v>5</v>
      </c>
      <c r="F121" s="15" t="s">
        <v>1867</v>
      </c>
      <c r="G121" s="15" t="s">
        <v>1868</v>
      </c>
      <c r="H121" s="15" t="s">
        <v>1869</v>
      </c>
      <c r="I121" s="15" t="s">
        <v>49</v>
      </c>
      <c r="J121" s="7" t="str">
        <f>HYPERLINK("https://www.codechef.com/problems/OFFICE", "https://www.codechef.com/problems/OFFICE")</f>
        <v>https://www.codechef.com/problems/OFFICE</v>
      </c>
      <c r="K121" s="15"/>
      <c r="L121" s="15" t="s">
        <v>187</v>
      </c>
      <c r="M121" s="15"/>
      <c r="N121" s="15" t="s">
        <v>50</v>
      </c>
      <c r="O121" s="15" t="s">
        <v>51</v>
      </c>
    </row>
    <row r="122" spans="1:15">
      <c r="A122" s="14" t="s">
        <v>11</v>
      </c>
      <c r="B122" s="14" t="s">
        <v>1853</v>
      </c>
      <c r="C122" s="14" t="s">
        <v>1854</v>
      </c>
      <c r="D122" s="14" t="s">
        <v>1855</v>
      </c>
      <c r="E122" s="14">
        <v>6</v>
      </c>
      <c r="F122" s="14" t="s">
        <v>1870</v>
      </c>
      <c r="G122" s="14" t="s">
        <v>1871</v>
      </c>
      <c r="H122" s="14" t="s">
        <v>1872</v>
      </c>
      <c r="I122" s="14" t="s">
        <v>49</v>
      </c>
      <c r="J122" s="11" t="str">
        <f>HYPERLINK("https://www.codechef.com/problems/AMR15A", "https://www.codechef.com/problems/AMR15A")</f>
        <v>https://www.codechef.com/problems/AMR15A</v>
      </c>
      <c r="K122" s="14"/>
      <c r="L122" s="14" t="s">
        <v>213</v>
      </c>
      <c r="M122" s="14"/>
      <c r="N122" s="14" t="s">
        <v>50</v>
      </c>
      <c r="O122" s="14" t="s">
        <v>51</v>
      </c>
    </row>
    <row r="123" spans="1:15">
      <c r="A123" s="15" t="s">
        <v>11</v>
      </c>
      <c r="B123" s="15" t="s">
        <v>1853</v>
      </c>
      <c r="C123" s="15" t="s">
        <v>1854</v>
      </c>
      <c r="D123" s="15" t="s">
        <v>1855</v>
      </c>
      <c r="E123" s="15">
        <v>7</v>
      </c>
      <c r="F123" s="15" t="s">
        <v>1873</v>
      </c>
      <c r="G123" s="15" t="s">
        <v>1874</v>
      </c>
      <c r="H123" s="15" t="s">
        <v>1875</v>
      </c>
      <c r="I123" s="15" t="s">
        <v>49</v>
      </c>
      <c r="J123" s="7" t="str">
        <f>HYPERLINK("https://www.codechef.com/problems/CREDCOINS", "https://www.codechef.com/problems/CREDCOINS")</f>
        <v>https://www.codechef.com/problems/CREDCOINS</v>
      </c>
      <c r="K123" s="15"/>
      <c r="L123" s="15" t="s">
        <v>1876</v>
      </c>
      <c r="M123" s="15"/>
      <c r="N123" s="15" t="s">
        <v>50</v>
      </c>
      <c r="O123" s="15" t="s">
        <v>51</v>
      </c>
    </row>
    <row r="124" spans="1:15">
      <c r="A124" s="14" t="s">
        <v>11</v>
      </c>
      <c r="B124" s="14" t="s">
        <v>1853</v>
      </c>
      <c r="C124" s="14" t="s">
        <v>1854</v>
      </c>
      <c r="D124" s="14" t="s">
        <v>1855</v>
      </c>
      <c r="E124" s="14">
        <v>8</v>
      </c>
      <c r="F124" s="14" t="s">
        <v>1877</v>
      </c>
      <c r="G124" s="14" t="s">
        <v>1878</v>
      </c>
      <c r="H124" s="14" t="s">
        <v>1879</v>
      </c>
      <c r="I124" s="14" t="s">
        <v>49</v>
      </c>
      <c r="J124" s="11" t="str">
        <f>HYPERLINK("https://www.codechef.com/problems/WATERFILLING", "https://www.codechef.com/problems/WATERFILLING")</f>
        <v>https://www.codechef.com/problems/WATERFILLING</v>
      </c>
      <c r="K124" s="14"/>
      <c r="L124" s="14"/>
      <c r="M124" s="14"/>
      <c r="N124" s="14" t="s">
        <v>50</v>
      </c>
      <c r="O124" s="14" t="s">
        <v>51</v>
      </c>
    </row>
    <row r="125" spans="1:15">
      <c r="A125" s="15" t="s">
        <v>11</v>
      </c>
      <c r="B125" s="15" t="s">
        <v>1853</v>
      </c>
      <c r="C125" s="15" t="s">
        <v>1854</v>
      </c>
      <c r="D125" s="15" t="s">
        <v>1855</v>
      </c>
      <c r="E125" s="15">
        <v>9</v>
      </c>
      <c r="F125" s="15" t="s">
        <v>1880</v>
      </c>
      <c r="G125" s="15" t="s">
        <v>1881</v>
      </c>
      <c r="H125" s="15" t="s">
        <v>1879</v>
      </c>
      <c r="I125" s="15" t="s">
        <v>49</v>
      </c>
      <c r="J125" s="7" t="str">
        <f>HYPERLINK("https://www.codechef.com/problems/SALESEASON", "https://www.codechef.com/problems/SALESEASON")</f>
        <v>https://www.codechef.com/problems/SALESEASON</v>
      </c>
      <c r="K125" s="15"/>
      <c r="L125" s="15"/>
      <c r="M125" s="15"/>
      <c r="N125" s="15" t="s">
        <v>50</v>
      </c>
      <c r="O125" s="15" t="s">
        <v>51</v>
      </c>
    </row>
    <row r="126" spans="1:15">
      <c r="A126" s="14" t="s">
        <v>11</v>
      </c>
      <c r="B126" s="14" t="s">
        <v>1853</v>
      </c>
      <c r="C126" s="14" t="s">
        <v>1854</v>
      </c>
      <c r="D126" s="14" t="s">
        <v>1855</v>
      </c>
      <c r="E126" s="14">
        <v>10</v>
      </c>
      <c r="F126" s="14" t="s">
        <v>1882</v>
      </c>
      <c r="G126" s="14" t="s">
        <v>1883</v>
      </c>
      <c r="H126" s="14" t="s">
        <v>1884</v>
      </c>
      <c r="I126" s="14" t="s">
        <v>49</v>
      </c>
      <c r="J126" s="11" t="str">
        <f>HYPERLINK("https://www.codechef.com/problems/MINPIZZA", "https://www.codechef.com/problems/MINPIZZA")</f>
        <v>https://www.codechef.com/problems/MINPIZZA</v>
      </c>
      <c r="K126" s="14"/>
      <c r="L126" s="14" t="s">
        <v>194</v>
      </c>
      <c r="M126" s="14"/>
      <c r="N126" s="14" t="s">
        <v>50</v>
      </c>
      <c r="O126" s="14" t="s">
        <v>51</v>
      </c>
    </row>
    <row r="127" spans="1:15">
      <c r="A127" s="15" t="s">
        <v>11</v>
      </c>
      <c r="B127" s="15" t="s">
        <v>1853</v>
      </c>
      <c r="C127" s="15" t="s">
        <v>1854</v>
      </c>
      <c r="D127" s="15" t="s">
        <v>1855</v>
      </c>
      <c r="E127" s="15">
        <v>11</v>
      </c>
      <c r="F127" s="15" t="s">
        <v>1885</v>
      </c>
      <c r="G127" s="15" t="s">
        <v>1886</v>
      </c>
      <c r="H127" s="15" t="s">
        <v>1887</v>
      </c>
      <c r="I127" s="15" t="s">
        <v>49</v>
      </c>
      <c r="J127" s="7" t="str">
        <f>HYPERLINK("https://www.codechef.com/problems/CHEFGAMES", "https://www.codechef.com/problems/CHEFGAMES")</f>
        <v>https://www.codechef.com/problems/CHEFGAMES</v>
      </c>
      <c r="K127" s="15"/>
      <c r="L127" s="15" t="s">
        <v>125</v>
      </c>
      <c r="M127" s="15"/>
      <c r="N127" s="15" t="s">
        <v>50</v>
      </c>
      <c r="O127" s="15" t="s">
        <v>51</v>
      </c>
    </row>
    <row r="128" spans="1:15">
      <c r="A128" s="14" t="s">
        <v>11</v>
      </c>
      <c r="B128" s="14" t="s">
        <v>1853</v>
      </c>
      <c r="C128" s="14" t="s">
        <v>1854</v>
      </c>
      <c r="D128" s="14" t="s">
        <v>1855</v>
      </c>
      <c r="E128" s="14">
        <v>12</v>
      </c>
      <c r="F128" s="14" t="s">
        <v>1888</v>
      </c>
      <c r="G128" s="14" t="s">
        <v>1889</v>
      </c>
      <c r="H128" s="14" t="s">
        <v>1890</v>
      </c>
      <c r="I128" s="14" t="s">
        <v>49</v>
      </c>
      <c r="J128" s="11" t="str">
        <f>HYPERLINK("https://www.codechef.com/problems/EXPERT", "https://www.codechef.com/problems/EXPERT")</f>
        <v>https://www.codechef.com/problems/EXPERT</v>
      </c>
      <c r="K128" s="14"/>
      <c r="L128" s="14" t="s">
        <v>194</v>
      </c>
      <c r="M128" s="14"/>
      <c r="N128" s="14" t="s">
        <v>50</v>
      </c>
      <c r="O128" s="14" t="s">
        <v>51</v>
      </c>
    </row>
    <row r="129" spans="1:15">
      <c r="A129" s="15" t="s">
        <v>11</v>
      </c>
      <c r="B129" s="15" t="s">
        <v>1853</v>
      </c>
      <c r="C129" s="15" t="s">
        <v>1854</v>
      </c>
      <c r="D129" s="15" t="s">
        <v>1855</v>
      </c>
      <c r="E129" s="15">
        <v>13</v>
      </c>
      <c r="F129" s="15" t="s">
        <v>1891</v>
      </c>
      <c r="G129" s="15" t="s">
        <v>1892</v>
      </c>
      <c r="H129" s="15" t="s">
        <v>1893</v>
      </c>
      <c r="I129" s="15" t="s">
        <v>49</v>
      </c>
      <c r="J129" s="7" t="str">
        <f>HYPERLINK("https://www.codechef.com/problems/HELIUM3", "https://www.codechef.com/problems/HELIUM3")</f>
        <v>https://www.codechef.com/problems/HELIUM3</v>
      </c>
      <c r="K129" s="15"/>
      <c r="L129" s="15" t="s">
        <v>194</v>
      </c>
      <c r="M129" s="15"/>
      <c r="N129" s="15" t="s">
        <v>50</v>
      </c>
      <c r="O129" s="15" t="s">
        <v>51</v>
      </c>
    </row>
    <row r="130" spans="1:15">
      <c r="A130" s="14" t="s">
        <v>11</v>
      </c>
      <c r="B130" s="14" t="s">
        <v>1853</v>
      </c>
      <c r="C130" s="14" t="s">
        <v>1854</v>
      </c>
      <c r="D130" s="14" t="s">
        <v>1855</v>
      </c>
      <c r="E130" s="14">
        <v>14</v>
      </c>
      <c r="F130" s="14" t="s">
        <v>1894</v>
      </c>
      <c r="G130" s="14" t="s">
        <v>1895</v>
      </c>
      <c r="H130" s="14" t="s">
        <v>1896</v>
      </c>
      <c r="I130" s="14" t="s">
        <v>49</v>
      </c>
      <c r="J130" s="11" t="str">
        <f>HYPERLINK("https://www.codechef.com/problems/SUGARCANE", "https://www.codechef.com/problems/SUGARCANE")</f>
        <v>https://www.codechef.com/problems/SUGARCANE</v>
      </c>
      <c r="K130" s="14"/>
      <c r="L130" s="14"/>
      <c r="M130" s="14"/>
      <c r="N130" s="14" t="s">
        <v>50</v>
      </c>
      <c r="O130" s="14" t="s">
        <v>51</v>
      </c>
    </row>
    <row r="131" spans="1:15">
      <c r="A131" s="15" t="s">
        <v>11</v>
      </c>
      <c r="B131" s="15" t="s">
        <v>1853</v>
      </c>
      <c r="C131" s="15" t="s">
        <v>1854</v>
      </c>
      <c r="D131" s="15" t="s">
        <v>1855</v>
      </c>
      <c r="E131" s="15">
        <v>15</v>
      </c>
      <c r="F131" s="15" t="s">
        <v>1897</v>
      </c>
      <c r="G131" s="15" t="s">
        <v>1898</v>
      </c>
      <c r="H131" s="15" t="s">
        <v>1896</v>
      </c>
      <c r="I131" s="15" t="s">
        <v>49</v>
      </c>
      <c r="J131" s="7" t="str">
        <f>HYPERLINK("https://www.codechef.com/problems/NOTEBOOK", "https://www.codechef.com/problems/NOTEBOOK")</f>
        <v>https://www.codechef.com/problems/NOTEBOOK</v>
      </c>
      <c r="K131" s="15"/>
      <c r="L131" s="15" t="s">
        <v>194</v>
      </c>
      <c r="M131" s="15"/>
      <c r="N131" s="15" t="s">
        <v>50</v>
      </c>
      <c r="O131" s="15" t="s">
        <v>51</v>
      </c>
    </row>
    <row r="132" spans="1:15">
      <c r="A132" s="14" t="s">
        <v>11</v>
      </c>
      <c r="B132" s="14" t="s">
        <v>1853</v>
      </c>
      <c r="C132" s="14" t="s">
        <v>1854</v>
      </c>
      <c r="D132" s="14" t="s">
        <v>1855</v>
      </c>
      <c r="E132" s="14">
        <v>16</v>
      </c>
      <c r="F132" s="14" t="s">
        <v>1899</v>
      </c>
      <c r="G132" s="14" t="s">
        <v>1900</v>
      </c>
      <c r="H132" s="14" t="s">
        <v>1901</v>
      </c>
      <c r="I132" s="14" t="s">
        <v>49</v>
      </c>
      <c r="J132" s="11" t="str">
        <f>HYPERLINK("https://www.codechef.com/problems/CHEFCAND", "https://www.codechef.com/problems/CHEFCAND")</f>
        <v>https://www.codechef.com/problems/CHEFCAND</v>
      </c>
      <c r="K132" s="14"/>
      <c r="L132" s="14" t="s">
        <v>194</v>
      </c>
      <c r="M132" s="14"/>
      <c r="N132" s="14" t="s">
        <v>50</v>
      </c>
      <c r="O132" s="14" t="s">
        <v>51</v>
      </c>
    </row>
    <row r="133" spans="1:15">
      <c r="A133" s="15" t="s">
        <v>11</v>
      </c>
      <c r="B133" s="15" t="s">
        <v>1853</v>
      </c>
      <c r="C133" s="15" t="s">
        <v>1854</v>
      </c>
      <c r="D133" s="15" t="s">
        <v>1855</v>
      </c>
      <c r="E133" s="15">
        <v>17</v>
      </c>
      <c r="F133" s="15" t="s">
        <v>1902</v>
      </c>
      <c r="G133" s="15" t="s">
        <v>1903</v>
      </c>
      <c r="H133" s="15" t="s">
        <v>1904</v>
      </c>
      <c r="I133" s="15" t="s">
        <v>49</v>
      </c>
      <c r="J133" s="7" t="str">
        <f>HYPERLINK("https://www.codechef.com/problems/TRAVELFAST", "https://www.codechef.com/problems/TRAVELFAST")</f>
        <v>https://www.codechef.com/problems/TRAVELFAST</v>
      </c>
      <c r="K133" s="15"/>
      <c r="L133" s="15"/>
      <c r="M133" s="15"/>
      <c r="N133" s="15" t="s">
        <v>50</v>
      </c>
      <c r="O133" s="15" t="s">
        <v>51</v>
      </c>
    </row>
    <row r="134" spans="1:15">
      <c r="A134" s="14" t="s">
        <v>11</v>
      </c>
      <c r="B134" s="14" t="s">
        <v>1853</v>
      </c>
      <c r="C134" s="14" t="s">
        <v>1854</v>
      </c>
      <c r="D134" s="14" t="s">
        <v>1855</v>
      </c>
      <c r="E134" s="14">
        <v>18</v>
      </c>
      <c r="F134" s="14" t="s">
        <v>1905</v>
      </c>
      <c r="G134" s="14" t="s">
        <v>1906</v>
      </c>
      <c r="H134" s="14" t="s">
        <v>1907</v>
      </c>
      <c r="I134" s="14" t="s">
        <v>49</v>
      </c>
      <c r="J134" s="11" t="str">
        <f>HYPERLINK("https://www.codechef.com/problems/TRUESCORE", "https://www.codechef.com/problems/TRUESCORE")</f>
        <v>https://www.codechef.com/problems/TRUESCORE</v>
      </c>
      <c r="K134" s="14"/>
      <c r="L134" s="14"/>
      <c r="M134" s="14"/>
      <c r="N134" s="14" t="s">
        <v>50</v>
      </c>
      <c r="O134" s="14" t="s">
        <v>51</v>
      </c>
    </row>
    <row r="135" spans="1:15">
      <c r="A135" s="15" t="s">
        <v>11</v>
      </c>
      <c r="B135" s="15" t="s">
        <v>1853</v>
      </c>
      <c r="C135" s="15" t="s">
        <v>1854</v>
      </c>
      <c r="D135" s="15" t="s">
        <v>1855</v>
      </c>
      <c r="E135" s="15">
        <v>19</v>
      </c>
      <c r="F135" s="15" t="s">
        <v>1908</v>
      </c>
      <c r="G135" s="15" t="s">
        <v>1909</v>
      </c>
      <c r="H135" s="15" t="s">
        <v>1910</v>
      </c>
      <c r="I135" s="15" t="s">
        <v>49</v>
      </c>
      <c r="J135" s="7" t="str">
        <f>HYPERLINK("https://www.codechef.com/problems/THREETOPICS", "https://www.codechef.com/problems/THREETOPICS")</f>
        <v>https://www.codechef.com/problems/THREETOPICS</v>
      </c>
      <c r="K135" s="15"/>
      <c r="L135" s="15"/>
      <c r="M135" s="15"/>
      <c r="N135" s="15" t="s">
        <v>50</v>
      </c>
      <c r="O135" s="15" t="s">
        <v>51</v>
      </c>
    </row>
    <row r="136" spans="1:15">
      <c r="A136" s="14" t="s">
        <v>11</v>
      </c>
      <c r="B136" s="14" t="s">
        <v>1853</v>
      </c>
      <c r="C136" s="14" t="s">
        <v>1854</v>
      </c>
      <c r="D136" s="14" t="s">
        <v>1855</v>
      </c>
      <c r="E136" s="14">
        <v>20</v>
      </c>
      <c r="F136" s="14" t="s">
        <v>1911</v>
      </c>
      <c r="G136" s="14" t="s">
        <v>1912</v>
      </c>
      <c r="H136" s="14" t="s">
        <v>1913</v>
      </c>
      <c r="I136" s="14" t="s">
        <v>49</v>
      </c>
      <c r="J136" s="11" t="str">
        <f>HYPERLINK("https://www.codechef.com/problems/MONOPOLY2", "https://www.codechef.com/problems/MONOPOLY2")</f>
        <v>https://www.codechef.com/problems/MONOPOLY2</v>
      </c>
      <c r="K136" s="14"/>
      <c r="L136" s="14" t="s">
        <v>213</v>
      </c>
      <c r="M136" s="14"/>
      <c r="N136" s="14" t="s">
        <v>50</v>
      </c>
      <c r="O136" s="14" t="s">
        <v>51</v>
      </c>
    </row>
    <row r="137" spans="1:15">
      <c r="A137" s="15" t="s">
        <v>11</v>
      </c>
      <c r="B137" s="15" t="s">
        <v>1853</v>
      </c>
      <c r="C137" s="15" t="s">
        <v>1854</v>
      </c>
      <c r="D137" s="15" t="s">
        <v>1855</v>
      </c>
      <c r="E137" s="15">
        <v>21</v>
      </c>
      <c r="F137" s="15" t="s">
        <v>1914</v>
      </c>
      <c r="G137" s="15" t="s">
        <v>1915</v>
      </c>
      <c r="H137" s="15" t="s">
        <v>1916</v>
      </c>
      <c r="I137" s="15" t="s">
        <v>49</v>
      </c>
      <c r="J137" s="7" t="str">
        <f>HYPERLINK("https://www.codechef.com/problems/TODOLIST", "https://www.codechef.com/problems/TODOLIST")</f>
        <v>https://www.codechef.com/problems/TODOLIST</v>
      </c>
      <c r="K137" s="15"/>
      <c r="L137" s="15"/>
      <c r="M137" s="15"/>
      <c r="N137" s="15" t="s">
        <v>50</v>
      </c>
      <c r="O137" s="15" t="s">
        <v>51</v>
      </c>
    </row>
    <row r="138" spans="1:15">
      <c r="A138" s="14" t="s">
        <v>11</v>
      </c>
      <c r="B138" s="14" t="s">
        <v>1853</v>
      </c>
      <c r="C138" s="14" t="s">
        <v>1854</v>
      </c>
      <c r="D138" s="14" t="s">
        <v>1855</v>
      </c>
      <c r="E138" s="14">
        <v>22</v>
      </c>
      <c r="F138" s="14" t="s">
        <v>1917</v>
      </c>
      <c r="G138" s="14" t="s">
        <v>1918</v>
      </c>
      <c r="H138" s="14" t="s">
        <v>1222</v>
      </c>
      <c r="I138" s="14" t="s">
        <v>49</v>
      </c>
      <c r="J138" s="11" t="str">
        <f>HYPERLINK("https://www.codechef.com/problems/ACTEMP", "https://www.codechef.com/problems/ACTEMP")</f>
        <v>https://www.codechef.com/problems/ACTEMP</v>
      </c>
      <c r="K138" s="14"/>
      <c r="L138" s="14" t="s">
        <v>187</v>
      </c>
      <c r="M138" s="14"/>
      <c r="N138" s="14" t="s">
        <v>50</v>
      </c>
      <c r="O138" s="14" t="s">
        <v>51</v>
      </c>
    </row>
    <row r="139" spans="1:15">
      <c r="A139" s="15" t="s">
        <v>11</v>
      </c>
      <c r="B139" s="15" t="s">
        <v>1853</v>
      </c>
      <c r="C139" s="15" t="s">
        <v>1854</v>
      </c>
      <c r="D139" s="15" t="s">
        <v>1855</v>
      </c>
      <c r="E139" s="15">
        <v>23</v>
      </c>
      <c r="F139" s="15" t="s">
        <v>1919</v>
      </c>
      <c r="G139" s="15" t="s">
        <v>1920</v>
      </c>
      <c r="H139" s="15" t="s">
        <v>1921</v>
      </c>
      <c r="I139" s="15" t="s">
        <v>49</v>
      </c>
      <c r="J139" s="7" t="str">
        <f>HYPERLINK("https://www.codechef.com/problems/NEARESTEXIT", "https://www.codechef.com/problems/NEARESTEXIT")</f>
        <v>https://www.codechef.com/problems/NEARESTEXIT</v>
      </c>
      <c r="K139" s="15"/>
      <c r="L139" s="15"/>
      <c r="M139" s="15"/>
      <c r="N139" s="15" t="s">
        <v>50</v>
      </c>
      <c r="O139" s="15" t="s">
        <v>51</v>
      </c>
    </row>
    <row r="140" spans="1:15">
      <c r="A140" s="14" t="s">
        <v>11</v>
      </c>
      <c r="B140" s="14" t="s">
        <v>1853</v>
      </c>
      <c r="C140" s="14" t="s">
        <v>1854</v>
      </c>
      <c r="D140" s="14" t="s">
        <v>1855</v>
      </c>
      <c r="E140" s="14">
        <v>24</v>
      </c>
      <c r="F140" s="14" t="s">
        <v>1922</v>
      </c>
      <c r="G140" s="14" t="s">
        <v>1923</v>
      </c>
      <c r="H140" s="14" t="s">
        <v>1924</v>
      </c>
      <c r="I140" s="14" t="s">
        <v>49</v>
      </c>
      <c r="J140" s="11" t="str">
        <f>HYPERLINK("https://www.codechef.com/problems/FLOW007", "https://www.codechef.com/problems/FLOW007")</f>
        <v>https://www.codechef.com/problems/FLOW007</v>
      </c>
      <c r="K140" s="14"/>
      <c r="L140" s="14" t="s">
        <v>1925</v>
      </c>
      <c r="M140" s="14"/>
      <c r="N140" s="14" t="s">
        <v>50</v>
      </c>
      <c r="O140" s="14" t="s">
        <v>51</v>
      </c>
    </row>
    <row r="141" spans="1:15">
      <c r="A141" s="15" t="s">
        <v>11</v>
      </c>
      <c r="B141" s="15" t="s">
        <v>1853</v>
      </c>
      <c r="C141" s="15" t="s">
        <v>1854</v>
      </c>
      <c r="D141" s="15" t="s">
        <v>1855</v>
      </c>
      <c r="E141" s="15">
        <v>25</v>
      </c>
      <c r="F141" s="15" t="s">
        <v>1926</v>
      </c>
      <c r="G141" s="15" t="s">
        <v>1927</v>
      </c>
      <c r="H141" s="15" t="s">
        <v>226</v>
      </c>
      <c r="I141" s="15" t="s">
        <v>49</v>
      </c>
      <c r="J141" s="7" t="str">
        <f>HYPERLINK("https://www.codechef.com/problems/SST", "https://www.codechef.com/problems/SST")</f>
        <v>https://www.codechef.com/problems/SST</v>
      </c>
      <c r="K141" s="15"/>
      <c r="L141" s="15"/>
      <c r="M141" s="15"/>
      <c r="N141" s="15" t="s">
        <v>50</v>
      </c>
      <c r="O141" s="15" t="s">
        <v>51</v>
      </c>
    </row>
    <row r="142" spans="1:15">
      <c r="A142" s="14" t="s">
        <v>11</v>
      </c>
      <c r="B142" s="14" t="s">
        <v>1853</v>
      </c>
      <c r="C142" s="14" t="s">
        <v>1854</v>
      </c>
      <c r="D142" s="14" t="s">
        <v>1855</v>
      </c>
      <c r="E142" s="14">
        <v>26</v>
      </c>
      <c r="F142" s="14" t="s">
        <v>1928</v>
      </c>
      <c r="G142" s="14" t="s">
        <v>1929</v>
      </c>
      <c r="H142" s="14" t="s">
        <v>1930</v>
      </c>
      <c r="I142" s="14" t="s">
        <v>49</v>
      </c>
      <c r="J142" s="11" t="str">
        <f>HYPERLINK("https://www.codechef.com/problems/NIBBLE", "https://www.codechef.com/problems/NIBBLE")</f>
        <v>https://www.codechef.com/problems/NIBBLE</v>
      </c>
      <c r="K142" s="14"/>
      <c r="L142" s="14" t="s">
        <v>1931</v>
      </c>
      <c r="M142" s="14"/>
      <c r="N142" s="14" t="s">
        <v>50</v>
      </c>
      <c r="O142" s="14" t="s">
        <v>51</v>
      </c>
    </row>
    <row r="143" spans="1:15">
      <c r="A143" s="15" t="s">
        <v>11</v>
      </c>
      <c r="B143" s="15" t="s">
        <v>1853</v>
      </c>
      <c r="C143" s="15" t="s">
        <v>1854</v>
      </c>
      <c r="D143" s="15" t="s">
        <v>1855</v>
      </c>
      <c r="E143" s="15">
        <v>27</v>
      </c>
      <c r="F143" s="15" t="s">
        <v>1932</v>
      </c>
      <c r="G143" s="15" t="s">
        <v>1933</v>
      </c>
      <c r="H143" s="15" t="s">
        <v>1934</v>
      </c>
      <c r="I143" s="15" t="s">
        <v>49</v>
      </c>
      <c r="J143" s="7" t="str">
        <f>HYPERLINK("https://www.codechef.com/problems/QUALIFY", "https://www.codechef.com/problems/QUALIFY")</f>
        <v>https://www.codechef.com/problems/QUALIFY</v>
      </c>
      <c r="K143" s="15"/>
      <c r="L143" s="15"/>
      <c r="M143" s="15"/>
      <c r="N143" s="15" t="s">
        <v>50</v>
      </c>
      <c r="O143" s="15" t="s">
        <v>51</v>
      </c>
    </row>
    <row r="144" spans="1:15">
      <c r="A144" s="14" t="s">
        <v>11</v>
      </c>
      <c r="B144" s="14" t="s">
        <v>1853</v>
      </c>
      <c r="C144" s="14" t="s">
        <v>1854</v>
      </c>
      <c r="D144" s="14" t="s">
        <v>1855</v>
      </c>
      <c r="E144" s="14">
        <v>28</v>
      </c>
      <c r="F144" s="14" t="s">
        <v>1935</v>
      </c>
      <c r="G144" s="14" t="s">
        <v>1936</v>
      </c>
      <c r="H144" s="14" t="s">
        <v>229</v>
      </c>
      <c r="I144" s="14" t="s">
        <v>49</v>
      </c>
      <c r="J144" s="11" t="str">
        <f>HYPERLINK("https://www.codechef.com/problems/ELECTN", "https://www.codechef.com/problems/ELECTN")</f>
        <v>https://www.codechef.com/problems/ELECTN</v>
      </c>
      <c r="K144" s="14"/>
      <c r="L144" s="14" t="s">
        <v>144</v>
      </c>
      <c r="M144" s="14"/>
      <c r="N144" s="14" t="s">
        <v>50</v>
      </c>
      <c r="O144" s="14" t="s">
        <v>51</v>
      </c>
    </row>
    <row r="145" spans="1:15">
      <c r="A145" s="15" t="s">
        <v>11</v>
      </c>
      <c r="B145" s="15" t="s">
        <v>1853</v>
      </c>
      <c r="C145" s="15" t="s">
        <v>1854</v>
      </c>
      <c r="D145" s="15" t="s">
        <v>1855</v>
      </c>
      <c r="E145" s="15">
        <v>29</v>
      </c>
      <c r="F145" s="15" t="s">
        <v>1937</v>
      </c>
      <c r="G145" s="15" t="s">
        <v>1938</v>
      </c>
      <c r="H145" s="15" t="s">
        <v>1939</v>
      </c>
      <c r="I145" s="15" t="s">
        <v>49</v>
      </c>
      <c r="J145" s="7" t="str">
        <f>HYPERLINK("https://www.codechef.com/problems/MINCARS", "https://www.codechef.com/problems/MINCARS")</f>
        <v>https://www.codechef.com/problems/MINCARS</v>
      </c>
      <c r="K145" s="15"/>
      <c r="L145" s="15" t="s">
        <v>1876</v>
      </c>
      <c r="M145" s="15"/>
      <c r="N145" s="15" t="s">
        <v>50</v>
      </c>
      <c r="O145" s="15" t="s">
        <v>51</v>
      </c>
    </row>
    <row r="146" spans="1:15">
      <c r="A146" s="14" t="s">
        <v>11</v>
      </c>
      <c r="B146" s="14" t="s">
        <v>1853</v>
      </c>
      <c r="C146" s="14" t="s">
        <v>1854</v>
      </c>
      <c r="D146" s="14" t="s">
        <v>1855</v>
      </c>
      <c r="E146" s="14">
        <v>30</v>
      </c>
      <c r="F146" s="14" t="s">
        <v>1940</v>
      </c>
      <c r="G146" s="14" t="s">
        <v>1941</v>
      </c>
      <c r="H146" s="14" t="s">
        <v>1942</v>
      </c>
      <c r="I146" s="14" t="s">
        <v>49</v>
      </c>
      <c r="J146" s="11" t="str">
        <f>HYPERLINK("https://www.codechef.com/problems/CHEFSCORE", "https://www.codechef.com/problems/CHEFSCORE")</f>
        <v>https://www.codechef.com/problems/CHEFSCORE</v>
      </c>
      <c r="K146" s="14"/>
      <c r="L146" s="14" t="s">
        <v>194</v>
      </c>
      <c r="M146" s="14"/>
      <c r="N146" s="14" t="s">
        <v>50</v>
      </c>
      <c r="O146" s="14" t="s">
        <v>51</v>
      </c>
    </row>
    <row r="147" spans="1:15">
      <c r="A147" s="15" t="s">
        <v>11</v>
      </c>
      <c r="B147" s="15" t="s">
        <v>1853</v>
      </c>
      <c r="C147" s="15" t="s">
        <v>1854</v>
      </c>
      <c r="D147" s="15" t="s">
        <v>1855</v>
      </c>
      <c r="E147" s="15">
        <v>31</v>
      </c>
      <c r="F147" s="15" t="s">
        <v>1943</v>
      </c>
      <c r="G147" s="15" t="s">
        <v>1944</v>
      </c>
      <c r="H147" s="15" t="s">
        <v>1945</v>
      </c>
      <c r="I147" s="15" t="s">
        <v>49</v>
      </c>
      <c r="J147" s="7" t="str">
        <f>HYPERLINK("https://www.codechef.com/problems/JENGA", "https://www.codechef.com/problems/JENGA")</f>
        <v>https://www.codechef.com/problems/JENGA</v>
      </c>
      <c r="K147" s="15"/>
      <c r="L147" s="15" t="s">
        <v>194</v>
      </c>
      <c r="M147" s="15"/>
      <c r="N147" s="15" t="s">
        <v>50</v>
      </c>
      <c r="O147" s="15" t="s">
        <v>51</v>
      </c>
    </row>
    <row r="148" spans="1:15">
      <c r="A148" s="14" t="s">
        <v>11</v>
      </c>
      <c r="B148" s="14" t="s">
        <v>1853</v>
      </c>
      <c r="C148" s="14" t="s">
        <v>1854</v>
      </c>
      <c r="D148" s="14" t="s">
        <v>1855</v>
      </c>
      <c r="E148" s="14">
        <v>32</v>
      </c>
      <c r="F148" s="14" t="s">
        <v>1946</v>
      </c>
      <c r="G148" s="14" t="s">
        <v>1947</v>
      </c>
      <c r="H148" s="14" t="s">
        <v>1945</v>
      </c>
      <c r="I148" s="14" t="s">
        <v>49</v>
      </c>
      <c r="J148" s="11" t="str">
        <f>HYPERLINK("https://www.codechef.com/problems/SEATNUMBER", "https://www.codechef.com/problems/SEATNUMBER")</f>
        <v>https://www.codechef.com/problems/SEATNUMBER</v>
      </c>
      <c r="K148" s="14"/>
      <c r="L148" s="14"/>
      <c r="M148" s="14"/>
      <c r="N148" s="14" t="s">
        <v>50</v>
      </c>
      <c r="O148" s="14" t="s">
        <v>51</v>
      </c>
    </row>
    <row r="149" spans="1:15">
      <c r="A149" s="15" t="s">
        <v>11</v>
      </c>
      <c r="B149" s="15" t="s">
        <v>1853</v>
      </c>
      <c r="C149" s="15" t="s">
        <v>1854</v>
      </c>
      <c r="D149" s="15" t="s">
        <v>1855</v>
      </c>
      <c r="E149" s="15">
        <v>33</v>
      </c>
      <c r="F149" s="15" t="s">
        <v>1948</v>
      </c>
      <c r="G149" s="15" t="s">
        <v>1949</v>
      </c>
      <c r="H149" s="15" t="s">
        <v>1950</v>
      </c>
      <c r="I149" s="15" t="s">
        <v>49</v>
      </c>
      <c r="J149" s="7" t="str">
        <f>HYPERLINK("https://www.codechef.com/problems/DISCUS", "https://www.codechef.com/problems/DISCUS")</f>
        <v>https://www.codechef.com/problems/DISCUS</v>
      </c>
      <c r="K149" s="15"/>
      <c r="L149" s="15" t="s">
        <v>1951</v>
      </c>
      <c r="M149" s="15"/>
      <c r="N149" s="15" t="s">
        <v>50</v>
      </c>
      <c r="O149" s="15" t="s">
        <v>51</v>
      </c>
    </row>
    <row r="150" spans="1:15">
      <c r="A150" s="14" t="s">
        <v>11</v>
      </c>
      <c r="B150" s="14" t="s">
        <v>1853</v>
      </c>
      <c r="C150" s="14" t="s">
        <v>1854</v>
      </c>
      <c r="D150" s="14" t="s">
        <v>1855</v>
      </c>
      <c r="E150" s="14">
        <v>34</v>
      </c>
      <c r="F150" s="14" t="s">
        <v>1952</v>
      </c>
      <c r="G150" s="14" t="s">
        <v>1953</v>
      </c>
      <c r="H150" s="14" t="s">
        <v>1954</v>
      </c>
      <c r="I150" s="14" t="s">
        <v>49</v>
      </c>
      <c r="J150" s="11" t="str">
        <f>HYPERLINK("https://www.codechef.com/problems/MAXTASTE", "https://www.codechef.com/problems/MAXTASTE")</f>
        <v>https://www.codechef.com/problems/MAXTASTE</v>
      </c>
      <c r="K150" s="14"/>
      <c r="L150" s="14" t="s">
        <v>1955</v>
      </c>
      <c r="M150" s="14"/>
      <c r="N150" s="14" t="s">
        <v>50</v>
      </c>
      <c r="O150" s="14" t="s">
        <v>51</v>
      </c>
    </row>
    <row r="151" spans="1:15">
      <c r="A151" s="15" t="s">
        <v>11</v>
      </c>
      <c r="B151" s="15" t="s">
        <v>1853</v>
      </c>
      <c r="C151" s="15" t="s">
        <v>1854</v>
      </c>
      <c r="D151" s="15" t="s">
        <v>1855</v>
      </c>
      <c r="E151" s="15">
        <v>35</v>
      </c>
      <c r="F151" s="15" t="s">
        <v>1956</v>
      </c>
      <c r="G151" s="15" t="s">
        <v>1957</v>
      </c>
      <c r="H151" s="15" t="s">
        <v>1958</v>
      </c>
      <c r="I151" s="15" t="s">
        <v>49</v>
      </c>
      <c r="J151" s="7" t="str">
        <f>HYPERLINK("https://www.codechef.com/problems/MOVIE2X", "https://www.codechef.com/problems/MOVIE2X")</f>
        <v>https://www.codechef.com/problems/MOVIE2X</v>
      </c>
      <c r="K151" s="15"/>
      <c r="L151" s="15" t="s">
        <v>1762</v>
      </c>
      <c r="M151" s="15"/>
      <c r="N151" s="15" t="s">
        <v>50</v>
      </c>
      <c r="O151" s="15" t="s">
        <v>51</v>
      </c>
    </row>
    <row r="152" spans="1:15">
      <c r="A152" s="14" t="s">
        <v>11</v>
      </c>
      <c r="B152" s="14" t="s">
        <v>1853</v>
      </c>
      <c r="C152" s="14" t="s">
        <v>1854</v>
      </c>
      <c r="D152" s="14" t="s">
        <v>1855</v>
      </c>
      <c r="E152" s="14">
        <v>36</v>
      </c>
      <c r="F152" s="14" t="s">
        <v>1959</v>
      </c>
      <c r="G152" s="14" t="s">
        <v>1960</v>
      </c>
      <c r="H152" s="14" t="s">
        <v>1961</v>
      </c>
      <c r="I152" s="14" t="s">
        <v>49</v>
      </c>
      <c r="J152" s="11" t="str">
        <f>HYPERLINK("https://www.codechef.com/problems/POLTHIEF", "https://www.codechef.com/problems/POLTHIEF")</f>
        <v>https://www.codechef.com/problems/POLTHIEF</v>
      </c>
      <c r="K152" s="14"/>
      <c r="L152" s="14" t="s">
        <v>194</v>
      </c>
      <c r="M152" s="14"/>
      <c r="N152" s="14" t="s">
        <v>50</v>
      </c>
      <c r="O152" s="14" t="s">
        <v>51</v>
      </c>
    </row>
    <row r="153" spans="1:15">
      <c r="A153" s="15" t="s">
        <v>11</v>
      </c>
      <c r="B153" s="15" t="s">
        <v>1853</v>
      </c>
      <c r="C153" s="15" t="s">
        <v>1854</v>
      </c>
      <c r="D153" s="15" t="s">
        <v>1855</v>
      </c>
      <c r="E153" s="15">
        <v>37</v>
      </c>
      <c r="F153" s="15" t="s">
        <v>1962</v>
      </c>
      <c r="G153" s="15" t="s">
        <v>1963</v>
      </c>
      <c r="H153" s="15" t="s">
        <v>1964</v>
      </c>
      <c r="I153" s="15" t="s">
        <v>49</v>
      </c>
      <c r="J153" s="7" t="str">
        <f>HYPERLINK("https://www.codechef.com/problems/FLIPCARDS", "https://www.codechef.com/problems/FLIPCARDS")</f>
        <v>https://www.codechef.com/problems/FLIPCARDS</v>
      </c>
      <c r="K153" s="15"/>
      <c r="L153" s="15" t="s">
        <v>194</v>
      </c>
      <c r="M153" s="15"/>
      <c r="N153" s="15" t="s">
        <v>50</v>
      </c>
      <c r="O153" s="15" t="s">
        <v>51</v>
      </c>
    </row>
    <row r="154" spans="1:15">
      <c r="A154" s="14" t="s">
        <v>11</v>
      </c>
      <c r="B154" s="14" t="s">
        <v>1853</v>
      </c>
      <c r="C154" s="14" t="s">
        <v>1854</v>
      </c>
      <c r="D154" s="14" t="s">
        <v>1855</v>
      </c>
      <c r="E154" s="14">
        <v>38</v>
      </c>
      <c r="F154" s="14" t="s">
        <v>1965</v>
      </c>
      <c r="G154" s="14" t="s">
        <v>1966</v>
      </c>
      <c r="H154" s="14" t="s">
        <v>1241</v>
      </c>
      <c r="I154" s="14" t="s">
        <v>49</v>
      </c>
      <c r="J154" s="11" t="str">
        <f>HYPERLINK("https://www.codechef.com/problems/BATH", "https://www.codechef.com/problems/BATH")</f>
        <v>https://www.codechef.com/problems/BATH</v>
      </c>
      <c r="K154" s="14"/>
      <c r="L154" s="14" t="s">
        <v>1876</v>
      </c>
      <c r="M154" s="14"/>
      <c r="N154" s="14" t="s">
        <v>50</v>
      </c>
      <c r="O154" s="14" t="s">
        <v>51</v>
      </c>
    </row>
    <row r="155" spans="1:15">
      <c r="A155" s="15" t="s">
        <v>11</v>
      </c>
      <c r="B155" s="15" t="s">
        <v>1853</v>
      </c>
      <c r="C155" s="15" t="s">
        <v>1854</v>
      </c>
      <c r="D155" s="15" t="s">
        <v>1855</v>
      </c>
      <c r="E155" s="15">
        <v>39</v>
      </c>
      <c r="F155" s="15" t="s">
        <v>1967</v>
      </c>
      <c r="G155" s="15" t="s">
        <v>1968</v>
      </c>
      <c r="H155" s="15" t="s">
        <v>1969</v>
      </c>
      <c r="I155" s="15" t="s">
        <v>49</v>
      </c>
      <c r="J155" s="7" t="str">
        <f>HYPERLINK("https://www.codechef.com/problems/FINDSHOES", "https://www.codechef.com/problems/FINDSHOES")</f>
        <v>https://www.codechef.com/problems/FINDSHOES</v>
      </c>
      <c r="K155" s="15"/>
      <c r="L155" s="15" t="s">
        <v>1970</v>
      </c>
      <c r="M155" s="15"/>
      <c r="N155" s="15" t="s">
        <v>50</v>
      </c>
      <c r="O155" s="15" t="s">
        <v>51</v>
      </c>
    </row>
    <row r="156" spans="1:15">
      <c r="A156" s="14" t="s">
        <v>11</v>
      </c>
      <c r="B156" s="14" t="s">
        <v>1853</v>
      </c>
      <c r="C156" s="14" t="s">
        <v>1854</v>
      </c>
      <c r="D156" s="14" t="s">
        <v>1855</v>
      </c>
      <c r="E156" s="14">
        <v>40</v>
      </c>
      <c r="F156" s="14" t="s">
        <v>1971</v>
      </c>
      <c r="G156" s="14" t="s">
        <v>1972</v>
      </c>
      <c r="H156" s="14" t="s">
        <v>1973</v>
      </c>
      <c r="I156" s="14" t="s">
        <v>49</v>
      </c>
      <c r="J156" s="11" t="str">
        <f>HYPERLINK("https://www.codechef.com/problems/FCTRL2", "https://www.codechef.com/problems/FCTRL2")</f>
        <v>https://www.codechef.com/problems/FCTRL2</v>
      </c>
      <c r="K156" s="14"/>
      <c r="L156" s="14" t="s">
        <v>1974</v>
      </c>
      <c r="M156" s="14"/>
      <c r="N156" s="14" t="s">
        <v>50</v>
      </c>
      <c r="O156" s="14" t="s">
        <v>51</v>
      </c>
    </row>
    <row r="157" spans="1:15">
      <c r="A157" s="15" t="s">
        <v>11</v>
      </c>
      <c r="B157" s="15" t="s">
        <v>1853</v>
      </c>
      <c r="C157" s="15" t="s">
        <v>1854</v>
      </c>
      <c r="D157" s="15" t="s">
        <v>1855</v>
      </c>
      <c r="E157" s="15">
        <v>41</v>
      </c>
      <c r="F157" s="15" t="s">
        <v>1975</v>
      </c>
      <c r="G157" s="15" t="s">
        <v>1976</v>
      </c>
      <c r="H157" s="15" t="s">
        <v>1977</v>
      </c>
      <c r="I157" s="15" t="s">
        <v>49</v>
      </c>
      <c r="J157" s="7" t="str">
        <f>HYPERLINK("https://www.codechef.com/problems/TRANSFORM", "https://www.codechef.com/problems/TRANSFORM")</f>
        <v>https://www.codechef.com/problems/TRANSFORM</v>
      </c>
      <c r="K157" s="15"/>
      <c r="L157" s="15"/>
      <c r="M157" s="15"/>
      <c r="N157" s="15" t="s">
        <v>50</v>
      </c>
      <c r="O157" s="15" t="s">
        <v>51</v>
      </c>
    </row>
    <row r="158" spans="1:15">
      <c r="A158" s="14" t="s">
        <v>11</v>
      </c>
      <c r="B158" s="14" t="s">
        <v>1853</v>
      </c>
      <c r="C158" s="14" t="s">
        <v>1854</v>
      </c>
      <c r="D158" s="14" t="s">
        <v>1855</v>
      </c>
      <c r="E158" s="14">
        <v>42</v>
      </c>
      <c r="F158" s="14" t="s">
        <v>1978</v>
      </c>
      <c r="G158" s="14" t="s">
        <v>1979</v>
      </c>
      <c r="H158" s="14" t="s">
        <v>85</v>
      </c>
      <c r="I158" s="14" t="s">
        <v>49</v>
      </c>
      <c r="J158" s="11" t="str">
        <f>HYPERLINK("https://www.codechef.com/problems/BULLET", "https://www.codechef.com/problems/BULLET")</f>
        <v>https://www.codechef.com/problems/BULLET</v>
      </c>
      <c r="K158" s="14"/>
      <c r="L158" s="14" t="s">
        <v>1980</v>
      </c>
      <c r="M158" s="14"/>
      <c r="N158" s="14" t="s">
        <v>50</v>
      </c>
      <c r="O158" s="14" t="s">
        <v>51</v>
      </c>
    </row>
    <row r="159" spans="1:15">
      <c r="A159" s="15" t="s">
        <v>11</v>
      </c>
      <c r="B159" s="15" t="s">
        <v>1853</v>
      </c>
      <c r="C159" s="15" t="s">
        <v>1854</v>
      </c>
      <c r="D159" s="15" t="s">
        <v>1855</v>
      </c>
      <c r="E159" s="15">
        <v>43</v>
      </c>
      <c r="F159" s="15" t="s">
        <v>1981</v>
      </c>
      <c r="G159" s="15" t="s">
        <v>1982</v>
      </c>
      <c r="H159" s="15" t="s">
        <v>1983</v>
      </c>
      <c r="I159" s="15" t="s">
        <v>49</v>
      </c>
      <c r="J159" s="7" t="str">
        <f>HYPERLINK("https://www.codechef.com/problems/C_RATING", "https://www.codechef.com/problems/C_RATING")</f>
        <v>https://www.codechef.com/problems/C_RATING</v>
      </c>
      <c r="K159" s="15"/>
      <c r="L159" s="15" t="s">
        <v>202</v>
      </c>
      <c r="M159" s="15"/>
      <c r="N159" s="15" t="s">
        <v>50</v>
      </c>
      <c r="O159" s="15" t="s">
        <v>51</v>
      </c>
    </row>
    <row r="160" spans="1:15">
      <c r="A160" s="14" t="s">
        <v>11</v>
      </c>
      <c r="B160" s="14" t="s">
        <v>1853</v>
      </c>
      <c r="C160" s="14" t="s">
        <v>1854</v>
      </c>
      <c r="D160" s="14" t="s">
        <v>1855</v>
      </c>
      <c r="E160" s="14">
        <v>44</v>
      </c>
      <c r="F160" s="14" t="s">
        <v>1984</v>
      </c>
      <c r="G160" s="14" t="s">
        <v>1985</v>
      </c>
      <c r="H160" s="14" t="s">
        <v>1986</v>
      </c>
      <c r="I160" s="14" t="s">
        <v>49</v>
      </c>
      <c r="J160" s="11" t="str">
        <f>HYPERLINK("https://www.codechef.com/problems/DNASTRAND", "https://www.codechef.com/problems/DNASTRAND")</f>
        <v>https://www.codechef.com/problems/DNASTRAND</v>
      </c>
      <c r="K160" s="14"/>
      <c r="L160" s="14" t="s">
        <v>1987</v>
      </c>
      <c r="M160" s="14"/>
      <c r="N160" s="14" t="s">
        <v>50</v>
      </c>
      <c r="O160" s="14" t="s">
        <v>51</v>
      </c>
    </row>
    <row r="161" spans="1:15">
      <c r="A161" s="15" t="s">
        <v>11</v>
      </c>
      <c r="B161" s="15" t="s">
        <v>1853</v>
      </c>
      <c r="C161" s="15" t="s">
        <v>1854</v>
      </c>
      <c r="D161" s="15" t="s">
        <v>1855</v>
      </c>
      <c r="E161" s="15">
        <v>45</v>
      </c>
      <c r="F161" s="15" t="s">
        <v>1988</v>
      </c>
      <c r="G161" s="15" t="s">
        <v>1989</v>
      </c>
      <c r="H161" s="15" t="s">
        <v>1990</v>
      </c>
      <c r="I161" s="15" t="s">
        <v>49</v>
      </c>
      <c r="J161" s="7" t="str">
        <f>HYPERLINK("https://www.codechef.com/problems/CHEFBOTTLE", "https://www.codechef.com/problems/CHEFBOTTLE")</f>
        <v>https://www.codechef.com/problems/CHEFBOTTLE</v>
      </c>
      <c r="K161" s="15"/>
      <c r="L161" s="15" t="s">
        <v>1991</v>
      </c>
      <c r="M161" s="15"/>
      <c r="N161" s="15" t="s">
        <v>50</v>
      </c>
      <c r="O161" s="15" t="s">
        <v>51</v>
      </c>
    </row>
    <row r="162" spans="1:15">
      <c r="A162" s="14" t="s">
        <v>11</v>
      </c>
      <c r="B162" s="14" t="s">
        <v>1853</v>
      </c>
      <c r="C162" s="14" t="s">
        <v>1854</v>
      </c>
      <c r="D162" s="14" t="s">
        <v>1855</v>
      </c>
      <c r="E162" s="14">
        <v>46</v>
      </c>
      <c r="F162" s="14" t="s">
        <v>947</v>
      </c>
      <c r="G162" s="14" t="s">
        <v>948</v>
      </c>
      <c r="H162" s="14" t="s">
        <v>949</v>
      </c>
      <c r="I162" s="14" t="s">
        <v>49</v>
      </c>
      <c r="J162" s="11" t="str">
        <f>HYPERLINK("https://www.codechef.com/problems/CANDYDIST", "https://www.codechef.com/problems/CANDYDIST")</f>
        <v>https://www.codechef.com/problems/CANDYDIST</v>
      </c>
      <c r="K162" s="14"/>
      <c r="L162" s="14" t="s">
        <v>187</v>
      </c>
      <c r="M162" s="14"/>
      <c r="N162" s="14" t="s">
        <v>50</v>
      </c>
      <c r="O162" s="14" t="s">
        <v>51</v>
      </c>
    </row>
    <row r="163" spans="1:15">
      <c r="A163" s="15" t="s">
        <v>11</v>
      </c>
      <c r="B163" s="15" t="s">
        <v>1853</v>
      </c>
      <c r="C163" s="15" t="s">
        <v>1854</v>
      </c>
      <c r="D163" s="15" t="s">
        <v>1855</v>
      </c>
      <c r="E163" s="15">
        <v>47</v>
      </c>
      <c r="F163" s="15" t="s">
        <v>1992</v>
      </c>
      <c r="G163" s="15" t="s">
        <v>1993</v>
      </c>
      <c r="H163" s="15" t="s">
        <v>949</v>
      </c>
      <c r="I163" s="15" t="s">
        <v>49</v>
      </c>
      <c r="J163" s="7" t="str">
        <f>HYPERLINK("https://www.codechef.com/problems/FSQRT", "https://www.codechef.com/problems/FSQRT")</f>
        <v>https://www.codechef.com/problems/FSQRT</v>
      </c>
      <c r="K163" s="15"/>
      <c r="L163" s="15" t="s">
        <v>1994</v>
      </c>
      <c r="M163" s="15"/>
      <c r="N163" s="15" t="s">
        <v>50</v>
      </c>
      <c r="O163" s="15" t="s">
        <v>51</v>
      </c>
    </row>
    <row r="164" spans="1:15">
      <c r="A164" s="14" t="s">
        <v>11</v>
      </c>
      <c r="B164" s="14" t="s">
        <v>1853</v>
      </c>
      <c r="C164" s="14" t="s">
        <v>1854</v>
      </c>
      <c r="D164" s="14" t="s">
        <v>1855</v>
      </c>
      <c r="E164" s="14">
        <v>48</v>
      </c>
      <c r="F164" s="14" t="s">
        <v>1995</v>
      </c>
      <c r="G164" s="14" t="s">
        <v>1996</v>
      </c>
      <c r="H164" s="14" t="s">
        <v>1997</v>
      </c>
      <c r="I164" s="14" t="s">
        <v>49</v>
      </c>
      <c r="J164" s="11" t="str">
        <f>HYPERLINK("https://www.codechef.com/problems/LASTLEVELS", "https://www.codechef.com/problems/LASTLEVELS")</f>
        <v>https://www.codechef.com/problems/LASTLEVELS</v>
      </c>
      <c r="K164" s="14"/>
      <c r="L164" s="14" t="s">
        <v>1998</v>
      </c>
      <c r="M164" s="14"/>
      <c r="N164" s="14" t="s">
        <v>50</v>
      </c>
      <c r="O164" s="14" t="s">
        <v>51</v>
      </c>
    </row>
    <row r="165" spans="1:15">
      <c r="A165" s="15" t="s">
        <v>11</v>
      </c>
      <c r="B165" s="15" t="s">
        <v>1853</v>
      </c>
      <c r="C165" s="15" t="s">
        <v>1854</v>
      </c>
      <c r="D165" s="15" t="s">
        <v>1855</v>
      </c>
      <c r="E165" s="15">
        <v>49</v>
      </c>
      <c r="F165" s="15" t="s">
        <v>1999</v>
      </c>
      <c r="G165" s="15" t="s">
        <v>2000</v>
      </c>
      <c r="H165" s="15" t="s">
        <v>2001</v>
      </c>
      <c r="I165" s="15" t="s">
        <v>49</v>
      </c>
      <c r="J165" s="7" t="str">
        <f>HYPERLINK("https://www.codechef.com/problems/BLACKJACK", "https://www.codechef.com/problems/BLACKJACK")</f>
        <v>https://www.codechef.com/problems/BLACKJACK</v>
      </c>
      <c r="K165" s="15"/>
      <c r="L165" s="15" t="s">
        <v>194</v>
      </c>
      <c r="M165" s="15"/>
      <c r="N165" s="15" t="s">
        <v>50</v>
      </c>
      <c r="O165" s="15" t="s">
        <v>51</v>
      </c>
    </row>
    <row r="166" spans="1:15">
      <c r="A166" s="14" t="s">
        <v>11</v>
      </c>
      <c r="B166" s="14" t="s">
        <v>1853</v>
      </c>
      <c r="C166" s="14" t="s">
        <v>1854</v>
      </c>
      <c r="D166" s="14" t="s">
        <v>1855</v>
      </c>
      <c r="E166" s="14">
        <v>50</v>
      </c>
      <c r="F166" s="14" t="s">
        <v>2002</v>
      </c>
      <c r="G166" s="14" t="s">
        <v>2003</v>
      </c>
      <c r="H166" s="14" t="s">
        <v>2001</v>
      </c>
      <c r="I166" s="14" t="s">
        <v>49</v>
      </c>
      <c r="J166" s="11" t="str">
        <f>HYPERLINK("https://www.codechef.com/problems/FILLCANDIES", "https://www.codechef.com/problems/FILLCANDIES")</f>
        <v>https://www.codechef.com/problems/FILLCANDIES</v>
      </c>
      <c r="K166" s="14"/>
      <c r="L166" s="14" t="s">
        <v>194</v>
      </c>
      <c r="M166" s="14"/>
      <c r="N166" s="14" t="s">
        <v>50</v>
      </c>
      <c r="O166" s="14" t="s">
        <v>51</v>
      </c>
    </row>
    <row r="167" spans="1:15">
      <c r="A167" s="15" t="s">
        <v>11</v>
      </c>
      <c r="B167" s="15" t="s">
        <v>1853</v>
      </c>
      <c r="C167" s="15" t="s">
        <v>1854</v>
      </c>
      <c r="D167" s="15" t="s">
        <v>1855</v>
      </c>
      <c r="E167" s="15">
        <v>51</v>
      </c>
      <c r="F167" s="15" t="s">
        <v>2004</v>
      </c>
      <c r="G167" s="15" t="s">
        <v>2005</v>
      </c>
      <c r="H167" s="15" t="s">
        <v>2006</v>
      </c>
      <c r="I167" s="15" t="s">
        <v>49</v>
      </c>
      <c r="J167" s="7" t="str">
        <f>HYPERLINK("https://www.codechef.com/problems/XJUMP", "https://www.codechef.com/problems/XJUMP")</f>
        <v>https://www.codechef.com/problems/XJUMP</v>
      </c>
      <c r="K167" s="15"/>
      <c r="L167" s="15"/>
      <c r="M167" s="15"/>
      <c r="N167" s="15" t="s">
        <v>50</v>
      </c>
      <c r="O167" s="15" t="s">
        <v>51</v>
      </c>
    </row>
    <row r="168" spans="1:15">
      <c r="A168" s="14" t="s">
        <v>11</v>
      </c>
      <c r="B168" s="14" t="s">
        <v>1853</v>
      </c>
      <c r="C168" s="14" t="s">
        <v>1854</v>
      </c>
      <c r="D168" s="14" t="s">
        <v>1855</v>
      </c>
      <c r="E168" s="14">
        <v>52</v>
      </c>
      <c r="F168" s="14" t="s">
        <v>2007</v>
      </c>
      <c r="G168" s="14" t="s">
        <v>2008</v>
      </c>
      <c r="H168" s="14" t="s">
        <v>2009</v>
      </c>
      <c r="I168" s="14" t="s">
        <v>49</v>
      </c>
      <c r="J168" s="11" t="str">
        <f>HYPERLINK("https://www.codechef.com/problems/CHESSDIST", "https://www.codechef.com/problems/CHESSDIST")</f>
        <v>https://www.codechef.com/problems/CHESSDIST</v>
      </c>
      <c r="K168" s="14"/>
      <c r="L168" s="14" t="s">
        <v>1951</v>
      </c>
      <c r="M168" s="14"/>
      <c r="N168" s="14" t="s">
        <v>50</v>
      </c>
      <c r="O168" s="14" t="s">
        <v>51</v>
      </c>
    </row>
    <row r="169" spans="1:15">
      <c r="A169" s="15" t="s">
        <v>11</v>
      </c>
      <c r="B169" s="15" t="s">
        <v>1853</v>
      </c>
      <c r="C169" s="15" t="s">
        <v>1854</v>
      </c>
      <c r="D169" s="15" t="s">
        <v>1855</v>
      </c>
      <c r="E169" s="15">
        <v>53</v>
      </c>
      <c r="F169" s="15" t="s">
        <v>2010</v>
      </c>
      <c r="G169" s="15" t="s">
        <v>2011</v>
      </c>
      <c r="H169" s="15" t="s">
        <v>2012</v>
      </c>
      <c r="I169" s="15" t="s">
        <v>49</v>
      </c>
      <c r="J169" s="7" t="str">
        <f>HYPERLINK("https://www.codechef.com/problems/VALENTINE", "https://www.codechef.com/problems/VALENTINE")</f>
        <v>https://www.codechef.com/problems/VALENTINE</v>
      </c>
      <c r="K169" s="15"/>
      <c r="L169" s="15"/>
      <c r="M169" s="15"/>
      <c r="N169" s="15" t="s">
        <v>50</v>
      </c>
      <c r="O169" s="15" t="s">
        <v>51</v>
      </c>
    </row>
    <row r="170" spans="1:15">
      <c r="A170" s="14" t="s">
        <v>11</v>
      </c>
      <c r="B170" s="14" t="s">
        <v>1853</v>
      </c>
      <c r="C170" s="14" t="s">
        <v>1854</v>
      </c>
      <c r="D170" s="14" t="s">
        <v>1855</v>
      </c>
      <c r="E170" s="14">
        <v>54</v>
      </c>
      <c r="F170" s="14" t="s">
        <v>2013</v>
      </c>
      <c r="G170" s="14" t="s">
        <v>2014</v>
      </c>
      <c r="H170" s="14" t="s">
        <v>2012</v>
      </c>
      <c r="I170" s="14" t="s">
        <v>49</v>
      </c>
      <c r="J170" s="11" t="str">
        <f>HYPERLINK("https://www.codechef.com/problems/MYSERVE", "https://www.codechef.com/problems/MYSERVE")</f>
        <v>https://www.codechef.com/problems/MYSERVE</v>
      </c>
      <c r="K170" s="14"/>
      <c r="L170" s="14" t="s">
        <v>187</v>
      </c>
      <c r="M170" s="14"/>
      <c r="N170" s="14" t="s">
        <v>50</v>
      </c>
      <c r="O170" s="14" t="s">
        <v>51</v>
      </c>
    </row>
    <row r="171" spans="1:15">
      <c r="A171" s="15" t="s">
        <v>11</v>
      </c>
      <c r="B171" s="15" t="s">
        <v>1853</v>
      </c>
      <c r="C171" s="15" t="s">
        <v>1854</v>
      </c>
      <c r="D171" s="15" t="s">
        <v>1855</v>
      </c>
      <c r="E171" s="15">
        <v>55</v>
      </c>
      <c r="F171" s="15" t="s">
        <v>2015</v>
      </c>
      <c r="G171" s="15" t="s">
        <v>2016</v>
      </c>
      <c r="H171" s="15" t="s">
        <v>2017</v>
      </c>
      <c r="I171" s="15" t="s">
        <v>49</v>
      </c>
      <c r="J171" s="7" t="str">
        <f>HYPERLINK("https://www.codechef.com/problems/WTRMIXING", "https://www.codechef.com/problems/WTRMIXING")</f>
        <v>https://www.codechef.com/problems/WTRMIXING</v>
      </c>
      <c r="K171" s="15"/>
      <c r="L171" s="15"/>
      <c r="M171" s="15"/>
      <c r="N171" s="15" t="s">
        <v>50</v>
      </c>
      <c r="O171" s="15" t="s">
        <v>51</v>
      </c>
    </row>
    <row r="172" spans="1:15">
      <c r="A172" s="14" t="s">
        <v>11</v>
      </c>
      <c r="B172" s="14" t="s">
        <v>1853</v>
      </c>
      <c r="C172" s="14" t="s">
        <v>1854</v>
      </c>
      <c r="D172" s="14" t="s">
        <v>1855</v>
      </c>
      <c r="E172" s="14">
        <v>56</v>
      </c>
      <c r="F172" s="14" t="s">
        <v>2018</v>
      </c>
      <c r="G172" s="14" t="s">
        <v>2019</v>
      </c>
      <c r="H172" s="14" t="s">
        <v>2020</v>
      </c>
      <c r="I172" s="14" t="s">
        <v>49</v>
      </c>
      <c r="J172" s="11" t="str">
        <f>HYPERLINK("https://www.codechef.com/problems/WGHTS", "https://www.codechef.com/problems/WGHTS")</f>
        <v>https://www.codechef.com/problems/WGHTS</v>
      </c>
      <c r="K172" s="14"/>
      <c r="L172" s="14"/>
      <c r="M172" s="14"/>
      <c r="N172" s="14" t="s">
        <v>50</v>
      </c>
      <c r="O172" s="14" t="s">
        <v>51</v>
      </c>
    </row>
    <row r="173" spans="1:15">
      <c r="A173" s="15" t="s">
        <v>11</v>
      </c>
      <c r="B173" s="15" t="s">
        <v>1853</v>
      </c>
      <c r="C173" s="15" t="s">
        <v>1854</v>
      </c>
      <c r="D173" s="15" t="s">
        <v>1855</v>
      </c>
      <c r="E173" s="15">
        <v>57</v>
      </c>
      <c r="F173" s="15" t="s">
        <v>2021</v>
      </c>
      <c r="G173" s="15" t="s">
        <v>2022</v>
      </c>
      <c r="H173" s="15" t="s">
        <v>2023</v>
      </c>
      <c r="I173" s="15" t="s">
        <v>49</v>
      </c>
      <c r="J173" s="7" t="str">
        <f>HYPERLINK("https://www.codechef.com/problems/CHEFAPPS", "https://www.codechef.com/problems/CHEFAPPS")</f>
        <v>https://www.codechef.com/problems/CHEFAPPS</v>
      </c>
      <c r="K173" s="15"/>
      <c r="L173" s="15" t="s">
        <v>1591</v>
      </c>
      <c r="M173" s="15"/>
      <c r="N173" s="15" t="s">
        <v>50</v>
      </c>
      <c r="O173" s="15" t="s">
        <v>51</v>
      </c>
    </row>
    <row r="174" spans="1:15">
      <c r="A174" s="14" t="s">
        <v>11</v>
      </c>
      <c r="B174" s="14" t="s">
        <v>1853</v>
      </c>
      <c r="C174" s="14" t="s">
        <v>1854</v>
      </c>
      <c r="D174" s="14" t="s">
        <v>1855</v>
      </c>
      <c r="E174" s="14">
        <v>58</v>
      </c>
      <c r="F174" s="14" t="s">
        <v>2024</v>
      </c>
      <c r="G174" s="14" t="s">
        <v>2025</v>
      </c>
      <c r="H174" s="14" t="s">
        <v>2026</v>
      </c>
      <c r="I174" s="14" t="s">
        <v>49</v>
      </c>
      <c r="J174" s="11" t="str">
        <f>HYPERLINK("https://www.codechef.com/problems/CHEFEREN", "https://www.codechef.com/problems/CHEFEREN")</f>
        <v>https://www.codechef.com/problems/CHEFEREN</v>
      </c>
      <c r="K174" s="14"/>
      <c r="L174" s="14" t="s">
        <v>194</v>
      </c>
      <c r="M174" s="14"/>
      <c r="N174" s="14" t="s">
        <v>50</v>
      </c>
      <c r="O174" s="14" t="s">
        <v>51</v>
      </c>
    </row>
    <row r="175" spans="1:15">
      <c r="A175" s="15" t="s">
        <v>11</v>
      </c>
      <c r="B175" s="15" t="s">
        <v>1853</v>
      </c>
      <c r="C175" s="15" t="s">
        <v>1854</v>
      </c>
      <c r="D175" s="15" t="s">
        <v>1855</v>
      </c>
      <c r="E175" s="15">
        <v>59</v>
      </c>
      <c r="F175" s="15" t="s">
        <v>2027</v>
      </c>
      <c r="G175" s="15" t="s">
        <v>2028</v>
      </c>
      <c r="H175" s="15" t="s">
        <v>2029</v>
      </c>
      <c r="I175" s="15" t="s">
        <v>49</v>
      </c>
      <c r="J175" s="7" t="str">
        <f>HYPERLINK("https://www.codechef.com/problems/MINCOINS", "https://www.codechef.com/problems/MINCOINS")</f>
        <v>https://www.codechef.com/problems/MINCOINS</v>
      </c>
      <c r="K175" s="15"/>
      <c r="L175" s="15"/>
      <c r="M175" s="15"/>
      <c r="N175" s="15" t="s">
        <v>50</v>
      </c>
      <c r="O175" s="15" t="s">
        <v>51</v>
      </c>
    </row>
    <row r="176" spans="1:15">
      <c r="A176" s="14" t="s">
        <v>11</v>
      </c>
      <c r="B176" s="14" t="s">
        <v>1853</v>
      </c>
      <c r="C176" s="14" t="s">
        <v>1854</v>
      </c>
      <c r="D176" s="14" t="s">
        <v>1855</v>
      </c>
      <c r="E176" s="14">
        <v>60</v>
      </c>
      <c r="F176" s="14" t="s">
        <v>2030</v>
      </c>
      <c r="G176" s="14" t="s">
        <v>2031</v>
      </c>
      <c r="H176" s="14" t="s">
        <v>2032</v>
      </c>
      <c r="I176" s="14" t="s">
        <v>49</v>
      </c>
      <c r="J176" s="11" t="str">
        <f>HYPERLINK("https://www.codechef.com/problems/SPCP2", "https://www.codechef.com/problems/SPCP2")</f>
        <v>https://www.codechef.com/problems/SPCP2</v>
      </c>
      <c r="K176" s="14"/>
      <c r="L176" s="14"/>
      <c r="M176" s="14"/>
      <c r="N176" s="14" t="s">
        <v>50</v>
      </c>
      <c r="O176" s="14" t="s">
        <v>51</v>
      </c>
    </row>
    <row r="177" spans="1:15">
      <c r="A177" s="15" t="s">
        <v>11</v>
      </c>
      <c r="B177" s="15" t="s">
        <v>1853</v>
      </c>
      <c r="C177" s="15" t="s">
        <v>1854</v>
      </c>
      <c r="D177" s="15" t="s">
        <v>1855</v>
      </c>
      <c r="E177" s="15">
        <v>61</v>
      </c>
      <c r="F177" s="15" t="s">
        <v>2033</v>
      </c>
      <c r="G177" s="15" t="s">
        <v>2034</v>
      </c>
      <c r="H177" s="15" t="s">
        <v>2035</v>
      </c>
      <c r="I177" s="15" t="s">
        <v>49</v>
      </c>
      <c r="J177" s="7" t="str">
        <f>HYPERLINK("https://www.codechef.com/problems/SELFDEF", "https://www.codechef.com/problems/SELFDEF")</f>
        <v>https://www.codechef.com/problems/SELFDEF</v>
      </c>
      <c r="K177" s="15"/>
      <c r="L177" s="15"/>
      <c r="M177" s="15"/>
      <c r="N177" s="15" t="s">
        <v>50</v>
      </c>
      <c r="O177" s="15" t="s">
        <v>51</v>
      </c>
    </row>
    <row r="178" spans="1:15">
      <c r="A178" s="14" t="s">
        <v>11</v>
      </c>
      <c r="B178" s="14" t="s">
        <v>1853</v>
      </c>
      <c r="C178" s="14" t="s">
        <v>1854</v>
      </c>
      <c r="D178" s="14" t="s">
        <v>1855</v>
      </c>
      <c r="E178" s="14">
        <v>62</v>
      </c>
      <c r="F178" s="14" t="s">
        <v>2036</v>
      </c>
      <c r="G178" s="14" t="s">
        <v>2037</v>
      </c>
      <c r="H178" s="14" t="s">
        <v>2035</v>
      </c>
      <c r="I178" s="14" t="s">
        <v>49</v>
      </c>
      <c r="J178" s="11" t="str">
        <f>HYPERLINK("https://www.codechef.com/problems/CRICUP", "https://www.codechef.com/problems/CRICUP")</f>
        <v>https://www.codechef.com/problems/CRICUP</v>
      </c>
      <c r="K178" s="14"/>
      <c r="L178" s="14" t="s">
        <v>1951</v>
      </c>
      <c r="M178" s="14"/>
      <c r="N178" s="14" t="s">
        <v>50</v>
      </c>
      <c r="O178" s="14" t="s">
        <v>51</v>
      </c>
    </row>
    <row r="179" spans="1:15">
      <c r="A179" s="15" t="s">
        <v>11</v>
      </c>
      <c r="B179" s="15" t="s">
        <v>1853</v>
      </c>
      <c r="C179" s="15" t="s">
        <v>1854</v>
      </c>
      <c r="D179" s="15" t="s">
        <v>1855</v>
      </c>
      <c r="E179" s="15">
        <v>63</v>
      </c>
      <c r="F179" s="15" t="s">
        <v>2038</v>
      </c>
      <c r="G179" s="15" t="s">
        <v>2039</v>
      </c>
      <c r="H179" s="15" t="s">
        <v>2040</v>
      </c>
      <c r="I179" s="15" t="s">
        <v>49</v>
      </c>
      <c r="J179" s="7" t="str">
        <f>HYPERLINK("https://www.codechef.com/problems/FLOORS", "https://www.codechef.com/problems/FLOORS")</f>
        <v>https://www.codechef.com/problems/FLOORS</v>
      </c>
      <c r="K179" s="15"/>
      <c r="L179" s="15" t="s">
        <v>187</v>
      </c>
      <c r="M179" s="15"/>
      <c r="N179" s="15" t="s">
        <v>50</v>
      </c>
      <c r="O179" s="15" t="s">
        <v>51</v>
      </c>
    </row>
    <row r="180" spans="1:15">
      <c r="A180" s="14" t="s">
        <v>11</v>
      </c>
      <c r="B180" s="14" t="s">
        <v>1853</v>
      </c>
      <c r="C180" s="14" t="s">
        <v>1854</v>
      </c>
      <c r="D180" s="14" t="s">
        <v>1855</v>
      </c>
      <c r="E180" s="14">
        <v>64</v>
      </c>
      <c r="F180" s="14" t="s">
        <v>2041</v>
      </c>
      <c r="G180" s="14" t="s">
        <v>2042</v>
      </c>
      <c r="H180" s="14" t="s">
        <v>2043</v>
      </c>
      <c r="I180" s="14" t="s">
        <v>49</v>
      </c>
      <c r="J180" s="11" t="str">
        <f>HYPERLINK("https://www.codechef.com/problems/SPEEDTEST", "https://www.codechef.com/problems/SPEEDTEST")</f>
        <v>https://www.codechef.com/problems/SPEEDTEST</v>
      </c>
      <c r="K180" s="14"/>
      <c r="L180" s="14"/>
      <c r="M180" s="14"/>
      <c r="N180" s="14" t="s">
        <v>50</v>
      </c>
      <c r="O180" s="14" t="s">
        <v>51</v>
      </c>
    </row>
    <row r="181" spans="1:15">
      <c r="A181" s="15" t="s">
        <v>11</v>
      </c>
      <c r="B181" s="15" t="s">
        <v>1853</v>
      </c>
      <c r="C181" s="15" t="s">
        <v>1854</v>
      </c>
      <c r="D181" s="15" t="s">
        <v>1855</v>
      </c>
      <c r="E181" s="15">
        <v>65</v>
      </c>
      <c r="F181" s="15" t="s">
        <v>2044</v>
      </c>
      <c r="G181" s="15" t="s">
        <v>2045</v>
      </c>
      <c r="H181" s="15" t="s">
        <v>2046</v>
      </c>
      <c r="I181" s="15" t="s">
        <v>49</v>
      </c>
      <c r="J181" s="7" t="str">
        <f>HYPERLINK("https://www.codechef.com/problems/DECINC", "https://www.codechef.com/problems/DECINC")</f>
        <v>https://www.codechef.com/problems/DECINC</v>
      </c>
      <c r="K181" s="15"/>
      <c r="L181" s="15" t="s">
        <v>1578</v>
      </c>
      <c r="M181" s="15"/>
      <c r="N181" s="15" t="s">
        <v>50</v>
      </c>
      <c r="O181" s="15" t="s">
        <v>51</v>
      </c>
    </row>
    <row r="182" spans="1:15">
      <c r="A182" s="14" t="s">
        <v>11</v>
      </c>
      <c r="B182" s="14" t="s">
        <v>1853</v>
      </c>
      <c r="C182" s="14" t="s">
        <v>1854</v>
      </c>
      <c r="D182" s="14" t="s">
        <v>1855</v>
      </c>
      <c r="E182" s="14">
        <v>66</v>
      </c>
      <c r="F182" s="14" t="s">
        <v>2047</v>
      </c>
      <c r="G182" s="14" t="s">
        <v>2048</v>
      </c>
      <c r="H182" s="14" t="s">
        <v>2049</v>
      </c>
      <c r="I182" s="14" t="s">
        <v>49</v>
      </c>
      <c r="J182" s="11" t="str">
        <f>HYPERLINK("https://www.codechef.com/problems/AORB", "https://www.codechef.com/problems/AORB")</f>
        <v>https://www.codechef.com/problems/AORB</v>
      </c>
      <c r="K182" s="14"/>
      <c r="L182" s="14" t="s">
        <v>202</v>
      </c>
      <c r="M182" s="14"/>
      <c r="N182" s="14" t="s">
        <v>50</v>
      </c>
      <c r="O182" s="14" t="s">
        <v>51</v>
      </c>
    </row>
    <row r="183" spans="1:15">
      <c r="A183" s="15" t="s">
        <v>11</v>
      </c>
      <c r="B183" s="15" t="s">
        <v>1853</v>
      </c>
      <c r="C183" s="15" t="s">
        <v>1854</v>
      </c>
      <c r="D183" s="15" t="s">
        <v>1855</v>
      </c>
      <c r="E183" s="15">
        <v>67</v>
      </c>
      <c r="F183" s="15" t="s">
        <v>2050</v>
      </c>
      <c r="G183" s="15" t="s">
        <v>2051</v>
      </c>
      <c r="H183" s="15" t="s">
        <v>2052</v>
      </c>
      <c r="I183" s="15" t="s">
        <v>49</v>
      </c>
      <c r="J183" s="7" t="str">
        <f>HYPERLINK("https://www.codechef.com/problems/FLOW017", "https://www.codechef.com/problems/FLOW017")</f>
        <v>https://www.codechef.com/problems/FLOW017</v>
      </c>
      <c r="K183" s="15"/>
      <c r="L183" s="15" t="s">
        <v>2053</v>
      </c>
      <c r="M183" s="15"/>
      <c r="N183" s="15" t="s">
        <v>50</v>
      </c>
      <c r="O183" s="15" t="s">
        <v>51</v>
      </c>
    </row>
    <row r="184" spans="1:15">
      <c r="A184" s="14" t="s">
        <v>11</v>
      </c>
      <c r="B184" s="14" t="s">
        <v>1853</v>
      </c>
      <c r="C184" s="14" t="s">
        <v>1854</v>
      </c>
      <c r="D184" s="14" t="s">
        <v>1855</v>
      </c>
      <c r="E184" s="14">
        <v>68</v>
      </c>
      <c r="F184" s="14" t="s">
        <v>2054</v>
      </c>
      <c r="G184" s="14" t="s">
        <v>2055</v>
      </c>
      <c r="H184" s="14" t="s">
        <v>2052</v>
      </c>
      <c r="I184" s="14" t="s">
        <v>49</v>
      </c>
      <c r="J184" s="11" t="str">
        <f>HYPERLINK("https://www.codechef.com/problems/PASSORFAIL", "https://www.codechef.com/problems/PASSORFAIL")</f>
        <v>https://www.codechef.com/problems/PASSORFAIL</v>
      </c>
      <c r="K184" s="14"/>
      <c r="L184" s="14" t="s">
        <v>2056</v>
      </c>
      <c r="M184" s="14"/>
      <c r="N184" s="14" t="s">
        <v>50</v>
      </c>
      <c r="O184" s="14" t="s">
        <v>51</v>
      </c>
    </row>
    <row r="185" spans="1:15">
      <c r="A185" s="15" t="s">
        <v>11</v>
      </c>
      <c r="B185" s="15" t="s">
        <v>1853</v>
      </c>
      <c r="C185" s="15" t="s">
        <v>1854</v>
      </c>
      <c r="D185" s="15" t="s">
        <v>1855</v>
      </c>
      <c r="E185" s="15">
        <v>69</v>
      </c>
      <c r="F185" s="15" t="s">
        <v>2057</v>
      </c>
      <c r="G185" s="15" t="s">
        <v>2058</v>
      </c>
      <c r="H185" s="15" t="s">
        <v>2059</v>
      </c>
      <c r="I185" s="15" t="s">
        <v>49</v>
      </c>
      <c r="J185" s="7" t="str">
        <f>HYPERLINK("https://www.codechef.com/problems/CYCLICQD", "https://www.codechef.com/problems/CYCLICQD")</f>
        <v>https://www.codechef.com/problems/CYCLICQD</v>
      </c>
      <c r="K185" s="15"/>
      <c r="L185" s="15" t="s">
        <v>1701</v>
      </c>
      <c r="M185" s="15"/>
      <c r="N185" s="15" t="s">
        <v>50</v>
      </c>
      <c r="O185" s="15" t="s">
        <v>51</v>
      </c>
    </row>
    <row r="186" spans="1:15">
      <c r="A186" s="14" t="s">
        <v>11</v>
      </c>
      <c r="B186" s="14" t="s">
        <v>1853</v>
      </c>
      <c r="C186" s="14" t="s">
        <v>1854</v>
      </c>
      <c r="D186" s="14" t="s">
        <v>1855</v>
      </c>
      <c r="E186" s="14">
        <v>70</v>
      </c>
      <c r="F186" s="14" t="s">
        <v>2060</v>
      </c>
      <c r="G186" s="14" t="s">
        <v>2061</v>
      </c>
      <c r="H186" s="14" t="s">
        <v>2062</v>
      </c>
      <c r="I186" s="14" t="s">
        <v>49</v>
      </c>
      <c r="J186" s="11" t="str">
        <f>HYPERLINK("https://www.codechef.com/problems/POLYBAGS", "https://www.codechef.com/problems/POLYBAGS")</f>
        <v>https://www.codechef.com/problems/POLYBAGS</v>
      </c>
      <c r="K186" s="14"/>
      <c r="L186" s="14" t="s">
        <v>194</v>
      </c>
      <c r="M186" s="14"/>
      <c r="N186" s="14" t="s">
        <v>50</v>
      </c>
      <c r="O186" s="14" t="s">
        <v>51</v>
      </c>
    </row>
    <row r="187" spans="1:15">
      <c r="A187" s="15" t="s">
        <v>11</v>
      </c>
      <c r="B187" s="15" t="s">
        <v>1853</v>
      </c>
      <c r="C187" s="15" t="s">
        <v>1854</v>
      </c>
      <c r="D187" s="15" t="s">
        <v>1855</v>
      </c>
      <c r="E187" s="15">
        <v>71</v>
      </c>
      <c r="F187" s="15" t="s">
        <v>2063</v>
      </c>
      <c r="G187" s="15" t="s">
        <v>2064</v>
      </c>
      <c r="H187" s="15" t="s">
        <v>2065</v>
      </c>
      <c r="I187" s="15" t="s">
        <v>49</v>
      </c>
      <c r="J187" s="7" t="str">
        <f>HYPERLINK("https://www.codechef.com/problems/FIZZBUZZ2303", "https://www.codechef.com/problems/FIZZBUZZ2303")</f>
        <v>https://www.codechef.com/problems/FIZZBUZZ2303</v>
      </c>
      <c r="K187" s="15"/>
      <c r="L187" s="15" t="s">
        <v>194</v>
      </c>
      <c r="M187" s="15"/>
      <c r="N187" s="15" t="s">
        <v>50</v>
      </c>
      <c r="O187" s="15" t="s">
        <v>51</v>
      </c>
    </row>
    <row r="188" spans="1:15">
      <c r="A188" s="14" t="s">
        <v>11</v>
      </c>
      <c r="B188" s="14" t="s">
        <v>1853</v>
      </c>
      <c r="C188" s="14" t="s">
        <v>1854</v>
      </c>
      <c r="D188" s="14" t="s">
        <v>1855</v>
      </c>
      <c r="E188" s="14">
        <v>72</v>
      </c>
      <c r="F188" s="14" t="s">
        <v>2066</v>
      </c>
      <c r="G188" s="14" t="s">
        <v>2067</v>
      </c>
      <c r="H188" s="14" t="s">
        <v>2065</v>
      </c>
      <c r="I188" s="14" t="s">
        <v>49</v>
      </c>
      <c r="J188" s="11" t="str">
        <f>HYPERLINK("https://www.codechef.com/problems/BUILDINGRACE", "https://www.codechef.com/problems/BUILDINGRACE")</f>
        <v>https://www.codechef.com/problems/BUILDINGRACE</v>
      </c>
      <c r="K188" s="14"/>
      <c r="L188" s="14" t="s">
        <v>194</v>
      </c>
      <c r="M188" s="14"/>
      <c r="N188" s="14" t="s">
        <v>50</v>
      </c>
      <c r="O188" s="14" t="s">
        <v>51</v>
      </c>
    </row>
    <row r="189" spans="1:15">
      <c r="A189" s="15" t="s">
        <v>11</v>
      </c>
      <c r="B189" s="15" t="s">
        <v>1853</v>
      </c>
      <c r="C189" s="15" t="s">
        <v>1854</v>
      </c>
      <c r="D189" s="15" t="s">
        <v>1855</v>
      </c>
      <c r="E189" s="15">
        <v>73</v>
      </c>
      <c r="F189" s="15" t="s">
        <v>2068</v>
      </c>
      <c r="G189" s="15" t="s">
        <v>2069</v>
      </c>
      <c r="H189" s="15" t="s">
        <v>2070</v>
      </c>
      <c r="I189" s="15" t="s">
        <v>49</v>
      </c>
      <c r="J189" s="7" t="str">
        <f>HYPERLINK("https://www.codechef.com/problems/CHEFRACES", "https://www.codechef.com/problems/CHEFRACES")</f>
        <v>https://www.codechef.com/problems/CHEFRACES</v>
      </c>
      <c r="K189" s="15"/>
      <c r="L189" s="15" t="s">
        <v>1578</v>
      </c>
      <c r="M189" s="15"/>
      <c r="N189" s="15" t="s">
        <v>50</v>
      </c>
      <c r="O189" s="15" t="s">
        <v>51</v>
      </c>
    </row>
    <row r="190" spans="1:15">
      <c r="A190" s="14" t="s">
        <v>11</v>
      </c>
      <c r="B190" s="14" t="s">
        <v>1853</v>
      </c>
      <c r="C190" s="14" t="s">
        <v>1854</v>
      </c>
      <c r="D190" s="14" t="s">
        <v>1855</v>
      </c>
      <c r="E190" s="14">
        <v>74</v>
      </c>
      <c r="F190" s="14" t="s">
        <v>2071</v>
      </c>
      <c r="G190" s="14" t="s">
        <v>2072</v>
      </c>
      <c r="H190" s="14" t="s">
        <v>2073</v>
      </c>
      <c r="I190" s="14" t="s">
        <v>49</v>
      </c>
      <c r="J190" s="11" t="str">
        <f>HYPERLINK("https://www.codechef.com/problems/MOZZ", "https://www.codechef.com/problems/MOZZ")</f>
        <v>https://www.codechef.com/problems/MOZZ</v>
      </c>
      <c r="K190" s="14"/>
      <c r="L190" s="14" t="s">
        <v>194</v>
      </c>
      <c r="M190" s="14"/>
      <c r="N190" s="14" t="s">
        <v>50</v>
      </c>
      <c r="O190" s="14" t="s">
        <v>51</v>
      </c>
    </row>
    <row r="191" spans="1:15">
      <c r="A191" s="15" t="s">
        <v>11</v>
      </c>
      <c r="B191" s="15" t="s">
        <v>1853</v>
      </c>
      <c r="C191" s="15" t="s">
        <v>1854</v>
      </c>
      <c r="D191" s="15" t="s">
        <v>1855</v>
      </c>
      <c r="E191" s="15">
        <v>75</v>
      </c>
      <c r="F191" s="15" t="s">
        <v>2074</v>
      </c>
      <c r="G191" s="15" t="s">
        <v>2075</v>
      </c>
      <c r="H191" s="15" t="s">
        <v>2076</v>
      </c>
      <c r="I191" s="15" t="s">
        <v>49</v>
      </c>
      <c r="J191" s="7" t="str">
        <f>HYPERLINK("https://www.codechef.com/problems/PRESENTS", "https://www.codechef.com/problems/PRESENTS")</f>
        <v>https://www.codechef.com/problems/PRESENTS</v>
      </c>
      <c r="K191" s="15"/>
      <c r="L191" s="15" t="s">
        <v>2077</v>
      </c>
      <c r="M191" s="15"/>
      <c r="N191" s="15" t="s">
        <v>50</v>
      </c>
      <c r="O191" s="15" t="s">
        <v>51</v>
      </c>
    </row>
    <row r="192" spans="1:15">
      <c r="A192" s="14" t="s">
        <v>11</v>
      </c>
      <c r="B192" s="14" t="s">
        <v>1853</v>
      </c>
      <c r="C192" s="14" t="s">
        <v>1854</v>
      </c>
      <c r="D192" s="14" t="s">
        <v>1855</v>
      </c>
      <c r="E192" s="14">
        <v>76</v>
      </c>
      <c r="F192" s="14" t="s">
        <v>2078</v>
      </c>
      <c r="G192" s="14" t="s">
        <v>2079</v>
      </c>
      <c r="H192" s="14" t="s">
        <v>1018</v>
      </c>
      <c r="I192" s="14" t="s">
        <v>49</v>
      </c>
      <c r="J192" s="11" t="str">
        <f>HYPERLINK("https://www.codechef.com/problems/FLOW018", "https://www.codechef.com/problems/FLOW018")</f>
        <v>https://www.codechef.com/problems/FLOW018</v>
      </c>
      <c r="K192" s="14"/>
      <c r="L192" s="14" t="s">
        <v>2080</v>
      </c>
      <c r="M192" s="14"/>
      <c r="N192" s="14" t="s">
        <v>50</v>
      </c>
      <c r="O192" s="14" t="s">
        <v>51</v>
      </c>
    </row>
    <row r="193" spans="1:15">
      <c r="A193" s="15" t="s">
        <v>11</v>
      </c>
      <c r="B193" s="15" t="s">
        <v>1853</v>
      </c>
      <c r="C193" s="15" t="s">
        <v>1854</v>
      </c>
      <c r="D193" s="15" t="s">
        <v>1855</v>
      </c>
      <c r="E193" s="15">
        <v>77</v>
      </c>
      <c r="F193" s="15" t="s">
        <v>2081</v>
      </c>
      <c r="G193" s="15" t="s">
        <v>2082</v>
      </c>
      <c r="H193" s="15" t="s">
        <v>1234</v>
      </c>
      <c r="I193" s="15" t="s">
        <v>49</v>
      </c>
      <c r="J193" s="7" t="str">
        <f>HYPERLINK("https://www.codechef.com/problems/CHEAT", "https://www.codechef.com/problems/CHEAT")</f>
        <v>https://www.codechef.com/problems/CHEAT</v>
      </c>
      <c r="K193" s="15"/>
      <c r="L193" s="15" t="s">
        <v>2083</v>
      </c>
      <c r="M193" s="15"/>
      <c r="N193" s="15" t="s">
        <v>50</v>
      </c>
      <c r="O193" s="15" t="s">
        <v>51</v>
      </c>
    </row>
    <row r="194" spans="1:15">
      <c r="A194" s="14" t="s">
        <v>11</v>
      </c>
      <c r="B194" s="14" t="s">
        <v>1853</v>
      </c>
      <c r="C194" s="14" t="s">
        <v>1854</v>
      </c>
      <c r="D194" s="14" t="s">
        <v>1855</v>
      </c>
      <c r="E194" s="14">
        <v>78</v>
      </c>
      <c r="F194" s="14" t="s">
        <v>2084</v>
      </c>
      <c r="G194" s="14" t="s">
        <v>2085</v>
      </c>
      <c r="H194" s="14" t="s">
        <v>2086</v>
      </c>
      <c r="I194" s="14" t="s">
        <v>49</v>
      </c>
      <c r="J194" s="11" t="str">
        <f>HYPERLINK("https://www.codechef.com/problems/T20MCH", "https://www.codechef.com/problems/T20MCH")</f>
        <v>https://www.codechef.com/problems/T20MCH</v>
      </c>
      <c r="K194" s="14"/>
      <c r="L194" s="14"/>
      <c r="M194" s="14"/>
      <c r="N194" s="14" t="s">
        <v>50</v>
      </c>
      <c r="O194" s="14" t="s">
        <v>51</v>
      </c>
    </row>
    <row r="195" spans="1:15">
      <c r="A195" s="15" t="s">
        <v>11</v>
      </c>
      <c r="B195" s="15" t="s">
        <v>1853</v>
      </c>
      <c r="C195" s="15" t="s">
        <v>1854</v>
      </c>
      <c r="D195" s="15" t="s">
        <v>1855</v>
      </c>
      <c r="E195" s="15">
        <v>79</v>
      </c>
      <c r="F195" s="15" t="s">
        <v>2087</v>
      </c>
      <c r="G195" s="15" t="s">
        <v>2088</v>
      </c>
      <c r="H195" s="15" t="s">
        <v>2089</v>
      </c>
      <c r="I195" s="15" t="s">
        <v>49</v>
      </c>
      <c r="J195" s="7" t="str">
        <f>HYPERLINK("https://www.codechef.com/problems/CHOPRT", "https://www.codechef.com/problems/CHOPRT")</f>
        <v>https://www.codechef.com/problems/CHOPRT</v>
      </c>
      <c r="K195" s="15"/>
      <c r="L195" s="15" t="s">
        <v>1578</v>
      </c>
      <c r="M195" s="15"/>
      <c r="N195" s="15" t="s">
        <v>50</v>
      </c>
      <c r="O195" s="15" t="s">
        <v>51</v>
      </c>
    </row>
    <row r="196" spans="1:15">
      <c r="A196" s="14" t="s">
        <v>11</v>
      </c>
      <c r="B196" s="14" t="s">
        <v>1853</v>
      </c>
      <c r="C196" s="14" t="s">
        <v>1854</v>
      </c>
      <c r="D196" s="14" t="s">
        <v>1855</v>
      </c>
      <c r="E196" s="14">
        <v>80</v>
      </c>
      <c r="F196" s="14" t="s">
        <v>2090</v>
      </c>
      <c r="G196" s="14" t="s">
        <v>2091</v>
      </c>
      <c r="H196" s="14" t="s">
        <v>2092</v>
      </c>
      <c r="I196" s="14" t="s">
        <v>49</v>
      </c>
      <c r="J196" s="11" t="str">
        <f>HYPERLINK("https://www.codechef.com/problems/CHN15A", "https://www.codechef.com/problems/CHN15A")</f>
        <v>https://www.codechef.com/problems/CHN15A</v>
      </c>
      <c r="K196" s="14"/>
      <c r="L196" s="14" t="s">
        <v>2093</v>
      </c>
      <c r="M196" s="14"/>
      <c r="N196" s="14" t="s">
        <v>50</v>
      </c>
      <c r="O196" s="14" t="s">
        <v>51</v>
      </c>
    </row>
    <row r="197" spans="1:15">
      <c r="A197" s="15" t="s">
        <v>11</v>
      </c>
      <c r="B197" s="15" t="s">
        <v>1853</v>
      </c>
      <c r="C197" s="15" t="s">
        <v>1854</v>
      </c>
      <c r="D197" s="15" t="s">
        <v>1855</v>
      </c>
      <c r="E197" s="15">
        <v>81</v>
      </c>
      <c r="F197" s="15" t="s">
        <v>2094</v>
      </c>
      <c r="G197" s="15" t="s">
        <v>2095</v>
      </c>
      <c r="H197" s="15" t="s">
        <v>2092</v>
      </c>
      <c r="I197" s="15" t="s">
        <v>49</v>
      </c>
      <c r="J197" s="7" t="str">
        <f>HYPERLINK("https://www.codechef.com/problems/REACHFAST", "https://www.codechef.com/problems/REACHFAST")</f>
        <v>https://www.codechef.com/problems/REACHFAST</v>
      </c>
      <c r="K197" s="15"/>
      <c r="L197" s="15"/>
      <c r="M197" s="15"/>
      <c r="N197" s="15" t="s">
        <v>50</v>
      </c>
      <c r="O197" s="15" t="s">
        <v>51</v>
      </c>
    </row>
    <row r="198" spans="1:15">
      <c r="A198" s="14" t="s">
        <v>11</v>
      </c>
      <c r="B198" s="14" t="s">
        <v>1853</v>
      </c>
      <c r="C198" s="14" t="s">
        <v>1854</v>
      </c>
      <c r="D198" s="14" t="s">
        <v>1855</v>
      </c>
      <c r="E198" s="14">
        <v>82</v>
      </c>
      <c r="F198" s="14" t="s">
        <v>2096</v>
      </c>
      <c r="G198" s="14" t="s">
        <v>2097</v>
      </c>
      <c r="H198" s="14" t="s">
        <v>2092</v>
      </c>
      <c r="I198" s="14" t="s">
        <v>49</v>
      </c>
      <c r="J198" s="11" t="str">
        <f>HYPERLINK("https://www.codechef.com/problems/SINGLEUSE", "https://www.codechef.com/problems/SINGLEUSE")</f>
        <v>https://www.codechef.com/problems/SINGLEUSE</v>
      </c>
      <c r="K198" s="14"/>
      <c r="L198" s="14"/>
      <c r="M198" s="14"/>
      <c r="N198" s="14" t="s">
        <v>50</v>
      </c>
      <c r="O198" s="14" t="s">
        <v>51</v>
      </c>
    </row>
    <row r="199" spans="1:15">
      <c r="A199" s="15" t="s">
        <v>11</v>
      </c>
      <c r="B199" s="15" t="s">
        <v>1853</v>
      </c>
      <c r="C199" s="15" t="s">
        <v>1854</v>
      </c>
      <c r="D199" s="15" t="s">
        <v>1855</v>
      </c>
      <c r="E199" s="15">
        <v>83</v>
      </c>
      <c r="F199" s="15" t="s">
        <v>2098</v>
      </c>
      <c r="G199" s="15" t="s">
        <v>2099</v>
      </c>
      <c r="H199" s="15" t="s">
        <v>2100</v>
      </c>
      <c r="I199" s="15" t="s">
        <v>49</v>
      </c>
      <c r="J199" s="7" t="str">
        <f>HYPERLINK("https://www.codechef.com/problems/SALE", "https://www.codechef.com/problems/SALE")</f>
        <v>https://www.codechef.com/problems/SALE</v>
      </c>
      <c r="K199" s="15"/>
      <c r="L199" s="15"/>
      <c r="M199" s="15"/>
      <c r="N199" s="15" t="s">
        <v>50</v>
      </c>
      <c r="O199" s="15" t="s">
        <v>51</v>
      </c>
    </row>
    <row r="200" spans="1:15">
      <c r="A200" s="14" t="s">
        <v>11</v>
      </c>
      <c r="B200" s="14" t="s">
        <v>1853</v>
      </c>
      <c r="C200" s="14" t="s">
        <v>1854</v>
      </c>
      <c r="D200" s="14" t="s">
        <v>1855</v>
      </c>
      <c r="E200" s="14">
        <v>84</v>
      </c>
      <c r="F200" s="14" t="s">
        <v>2101</v>
      </c>
      <c r="G200" s="14" t="s">
        <v>2102</v>
      </c>
      <c r="H200" s="14" t="s">
        <v>2103</v>
      </c>
      <c r="I200" s="14" t="s">
        <v>49</v>
      </c>
      <c r="J200" s="11" t="str">
        <f>HYPERLINK("https://www.codechef.com/problems/MINFLIPS", "https://www.codechef.com/problems/MINFLIPS")</f>
        <v>https://www.codechef.com/problems/MINFLIPS</v>
      </c>
      <c r="K200" s="14"/>
      <c r="L200" s="14" t="s">
        <v>187</v>
      </c>
      <c r="M200" s="14"/>
      <c r="N200" s="14" t="s">
        <v>50</v>
      </c>
      <c r="O200" s="14" t="s">
        <v>51</v>
      </c>
    </row>
    <row r="201" spans="1:15">
      <c r="A201" s="15" t="s">
        <v>11</v>
      </c>
      <c r="B201" s="15" t="s">
        <v>1853</v>
      </c>
      <c r="C201" s="15" t="s">
        <v>1854</v>
      </c>
      <c r="D201" s="15" t="s">
        <v>1855</v>
      </c>
      <c r="E201" s="15">
        <v>85</v>
      </c>
      <c r="F201" s="15" t="s">
        <v>2104</v>
      </c>
      <c r="G201" s="15" t="s">
        <v>2105</v>
      </c>
      <c r="H201" s="15" t="s">
        <v>2106</v>
      </c>
      <c r="I201" s="15" t="s">
        <v>49</v>
      </c>
      <c r="J201" s="7" t="str">
        <f>HYPERLINK("https://www.codechef.com/problems/BIN_BAT", "https://www.codechef.com/problems/BIN_BAT")</f>
        <v>https://www.codechef.com/problems/BIN_BAT</v>
      </c>
      <c r="K201" s="15"/>
      <c r="L201" s="15" t="s">
        <v>2107</v>
      </c>
      <c r="M201" s="15"/>
      <c r="N201" s="15" t="s">
        <v>50</v>
      </c>
      <c r="O201" s="15" t="s">
        <v>51</v>
      </c>
    </row>
    <row r="202" spans="1:15">
      <c r="A202" s="14" t="s">
        <v>11</v>
      </c>
      <c r="B202" s="14" t="s">
        <v>1853</v>
      </c>
      <c r="C202" s="14" t="s">
        <v>1854</v>
      </c>
      <c r="D202" s="14" t="s">
        <v>1855</v>
      </c>
      <c r="E202" s="14">
        <v>86</v>
      </c>
      <c r="F202" s="14" t="s">
        <v>1588</v>
      </c>
      <c r="G202" s="14" t="s">
        <v>2108</v>
      </c>
      <c r="H202" s="14" t="s">
        <v>2109</v>
      </c>
      <c r="I202" s="14" t="s">
        <v>49</v>
      </c>
      <c r="J202" s="11" t="str">
        <f>HYPERLINK("https://www.codechef.com/problems/DICEGAME2", "https://www.codechef.com/problems/DICEGAME2")</f>
        <v>https://www.codechef.com/problems/DICEGAME2</v>
      </c>
      <c r="K202" s="14"/>
      <c r="L202" s="14" t="s">
        <v>194</v>
      </c>
      <c r="M202" s="14"/>
      <c r="N202" s="14" t="s">
        <v>50</v>
      </c>
      <c r="O202" s="14" t="s">
        <v>51</v>
      </c>
    </row>
    <row r="203" spans="1:15">
      <c r="A203" s="15" t="s">
        <v>11</v>
      </c>
      <c r="B203" s="15" t="s">
        <v>1853</v>
      </c>
      <c r="C203" s="15" t="s">
        <v>1854</v>
      </c>
      <c r="D203" s="15" t="s">
        <v>1855</v>
      </c>
      <c r="E203" s="15">
        <v>87</v>
      </c>
      <c r="F203" s="15" t="s">
        <v>2110</v>
      </c>
      <c r="G203" s="15" t="s">
        <v>2111</v>
      </c>
      <c r="H203" s="15" t="s">
        <v>2112</v>
      </c>
      <c r="I203" s="15" t="s">
        <v>49</v>
      </c>
      <c r="J203" s="7" t="str">
        <f>HYPERLINK("https://www.codechef.com/problems/TLG", "https://www.codechef.com/problems/TLG")</f>
        <v>https://www.codechef.com/problems/TLG</v>
      </c>
      <c r="K203" s="15"/>
      <c r="L203" s="15"/>
      <c r="M203" s="15"/>
      <c r="N203" s="15" t="s">
        <v>50</v>
      </c>
      <c r="O203" s="15" t="s">
        <v>51</v>
      </c>
    </row>
    <row r="204" spans="1:15">
      <c r="A204" s="14" t="s">
        <v>11</v>
      </c>
      <c r="B204" s="14" t="s">
        <v>1853</v>
      </c>
      <c r="C204" s="14" t="s">
        <v>1854</v>
      </c>
      <c r="D204" s="14" t="s">
        <v>1855</v>
      </c>
      <c r="E204" s="14">
        <v>88</v>
      </c>
      <c r="F204" s="14" t="s">
        <v>2113</v>
      </c>
      <c r="G204" s="14" t="s">
        <v>2114</v>
      </c>
      <c r="H204" s="14" t="s">
        <v>2115</v>
      </c>
      <c r="I204" s="14" t="s">
        <v>49</v>
      </c>
      <c r="J204" s="11" t="str">
        <f>HYPERLINK("https://www.codechef.com/problems/DPOLY", "https://www.codechef.com/problems/DPOLY")</f>
        <v>https://www.codechef.com/problems/DPOLY</v>
      </c>
      <c r="K204" s="14"/>
      <c r="L204" s="14" t="s">
        <v>209</v>
      </c>
      <c r="M204" s="14"/>
      <c r="N204" s="14" t="s">
        <v>50</v>
      </c>
      <c r="O204" s="14" t="s">
        <v>51</v>
      </c>
    </row>
    <row r="205" spans="1:15">
      <c r="A205" s="15" t="s">
        <v>11</v>
      </c>
      <c r="B205" s="15" t="s">
        <v>1853</v>
      </c>
      <c r="C205" s="15" t="s">
        <v>1854</v>
      </c>
      <c r="D205" s="15" t="s">
        <v>1855</v>
      </c>
      <c r="E205" s="15">
        <v>89</v>
      </c>
      <c r="F205" s="15" t="s">
        <v>2116</v>
      </c>
      <c r="G205" s="15" t="s">
        <v>2117</v>
      </c>
      <c r="H205" s="15" t="s">
        <v>2115</v>
      </c>
      <c r="I205" s="15" t="s">
        <v>49</v>
      </c>
      <c r="J205" s="7" t="str">
        <f>HYPERLINK("https://www.codechef.com/problems/RECENTCONT", "https://www.codechef.com/problems/RECENTCONT")</f>
        <v>https://www.codechef.com/problems/RECENTCONT</v>
      </c>
      <c r="K205" s="15"/>
      <c r="L205" s="15"/>
      <c r="M205" s="15"/>
      <c r="N205" s="15" t="s">
        <v>50</v>
      </c>
      <c r="O205" s="15" t="s">
        <v>51</v>
      </c>
    </row>
    <row r="206" spans="1:15">
      <c r="A206" s="14" t="s">
        <v>11</v>
      </c>
      <c r="B206" s="14" t="s">
        <v>1853</v>
      </c>
      <c r="C206" s="14" t="s">
        <v>1854</v>
      </c>
      <c r="D206" s="14" t="s">
        <v>1855</v>
      </c>
      <c r="E206" s="14">
        <v>90</v>
      </c>
      <c r="F206" s="14" t="s">
        <v>2118</v>
      </c>
      <c r="G206" s="14" t="s">
        <v>2119</v>
      </c>
      <c r="H206" s="14" t="s">
        <v>2120</v>
      </c>
      <c r="I206" s="14" t="s">
        <v>49</v>
      </c>
      <c r="J206" s="11" t="str">
        <f>HYPERLINK("https://www.codechef.com/problems/PRB01", "https://www.codechef.com/problems/PRB01")</f>
        <v>https://www.codechef.com/problems/PRB01</v>
      </c>
      <c r="K206" s="14"/>
      <c r="L206" s="14" t="s">
        <v>2121</v>
      </c>
      <c r="M206" s="14"/>
      <c r="N206" s="14" t="s">
        <v>50</v>
      </c>
      <c r="O206" s="14" t="s">
        <v>51</v>
      </c>
    </row>
    <row r="207" spans="1:15">
      <c r="A207" s="15" t="s">
        <v>11</v>
      </c>
      <c r="B207" s="15" t="s">
        <v>1853</v>
      </c>
      <c r="C207" s="15" t="s">
        <v>1854</v>
      </c>
      <c r="D207" s="15" t="s">
        <v>1855</v>
      </c>
      <c r="E207" s="15">
        <v>91</v>
      </c>
      <c r="F207" s="15" t="s">
        <v>2122</v>
      </c>
      <c r="G207" s="15" t="s">
        <v>2123</v>
      </c>
      <c r="H207" s="15" t="s">
        <v>2124</v>
      </c>
      <c r="I207" s="15" t="s">
        <v>49</v>
      </c>
      <c r="J207" s="7" t="str">
        <f>HYPERLINK("https://www.codechef.com/problems/WATERCOOLER2", "https://www.codechef.com/problems/WATERCOOLER2")</f>
        <v>https://www.codechef.com/problems/WATERCOOLER2</v>
      </c>
      <c r="K207" s="15"/>
      <c r="L207" s="15"/>
      <c r="M207" s="15"/>
      <c r="N207" s="15" t="s">
        <v>50</v>
      </c>
      <c r="O207" s="15" t="s">
        <v>51</v>
      </c>
    </row>
    <row r="208" spans="1:15">
      <c r="A208" s="14" t="s">
        <v>11</v>
      </c>
      <c r="B208" s="14" t="s">
        <v>1853</v>
      </c>
      <c r="C208" s="14" t="s">
        <v>1854</v>
      </c>
      <c r="D208" s="14" t="s">
        <v>2125</v>
      </c>
      <c r="E208" s="14">
        <v>92</v>
      </c>
      <c r="F208" s="14" t="s">
        <v>2126</v>
      </c>
      <c r="G208" s="14" t="s">
        <v>2127</v>
      </c>
      <c r="H208" s="14" t="s">
        <v>2128</v>
      </c>
      <c r="I208" s="14" t="s">
        <v>49</v>
      </c>
      <c r="J208" s="11" t="str">
        <f>HYPERLINK("https://www.codechef.com/problems/WORDLE", "https://www.codechef.com/problems/WORDLE")</f>
        <v>https://www.codechef.com/problems/WORDLE</v>
      </c>
      <c r="K208" s="14"/>
      <c r="L208" s="14"/>
      <c r="M208" s="14"/>
      <c r="N208" s="14" t="s">
        <v>50</v>
      </c>
      <c r="O208" s="14" t="s">
        <v>51</v>
      </c>
    </row>
    <row r="209" spans="1:15">
      <c r="A209" s="15" t="s">
        <v>11</v>
      </c>
      <c r="B209" s="15" t="s">
        <v>1853</v>
      </c>
      <c r="C209" s="15" t="s">
        <v>1854</v>
      </c>
      <c r="D209" s="15" t="s">
        <v>2125</v>
      </c>
      <c r="E209" s="15">
        <v>93</v>
      </c>
      <c r="F209" s="15" t="s">
        <v>2129</v>
      </c>
      <c r="G209" s="15" t="s">
        <v>2130</v>
      </c>
      <c r="H209" s="15" t="s">
        <v>2131</v>
      </c>
      <c r="I209" s="15" t="s">
        <v>49</v>
      </c>
      <c r="J209" s="7" t="str">
        <f>HYPERLINK("https://www.codechef.com/problems/TYRES", "https://www.codechef.com/problems/TYRES")</f>
        <v>https://www.codechef.com/problems/TYRES</v>
      </c>
      <c r="K209" s="15"/>
      <c r="L209" s="15"/>
      <c r="M209" s="15"/>
      <c r="N209" s="15" t="s">
        <v>50</v>
      </c>
      <c r="O209" s="15" t="s">
        <v>51</v>
      </c>
    </row>
    <row r="210" spans="1:15">
      <c r="A210" s="14" t="s">
        <v>11</v>
      </c>
      <c r="B210" s="14" t="s">
        <v>1853</v>
      </c>
      <c r="C210" s="14" t="s">
        <v>1854</v>
      </c>
      <c r="D210" s="14" t="s">
        <v>2125</v>
      </c>
      <c r="E210" s="14">
        <v>94</v>
      </c>
      <c r="F210" s="14" t="s">
        <v>2132</v>
      </c>
      <c r="G210" s="14" t="s">
        <v>2133</v>
      </c>
      <c r="H210" s="14" t="s">
        <v>2134</v>
      </c>
      <c r="I210" s="14" t="s">
        <v>49</v>
      </c>
      <c r="J210" s="11" t="str">
        <f>HYPERLINK("https://www.codechef.com/problems/SALE2", "https://www.codechef.com/problems/SALE2")</f>
        <v>https://www.codechef.com/problems/SALE2</v>
      </c>
      <c r="K210" s="14"/>
      <c r="L210" s="14"/>
      <c r="M210" s="14"/>
      <c r="N210" s="14" t="s">
        <v>50</v>
      </c>
      <c r="O210" s="14" t="s">
        <v>51</v>
      </c>
    </row>
    <row r="211" spans="1:15">
      <c r="A211" s="15" t="s">
        <v>11</v>
      </c>
      <c r="B211" s="15" t="s">
        <v>1853</v>
      </c>
      <c r="C211" s="15" t="s">
        <v>1854</v>
      </c>
      <c r="D211" s="15" t="s">
        <v>2125</v>
      </c>
      <c r="E211" s="15">
        <v>95</v>
      </c>
      <c r="F211" s="15" t="s">
        <v>2135</v>
      </c>
      <c r="G211" s="15" t="s">
        <v>2136</v>
      </c>
      <c r="H211" s="15" t="s">
        <v>2137</v>
      </c>
      <c r="I211" s="15" t="s">
        <v>49</v>
      </c>
      <c r="J211" s="7" t="str">
        <f>HYPERLINK("https://www.codechef.com/problems/EQLZING", "https://www.codechef.com/problems/EQLZING")</f>
        <v>https://www.codechef.com/problems/EQLZING</v>
      </c>
      <c r="K211" s="15"/>
      <c r="L211" s="15" t="s">
        <v>2138</v>
      </c>
      <c r="M211" s="15"/>
      <c r="N211" s="15" t="s">
        <v>50</v>
      </c>
      <c r="O211" s="15" t="s">
        <v>51</v>
      </c>
    </row>
    <row r="212" spans="1:15">
      <c r="A212" s="14" t="s">
        <v>11</v>
      </c>
      <c r="B212" s="14" t="s">
        <v>1853</v>
      </c>
      <c r="C212" s="14" t="s">
        <v>1854</v>
      </c>
      <c r="D212" s="14" t="s">
        <v>2125</v>
      </c>
      <c r="E212" s="14">
        <v>96</v>
      </c>
      <c r="F212" s="14" t="s">
        <v>2139</v>
      </c>
      <c r="G212" s="14" t="s">
        <v>2140</v>
      </c>
      <c r="H212" s="14" t="s">
        <v>2137</v>
      </c>
      <c r="I212" s="14" t="s">
        <v>49</v>
      </c>
      <c r="J212" s="11" t="str">
        <f>HYPERLINK("https://www.codechef.com/problems/SUPCHEF", "https://www.codechef.com/problems/SUPCHEF")</f>
        <v>https://www.codechef.com/problems/SUPCHEF</v>
      </c>
      <c r="K212" s="14"/>
      <c r="L212" s="14"/>
      <c r="M212" s="14"/>
      <c r="N212" s="14" t="s">
        <v>50</v>
      </c>
      <c r="O212" s="14" t="s">
        <v>51</v>
      </c>
    </row>
    <row r="213" spans="1:15">
      <c r="A213" s="15" t="s">
        <v>11</v>
      </c>
      <c r="B213" s="15" t="s">
        <v>1853</v>
      </c>
      <c r="C213" s="15" t="s">
        <v>1854</v>
      </c>
      <c r="D213" s="15" t="s">
        <v>2125</v>
      </c>
      <c r="E213" s="15">
        <v>97</v>
      </c>
      <c r="F213" s="15" t="s">
        <v>2141</v>
      </c>
      <c r="G213" s="15" t="s">
        <v>2142</v>
      </c>
      <c r="H213" s="15" t="s">
        <v>2143</v>
      </c>
      <c r="I213" s="15" t="s">
        <v>49</v>
      </c>
      <c r="J213" s="7" t="str">
        <f>HYPERLINK("https://www.codechef.com/problems/GENE01", "https://www.codechef.com/problems/GENE01")</f>
        <v>https://www.codechef.com/problems/GENE01</v>
      </c>
      <c r="K213" s="15"/>
      <c r="L213" s="15" t="s">
        <v>2144</v>
      </c>
      <c r="M213" s="15"/>
      <c r="N213" s="15" t="s">
        <v>50</v>
      </c>
      <c r="O213" s="15" t="s">
        <v>51</v>
      </c>
    </row>
    <row r="214" spans="1:15">
      <c r="A214" s="14" t="s">
        <v>11</v>
      </c>
      <c r="B214" s="14" t="s">
        <v>1853</v>
      </c>
      <c r="C214" s="14" t="s">
        <v>1854</v>
      </c>
      <c r="D214" s="14" t="s">
        <v>2125</v>
      </c>
      <c r="E214" s="14">
        <v>98</v>
      </c>
      <c r="F214" s="14" t="s">
        <v>2145</v>
      </c>
      <c r="G214" s="14" t="s">
        <v>2146</v>
      </c>
      <c r="H214" s="14" t="s">
        <v>2147</v>
      </c>
      <c r="I214" s="14" t="s">
        <v>49</v>
      </c>
      <c r="J214" s="11" t="str">
        <f>HYPERLINK("https://www.codechef.com/problems/BESTOFTENNIS", "https://www.codechef.com/problems/BESTOFTENNIS")</f>
        <v>https://www.codechef.com/problems/BESTOFTENNIS</v>
      </c>
      <c r="K214" s="14"/>
      <c r="L214" s="14" t="s">
        <v>1527</v>
      </c>
      <c r="M214" s="14"/>
      <c r="N214" s="14" t="s">
        <v>50</v>
      </c>
      <c r="O214" s="14" t="s">
        <v>51</v>
      </c>
    </row>
    <row r="215" spans="1:15">
      <c r="A215" s="15" t="s">
        <v>11</v>
      </c>
      <c r="B215" s="15" t="s">
        <v>1853</v>
      </c>
      <c r="C215" s="15" t="s">
        <v>1854</v>
      </c>
      <c r="D215" s="15" t="s">
        <v>2125</v>
      </c>
      <c r="E215" s="15">
        <v>99</v>
      </c>
      <c r="F215" s="15" t="s">
        <v>2148</v>
      </c>
      <c r="G215" s="15" t="s">
        <v>2149</v>
      </c>
      <c r="H215" s="15" t="s">
        <v>2147</v>
      </c>
      <c r="I215" s="15" t="s">
        <v>49</v>
      </c>
      <c r="J215" s="7" t="str">
        <f>HYPERLINK("https://www.codechef.com/problems/PALL01", "https://www.codechef.com/problems/PALL01")</f>
        <v>https://www.codechef.com/problems/PALL01</v>
      </c>
      <c r="K215" s="15"/>
      <c r="L215" s="15"/>
      <c r="M215" s="15"/>
      <c r="N215" s="15" t="s">
        <v>50</v>
      </c>
      <c r="O215" s="15" t="s">
        <v>51</v>
      </c>
    </row>
    <row r="216" spans="1:15">
      <c r="A216" s="14" t="s">
        <v>11</v>
      </c>
      <c r="B216" s="14" t="s">
        <v>1853</v>
      </c>
      <c r="C216" s="14" t="s">
        <v>1854</v>
      </c>
      <c r="D216" s="14" t="s">
        <v>2125</v>
      </c>
      <c r="E216" s="14">
        <v>100</v>
      </c>
      <c r="F216" s="14" t="s">
        <v>2150</v>
      </c>
      <c r="G216" s="14" t="s">
        <v>2151</v>
      </c>
      <c r="H216" s="14" t="s">
        <v>2152</v>
      </c>
      <c r="I216" s="14" t="s">
        <v>49</v>
      </c>
      <c r="J216" s="11" t="str">
        <f>HYPERLINK("https://www.codechef.com/problems/MILEAGE", "https://www.codechef.com/problems/MILEAGE")</f>
        <v>https://www.codechef.com/problems/MILEAGE</v>
      </c>
      <c r="K216" s="14"/>
      <c r="L216" s="14" t="s">
        <v>1741</v>
      </c>
      <c r="M216" s="14"/>
      <c r="N216" s="14" t="s">
        <v>50</v>
      </c>
      <c r="O216" s="14" t="s">
        <v>51</v>
      </c>
    </row>
    <row r="217" spans="1:15">
      <c r="A217" s="15" t="s">
        <v>11</v>
      </c>
      <c r="B217" s="15" t="s">
        <v>1853</v>
      </c>
      <c r="C217" s="15" t="s">
        <v>1854</v>
      </c>
      <c r="D217" s="15" t="s">
        <v>2125</v>
      </c>
      <c r="E217" s="15">
        <v>101</v>
      </c>
      <c r="F217" s="15" t="s">
        <v>2153</v>
      </c>
      <c r="G217" s="15" t="s">
        <v>2154</v>
      </c>
      <c r="H217" s="15" t="s">
        <v>2155</v>
      </c>
      <c r="I217" s="15" t="s">
        <v>49</v>
      </c>
      <c r="J217" s="7" t="str">
        <f>HYPERLINK("https://www.codechef.com/problems/MELTGOLD", "https://www.codechef.com/problems/MELTGOLD")</f>
        <v>https://www.codechef.com/problems/MELTGOLD</v>
      </c>
      <c r="K217" s="15"/>
      <c r="L217" s="15" t="s">
        <v>202</v>
      </c>
      <c r="M217" s="15"/>
      <c r="N217" s="15" t="s">
        <v>50</v>
      </c>
      <c r="O217" s="15" t="s">
        <v>51</v>
      </c>
    </row>
    <row r="218" spans="1:15">
      <c r="A218" s="14" t="s">
        <v>11</v>
      </c>
      <c r="B218" s="14" t="s">
        <v>1853</v>
      </c>
      <c r="C218" s="14" t="s">
        <v>1854</v>
      </c>
      <c r="D218" s="14" t="s">
        <v>2125</v>
      </c>
      <c r="E218" s="14">
        <v>102</v>
      </c>
      <c r="F218" s="14" t="s">
        <v>2156</v>
      </c>
      <c r="G218" s="14" t="s">
        <v>2157</v>
      </c>
      <c r="H218" s="14" t="s">
        <v>92</v>
      </c>
      <c r="I218" s="14" t="s">
        <v>49</v>
      </c>
      <c r="J218" s="11" t="str">
        <f>HYPERLINK("https://www.codechef.com/problems/LOOP", "https://www.codechef.com/problems/LOOP")</f>
        <v>https://www.codechef.com/problems/LOOP</v>
      </c>
      <c r="K218" s="14"/>
      <c r="L218" s="14" t="s">
        <v>209</v>
      </c>
      <c r="M218" s="14"/>
      <c r="N218" s="14" t="s">
        <v>50</v>
      </c>
      <c r="O218" s="14" t="s">
        <v>51</v>
      </c>
    </row>
    <row r="219" spans="1:15">
      <c r="A219" s="15" t="s">
        <v>11</v>
      </c>
      <c r="B219" s="15" t="s">
        <v>1853</v>
      </c>
      <c r="C219" s="15" t="s">
        <v>1854</v>
      </c>
      <c r="D219" s="15" t="s">
        <v>2125</v>
      </c>
      <c r="E219" s="15">
        <v>103</v>
      </c>
      <c r="F219" s="15" t="s">
        <v>2158</v>
      </c>
      <c r="G219" s="15" t="s">
        <v>2159</v>
      </c>
      <c r="H219" s="15" t="s">
        <v>92</v>
      </c>
      <c r="I219" s="15" t="s">
        <v>49</v>
      </c>
      <c r="J219" s="7" t="str">
        <f>HYPERLINK("https://www.codechef.com/problems/FLOW014", "https://www.codechef.com/problems/FLOW014")</f>
        <v>https://www.codechef.com/problems/FLOW014</v>
      </c>
      <c r="K219" s="15"/>
      <c r="L219" s="15" t="s">
        <v>2144</v>
      </c>
      <c r="M219" s="15"/>
      <c r="N219" s="15" t="s">
        <v>50</v>
      </c>
      <c r="O219" s="15" t="s">
        <v>51</v>
      </c>
    </row>
    <row r="220" spans="1:15">
      <c r="A220" s="14" t="s">
        <v>11</v>
      </c>
      <c r="B220" s="14" t="s">
        <v>1853</v>
      </c>
      <c r="C220" s="14" t="s">
        <v>1854</v>
      </c>
      <c r="D220" s="14" t="s">
        <v>2125</v>
      </c>
      <c r="E220" s="14">
        <v>104</v>
      </c>
      <c r="F220" s="14" t="s">
        <v>2160</v>
      </c>
      <c r="G220" s="14" t="s">
        <v>2161</v>
      </c>
      <c r="H220" s="14" t="s">
        <v>2162</v>
      </c>
      <c r="I220" s="14" t="s">
        <v>49</v>
      </c>
      <c r="J220" s="11" t="str">
        <f>HYPERLINK("https://www.codechef.com/problems/FLOW005", "https://www.codechef.com/problems/FLOW005")</f>
        <v>https://www.codechef.com/problems/FLOW005</v>
      </c>
      <c r="K220" s="14"/>
      <c r="L220" s="14" t="s">
        <v>2163</v>
      </c>
      <c r="M220" s="14"/>
      <c r="N220" s="14" t="s">
        <v>50</v>
      </c>
      <c r="O220" s="14" t="s">
        <v>51</v>
      </c>
    </row>
    <row r="221" spans="1:15">
      <c r="A221" s="15" t="s">
        <v>11</v>
      </c>
      <c r="B221" s="15" t="s">
        <v>1853</v>
      </c>
      <c r="C221" s="15" t="s">
        <v>1854</v>
      </c>
      <c r="D221" s="15" t="s">
        <v>2125</v>
      </c>
      <c r="E221" s="15">
        <v>105</v>
      </c>
      <c r="F221" s="15" t="s">
        <v>2164</v>
      </c>
      <c r="G221" s="15" t="s">
        <v>2165</v>
      </c>
      <c r="H221" s="15" t="s">
        <v>2166</v>
      </c>
      <c r="I221" s="15" t="s">
        <v>49</v>
      </c>
      <c r="J221" s="7" t="str">
        <f>HYPERLINK("https://www.codechef.com/problems/VOWELTB", "https://www.codechef.com/problems/VOWELTB")</f>
        <v>https://www.codechef.com/problems/VOWELTB</v>
      </c>
      <c r="K221" s="15"/>
      <c r="L221" s="15"/>
      <c r="M221" s="15"/>
      <c r="N221" s="15" t="s">
        <v>50</v>
      </c>
      <c r="O221" s="15" t="s">
        <v>51</v>
      </c>
    </row>
    <row r="222" spans="1:15">
      <c r="A222" s="14" t="s">
        <v>11</v>
      </c>
      <c r="B222" s="14" t="s">
        <v>1853</v>
      </c>
      <c r="C222" s="14" t="s">
        <v>1854</v>
      </c>
      <c r="D222" s="14" t="s">
        <v>2125</v>
      </c>
      <c r="E222" s="14">
        <v>106</v>
      </c>
      <c r="F222" s="14" t="s">
        <v>2167</v>
      </c>
      <c r="G222" s="14" t="s">
        <v>2168</v>
      </c>
      <c r="H222" s="14" t="s">
        <v>2169</v>
      </c>
      <c r="I222" s="14" t="s">
        <v>49</v>
      </c>
      <c r="J222" s="11" t="str">
        <f>HYPERLINK("https://www.codechef.com/problems/INCREAR", "https://www.codechef.com/problems/INCREAR")</f>
        <v>https://www.codechef.com/problems/INCREAR</v>
      </c>
      <c r="K222" s="14"/>
      <c r="L222" s="14" t="s">
        <v>194</v>
      </c>
      <c r="M222" s="14"/>
      <c r="N222" s="14" t="s">
        <v>50</v>
      </c>
      <c r="O222" s="14" t="s">
        <v>51</v>
      </c>
    </row>
    <row r="223" spans="1:15">
      <c r="A223" s="15" t="s">
        <v>11</v>
      </c>
      <c r="B223" s="15" t="s">
        <v>1853</v>
      </c>
      <c r="C223" s="15" t="s">
        <v>1854</v>
      </c>
      <c r="D223" s="15" t="s">
        <v>2125</v>
      </c>
      <c r="E223" s="15">
        <v>107</v>
      </c>
      <c r="F223" s="15" t="s">
        <v>2170</v>
      </c>
      <c r="G223" s="15" t="s">
        <v>2171</v>
      </c>
      <c r="H223" s="15" t="s">
        <v>2169</v>
      </c>
      <c r="I223" s="15" t="s">
        <v>49</v>
      </c>
      <c r="J223" s="7" t="str">
        <f>HYPERLINK("https://www.codechef.com/problems/COCONUT", "https://www.codechef.com/problems/COCONUT")</f>
        <v>https://www.codechef.com/problems/COCONUT</v>
      </c>
      <c r="K223" s="15"/>
      <c r="L223" s="15" t="s">
        <v>1876</v>
      </c>
      <c r="M223" s="15"/>
      <c r="N223" s="15" t="s">
        <v>50</v>
      </c>
      <c r="O223" s="15" t="s">
        <v>51</v>
      </c>
    </row>
    <row r="224" spans="1:15">
      <c r="A224" s="14" t="s">
        <v>11</v>
      </c>
      <c r="B224" s="14" t="s">
        <v>1853</v>
      </c>
      <c r="C224" s="14" t="s">
        <v>1854</v>
      </c>
      <c r="D224" s="14" t="s">
        <v>2125</v>
      </c>
      <c r="E224" s="14">
        <v>108</v>
      </c>
      <c r="F224" s="14" t="s">
        <v>2172</v>
      </c>
      <c r="G224" s="14" t="s">
        <v>2173</v>
      </c>
      <c r="H224" s="14" t="s">
        <v>2174</v>
      </c>
      <c r="I224" s="14" t="s">
        <v>49</v>
      </c>
      <c r="J224" s="11" t="str">
        <f>HYPERLINK("https://www.codechef.com/problems/AREAPERI", "https://www.codechef.com/problems/AREAPERI")</f>
        <v>https://www.codechef.com/problems/AREAPERI</v>
      </c>
      <c r="K224" s="14"/>
      <c r="L224" s="14" t="s">
        <v>2175</v>
      </c>
      <c r="M224" s="14"/>
      <c r="N224" s="14" t="s">
        <v>50</v>
      </c>
      <c r="O224" s="14" t="s">
        <v>51</v>
      </c>
    </row>
    <row r="225" spans="1:15">
      <c r="A225" s="15" t="s">
        <v>11</v>
      </c>
      <c r="B225" s="15" t="s">
        <v>1853</v>
      </c>
      <c r="C225" s="15" t="s">
        <v>1854</v>
      </c>
      <c r="D225" s="15" t="s">
        <v>2125</v>
      </c>
      <c r="E225" s="15">
        <v>109</v>
      </c>
      <c r="F225" s="15" t="s">
        <v>2176</v>
      </c>
      <c r="G225" s="15" t="s">
        <v>2177</v>
      </c>
      <c r="H225" s="15" t="s">
        <v>2178</v>
      </c>
      <c r="I225" s="15" t="s">
        <v>49</v>
      </c>
      <c r="J225" s="7" t="str">
        <f>HYPERLINK("https://www.codechef.com/problems/DEVSPORTS", "https://www.codechef.com/problems/DEVSPORTS")</f>
        <v>https://www.codechef.com/problems/DEVSPORTS</v>
      </c>
      <c r="K225" s="15"/>
      <c r="L225" s="15" t="s">
        <v>213</v>
      </c>
      <c r="M225" s="15"/>
      <c r="N225" s="15" t="s">
        <v>50</v>
      </c>
      <c r="O225" s="15" t="s">
        <v>51</v>
      </c>
    </row>
    <row r="226" spans="1:15">
      <c r="A226" s="14" t="s">
        <v>11</v>
      </c>
      <c r="B226" s="14" t="s">
        <v>1853</v>
      </c>
      <c r="C226" s="14" t="s">
        <v>1854</v>
      </c>
      <c r="D226" s="14" t="s">
        <v>2125</v>
      </c>
      <c r="E226" s="14">
        <v>110</v>
      </c>
      <c r="F226" s="14" t="s">
        <v>2179</v>
      </c>
      <c r="G226" s="14" t="s">
        <v>2180</v>
      </c>
      <c r="H226" s="14" t="s">
        <v>242</v>
      </c>
      <c r="I226" s="14" t="s">
        <v>49</v>
      </c>
      <c r="J226" s="11" t="str">
        <f>HYPERLINK("https://www.codechef.com/problems/HDIVISR", "https://www.codechef.com/problems/HDIVISR")</f>
        <v>https://www.codechef.com/problems/HDIVISR</v>
      </c>
      <c r="K226" s="14"/>
      <c r="L226" s="14" t="s">
        <v>2181</v>
      </c>
      <c r="M226" s="14"/>
      <c r="N226" s="14" t="s">
        <v>50</v>
      </c>
      <c r="O226" s="14" t="s">
        <v>51</v>
      </c>
    </row>
    <row r="227" spans="1:15">
      <c r="A227" s="15" t="s">
        <v>11</v>
      </c>
      <c r="B227" s="15" t="s">
        <v>1853</v>
      </c>
      <c r="C227" s="15" t="s">
        <v>1854</v>
      </c>
      <c r="D227" s="15" t="s">
        <v>2125</v>
      </c>
      <c r="E227" s="15">
        <v>111</v>
      </c>
      <c r="F227" s="15" t="s">
        <v>240</v>
      </c>
      <c r="G227" s="15" t="s">
        <v>241</v>
      </c>
      <c r="H227" s="15" t="s">
        <v>242</v>
      </c>
      <c r="I227" s="15" t="s">
        <v>49</v>
      </c>
      <c r="J227" s="7" t="str">
        <f>HYPERLINK("https://www.codechef.com/problems/CONN", "https://www.codechef.com/problems/CONN")</f>
        <v>https://www.codechef.com/problems/CONN</v>
      </c>
      <c r="K227" s="15"/>
      <c r="L227" s="15" t="s">
        <v>194</v>
      </c>
      <c r="M227" s="15"/>
      <c r="N227" s="15" t="s">
        <v>50</v>
      </c>
      <c r="O227" s="15" t="s">
        <v>51</v>
      </c>
    </row>
    <row r="228" spans="1:15">
      <c r="A228" s="14" t="s">
        <v>11</v>
      </c>
      <c r="B228" s="14" t="s">
        <v>1853</v>
      </c>
      <c r="C228" s="14" t="s">
        <v>1854</v>
      </c>
      <c r="D228" s="14" t="s">
        <v>2125</v>
      </c>
      <c r="E228" s="14">
        <v>112</v>
      </c>
      <c r="F228" s="14" t="s">
        <v>2182</v>
      </c>
      <c r="G228" s="14" t="s">
        <v>2183</v>
      </c>
      <c r="H228" s="14" t="s">
        <v>2184</v>
      </c>
      <c r="I228" s="14" t="s">
        <v>49</v>
      </c>
      <c r="J228" s="11" t="str">
        <f>HYPERLINK("https://www.codechef.com/problems/CARCHOICE", "https://www.codechef.com/problems/CARCHOICE")</f>
        <v>https://www.codechef.com/problems/CARCHOICE</v>
      </c>
      <c r="K228" s="14"/>
      <c r="L228" s="14" t="s">
        <v>1810</v>
      </c>
      <c r="M228" s="14"/>
      <c r="N228" s="14" t="s">
        <v>50</v>
      </c>
      <c r="O228" s="14" t="s">
        <v>51</v>
      </c>
    </row>
    <row r="229" spans="1:15">
      <c r="A229" s="15" t="s">
        <v>11</v>
      </c>
      <c r="B229" s="15" t="s">
        <v>1853</v>
      </c>
      <c r="C229" s="15" t="s">
        <v>1854</v>
      </c>
      <c r="D229" s="15" t="s">
        <v>2125</v>
      </c>
      <c r="E229" s="15">
        <v>113</v>
      </c>
      <c r="F229" s="15" t="s">
        <v>2185</v>
      </c>
      <c r="G229" s="15" t="s">
        <v>2186</v>
      </c>
      <c r="H229" s="15" t="s">
        <v>2187</v>
      </c>
      <c r="I229" s="15" t="s">
        <v>49</v>
      </c>
      <c r="J229" s="7" t="str">
        <f>HYPERLINK("https://www.codechef.com/problems/WHICHDIV", "https://www.codechef.com/problems/WHICHDIV")</f>
        <v>https://www.codechef.com/problems/WHICHDIV</v>
      </c>
      <c r="K229" s="15"/>
      <c r="L229" s="15"/>
      <c r="M229" s="15"/>
      <c r="N229" s="15" t="s">
        <v>50</v>
      </c>
      <c r="O229" s="15" t="s">
        <v>51</v>
      </c>
    </row>
    <row r="230" spans="1:15">
      <c r="A230" s="14" t="s">
        <v>11</v>
      </c>
      <c r="B230" s="14" t="s">
        <v>1853</v>
      </c>
      <c r="C230" s="14" t="s">
        <v>1854</v>
      </c>
      <c r="D230" s="14" t="s">
        <v>2125</v>
      </c>
      <c r="E230" s="14">
        <v>114</v>
      </c>
      <c r="F230" s="14" t="s">
        <v>2188</v>
      </c>
      <c r="G230" s="14" t="s">
        <v>2189</v>
      </c>
      <c r="H230" s="14" t="s">
        <v>1132</v>
      </c>
      <c r="I230" s="14" t="s">
        <v>49</v>
      </c>
      <c r="J230" s="11" t="str">
        <f>HYPERLINK("https://www.codechef.com/problems/BADMINTON", "https://www.codechef.com/problems/BADMINTON")</f>
        <v>https://www.codechef.com/problems/BADMINTON</v>
      </c>
      <c r="K230" s="14"/>
      <c r="L230" s="14" t="s">
        <v>2190</v>
      </c>
      <c r="M230" s="14"/>
      <c r="N230" s="14" t="s">
        <v>50</v>
      </c>
      <c r="O230" s="14" t="s">
        <v>51</v>
      </c>
    </row>
    <row r="231" spans="1:15">
      <c r="A231" s="15" t="s">
        <v>11</v>
      </c>
      <c r="B231" s="15" t="s">
        <v>1853</v>
      </c>
      <c r="C231" s="15" t="s">
        <v>1854</v>
      </c>
      <c r="D231" s="15" t="s">
        <v>2125</v>
      </c>
      <c r="E231" s="15">
        <v>115</v>
      </c>
      <c r="F231" s="15" t="s">
        <v>2191</v>
      </c>
      <c r="G231" s="15" t="s">
        <v>2192</v>
      </c>
      <c r="H231" s="15" t="s">
        <v>2193</v>
      </c>
      <c r="I231" s="15" t="s">
        <v>49</v>
      </c>
      <c r="J231" s="7" t="str">
        <f>HYPERLINK("https://www.codechef.com/problems/CHEFCONTEST", "https://www.codechef.com/problems/CHEFCONTEST")</f>
        <v>https://www.codechef.com/problems/CHEFCONTEST</v>
      </c>
      <c r="K231" s="15"/>
      <c r="L231" s="15" t="s">
        <v>213</v>
      </c>
      <c r="M231" s="15"/>
      <c r="N231" s="15" t="s">
        <v>50</v>
      </c>
      <c r="O231" s="15" t="s">
        <v>51</v>
      </c>
    </row>
    <row r="232" spans="1:15">
      <c r="A232" s="14" t="s">
        <v>11</v>
      </c>
      <c r="B232" s="14" t="s">
        <v>1853</v>
      </c>
      <c r="C232" s="14" t="s">
        <v>1854</v>
      </c>
      <c r="D232" s="14" t="s">
        <v>2125</v>
      </c>
      <c r="E232" s="14">
        <v>116</v>
      </c>
      <c r="F232" s="14" t="s">
        <v>2194</v>
      </c>
      <c r="G232" s="14" t="s">
        <v>2195</v>
      </c>
      <c r="H232" s="14" t="s">
        <v>2193</v>
      </c>
      <c r="I232" s="14" t="s">
        <v>49</v>
      </c>
      <c r="J232" s="11" t="str">
        <f>HYPERLINK("https://www.codechef.com/problems/GROUPASSGN", "https://www.codechef.com/problems/GROUPASSGN")</f>
        <v>https://www.codechef.com/problems/GROUPASSGN</v>
      </c>
      <c r="K232" s="14"/>
      <c r="L232" s="14" t="s">
        <v>1762</v>
      </c>
      <c r="M232" s="14"/>
      <c r="N232" s="14" t="s">
        <v>50</v>
      </c>
      <c r="O232" s="14" t="s">
        <v>51</v>
      </c>
    </row>
    <row r="233" spans="1:15">
      <c r="A233" s="15" t="s">
        <v>11</v>
      </c>
      <c r="B233" s="15" t="s">
        <v>1853</v>
      </c>
      <c r="C233" s="15" t="s">
        <v>1854</v>
      </c>
      <c r="D233" s="15" t="s">
        <v>2125</v>
      </c>
      <c r="E233" s="15">
        <v>117</v>
      </c>
      <c r="F233" s="15" t="s">
        <v>2196</v>
      </c>
      <c r="G233" s="15" t="s">
        <v>2197</v>
      </c>
      <c r="H233" s="15" t="s">
        <v>2193</v>
      </c>
      <c r="I233" s="15" t="s">
        <v>49</v>
      </c>
      <c r="J233" s="7" t="str">
        <f>HYPERLINK("https://www.codechef.com/problems/RELATIVE", "https://www.codechef.com/problems/RELATIVE")</f>
        <v>https://www.codechef.com/problems/RELATIVE</v>
      </c>
      <c r="K233" s="15"/>
      <c r="L233" s="15"/>
      <c r="M233" s="15"/>
      <c r="N233" s="15" t="s">
        <v>50</v>
      </c>
      <c r="O233" s="15" t="s">
        <v>51</v>
      </c>
    </row>
    <row r="234" spans="1:15">
      <c r="A234" s="14" t="s">
        <v>11</v>
      </c>
      <c r="B234" s="14" t="s">
        <v>1853</v>
      </c>
      <c r="C234" s="14" t="s">
        <v>1854</v>
      </c>
      <c r="D234" s="14" t="s">
        <v>2125</v>
      </c>
      <c r="E234" s="14">
        <v>118</v>
      </c>
      <c r="F234" s="14" t="s">
        <v>170</v>
      </c>
      <c r="G234" s="14" t="s">
        <v>171</v>
      </c>
      <c r="H234" s="14" t="s">
        <v>172</v>
      </c>
      <c r="I234" s="14" t="s">
        <v>49</v>
      </c>
      <c r="J234" s="11" t="str">
        <f>HYPERLINK("https://www.codechef.com/problems/NUM239", "https://www.codechef.com/problems/NUM239")</f>
        <v>https://www.codechef.com/problems/NUM239</v>
      </c>
      <c r="K234" s="14"/>
      <c r="L234" s="14" t="s">
        <v>173</v>
      </c>
      <c r="M234" s="14"/>
      <c r="N234" s="14" t="s">
        <v>50</v>
      </c>
      <c r="O234" s="14" t="s">
        <v>51</v>
      </c>
    </row>
    <row r="235" spans="1:15">
      <c r="A235" s="15" t="s">
        <v>11</v>
      </c>
      <c r="B235" s="15" t="s">
        <v>1853</v>
      </c>
      <c r="C235" s="15" t="s">
        <v>1854</v>
      </c>
      <c r="D235" s="15" t="s">
        <v>2125</v>
      </c>
      <c r="E235" s="15">
        <v>119</v>
      </c>
      <c r="F235" s="15" t="s">
        <v>2198</v>
      </c>
      <c r="G235" s="15" t="s">
        <v>2199</v>
      </c>
      <c r="H235" s="15" t="s">
        <v>2200</v>
      </c>
      <c r="I235" s="15" t="s">
        <v>49</v>
      </c>
      <c r="J235" s="7" t="str">
        <f>HYPERLINK("https://www.codechef.com/problems/DRUNKALK", "https://www.codechef.com/problems/DRUNKALK")</f>
        <v>https://www.codechef.com/problems/DRUNKALK</v>
      </c>
      <c r="K235" s="15"/>
      <c r="L235" s="15" t="s">
        <v>2201</v>
      </c>
      <c r="M235" s="15"/>
      <c r="N235" s="15" t="s">
        <v>50</v>
      </c>
      <c r="O235" s="15" t="s">
        <v>51</v>
      </c>
    </row>
    <row r="236" spans="1:15">
      <c r="A236" s="14" t="s">
        <v>11</v>
      </c>
      <c r="B236" s="14" t="s">
        <v>1853</v>
      </c>
      <c r="C236" s="14" t="s">
        <v>1854</v>
      </c>
      <c r="D236" s="14" t="s">
        <v>2125</v>
      </c>
      <c r="E236" s="14">
        <v>120</v>
      </c>
      <c r="F236" s="14" t="s">
        <v>2202</v>
      </c>
      <c r="G236" s="14" t="s">
        <v>2203</v>
      </c>
      <c r="H236" s="14" t="s">
        <v>2204</v>
      </c>
      <c r="I236" s="14" t="s">
        <v>49</v>
      </c>
      <c r="J236" s="11" t="str">
        <f>HYPERLINK("https://www.codechef.com/problems/CCISLAND", "https://www.codechef.com/problems/CCISLAND")</f>
        <v>https://www.codechef.com/problems/CCISLAND</v>
      </c>
      <c r="K236" s="14"/>
      <c r="L236" s="14" t="s">
        <v>213</v>
      </c>
      <c r="M236" s="14"/>
      <c r="N236" s="14" t="s">
        <v>50</v>
      </c>
      <c r="O236" s="14" t="s">
        <v>51</v>
      </c>
    </row>
    <row r="237" spans="1:15">
      <c r="A237" s="15" t="s">
        <v>11</v>
      </c>
      <c r="B237" s="15" t="s">
        <v>1853</v>
      </c>
      <c r="C237" s="15" t="s">
        <v>1854</v>
      </c>
      <c r="D237" s="15" t="s">
        <v>2125</v>
      </c>
      <c r="E237" s="15">
        <v>121</v>
      </c>
      <c r="F237" s="15" t="s">
        <v>2205</v>
      </c>
      <c r="G237" s="15" t="s">
        <v>2206</v>
      </c>
      <c r="H237" s="15" t="s">
        <v>2207</v>
      </c>
      <c r="I237" s="15" t="s">
        <v>49</v>
      </c>
      <c r="J237" s="7" t="str">
        <f>HYPERLINK("https://www.codechef.com/problems/FACEDIR", "https://www.codechef.com/problems/FACEDIR")</f>
        <v>https://www.codechef.com/problems/FACEDIR</v>
      </c>
      <c r="K237" s="15"/>
      <c r="L237" s="15" t="s">
        <v>2208</v>
      </c>
      <c r="M237" s="15"/>
      <c r="N237" s="15" t="s">
        <v>50</v>
      </c>
      <c r="O237" s="15" t="s">
        <v>51</v>
      </c>
    </row>
    <row r="238" spans="1:15">
      <c r="A238" s="14" t="s">
        <v>11</v>
      </c>
      <c r="B238" s="14" t="s">
        <v>1853</v>
      </c>
      <c r="C238" s="14" t="s">
        <v>1854</v>
      </c>
      <c r="D238" s="14" t="s">
        <v>2125</v>
      </c>
      <c r="E238" s="14">
        <v>122</v>
      </c>
      <c r="F238" s="14" t="s">
        <v>2209</v>
      </c>
      <c r="G238" s="14" t="s">
        <v>2210</v>
      </c>
      <c r="H238" s="14" t="s">
        <v>2211</v>
      </c>
      <c r="I238" s="14" t="s">
        <v>49</v>
      </c>
      <c r="J238" s="11" t="str">
        <f>HYPERLINK("https://www.codechef.com/problems/LEAGUE", "https://www.codechef.com/problems/LEAGUE")</f>
        <v>https://www.codechef.com/problems/LEAGUE</v>
      </c>
      <c r="K238" s="14"/>
      <c r="L238" s="14" t="s">
        <v>2212</v>
      </c>
      <c r="M238" s="14"/>
      <c r="N238" s="14" t="s">
        <v>50</v>
      </c>
      <c r="O238" s="14" t="s">
        <v>51</v>
      </c>
    </row>
    <row r="239" spans="1:15">
      <c r="A239" s="15" t="s">
        <v>11</v>
      </c>
      <c r="B239" s="15" t="s">
        <v>1853</v>
      </c>
      <c r="C239" s="15" t="s">
        <v>1854</v>
      </c>
      <c r="D239" s="15" t="s">
        <v>2125</v>
      </c>
      <c r="E239" s="15">
        <v>123</v>
      </c>
      <c r="F239" s="15" t="s">
        <v>2213</v>
      </c>
      <c r="G239" s="15" t="s">
        <v>2214</v>
      </c>
      <c r="H239" s="15" t="s">
        <v>2215</v>
      </c>
      <c r="I239" s="15" t="s">
        <v>49</v>
      </c>
      <c r="J239" s="7" t="str">
        <f>HYPERLINK("https://www.codechef.com/problems/UTKPLC", "https://www.codechef.com/problems/UTKPLC")</f>
        <v>https://www.codechef.com/problems/UTKPLC</v>
      </c>
      <c r="K239" s="15"/>
      <c r="L239" s="15"/>
      <c r="M239" s="15"/>
      <c r="N239" s="15" t="s">
        <v>50</v>
      </c>
      <c r="O239" s="15" t="s">
        <v>51</v>
      </c>
    </row>
    <row r="240" spans="1:15">
      <c r="A240" s="14" t="s">
        <v>11</v>
      </c>
      <c r="B240" s="14" t="s">
        <v>1853</v>
      </c>
      <c r="C240" s="14" t="s">
        <v>1854</v>
      </c>
      <c r="D240" s="14" t="s">
        <v>2125</v>
      </c>
      <c r="E240" s="14">
        <v>124</v>
      </c>
      <c r="F240" s="14" t="s">
        <v>2216</v>
      </c>
      <c r="G240" s="14" t="s">
        <v>2217</v>
      </c>
      <c r="H240" s="14" t="s">
        <v>2218</v>
      </c>
      <c r="I240" s="14" t="s">
        <v>49</v>
      </c>
      <c r="J240" s="11" t="str">
        <f>HYPERLINK("https://www.codechef.com/problems/CHEFRUN", "https://www.codechef.com/problems/CHEFRUN")</f>
        <v>https://www.codechef.com/problems/CHEFRUN</v>
      </c>
      <c r="K240" s="14"/>
      <c r="L240" s="14" t="s">
        <v>2219</v>
      </c>
      <c r="M240" s="14"/>
      <c r="N240" s="14" t="s">
        <v>50</v>
      </c>
      <c r="O240" s="14" t="s">
        <v>51</v>
      </c>
    </row>
    <row r="241" spans="1:15">
      <c r="A241" s="15" t="s">
        <v>11</v>
      </c>
      <c r="B241" s="15" t="s">
        <v>1853</v>
      </c>
      <c r="C241" s="15" t="s">
        <v>1854</v>
      </c>
      <c r="D241" s="15" t="s">
        <v>2125</v>
      </c>
      <c r="E241" s="15">
        <v>125</v>
      </c>
      <c r="F241" s="15" t="s">
        <v>2220</v>
      </c>
      <c r="G241" s="15" t="s">
        <v>2221</v>
      </c>
      <c r="H241" s="15" t="s">
        <v>2222</v>
      </c>
      <c r="I241" s="15" t="s">
        <v>49</v>
      </c>
      <c r="J241" s="7" t="str">
        <f>HYPERLINK("https://www.codechef.com/problems/CHFPROFIT", "https://www.codechef.com/problems/CHFPROFIT")</f>
        <v>https://www.codechef.com/problems/CHFPROFIT</v>
      </c>
      <c r="K241" s="15"/>
      <c r="L241" s="15" t="s">
        <v>2223</v>
      </c>
      <c r="M241" s="15"/>
      <c r="N241" s="15" t="s">
        <v>50</v>
      </c>
      <c r="O241" s="15" t="s">
        <v>51</v>
      </c>
    </row>
    <row r="242" spans="1:15">
      <c r="A242" s="14" t="s">
        <v>11</v>
      </c>
      <c r="B242" s="14" t="s">
        <v>1853</v>
      </c>
      <c r="C242" s="14" t="s">
        <v>1854</v>
      </c>
      <c r="D242" s="14" t="s">
        <v>2125</v>
      </c>
      <c r="E242" s="14">
        <v>126</v>
      </c>
      <c r="F242" s="14" t="s">
        <v>2224</v>
      </c>
      <c r="G242" s="14" t="s">
        <v>2225</v>
      </c>
      <c r="H242" s="14" t="s">
        <v>2226</v>
      </c>
      <c r="I242" s="14" t="s">
        <v>49</v>
      </c>
      <c r="J242" s="11" t="str">
        <f>HYPERLINK("https://www.codechef.com/problems/INSTDUM", "https://www.codechef.com/problems/INSTDUM")</f>
        <v>https://www.codechef.com/problems/INSTDUM</v>
      </c>
      <c r="K242" s="14"/>
      <c r="L242" s="14" t="s">
        <v>194</v>
      </c>
      <c r="M242" s="14"/>
      <c r="N242" s="14" t="s">
        <v>50</v>
      </c>
      <c r="O242" s="14" t="s">
        <v>51</v>
      </c>
    </row>
    <row r="243" spans="1:15">
      <c r="A243" s="15" t="s">
        <v>11</v>
      </c>
      <c r="B243" s="15" t="s">
        <v>1853</v>
      </c>
      <c r="C243" s="15" t="s">
        <v>1854</v>
      </c>
      <c r="D243" s="15" t="s">
        <v>2125</v>
      </c>
      <c r="E243" s="15">
        <v>127</v>
      </c>
      <c r="F243" s="15" t="s">
        <v>2227</v>
      </c>
      <c r="G243" s="15" t="s">
        <v>2228</v>
      </c>
      <c r="H243" s="15" t="s">
        <v>2229</v>
      </c>
      <c r="I243" s="15" t="s">
        <v>49</v>
      </c>
      <c r="J243" s="7" t="str">
        <f>HYPERLINK("https://www.codechef.com/problems/MAYOR_PARTY", "https://www.codechef.com/problems/MAYOR_PARTY")</f>
        <v>https://www.codechef.com/problems/MAYOR_PARTY</v>
      </c>
      <c r="K243" s="15"/>
      <c r="L243" s="15" t="s">
        <v>194</v>
      </c>
      <c r="M243" s="15"/>
      <c r="N243" s="15" t="s">
        <v>50</v>
      </c>
      <c r="O243" s="15" t="s">
        <v>51</v>
      </c>
    </row>
    <row r="244" spans="1:15">
      <c r="A244" s="14" t="s">
        <v>11</v>
      </c>
      <c r="B244" s="14" t="s">
        <v>1853</v>
      </c>
      <c r="C244" s="14" t="s">
        <v>1854</v>
      </c>
      <c r="D244" s="14" t="s">
        <v>2125</v>
      </c>
      <c r="E244" s="14">
        <v>128</v>
      </c>
      <c r="F244" s="14" t="s">
        <v>2230</v>
      </c>
      <c r="G244" s="14" t="s">
        <v>2231</v>
      </c>
      <c r="H244" s="14" t="s">
        <v>2232</v>
      </c>
      <c r="I244" s="14" t="s">
        <v>49</v>
      </c>
      <c r="J244" s="11" t="str">
        <f>HYPERLINK("https://www.codechef.com/problems/FIFTYPE", "https://www.codechef.com/problems/FIFTYPE")</f>
        <v>https://www.codechef.com/problems/FIFTYPE</v>
      </c>
      <c r="K244" s="14"/>
      <c r="L244" s="14" t="s">
        <v>158</v>
      </c>
      <c r="M244" s="14"/>
      <c r="N244" s="14" t="s">
        <v>50</v>
      </c>
      <c r="O244" s="14" t="s">
        <v>51</v>
      </c>
    </row>
    <row r="245" spans="1:15">
      <c r="A245" s="15" t="s">
        <v>11</v>
      </c>
      <c r="B245" s="15" t="s">
        <v>1853</v>
      </c>
      <c r="C245" s="15" t="s">
        <v>1854</v>
      </c>
      <c r="D245" s="15" t="s">
        <v>2125</v>
      </c>
      <c r="E245" s="15">
        <v>129</v>
      </c>
      <c r="F245" s="15" t="s">
        <v>2233</v>
      </c>
      <c r="G245" s="15" t="s">
        <v>2234</v>
      </c>
      <c r="H245" s="15" t="s">
        <v>2235</v>
      </c>
      <c r="I245" s="15" t="s">
        <v>49</v>
      </c>
      <c r="J245" s="7" t="str">
        <f>HYPERLINK("https://www.codechef.com/problems/PSGRADE", "https://www.codechef.com/problems/PSGRADE")</f>
        <v>https://www.codechef.com/problems/PSGRADE</v>
      </c>
      <c r="K245" s="15"/>
      <c r="L245" s="15" t="s">
        <v>1701</v>
      </c>
      <c r="M245" s="15"/>
      <c r="N245" s="15" t="s">
        <v>50</v>
      </c>
      <c r="O245" s="15" t="s">
        <v>51</v>
      </c>
    </row>
    <row r="246" spans="1:15">
      <c r="A246" s="14" t="s">
        <v>11</v>
      </c>
      <c r="B246" s="14" t="s">
        <v>1853</v>
      </c>
      <c r="C246" s="14" t="s">
        <v>1854</v>
      </c>
      <c r="D246" s="14" t="s">
        <v>2125</v>
      </c>
      <c r="E246" s="14">
        <v>130</v>
      </c>
      <c r="F246" s="14" t="s">
        <v>2236</v>
      </c>
      <c r="G246" s="14" t="s">
        <v>2237</v>
      </c>
      <c r="H246" s="14" t="s">
        <v>2238</v>
      </c>
      <c r="I246" s="14" t="s">
        <v>49</v>
      </c>
      <c r="J246" s="11" t="str">
        <f>HYPERLINK("https://www.codechef.com/problems/SUNDAY", "https://www.codechef.com/problems/SUNDAY")</f>
        <v>https://www.codechef.com/problems/SUNDAY</v>
      </c>
      <c r="K246" s="14"/>
      <c r="L246" s="14"/>
      <c r="M246" s="14"/>
      <c r="N246" s="14" t="s">
        <v>50</v>
      </c>
      <c r="O246" s="14" t="s">
        <v>51</v>
      </c>
    </row>
    <row r="247" spans="1:15">
      <c r="A247" s="15" t="s">
        <v>11</v>
      </c>
      <c r="B247" s="15" t="s">
        <v>1853</v>
      </c>
      <c r="C247" s="15" t="s">
        <v>1854</v>
      </c>
      <c r="D247" s="15" t="s">
        <v>2125</v>
      </c>
      <c r="E247" s="15">
        <v>131</v>
      </c>
      <c r="F247" s="15" t="s">
        <v>2239</v>
      </c>
      <c r="G247" s="15" t="s">
        <v>2240</v>
      </c>
      <c r="H247" s="15" t="s">
        <v>2238</v>
      </c>
      <c r="I247" s="15" t="s">
        <v>49</v>
      </c>
      <c r="J247" s="7" t="str">
        <f>HYPERLINK("https://www.codechef.com/problems/AVOIDCONTACT", "https://www.codechef.com/problems/AVOIDCONTACT")</f>
        <v>https://www.codechef.com/problems/AVOIDCONTACT</v>
      </c>
      <c r="K247" s="15"/>
      <c r="L247" s="15" t="s">
        <v>2241</v>
      </c>
      <c r="M247" s="15"/>
      <c r="N247" s="15" t="s">
        <v>50</v>
      </c>
      <c r="O247" s="15" t="s">
        <v>51</v>
      </c>
    </row>
    <row r="248" spans="1:15">
      <c r="A248" s="14" t="s">
        <v>11</v>
      </c>
      <c r="B248" s="14" t="s">
        <v>1853</v>
      </c>
      <c r="C248" s="14" t="s">
        <v>1854</v>
      </c>
      <c r="D248" s="14" t="s">
        <v>2125</v>
      </c>
      <c r="E248" s="14">
        <v>132</v>
      </c>
      <c r="F248" s="14" t="s">
        <v>2242</v>
      </c>
      <c r="G248" s="14" t="s">
        <v>2243</v>
      </c>
      <c r="H248" s="14" t="s">
        <v>2244</v>
      </c>
      <c r="I248" s="14" t="s">
        <v>49</v>
      </c>
      <c r="J248" s="11" t="str">
        <f>HYPERLINK("https://www.codechef.com/problems/PR0BLEM", "https://www.codechef.com/problems/PR0BLEM")</f>
        <v>https://www.codechef.com/problems/PR0BLEM</v>
      </c>
      <c r="K248" s="14"/>
      <c r="L248" s="14" t="s">
        <v>194</v>
      </c>
      <c r="M248" s="14"/>
      <c r="N248" s="14" t="s">
        <v>50</v>
      </c>
      <c r="O248" s="14" t="s">
        <v>51</v>
      </c>
    </row>
    <row r="249" spans="1:15">
      <c r="A249" s="15" t="s">
        <v>11</v>
      </c>
      <c r="B249" s="15" t="s">
        <v>1853</v>
      </c>
      <c r="C249" s="15" t="s">
        <v>1854</v>
      </c>
      <c r="D249" s="15" t="s">
        <v>2125</v>
      </c>
      <c r="E249" s="15">
        <v>133</v>
      </c>
      <c r="F249" s="15" t="s">
        <v>2245</v>
      </c>
      <c r="G249" s="15" t="s">
        <v>2246</v>
      </c>
      <c r="H249" s="15" t="s">
        <v>2244</v>
      </c>
      <c r="I249" s="15" t="s">
        <v>49</v>
      </c>
      <c r="J249" s="7" t="str">
        <f>HYPERLINK("https://www.codechef.com/problems/HOWMANY", "https://www.codechef.com/problems/HOWMANY")</f>
        <v>https://www.codechef.com/problems/HOWMANY</v>
      </c>
      <c r="K249" s="15"/>
      <c r="L249" s="15" t="s">
        <v>2053</v>
      </c>
      <c r="M249" s="15"/>
      <c r="N249" s="15" t="s">
        <v>50</v>
      </c>
      <c r="O249" s="15" t="s">
        <v>51</v>
      </c>
    </row>
    <row r="250" spans="1:15">
      <c r="A250" s="14" t="s">
        <v>11</v>
      </c>
      <c r="B250" s="14" t="s">
        <v>1853</v>
      </c>
      <c r="C250" s="14" t="s">
        <v>1854</v>
      </c>
      <c r="D250" s="14" t="s">
        <v>2125</v>
      </c>
      <c r="E250" s="14">
        <v>134</v>
      </c>
      <c r="F250" s="14" t="s">
        <v>2247</v>
      </c>
      <c r="G250" s="14" t="s">
        <v>2248</v>
      </c>
      <c r="H250" s="14" t="s">
        <v>2249</v>
      </c>
      <c r="I250" s="14" t="s">
        <v>49</v>
      </c>
      <c r="J250" s="11" t="str">
        <f>HYPERLINK("https://www.codechef.com/problems/TWORANGES", "https://www.codechef.com/problems/TWORANGES")</f>
        <v>https://www.codechef.com/problems/TWORANGES</v>
      </c>
      <c r="K250" s="14"/>
      <c r="L250" s="14"/>
      <c r="M250" s="14"/>
      <c r="N250" s="14" t="s">
        <v>50</v>
      </c>
      <c r="O250" s="14" t="s">
        <v>51</v>
      </c>
    </row>
    <row r="251" spans="1:15">
      <c r="A251" s="15" t="s">
        <v>11</v>
      </c>
      <c r="B251" s="15" t="s">
        <v>1853</v>
      </c>
      <c r="C251" s="15" t="s">
        <v>1854</v>
      </c>
      <c r="D251" s="15" t="s">
        <v>2125</v>
      </c>
      <c r="E251" s="15">
        <v>135</v>
      </c>
      <c r="F251" s="15" t="s">
        <v>2250</v>
      </c>
      <c r="G251" s="15" t="s">
        <v>2251</v>
      </c>
      <c r="H251" s="15" t="s">
        <v>2252</v>
      </c>
      <c r="I251" s="15" t="s">
        <v>49</v>
      </c>
      <c r="J251" s="7" t="str">
        <f>HYPERLINK("https://www.codechef.com/problems/PENALTY", "https://www.codechef.com/problems/PENALTY")</f>
        <v>https://www.codechef.com/problems/PENALTY</v>
      </c>
      <c r="K251" s="15"/>
      <c r="L251" s="15"/>
      <c r="M251" s="15"/>
      <c r="N251" s="15" t="s">
        <v>50</v>
      </c>
      <c r="O251" s="15" t="s">
        <v>51</v>
      </c>
    </row>
    <row r="252" spans="1:15">
      <c r="A252" s="14" t="s">
        <v>11</v>
      </c>
      <c r="B252" s="14" t="s">
        <v>1853</v>
      </c>
      <c r="C252" s="14" t="s">
        <v>1854</v>
      </c>
      <c r="D252" s="14" t="s">
        <v>2125</v>
      </c>
      <c r="E252" s="14">
        <v>136</v>
      </c>
      <c r="F252" s="14" t="s">
        <v>2253</v>
      </c>
      <c r="G252" s="14" t="s">
        <v>2254</v>
      </c>
      <c r="H252" s="14" t="s">
        <v>2252</v>
      </c>
      <c r="I252" s="14" t="s">
        <v>49</v>
      </c>
      <c r="J252" s="11" t="str">
        <f>HYPERLINK("https://www.codechef.com/problems/SHOEFIT", "https://www.codechef.com/problems/SHOEFIT")</f>
        <v>https://www.codechef.com/problems/SHOEFIT</v>
      </c>
      <c r="K252" s="14"/>
      <c r="L252" s="14"/>
      <c r="M252" s="14"/>
      <c r="N252" s="14" t="s">
        <v>50</v>
      </c>
      <c r="O252" s="14" t="s">
        <v>51</v>
      </c>
    </row>
    <row r="253" spans="1:15">
      <c r="A253" s="15" t="s">
        <v>11</v>
      </c>
      <c r="B253" s="15" t="s">
        <v>1853</v>
      </c>
      <c r="C253" s="15" t="s">
        <v>1854</v>
      </c>
      <c r="D253" s="15" t="s">
        <v>2125</v>
      </c>
      <c r="E253" s="15">
        <v>137</v>
      </c>
      <c r="F253" s="15" t="s">
        <v>2255</v>
      </c>
      <c r="G253" s="15" t="s">
        <v>2256</v>
      </c>
      <c r="H253" s="15" t="s">
        <v>108</v>
      </c>
      <c r="I253" s="15" t="s">
        <v>49</v>
      </c>
      <c r="J253" s="7" t="str">
        <f>HYPERLINK("https://www.codechef.com/problems/CHEFSLP", "https://www.codechef.com/problems/CHEFSLP")</f>
        <v>https://www.codechef.com/problems/CHEFSLP</v>
      </c>
      <c r="K253" s="15"/>
      <c r="L253" s="15" t="s">
        <v>2257</v>
      </c>
      <c r="M253" s="15"/>
      <c r="N253" s="15" t="s">
        <v>50</v>
      </c>
      <c r="O253" s="15" t="s">
        <v>51</v>
      </c>
    </row>
    <row r="254" spans="1:15">
      <c r="A254" s="14" t="s">
        <v>11</v>
      </c>
      <c r="B254" s="14" t="s">
        <v>1853</v>
      </c>
      <c r="C254" s="14" t="s">
        <v>1854</v>
      </c>
      <c r="D254" s="14" t="s">
        <v>2125</v>
      </c>
      <c r="E254" s="14">
        <v>138</v>
      </c>
      <c r="F254" s="14" t="s">
        <v>2258</v>
      </c>
      <c r="G254" s="14" t="s">
        <v>2259</v>
      </c>
      <c r="H254" s="14" t="s">
        <v>2260</v>
      </c>
      <c r="I254" s="14" t="s">
        <v>49</v>
      </c>
      <c r="J254" s="11" t="str">
        <f>HYPERLINK("https://www.codechef.com/problems/PRICECON", "https://www.codechef.com/problems/PRICECON")</f>
        <v>https://www.codechef.com/problems/PRICECON</v>
      </c>
      <c r="K254" s="14"/>
      <c r="L254" s="14" t="s">
        <v>1701</v>
      </c>
      <c r="M254" s="14"/>
      <c r="N254" s="14" t="s">
        <v>50</v>
      </c>
      <c r="O254" s="14" t="s">
        <v>51</v>
      </c>
    </row>
    <row r="255" spans="1:15">
      <c r="A255" s="15" t="s">
        <v>11</v>
      </c>
      <c r="B255" s="15" t="s">
        <v>1853</v>
      </c>
      <c r="C255" s="15" t="s">
        <v>1854</v>
      </c>
      <c r="D255" s="15" t="s">
        <v>2125</v>
      </c>
      <c r="E255" s="15">
        <v>139</v>
      </c>
      <c r="F255" s="15" t="s">
        <v>2261</v>
      </c>
      <c r="G255" s="15" t="s">
        <v>2262</v>
      </c>
      <c r="H255" s="15" t="s">
        <v>2260</v>
      </c>
      <c r="I255" s="15" t="s">
        <v>49</v>
      </c>
      <c r="J255" s="7" t="str">
        <f>HYPERLINK("https://www.codechef.com/problems/CHFCLASS", "https://www.codechef.com/problems/CHFCLASS")</f>
        <v>https://www.codechef.com/problems/CHFCLASS</v>
      </c>
      <c r="K255" s="15"/>
      <c r="L255" s="15" t="s">
        <v>2263</v>
      </c>
      <c r="M255" s="15"/>
      <c r="N255" s="15" t="s">
        <v>50</v>
      </c>
      <c r="O255" s="15" t="s">
        <v>51</v>
      </c>
    </row>
    <row r="256" spans="1:15">
      <c r="A256" s="14" t="s">
        <v>11</v>
      </c>
      <c r="B256" s="14" t="s">
        <v>1853</v>
      </c>
      <c r="C256" s="14" t="s">
        <v>1854</v>
      </c>
      <c r="D256" s="14" t="s">
        <v>2125</v>
      </c>
      <c r="E256" s="14">
        <v>140</v>
      </c>
      <c r="F256" s="14" t="s">
        <v>2264</v>
      </c>
      <c r="G256" s="14" t="s">
        <v>2265</v>
      </c>
      <c r="H256" s="14" t="s">
        <v>565</v>
      </c>
      <c r="I256" s="14" t="s">
        <v>49</v>
      </c>
      <c r="J256" s="11" t="str">
        <f>HYPERLINK("https://www.codechef.com/problems/NOTIME", "https://www.codechef.com/problems/NOTIME")</f>
        <v>https://www.codechef.com/problems/NOTIME</v>
      </c>
      <c r="K256" s="14"/>
      <c r="L256" s="14" t="s">
        <v>1796</v>
      </c>
      <c r="M256" s="14"/>
      <c r="N256" s="14" t="s">
        <v>50</v>
      </c>
      <c r="O256" s="14" t="s">
        <v>51</v>
      </c>
    </row>
    <row r="257" spans="1:15">
      <c r="A257" s="15" t="s">
        <v>11</v>
      </c>
      <c r="B257" s="15" t="s">
        <v>1853</v>
      </c>
      <c r="C257" s="15" t="s">
        <v>1854</v>
      </c>
      <c r="D257" s="15" t="s">
        <v>2125</v>
      </c>
      <c r="E257" s="15">
        <v>141</v>
      </c>
      <c r="F257" s="15" t="s">
        <v>2266</v>
      </c>
      <c r="G257" s="15" t="s">
        <v>2267</v>
      </c>
      <c r="H257" s="15" t="s">
        <v>565</v>
      </c>
      <c r="I257" s="15" t="s">
        <v>49</v>
      </c>
      <c r="J257" s="7" t="str">
        <f>HYPERLINK("https://www.codechef.com/problems/FIRSTANDLAST", "https://www.codechef.com/problems/FIRSTANDLAST")</f>
        <v>https://www.codechef.com/problems/FIRSTANDLAST</v>
      </c>
      <c r="K257" s="15"/>
      <c r="L257" s="15" t="s">
        <v>2268</v>
      </c>
      <c r="M257" s="15"/>
      <c r="N257" s="15" t="s">
        <v>50</v>
      </c>
      <c r="O257" s="15" t="s">
        <v>51</v>
      </c>
    </row>
    <row r="258" spans="1:15">
      <c r="A258" s="14" t="s">
        <v>11</v>
      </c>
      <c r="B258" s="14" t="s">
        <v>1853</v>
      </c>
      <c r="C258" s="14" t="s">
        <v>1854</v>
      </c>
      <c r="D258" s="14" t="s">
        <v>2125</v>
      </c>
      <c r="E258" s="14">
        <v>142</v>
      </c>
      <c r="F258" s="14" t="s">
        <v>46</v>
      </c>
      <c r="G258" s="14" t="s">
        <v>47</v>
      </c>
      <c r="H258" s="14" t="s">
        <v>48</v>
      </c>
      <c r="I258" s="14" t="s">
        <v>49</v>
      </c>
      <c r="J258" s="11" t="str">
        <f>HYPERLINK("https://www.codechef.com/problems/WCC", "https://www.codechef.com/problems/WCC")</f>
        <v>https://www.codechef.com/problems/WCC</v>
      </c>
      <c r="K258" s="14"/>
      <c r="L258" s="14"/>
      <c r="M258" s="14"/>
      <c r="N258" s="14" t="s">
        <v>50</v>
      </c>
      <c r="O258" s="14" t="s">
        <v>51</v>
      </c>
    </row>
    <row r="259" spans="1:15">
      <c r="A259" s="15" t="s">
        <v>11</v>
      </c>
      <c r="B259" s="15" t="s">
        <v>1853</v>
      </c>
      <c r="C259" s="15" t="s">
        <v>1854</v>
      </c>
      <c r="D259" s="15" t="s">
        <v>2125</v>
      </c>
      <c r="E259" s="15">
        <v>143</v>
      </c>
      <c r="F259" s="15" t="s">
        <v>249</v>
      </c>
      <c r="G259" s="15" t="s">
        <v>250</v>
      </c>
      <c r="H259" s="15" t="s">
        <v>248</v>
      </c>
      <c r="I259" s="15" t="s">
        <v>49</v>
      </c>
      <c r="J259" s="7" t="str">
        <f>HYPERLINK("https://www.codechef.com/problems/TWOVSTEN", "https://www.codechef.com/problems/TWOVSTEN")</f>
        <v>https://www.codechef.com/problems/TWOVSTEN</v>
      </c>
      <c r="K259" s="15"/>
      <c r="L259" s="15"/>
      <c r="M259" s="15"/>
      <c r="N259" s="15" t="s">
        <v>50</v>
      </c>
      <c r="O259" s="15" t="s">
        <v>51</v>
      </c>
    </row>
    <row r="260" spans="1:15">
      <c r="A260" s="14" t="s">
        <v>11</v>
      </c>
      <c r="B260" s="14" t="s">
        <v>1853</v>
      </c>
      <c r="C260" s="14" t="s">
        <v>1854</v>
      </c>
      <c r="D260" s="14" t="s">
        <v>2125</v>
      </c>
      <c r="E260" s="14">
        <v>144</v>
      </c>
      <c r="F260" s="14" t="s">
        <v>2269</v>
      </c>
      <c r="G260" s="14" t="s">
        <v>2270</v>
      </c>
      <c r="H260" s="14" t="s">
        <v>2271</v>
      </c>
      <c r="I260" s="14" t="s">
        <v>49</v>
      </c>
      <c r="J260" s="11" t="str">
        <f>HYPERLINK("https://www.codechef.com/problems/CARRANGE", "https://www.codechef.com/problems/CARRANGE")</f>
        <v>https://www.codechef.com/problems/CARRANGE</v>
      </c>
      <c r="K260" s="14"/>
      <c r="L260" s="14" t="s">
        <v>2138</v>
      </c>
      <c r="M260" s="14"/>
      <c r="N260" s="14" t="s">
        <v>50</v>
      </c>
      <c r="O260" s="14" t="s">
        <v>51</v>
      </c>
    </row>
    <row r="261" spans="1:15">
      <c r="A261" s="15" t="s">
        <v>11</v>
      </c>
      <c r="B261" s="15" t="s">
        <v>1853</v>
      </c>
      <c r="C261" s="15" t="s">
        <v>1854</v>
      </c>
      <c r="D261" s="15" t="s">
        <v>2125</v>
      </c>
      <c r="E261" s="15">
        <v>145</v>
      </c>
      <c r="F261" s="15" t="s">
        <v>2272</v>
      </c>
      <c r="G261" s="15" t="s">
        <v>2273</v>
      </c>
      <c r="H261" s="15" t="s">
        <v>2274</v>
      </c>
      <c r="I261" s="15" t="s">
        <v>49</v>
      </c>
      <c r="J261" s="7" t="str">
        <f>HYPERLINK("https://www.codechef.com/problems/SPCP4", "https://www.codechef.com/problems/SPCP4")</f>
        <v>https://www.codechef.com/problems/SPCP4</v>
      </c>
      <c r="K261" s="15"/>
      <c r="L261" s="15"/>
      <c r="M261" s="15"/>
      <c r="N261" s="15" t="s">
        <v>50</v>
      </c>
      <c r="O261" s="15" t="s">
        <v>51</v>
      </c>
    </row>
    <row r="262" spans="1:15">
      <c r="A262" s="14" t="s">
        <v>11</v>
      </c>
      <c r="B262" s="14" t="s">
        <v>1853</v>
      </c>
      <c r="C262" s="14" t="s">
        <v>1854</v>
      </c>
      <c r="D262" s="14" t="s">
        <v>2125</v>
      </c>
      <c r="E262" s="14">
        <v>146</v>
      </c>
      <c r="F262" s="14" t="s">
        <v>2275</v>
      </c>
      <c r="G262" s="14" t="s">
        <v>2276</v>
      </c>
      <c r="H262" s="14" t="s">
        <v>2277</v>
      </c>
      <c r="I262" s="14" t="s">
        <v>49</v>
      </c>
      <c r="J262" s="11" t="str">
        <f>HYPERLINK("https://www.codechef.com/problems/JMARKET", "https://www.codechef.com/problems/JMARKET")</f>
        <v>https://www.codechef.com/problems/JMARKET</v>
      </c>
      <c r="K262" s="14"/>
      <c r="L262" s="14" t="s">
        <v>140</v>
      </c>
      <c r="M262" s="14"/>
      <c r="N262" s="14" t="s">
        <v>50</v>
      </c>
      <c r="O262" s="14" t="s">
        <v>51</v>
      </c>
    </row>
    <row r="263" spans="1:15">
      <c r="A263" s="15" t="s">
        <v>11</v>
      </c>
      <c r="B263" s="15" t="s">
        <v>1853</v>
      </c>
      <c r="C263" s="15" t="s">
        <v>1854</v>
      </c>
      <c r="D263" s="15" t="s">
        <v>2125</v>
      </c>
      <c r="E263" s="15">
        <v>147</v>
      </c>
      <c r="F263" s="15" t="s">
        <v>2278</v>
      </c>
      <c r="G263" s="15" t="s">
        <v>2279</v>
      </c>
      <c r="H263" s="15" t="s">
        <v>2280</v>
      </c>
      <c r="I263" s="15" t="s">
        <v>49</v>
      </c>
      <c r="J263" s="7" t="str">
        <f>HYPERLINK("https://www.codechef.com/problems/NONNEGPROD", "https://www.codechef.com/problems/NONNEGPROD")</f>
        <v>https://www.codechef.com/problems/NONNEGPROD</v>
      </c>
      <c r="K263" s="15"/>
      <c r="L263" s="15" t="s">
        <v>1998</v>
      </c>
      <c r="M263" s="15"/>
      <c r="N263" s="15" t="s">
        <v>50</v>
      </c>
      <c r="O263" s="15" t="s">
        <v>51</v>
      </c>
    </row>
    <row r="264" spans="1:15">
      <c r="A264" s="14" t="s">
        <v>11</v>
      </c>
      <c r="B264" s="14" t="s">
        <v>1853</v>
      </c>
      <c r="C264" s="14" t="s">
        <v>1854</v>
      </c>
      <c r="D264" s="14" t="s">
        <v>2125</v>
      </c>
      <c r="E264" s="14">
        <v>148</v>
      </c>
      <c r="F264" s="14" t="s">
        <v>2281</v>
      </c>
      <c r="G264" s="14" t="s">
        <v>2282</v>
      </c>
      <c r="H264" s="14" t="s">
        <v>2283</v>
      </c>
      <c r="I264" s="14" t="s">
        <v>49</v>
      </c>
      <c r="J264" s="11" t="str">
        <f>HYPERLINK("https://www.codechef.com/problems/DIGARR", "https://www.codechef.com/problems/DIGARR")</f>
        <v>https://www.codechef.com/problems/DIGARR</v>
      </c>
      <c r="K264" s="14"/>
      <c r="L264" s="14" t="s">
        <v>105</v>
      </c>
      <c r="M264" s="14"/>
      <c r="N264" s="14" t="s">
        <v>50</v>
      </c>
      <c r="O264" s="14" t="s">
        <v>51</v>
      </c>
    </row>
    <row r="265" spans="1:15">
      <c r="A265" s="15" t="s">
        <v>11</v>
      </c>
      <c r="B265" s="15" t="s">
        <v>1853</v>
      </c>
      <c r="C265" s="15" t="s">
        <v>1854</v>
      </c>
      <c r="D265" s="15" t="s">
        <v>2125</v>
      </c>
      <c r="E265" s="15">
        <v>149</v>
      </c>
      <c r="F265" s="15" t="s">
        <v>2284</v>
      </c>
      <c r="G265" s="15" t="s">
        <v>2285</v>
      </c>
      <c r="H265" s="15" t="s">
        <v>2286</v>
      </c>
      <c r="I265" s="15" t="s">
        <v>49</v>
      </c>
      <c r="J265" s="7" t="str">
        <f>HYPERLINK("https://www.codechef.com/problems/MARARUN", "https://www.codechef.com/problems/MARARUN")</f>
        <v>https://www.codechef.com/problems/MARARUN</v>
      </c>
      <c r="K265" s="15"/>
      <c r="L265" s="15" t="s">
        <v>213</v>
      </c>
      <c r="M265" s="15"/>
      <c r="N265" s="15" t="s">
        <v>50</v>
      </c>
      <c r="O265" s="15" t="s">
        <v>51</v>
      </c>
    </row>
    <row r="266" spans="1:15">
      <c r="A266" s="14" t="s">
        <v>11</v>
      </c>
      <c r="B266" s="14" t="s">
        <v>1853</v>
      </c>
      <c r="C266" s="14" t="s">
        <v>1854</v>
      </c>
      <c r="D266" s="14" t="s">
        <v>2125</v>
      </c>
      <c r="E266" s="14">
        <v>150</v>
      </c>
      <c r="F266" s="14" t="s">
        <v>2287</v>
      </c>
      <c r="G266" s="14" t="s">
        <v>2288</v>
      </c>
      <c r="H266" s="14" t="s">
        <v>2289</v>
      </c>
      <c r="I266" s="14" t="s">
        <v>49</v>
      </c>
      <c r="J266" s="11" t="str">
        <f>HYPERLINK("https://www.codechef.com/problems/COOK82A", "https://www.codechef.com/problems/COOK82A")</f>
        <v>https://www.codechef.com/problems/COOK82A</v>
      </c>
      <c r="K266" s="14"/>
      <c r="L266" s="14" t="s">
        <v>2290</v>
      </c>
      <c r="M266" s="14"/>
      <c r="N266" s="14" t="s">
        <v>50</v>
      </c>
      <c r="O266" s="14" t="s">
        <v>51</v>
      </c>
    </row>
    <row r="267" spans="1:15">
      <c r="A267" s="15" t="s">
        <v>11</v>
      </c>
      <c r="B267" s="15" t="s">
        <v>1853</v>
      </c>
      <c r="C267" s="15" t="s">
        <v>1854</v>
      </c>
      <c r="D267" s="15" t="s">
        <v>2125</v>
      </c>
      <c r="E267" s="15">
        <v>151</v>
      </c>
      <c r="F267" s="15" t="s">
        <v>2291</v>
      </c>
      <c r="G267" s="15" t="s">
        <v>2292</v>
      </c>
      <c r="H267" s="15" t="s">
        <v>253</v>
      </c>
      <c r="I267" s="15" t="s">
        <v>49</v>
      </c>
      <c r="J267" s="7" t="str">
        <f>HYPERLINK("https://www.codechef.com/problems/CCOOK", "https://www.codechef.com/problems/CCOOK")</f>
        <v>https://www.codechef.com/problems/CCOOK</v>
      </c>
      <c r="K267" s="15"/>
      <c r="L267" s="15" t="s">
        <v>2144</v>
      </c>
      <c r="M267" s="15"/>
      <c r="N267" s="15" t="s">
        <v>50</v>
      </c>
      <c r="O267" s="15" t="s">
        <v>51</v>
      </c>
    </row>
    <row r="268" spans="1:15">
      <c r="A268" s="14" t="s">
        <v>11</v>
      </c>
      <c r="B268" s="14" t="s">
        <v>1853</v>
      </c>
      <c r="C268" s="14" t="s">
        <v>1854</v>
      </c>
      <c r="D268" s="14" t="s">
        <v>2125</v>
      </c>
      <c r="E268" s="14">
        <v>152</v>
      </c>
      <c r="F268" s="14" t="s">
        <v>2293</v>
      </c>
      <c r="G268" s="14" t="s">
        <v>2294</v>
      </c>
      <c r="H268" s="14" t="s">
        <v>111</v>
      </c>
      <c r="I268" s="14" t="s">
        <v>49</v>
      </c>
      <c r="J268" s="11" t="str">
        <f>HYPERLINK("https://www.codechef.com/problems/JOINING", "https://www.codechef.com/problems/JOINING")</f>
        <v>https://www.codechef.com/problems/JOINING</v>
      </c>
      <c r="K268" s="14"/>
      <c r="L268" s="14" t="s">
        <v>202</v>
      </c>
      <c r="M268" s="14"/>
      <c r="N268" s="14" t="s">
        <v>50</v>
      </c>
      <c r="O268" s="14" t="s">
        <v>51</v>
      </c>
    </row>
    <row r="269" spans="1:15">
      <c r="A269" s="15" t="s">
        <v>11</v>
      </c>
      <c r="B269" s="15" t="s">
        <v>1853</v>
      </c>
      <c r="C269" s="15" t="s">
        <v>1854</v>
      </c>
      <c r="D269" s="15" t="s">
        <v>2125</v>
      </c>
      <c r="E269" s="15">
        <v>153</v>
      </c>
      <c r="F269" s="15" t="s">
        <v>71</v>
      </c>
      <c r="G269" s="15" t="s">
        <v>72</v>
      </c>
      <c r="H269" s="15" t="s">
        <v>73</v>
      </c>
      <c r="I269" s="15" t="s">
        <v>49</v>
      </c>
      <c r="J269" s="7" t="str">
        <f>HYPERLINK("https://www.codechef.com/problems/PLAYPIAN", "https://www.codechef.com/problems/PLAYPIAN")</f>
        <v>https://www.codechef.com/problems/PLAYPIAN</v>
      </c>
      <c r="K269" s="15"/>
      <c r="L269" s="15"/>
      <c r="M269" s="15"/>
      <c r="N269" s="15" t="s">
        <v>50</v>
      </c>
      <c r="O269" s="15" t="s">
        <v>51</v>
      </c>
    </row>
    <row r="270" spans="1:15">
      <c r="A270" s="14" t="s">
        <v>11</v>
      </c>
      <c r="B270" s="14" t="s">
        <v>1853</v>
      </c>
      <c r="C270" s="14" t="s">
        <v>1854</v>
      </c>
      <c r="D270" s="14" t="s">
        <v>2125</v>
      </c>
      <c r="E270" s="14">
        <v>154</v>
      </c>
      <c r="F270" s="14" t="s">
        <v>2295</v>
      </c>
      <c r="G270" s="14" t="s">
        <v>2296</v>
      </c>
      <c r="H270" s="14" t="s">
        <v>54</v>
      </c>
      <c r="I270" s="14" t="s">
        <v>49</v>
      </c>
      <c r="J270" s="11" t="str">
        <f>HYPERLINK("https://www.codechef.com/problems/KEPLERSLAW", "https://www.codechef.com/problems/KEPLERSLAW")</f>
        <v>https://www.codechef.com/problems/KEPLERSLAW</v>
      </c>
      <c r="K270" s="14"/>
      <c r="L270" s="14" t="s">
        <v>2297</v>
      </c>
      <c r="M270" s="14"/>
      <c r="N270" s="14" t="s">
        <v>50</v>
      </c>
      <c r="O270" s="14" t="s">
        <v>51</v>
      </c>
    </row>
    <row r="271" spans="1:15">
      <c r="A271" s="15" t="s">
        <v>11</v>
      </c>
      <c r="B271" s="15" t="s">
        <v>1853</v>
      </c>
      <c r="C271" s="15" t="s">
        <v>1854</v>
      </c>
      <c r="D271" s="15" t="s">
        <v>2125</v>
      </c>
      <c r="E271" s="15">
        <v>155</v>
      </c>
      <c r="F271" s="15" t="s">
        <v>141</v>
      </c>
      <c r="G271" s="15" t="s">
        <v>142</v>
      </c>
      <c r="H271" s="15" t="s">
        <v>143</v>
      </c>
      <c r="I271" s="15" t="s">
        <v>49</v>
      </c>
      <c r="J271" s="7" t="str">
        <f>HYPERLINK("https://www.codechef.com/problems/KTTABLE", "https://www.codechef.com/problems/KTTABLE")</f>
        <v>https://www.codechef.com/problems/KTTABLE</v>
      </c>
      <c r="K271" s="15"/>
      <c r="L271" s="15" t="s">
        <v>144</v>
      </c>
      <c r="M271" s="15"/>
      <c r="N271" s="15" t="s">
        <v>50</v>
      </c>
      <c r="O271" s="15" t="s">
        <v>51</v>
      </c>
    </row>
    <row r="272" spans="1:15">
      <c r="A272" s="14" t="s">
        <v>11</v>
      </c>
      <c r="B272" s="14" t="s">
        <v>1853</v>
      </c>
      <c r="C272" s="14" t="s">
        <v>1854</v>
      </c>
      <c r="D272" s="14" t="s">
        <v>2125</v>
      </c>
      <c r="E272" s="14">
        <v>156</v>
      </c>
      <c r="F272" s="14" t="s">
        <v>2298</v>
      </c>
      <c r="G272" s="14" t="s">
        <v>2299</v>
      </c>
      <c r="H272" s="14" t="s">
        <v>2300</v>
      </c>
      <c r="I272" s="14" t="s">
        <v>49</v>
      </c>
      <c r="J272" s="11" t="str">
        <f>HYPERLINK("https://www.codechef.com/problems/BRLADDER", "https://www.codechef.com/problems/BRLADDER")</f>
        <v>https://www.codechef.com/problems/BRLADDER</v>
      </c>
      <c r="K272" s="14"/>
      <c r="L272" s="14" t="s">
        <v>2301</v>
      </c>
      <c r="M272" s="14"/>
      <c r="N272" s="14" t="s">
        <v>50</v>
      </c>
      <c r="O272" s="14" t="s">
        <v>51</v>
      </c>
    </row>
    <row r="273" spans="1:15">
      <c r="A273" s="15" t="s">
        <v>11</v>
      </c>
      <c r="B273" s="15" t="s">
        <v>2302</v>
      </c>
      <c r="C273" s="15" t="s">
        <v>2303</v>
      </c>
      <c r="D273" s="15" t="s">
        <v>2304</v>
      </c>
      <c r="E273" s="15">
        <v>1</v>
      </c>
      <c r="F273" s="15" t="s">
        <v>2305</v>
      </c>
      <c r="G273" s="15" t="s">
        <v>2306</v>
      </c>
      <c r="H273" s="15" t="s">
        <v>309</v>
      </c>
      <c r="I273" s="15" t="s">
        <v>49</v>
      </c>
      <c r="J273" s="7" t="str">
        <f>HYPERLINK("https://www.codechef.com/problems/EZSPEAK", "https://www.codechef.com/problems/EZSPEAK")</f>
        <v>https://www.codechef.com/problems/EZSPEAK</v>
      </c>
      <c r="K273" s="15"/>
      <c r="L273" s="15" t="s">
        <v>2307</v>
      </c>
      <c r="M273" s="15"/>
      <c r="N273" s="15" t="s">
        <v>50</v>
      </c>
      <c r="O273" s="15" t="s">
        <v>51</v>
      </c>
    </row>
    <row r="274" spans="1:15">
      <c r="A274" s="14" t="s">
        <v>11</v>
      </c>
      <c r="B274" s="14" t="s">
        <v>2302</v>
      </c>
      <c r="C274" s="14" t="s">
        <v>2303</v>
      </c>
      <c r="D274" s="14" t="s">
        <v>2304</v>
      </c>
      <c r="E274" s="14">
        <v>2</v>
      </c>
      <c r="F274" s="14" t="s">
        <v>2308</v>
      </c>
      <c r="G274" s="14" t="s">
        <v>2309</v>
      </c>
      <c r="H274" s="14" t="s">
        <v>2310</v>
      </c>
      <c r="I274" s="14" t="s">
        <v>49</v>
      </c>
      <c r="J274" s="11" t="str">
        <f>HYPERLINK("https://www.codechef.com/problems/ATM2", "https://www.codechef.com/problems/ATM2")</f>
        <v>https://www.codechef.com/problems/ATM2</v>
      </c>
      <c r="K274" s="14"/>
      <c r="L274" s="14" t="s">
        <v>1701</v>
      </c>
      <c r="M274" s="14"/>
      <c r="N274" s="14" t="s">
        <v>50</v>
      </c>
      <c r="O274" s="14" t="s">
        <v>51</v>
      </c>
    </row>
    <row r="275" spans="1:15">
      <c r="A275" s="15" t="s">
        <v>11</v>
      </c>
      <c r="B275" s="15" t="s">
        <v>2302</v>
      </c>
      <c r="C275" s="15" t="s">
        <v>2303</v>
      </c>
      <c r="D275" s="15" t="s">
        <v>2304</v>
      </c>
      <c r="E275" s="15">
        <v>3</v>
      </c>
      <c r="F275" s="15" t="s">
        <v>2311</v>
      </c>
      <c r="G275" s="15" t="s">
        <v>2312</v>
      </c>
      <c r="H275" s="15" t="s">
        <v>2313</v>
      </c>
      <c r="I275" s="15" t="s">
        <v>49</v>
      </c>
      <c r="J275" s="7" t="str">
        <f>HYPERLINK("https://www.codechef.com/problems/EXAMTIME", "https://www.codechef.com/problems/EXAMTIME")</f>
        <v>https://www.codechef.com/problems/EXAMTIME</v>
      </c>
      <c r="K275" s="15"/>
      <c r="L275" s="15" t="s">
        <v>2314</v>
      </c>
      <c r="M275" s="15"/>
      <c r="N275" s="15" t="s">
        <v>50</v>
      </c>
      <c r="O275" s="15" t="s">
        <v>51</v>
      </c>
    </row>
    <row r="276" spans="1:15">
      <c r="A276" s="14" t="s">
        <v>11</v>
      </c>
      <c r="B276" s="14" t="s">
        <v>2302</v>
      </c>
      <c r="C276" s="14" t="s">
        <v>2303</v>
      </c>
      <c r="D276" s="14" t="s">
        <v>2304</v>
      </c>
      <c r="E276" s="14">
        <v>4</v>
      </c>
      <c r="F276" s="14" t="s">
        <v>2315</v>
      </c>
      <c r="G276" s="14" t="s">
        <v>2316</v>
      </c>
      <c r="H276" s="14" t="s">
        <v>2317</v>
      </c>
      <c r="I276" s="14" t="s">
        <v>49</v>
      </c>
      <c r="J276" s="11" t="str">
        <f>HYPERLINK("https://www.codechef.com/problems/ADJSUMPAR", "https://www.codechef.com/problems/ADJSUMPAR")</f>
        <v>https://www.codechef.com/problems/ADJSUMPAR</v>
      </c>
      <c r="K276" s="14"/>
      <c r="L276" s="14" t="s">
        <v>2318</v>
      </c>
      <c r="M276" s="14"/>
      <c r="N276" s="14" t="s">
        <v>50</v>
      </c>
      <c r="O276" s="14" t="s">
        <v>51</v>
      </c>
    </row>
    <row r="277" spans="1:15">
      <c r="A277" s="15" t="s">
        <v>11</v>
      </c>
      <c r="B277" s="15" t="s">
        <v>2302</v>
      </c>
      <c r="C277" s="15" t="s">
        <v>2303</v>
      </c>
      <c r="D277" s="15" t="s">
        <v>2304</v>
      </c>
      <c r="E277" s="15">
        <v>5</v>
      </c>
      <c r="F277" s="15" t="s">
        <v>155</v>
      </c>
      <c r="G277" s="15" t="s">
        <v>156</v>
      </c>
      <c r="H277" s="15" t="s">
        <v>157</v>
      </c>
      <c r="I277" s="15" t="s">
        <v>49</v>
      </c>
      <c r="J277" s="7" t="str">
        <f>HYPERLINK("https://www.codechef.com/problems/CNDY", "https://www.codechef.com/problems/CNDY")</f>
        <v>https://www.codechef.com/problems/CNDY</v>
      </c>
      <c r="K277" s="15"/>
      <c r="L277" s="15" t="s">
        <v>158</v>
      </c>
      <c r="M277" s="15"/>
      <c r="N277" s="15" t="s">
        <v>50</v>
      </c>
      <c r="O277" s="15" t="s">
        <v>51</v>
      </c>
    </row>
    <row r="278" spans="1:15">
      <c r="A278" s="14" t="s">
        <v>11</v>
      </c>
      <c r="B278" s="14" t="s">
        <v>2302</v>
      </c>
      <c r="C278" s="14" t="s">
        <v>2303</v>
      </c>
      <c r="D278" s="14" t="s">
        <v>2304</v>
      </c>
      <c r="E278" s="14">
        <v>6</v>
      </c>
      <c r="F278" s="14" t="s">
        <v>2319</v>
      </c>
      <c r="G278" s="14" t="s">
        <v>2320</v>
      </c>
      <c r="H278" s="14" t="s">
        <v>2321</v>
      </c>
      <c r="I278" s="14" t="s">
        <v>49</v>
      </c>
      <c r="J278" s="11" t="str">
        <f>HYPERLINK("https://www.codechef.com/problems/DIET", "https://www.codechef.com/problems/DIET")</f>
        <v>https://www.codechef.com/problems/DIET</v>
      </c>
      <c r="K278" s="14"/>
      <c r="L278" s="14" t="s">
        <v>1701</v>
      </c>
      <c r="M278" s="14"/>
      <c r="N278" s="14" t="s">
        <v>50</v>
      </c>
      <c r="O278" s="14" t="s">
        <v>51</v>
      </c>
    </row>
    <row r="279" spans="1:15">
      <c r="A279" s="15" t="s">
        <v>11</v>
      </c>
      <c r="B279" s="15" t="s">
        <v>2302</v>
      </c>
      <c r="C279" s="15" t="s">
        <v>2303</v>
      </c>
      <c r="D279" s="15" t="s">
        <v>2304</v>
      </c>
      <c r="E279" s="15">
        <v>7</v>
      </c>
      <c r="F279" s="15" t="s">
        <v>2322</v>
      </c>
      <c r="G279" s="15" t="s">
        <v>2323</v>
      </c>
      <c r="H279" s="15" t="s">
        <v>2324</v>
      </c>
      <c r="I279" s="15" t="s">
        <v>49</v>
      </c>
      <c r="J279" s="7" t="str">
        <f>HYPERLINK("https://www.codechef.com/problems/BREAKSTICK", "https://www.codechef.com/problems/BREAKSTICK")</f>
        <v>https://www.codechef.com/problems/BREAKSTICK</v>
      </c>
      <c r="K279" s="15"/>
      <c r="L279" s="15" t="s">
        <v>194</v>
      </c>
      <c r="M279" s="15"/>
      <c r="N279" s="15" t="s">
        <v>50</v>
      </c>
      <c r="O279" s="15" t="s">
        <v>51</v>
      </c>
    </row>
    <row r="280" spans="1:15">
      <c r="A280" s="14" t="s">
        <v>11</v>
      </c>
      <c r="B280" s="14" t="s">
        <v>2302</v>
      </c>
      <c r="C280" s="14" t="s">
        <v>2303</v>
      </c>
      <c r="D280" s="14" t="s">
        <v>2304</v>
      </c>
      <c r="E280" s="14">
        <v>8</v>
      </c>
      <c r="F280" s="14" t="s">
        <v>2325</v>
      </c>
      <c r="G280" s="14" t="s">
        <v>2326</v>
      </c>
      <c r="H280" s="14" t="s">
        <v>2327</v>
      </c>
      <c r="I280" s="14" t="s">
        <v>49</v>
      </c>
      <c r="J280" s="11" t="str">
        <f>HYPERLINK("https://www.codechef.com/problems/ENCMSG", "https://www.codechef.com/problems/ENCMSG")</f>
        <v>https://www.codechef.com/problems/ENCMSG</v>
      </c>
      <c r="K280" s="14"/>
      <c r="L280" s="14" t="s">
        <v>1701</v>
      </c>
      <c r="M280" s="14"/>
      <c r="N280" s="14" t="s">
        <v>50</v>
      </c>
      <c r="O280" s="14" t="s">
        <v>51</v>
      </c>
    </row>
    <row r="281" spans="1:15">
      <c r="A281" s="15" t="s">
        <v>11</v>
      </c>
      <c r="B281" s="15" t="s">
        <v>2302</v>
      </c>
      <c r="C281" s="15" t="s">
        <v>2303</v>
      </c>
      <c r="D281" s="15" t="s">
        <v>2304</v>
      </c>
      <c r="E281" s="15">
        <v>9</v>
      </c>
      <c r="F281" s="15" t="s">
        <v>2328</v>
      </c>
      <c r="G281" s="15" t="s">
        <v>2329</v>
      </c>
      <c r="H281" s="15" t="s">
        <v>2330</v>
      </c>
      <c r="I281" s="15" t="s">
        <v>49</v>
      </c>
      <c r="J281" s="7" t="str">
        <f>HYPERLINK("https://www.codechef.com/problems/CANDY123", "https://www.codechef.com/problems/CANDY123")</f>
        <v>https://www.codechef.com/problems/CANDY123</v>
      </c>
      <c r="K281" s="15"/>
      <c r="L281" s="15" t="s">
        <v>2331</v>
      </c>
      <c r="M281" s="15"/>
      <c r="N281" s="15" t="s">
        <v>50</v>
      </c>
      <c r="O281" s="15" t="s">
        <v>51</v>
      </c>
    </row>
    <row r="282" spans="1:15">
      <c r="A282" s="14" t="s">
        <v>11</v>
      </c>
      <c r="B282" s="14" t="s">
        <v>2302</v>
      </c>
      <c r="C282" s="14" t="s">
        <v>2303</v>
      </c>
      <c r="D282" s="14" t="s">
        <v>2304</v>
      </c>
      <c r="E282" s="14">
        <v>10</v>
      </c>
      <c r="F282" s="14" t="s">
        <v>1935</v>
      </c>
      <c r="G282" s="14" t="s">
        <v>2332</v>
      </c>
      <c r="H282" s="14" t="s">
        <v>2333</v>
      </c>
      <c r="I282" s="14" t="s">
        <v>49</v>
      </c>
      <c r="J282" s="11" t="str">
        <f>HYPERLINK("https://www.codechef.com/problems/ELECTIONS", "https://www.codechef.com/problems/ELECTIONS")</f>
        <v>https://www.codechef.com/problems/ELECTIONS</v>
      </c>
      <c r="K282" s="14"/>
      <c r="L282" s="14" t="s">
        <v>2334</v>
      </c>
      <c r="M282" s="14"/>
      <c r="N282" s="14" t="s">
        <v>50</v>
      </c>
      <c r="O282" s="14" t="s">
        <v>51</v>
      </c>
    </row>
    <row r="283" spans="1:15">
      <c r="A283" s="15" t="s">
        <v>11</v>
      </c>
      <c r="B283" s="15" t="s">
        <v>2302</v>
      </c>
      <c r="C283" s="15" t="s">
        <v>2303</v>
      </c>
      <c r="D283" s="15" t="s">
        <v>2304</v>
      </c>
      <c r="E283" s="15">
        <v>11</v>
      </c>
      <c r="F283" s="15" t="s">
        <v>2335</v>
      </c>
      <c r="G283" s="15" t="s">
        <v>2336</v>
      </c>
      <c r="H283" s="15" t="s">
        <v>2337</v>
      </c>
      <c r="I283" s="15" t="s">
        <v>49</v>
      </c>
      <c r="J283" s="7" t="str">
        <f>HYPERLINK("https://www.codechef.com/problems/CHEFSTLT", "https://www.codechef.com/problems/CHEFSTLT")</f>
        <v>https://www.codechef.com/problems/CHEFSTLT</v>
      </c>
      <c r="K283" s="15"/>
      <c r="L283" s="15" t="s">
        <v>2338</v>
      </c>
      <c r="M283" s="15"/>
      <c r="N283" s="15" t="s">
        <v>50</v>
      </c>
      <c r="O283" s="15" t="s">
        <v>51</v>
      </c>
    </row>
    <row r="284" spans="1:15">
      <c r="A284" s="14" t="s">
        <v>11</v>
      </c>
      <c r="B284" s="14" t="s">
        <v>2302</v>
      </c>
      <c r="C284" s="14" t="s">
        <v>2303</v>
      </c>
      <c r="D284" s="14" t="s">
        <v>2304</v>
      </c>
      <c r="E284" s="14">
        <v>12</v>
      </c>
      <c r="F284" s="14" t="s">
        <v>2339</v>
      </c>
      <c r="G284" s="14" t="s">
        <v>2340</v>
      </c>
      <c r="H284" s="14" t="s">
        <v>2341</v>
      </c>
      <c r="I284" s="14" t="s">
        <v>49</v>
      </c>
      <c r="J284" s="11" t="str">
        <f>HYPERLINK("https://www.codechef.com/problems/REMOVECARDS", "https://www.codechef.com/problems/REMOVECARDS")</f>
        <v>https://www.codechef.com/problems/REMOVECARDS</v>
      </c>
      <c r="K284" s="14"/>
      <c r="L284" s="14"/>
      <c r="M284" s="14"/>
      <c r="N284" s="14" t="s">
        <v>50</v>
      </c>
      <c r="O284" s="14" t="s">
        <v>51</v>
      </c>
    </row>
    <row r="285" spans="1:15">
      <c r="A285" s="15" t="s">
        <v>11</v>
      </c>
      <c r="B285" s="15" t="s">
        <v>2302</v>
      </c>
      <c r="C285" s="15" t="s">
        <v>2303</v>
      </c>
      <c r="D285" s="15" t="s">
        <v>2304</v>
      </c>
      <c r="E285" s="15">
        <v>13</v>
      </c>
      <c r="F285" s="15" t="s">
        <v>2342</v>
      </c>
      <c r="G285" s="15" t="s">
        <v>2343</v>
      </c>
      <c r="H285" s="15" t="s">
        <v>594</v>
      </c>
      <c r="I285" s="15" t="s">
        <v>49</v>
      </c>
      <c r="J285" s="7" t="str">
        <f>HYPERLINK("https://www.codechef.com/problems/EVENTUAL", "https://www.codechef.com/problems/EVENTUAL")</f>
        <v>https://www.codechef.com/problems/EVENTUAL</v>
      </c>
      <c r="K285" s="15"/>
      <c r="L285" s="15" t="s">
        <v>2344</v>
      </c>
      <c r="M285" s="15"/>
      <c r="N285" s="15" t="s">
        <v>50</v>
      </c>
      <c r="O285" s="15" t="s">
        <v>51</v>
      </c>
    </row>
    <row r="286" spans="1:15">
      <c r="A286" s="14" t="s">
        <v>11</v>
      </c>
      <c r="B286" s="14" t="s">
        <v>2302</v>
      </c>
      <c r="C286" s="14" t="s">
        <v>2303</v>
      </c>
      <c r="D286" s="14" t="s">
        <v>2304</v>
      </c>
      <c r="E286" s="14">
        <v>14</v>
      </c>
      <c r="F286" s="14" t="s">
        <v>2345</v>
      </c>
      <c r="G286" s="14" t="s">
        <v>2346</v>
      </c>
      <c r="H286" s="14" t="s">
        <v>2347</v>
      </c>
      <c r="I286" s="14" t="s">
        <v>49</v>
      </c>
      <c r="J286" s="11" t="str">
        <f>HYPERLINK("https://www.codechef.com/problems/ZEROSTRING", "https://www.codechef.com/problems/ZEROSTRING")</f>
        <v>https://www.codechef.com/problems/ZEROSTRING</v>
      </c>
      <c r="K286" s="14"/>
      <c r="L286" s="14"/>
      <c r="M286" s="14"/>
      <c r="N286" s="14" t="s">
        <v>50</v>
      </c>
      <c r="O286" s="14" t="s">
        <v>51</v>
      </c>
    </row>
    <row r="287" spans="1:15">
      <c r="A287" s="15" t="s">
        <v>11</v>
      </c>
      <c r="B287" s="15" t="s">
        <v>2302</v>
      </c>
      <c r="C287" s="15" t="s">
        <v>2303</v>
      </c>
      <c r="D287" s="15" t="s">
        <v>2304</v>
      </c>
      <c r="E287" s="15">
        <v>15</v>
      </c>
      <c r="F287" s="15" t="s">
        <v>2348</v>
      </c>
      <c r="G287" s="15" t="s">
        <v>2349</v>
      </c>
      <c r="H287" s="15" t="s">
        <v>2347</v>
      </c>
      <c r="I287" s="15" t="s">
        <v>49</v>
      </c>
      <c r="J287" s="7" t="str">
        <f>HYPERLINK("https://www.codechef.com/problems/AIRLINE", "https://www.codechef.com/problems/AIRLINE")</f>
        <v>https://www.codechef.com/problems/AIRLINE</v>
      </c>
      <c r="K287" s="15"/>
      <c r="L287" s="15" t="s">
        <v>2350</v>
      </c>
      <c r="M287" s="15"/>
      <c r="N287" s="15" t="s">
        <v>50</v>
      </c>
      <c r="O287" s="15" t="s">
        <v>51</v>
      </c>
    </row>
    <row r="288" spans="1:15">
      <c r="A288" s="14" t="s">
        <v>11</v>
      </c>
      <c r="B288" s="14" t="s">
        <v>2302</v>
      </c>
      <c r="C288" s="14" t="s">
        <v>2303</v>
      </c>
      <c r="D288" s="14" t="s">
        <v>2304</v>
      </c>
      <c r="E288" s="14">
        <v>16</v>
      </c>
      <c r="F288" s="14" t="s">
        <v>2351</v>
      </c>
      <c r="G288" s="14" t="s">
        <v>2352</v>
      </c>
      <c r="H288" s="14" t="s">
        <v>968</v>
      </c>
      <c r="I288" s="14" t="s">
        <v>49</v>
      </c>
      <c r="J288" s="11" t="str">
        <f>HYPERLINK("https://www.codechef.com/problems/ODDPAIRS", "https://www.codechef.com/problems/ODDPAIRS")</f>
        <v>https://www.codechef.com/problems/ODDPAIRS</v>
      </c>
      <c r="K288" s="14"/>
      <c r="L288" s="14" t="s">
        <v>194</v>
      </c>
      <c r="M288" s="14"/>
      <c r="N288" s="14" t="s">
        <v>50</v>
      </c>
      <c r="O288" s="14" t="s">
        <v>51</v>
      </c>
    </row>
    <row r="289" spans="1:15">
      <c r="A289" s="15" t="s">
        <v>11</v>
      </c>
      <c r="B289" s="15" t="s">
        <v>2302</v>
      </c>
      <c r="C289" s="15" t="s">
        <v>2303</v>
      </c>
      <c r="D289" s="15" t="s">
        <v>2304</v>
      </c>
      <c r="E289" s="15">
        <v>17</v>
      </c>
      <c r="F289" s="15" t="s">
        <v>2353</v>
      </c>
      <c r="G289" s="15" t="s">
        <v>2354</v>
      </c>
      <c r="H289" s="15" t="s">
        <v>1245</v>
      </c>
      <c r="I289" s="15" t="s">
        <v>49</v>
      </c>
      <c r="J289" s="7" t="str">
        <f>HYPERLINK("https://www.codechef.com/problems/CHEFSTUD", "https://www.codechef.com/problems/CHEFSTUD")</f>
        <v>https://www.codechef.com/problems/CHEFSTUD</v>
      </c>
      <c r="K289" s="15"/>
      <c r="L289" s="15" t="s">
        <v>2190</v>
      </c>
      <c r="M289" s="15"/>
      <c r="N289" s="15" t="s">
        <v>50</v>
      </c>
      <c r="O289" s="15" t="s">
        <v>51</v>
      </c>
    </row>
    <row r="290" spans="1:15">
      <c r="A290" s="14" t="s">
        <v>11</v>
      </c>
      <c r="B290" s="14" t="s">
        <v>2302</v>
      </c>
      <c r="C290" s="14" t="s">
        <v>2303</v>
      </c>
      <c r="D290" s="14" t="s">
        <v>2304</v>
      </c>
      <c r="E290" s="14">
        <v>18</v>
      </c>
      <c r="F290" s="14" t="s">
        <v>2355</v>
      </c>
      <c r="G290" s="14" t="s">
        <v>2356</v>
      </c>
      <c r="H290" s="14" t="s">
        <v>2357</v>
      </c>
      <c r="I290" s="14" t="s">
        <v>49</v>
      </c>
      <c r="J290" s="11" t="str">
        <f>HYPERLINK("https://www.codechef.com/problems/ENDSORTED", "https://www.codechef.com/problems/ENDSORTED")</f>
        <v>https://www.codechef.com/problems/ENDSORTED</v>
      </c>
      <c r="K290" s="14"/>
      <c r="L290" s="14" t="s">
        <v>1701</v>
      </c>
      <c r="M290" s="14"/>
      <c r="N290" s="14" t="s">
        <v>50</v>
      </c>
      <c r="O290" s="14" t="s">
        <v>51</v>
      </c>
    </row>
    <row r="291" spans="1:15">
      <c r="A291" s="15" t="s">
        <v>11</v>
      </c>
      <c r="B291" s="15" t="s">
        <v>2302</v>
      </c>
      <c r="C291" s="15" t="s">
        <v>2303</v>
      </c>
      <c r="D291" s="15" t="s">
        <v>2304</v>
      </c>
      <c r="E291" s="15">
        <v>19</v>
      </c>
      <c r="F291" s="15" t="s">
        <v>2358</v>
      </c>
      <c r="G291" s="15" t="s">
        <v>2359</v>
      </c>
      <c r="H291" s="15" t="s">
        <v>2360</v>
      </c>
      <c r="I291" s="15" t="s">
        <v>49</v>
      </c>
      <c r="J291" s="7" t="str">
        <f>HYPERLINK("https://www.codechef.com/problems/PRIMEREVERSE", "https://www.codechef.com/problems/PRIMEREVERSE")</f>
        <v>https://www.codechef.com/problems/PRIMEREVERSE</v>
      </c>
      <c r="K291" s="15"/>
      <c r="L291" s="15" t="s">
        <v>2338</v>
      </c>
      <c r="M291" s="15"/>
      <c r="N291" s="15" t="s">
        <v>50</v>
      </c>
      <c r="O291" s="15" t="s">
        <v>51</v>
      </c>
    </row>
    <row r="292" spans="1:15">
      <c r="A292" s="14" t="s">
        <v>11</v>
      </c>
      <c r="B292" s="14" t="s">
        <v>2302</v>
      </c>
      <c r="C292" s="14" t="s">
        <v>2303</v>
      </c>
      <c r="D292" s="14" t="s">
        <v>2304</v>
      </c>
      <c r="E292" s="14">
        <v>20</v>
      </c>
      <c r="F292" s="14" t="s">
        <v>2361</v>
      </c>
      <c r="G292" s="14" t="s">
        <v>2362</v>
      </c>
      <c r="H292" s="14" t="s">
        <v>2363</v>
      </c>
      <c r="I292" s="14" t="s">
        <v>49</v>
      </c>
      <c r="J292" s="11" t="str">
        <f>HYPERLINK("https://www.codechef.com/problems/PIZZA_BURGER", "https://www.codechef.com/problems/PIZZA_BURGER")</f>
        <v>https://www.codechef.com/problems/PIZZA_BURGER</v>
      </c>
      <c r="K292" s="14"/>
      <c r="L292" s="14"/>
      <c r="M292" s="14"/>
      <c r="N292" s="14" t="s">
        <v>50</v>
      </c>
      <c r="O292" s="14" t="s">
        <v>51</v>
      </c>
    </row>
    <row r="293" spans="1:15">
      <c r="A293" s="15" t="s">
        <v>11</v>
      </c>
      <c r="B293" s="15" t="s">
        <v>2302</v>
      </c>
      <c r="C293" s="15" t="s">
        <v>2303</v>
      </c>
      <c r="D293" s="15" t="s">
        <v>2304</v>
      </c>
      <c r="E293" s="15">
        <v>21</v>
      </c>
      <c r="F293" s="15" t="s">
        <v>2364</v>
      </c>
      <c r="G293" s="15" t="s">
        <v>2365</v>
      </c>
      <c r="H293" s="15" t="s">
        <v>2363</v>
      </c>
      <c r="I293" s="15" t="s">
        <v>49</v>
      </c>
      <c r="J293" s="7" t="str">
        <f>HYPERLINK("https://www.codechef.com/problems/MASKPOL", "https://www.codechef.com/problems/MASKPOL")</f>
        <v>https://www.codechef.com/problems/MASKPOL</v>
      </c>
      <c r="K293" s="15"/>
      <c r="L293" s="15" t="s">
        <v>2366</v>
      </c>
      <c r="M293" s="15"/>
      <c r="N293" s="15" t="s">
        <v>50</v>
      </c>
      <c r="O293" s="15" t="s">
        <v>51</v>
      </c>
    </row>
    <row r="294" spans="1:15">
      <c r="A294" s="14" t="s">
        <v>11</v>
      </c>
      <c r="B294" s="14" t="s">
        <v>2302</v>
      </c>
      <c r="C294" s="14" t="s">
        <v>2303</v>
      </c>
      <c r="D294" s="14" t="s">
        <v>2304</v>
      </c>
      <c r="E294" s="14">
        <v>22</v>
      </c>
      <c r="F294" s="14" t="s">
        <v>2367</v>
      </c>
      <c r="G294" s="14" t="s">
        <v>2368</v>
      </c>
      <c r="H294" s="14" t="s">
        <v>2369</v>
      </c>
      <c r="I294" s="14" t="s">
        <v>49</v>
      </c>
      <c r="J294" s="11" t="str">
        <f>HYPERLINK("https://www.codechef.com/problems/COUNTP", "https://www.codechef.com/problems/COUNTP")</f>
        <v>https://www.codechef.com/problems/COUNTP</v>
      </c>
      <c r="K294" s="14"/>
      <c r="L294" s="14" t="s">
        <v>194</v>
      </c>
      <c r="M294" s="14"/>
      <c r="N294" s="14" t="s">
        <v>50</v>
      </c>
      <c r="O294" s="14" t="s">
        <v>51</v>
      </c>
    </row>
    <row r="295" spans="1:15">
      <c r="A295" s="15" t="s">
        <v>11</v>
      </c>
      <c r="B295" s="15" t="s">
        <v>2302</v>
      </c>
      <c r="C295" s="15" t="s">
        <v>2303</v>
      </c>
      <c r="D295" s="15" t="s">
        <v>2304</v>
      </c>
      <c r="E295" s="15">
        <v>23</v>
      </c>
      <c r="F295" s="15" t="s">
        <v>2370</v>
      </c>
      <c r="G295" s="15" t="s">
        <v>2371</v>
      </c>
      <c r="H295" s="15" t="s">
        <v>2369</v>
      </c>
      <c r="I295" s="15" t="s">
        <v>49</v>
      </c>
      <c r="J295" s="7" t="str">
        <f>HYPERLINK("https://www.codechef.com/problems/HEADBOB", "https://www.codechef.com/problems/HEADBOB")</f>
        <v>https://www.codechef.com/problems/HEADBOB</v>
      </c>
      <c r="K295" s="15"/>
      <c r="L295" s="15" t="s">
        <v>2144</v>
      </c>
      <c r="M295" s="15"/>
      <c r="N295" s="15" t="s">
        <v>50</v>
      </c>
      <c r="O295" s="15" t="s">
        <v>51</v>
      </c>
    </row>
    <row r="296" spans="1:15">
      <c r="A296" s="14" t="s">
        <v>11</v>
      </c>
      <c r="B296" s="14" t="s">
        <v>2302</v>
      </c>
      <c r="C296" s="14" t="s">
        <v>2303</v>
      </c>
      <c r="D296" s="14" t="s">
        <v>2304</v>
      </c>
      <c r="E296" s="14">
        <v>24</v>
      </c>
      <c r="F296" s="14" t="s">
        <v>2372</v>
      </c>
      <c r="G296" s="14" t="s">
        <v>2373</v>
      </c>
      <c r="H296" s="14" t="s">
        <v>2374</v>
      </c>
      <c r="I296" s="14" t="s">
        <v>49</v>
      </c>
      <c r="J296" s="11" t="str">
        <f>HYPERLINK("https://www.codechef.com/problems/PSEUDOSORT", "https://www.codechef.com/problems/PSEUDOSORT")</f>
        <v>https://www.codechef.com/problems/PSEUDOSORT</v>
      </c>
      <c r="K296" s="14"/>
      <c r="L296" s="14" t="s">
        <v>1701</v>
      </c>
      <c r="M296" s="14"/>
      <c r="N296" s="14" t="s">
        <v>50</v>
      </c>
      <c r="O296" s="14" t="s">
        <v>51</v>
      </c>
    </row>
    <row r="297" spans="1:15">
      <c r="A297" s="15" t="s">
        <v>11</v>
      </c>
      <c r="B297" s="15" t="s">
        <v>2302</v>
      </c>
      <c r="C297" s="15" t="s">
        <v>2303</v>
      </c>
      <c r="D297" s="15" t="s">
        <v>2304</v>
      </c>
      <c r="E297" s="15">
        <v>25</v>
      </c>
      <c r="F297" s="15" t="s">
        <v>2375</v>
      </c>
      <c r="G297" s="15" t="s">
        <v>2376</v>
      </c>
      <c r="H297" s="15" t="s">
        <v>2377</v>
      </c>
      <c r="I297" s="15" t="s">
        <v>49</v>
      </c>
      <c r="J297" s="7" t="str">
        <f>HYPERLINK("https://www.codechef.com/problems/PRIME1", "https://www.codechef.com/problems/PRIME1")</f>
        <v>https://www.codechef.com/problems/PRIME1</v>
      </c>
      <c r="K297" s="15"/>
      <c r="L297" s="15" t="s">
        <v>2378</v>
      </c>
      <c r="M297" s="15"/>
      <c r="N297" s="15" t="s">
        <v>50</v>
      </c>
      <c r="O297" s="15" t="s">
        <v>51</v>
      </c>
    </row>
    <row r="298" spans="1:15">
      <c r="A298" s="14" t="s">
        <v>11</v>
      </c>
      <c r="B298" s="14" t="s">
        <v>2302</v>
      </c>
      <c r="C298" s="14" t="s">
        <v>2303</v>
      </c>
      <c r="D298" s="14" t="s">
        <v>2304</v>
      </c>
      <c r="E298" s="14">
        <v>26</v>
      </c>
      <c r="F298" s="14" t="s">
        <v>2379</v>
      </c>
      <c r="G298" s="14" t="s">
        <v>2380</v>
      </c>
      <c r="H298" s="14" t="s">
        <v>2377</v>
      </c>
      <c r="I298" s="14" t="s">
        <v>49</v>
      </c>
      <c r="J298" s="11" t="str">
        <f>HYPERLINK("https://www.codechef.com/problems/EQUALIZEAB", "https://www.codechef.com/problems/EQUALIZEAB")</f>
        <v>https://www.codechef.com/problems/EQUALIZEAB</v>
      </c>
      <c r="K298" s="14"/>
      <c r="L298" s="14" t="s">
        <v>194</v>
      </c>
      <c r="M298" s="14"/>
      <c r="N298" s="14" t="s">
        <v>50</v>
      </c>
      <c r="O298" s="14" t="s">
        <v>51</v>
      </c>
    </row>
    <row r="299" spans="1:15">
      <c r="A299" s="15" t="s">
        <v>11</v>
      </c>
      <c r="B299" s="15" t="s">
        <v>2302</v>
      </c>
      <c r="C299" s="15" t="s">
        <v>2303</v>
      </c>
      <c r="D299" s="15" t="s">
        <v>2304</v>
      </c>
      <c r="E299" s="15">
        <v>27</v>
      </c>
      <c r="F299" s="15" t="s">
        <v>2381</v>
      </c>
      <c r="G299" s="15" t="s">
        <v>2382</v>
      </c>
      <c r="H299" s="15" t="s">
        <v>2383</v>
      </c>
      <c r="I299" s="15" t="s">
        <v>49</v>
      </c>
      <c r="J299" s="7" t="str">
        <f>HYPERLINK("https://www.codechef.com/problems/THREEFR", "https://www.codechef.com/problems/THREEFR")</f>
        <v>https://www.codechef.com/problems/THREEFR</v>
      </c>
      <c r="K299" s="15"/>
      <c r="L299" s="15"/>
      <c r="M299" s="15"/>
      <c r="N299" s="15" t="s">
        <v>50</v>
      </c>
      <c r="O299" s="15" t="s">
        <v>51</v>
      </c>
    </row>
    <row r="300" spans="1:15">
      <c r="A300" s="14" t="s">
        <v>11</v>
      </c>
      <c r="B300" s="14" t="s">
        <v>2302</v>
      </c>
      <c r="C300" s="14" t="s">
        <v>2303</v>
      </c>
      <c r="D300" s="14" t="s">
        <v>2304</v>
      </c>
      <c r="E300" s="14">
        <v>28</v>
      </c>
      <c r="F300" s="14" t="s">
        <v>2384</v>
      </c>
      <c r="G300" s="14" t="s">
        <v>2385</v>
      </c>
      <c r="H300" s="14" t="s">
        <v>2386</v>
      </c>
      <c r="I300" s="14" t="s">
        <v>49</v>
      </c>
      <c r="J300" s="11" t="str">
        <f>HYPERLINK("https://www.codechef.com/problems/QUEENATTACK", "https://www.codechef.com/problems/QUEENATTACK")</f>
        <v>https://www.codechef.com/problems/QUEENATTACK</v>
      </c>
      <c r="K300" s="14"/>
      <c r="L300" s="14"/>
      <c r="M300" s="14"/>
      <c r="N300" s="14" t="s">
        <v>50</v>
      </c>
      <c r="O300" s="14" t="s">
        <v>51</v>
      </c>
    </row>
    <row r="301" spans="1:15">
      <c r="A301" s="15" t="s">
        <v>11</v>
      </c>
      <c r="B301" s="15" t="s">
        <v>2302</v>
      </c>
      <c r="C301" s="15" t="s">
        <v>2303</v>
      </c>
      <c r="D301" s="15" t="s">
        <v>2304</v>
      </c>
      <c r="E301" s="15">
        <v>29</v>
      </c>
      <c r="F301" s="15" t="s">
        <v>2387</v>
      </c>
      <c r="G301" s="15" t="s">
        <v>2388</v>
      </c>
      <c r="H301" s="15" t="s">
        <v>2389</v>
      </c>
      <c r="I301" s="15" t="s">
        <v>49</v>
      </c>
      <c r="J301" s="7" t="str">
        <f>HYPERLINK("https://www.codechef.com/problems/COVID_19", "https://www.codechef.com/problems/COVID_19")</f>
        <v>https://www.codechef.com/problems/COVID_19</v>
      </c>
      <c r="K301" s="15"/>
      <c r="L301" s="15" t="s">
        <v>2390</v>
      </c>
      <c r="M301" s="15"/>
      <c r="N301" s="15" t="s">
        <v>50</v>
      </c>
      <c r="O301" s="15" t="s">
        <v>51</v>
      </c>
    </row>
    <row r="302" spans="1:15">
      <c r="A302" s="14" t="s">
        <v>11</v>
      </c>
      <c r="B302" s="14" t="s">
        <v>2302</v>
      </c>
      <c r="C302" s="14" t="s">
        <v>2303</v>
      </c>
      <c r="D302" s="14" t="s">
        <v>2304</v>
      </c>
      <c r="E302" s="14">
        <v>30</v>
      </c>
      <c r="F302" s="14" t="s">
        <v>2391</v>
      </c>
      <c r="G302" s="14" t="s">
        <v>2392</v>
      </c>
      <c r="H302" s="14" t="s">
        <v>2389</v>
      </c>
      <c r="I302" s="14" t="s">
        <v>49</v>
      </c>
      <c r="J302" s="11" t="str">
        <f>HYPERLINK("https://www.codechef.com/problems/DIGSMPAR", "https://www.codechef.com/problems/DIGSMPAR")</f>
        <v>https://www.codechef.com/problems/DIGSMPAR</v>
      </c>
      <c r="K302" s="14"/>
      <c r="L302" s="14" t="s">
        <v>1762</v>
      </c>
      <c r="M302" s="14"/>
      <c r="N302" s="14" t="s">
        <v>50</v>
      </c>
      <c r="O302" s="14" t="s">
        <v>51</v>
      </c>
    </row>
    <row r="303" spans="1:15">
      <c r="A303" s="15" t="s">
        <v>11</v>
      </c>
      <c r="B303" s="15" t="s">
        <v>2302</v>
      </c>
      <c r="C303" s="15" t="s">
        <v>2303</v>
      </c>
      <c r="D303" s="15" t="s">
        <v>2304</v>
      </c>
      <c r="E303" s="15">
        <v>31</v>
      </c>
      <c r="F303" s="15" t="s">
        <v>2393</v>
      </c>
      <c r="G303" s="15" t="s">
        <v>2394</v>
      </c>
      <c r="H303" s="15" t="s">
        <v>2395</v>
      </c>
      <c r="I303" s="15" t="s">
        <v>49</v>
      </c>
      <c r="J303" s="7" t="str">
        <f>HYPERLINK("https://www.codechef.com/problems/MAGICHF", "https://www.codechef.com/problems/MAGICHF")</f>
        <v>https://www.codechef.com/problems/MAGICHF</v>
      </c>
      <c r="K303" s="15"/>
      <c r="L303" s="15" t="s">
        <v>2331</v>
      </c>
      <c r="M303" s="15"/>
      <c r="N303" s="15" t="s">
        <v>50</v>
      </c>
      <c r="O303" s="15" t="s">
        <v>51</v>
      </c>
    </row>
    <row r="304" spans="1:15">
      <c r="A304" s="14" t="s">
        <v>11</v>
      </c>
      <c r="B304" s="14" t="s">
        <v>2302</v>
      </c>
      <c r="C304" s="14" t="s">
        <v>2303</v>
      </c>
      <c r="D304" s="14" t="s">
        <v>2304</v>
      </c>
      <c r="E304" s="14">
        <v>32</v>
      </c>
      <c r="F304" s="14" t="s">
        <v>2396</v>
      </c>
      <c r="G304" s="14" t="s">
        <v>2397</v>
      </c>
      <c r="H304" s="14" t="s">
        <v>2398</v>
      </c>
      <c r="I304" s="14" t="s">
        <v>49</v>
      </c>
      <c r="J304" s="11" t="str">
        <f>HYPERLINK("https://www.codechef.com/problems/FARAWAY", "https://www.codechef.com/problems/FARAWAY")</f>
        <v>https://www.codechef.com/problems/FARAWAY</v>
      </c>
      <c r="K304" s="14"/>
      <c r="L304" s="14" t="s">
        <v>158</v>
      </c>
      <c r="M304" s="14"/>
      <c r="N304" s="14" t="s">
        <v>50</v>
      </c>
      <c r="O304" s="14" t="s">
        <v>51</v>
      </c>
    </row>
    <row r="305" spans="1:15">
      <c r="A305" s="15" t="s">
        <v>11</v>
      </c>
      <c r="B305" s="15" t="s">
        <v>2302</v>
      </c>
      <c r="C305" s="15" t="s">
        <v>2303</v>
      </c>
      <c r="D305" s="15" t="s">
        <v>2304</v>
      </c>
      <c r="E305" s="15">
        <v>33</v>
      </c>
      <c r="F305" s="15" t="s">
        <v>2194</v>
      </c>
      <c r="G305" s="15" t="s">
        <v>2399</v>
      </c>
      <c r="H305" s="15" t="s">
        <v>2400</v>
      </c>
      <c r="I305" s="15" t="s">
        <v>49</v>
      </c>
      <c r="J305" s="7" t="str">
        <f>HYPERLINK("https://www.codechef.com/problems/GRPASSN", "https://www.codechef.com/problems/GRPASSN")</f>
        <v>https://www.codechef.com/problems/GRPASSN</v>
      </c>
      <c r="K305" s="15"/>
      <c r="L305" s="15" t="s">
        <v>2401</v>
      </c>
      <c r="M305" s="15"/>
      <c r="N305" s="15" t="s">
        <v>50</v>
      </c>
      <c r="O305" s="15" t="s">
        <v>51</v>
      </c>
    </row>
    <row r="306" spans="1:15">
      <c r="A306" s="14" t="s">
        <v>11</v>
      </c>
      <c r="B306" s="14" t="s">
        <v>2302</v>
      </c>
      <c r="C306" s="14" t="s">
        <v>2303</v>
      </c>
      <c r="D306" s="14" t="s">
        <v>2304</v>
      </c>
      <c r="E306" s="14">
        <v>34</v>
      </c>
      <c r="F306" s="14" t="s">
        <v>2402</v>
      </c>
      <c r="G306" s="14" t="s">
        <v>2403</v>
      </c>
      <c r="H306" s="14" t="s">
        <v>2404</v>
      </c>
      <c r="I306" s="14" t="s">
        <v>49</v>
      </c>
      <c r="J306" s="11" t="str">
        <f>HYPERLINK("https://www.codechef.com/problems/JOHNY", "https://www.codechef.com/problems/JOHNY")</f>
        <v>https://www.codechef.com/problems/JOHNY</v>
      </c>
      <c r="K306" s="14"/>
      <c r="L306" s="14" t="s">
        <v>273</v>
      </c>
      <c r="M306" s="14"/>
      <c r="N306" s="14" t="s">
        <v>50</v>
      </c>
      <c r="O306" s="14" t="s">
        <v>51</v>
      </c>
    </row>
    <row r="307" spans="1:15">
      <c r="A307" s="15" t="s">
        <v>11</v>
      </c>
      <c r="B307" s="15" t="s">
        <v>2302</v>
      </c>
      <c r="C307" s="15" t="s">
        <v>2303</v>
      </c>
      <c r="D307" s="15" t="s">
        <v>2304</v>
      </c>
      <c r="E307" s="15">
        <v>35</v>
      </c>
      <c r="F307" s="15" t="s">
        <v>2405</v>
      </c>
      <c r="G307" s="15" t="s">
        <v>2406</v>
      </c>
      <c r="H307" s="15" t="s">
        <v>2407</v>
      </c>
      <c r="I307" s="15" t="s">
        <v>49</v>
      </c>
      <c r="J307" s="7" t="str">
        <f>HYPERLINK("https://www.codechef.com/problems/WATSCORE", "https://www.codechef.com/problems/WATSCORE")</f>
        <v>https://www.codechef.com/problems/WATSCORE</v>
      </c>
      <c r="K307" s="15"/>
      <c r="L307" s="15"/>
      <c r="M307" s="15"/>
      <c r="N307" s="15" t="s">
        <v>50</v>
      </c>
      <c r="O307" s="15" t="s">
        <v>51</v>
      </c>
    </row>
    <row r="308" spans="1:15">
      <c r="A308" s="14" t="s">
        <v>11</v>
      </c>
      <c r="B308" s="14" t="s">
        <v>2302</v>
      </c>
      <c r="C308" s="14" t="s">
        <v>2303</v>
      </c>
      <c r="D308" s="14" t="s">
        <v>2304</v>
      </c>
      <c r="E308" s="14">
        <v>36</v>
      </c>
      <c r="F308" s="14" t="s">
        <v>1482</v>
      </c>
      <c r="G308" s="14" t="s">
        <v>2408</v>
      </c>
      <c r="H308" s="14" t="s">
        <v>2407</v>
      </c>
      <c r="I308" s="14" t="s">
        <v>49</v>
      </c>
      <c r="J308" s="11" t="str">
        <f>HYPERLINK("https://www.codechef.com/problems/CHEFSTR1", "https://www.codechef.com/problems/CHEFSTR1")</f>
        <v>https://www.codechef.com/problems/CHEFSTR1</v>
      </c>
      <c r="K308" s="14"/>
      <c r="L308" s="14" t="s">
        <v>1701</v>
      </c>
      <c r="M308" s="14"/>
      <c r="N308" s="14" t="s">
        <v>50</v>
      </c>
      <c r="O308" s="14" t="s">
        <v>51</v>
      </c>
    </row>
    <row r="309" spans="1:15">
      <c r="A309" s="15" t="s">
        <v>11</v>
      </c>
      <c r="B309" s="15" t="s">
        <v>2302</v>
      </c>
      <c r="C309" s="15" t="s">
        <v>2303</v>
      </c>
      <c r="D309" s="15" t="s">
        <v>2304</v>
      </c>
      <c r="E309" s="15">
        <v>37</v>
      </c>
      <c r="F309" s="15" t="s">
        <v>2409</v>
      </c>
      <c r="G309" s="15" t="s">
        <v>2410</v>
      </c>
      <c r="H309" s="15" t="s">
        <v>2411</v>
      </c>
      <c r="I309" s="15" t="s">
        <v>49</v>
      </c>
      <c r="J309" s="7" t="str">
        <f>HYPERLINK("https://www.codechef.com/problems/QTOO_2523", "https://www.codechef.com/problems/QTOO_2523")</f>
        <v>https://www.codechef.com/problems/QTOO_2523</v>
      </c>
      <c r="K309" s="15"/>
      <c r="L309" s="15"/>
      <c r="M309" s="15"/>
      <c r="N309" s="15" t="s">
        <v>50</v>
      </c>
      <c r="O309" s="15" t="s">
        <v>51</v>
      </c>
    </row>
    <row r="310" spans="1:15">
      <c r="A310" s="14" t="s">
        <v>11</v>
      </c>
      <c r="B310" s="14" t="s">
        <v>2302</v>
      </c>
      <c r="C310" s="14" t="s">
        <v>2303</v>
      </c>
      <c r="D310" s="14" t="s">
        <v>2304</v>
      </c>
      <c r="E310" s="14">
        <v>38</v>
      </c>
      <c r="F310" s="14" t="s">
        <v>2412</v>
      </c>
      <c r="G310" s="14" t="s">
        <v>2413</v>
      </c>
      <c r="H310" s="14" t="s">
        <v>312</v>
      </c>
      <c r="I310" s="14" t="s">
        <v>49</v>
      </c>
      <c r="J310" s="11" t="str">
        <f>HYPERLINK("https://www.codechef.com/problems/REMOVEBAD", "https://www.codechef.com/problems/REMOVEBAD")</f>
        <v>https://www.codechef.com/problems/REMOVEBAD</v>
      </c>
      <c r="K310" s="14"/>
      <c r="L310" s="14"/>
      <c r="M310" s="14"/>
      <c r="N310" s="14" t="s">
        <v>50</v>
      </c>
      <c r="O310" s="14" t="s">
        <v>51</v>
      </c>
    </row>
    <row r="311" spans="1:15">
      <c r="A311" s="15" t="s">
        <v>11</v>
      </c>
      <c r="B311" s="15" t="s">
        <v>2302</v>
      </c>
      <c r="C311" s="15" t="s">
        <v>2303</v>
      </c>
      <c r="D311" s="15" t="s">
        <v>2304</v>
      </c>
      <c r="E311" s="15">
        <v>39</v>
      </c>
      <c r="F311" s="15" t="s">
        <v>2414</v>
      </c>
      <c r="G311" s="15" t="s">
        <v>2415</v>
      </c>
      <c r="H311" s="15" t="s">
        <v>2416</v>
      </c>
      <c r="I311" s="15" t="s">
        <v>49</v>
      </c>
      <c r="J311" s="7" t="str">
        <f>HYPERLINK("https://www.codechef.com/problems/MAKEMONEY", "https://www.codechef.com/problems/MAKEMONEY")</f>
        <v>https://www.codechef.com/problems/MAKEMONEY</v>
      </c>
      <c r="K311" s="15"/>
      <c r="L311" s="15"/>
      <c r="M311" s="15"/>
      <c r="N311" s="15" t="s">
        <v>50</v>
      </c>
      <c r="O311" s="15" t="s">
        <v>51</v>
      </c>
    </row>
    <row r="312" spans="1:15">
      <c r="A312" s="14" t="s">
        <v>11</v>
      </c>
      <c r="B312" s="14" t="s">
        <v>2302</v>
      </c>
      <c r="C312" s="14" t="s">
        <v>2303</v>
      </c>
      <c r="D312" s="14" t="s">
        <v>2304</v>
      </c>
      <c r="E312" s="14">
        <v>40</v>
      </c>
      <c r="F312" s="14" t="s">
        <v>2417</v>
      </c>
      <c r="G312" s="14" t="s">
        <v>2418</v>
      </c>
      <c r="H312" s="14" t="s">
        <v>2419</v>
      </c>
      <c r="I312" s="14" t="s">
        <v>49</v>
      </c>
      <c r="J312" s="11" t="str">
        <f>HYPERLINK("https://www.codechef.com/problems/MSNSADM1", "https://www.codechef.com/problems/MSNSADM1")</f>
        <v>https://www.codechef.com/problems/MSNSADM1</v>
      </c>
      <c r="K312" s="14"/>
      <c r="L312" s="14"/>
      <c r="M312" s="14"/>
      <c r="N312" s="14" t="s">
        <v>50</v>
      </c>
      <c r="O312" s="14" t="s">
        <v>51</v>
      </c>
    </row>
    <row r="313" spans="1:15">
      <c r="A313" s="15" t="s">
        <v>11</v>
      </c>
      <c r="B313" s="15" t="s">
        <v>2302</v>
      </c>
      <c r="C313" s="15" t="s">
        <v>2303</v>
      </c>
      <c r="D313" s="15" t="s">
        <v>2304</v>
      </c>
      <c r="E313" s="15">
        <v>41</v>
      </c>
      <c r="F313" s="15" t="s">
        <v>2420</v>
      </c>
      <c r="G313" s="15" t="s">
        <v>2421</v>
      </c>
      <c r="H313" s="15" t="s">
        <v>2419</v>
      </c>
      <c r="I313" s="15" t="s">
        <v>49</v>
      </c>
      <c r="J313" s="7" t="str">
        <f>HYPERLINK("https://www.codechef.com/problems/ABSTRING", "https://www.codechef.com/problems/ABSTRING")</f>
        <v>https://www.codechef.com/problems/ABSTRING</v>
      </c>
      <c r="K313" s="15"/>
      <c r="L313" s="15" t="s">
        <v>2422</v>
      </c>
      <c r="M313" s="15"/>
      <c r="N313" s="15" t="s">
        <v>50</v>
      </c>
      <c r="O313" s="15" t="s">
        <v>51</v>
      </c>
    </row>
    <row r="314" spans="1:15">
      <c r="A314" s="14" t="s">
        <v>11</v>
      </c>
      <c r="B314" s="14" t="s">
        <v>2302</v>
      </c>
      <c r="C314" s="14" t="s">
        <v>2303</v>
      </c>
      <c r="D314" s="14" t="s">
        <v>2304</v>
      </c>
      <c r="E314" s="14">
        <v>42</v>
      </c>
      <c r="F314" s="14" t="s">
        <v>2423</v>
      </c>
      <c r="G314" s="14" t="s">
        <v>2424</v>
      </c>
      <c r="H314" s="14" t="s">
        <v>2425</v>
      </c>
      <c r="I314" s="14" t="s">
        <v>49</v>
      </c>
      <c r="J314" s="11" t="str">
        <f>HYPERLINK("https://www.codechef.com/problems/CHEGLOVE", "https://www.codechef.com/problems/CHEGLOVE")</f>
        <v>https://www.codechef.com/problems/CHEGLOVE</v>
      </c>
      <c r="K314" s="14"/>
      <c r="L314" s="14" t="s">
        <v>1701</v>
      </c>
      <c r="M314" s="14"/>
      <c r="N314" s="14" t="s">
        <v>50</v>
      </c>
      <c r="O314" s="14" t="s">
        <v>51</v>
      </c>
    </row>
    <row r="315" spans="1:15">
      <c r="A315" s="15" t="s">
        <v>11</v>
      </c>
      <c r="B315" s="15" t="s">
        <v>2302</v>
      </c>
      <c r="C315" s="15" t="s">
        <v>2303</v>
      </c>
      <c r="D315" s="15" t="s">
        <v>2304</v>
      </c>
      <c r="E315" s="15">
        <v>43</v>
      </c>
      <c r="F315" s="15" t="s">
        <v>2426</v>
      </c>
      <c r="G315" s="15" t="s">
        <v>2427</v>
      </c>
      <c r="H315" s="15" t="s">
        <v>2425</v>
      </c>
      <c r="I315" s="15" t="s">
        <v>49</v>
      </c>
      <c r="J315" s="7" t="str">
        <f>HYPERLINK("https://www.codechef.com/problems/LAPTOPREC", "https://www.codechef.com/problems/LAPTOPREC")</f>
        <v>https://www.codechef.com/problems/LAPTOPREC</v>
      </c>
      <c r="K315" s="15"/>
      <c r="L315" s="15" t="s">
        <v>1597</v>
      </c>
      <c r="M315" s="15"/>
      <c r="N315" s="15" t="s">
        <v>50</v>
      </c>
      <c r="O315" s="15" t="s">
        <v>51</v>
      </c>
    </row>
    <row r="316" spans="1:15">
      <c r="A316" s="14" t="s">
        <v>11</v>
      </c>
      <c r="B316" s="14" t="s">
        <v>2302</v>
      </c>
      <c r="C316" s="14" t="s">
        <v>2303</v>
      </c>
      <c r="D316" s="14" t="s">
        <v>2304</v>
      </c>
      <c r="E316" s="14">
        <v>44</v>
      </c>
      <c r="F316" s="14" t="s">
        <v>2428</v>
      </c>
      <c r="G316" s="14" t="s">
        <v>2429</v>
      </c>
      <c r="H316" s="14" t="s">
        <v>2430</v>
      </c>
      <c r="I316" s="14" t="s">
        <v>49</v>
      </c>
      <c r="J316" s="11" t="str">
        <f>HYPERLINK("https://www.codechef.com/problems/PLAYSTR", "https://www.codechef.com/problems/PLAYSTR")</f>
        <v>https://www.codechef.com/problems/PLAYSTR</v>
      </c>
      <c r="K316" s="14"/>
      <c r="L316" s="14" t="s">
        <v>1012</v>
      </c>
      <c r="M316" s="14"/>
      <c r="N316" s="14" t="s">
        <v>50</v>
      </c>
      <c r="O316" s="14" t="s">
        <v>51</v>
      </c>
    </row>
    <row r="317" spans="1:15">
      <c r="A317" s="15" t="s">
        <v>11</v>
      </c>
      <c r="B317" s="15" t="s">
        <v>2302</v>
      </c>
      <c r="C317" s="15" t="s">
        <v>2303</v>
      </c>
      <c r="D317" s="15" t="s">
        <v>2304</v>
      </c>
      <c r="E317" s="15">
        <v>45</v>
      </c>
      <c r="F317" s="15" t="s">
        <v>2431</v>
      </c>
      <c r="G317" s="15" t="s">
        <v>2432</v>
      </c>
      <c r="H317" s="15" t="s">
        <v>2433</v>
      </c>
      <c r="I317" s="15" t="s">
        <v>49</v>
      </c>
      <c r="J317" s="7" t="str">
        <f>HYPERLINK("https://www.codechef.com/problems/EUREKA", "https://www.codechef.com/problems/EUREKA")</f>
        <v>https://www.codechef.com/problems/EUREKA</v>
      </c>
      <c r="K317" s="15"/>
      <c r="L317" s="15"/>
      <c r="M317" s="15"/>
      <c r="N317" s="15" t="s">
        <v>50</v>
      </c>
      <c r="O317" s="15" t="s">
        <v>51</v>
      </c>
    </row>
    <row r="318" spans="1:15">
      <c r="A318" s="14" t="s">
        <v>11</v>
      </c>
      <c r="B318" s="14" t="s">
        <v>2302</v>
      </c>
      <c r="C318" s="14" t="s">
        <v>2303</v>
      </c>
      <c r="D318" s="14" t="s">
        <v>2304</v>
      </c>
      <c r="E318" s="14">
        <v>46</v>
      </c>
      <c r="F318" s="14" t="s">
        <v>2434</v>
      </c>
      <c r="G318" s="14" t="s">
        <v>2435</v>
      </c>
      <c r="H318" s="14" t="s">
        <v>2436</v>
      </c>
      <c r="I318" s="14" t="s">
        <v>49</v>
      </c>
      <c r="J318" s="11" t="str">
        <f>HYPERLINK("https://www.codechef.com/problems/CHEFSTEP", "https://www.codechef.com/problems/CHEFSTEP")</f>
        <v>https://www.codechef.com/problems/CHEFSTEP</v>
      </c>
      <c r="K318" s="14"/>
      <c r="L318" s="14" t="s">
        <v>194</v>
      </c>
      <c r="M318" s="14"/>
      <c r="N318" s="14" t="s">
        <v>50</v>
      </c>
      <c r="O318" s="14" t="s">
        <v>51</v>
      </c>
    </row>
    <row r="319" spans="1:15">
      <c r="A319" s="15" t="s">
        <v>11</v>
      </c>
      <c r="B319" s="15" t="s">
        <v>2302</v>
      </c>
      <c r="C319" s="15" t="s">
        <v>2303</v>
      </c>
      <c r="D319" s="15" t="s">
        <v>2304</v>
      </c>
      <c r="E319" s="15">
        <v>47</v>
      </c>
      <c r="F319" s="15" t="s">
        <v>2437</v>
      </c>
      <c r="G319" s="15" t="s">
        <v>2438</v>
      </c>
      <c r="H319" s="15" t="s">
        <v>2439</v>
      </c>
      <c r="I319" s="15" t="s">
        <v>49</v>
      </c>
      <c r="J319" s="7" t="str">
        <f>HYPERLINK("https://www.codechef.com/problems/SRTARR", "https://www.codechef.com/problems/SRTARR")</f>
        <v>https://www.codechef.com/problems/SRTARR</v>
      </c>
      <c r="K319" s="15"/>
      <c r="L319" s="15"/>
      <c r="M319" s="15"/>
      <c r="N319" s="15" t="s">
        <v>50</v>
      </c>
      <c r="O319" s="15" t="s">
        <v>51</v>
      </c>
    </row>
    <row r="320" spans="1:15">
      <c r="A320" s="14" t="s">
        <v>11</v>
      </c>
      <c r="B320" s="14" t="s">
        <v>2302</v>
      </c>
      <c r="C320" s="14" t="s">
        <v>2303</v>
      </c>
      <c r="D320" s="14" t="s">
        <v>2304</v>
      </c>
      <c r="E320" s="14">
        <v>48</v>
      </c>
      <c r="F320" s="14" t="s">
        <v>2440</v>
      </c>
      <c r="G320" s="14" t="s">
        <v>2441</v>
      </c>
      <c r="H320" s="14" t="s">
        <v>2442</v>
      </c>
      <c r="I320" s="14" t="s">
        <v>49</v>
      </c>
      <c r="J320" s="11" t="str">
        <f>HYPERLINK("https://www.codechef.com/problems/VOTERS", "https://www.codechef.com/problems/VOTERS")</f>
        <v>https://www.codechef.com/problems/VOTERS</v>
      </c>
      <c r="K320" s="14"/>
      <c r="L320" s="14"/>
      <c r="M320" s="14"/>
      <c r="N320" s="14" t="s">
        <v>50</v>
      </c>
      <c r="O320" s="14" t="s">
        <v>51</v>
      </c>
    </row>
    <row r="321" spans="1:15">
      <c r="A321" s="15" t="s">
        <v>11</v>
      </c>
      <c r="B321" s="15" t="s">
        <v>2302</v>
      </c>
      <c r="C321" s="15" t="s">
        <v>2303</v>
      </c>
      <c r="D321" s="15" t="s">
        <v>2304</v>
      </c>
      <c r="E321" s="15">
        <v>49</v>
      </c>
      <c r="F321" s="15" t="s">
        <v>2443</v>
      </c>
      <c r="G321" s="15" t="s">
        <v>2444</v>
      </c>
      <c r="H321" s="15" t="s">
        <v>2445</v>
      </c>
      <c r="I321" s="15" t="s">
        <v>49</v>
      </c>
      <c r="J321" s="7" t="str">
        <f>HYPERLINK("https://www.codechef.com/problems/ALTSTR", "https://www.codechef.com/problems/ALTSTR")</f>
        <v>https://www.codechef.com/problems/ALTSTR</v>
      </c>
      <c r="K321" s="15"/>
      <c r="L321" s="15" t="s">
        <v>105</v>
      </c>
      <c r="M321" s="15"/>
      <c r="N321" s="15" t="s">
        <v>50</v>
      </c>
      <c r="O321" s="15" t="s">
        <v>51</v>
      </c>
    </row>
    <row r="322" spans="1:15">
      <c r="A322" s="14" t="s">
        <v>11</v>
      </c>
      <c r="B322" s="14" t="s">
        <v>2302</v>
      </c>
      <c r="C322" s="14" t="s">
        <v>2303</v>
      </c>
      <c r="D322" s="14" t="s">
        <v>2304</v>
      </c>
      <c r="E322" s="14">
        <v>50</v>
      </c>
      <c r="F322" s="14" t="s">
        <v>2446</v>
      </c>
      <c r="G322" s="14" t="s">
        <v>2447</v>
      </c>
      <c r="H322" s="14" t="s">
        <v>2448</v>
      </c>
      <c r="I322" s="14" t="s">
        <v>49</v>
      </c>
      <c r="J322" s="11" t="str">
        <f>HYPERLINK("https://www.codechef.com/problems/TALAZY", "https://www.codechef.com/problems/TALAZY")</f>
        <v>https://www.codechef.com/problems/TALAZY</v>
      </c>
      <c r="K322" s="14"/>
      <c r="L322" s="14"/>
      <c r="M322" s="14"/>
      <c r="N322" s="14" t="s">
        <v>50</v>
      </c>
      <c r="O322" s="14" t="s">
        <v>51</v>
      </c>
    </row>
    <row r="323" spans="1:15">
      <c r="A323" s="15" t="s">
        <v>11</v>
      </c>
      <c r="B323" s="15" t="s">
        <v>2302</v>
      </c>
      <c r="C323" s="15" t="s">
        <v>2303</v>
      </c>
      <c r="D323" s="15" t="s">
        <v>2304</v>
      </c>
      <c r="E323" s="15">
        <v>51</v>
      </c>
      <c r="F323" s="15" t="s">
        <v>2449</v>
      </c>
      <c r="G323" s="15" t="s">
        <v>2450</v>
      </c>
      <c r="H323" s="15" t="s">
        <v>2451</v>
      </c>
      <c r="I323" s="15" t="s">
        <v>49</v>
      </c>
      <c r="J323" s="7" t="str">
        <f>HYPERLINK("https://www.codechef.com/problems/POOK", "https://www.codechef.com/problems/POOK")</f>
        <v>https://www.codechef.com/problems/POOK</v>
      </c>
      <c r="K323" s="15"/>
      <c r="L323" s="15" t="s">
        <v>2452</v>
      </c>
      <c r="M323" s="15"/>
      <c r="N323" s="15" t="s">
        <v>50</v>
      </c>
      <c r="O323" s="15" t="s">
        <v>51</v>
      </c>
    </row>
    <row r="324" spans="1:15">
      <c r="A324" s="14" t="s">
        <v>11</v>
      </c>
      <c r="B324" s="14" t="s">
        <v>2302</v>
      </c>
      <c r="C324" s="14" t="s">
        <v>2303</v>
      </c>
      <c r="D324" s="14" t="s">
        <v>2304</v>
      </c>
      <c r="E324" s="14">
        <v>52</v>
      </c>
      <c r="F324" s="14" t="s">
        <v>2453</v>
      </c>
      <c r="G324" s="14" t="s">
        <v>2454</v>
      </c>
      <c r="H324" s="14" t="s">
        <v>2455</v>
      </c>
      <c r="I324" s="14" t="s">
        <v>49</v>
      </c>
      <c r="J324" s="11" t="str">
        <f>HYPERLINK("https://www.codechef.com/problems/CHEFCBA", "https://www.codechef.com/problems/CHEFCBA")</f>
        <v>https://www.codechef.com/problems/CHEFCBA</v>
      </c>
      <c r="K324" s="14"/>
      <c r="L324" s="14" t="s">
        <v>2181</v>
      </c>
      <c r="M324" s="14"/>
      <c r="N324" s="14" t="s">
        <v>50</v>
      </c>
      <c r="O324" s="14" t="s">
        <v>51</v>
      </c>
    </row>
    <row r="325" spans="1:15">
      <c r="A325" s="15" t="s">
        <v>11</v>
      </c>
      <c r="B325" s="15" t="s">
        <v>2302</v>
      </c>
      <c r="C325" s="15" t="s">
        <v>2303</v>
      </c>
      <c r="D325" s="15" t="s">
        <v>2304</v>
      </c>
      <c r="E325" s="15">
        <v>53</v>
      </c>
      <c r="F325" s="15" t="s">
        <v>2456</v>
      </c>
      <c r="G325" s="15" t="s">
        <v>2457</v>
      </c>
      <c r="H325" s="15" t="s">
        <v>63</v>
      </c>
      <c r="I325" s="15" t="s">
        <v>49</v>
      </c>
      <c r="J325" s="7" t="str">
        <f>HYPERLINK("https://www.codechef.com/problems/STICKBREAK", "https://www.codechef.com/problems/STICKBREAK")</f>
        <v>https://www.codechef.com/problems/STICKBREAK</v>
      </c>
      <c r="K325" s="15"/>
      <c r="L325" s="15"/>
      <c r="M325" s="15"/>
      <c r="N325" s="15" t="s">
        <v>50</v>
      </c>
      <c r="O325" s="15" t="s">
        <v>51</v>
      </c>
    </row>
    <row r="326" spans="1:15">
      <c r="A326" s="14" t="s">
        <v>11</v>
      </c>
      <c r="B326" s="14" t="s">
        <v>2302</v>
      </c>
      <c r="C326" s="14" t="s">
        <v>2303</v>
      </c>
      <c r="D326" s="14" t="s">
        <v>2304</v>
      </c>
      <c r="E326" s="14">
        <v>54</v>
      </c>
      <c r="F326" s="14" t="s">
        <v>2458</v>
      </c>
      <c r="G326" s="14" t="s">
        <v>2459</v>
      </c>
      <c r="H326" s="14" t="s">
        <v>2460</v>
      </c>
      <c r="I326" s="14" t="s">
        <v>49</v>
      </c>
      <c r="J326" s="11" t="str">
        <f>HYPERLINK("https://www.codechef.com/problems/KOL15A", "https://www.codechef.com/problems/KOL15A")</f>
        <v>https://www.codechef.com/problems/KOL15A</v>
      </c>
      <c r="K326" s="14"/>
      <c r="L326" s="14" t="s">
        <v>2461</v>
      </c>
      <c r="M326" s="14"/>
      <c r="N326" s="14" t="s">
        <v>50</v>
      </c>
      <c r="O326" s="14" t="s">
        <v>51</v>
      </c>
    </row>
    <row r="327" spans="1:15">
      <c r="A327" s="15" t="s">
        <v>11</v>
      </c>
      <c r="B327" s="15" t="s">
        <v>2302</v>
      </c>
      <c r="C327" s="15" t="s">
        <v>2303</v>
      </c>
      <c r="D327" s="15" t="s">
        <v>2304</v>
      </c>
      <c r="E327" s="15">
        <v>55</v>
      </c>
      <c r="F327" s="15" t="s">
        <v>2462</v>
      </c>
      <c r="G327" s="15" t="s">
        <v>2463</v>
      </c>
      <c r="H327" s="15" t="s">
        <v>2460</v>
      </c>
      <c r="I327" s="15" t="s">
        <v>49</v>
      </c>
      <c r="J327" s="7" t="str">
        <f>HYPERLINK("https://www.codechef.com/problems/CRDGAME", "https://www.codechef.com/problems/CRDGAME")</f>
        <v>https://www.codechef.com/problems/CRDGAME</v>
      </c>
      <c r="K327" s="15"/>
      <c r="L327" s="15" t="s">
        <v>1701</v>
      </c>
      <c r="M327" s="15"/>
      <c r="N327" s="15" t="s">
        <v>50</v>
      </c>
      <c r="O327" s="15" t="s">
        <v>51</v>
      </c>
    </row>
    <row r="328" spans="1:15">
      <c r="A328" s="14" t="s">
        <v>11</v>
      </c>
      <c r="B328" s="14" t="s">
        <v>2302</v>
      </c>
      <c r="C328" s="14" t="s">
        <v>2303</v>
      </c>
      <c r="D328" s="14" t="s">
        <v>2304</v>
      </c>
      <c r="E328" s="14">
        <v>56</v>
      </c>
      <c r="F328" s="14" t="s">
        <v>2464</v>
      </c>
      <c r="G328" s="14" t="s">
        <v>2465</v>
      </c>
      <c r="H328" s="14" t="s">
        <v>2466</v>
      </c>
      <c r="I328" s="14" t="s">
        <v>49</v>
      </c>
      <c r="J328" s="11" t="str">
        <f>HYPERLINK("https://www.codechef.com/problems/PETSTORE", "https://www.codechef.com/problems/PETSTORE")</f>
        <v>https://www.codechef.com/problems/PETSTORE</v>
      </c>
      <c r="K328" s="14"/>
      <c r="L328" s="14" t="s">
        <v>2467</v>
      </c>
      <c r="M328" s="14"/>
      <c r="N328" s="14" t="s">
        <v>50</v>
      </c>
      <c r="O328" s="14" t="s">
        <v>51</v>
      </c>
    </row>
    <row r="329" spans="1:15">
      <c r="A329" s="15" t="s">
        <v>11</v>
      </c>
      <c r="B329" s="15" t="s">
        <v>2302</v>
      </c>
      <c r="C329" s="15" t="s">
        <v>2303</v>
      </c>
      <c r="D329" s="15" t="s">
        <v>2304</v>
      </c>
      <c r="E329" s="15">
        <v>57</v>
      </c>
      <c r="F329" s="15" t="s">
        <v>2468</v>
      </c>
      <c r="G329" s="15" t="s">
        <v>2469</v>
      </c>
      <c r="H329" s="15" t="s">
        <v>2470</v>
      </c>
      <c r="I329" s="15" t="s">
        <v>49</v>
      </c>
      <c r="J329" s="7" t="str">
        <f>HYPERLINK("https://www.codechef.com/problems/MATPAN", "https://www.codechef.com/problems/MATPAN")</f>
        <v>https://www.codechef.com/problems/MATPAN</v>
      </c>
      <c r="K329" s="15"/>
      <c r="L329" s="15" t="s">
        <v>2471</v>
      </c>
      <c r="M329" s="15"/>
      <c r="N329" s="15" t="s">
        <v>50</v>
      </c>
      <c r="O329" s="15" t="s">
        <v>51</v>
      </c>
    </row>
    <row r="330" spans="1:15">
      <c r="A330" s="14" t="s">
        <v>11</v>
      </c>
      <c r="B330" s="14" t="s">
        <v>2302</v>
      </c>
      <c r="C330" s="14" t="s">
        <v>2303</v>
      </c>
      <c r="D330" s="14" t="s">
        <v>2304</v>
      </c>
      <c r="E330" s="14">
        <v>58</v>
      </c>
      <c r="F330" s="14" t="s">
        <v>2472</v>
      </c>
      <c r="G330" s="14" t="s">
        <v>2473</v>
      </c>
      <c r="H330" s="14" t="s">
        <v>2474</v>
      </c>
      <c r="I330" s="14" t="s">
        <v>49</v>
      </c>
      <c r="J330" s="11" t="str">
        <f>HYPERLINK("https://www.codechef.com/problems/VALIDMIN", "https://www.codechef.com/problems/VALIDMIN")</f>
        <v>https://www.codechef.com/problems/VALIDMIN</v>
      </c>
      <c r="K330" s="14"/>
      <c r="L330" s="14"/>
      <c r="M330" s="14"/>
      <c r="N330" s="14" t="s">
        <v>50</v>
      </c>
      <c r="O330" s="14" t="s">
        <v>51</v>
      </c>
    </row>
    <row r="331" spans="1:15">
      <c r="A331" s="15" t="s">
        <v>11</v>
      </c>
      <c r="B331" s="15" t="s">
        <v>2302</v>
      </c>
      <c r="C331" s="15" t="s">
        <v>2303</v>
      </c>
      <c r="D331" s="15" t="s">
        <v>2304</v>
      </c>
      <c r="E331" s="15">
        <v>59</v>
      </c>
      <c r="F331" s="15" t="s">
        <v>2475</v>
      </c>
      <c r="G331" s="15" t="s">
        <v>2476</v>
      </c>
      <c r="H331" s="15" t="s">
        <v>2477</v>
      </c>
      <c r="I331" s="15" t="s">
        <v>49</v>
      </c>
      <c r="J331" s="7" t="str">
        <f>HYPERLINK("https://www.codechef.com/problems/RPD", "https://www.codechef.com/problems/RPD")</f>
        <v>https://www.codechef.com/problems/RPD</v>
      </c>
      <c r="K331" s="15"/>
      <c r="L331" s="15"/>
      <c r="M331" s="15"/>
      <c r="N331" s="15" t="s">
        <v>50</v>
      </c>
      <c r="O331" s="15" t="s">
        <v>51</v>
      </c>
    </row>
    <row r="332" spans="1:15">
      <c r="A332" s="14" t="s">
        <v>11</v>
      </c>
      <c r="B332" s="14" t="s">
        <v>2302</v>
      </c>
      <c r="C332" s="14" t="s">
        <v>2303</v>
      </c>
      <c r="D332" s="14" t="s">
        <v>2304</v>
      </c>
      <c r="E332" s="14">
        <v>60</v>
      </c>
      <c r="F332" s="14" t="s">
        <v>2478</v>
      </c>
      <c r="G332" s="14" t="s">
        <v>2479</v>
      </c>
      <c r="H332" s="14" t="s">
        <v>2477</v>
      </c>
      <c r="I332" s="14" t="s">
        <v>49</v>
      </c>
      <c r="J332" s="11" t="str">
        <f>HYPERLINK("https://www.codechef.com/problems/DATATYPE", "https://www.codechef.com/problems/DATATYPE")</f>
        <v>https://www.codechef.com/problems/DATATYPE</v>
      </c>
      <c r="K332" s="14"/>
      <c r="L332" s="14" t="s">
        <v>2401</v>
      </c>
      <c r="M332" s="14"/>
      <c r="N332" s="14" t="s">
        <v>50</v>
      </c>
      <c r="O332" s="14" t="s">
        <v>51</v>
      </c>
    </row>
    <row r="333" spans="1:15">
      <c r="A333" s="15" t="s">
        <v>11</v>
      </c>
      <c r="B333" s="15" t="s">
        <v>2302</v>
      </c>
      <c r="C333" s="15" t="s">
        <v>2303</v>
      </c>
      <c r="D333" s="15" t="s">
        <v>2304</v>
      </c>
      <c r="E333" s="15">
        <v>61</v>
      </c>
      <c r="F333" s="15" t="s">
        <v>2480</v>
      </c>
      <c r="G333" s="15" t="s">
        <v>2481</v>
      </c>
      <c r="H333" s="15" t="s">
        <v>2482</v>
      </c>
      <c r="I333" s="15" t="s">
        <v>49</v>
      </c>
      <c r="J333" s="7" t="str">
        <f>HYPERLINK("https://www.codechef.com/problems/CONFLIP", "https://www.codechef.com/problems/CONFLIP")</f>
        <v>https://www.codechef.com/problems/CONFLIP</v>
      </c>
      <c r="K333" s="15"/>
      <c r="L333" s="15" t="s">
        <v>2483</v>
      </c>
      <c r="M333" s="15"/>
      <c r="N333" s="15" t="s">
        <v>50</v>
      </c>
      <c r="O333" s="15" t="s">
        <v>51</v>
      </c>
    </row>
    <row r="334" spans="1:15">
      <c r="A334" s="14" t="s">
        <v>11</v>
      </c>
      <c r="B334" s="14" t="s">
        <v>2302</v>
      </c>
      <c r="C334" s="14" t="s">
        <v>2303</v>
      </c>
      <c r="D334" s="14" t="s">
        <v>2304</v>
      </c>
      <c r="E334" s="14">
        <v>62</v>
      </c>
      <c r="F334" s="14" t="s">
        <v>2484</v>
      </c>
      <c r="G334" s="14" t="s">
        <v>2485</v>
      </c>
      <c r="H334" s="14" t="s">
        <v>2486</v>
      </c>
      <c r="I334" s="14" t="s">
        <v>49</v>
      </c>
      <c r="J334" s="11" t="str">
        <f>HYPERLINK("https://www.codechef.com/problems/CIELAB", "https://www.codechef.com/problems/CIELAB")</f>
        <v>https://www.codechef.com/problems/CIELAB</v>
      </c>
      <c r="K334" s="14"/>
      <c r="L334" s="14" t="s">
        <v>1762</v>
      </c>
      <c r="M334" s="14"/>
      <c r="N334" s="14" t="s">
        <v>50</v>
      </c>
      <c r="O334" s="14" t="s">
        <v>51</v>
      </c>
    </row>
    <row r="335" spans="1:15">
      <c r="A335" s="15" t="s">
        <v>11</v>
      </c>
      <c r="B335" s="15" t="s">
        <v>2302</v>
      </c>
      <c r="C335" s="15" t="s">
        <v>2303</v>
      </c>
      <c r="D335" s="15" t="s">
        <v>2304</v>
      </c>
      <c r="E335" s="15">
        <v>63</v>
      </c>
      <c r="F335" s="15" t="s">
        <v>2487</v>
      </c>
      <c r="G335" s="15" t="s">
        <v>2488</v>
      </c>
      <c r="H335" s="15" t="s">
        <v>2489</v>
      </c>
      <c r="I335" s="15" t="s">
        <v>49</v>
      </c>
      <c r="J335" s="7" t="str">
        <f>HYPERLINK("https://www.codechef.com/problems/AVGOF3", "https://www.codechef.com/problems/AVGOF3")</f>
        <v>https://www.codechef.com/problems/AVGOF3</v>
      </c>
      <c r="K335" s="15"/>
      <c r="L335" s="15" t="s">
        <v>2490</v>
      </c>
      <c r="M335" s="15"/>
      <c r="N335" s="15" t="s">
        <v>50</v>
      </c>
      <c r="O335" s="15" t="s">
        <v>51</v>
      </c>
    </row>
    <row r="336" spans="1:15">
      <c r="A336" s="14" t="s">
        <v>11</v>
      </c>
      <c r="B336" s="14" t="s">
        <v>2302</v>
      </c>
      <c r="C336" s="14" t="s">
        <v>2303</v>
      </c>
      <c r="D336" s="14" t="s">
        <v>2304</v>
      </c>
      <c r="E336" s="14">
        <v>64</v>
      </c>
      <c r="F336" s="14" t="s">
        <v>2491</v>
      </c>
      <c r="G336" s="14" t="s">
        <v>2492</v>
      </c>
      <c r="H336" s="14" t="s">
        <v>1379</v>
      </c>
      <c r="I336" s="14" t="s">
        <v>49</v>
      </c>
      <c r="J336" s="11" t="str">
        <f>HYPERLINK("https://www.codechef.com/problems/MAX_BIN", "https://www.codechef.com/problems/MAX_BIN")</f>
        <v>https://www.codechef.com/problems/MAX_BIN</v>
      </c>
      <c r="K336" s="14"/>
      <c r="L336" s="14" t="s">
        <v>2493</v>
      </c>
      <c r="M336" s="14"/>
      <c r="N336" s="14" t="s">
        <v>50</v>
      </c>
      <c r="O336" s="14" t="s">
        <v>51</v>
      </c>
    </row>
    <row r="337" spans="1:15">
      <c r="A337" s="15" t="s">
        <v>11</v>
      </c>
      <c r="B337" s="15" t="s">
        <v>2302</v>
      </c>
      <c r="C337" s="15" t="s">
        <v>2303</v>
      </c>
      <c r="D337" s="15" t="s">
        <v>2304</v>
      </c>
      <c r="E337" s="15">
        <v>65</v>
      </c>
      <c r="F337" s="15" t="s">
        <v>2494</v>
      </c>
      <c r="G337" s="15" t="s">
        <v>2495</v>
      </c>
      <c r="H337" s="15" t="s">
        <v>2496</v>
      </c>
      <c r="I337" s="15" t="s">
        <v>49</v>
      </c>
      <c r="J337" s="7" t="str">
        <f>HYPERLINK("https://www.codechef.com/problems/KNIGHT2", "https://www.codechef.com/problems/KNIGHT2")</f>
        <v>https://www.codechef.com/problems/KNIGHT2</v>
      </c>
      <c r="K337" s="15"/>
      <c r="L337" s="15" t="s">
        <v>125</v>
      </c>
      <c r="M337" s="15"/>
      <c r="N337" s="15" t="s">
        <v>50</v>
      </c>
      <c r="O337" s="15" t="s">
        <v>51</v>
      </c>
    </row>
    <row r="338" spans="1:15">
      <c r="A338" s="14" t="s">
        <v>11</v>
      </c>
      <c r="B338" s="14" t="s">
        <v>2302</v>
      </c>
      <c r="C338" s="14" t="s">
        <v>2303</v>
      </c>
      <c r="D338" s="14" t="s">
        <v>2304</v>
      </c>
      <c r="E338" s="14">
        <v>66</v>
      </c>
      <c r="F338" s="14" t="s">
        <v>2497</v>
      </c>
      <c r="G338" s="14" t="s">
        <v>2498</v>
      </c>
      <c r="H338" s="14" t="s">
        <v>136</v>
      </c>
      <c r="I338" s="14" t="s">
        <v>49</v>
      </c>
      <c r="J338" s="11" t="str">
        <f>HYPERLINK("https://www.codechef.com/problems/RECTANGL", "https://www.codechef.com/problems/RECTANGL")</f>
        <v>https://www.codechef.com/problems/RECTANGL</v>
      </c>
      <c r="K338" s="14"/>
      <c r="L338" s="14"/>
      <c r="M338" s="14"/>
      <c r="N338" s="14" t="s">
        <v>50</v>
      </c>
      <c r="O338" s="14" t="s">
        <v>51</v>
      </c>
    </row>
    <row r="339" spans="1:15">
      <c r="A339" s="15" t="s">
        <v>11</v>
      </c>
      <c r="B339" s="15" t="s">
        <v>2302</v>
      </c>
      <c r="C339" s="15" t="s">
        <v>2303</v>
      </c>
      <c r="D339" s="15" t="s">
        <v>2304</v>
      </c>
      <c r="E339" s="15">
        <v>67</v>
      </c>
      <c r="F339" s="15" t="s">
        <v>2499</v>
      </c>
      <c r="G339" s="15" t="s">
        <v>2500</v>
      </c>
      <c r="H339" s="15" t="s">
        <v>2501</v>
      </c>
      <c r="I339" s="15" t="s">
        <v>49</v>
      </c>
      <c r="J339" s="7" t="str">
        <f>HYPERLINK("https://www.codechef.com/problems/DWNLD", "https://www.codechef.com/problems/DWNLD")</f>
        <v>https://www.codechef.com/problems/DWNLD</v>
      </c>
      <c r="K339" s="15"/>
      <c r="L339" s="15" t="s">
        <v>209</v>
      </c>
      <c r="M339" s="15"/>
      <c r="N339" s="15" t="s">
        <v>50</v>
      </c>
      <c r="O339" s="15" t="s">
        <v>51</v>
      </c>
    </row>
    <row r="340" spans="1:15">
      <c r="A340" s="14" t="s">
        <v>11</v>
      </c>
      <c r="B340" s="14" t="s">
        <v>2302</v>
      </c>
      <c r="C340" s="14" t="s">
        <v>2303</v>
      </c>
      <c r="D340" s="14" t="s">
        <v>2304</v>
      </c>
      <c r="E340" s="14">
        <v>68</v>
      </c>
      <c r="F340" s="14" t="s">
        <v>2502</v>
      </c>
      <c r="G340" s="14" t="s">
        <v>2503</v>
      </c>
      <c r="H340" s="14" t="s">
        <v>2504</v>
      </c>
      <c r="I340" s="14" t="s">
        <v>49</v>
      </c>
      <c r="J340" s="11" t="str">
        <f>HYPERLINK("https://www.codechef.com/problems/POTATOES", "https://www.codechef.com/problems/POTATOES")</f>
        <v>https://www.codechef.com/problems/POTATOES</v>
      </c>
      <c r="K340" s="14"/>
      <c r="L340" s="14" t="s">
        <v>2505</v>
      </c>
      <c r="M340" s="14"/>
      <c r="N340" s="14" t="s">
        <v>50</v>
      </c>
      <c r="O340" s="14" t="s">
        <v>51</v>
      </c>
    </row>
    <row r="341" spans="1:15">
      <c r="A341" s="15" t="s">
        <v>11</v>
      </c>
      <c r="B341" s="15" t="s">
        <v>2302</v>
      </c>
      <c r="C341" s="15" t="s">
        <v>2303</v>
      </c>
      <c r="D341" s="15" t="s">
        <v>2304</v>
      </c>
      <c r="E341" s="15">
        <v>69</v>
      </c>
      <c r="F341" s="15" t="s">
        <v>2506</v>
      </c>
      <c r="G341" s="15" t="s">
        <v>2507</v>
      </c>
      <c r="H341" s="15" t="s">
        <v>2508</v>
      </c>
      <c r="I341" s="15" t="s">
        <v>49</v>
      </c>
      <c r="J341" s="7" t="str">
        <f>HYPERLINK("https://www.codechef.com/problems/MINMXOR", "https://www.codechef.com/problems/MINMXOR")</f>
        <v>https://www.codechef.com/problems/MINMXOR</v>
      </c>
      <c r="K341" s="15"/>
      <c r="L341" s="15" t="s">
        <v>2509</v>
      </c>
      <c r="M341" s="15"/>
      <c r="N341" s="15" t="s">
        <v>50</v>
      </c>
      <c r="O341" s="15" t="s">
        <v>51</v>
      </c>
    </row>
    <row r="342" spans="1:15">
      <c r="A342" s="14" t="s">
        <v>11</v>
      </c>
      <c r="B342" s="14" t="s">
        <v>2302</v>
      </c>
      <c r="C342" s="14" t="s">
        <v>2303</v>
      </c>
      <c r="D342" s="14" t="s">
        <v>2304</v>
      </c>
      <c r="E342" s="14">
        <v>70</v>
      </c>
      <c r="F342" s="14" t="s">
        <v>2510</v>
      </c>
      <c r="G342" s="14" t="s">
        <v>2511</v>
      </c>
      <c r="H342" s="14" t="s">
        <v>2512</v>
      </c>
      <c r="I342" s="14" t="s">
        <v>49</v>
      </c>
      <c r="J342" s="11" t="str">
        <f>HYPERLINK("https://www.codechef.com/problems/XLSQUARE", "https://www.codechef.com/problems/XLSQUARE")</f>
        <v>https://www.codechef.com/problems/XLSQUARE</v>
      </c>
      <c r="K342" s="14"/>
      <c r="L342" s="14"/>
      <c r="M342" s="14"/>
      <c r="N342" s="14" t="s">
        <v>50</v>
      </c>
      <c r="O342" s="14" t="s">
        <v>51</v>
      </c>
    </row>
    <row r="343" spans="1:15">
      <c r="A343" s="15" t="s">
        <v>11</v>
      </c>
      <c r="B343" s="15" t="s">
        <v>2302</v>
      </c>
      <c r="C343" s="15" t="s">
        <v>2303</v>
      </c>
      <c r="D343" s="15" t="s">
        <v>2304</v>
      </c>
      <c r="E343" s="15">
        <v>71</v>
      </c>
      <c r="F343" s="15" t="s">
        <v>2513</v>
      </c>
      <c r="G343" s="15" t="s">
        <v>2514</v>
      </c>
      <c r="H343" s="15" t="s">
        <v>2515</v>
      </c>
      <c r="I343" s="15" t="s">
        <v>49</v>
      </c>
      <c r="J343" s="7" t="str">
        <f>HYPERLINK("https://www.codechef.com/problems/INFERNO", "https://www.codechef.com/problems/INFERNO")</f>
        <v>https://www.codechef.com/problems/INFERNO</v>
      </c>
      <c r="K343" s="15"/>
      <c r="L343" s="15" t="s">
        <v>1597</v>
      </c>
      <c r="M343" s="15"/>
      <c r="N343" s="15" t="s">
        <v>50</v>
      </c>
      <c r="O343" s="15" t="s">
        <v>51</v>
      </c>
    </row>
    <row r="344" spans="1:15">
      <c r="A344" s="14" t="s">
        <v>11</v>
      </c>
      <c r="B344" s="14" t="s">
        <v>2302</v>
      </c>
      <c r="C344" s="14" t="s">
        <v>2303</v>
      </c>
      <c r="D344" s="14" t="s">
        <v>2304</v>
      </c>
      <c r="E344" s="14">
        <v>72</v>
      </c>
      <c r="F344" s="14" t="s">
        <v>2516</v>
      </c>
      <c r="G344" s="14" t="s">
        <v>2517</v>
      </c>
      <c r="H344" s="14" t="s">
        <v>2518</v>
      </c>
      <c r="I344" s="14" t="s">
        <v>49</v>
      </c>
      <c r="J344" s="11" t="str">
        <f>HYPERLINK("https://www.codechef.com/problems/MAKEMULTIPLE", "https://www.codechef.com/problems/MAKEMULTIPLE")</f>
        <v>https://www.codechef.com/problems/MAKEMULTIPLE</v>
      </c>
      <c r="K344" s="14"/>
      <c r="L344" s="14" t="s">
        <v>194</v>
      </c>
      <c r="M344" s="14"/>
      <c r="N344" s="14" t="s">
        <v>50</v>
      </c>
      <c r="O344" s="14" t="s">
        <v>51</v>
      </c>
    </row>
    <row r="345" spans="1:15">
      <c r="A345" s="15" t="s">
        <v>11</v>
      </c>
      <c r="B345" s="15" t="s">
        <v>2302</v>
      </c>
      <c r="C345" s="15" t="s">
        <v>2303</v>
      </c>
      <c r="D345" s="15" t="s">
        <v>2304</v>
      </c>
      <c r="E345" s="15">
        <v>73</v>
      </c>
      <c r="F345" s="15" t="s">
        <v>2519</v>
      </c>
      <c r="G345" s="15" t="s">
        <v>2520</v>
      </c>
      <c r="H345" s="15" t="s">
        <v>2521</v>
      </c>
      <c r="I345" s="15" t="s">
        <v>49</v>
      </c>
      <c r="J345" s="7" t="str">
        <f>HYPERLINK("https://www.codechef.com/problems/BALREV", "https://www.codechef.com/problems/BALREV")</f>
        <v>https://www.codechef.com/problems/BALREV</v>
      </c>
      <c r="K345" s="15"/>
      <c r="L345" s="15" t="s">
        <v>2522</v>
      </c>
      <c r="M345" s="15"/>
      <c r="N345" s="15" t="s">
        <v>50</v>
      </c>
      <c r="O345" s="15" t="s">
        <v>51</v>
      </c>
    </row>
    <row r="346" spans="1:15">
      <c r="A346" s="14" t="s">
        <v>11</v>
      </c>
      <c r="B346" s="14" t="s">
        <v>2302</v>
      </c>
      <c r="C346" s="14" t="s">
        <v>2303</v>
      </c>
      <c r="D346" s="14" t="s">
        <v>2304</v>
      </c>
      <c r="E346" s="14">
        <v>74</v>
      </c>
      <c r="F346" s="14" t="s">
        <v>2523</v>
      </c>
      <c r="G346" s="14" t="s">
        <v>2524</v>
      </c>
      <c r="H346" s="14" t="s">
        <v>2525</v>
      </c>
      <c r="I346" s="14" t="s">
        <v>49</v>
      </c>
      <c r="J346" s="11" t="str">
        <f>HYPERLINK("https://www.codechef.com/problems/CLIPLX", "https://www.codechef.com/problems/CLIPLX")</f>
        <v>https://www.codechef.com/problems/CLIPLX</v>
      </c>
      <c r="K346" s="14"/>
      <c r="L346" s="14" t="s">
        <v>194</v>
      </c>
      <c r="M346" s="14"/>
      <c r="N346" s="14" t="s">
        <v>50</v>
      </c>
      <c r="O346" s="14" t="s">
        <v>51</v>
      </c>
    </row>
    <row r="347" spans="1:15">
      <c r="A347" s="15" t="s">
        <v>11</v>
      </c>
      <c r="B347" s="15" t="s">
        <v>2302</v>
      </c>
      <c r="C347" s="15" t="s">
        <v>2303</v>
      </c>
      <c r="D347" s="15" t="s">
        <v>2304</v>
      </c>
      <c r="E347" s="15">
        <v>75</v>
      </c>
      <c r="F347" s="15" t="s">
        <v>2526</v>
      </c>
      <c r="G347" s="15" t="s">
        <v>2527</v>
      </c>
      <c r="H347" s="15" t="s">
        <v>2528</v>
      </c>
      <c r="I347" s="15" t="s">
        <v>49</v>
      </c>
      <c r="J347" s="7" t="str">
        <f>HYPERLINK("https://www.codechef.com/problems/HOSTELROOM", "https://www.codechef.com/problems/HOSTELROOM")</f>
        <v>https://www.codechef.com/problems/HOSTELROOM</v>
      </c>
      <c r="K347" s="15"/>
      <c r="L347" s="15" t="s">
        <v>209</v>
      </c>
      <c r="M347" s="15"/>
      <c r="N347" s="15" t="s">
        <v>50</v>
      </c>
      <c r="O347" s="15" t="s">
        <v>51</v>
      </c>
    </row>
    <row r="348" spans="1:15">
      <c r="A348" s="14" t="s">
        <v>11</v>
      </c>
      <c r="B348" s="14" t="s">
        <v>2302</v>
      </c>
      <c r="C348" s="14" t="s">
        <v>2303</v>
      </c>
      <c r="D348" s="14" t="s">
        <v>2304</v>
      </c>
      <c r="E348" s="14">
        <v>76</v>
      </c>
      <c r="F348" s="14" t="s">
        <v>2529</v>
      </c>
      <c r="G348" s="14" t="s">
        <v>2530</v>
      </c>
      <c r="H348" s="14" t="s">
        <v>2531</v>
      </c>
      <c r="I348" s="14" t="s">
        <v>49</v>
      </c>
      <c r="J348" s="11" t="str">
        <f>HYPERLINK("https://www.codechef.com/problems/CARDSWIPE", "https://www.codechef.com/problems/CARDSWIPE")</f>
        <v>https://www.codechef.com/problems/CARDSWIPE</v>
      </c>
      <c r="K348" s="14"/>
      <c r="L348" s="14" t="s">
        <v>2532</v>
      </c>
      <c r="M348" s="14"/>
      <c r="N348" s="14" t="s">
        <v>50</v>
      </c>
      <c r="O348" s="14" t="s">
        <v>51</v>
      </c>
    </row>
    <row r="349" spans="1:15">
      <c r="A349" s="15" t="s">
        <v>11</v>
      </c>
      <c r="B349" s="15" t="s">
        <v>2302</v>
      </c>
      <c r="C349" s="15" t="s">
        <v>2303</v>
      </c>
      <c r="D349" s="15" t="s">
        <v>2304</v>
      </c>
      <c r="E349" s="15">
        <v>77</v>
      </c>
      <c r="F349" s="15" t="s">
        <v>2533</v>
      </c>
      <c r="G349" s="15" t="s">
        <v>2534</v>
      </c>
      <c r="H349" s="15" t="s">
        <v>2535</v>
      </c>
      <c r="I349" s="15" t="s">
        <v>49</v>
      </c>
      <c r="J349" s="7" t="str">
        <f>HYPERLINK("https://www.codechef.com/problems/MOVIEWKN", "https://www.codechef.com/problems/MOVIEWKN")</f>
        <v>https://www.codechef.com/problems/MOVIEWKN</v>
      </c>
      <c r="K349" s="15"/>
      <c r="L349" s="15"/>
      <c r="M349" s="15"/>
      <c r="N349" s="15" t="s">
        <v>50</v>
      </c>
      <c r="O349" s="15" t="s">
        <v>51</v>
      </c>
    </row>
    <row r="350" spans="1:15">
      <c r="A350" s="14" t="s">
        <v>11</v>
      </c>
      <c r="B350" s="14" t="s">
        <v>2302</v>
      </c>
      <c r="C350" s="14" t="s">
        <v>2303</v>
      </c>
      <c r="D350" s="14" t="s">
        <v>2304</v>
      </c>
      <c r="E350" s="14">
        <v>78</v>
      </c>
      <c r="F350" s="14" t="s">
        <v>2536</v>
      </c>
      <c r="G350" s="14" t="s">
        <v>2537</v>
      </c>
      <c r="H350" s="14" t="s">
        <v>2538</v>
      </c>
      <c r="I350" s="14" t="s">
        <v>49</v>
      </c>
      <c r="J350" s="11" t="str">
        <f>HYPERLINK("https://www.codechef.com/problems/GROUPS", "https://www.codechef.com/problems/GROUPS")</f>
        <v>https://www.codechef.com/problems/GROUPS</v>
      </c>
      <c r="K350" s="14"/>
      <c r="L350" s="14" t="s">
        <v>2539</v>
      </c>
      <c r="M350" s="14"/>
      <c r="N350" s="14" t="s">
        <v>50</v>
      </c>
      <c r="O350" s="14" t="s">
        <v>51</v>
      </c>
    </row>
    <row r="351" spans="1:15">
      <c r="A351" s="15" t="s">
        <v>11</v>
      </c>
      <c r="B351" s="15" t="s">
        <v>2302</v>
      </c>
      <c r="C351" s="15" t="s">
        <v>2303</v>
      </c>
      <c r="D351" s="15" t="s">
        <v>2304</v>
      </c>
      <c r="E351" s="15">
        <v>79</v>
      </c>
      <c r="F351" s="15" t="s">
        <v>2540</v>
      </c>
      <c r="G351" s="15" t="s">
        <v>2541</v>
      </c>
      <c r="H351" s="15" t="s">
        <v>2542</v>
      </c>
      <c r="I351" s="15" t="s">
        <v>49</v>
      </c>
      <c r="J351" s="7" t="str">
        <f>HYPERLINK("https://www.codechef.com/problems/POSPROD", "https://www.codechef.com/problems/POSPROD")</f>
        <v>https://www.codechef.com/problems/POSPROD</v>
      </c>
      <c r="K351" s="15"/>
      <c r="L351" s="15" t="s">
        <v>1762</v>
      </c>
      <c r="M351" s="15"/>
      <c r="N351" s="15" t="s">
        <v>50</v>
      </c>
      <c r="O351" s="15" t="s">
        <v>51</v>
      </c>
    </row>
    <row r="352" spans="1:15">
      <c r="A352" s="14" t="s">
        <v>11</v>
      </c>
      <c r="B352" s="14" t="s">
        <v>2302</v>
      </c>
      <c r="C352" s="14" t="s">
        <v>2303</v>
      </c>
      <c r="D352" s="14" t="s">
        <v>2304</v>
      </c>
      <c r="E352" s="14">
        <v>80</v>
      </c>
      <c r="F352" s="14" t="s">
        <v>151</v>
      </c>
      <c r="G352" s="14" t="s">
        <v>152</v>
      </c>
      <c r="H352" s="14" t="s">
        <v>153</v>
      </c>
      <c r="I352" s="14" t="s">
        <v>49</v>
      </c>
      <c r="J352" s="11" t="str">
        <f>HYPERLINK("https://www.codechef.com/problems/MAXCOUNT", "https://www.codechef.com/problems/MAXCOUNT")</f>
        <v>https://www.codechef.com/problems/MAXCOUNT</v>
      </c>
      <c r="K352" s="14"/>
      <c r="L352" s="14" t="s">
        <v>154</v>
      </c>
      <c r="M352" s="14"/>
      <c r="N352" s="14" t="s">
        <v>50</v>
      </c>
      <c r="O352" s="14" t="s">
        <v>51</v>
      </c>
    </row>
    <row r="353" spans="1:15">
      <c r="A353" s="15" t="s">
        <v>11</v>
      </c>
      <c r="B353" s="15" t="s">
        <v>2302</v>
      </c>
      <c r="C353" s="15" t="s">
        <v>2303</v>
      </c>
      <c r="D353" s="15" t="s">
        <v>2304</v>
      </c>
      <c r="E353" s="15">
        <v>81</v>
      </c>
      <c r="F353" s="15" t="s">
        <v>2543</v>
      </c>
      <c r="G353" s="15" t="s">
        <v>2544</v>
      </c>
      <c r="H353" s="15" t="s">
        <v>2545</v>
      </c>
      <c r="I353" s="15" t="s">
        <v>49</v>
      </c>
      <c r="J353" s="7" t="str">
        <f>HYPERLINK("https://www.codechef.com/problems/PERFCONT", "https://www.codechef.com/problems/PERFCONT")</f>
        <v>https://www.codechef.com/problems/PERFCONT</v>
      </c>
      <c r="K353" s="15"/>
      <c r="L353" s="15" t="s">
        <v>1701</v>
      </c>
      <c r="M353" s="15"/>
      <c r="N353" s="15" t="s">
        <v>50</v>
      </c>
      <c r="O353" s="15" t="s">
        <v>51</v>
      </c>
    </row>
    <row r="354" spans="1:15">
      <c r="A354" s="14" t="s">
        <v>11</v>
      </c>
      <c r="B354" s="14" t="s">
        <v>2302</v>
      </c>
      <c r="C354" s="14" t="s">
        <v>2303</v>
      </c>
      <c r="D354" s="14" t="s">
        <v>2304</v>
      </c>
      <c r="E354" s="14">
        <v>82</v>
      </c>
      <c r="F354" s="14" t="s">
        <v>2546</v>
      </c>
      <c r="G354" s="14" t="s">
        <v>2547</v>
      </c>
      <c r="H354" s="14" t="s">
        <v>2545</v>
      </c>
      <c r="I354" s="14" t="s">
        <v>49</v>
      </c>
      <c r="J354" s="11" t="str">
        <f>HYPERLINK("https://www.codechef.com/problems/DIVBYI", "https://www.codechef.com/problems/DIVBYI")</f>
        <v>https://www.codechef.com/problems/DIVBYI</v>
      </c>
      <c r="K354" s="14"/>
      <c r="L354" s="14" t="s">
        <v>2548</v>
      </c>
      <c r="M354" s="14"/>
      <c r="N354" s="14" t="s">
        <v>50</v>
      </c>
      <c r="O354" s="14" t="s">
        <v>51</v>
      </c>
    </row>
    <row r="355" spans="1:15">
      <c r="A355" s="15" t="s">
        <v>11</v>
      </c>
      <c r="B355" s="15" t="s">
        <v>2302</v>
      </c>
      <c r="C355" s="15" t="s">
        <v>2303</v>
      </c>
      <c r="D355" s="15" t="s">
        <v>2304</v>
      </c>
      <c r="E355" s="15">
        <v>83</v>
      </c>
      <c r="F355" s="15" t="s">
        <v>2549</v>
      </c>
      <c r="G355" s="15" t="s">
        <v>2550</v>
      </c>
      <c r="H355" s="15" t="s">
        <v>1268</v>
      </c>
      <c r="I355" s="15" t="s">
        <v>49</v>
      </c>
      <c r="J355" s="7" t="str">
        <f>HYPERLINK("https://www.codechef.com/problems/CHEFNWRK", "https://www.codechef.com/problems/CHEFNWRK")</f>
        <v>https://www.codechef.com/problems/CHEFNWRK</v>
      </c>
      <c r="K355" s="15"/>
      <c r="L355" s="15" t="s">
        <v>2551</v>
      </c>
      <c r="M355" s="15"/>
      <c r="N355" s="15" t="s">
        <v>50</v>
      </c>
      <c r="O355" s="15" t="s">
        <v>51</v>
      </c>
    </row>
    <row r="356" spans="1:15">
      <c r="A356" s="14" t="s">
        <v>11</v>
      </c>
      <c r="B356" s="14" t="s">
        <v>2302</v>
      </c>
      <c r="C356" s="14" t="s">
        <v>2303</v>
      </c>
      <c r="D356" s="14" t="s">
        <v>2304</v>
      </c>
      <c r="E356" s="14">
        <v>84</v>
      </c>
      <c r="F356" s="14" t="s">
        <v>2552</v>
      </c>
      <c r="G356" s="14" t="s">
        <v>2553</v>
      </c>
      <c r="H356" s="14" t="s">
        <v>2554</v>
      </c>
      <c r="I356" s="14" t="s">
        <v>49</v>
      </c>
      <c r="J356" s="11" t="str">
        <f>HYPERLINK("https://www.codechef.com/problems/BURGERS2", "https://www.codechef.com/problems/BURGERS2")</f>
        <v>https://www.codechef.com/problems/BURGERS2</v>
      </c>
      <c r="K356" s="14"/>
      <c r="L356" s="14" t="s">
        <v>2163</v>
      </c>
      <c r="M356" s="14"/>
      <c r="N356" s="14" t="s">
        <v>50</v>
      </c>
      <c r="O356" s="14" t="s">
        <v>51</v>
      </c>
    </row>
    <row r="357" spans="1:15">
      <c r="A357" s="15" t="s">
        <v>11</v>
      </c>
      <c r="B357" s="15" t="s">
        <v>2302</v>
      </c>
      <c r="C357" s="15" t="s">
        <v>2303</v>
      </c>
      <c r="D357" s="15" t="s">
        <v>2304</v>
      </c>
      <c r="E357" s="15">
        <v>85</v>
      </c>
      <c r="F357" s="15" t="s">
        <v>2555</v>
      </c>
      <c r="G357" s="15" t="s">
        <v>2556</v>
      </c>
      <c r="H357" s="15" t="s">
        <v>2554</v>
      </c>
      <c r="I357" s="15" t="s">
        <v>49</v>
      </c>
      <c r="J357" s="7" t="str">
        <f>HYPERLINK("https://www.codechef.com/problems/ANKTRAIN", "https://www.codechef.com/problems/ANKTRAIN")</f>
        <v>https://www.codechef.com/problems/ANKTRAIN</v>
      </c>
      <c r="K357" s="15"/>
      <c r="L357" s="15" t="s">
        <v>1701</v>
      </c>
      <c r="M357" s="15"/>
      <c r="N357" s="15" t="s">
        <v>50</v>
      </c>
      <c r="O357" s="15" t="s">
        <v>51</v>
      </c>
    </row>
    <row r="358" spans="1:15">
      <c r="A358" s="14" t="s">
        <v>11</v>
      </c>
      <c r="B358" s="14" t="s">
        <v>2302</v>
      </c>
      <c r="C358" s="14" t="s">
        <v>2303</v>
      </c>
      <c r="D358" s="14" t="s">
        <v>2304</v>
      </c>
      <c r="E358" s="14">
        <v>86</v>
      </c>
      <c r="F358" s="14" t="s">
        <v>2557</v>
      </c>
      <c r="G358" s="14" t="s">
        <v>2558</v>
      </c>
      <c r="H358" s="14" t="s">
        <v>2559</v>
      </c>
      <c r="I358" s="14" t="s">
        <v>49</v>
      </c>
      <c r="J358" s="11" t="str">
        <f>HYPERLINK("https://www.codechef.com/problems/BUY1GET1", "https://www.codechef.com/problems/BUY1GET1")</f>
        <v>https://www.codechef.com/problems/BUY1GET1</v>
      </c>
      <c r="K358" s="14"/>
      <c r="L358" s="14" t="s">
        <v>2560</v>
      </c>
      <c r="M358" s="14"/>
      <c r="N358" s="14" t="s">
        <v>50</v>
      </c>
      <c r="O358" s="14" t="s">
        <v>51</v>
      </c>
    </row>
    <row r="359" spans="1:15">
      <c r="A359" s="15" t="s">
        <v>11</v>
      </c>
      <c r="B359" s="15" t="s">
        <v>2302</v>
      </c>
      <c r="C359" s="15" t="s">
        <v>2303</v>
      </c>
      <c r="D359" s="15" t="s">
        <v>2304</v>
      </c>
      <c r="E359" s="15">
        <v>87</v>
      </c>
      <c r="F359" s="15" t="s">
        <v>2561</v>
      </c>
      <c r="G359" s="15" t="s">
        <v>2562</v>
      </c>
      <c r="H359" s="15" t="s">
        <v>2559</v>
      </c>
      <c r="I359" s="15" t="s">
        <v>49</v>
      </c>
      <c r="J359" s="7" t="str">
        <f>HYPERLINK("https://www.codechef.com/problems/CHEFZOT", "https://www.codechef.com/problems/CHEFZOT")</f>
        <v>https://www.codechef.com/problems/CHEFZOT</v>
      </c>
      <c r="K359" s="15"/>
      <c r="L359" s="15" t="s">
        <v>2563</v>
      </c>
      <c r="M359" s="15"/>
      <c r="N359" s="15" t="s">
        <v>50</v>
      </c>
      <c r="O359" s="15" t="s">
        <v>51</v>
      </c>
    </row>
    <row r="360" spans="1:15">
      <c r="A360" s="14" t="s">
        <v>11</v>
      </c>
      <c r="B360" s="14" t="s">
        <v>2302</v>
      </c>
      <c r="C360" s="14" t="s">
        <v>2303</v>
      </c>
      <c r="D360" s="14" t="s">
        <v>2304</v>
      </c>
      <c r="E360" s="14">
        <v>88</v>
      </c>
      <c r="F360" s="14" t="s">
        <v>2564</v>
      </c>
      <c r="G360" s="14" t="s">
        <v>2565</v>
      </c>
      <c r="H360" s="14" t="s">
        <v>2566</v>
      </c>
      <c r="I360" s="14" t="s">
        <v>49</v>
      </c>
      <c r="J360" s="11" t="str">
        <f>HYPERLINK("https://www.codechef.com/problems/ARRAYRET", "https://www.codechef.com/problems/ARRAYRET")</f>
        <v>https://www.codechef.com/problems/ARRAYRET</v>
      </c>
      <c r="K360" s="14"/>
      <c r="L360" s="14" t="s">
        <v>2567</v>
      </c>
      <c r="M360" s="14"/>
      <c r="N360" s="14" t="s">
        <v>50</v>
      </c>
      <c r="O360" s="14" t="s">
        <v>51</v>
      </c>
    </row>
    <row r="361" spans="1:15">
      <c r="A361" s="15" t="s">
        <v>11</v>
      </c>
      <c r="B361" s="15" t="s">
        <v>2302</v>
      </c>
      <c r="C361" s="15" t="s">
        <v>2303</v>
      </c>
      <c r="D361" s="15" t="s">
        <v>2304</v>
      </c>
      <c r="E361" s="15">
        <v>89</v>
      </c>
      <c r="F361" s="15" t="s">
        <v>2568</v>
      </c>
      <c r="G361" s="15" t="s">
        <v>2569</v>
      </c>
      <c r="H361" s="15" t="s">
        <v>2570</v>
      </c>
      <c r="I361" s="15" t="s">
        <v>49</v>
      </c>
      <c r="J361" s="7" t="str">
        <f>HYPERLINK("https://www.codechef.com/problems/PERMUTATION", "https://www.codechef.com/problems/PERMUTATION")</f>
        <v>https://www.codechef.com/problems/PERMUTATION</v>
      </c>
      <c r="K361" s="15"/>
      <c r="L361" s="15"/>
      <c r="M361" s="15"/>
      <c r="N361" s="15" t="s">
        <v>50</v>
      </c>
      <c r="O361" s="15" t="s">
        <v>51</v>
      </c>
    </row>
    <row r="362" spans="1:15">
      <c r="A362" s="14" t="s">
        <v>11</v>
      </c>
      <c r="B362" s="14" t="s">
        <v>2302</v>
      </c>
      <c r="C362" s="14" t="s">
        <v>2303</v>
      </c>
      <c r="D362" s="14" t="s">
        <v>2304</v>
      </c>
      <c r="E362" s="14">
        <v>90</v>
      </c>
      <c r="F362" s="14" t="s">
        <v>2571</v>
      </c>
      <c r="G362" s="14" t="s">
        <v>2572</v>
      </c>
      <c r="H362" s="14" t="s">
        <v>2573</v>
      </c>
      <c r="I362" s="14" t="s">
        <v>49</v>
      </c>
      <c r="J362" s="11" t="str">
        <f>HYPERLINK("https://www.codechef.com/problems/ANUUND", "https://www.codechef.com/problems/ANUUND")</f>
        <v>https://www.codechef.com/problems/ANUUND</v>
      </c>
      <c r="K362" s="14"/>
      <c r="L362" s="14" t="s">
        <v>2574</v>
      </c>
      <c r="M362" s="14"/>
      <c r="N362" s="14" t="s">
        <v>50</v>
      </c>
      <c r="O362" s="14" t="s">
        <v>51</v>
      </c>
    </row>
    <row r="363" spans="1:15">
      <c r="A363" s="15" t="s">
        <v>11</v>
      </c>
      <c r="B363" s="15" t="s">
        <v>2302</v>
      </c>
      <c r="C363" s="15" t="s">
        <v>2303</v>
      </c>
      <c r="D363" s="15" t="s">
        <v>2304</v>
      </c>
      <c r="E363" s="15">
        <v>91</v>
      </c>
      <c r="F363" s="15" t="s">
        <v>2575</v>
      </c>
      <c r="G363" s="15" t="s">
        <v>2576</v>
      </c>
      <c r="H363" s="15" t="s">
        <v>2573</v>
      </c>
      <c r="I363" s="15" t="s">
        <v>49</v>
      </c>
      <c r="J363" s="7" t="str">
        <f>HYPERLINK("https://www.codechef.com/problems/TRACE", "https://www.codechef.com/problems/TRACE")</f>
        <v>https://www.codechef.com/problems/TRACE</v>
      </c>
      <c r="K363" s="15"/>
      <c r="L363" s="15"/>
      <c r="M363" s="15"/>
      <c r="N363" s="15" t="s">
        <v>50</v>
      </c>
      <c r="O363" s="15" t="s">
        <v>51</v>
      </c>
    </row>
    <row r="364" spans="1:15">
      <c r="A364" s="14" t="s">
        <v>11</v>
      </c>
      <c r="B364" s="14" t="s">
        <v>2302</v>
      </c>
      <c r="C364" s="14" t="s">
        <v>2303</v>
      </c>
      <c r="D364" s="14" t="s">
        <v>2577</v>
      </c>
      <c r="E364" s="14">
        <v>92</v>
      </c>
      <c r="F364" s="14" t="s">
        <v>2578</v>
      </c>
      <c r="G364" s="14" t="s">
        <v>2579</v>
      </c>
      <c r="H364" s="14" t="s">
        <v>180</v>
      </c>
      <c r="I364" s="14" t="s">
        <v>49</v>
      </c>
      <c r="J364" s="11" t="str">
        <f>HYPERLINK("https://www.codechef.com/problems/EVENPSUM", "https://www.codechef.com/problems/EVENPSUM")</f>
        <v>https://www.codechef.com/problems/EVENPSUM</v>
      </c>
      <c r="K364" s="14"/>
      <c r="L364" s="14" t="s">
        <v>2580</v>
      </c>
      <c r="M364" s="14"/>
      <c r="N364" s="14" t="s">
        <v>50</v>
      </c>
      <c r="O364" s="14" t="s">
        <v>51</v>
      </c>
    </row>
    <row r="365" spans="1:15">
      <c r="A365" s="15" t="s">
        <v>11</v>
      </c>
      <c r="B365" s="15" t="s">
        <v>2302</v>
      </c>
      <c r="C365" s="15" t="s">
        <v>2303</v>
      </c>
      <c r="D365" s="15" t="s">
        <v>2577</v>
      </c>
      <c r="E365" s="15">
        <v>93</v>
      </c>
      <c r="F365" s="15" t="s">
        <v>2581</v>
      </c>
      <c r="G365" s="15" t="s">
        <v>2582</v>
      </c>
      <c r="H365" s="15" t="s">
        <v>2583</v>
      </c>
      <c r="I365" s="15" t="s">
        <v>49</v>
      </c>
      <c r="J365" s="7" t="str">
        <f>HYPERLINK("https://www.codechef.com/problems/STUDVOTE", "https://www.codechef.com/problems/STUDVOTE")</f>
        <v>https://www.codechef.com/problems/STUDVOTE</v>
      </c>
      <c r="K365" s="15"/>
      <c r="L365" s="15"/>
      <c r="M365" s="15"/>
      <c r="N365" s="15" t="s">
        <v>50</v>
      </c>
      <c r="O365" s="15" t="s">
        <v>51</v>
      </c>
    </row>
    <row r="366" spans="1:15">
      <c r="A366" s="14" t="s">
        <v>11</v>
      </c>
      <c r="B366" s="14" t="s">
        <v>2302</v>
      </c>
      <c r="C366" s="14" t="s">
        <v>2303</v>
      </c>
      <c r="D366" s="14" t="s">
        <v>2577</v>
      </c>
      <c r="E366" s="14">
        <v>94</v>
      </c>
      <c r="F366" s="14" t="s">
        <v>702</v>
      </c>
      <c r="G366" s="14" t="s">
        <v>2584</v>
      </c>
      <c r="H366" s="14" t="s">
        <v>2585</v>
      </c>
      <c r="I366" s="14" t="s">
        <v>49</v>
      </c>
      <c r="J366" s="11" t="str">
        <f>HYPERLINK("https://www.codechef.com/problems/RECNDSTR", "https://www.codechef.com/problems/RECNDSTR")</f>
        <v>https://www.codechef.com/problems/RECNDSTR</v>
      </c>
      <c r="K366" s="14"/>
      <c r="L366" s="14"/>
      <c r="M366" s="14"/>
      <c r="N366" s="14" t="s">
        <v>50</v>
      </c>
      <c r="O366" s="14" t="s">
        <v>51</v>
      </c>
    </row>
    <row r="367" spans="1:15">
      <c r="A367" s="15" t="s">
        <v>11</v>
      </c>
      <c r="B367" s="15" t="s">
        <v>2302</v>
      </c>
      <c r="C367" s="15" t="s">
        <v>2303</v>
      </c>
      <c r="D367" s="15" t="s">
        <v>2577</v>
      </c>
      <c r="E367" s="15">
        <v>95</v>
      </c>
      <c r="F367" s="15" t="s">
        <v>2586</v>
      </c>
      <c r="G367" s="15" t="s">
        <v>2587</v>
      </c>
      <c r="H367" s="15" t="s">
        <v>2588</v>
      </c>
      <c r="I367" s="15" t="s">
        <v>49</v>
      </c>
      <c r="J367" s="7" t="str">
        <f>HYPERLINK("https://www.codechef.com/problems/LONGSEQ", "https://www.codechef.com/problems/LONGSEQ")</f>
        <v>https://www.codechef.com/problems/LONGSEQ</v>
      </c>
      <c r="K367" s="15"/>
      <c r="L367" s="15" t="s">
        <v>2471</v>
      </c>
      <c r="M367" s="15"/>
      <c r="N367" s="15" t="s">
        <v>50</v>
      </c>
      <c r="O367" s="15" t="s">
        <v>51</v>
      </c>
    </row>
    <row r="368" spans="1:15">
      <c r="A368" s="14" t="s">
        <v>11</v>
      </c>
      <c r="B368" s="14" t="s">
        <v>2302</v>
      </c>
      <c r="C368" s="14" t="s">
        <v>2303</v>
      </c>
      <c r="D368" s="14" t="s">
        <v>2577</v>
      </c>
      <c r="E368" s="14">
        <v>96</v>
      </c>
      <c r="F368" s="14" t="s">
        <v>2589</v>
      </c>
      <c r="G368" s="14" t="s">
        <v>2590</v>
      </c>
      <c r="H368" s="14" t="s">
        <v>2591</v>
      </c>
      <c r="I368" s="14" t="s">
        <v>49</v>
      </c>
      <c r="J368" s="11" t="str">
        <f>HYPERLINK("https://www.codechef.com/problems/CFMM", "https://www.codechef.com/problems/CFMM")</f>
        <v>https://www.codechef.com/problems/CFMM</v>
      </c>
      <c r="K368" s="14"/>
      <c r="L368" s="14" t="s">
        <v>2592</v>
      </c>
      <c r="M368" s="14"/>
      <c r="N368" s="14" t="s">
        <v>50</v>
      </c>
      <c r="O368" s="14" t="s">
        <v>51</v>
      </c>
    </row>
    <row r="369" spans="1:15">
      <c r="A369" s="15" t="s">
        <v>11</v>
      </c>
      <c r="B369" s="15" t="s">
        <v>2302</v>
      </c>
      <c r="C369" s="15" t="s">
        <v>2303</v>
      </c>
      <c r="D369" s="15" t="s">
        <v>2577</v>
      </c>
      <c r="E369" s="15">
        <v>97</v>
      </c>
      <c r="F369" s="15" t="s">
        <v>2593</v>
      </c>
      <c r="G369" s="15" t="s">
        <v>2594</v>
      </c>
      <c r="H369" s="15" t="s">
        <v>2595</v>
      </c>
      <c r="I369" s="15" t="s">
        <v>49</v>
      </c>
      <c r="J369" s="7" t="str">
        <f>HYPERLINK("https://www.codechef.com/problems/HILLS", "https://www.codechef.com/problems/HILLS")</f>
        <v>https://www.codechef.com/problems/HILLS</v>
      </c>
      <c r="K369" s="15"/>
      <c r="L369" s="15" t="s">
        <v>140</v>
      </c>
      <c r="M369" s="15"/>
      <c r="N369" s="15" t="s">
        <v>50</v>
      </c>
      <c r="O369" s="15" t="s">
        <v>51</v>
      </c>
    </row>
    <row r="370" spans="1:15">
      <c r="A370" s="14" t="s">
        <v>11</v>
      </c>
      <c r="B370" s="14" t="s">
        <v>2302</v>
      </c>
      <c r="C370" s="14" t="s">
        <v>2303</v>
      </c>
      <c r="D370" s="14" t="s">
        <v>2577</v>
      </c>
      <c r="E370" s="14">
        <v>98</v>
      </c>
      <c r="F370" s="14" t="s">
        <v>2596</v>
      </c>
      <c r="G370" s="14" t="s">
        <v>2597</v>
      </c>
      <c r="H370" s="14" t="s">
        <v>2595</v>
      </c>
      <c r="I370" s="14" t="s">
        <v>49</v>
      </c>
      <c r="J370" s="11" t="str">
        <f>HYPERLINK("https://www.codechef.com/problems/NEWPIECE", "https://www.codechef.com/problems/NEWPIECE")</f>
        <v>https://www.codechef.com/problems/NEWPIECE</v>
      </c>
      <c r="K370" s="14"/>
      <c r="L370" s="14"/>
      <c r="M370" s="14"/>
      <c r="N370" s="14" t="s">
        <v>50</v>
      </c>
      <c r="O370" s="14" t="s">
        <v>51</v>
      </c>
    </row>
    <row r="371" spans="1:15">
      <c r="A371" s="15" t="s">
        <v>11</v>
      </c>
      <c r="B371" s="15" t="s">
        <v>2302</v>
      </c>
      <c r="C371" s="15" t="s">
        <v>2303</v>
      </c>
      <c r="D371" s="15" t="s">
        <v>2577</v>
      </c>
      <c r="E371" s="15">
        <v>99</v>
      </c>
      <c r="F371" s="15" t="s">
        <v>2598</v>
      </c>
      <c r="G371" s="15" t="s">
        <v>2599</v>
      </c>
      <c r="H371" s="15" t="s">
        <v>2595</v>
      </c>
      <c r="I371" s="15" t="s">
        <v>49</v>
      </c>
      <c r="J371" s="7" t="str">
        <f>HYPERLINK("https://www.codechef.com/problems/TWODIFFPALIN", "https://www.codechef.com/problems/TWODIFFPALIN")</f>
        <v>https://www.codechef.com/problems/TWODIFFPALIN</v>
      </c>
      <c r="K371" s="15"/>
      <c r="L371" s="15"/>
      <c r="M371" s="15"/>
      <c r="N371" s="15" t="s">
        <v>50</v>
      </c>
      <c r="O371" s="15" t="s">
        <v>51</v>
      </c>
    </row>
    <row r="372" spans="1:15">
      <c r="A372" s="14" t="s">
        <v>11</v>
      </c>
      <c r="B372" s="14" t="s">
        <v>2302</v>
      </c>
      <c r="C372" s="14" t="s">
        <v>2303</v>
      </c>
      <c r="D372" s="14" t="s">
        <v>2577</v>
      </c>
      <c r="E372" s="14">
        <v>100</v>
      </c>
      <c r="F372" s="14" t="s">
        <v>2600</v>
      </c>
      <c r="G372" s="14" t="s">
        <v>2601</v>
      </c>
      <c r="H372" s="14" t="s">
        <v>2602</v>
      </c>
      <c r="I372" s="14" t="s">
        <v>49</v>
      </c>
      <c r="J372" s="11" t="str">
        <f>HYPERLINK("https://www.codechef.com/problems/SINGLEOP1", "https://www.codechef.com/problems/SINGLEOP1")</f>
        <v>https://www.codechef.com/problems/SINGLEOP1</v>
      </c>
      <c r="K372" s="14"/>
      <c r="L372" s="14"/>
      <c r="M372" s="14"/>
      <c r="N372" s="14" t="s">
        <v>50</v>
      </c>
      <c r="O372" s="14" t="s">
        <v>51</v>
      </c>
    </row>
    <row r="373" spans="1:15">
      <c r="A373" s="15" t="s">
        <v>11</v>
      </c>
      <c r="B373" s="15" t="s">
        <v>2302</v>
      </c>
      <c r="C373" s="15" t="s">
        <v>2303</v>
      </c>
      <c r="D373" s="15" t="s">
        <v>2577</v>
      </c>
      <c r="E373" s="15">
        <v>101</v>
      </c>
      <c r="F373" s="15" t="s">
        <v>2603</v>
      </c>
      <c r="G373" s="15" t="s">
        <v>2604</v>
      </c>
      <c r="H373" s="15" t="s">
        <v>2605</v>
      </c>
      <c r="I373" s="15" t="s">
        <v>49</v>
      </c>
      <c r="J373" s="7" t="str">
        <f>HYPERLINK("https://www.codechef.com/problems/REPEAT", "https://www.codechef.com/problems/REPEAT")</f>
        <v>https://www.codechef.com/problems/REPEAT</v>
      </c>
      <c r="K373" s="15"/>
      <c r="L373" s="15"/>
      <c r="M373" s="15"/>
      <c r="N373" s="15" t="s">
        <v>50</v>
      </c>
      <c r="O373" s="15" t="s">
        <v>51</v>
      </c>
    </row>
    <row r="374" spans="1:15">
      <c r="A374" s="14" t="s">
        <v>11</v>
      </c>
      <c r="B374" s="14" t="s">
        <v>2302</v>
      </c>
      <c r="C374" s="14" t="s">
        <v>2303</v>
      </c>
      <c r="D374" s="14" t="s">
        <v>2577</v>
      </c>
      <c r="E374" s="14">
        <v>102</v>
      </c>
      <c r="F374" s="14" t="s">
        <v>2606</v>
      </c>
      <c r="G374" s="14" t="s">
        <v>2607</v>
      </c>
      <c r="H374" s="14" t="s">
        <v>1289</v>
      </c>
      <c r="I374" s="14" t="s">
        <v>49</v>
      </c>
      <c r="J374" s="11" t="str">
        <f>HYPERLINK("https://www.codechef.com/problems/VACCINE2", "https://www.codechef.com/problems/VACCINE2")</f>
        <v>https://www.codechef.com/problems/VACCINE2</v>
      </c>
      <c r="K374" s="14"/>
      <c r="L374" s="14"/>
      <c r="M374" s="14"/>
      <c r="N374" s="14" t="s">
        <v>50</v>
      </c>
      <c r="O374" s="14" t="s">
        <v>51</v>
      </c>
    </row>
    <row r="375" spans="1:15">
      <c r="A375" s="15" t="s">
        <v>11</v>
      </c>
      <c r="B375" s="15" t="s">
        <v>2302</v>
      </c>
      <c r="C375" s="15" t="s">
        <v>2303</v>
      </c>
      <c r="D375" s="15" t="s">
        <v>2577</v>
      </c>
      <c r="E375" s="15">
        <v>103</v>
      </c>
      <c r="F375" s="15" t="s">
        <v>2608</v>
      </c>
      <c r="G375" s="15" t="s">
        <v>2609</v>
      </c>
      <c r="H375" s="15" t="s">
        <v>269</v>
      </c>
      <c r="I375" s="15" t="s">
        <v>49</v>
      </c>
      <c r="J375" s="7" t="str">
        <f>HYPERLINK("https://www.codechef.com/problems/DAILY", "https://www.codechef.com/problems/DAILY")</f>
        <v>https://www.codechef.com/problems/DAILY</v>
      </c>
      <c r="K375" s="15"/>
      <c r="L375" s="15" t="s">
        <v>2610</v>
      </c>
      <c r="M375" s="15"/>
      <c r="N375" s="15" t="s">
        <v>50</v>
      </c>
      <c r="O375" s="15" t="s">
        <v>51</v>
      </c>
    </row>
    <row r="376" spans="1:15">
      <c r="A376" s="14" t="s">
        <v>11</v>
      </c>
      <c r="B376" s="14" t="s">
        <v>2302</v>
      </c>
      <c r="C376" s="14" t="s">
        <v>2303</v>
      </c>
      <c r="D376" s="14" t="s">
        <v>2577</v>
      </c>
      <c r="E376" s="14">
        <v>104</v>
      </c>
      <c r="F376" s="14" t="s">
        <v>2611</v>
      </c>
      <c r="G376" s="14" t="s">
        <v>2612</v>
      </c>
      <c r="H376" s="14" t="s">
        <v>2613</v>
      </c>
      <c r="I376" s="14" t="s">
        <v>49</v>
      </c>
      <c r="J376" s="11" t="str">
        <f>HYPERLINK("https://www.codechef.com/problems/CALPOWER", "https://www.codechef.com/problems/CALPOWER")</f>
        <v>https://www.codechef.com/problems/CALPOWER</v>
      </c>
      <c r="K376" s="14"/>
      <c r="L376" s="14" t="s">
        <v>105</v>
      </c>
      <c r="M376" s="14"/>
      <c r="N376" s="14" t="s">
        <v>50</v>
      </c>
      <c r="O376" s="14" t="s">
        <v>51</v>
      </c>
    </row>
    <row r="377" spans="1:15">
      <c r="A377" s="15" t="s">
        <v>11</v>
      </c>
      <c r="B377" s="15" t="s">
        <v>2302</v>
      </c>
      <c r="C377" s="15" t="s">
        <v>2303</v>
      </c>
      <c r="D377" s="15" t="s">
        <v>2577</v>
      </c>
      <c r="E377" s="15">
        <v>105</v>
      </c>
      <c r="F377" s="15" t="s">
        <v>2614</v>
      </c>
      <c r="G377" s="15" t="s">
        <v>2615</v>
      </c>
      <c r="H377" s="15" t="s">
        <v>2613</v>
      </c>
      <c r="I377" s="15" t="s">
        <v>49</v>
      </c>
      <c r="J377" s="7" t="str">
        <f>HYPERLINK("https://www.codechef.com/problems/EVMHACK", "https://www.codechef.com/problems/EVMHACK")</f>
        <v>https://www.codechef.com/problems/EVMHACK</v>
      </c>
      <c r="K377" s="15"/>
      <c r="L377" s="15" t="s">
        <v>2138</v>
      </c>
      <c r="M377" s="15"/>
      <c r="N377" s="15" t="s">
        <v>50</v>
      </c>
      <c r="O377" s="15" t="s">
        <v>51</v>
      </c>
    </row>
    <row r="378" spans="1:15">
      <c r="A378" s="14" t="s">
        <v>11</v>
      </c>
      <c r="B378" s="14" t="s">
        <v>2302</v>
      </c>
      <c r="C378" s="14" t="s">
        <v>2303</v>
      </c>
      <c r="D378" s="14" t="s">
        <v>2577</v>
      </c>
      <c r="E378" s="14">
        <v>106</v>
      </c>
      <c r="F378" s="14" t="s">
        <v>2616</v>
      </c>
      <c r="G378" s="14" t="s">
        <v>2617</v>
      </c>
      <c r="H378" s="14" t="s">
        <v>2618</v>
      </c>
      <c r="I378" s="14" t="s">
        <v>49</v>
      </c>
      <c r="J378" s="11" t="str">
        <f>HYPERLINK("https://www.codechef.com/problems/DIVAB", "https://www.codechef.com/problems/DIVAB")</f>
        <v>https://www.codechef.com/problems/DIVAB</v>
      </c>
      <c r="K378" s="14"/>
      <c r="L378" s="14" t="s">
        <v>194</v>
      </c>
      <c r="M378" s="14"/>
      <c r="N378" s="14" t="s">
        <v>50</v>
      </c>
      <c r="O378" s="14" t="s">
        <v>51</v>
      </c>
    </row>
    <row r="379" spans="1:15">
      <c r="A379" s="15" t="s">
        <v>11</v>
      </c>
      <c r="B379" s="15" t="s">
        <v>2302</v>
      </c>
      <c r="C379" s="15" t="s">
        <v>2303</v>
      </c>
      <c r="D379" s="15" t="s">
        <v>2577</v>
      </c>
      <c r="E379" s="15">
        <v>107</v>
      </c>
      <c r="F379" s="15" t="s">
        <v>2619</v>
      </c>
      <c r="G379" s="15" t="s">
        <v>2620</v>
      </c>
      <c r="H379" s="15" t="s">
        <v>2621</v>
      </c>
      <c r="I379" s="15" t="s">
        <v>49</v>
      </c>
      <c r="J379" s="7" t="str">
        <f>HYPERLINK("https://www.codechef.com/problems/FFL", "https://www.codechef.com/problems/FFL")</f>
        <v>https://www.codechef.com/problems/FFL</v>
      </c>
      <c r="K379" s="15"/>
      <c r="L379" s="15" t="s">
        <v>140</v>
      </c>
      <c r="M379" s="15"/>
      <c r="N379" s="15" t="s">
        <v>50</v>
      </c>
      <c r="O379" s="15" t="s">
        <v>51</v>
      </c>
    </row>
    <row r="380" spans="1:15">
      <c r="A380" s="14" t="s">
        <v>11</v>
      </c>
      <c r="B380" s="14" t="s">
        <v>2302</v>
      </c>
      <c r="C380" s="14" t="s">
        <v>2303</v>
      </c>
      <c r="D380" s="14" t="s">
        <v>2577</v>
      </c>
      <c r="E380" s="14">
        <v>108</v>
      </c>
      <c r="F380" s="14" t="s">
        <v>2622</v>
      </c>
      <c r="G380" s="14" t="s">
        <v>2623</v>
      </c>
      <c r="H380" s="14" t="s">
        <v>2624</v>
      </c>
      <c r="I380" s="14" t="s">
        <v>49</v>
      </c>
      <c r="J380" s="11" t="str">
        <f>HYPERLINK("https://www.codechef.com/problems/CHFM", "https://www.codechef.com/problems/CHFM")</f>
        <v>https://www.codechef.com/problems/CHFM</v>
      </c>
      <c r="K380" s="14"/>
      <c r="L380" s="14" t="s">
        <v>2625</v>
      </c>
      <c r="M380" s="14"/>
      <c r="N380" s="14" t="s">
        <v>50</v>
      </c>
      <c r="O380" s="14" t="s">
        <v>51</v>
      </c>
    </row>
    <row r="381" spans="1:15">
      <c r="A381" s="15" t="s">
        <v>11</v>
      </c>
      <c r="B381" s="15" t="s">
        <v>2302</v>
      </c>
      <c r="C381" s="15" t="s">
        <v>2303</v>
      </c>
      <c r="D381" s="15" t="s">
        <v>2577</v>
      </c>
      <c r="E381" s="15">
        <v>109</v>
      </c>
      <c r="F381" s="15" t="s">
        <v>2626</v>
      </c>
      <c r="G381" s="15" t="s">
        <v>2627</v>
      </c>
      <c r="H381" s="15" t="s">
        <v>2624</v>
      </c>
      <c r="I381" s="15" t="s">
        <v>49</v>
      </c>
      <c r="J381" s="7" t="str">
        <f>HYPERLINK("https://www.codechef.com/problems/XORMAX", "https://www.codechef.com/problems/XORMAX")</f>
        <v>https://www.codechef.com/problems/XORMAX</v>
      </c>
      <c r="K381" s="15"/>
      <c r="L381" s="15"/>
      <c r="M381" s="15"/>
      <c r="N381" s="15" t="s">
        <v>50</v>
      </c>
      <c r="O381" s="15" t="s">
        <v>51</v>
      </c>
    </row>
    <row r="382" spans="1:15">
      <c r="A382" s="14" t="s">
        <v>11</v>
      </c>
      <c r="B382" s="14" t="s">
        <v>2302</v>
      </c>
      <c r="C382" s="14" t="s">
        <v>2303</v>
      </c>
      <c r="D382" s="14" t="s">
        <v>2577</v>
      </c>
      <c r="E382" s="14">
        <v>110</v>
      </c>
      <c r="F382" s="14" t="s">
        <v>2628</v>
      </c>
      <c r="G382" s="14" t="s">
        <v>2629</v>
      </c>
      <c r="H382" s="14" t="s">
        <v>1332</v>
      </c>
      <c r="I382" s="14" t="s">
        <v>49</v>
      </c>
      <c r="J382" s="11" t="str">
        <f>HYPERLINK("https://www.codechef.com/problems/SPALNUM", "https://www.codechef.com/problems/SPALNUM")</f>
        <v>https://www.codechef.com/problems/SPALNUM</v>
      </c>
      <c r="K382" s="14"/>
      <c r="L382" s="14"/>
      <c r="M382" s="14"/>
      <c r="N382" s="14" t="s">
        <v>50</v>
      </c>
      <c r="O382" s="14" t="s">
        <v>51</v>
      </c>
    </row>
    <row r="383" spans="1:15">
      <c r="A383" s="15" t="s">
        <v>11</v>
      </c>
      <c r="B383" s="15" t="s">
        <v>2302</v>
      </c>
      <c r="C383" s="15" t="s">
        <v>2303</v>
      </c>
      <c r="D383" s="15" t="s">
        <v>2577</v>
      </c>
      <c r="E383" s="15">
        <v>111</v>
      </c>
      <c r="F383" s="15" t="s">
        <v>2630</v>
      </c>
      <c r="G383" s="15" t="s">
        <v>2631</v>
      </c>
      <c r="H383" s="15" t="s">
        <v>1332</v>
      </c>
      <c r="I383" s="15" t="s">
        <v>49</v>
      </c>
      <c r="J383" s="7" t="str">
        <f>HYPERLINK("https://www.codechef.com/problems/S02E10", "https://www.codechef.com/problems/S02E10")</f>
        <v>https://www.codechef.com/problems/S02E10</v>
      </c>
      <c r="K383" s="15"/>
      <c r="L383" s="15"/>
      <c r="M383" s="15"/>
      <c r="N383" s="15" t="s">
        <v>50</v>
      </c>
      <c r="O383" s="15" t="s">
        <v>51</v>
      </c>
    </row>
    <row r="384" spans="1:15">
      <c r="A384" s="14" t="s">
        <v>11</v>
      </c>
      <c r="B384" s="14" t="s">
        <v>2302</v>
      </c>
      <c r="C384" s="14" t="s">
        <v>2303</v>
      </c>
      <c r="D384" s="14" t="s">
        <v>2577</v>
      </c>
      <c r="E384" s="14">
        <v>112</v>
      </c>
      <c r="F384" s="14" t="s">
        <v>2632</v>
      </c>
      <c r="G384" s="14" t="s">
        <v>2633</v>
      </c>
      <c r="H384" s="14" t="s">
        <v>1332</v>
      </c>
      <c r="I384" s="14" t="s">
        <v>49</v>
      </c>
      <c r="J384" s="11" t="str">
        <f>HYPERLINK("https://www.codechef.com/problems/TWOTRAINS", "https://www.codechef.com/problems/TWOTRAINS")</f>
        <v>https://www.codechef.com/problems/TWOTRAINS</v>
      </c>
      <c r="K384" s="14"/>
      <c r="L384" s="14"/>
      <c r="M384" s="14"/>
      <c r="N384" s="14" t="s">
        <v>50</v>
      </c>
      <c r="O384" s="14" t="s">
        <v>51</v>
      </c>
    </row>
    <row r="385" spans="1:15">
      <c r="A385" s="15" t="s">
        <v>11</v>
      </c>
      <c r="B385" s="15" t="s">
        <v>2302</v>
      </c>
      <c r="C385" s="15" t="s">
        <v>2303</v>
      </c>
      <c r="D385" s="15" t="s">
        <v>2577</v>
      </c>
      <c r="E385" s="15">
        <v>113</v>
      </c>
      <c r="F385" s="15" t="s">
        <v>2634</v>
      </c>
      <c r="G385" s="15" t="s">
        <v>2635</v>
      </c>
      <c r="H385" s="15" t="s">
        <v>272</v>
      </c>
      <c r="I385" s="15" t="s">
        <v>49</v>
      </c>
      <c r="J385" s="7" t="str">
        <f>HYPERLINK("https://www.codechef.com/problems/GOODSET", "https://www.codechef.com/problems/GOODSET")</f>
        <v>https://www.codechef.com/problems/GOODSET</v>
      </c>
      <c r="K385" s="15"/>
      <c r="L385" s="15" t="s">
        <v>2138</v>
      </c>
      <c r="M385" s="15"/>
      <c r="N385" s="15" t="s">
        <v>50</v>
      </c>
      <c r="O385" s="15" t="s">
        <v>51</v>
      </c>
    </row>
    <row r="386" spans="1:15">
      <c r="A386" s="14" t="s">
        <v>11</v>
      </c>
      <c r="B386" s="14" t="s">
        <v>2302</v>
      </c>
      <c r="C386" s="14" t="s">
        <v>2303</v>
      </c>
      <c r="D386" s="14" t="s">
        <v>2577</v>
      </c>
      <c r="E386" s="14">
        <v>114</v>
      </c>
      <c r="F386" s="14" t="s">
        <v>2636</v>
      </c>
      <c r="G386" s="14" t="s">
        <v>2637</v>
      </c>
      <c r="H386" s="14" t="s">
        <v>2638</v>
      </c>
      <c r="I386" s="14" t="s">
        <v>49</v>
      </c>
      <c r="J386" s="11" t="str">
        <f>HYPERLINK("https://www.codechef.com/problems/CAESAR", "https://www.codechef.com/problems/CAESAR")</f>
        <v>https://www.codechef.com/problems/CAESAR</v>
      </c>
      <c r="K386" s="14"/>
      <c r="L386" s="14" t="s">
        <v>1701</v>
      </c>
      <c r="M386" s="14"/>
      <c r="N386" s="14" t="s">
        <v>50</v>
      </c>
      <c r="O386" s="14" t="s">
        <v>51</v>
      </c>
    </row>
    <row r="387" spans="1:15">
      <c r="A387" s="15" t="s">
        <v>11</v>
      </c>
      <c r="B387" s="15" t="s">
        <v>2302</v>
      </c>
      <c r="C387" s="15" t="s">
        <v>2303</v>
      </c>
      <c r="D387" s="15" t="s">
        <v>2577</v>
      </c>
      <c r="E387" s="15">
        <v>115</v>
      </c>
      <c r="F387" s="15" t="s">
        <v>2639</v>
      </c>
      <c r="G387" s="15" t="s">
        <v>2640</v>
      </c>
      <c r="H387" s="15" t="s">
        <v>2641</v>
      </c>
      <c r="I387" s="15" t="s">
        <v>49</v>
      </c>
      <c r="J387" s="7" t="str">
        <f>HYPERLINK("https://www.codechef.com/problems/EQUALCOIN", "https://www.codechef.com/problems/EQUALCOIN")</f>
        <v>https://www.codechef.com/problems/EQUALCOIN</v>
      </c>
      <c r="K387" s="15"/>
      <c r="L387" s="15" t="s">
        <v>2642</v>
      </c>
      <c r="M387" s="15"/>
      <c r="N387" s="15" t="s">
        <v>50</v>
      </c>
      <c r="O387" s="15" t="s">
        <v>51</v>
      </c>
    </row>
    <row r="388" spans="1:15">
      <c r="A388" s="14" t="s">
        <v>11</v>
      </c>
      <c r="B388" s="14" t="s">
        <v>2302</v>
      </c>
      <c r="C388" s="14" t="s">
        <v>2303</v>
      </c>
      <c r="D388" s="14" t="s">
        <v>2577</v>
      </c>
      <c r="E388" s="14">
        <v>116</v>
      </c>
      <c r="F388" s="14" t="s">
        <v>2643</v>
      </c>
      <c r="G388" s="14" t="s">
        <v>2644</v>
      </c>
      <c r="H388" s="14" t="s">
        <v>2645</v>
      </c>
      <c r="I388" s="14" t="s">
        <v>49</v>
      </c>
      <c r="J388" s="11" t="str">
        <f>HYPERLINK("https://www.codechef.com/problems/DISTCODE", "https://www.codechef.com/problems/DISTCODE")</f>
        <v>https://www.codechef.com/problems/DISTCODE</v>
      </c>
      <c r="K388" s="14"/>
      <c r="L388" s="14" t="s">
        <v>2646</v>
      </c>
      <c r="M388" s="14"/>
      <c r="N388" s="14" t="s">
        <v>50</v>
      </c>
      <c r="O388" s="14" t="s">
        <v>51</v>
      </c>
    </row>
    <row r="389" spans="1:15">
      <c r="A389" s="15" t="s">
        <v>11</v>
      </c>
      <c r="B389" s="15" t="s">
        <v>2302</v>
      </c>
      <c r="C389" s="15" t="s">
        <v>2303</v>
      </c>
      <c r="D389" s="15" t="s">
        <v>2577</v>
      </c>
      <c r="E389" s="15">
        <v>117</v>
      </c>
      <c r="F389" s="15" t="s">
        <v>2647</v>
      </c>
      <c r="G389" s="15" t="s">
        <v>2648</v>
      </c>
      <c r="H389" s="15" t="s">
        <v>2645</v>
      </c>
      <c r="I389" s="15" t="s">
        <v>49</v>
      </c>
      <c r="J389" s="7" t="str">
        <f>HYPERLINK("https://www.codechef.com/problems/MODEFREQ", "https://www.codechef.com/problems/MODEFREQ")</f>
        <v>https://www.codechef.com/problems/MODEFREQ</v>
      </c>
      <c r="K389" s="15"/>
      <c r="L389" s="15" t="s">
        <v>2649</v>
      </c>
      <c r="M389" s="15"/>
      <c r="N389" s="15" t="s">
        <v>50</v>
      </c>
      <c r="O389" s="15" t="s">
        <v>51</v>
      </c>
    </row>
    <row r="390" spans="1:15">
      <c r="A390" s="14" t="s">
        <v>11</v>
      </c>
      <c r="B390" s="14" t="s">
        <v>2302</v>
      </c>
      <c r="C390" s="14" t="s">
        <v>2303</v>
      </c>
      <c r="D390" s="14" t="s">
        <v>2577</v>
      </c>
      <c r="E390" s="14">
        <v>118</v>
      </c>
      <c r="F390" s="14" t="s">
        <v>2650</v>
      </c>
      <c r="G390" s="14" t="s">
        <v>2651</v>
      </c>
      <c r="H390" s="14" t="s">
        <v>2652</v>
      </c>
      <c r="I390" s="14" t="s">
        <v>49</v>
      </c>
      <c r="J390" s="11" t="str">
        <f>HYPERLINK("https://www.codechef.com/problems/ADADISH", "https://www.codechef.com/problems/ADADISH")</f>
        <v>https://www.codechef.com/problems/ADADISH</v>
      </c>
      <c r="K390" s="14"/>
      <c r="L390" s="14" t="s">
        <v>67</v>
      </c>
      <c r="M390" s="14"/>
      <c r="N390" s="14" t="s">
        <v>50</v>
      </c>
      <c r="O390" s="14" t="s">
        <v>51</v>
      </c>
    </row>
    <row r="391" spans="1:15">
      <c r="A391" s="15" t="s">
        <v>11</v>
      </c>
      <c r="B391" s="15" t="s">
        <v>2302</v>
      </c>
      <c r="C391" s="15" t="s">
        <v>2303</v>
      </c>
      <c r="D391" s="15" t="s">
        <v>2577</v>
      </c>
      <c r="E391" s="15">
        <v>119</v>
      </c>
      <c r="F391" s="15" t="s">
        <v>2653</v>
      </c>
      <c r="G391" s="15" t="s">
        <v>2654</v>
      </c>
      <c r="H391" s="15" t="s">
        <v>2652</v>
      </c>
      <c r="I391" s="15" t="s">
        <v>49</v>
      </c>
      <c r="J391" s="7" t="str">
        <f>HYPERLINK("https://www.codechef.com/problems/DISABLEDKING", "https://www.codechef.com/problems/DISABLEDKING")</f>
        <v>https://www.codechef.com/problems/DISABLEDKING</v>
      </c>
      <c r="K391" s="15"/>
      <c r="L391" s="15" t="s">
        <v>2655</v>
      </c>
      <c r="M391" s="15"/>
      <c r="N391" s="15" t="s">
        <v>50</v>
      </c>
      <c r="O391" s="15" t="s">
        <v>51</v>
      </c>
    </row>
    <row r="392" spans="1:15">
      <c r="A392" s="14" t="s">
        <v>11</v>
      </c>
      <c r="B392" s="14" t="s">
        <v>2302</v>
      </c>
      <c r="C392" s="14" t="s">
        <v>2303</v>
      </c>
      <c r="D392" s="14" t="s">
        <v>2577</v>
      </c>
      <c r="E392" s="14">
        <v>120</v>
      </c>
      <c r="F392" s="14" t="s">
        <v>2656</v>
      </c>
      <c r="G392" s="14" t="s">
        <v>2657</v>
      </c>
      <c r="H392" s="14" t="s">
        <v>2658</v>
      </c>
      <c r="I392" s="14" t="s">
        <v>49</v>
      </c>
      <c r="J392" s="11" t="str">
        <f>HYPERLINK("https://www.codechef.com/problems/STRPALIN", "https://www.codechef.com/problems/STRPALIN")</f>
        <v>https://www.codechef.com/problems/STRPALIN</v>
      </c>
      <c r="K392" s="14"/>
      <c r="L392" s="14"/>
      <c r="M392" s="14"/>
      <c r="N392" s="14" t="s">
        <v>50</v>
      </c>
      <c r="O392" s="14" t="s">
        <v>51</v>
      </c>
    </row>
    <row r="393" spans="1:15">
      <c r="A393" s="15" t="s">
        <v>11</v>
      </c>
      <c r="B393" s="15" t="s">
        <v>2302</v>
      </c>
      <c r="C393" s="15" t="s">
        <v>2303</v>
      </c>
      <c r="D393" s="15" t="s">
        <v>2577</v>
      </c>
      <c r="E393" s="15">
        <v>121</v>
      </c>
      <c r="F393" s="15" t="s">
        <v>2659</v>
      </c>
      <c r="G393" s="15" t="s">
        <v>2660</v>
      </c>
      <c r="H393" s="15" t="s">
        <v>2658</v>
      </c>
      <c r="I393" s="15" t="s">
        <v>49</v>
      </c>
      <c r="J393" s="7" t="str">
        <f>HYPERLINK("https://www.codechef.com/problems/SWAPCW", "https://www.codechef.com/problems/SWAPCW")</f>
        <v>https://www.codechef.com/problems/SWAPCW</v>
      </c>
      <c r="K393" s="15"/>
      <c r="L393" s="15"/>
      <c r="M393" s="15"/>
      <c r="N393" s="15" t="s">
        <v>50</v>
      </c>
      <c r="O393" s="15" t="s">
        <v>51</v>
      </c>
    </row>
    <row r="394" spans="1:15">
      <c r="A394" s="14" t="s">
        <v>11</v>
      </c>
      <c r="B394" s="14" t="s">
        <v>2302</v>
      </c>
      <c r="C394" s="14" t="s">
        <v>2303</v>
      </c>
      <c r="D394" s="14" t="s">
        <v>2577</v>
      </c>
      <c r="E394" s="14">
        <v>122</v>
      </c>
      <c r="F394" s="14" t="s">
        <v>2661</v>
      </c>
      <c r="G394" s="14" t="s">
        <v>2662</v>
      </c>
      <c r="H394" s="14" t="s">
        <v>2663</v>
      </c>
      <c r="I394" s="14" t="s">
        <v>49</v>
      </c>
      <c r="J394" s="11" t="str">
        <f>HYPERLINK("https://www.codechef.com/problems/CLOSEVOWEL", "https://www.codechef.com/problems/CLOSEVOWEL")</f>
        <v>https://www.codechef.com/problems/CLOSEVOWEL</v>
      </c>
      <c r="K394" s="14"/>
      <c r="L394" s="14" t="s">
        <v>2664</v>
      </c>
      <c r="M394" s="14"/>
      <c r="N394" s="14" t="s">
        <v>50</v>
      </c>
      <c r="O394" s="14" t="s">
        <v>51</v>
      </c>
    </row>
    <row r="395" spans="1:15">
      <c r="A395" s="15" t="s">
        <v>11</v>
      </c>
      <c r="B395" s="15" t="s">
        <v>2302</v>
      </c>
      <c r="C395" s="15" t="s">
        <v>2303</v>
      </c>
      <c r="D395" s="15" t="s">
        <v>2577</v>
      </c>
      <c r="E395" s="15">
        <v>123</v>
      </c>
      <c r="F395" s="15" t="s">
        <v>2665</v>
      </c>
      <c r="G395" s="15" t="s">
        <v>2666</v>
      </c>
      <c r="H395" s="15" t="s">
        <v>2667</v>
      </c>
      <c r="I395" s="15" t="s">
        <v>49</v>
      </c>
      <c r="J395" s="7" t="str">
        <f>HYPERLINK("https://www.codechef.com/problems/PCJ18A", "https://www.codechef.com/problems/PCJ18A")</f>
        <v>https://www.codechef.com/problems/PCJ18A</v>
      </c>
      <c r="K395" s="15"/>
      <c r="L395" s="15" t="s">
        <v>67</v>
      </c>
      <c r="M395" s="15"/>
      <c r="N395" s="15" t="s">
        <v>50</v>
      </c>
      <c r="O395" s="15" t="s">
        <v>51</v>
      </c>
    </row>
    <row r="396" spans="1:15">
      <c r="A396" s="14" t="s">
        <v>11</v>
      </c>
      <c r="B396" s="14" t="s">
        <v>2302</v>
      </c>
      <c r="C396" s="14" t="s">
        <v>2303</v>
      </c>
      <c r="D396" s="14" t="s">
        <v>2577</v>
      </c>
      <c r="E396" s="14">
        <v>124</v>
      </c>
      <c r="F396" s="14" t="s">
        <v>2668</v>
      </c>
      <c r="G396" s="14" t="s">
        <v>2669</v>
      </c>
      <c r="H396" s="14" t="s">
        <v>2670</v>
      </c>
      <c r="I396" s="14" t="s">
        <v>49</v>
      </c>
      <c r="J396" s="11" t="str">
        <f>HYPERLINK("https://www.codechef.com/problems/WALK", "https://www.codechef.com/problems/WALK")</f>
        <v>https://www.codechef.com/problems/WALK</v>
      </c>
      <c r="K396" s="14"/>
      <c r="L396" s="14"/>
      <c r="M396" s="14"/>
      <c r="N396" s="14" t="s">
        <v>50</v>
      </c>
      <c r="O396" s="14" t="s">
        <v>51</v>
      </c>
    </row>
    <row r="397" spans="1:15">
      <c r="A397" s="15" t="s">
        <v>11</v>
      </c>
      <c r="B397" s="15" t="s">
        <v>2302</v>
      </c>
      <c r="C397" s="15" t="s">
        <v>2303</v>
      </c>
      <c r="D397" s="15" t="s">
        <v>2577</v>
      </c>
      <c r="E397" s="15">
        <v>125</v>
      </c>
      <c r="F397" s="15" t="s">
        <v>2671</v>
      </c>
      <c r="G397" s="15" t="s">
        <v>2672</v>
      </c>
      <c r="H397" s="15" t="s">
        <v>2670</v>
      </c>
      <c r="I397" s="15" t="s">
        <v>49</v>
      </c>
      <c r="J397" s="7" t="str">
        <f>HYPERLINK("https://www.codechef.com/problems/LIFTME", "https://www.codechef.com/problems/LIFTME")</f>
        <v>https://www.codechef.com/problems/LIFTME</v>
      </c>
      <c r="K397" s="15"/>
      <c r="L397" s="15" t="s">
        <v>1701</v>
      </c>
      <c r="M397" s="15"/>
      <c r="N397" s="15" t="s">
        <v>50</v>
      </c>
      <c r="O397" s="15" t="s">
        <v>51</v>
      </c>
    </row>
    <row r="398" spans="1:15">
      <c r="A398" s="14" t="s">
        <v>11</v>
      </c>
      <c r="B398" s="14" t="s">
        <v>2302</v>
      </c>
      <c r="C398" s="14" t="s">
        <v>2303</v>
      </c>
      <c r="D398" s="14" t="s">
        <v>2577</v>
      </c>
      <c r="E398" s="14">
        <v>126</v>
      </c>
      <c r="F398" s="14" t="s">
        <v>2673</v>
      </c>
      <c r="G398" s="14" t="s">
        <v>2674</v>
      </c>
      <c r="H398" s="14" t="s">
        <v>295</v>
      </c>
      <c r="I398" s="14" t="s">
        <v>49</v>
      </c>
      <c r="J398" s="11" t="str">
        <f>HYPERLINK("https://www.codechef.com/problems/AMSGAME1", "https://www.codechef.com/problems/AMSGAME1")</f>
        <v>https://www.codechef.com/problems/AMSGAME1</v>
      </c>
      <c r="K398" s="14"/>
      <c r="L398" s="14" t="s">
        <v>2675</v>
      </c>
      <c r="M398" s="14"/>
      <c r="N398" s="14" t="s">
        <v>50</v>
      </c>
      <c r="O398" s="14" t="s">
        <v>51</v>
      </c>
    </row>
    <row r="399" spans="1:15">
      <c r="A399" s="15" t="s">
        <v>11</v>
      </c>
      <c r="B399" s="15" t="s">
        <v>2302</v>
      </c>
      <c r="C399" s="15" t="s">
        <v>2303</v>
      </c>
      <c r="D399" s="15" t="s">
        <v>2577</v>
      </c>
      <c r="E399" s="15">
        <v>127</v>
      </c>
      <c r="F399" s="15" t="s">
        <v>2676</v>
      </c>
      <c r="G399" s="15" t="s">
        <v>2677</v>
      </c>
      <c r="H399" s="15" t="s">
        <v>295</v>
      </c>
      <c r="I399" s="15" t="s">
        <v>49</v>
      </c>
      <c r="J399" s="7" t="str">
        <f>HYPERLINK("https://www.codechef.com/problems/CHFMOT18", "https://www.codechef.com/problems/CHFMOT18")</f>
        <v>https://www.codechef.com/problems/CHFMOT18</v>
      </c>
      <c r="K399" s="15"/>
      <c r="L399" s="15" t="s">
        <v>2678</v>
      </c>
      <c r="M399" s="15"/>
      <c r="N399" s="15" t="s">
        <v>50</v>
      </c>
      <c r="O399" s="15" t="s">
        <v>51</v>
      </c>
    </row>
    <row r="400" spans="1:15">
      <c r="A400" s="14" t="s">
        <v>11</v>
      </c>
      <c r="B400" s="14" t="s">
        <v>2302</v>
      </c>
      <c r="C400" s="14" t="s">
        <v>2303</v>
      </c>
      <c r="D400" s="14" t="s">
        <v>2577</v>
      </c>
      <c r="E400" s="14">
        <v>128</v>
      </c>
      <c r="F400" s="14" t="s">
        <v>2679</v>
      </c>
      <c r="G400" s="14" t="s">
        <v>2680</v>
      </c>
      <c r="H400" s="14" t="s">
        <v>295</v>
      </c>
      <c r="I400" s="14" t="s">
        <v>49</v>
      </c>
      <c r="J400" s="11" t="str">
        <f>HYPERLINK("https://www.codechef.com/problems/NOFIX", "https://www.codechef.com/problems/NOFIX")</f>
        <v>https://www.codechef.com/problems/NOFIX</v>
      </c>
      <c r="K400" s="14"/>
      <c r="L400" s="14" t="s">
        <v>2681</v>
      </c>
      <c r="M400" s="14"/>
      <c r="N400" s="14" t="s">
        <v>50</v>
      </c>
      <c r="O400" s="14" t="s">
        <v>51</v>
      </c>
    </row>
    <row r="401" spans="1:15">
      <c r="A401" s="15" t="s">
        <v>11</v>
      </c>
      <c r="B401" s="15" t="s">
        <v>2302</v>
      </c>
      <c r="C401" s="15" t="s">
        <v>2303</v>
      </c>
      <c r="D401" s="15" t="s">
        <v>2577</v>
      </c>
      <c r="E401" s="15">
        <v>129</v>
      </c>
      <c r="F401" s="15" t="s">
        <v>2682</v>
      </c>
      <c r="G401" s="15" t="s">
        <v>2683</v>
      </c>
      <c r="H401" s="15" t="s">
        <v>176</v>
      </c>
      <c r="I401" s="15" t="s">
        <v>49</v>
      </c>
      <c r="J401" s="7" t="str">
        <f>HYPERLINK("https://www.codechef.com/problems/TOTR", "https://www.codechef.com/problems/TOTR")</f>
        <v>https://www.codechef.com/problems/TOTR</v>
      </c>
      <c r="K401" s="15"/>
      <c r="L401" s="15"/>
      <c r="M401" s="15"/>
      <c r="N401" s="15" t="s">
        <v>50</v>
      </c>
      <c r="O401" s="15" t="s">
        <v>51</v>
      </c>
    </row>
    <row r="402" spans="1:15">
      <c r="A402" s="14" t="s">
        <v>11</v>
      </c>
      <c r="B402" s="14" t="s">
        <v>2302</v>
      </c>
      <c r="C402" s="14" t="s">
        <v>2303</v>
      </c>
      <c r="D402" s="14" t="s">
        <v>2577</v>
      </c>
      <c r="E402" s="14">
        <v>130</v>
      </c>
      <c r="F402" s="14" t="s">
        <v>174</v>
      </c>
      <c r="G402" s="14" t="s">
        <v>175</v>
      </c>
      <c r="H402" s="14" t="s">
        <v>176</v>
      </c>
      <c r="I402" s="14" t="s">
        <v>49</v>
      </c>
      <c r="J402" s="11" t="str">
        <f>HYPERLINK("https://www.codechef.com/problems/CHEFSUM", "https://www.codechef.com/problems/CHEFSUM")</f>
        <v>https://www.codechef.com/problems/CHEFSUM</v>
      </c>
      <c r="K402" s="14"/>
      <c r="L402" s="14" t="s">
        <v>177</v>
      </c>
      <c r="M402" s="14"/>
      <c r="N402" s="14" t="s">
        <v>50</v>
      </c>
      <c r="O402" s="14" t="s">
        <v>51</v>
      </c>
    </row>
    <row r="403" spans="1:15">
      <c r="A403" s="15" t="s">
        <v>11</v>
      </c>
      <c r="B403" s="15" t="s">
        <v>2302</v>
      </c>
      <c r="C403" s="15" t="s">
        <v>2303</v>
      </c>
      <c r="D403" s="15" t="s">
        <v>2577</v>
      </c>
      <c r="E403" s="15">
        <v>131</v>
      </c>
      <c r="F403" s="15" t="s">
        <v>2684</v>
      </c>
      <c r="G403" s="15" t="s">
        <v>2685</v>
      </c>
      <c r="H403" s="15" t="s">
        <v>2686</v>
      </c>
      <c r="I403" s="15" t="s">
        <v>49</v>
      </c>
      <c r="J403" s="7" t="str">
        <f>HYPERLINK("https://www.codechef.com/problems/THREEPOW2", "https://www.codechef.com/problems/THREEPOW2")</f>
        <v>https://www.codechef.com/problems/THREEPOW2</v>
      </c>
      <c r="K403" s="15"/>
      <c r="L403" s="15"/>
      <c r="M403" s="15"/>
      <c r="N403" s="15" t="s">
        <v>50</v>
      </c>
      <c r="O403" s="15" t="s">
        <v>51</v>
      </c>
    </row>
    <row r="404" spans="1:15">
      <c r="A404" s="14" t="s">
        <v>11</v>
      </c>
      <c r="B404" s="14" t="s">
        <v>2302</v>
      </c>
      <c r="C404" s="14" t="s">
        <v>2303</v>
      </c>
      <c r="D404" s="14" t="s">
        <v>2577</v>
      </c>
      <c r="E404" s="14">
        <v>132</v>
      </c>
      <c r="F404" s="14" t="s">
        <v>2687</v>
      </c>
      <c r="G404" s="14" t="s">
        <v>2688</v>
      </c>
      <c r="H404" s="14" t="s">
        <v>2689</v>
      </c>
      <c r="I404" s="14" t="s">
        <v>49</v>
      </c>
      <c r="J404" s="11" t="str">
        <f>HYPERLINK("https://www.codechef.com/problems/LKDNGOLF", "https://www.codechef.com/problems/LKDNGOLF")</f>
        <v>https://www.codechef.com/problems/LKDNGOLF</v>
      </c>
      <c r="K404" s="14"/>
      <c r="L404" s="14" t="s">
        <v>194</v>
      </c>
      <c r="M404" s="14"/>
      <c r="N404" s="14" t="s">
        <v>50</v>
      </c>
      <c r="O404" s="14" t="s">
        <v>51</v>
      </c>
    </row>
    <row r="405" spans="1:15">
      <c r="A405" s="15" t="s">
        <v>11</v>
      </c>
      <c r="B405" s="15" t="s">
        <v>2302</v>
      </c>
      <c r="C405" s="15" t="s">
        <v>2303</v>
      </c>
      <c r="D405" s="15" t="s">
        <v>2577</v>
      </c>
      <c r="E405" s="15">
        <v>133</v>
      </c>
      <c r="F405" s="15" t="s">
        <v>2690</v>
      </c>
      <c r="G405" s="15" t="s">
        <v>2691</v>
      </c>
      <c r="H405" s="15" t="s">
        <v>2692</v>
      </c>
      <c r="I405" s="15" t="s">
        <v>49</v>
      </c>
      <c r="J405" s="7" t="str">
        <f>HYPERLINK("https://www.codechef.com/problems/BIGSALE", "https://www.codechef.com/problems/BIGSALE")</f>
        <v>https://www.codechef.com/problems/BIGSALE</v>
      </c>
      <c r="K405" s="15"/>
      <c r="L405" s="15" t="s">
        <v>209</v>
      </c>
      <c r="M405" s="15"/>
      <c r="N405" s="15" t="s">
        <v>50</v>
      </c>
      <c r="O405" s="15" t="s">
        <v>51</v>
      </c>
    </row>
    <row r="406" spans="1:15">
      <c r="A406" s="14" t="s">
        <v>11</v>
      </c>
      <c r="B406" s="14" t="s">
        <v>2302</v>
      </c>
      <c r="C406" s="14" t="s">
        <v>2303</v>
      </c>
      <c r="D406" s="14" t="s">
        <v>2577</v>
      </c>
      <c r="E406" s="14">
        <v>134</v>
      </c>
      <c r="F406" s="14" t="s">
        <v>2693</v>
      </c>
      <c r="G406" s="14" t="s">
        <v>2694</v>
      </c>
      <c r="H406" s="14" t="s">
        <v>2695</v>
      </c>
      <c r="I406" s="14" t="s">
        <v>49</v>
      </c>
      <c r="J406" s="11" t="str">
        <f>HYPERLINK("https://www.codechef.com/problems/BINSTRING", "https://www.codechef.com/problems/BINSTRING")</f>
        <v>https://www.codechef.com/problems/BINSTRING</v>
      </c>
      <c r="K406" s="14"/>
      <c r="L406" s="14" t="s">
        <v>2338</v>
      </c>
      <c r="M406" s="14"/>
      <c r="N406" s="14" t="s">
        <v>50</v>
      </c>
      <c r="O406" s="14" t="s">
        <v>51</v>
      </c>
    </row>
    <row r="407" spans="1:15">
      <c r="A407" s="15" t="s">
        <v>11</v>
      </c>
      <c r="B407" s="15" t="s">
        <v>2302</v>
      </c>
      <c r="C407" s="15" t="s">
        <v>2303</v>
      </c>
      <c r="D407" s="15" t="s">
        <v>2577</v>
      </c>
      <c r="E407" s="15">
        <v>135</v>
      </c>
      <c r="F407" s="15" t="s">
        <v>2696</v>
      </c>
      <c r="G407" s="15" t="s">
        <v>2697</v>
      </c>
      <c r="H407" s="15" t="s">
        <v>2698</v>
      </c>
      <c r="I407" s="15" t="s">
        <v>49</v>
      </c>
      <c r="J407" s="7" t="str">
        <f>HYPERLINK("https://www.codechef.com/problems/SUBSTADD", "https://www.codechef.com/problems/SUBSTADD")</f>
        <v>https://www.codechef.com/problems/SUBSTADD</v>
      </c>
      <c r="K407" s="15"/>
      <c r="L407" s="15"/>
      <c r="M407" s="15"/>
      <c r="N407" s="15" t="s">
        <v>50</v>
      </c>
      <c r="O407" s="15" t="s">
        <v>51</v>
      </c>
    </row>
    <row r="408" spans="1:15">
      <c r="A408" s="14" t="s">
        <v>11</v>
      </c>
      <c r="B408" s="14" t="s">
        <v>2302</v>
      </c>
      <c r="C408" s="14" t="s">
        <v>2303</v>
      </c>
      <c r="D408" s="14" t="s">
        <v>2577</v>
      </c>
      <c r="E408" s="14">
        <v>136</v>
      </c>
      <c r="F408" s="14" t="s">
        <v>2699</v>
      </c>
      <c r="G408" s="14" t="s">
        <v>2700</v>
      </c>
      <c r="H408" s="14" t="s">
        <v>2698</v>
      </c>
      <c r="I408" s="14" t="s">
        <v>49</v>
      </c>
      <c r="J408" s="11" t="str">
        <f>HYPERLINK("https://www.codechef.com/problems/KDELI", "https://www.codechef.com/problems/KDELI")</f>
        <v>https://www.codechef.com/problems/KDELI</v>
      </c>
      <c r="K408" s="14"/>
      <c r="L408" s="14" t="s">
        <v>2701</v>
      </c>
      <c r="M408" s="14"/>
      <c r="N408" s="14" t="s">
        <v>50</v>
      </c>
      <c r="O408" s="14" t="s">
        <v>51</v>
      </c>
    </row>
    <row r="409" spans="1:15">
      <c r="A409" s="15" t="s">
        <v>11</v>
      </c>
      <c r="B409" s="15" t="s">
        <v>2302</v>
      </c>
      <c r="C409" s="15" t="s">
        <v>2303</v>
      </c>
      <c r="D409" s="15" t="s">
        <v>2577</v>
      </c>
      <c r="E409" s="15">
        <v>137</v>
      </c>
      <c r="F409" s="15" t="s">
        <v>2702</v>
      </c>
      <c r="G409" s="15" t="s">
        <v>2703</v>
      </c>
      <c r="H409" s="15" t="s">
        <v>2704</v>
      </c>
      <c r="I409" s="15" t="s">
        <v>49</v>
      </c>
      <c r="J409" s="7" t="str">
        <f>HYPERLINK("https://www.codechef.com/problems/RD19", "https://www.codechef.com/problems/RD19")</f>
        <v>https://www.codechef.com/problems/RD19</v>
      </c>
      <c r="K409" s="15"/>
      <c r="L409" s="15"/>
      <c r="M409" s="15"/>
      <c r="N409" s="15" t="s">
        <v>50</v>
      </c>
      <c r="O409" s="15" t="s">
        <v>51</v>
      </c>
    </row>
    <row r="410" spans="1:15">
      <c r="A410" s="14" t="s">
        <v>11</v>
      </c>
      <c r="B410" s="14" t="s">
        <v>2302</v>
      </c>
      <c r="C410" s="14" t="s">
        <v>2303</v>
      </c>
      <c r="D410" s="14" t="s">
        <v>2577</v>
      </c>
      <c r="E410" s="14">
        <v>138</v>
      </c>
      <c r="F410" s="14" t="s">
        <v>2705</v>
      </c>
      <c r="G410" s="14" t="s">
        <v>2706</v>
      </c>
      <c r="H410" s="14" t="s">
        <v>2707</v>
      </c>
      <c r="I410" s="14" t="s">
        <v>49</v>
      </c>
      <c r="J410" s="11" t="str">
        <f>HYPERLINK("https://www.codechef.com/problems/CHFICRM", "https://www.codechef.com/problems/CHFICRM")</f>
        <v>https://www.codechef.com/problems/CHFICRM</v>
      </c>
      <c r="K410" s="14"/>
      <c r="L410" s="14" t="s">
        <v>2567</v>
      </c>
      <c r="M410" s="14"/>
      <c r="N410" s="14" t="s">
        <v>50</v>
      </c>
      <c r="O410" s="14" t="s">
        <v>51</v>
      </c>
    </row>
    <row r="411" spans="1:15">
      <c r="A411" s="15" t="s">
        <v>11</v>
      </c>
      <c r="B411" s="15" t="s">
        <v>2302</v>
      </c>
      <c r="C411" s="15" t="s">
        <v>2303</v>
      </c>
      <c r="D411" s="15" t="s">
        <v>2577</v>
      </c>
      <c r="E411" s="15">
        <v>139</v>
      </c>
      <c r="F411" s="15" t="s">
        <v>2708</v>
      </c>
      <c r="G411" s="15" t="s">
        <v>2709</v>
      </c>
      <c r="H411" s="15" t="s">
        <v>2707</v>
      </c>
      <c r="I411" s="15" t="s">
        <v>49</v>
      </c>
      <c r="J411" s="7" t="str">
        <f>HYPERLINK("https://www.codechef.com/problems/HCAGMAM1", "https://www.codechef.com/problems/HCAGMAM1")</f>
        <v>https://www.codechef.com/problems/HCAGMAM1</v>
      </c>
      <c r="K411" s="15"/>
      <c r="L411" s="15" t="s">
        <v>2710</v>
      </c>
      <c r="M411" s="15"/>
      <c r="N411" s="15" t="s">
        <v>50</v>
      </c>
      <c r="O411" s="15" t="s">
        <v>51</v>
      </c>
    </row>
    <row r="412" spans="1:15">
      <c r="A412" s="14" t="s">
        <v>11</v>
      </c>
      <c r="B412" s="14" t="s">
        <v>2302</v>
      </c>
      <c r="C412" s="14" t="s">
        <v>2303</v>
      </c>
      <c r="D412" s="14" t="s">
        <v>2577</v>
      </c>
      <c r="E412" s="14">
        <v>140</v>
      </c>
      <c r="F412" s="14" t="s">
        <v>2711</v>
      </c>
      <c r="G412" s="14" t="s">
        <v>2712</v>
      </c>
      <c r="H412" s="14" t="s">
        <v>2713</v>
      </c>
      <c r="I412" s="14" t="s">
        <v>49</v>
      </c>
      <c r="J412" s="11" t="str">
        <f>HYPERLINK("https://www.codechef.com/problems/VILLINE", "https://www.codechef.com/problems/VILLINE")</f>
        <v>https://www.codechef.com/problems/VILLINE</v>
      </c>
      <c r="K412" s="14"/>
      <c r="L412" s="14"/>
      <c r="M412" s="14"/>
      <c r="N412" s="14" t="s">
        <v>50</v>
      </c>
      <c r="O412" s="14" t="s">
        <v>51</v>
      </c>
    </row>
    <row r="413" spans="1:15">
      <c r="A413" s="15" t="s">
        <v>11</v>
      </c>
      <c r="B413" s="15" t="s">
        <v>2302</v>
      </c>
      <c r="C413" s="15" t="s">
        <v>2303</v>
      </c>
      <c r="D413" s="15" t="s">
        <v>2577</v>
      </c>
      <c r="E413" s="15">
        <v>141</v>
      </c>
      <c r="F413" s="15" t="s">
        <v>2714</v>
      </c>
      <c r="G413" s="15" t="s">
        <v>2715</v>
      </c>
      <c r="H413" s="15" t="s">
        <v>2716</v>
      </c>
      <c r="I413" s="15" t="s">
        <v>49</v>
      </c>
      <c r="J413" s="7" t="str">
        <f>HYPERLINK("https://www.codechef.com/problems/CHEALG", "https://www.codechef.com/problems/CHEALG")</f>
        <v>https://www.codechef.com/problems/CHEALG</v>
      </c>
      <c r="K413" s="15"/>
      <c r="L413" s="15" t="s">
        <v>2717</v>
      </c>
      <c r="M413" s="15"/>
      <c r="N413" s="15" t="s">
        <v>50</v>
      </c>
      <c r="O413" s="15" t="s">
        <v>51</v>
      </c>
    </row>
    <row r="414" spans="1:15">
      <c r="A414" s="14" t="s">
        <v>11</v>
      </c>
      <c r="B414" s="14" t="s">
        <v>2302</v>
      </c>
      <c r="C414" s="14" t="s">
        <v>2303</v>
      </c>
      <c r="D414" s="14" t="s">
        <v>2577</v>
      </c>
      <c r="E414" s="14">
        <v>142</v>
      </c>
      <c r="F414" s="14" t="s">
        <v>2718</v>
      </c>
      <c r="G414" s="14" t="s">
        <v>2719</v>
      </c>
      <c r="H414" s="14" t="s">
        <v>2720</v>
      </c>
      <c r="I414" s="14" t="s">
        <v>49</v>
      </c>
      <c r="J414" s="11" t="str">
        <f>HYPERLINK("https://www.codechef.com/problems/PLMU", "https://www.codechef.com/problems/PLMU")</f>
        <v>https://www.codechef.com/problems/PLMU</v>
      </c>
      <c r="K414" s="14"/>
      <c r="L414" s="14" t="s">
        <v>2721</v>
      </c>
      <c r="M414" s="14"/>
      <c r="N414" s="14" t="s">
        <v>50</v>
      </c>
      <c r="O414" s="14" t="s">
        <v>51</v>
      </c>
    </row>
    <row r="415" spans="1:15">
      <c r="A415" s="15" t="s">
        <v>11</v>
      </c>
      <c r="B415" s="15" t="s">
        <v>2302</v>
      </c>
      <c r="C415" s="15" t="s">
        <v>2303</v>
      </c>
      <c r="D415" s="15" t="s">
        <v>2577</v>
      </c>
      <c r="E415" s="15">
        <v>143</v>
      </c>
      <c r="F415" s="15" t="s">
        <v>2722</v>
      </c>
      <c r="G415" s="15" t="s">
        <v>2723</v>
      </c>
      <c r="H415" s="15" t="s">
        <v>2724</v>
      </c>
      <c r="I415" s="15" t="s">
        <v>49</v>
      </c>
      <c r="J415" s="7" t="str">
        <f>HYPERLINK("https://www.codechef.com/problems/HRDSEQ", "https://www.codechef.com/problems/HRDSEQ")</f>
        <v>https://www.codechef.com/problems/HRDSEQ</v>
      </c>
      <c r="K415" s="15"/>
      <c r="L415" s="15" t="s">
        <v>1701</v>
      </c>
      <c r="M415" s="15"/>
      <c r="N415" s="15" t="s">
        <v>50</v>
      </c>
      <c r="O415" s="15" t="s">
        <v>51</v>
      </c>
    </row>
    <row r="416" spans="1:15">
      <c r="A416" s="14" t="s">
        <v>11</v>
      </c>
      <c r="B416" s="14" t="s">
        <v>2302</v>
      </c>
      <c r="C416" s="14" t="s">
        <v>2303</v>
      </c>
      <c r="D416" s="14" t="s">
        <v>2577</v>
      </c>
      <c r="E416" s="14">
        <v>144</v>
      </c>
      <c r="F416" s="14" t="s">
        <v>2725</v>
      </c>
      <c r="G416" s="14" t="s">
        <v>2726</v>
      </c>
      <c r="H416" s="14" t="s">
        <v>2724</v>
      </c>
      <c r="I416" s="14" t="s">
        <v>49</v>
      </c>
      <c r="J416" s="11" t="str">
        <f>HYPERLINK("https://www.codechef.com/problems/ABOVEAVG", "https://www.codechef.com/problems/ABOVEAVG")</f>
        <v>https://www.codechef.com/problems/ABOVEAVG</v>
      </c>
      <c r="K416" s="14"/>
      <c r="L416" s="14" t="s">
        <v>2727</v>
      </c>
      <c r="M416" s="14"/>
      <c r="N416" s="14" t="s">
        <v>50</v>
      </c>
      <c r="O416" s="14" t="s">
        <v>51</v>
      </c>
    </row>
    <row r="417" spans="1:15">
      <c r="A417" s="15" t="s">
        <v>11</v>
      </c>
      <c r="B417" s="15" t="s">
        <v>2302</v>
      </c>
      <c r="C417" s="15" t="s">
        <v>2303</v>
      </c>
      <c r="D417" s="15" t="s">
        <v>2577</v>
      </c>
      <c r="E417" s="15">
        <v>145</v>
      </c>
      <c r="F417" s="15" t="s">
        <v>2728</v>
      </c>
      <c r="G417" s="15" t="s">
        <v>2729</v>
      </c>
      <c r="H417" s="15" t="s">
        <v>2730</v>
      </c>
      <c r="I417" s="15" t="s">
        <v>49</v>
      </c>
      <c r="J417" s="7" t="str">
        <f>HYPERLINK("https://www.codechef.com/problems/FANCY", "https://www.codechef.com/problems/FANCY")</f>
        <v>https://www.codechef.com/problems/FANCY</v>
      </c>
      <c r="K417" s="15"/>
      <c r="L417" s="15" t="s">
        <v>2731</v>
      </c>
      <c r="M417" s="15"/>
      <c r="N417" s="15" t="s">
        <v>50</v>
      </c>
      <c r="O417" s="15" t="s">
        <v>51</v>
      </c>
    </row>
    <row r="418" spans="1:15">
      <c r="A418" s="14" t="s">
        <v>11</v>
      </c>
      <c r="B418" s="14" t="s">
        <v>2302</v>
      </c>
      <c r="C418" s="14" t="s">
        <v>2303</v>
      </c>
      <c r="D418" s="14" t="s">
        <v>2577</v>
      </c>
      <c r="E418" s="14">
        <v>146</v>
      </c>
      <c r="F418" s="14" t="s">
        <v>2732</v>
      </c>
      <c r="G418" s="14" t="s">
        <v>2733</v>
      </c>
      <c r="H418" s="14" t="s">
        <v>503</v>
      </c>
      <c r="I418" s="14" t="s">
        <v>49</v>
      </c>
      <c r="J418" s="11" t="str">
        <f>HYPERLINK("https://www.codechef.com/problems/EQSARRAY", "https://www.codechef.com/problems/EQSARRAY")</f>
        <v>https://www.codechef.com/problems/EQSARRAY</v>
      </c>
      <c r="K418" s="14"/>
      <c r="L418" s="14" t="s">
        <v>2734</v>
      </c>
      <c r="M418" s="14"/>
      <c r="N418" s="14" t="s">
        <v>50</v>
      </c>
      <c r="O418" s="14" t="s">
        <v>51</v>
      </c>
    </row>
    <row r="419" spans="1:15">
      <c r="A419" s="15" t="s">
        <v>11</v>
      </c>
      <c r="B419" s="15" t="s">
        <v>2302</v>
      </c>
      <c r="C419" s="15" t="s">
        <v>2303</v>
      </c>
      <c r="D419" s="15" t="s">
        <v>2577</v>
      </c>
      <c r="E419" s="15">
        <v>147</v>
      </c>
      <c r="F419" s="15" t="s">
        <v>2735</v>
      </c>
      <c r="G419" s="15" t="s">
        <v>2736</v>
      </c>
      <c r="H419" s="15" t="s">
        <v>2737</v>
      </c>
      <c r="I419" s="15" t="s">
        <v>49</v>
      </c>
      <c r="J419" s="7" t="str">
        <f>HYPERLINK("https://www.codechef.com/problems/ARREQU", "https://www.codechef.com/problems/ARREQU")</f>
        <v>https://www.codechef.com/problems/ARREQU</v>
      </c>
      <c r="K419" s="15"/>
      <c r="L419" s="15" t="s">
        <v>2138</v>
      </c>
      <c r="M419" s="15"/>
      <c r="N419" s="15" t="s">
        <v>50</v>
      </c>
      <c r="O419" s="15" t="s">
        <v>51</v>
      </c>
    </row>
    <row r="420" spans="1:15">
      <c r="A420" s="14" t="s">
        <v>11</v>
      </c>
      <c r="B420" s="14" t="s">
        <v>2302</v>
      </c>
      <c r="C420" s="14" t="s">
        <v>2303</v>
      </c>
      <c r="D420" s="14" t="s">
        <v>2577</v>
      </c>
      <c r="E420" s="14">
        <v>148</v>
      </c>
      <c r="F420" s="14" t="s">
        <v>2738</v>
      </c>
      <c r="G420" s="14" t="s">
        <v>2739</v>
      </c>
      <c r="H420" s="14" t="s">
        <v>2740</v>
      </c>
      <c r="I420" s="14" t="s">
        <v>49</v>
      </c>
      <c r="J420" s="11" t="str">
        <f>HYPERLINK("https://www.codechef.com/problems/LEBOMBS", "https://www.codechef.com/problems/LEBOMBS")</f>
        <v>https://www.codechef.com/problems/LEBOMBS</v>
      </c>
      <c r="K420" s="14"/>
      <c r="L420" s="14" t="s">
        <v>2731</v>
      </c>
      <c r="M420" s="14"/>
      <c r="N420" s="14" t="s">
        <v>50</v>
      </c>
      <c r="O420" s="14" t="s">
        <v>51</v>
      </c>
    </row>
    <row r="421" spans="1:15">
      <c r="A421" s="15" t="s">
        <v>11</v>
      </c>
      <c r="B421" s="15" t="s">
        <v>2302</v>
      </c>
      <c r="C421" s="15" t="s">
        <v>2303</v>
      </c>
      <c r="D421" s="15" t="s">
        <v>2577</v>
      </c>
      <c r="E421" s="15">
        <v>149</v>
      </c>
      <c r="F421" s="15" t="s">
        <v>2741</v>
      </c>
      <c r="G421" s="15" t="s">
        <v>2742</v>
      </c>
      <c r="H421" s="15" t="s">
        <v>2740</v>
      </c>
      <c r="I421" s="15" t="s">
        <v>49</v>
      </c>
      <c r="J421" s="7" t="str">
        <f>HYPERLINK("https://www.codechef.com/problems/LCPESY", "https://www.codechef.com/problems/LCPESY")</f>
        <v>https://www.codechef.com/problems/LCPESY</v>
      </c>
      <c r="K421" s="15"/>
      <c r="L421" s="15" t="s">
        <v>2743</v>
      </c>
      <c r="M421" s="15"/>
      <c r="N421" s="15" t="s">
        <v>50</v>
      </c>
      <c r="O421" s="15" t="s">
        <v>51</v>
      </c>
    </row>
    <row r="422" spans="1:15">
      <c r="A422" s="14" t="s">
        <v>11</v>
      </c>
      <c r="B422" s="14" t="s">
        <v>2302</v>
      </c>
      <c r="C422" s="14" t="s">
        <v>2303</v>
      </c>
      <c r="D422" s="14" t="s">
        <v>2577</v>
      </c>
      <c r="E422" s="14">
        <v>150</v>
      </c>
      <c r="F422" s="14" t="s">
        <v>2744</v>
      </c>
      <c r="G422" s="14" t="s">
        <v>2745</v>
      </c>
      <c r="H422" s="14" t="s">
        <v>2746</v>
      </c>
      <c r="I422" s="14" t="s">
        <v>49</v>
      </c>
      <c r="J422" s="11" t="str">
        <f>HYPERLINK("https://www.codechef.com/problems/TIES", "https://www.codechef.com/problems/TIES")</f>
        <v>https://www.codechef.com/problems/TIES</v>
      </c>
      <c r="K422" s="14"/>
      <c r="L422" s="14"/>
      <c r="M422" s="14"/>
      <c r="N422" s="14" t="s">
        <v>50</v>
      </c>
      <c r="O422" s="14" t="s">
        <v>51</v>
      </c>
    </row>
    <row r="423" spans="1:15">
      <c r="A423" s="15" t="s">
        <v>11</v>
      </c>
      <c r="B423" s="15" t="s">
        <v>2302</v>
      </c>
      <c r="C423" s="15" t="s">
        <v>2303</v>
      </c>
      <c r="D423" s="15" t="s">
        <v>2577</v>
      </c>
      <c r="E423" s="15">
        <v>151</v>
      </c>
      <c r="F423" s="15" t="s">
        <v>2747</v>
      </c>
      <c r="G423" s="15" t="s">
        <v>2748</v>
      </c>
      <c r="H423" s="15" t="s">
        <v>2749</v>
      </c>
      <c r="I423" s="15" t="s">
        <v>49</v>
      </c>
      <c r="J423" s="7" t="str">
        <f>HYPERLINK("https://www.codechef.com/problems/SSCRIPT", "https://www.codechef.com/problems/SSCRIPT")</f>
        <v>https://www.codechef.com/problems/SSCRIPT</v>
      </c>
      <c r="K423" s="15"/>
      <c r="L423" s="15"/>
      <c r="M423" s="15"/>
      <c r="N423" s="15" t="s">
        <v>50</v>
      </c>
      <c r="O423" s="15" t="s">
        <v>51</v>
      </c>
    </row>
    <row r="424" spans="1:15">
      <c r="A424" s="14" t="s">
        <v>11</v>
      </c>
      <c r="B424" s="14" t="s">
        <v>2302</v>
      </c>
      <c r="C424" s="14" t="s">
        <v>2303</v>
      </c>
      <c r="D424" s="14" t="s">
        <v>2577</v>
      </c>
      <c r="E424" s="14">
        <v>152</v>
      </c>
      <c r="F424" s="14" t="s">
        <v>2750</v>
      </c>
      <c r="G424" s="14" t="s">
        <v>2751</v>
      </c>
      <c r="H424" s="14" t="s">
        <v>2752</v>
      </c>
      <c r="I424" s="14" t="s">
        <v>49</v>
      </c>
      <c r="J424" s="11" t="str">
        <f>HYPERLINK("https://www.codechef.com/problems/ATTIC", "https://www.codechef.com/problems/ATTIC")</f>
        <v>https://www.codechef.com/problems/ATTIC</v>
      </c>
      <c r="K424" s="14"/>
      <c r="L424" s="14" t="s">
        <v>105</v>
      </c>
      <c r="M424" s="14"/>
      <c r="N424" s="14" t="s">
        <v>50</v>
      </c>
      <c r="O424" s="14" t="s">
        <v>51</v>
      </c>
    </row>
    <row r="425" spans="1:15">
      <c r="A425" s="15" t="s">
        <v>11</v>
      </c>
      <c r="B425" s="15" t="s">
        <v>2302</v>
      </c>
      <c r="C425" s="15" t="s">
        <v>2303</v>
      </c>
      <c r="D425" s="15" t="s">
        <v>2577</v>
      </c>
      <c r="E425" s="15">
        <v>153</v>
      </c>
      <c r="F425" s="15" t="s">
        <v>2753</v>
      </c>
      <c r="G425" s="15" t="s">
        <v>2754</v>
      </c>
      <c r="H425" s="15" t="s">
        <v>2752</v>
      </c>
      <c r="I425" s="15" t="s">
        <v>49</v>
      </c>
      <c r="J425" s="7" t="str">
        <f>HYPERLINK("https://www.codechef.com/problems/CHFCHK", "https://www.codechef.com/problems/CHFCHK")</f>
        <v>https://www.codechef.com/problems/CHFCHK</v>
      </c>
      <c r="K425" s="15"/>
      <c r="L425" s="15" t="s">
        <v>2344</v>
      </c>
      <c r="M425" s="15"/>
      <c r="N425" s="15" t="s">
        <v>50</v>
      </c>
      <c r="O425" s="15" t="s">
        <v>51</v>
      </c>
    </row>
    <row r="426" spans="1:15">
      <c r="A426" s="14" t="s">
        <v>11</v>
      </c>
      <c r="B426" s="14" t="s">
        <v>2302</v>
      </c>
      <c r="C426" s="14" t="s">
        <v>2303</v>
      </c>
      <c r="D426" s="14" t="s">
        <v>2577</v>
      </c>
      <c r="E426" s="14">
        <v>154</v>
      </c>
      <c r="F426" s="14" t="s">
        <v>2755</v>
      </c>
      <c r="G426" s="14" t="s">
        <v>2756</v>
      </c>
      <c r="H426" s="14" t="s">
        <v>2757</v>
      </c>
      <c r="I426" s="14" t="s">
        <v>49</v>
      </c>
      <c r="J426" s="11" t="str">
        <f>HYPERLINK("https://www.codechef.com/problems/NITIKA", "https://www.codechef.com/problems/NITIKA")</f>
        <v>https://www.codechef.com/problems/NITIKA</v>
      </c>
      <c r="K426" s="14"/>
      <c r="L426" s="14" t="s">
        <v>2731</v>
      </c>
      <c r="M426" s="14"/>
      <c r="N426" s="14" t="s">
        <v>50</v>
      </c>
      <c r="O426" s="14" t="s">
        <v>51</v>
      </c>
    </row>
    <row r="427" spans="1:15">
      <c r="A427" s="15" t="s">
        <v>11</v>
      </c>
      <c r="B427" s="15" t="s">
        <v>2302</v>
      </c>
      <c r="C427" s="15" t="s">
        <v>2303</v>
      </c>
      <c r="D427" s="15" t="s">
        <v>2577</v>
      </c>
      <c r="E427" s="15">
        <v>155</v>
      </c>
      <c r="F427" s="15" t="s">
        <v>2758</v>
      </c>
      <c r="G427" s="15" t="s">
        <v>2759</v>
      </c>
      <c r="H427" s="15" t="s">
        <v>506</v>
      </c>
      <c r="I427" s="15" t="s">
        <v>49</v>
      </c>
      <c r="J427" s="7" t="str">
        <f>HYPERLINK("https://www.codechef.com/problems/MAXFUN", "https://www.codechef.com/problems/MAXFUN")</f>
        <v>https://www.codechef.com/problems/MAXFUN</v>
      </c>
      <c r="K427" s="15"/>
      <c r="L427" s="15" t="s">
        <v>2760</v>
      </c>
      <c r="M427" s="15"/>
      <c r="N427" s="15" t="s">
        <v>50</v>
      </c>
      <c r="O427" s="15" t="s">
        <v>51</v>
      </c>
    </row>
    <row r="428" spans="1:15">
      <c r="A428" s="14" t="s">
        <v>11</v>
      </c>
      <c r="B428" s="14" t="s">
        <v>2302</v>
      </c>
      <c r="C428" s="14" t="s">
        <v>2303</v>
      </c>
      <c r="D428" s="14" t="s">
        <v>2577</v>
      </c>
      <c r="E428" s="14">
        <v>156</v>
      </c>
      <c r="F428" s="14" t="s">
        <v>2761</v>
      </c>
      <c r="G428" s="14" t="s">
        <v>2762</v>
      </c>
      <c r="H428" s="14" t="s">
        <v>2763</v>
      </c>
      <c r="I428" s="14" t="s">
        <v>49</v>
      </c>
      <c r="J428" s="11" t="str">
        <f>HYPERLINK("https://www.codechef.com/problems/CHEFLUCK", "https://www.codechef.com/problems/CHEFLUCK")</f>
        <v>https://www.codechef.com/problems/CHEFLUCK</v>
      </c>
      <c r="K428" s="14"/>
      <c r="L428" s="14" t="s">
        <v>2764</v>
      </c>
      <c r="M428" s="14"/>
      <c r="N428" s="14" t="s">
        <v>50</v>
      </c>
      <c r="O428" s="14" t="s">
        <v>51</v>
      </c>
    </row>
    <row r="429" spans="1:15">
      <c r="A429" s="15" t="s">
        <v>11</v>
      </c>
      <c r="B429" s="15" t="s">
        <v>2302</v>
      </c>
      <c r="C429" s="15" t="s">
        <v>2303</v>
      </c>
      <c r="D429" s="15" t="s">
        <v>2577</v>
      </c>
      <c r="E429" s="15">
        <v>157</v>
      </c>
      <c r="F429" s="15" t="s">
        <v>2765</v>
      </c>
      <c r="G429" s="15" t="s">
        <v>2766</v>
      </c>
      <c r="H429" s="15" t="s">
        <v>2767</v>
      </c>
      <c r="I429" s="15" t="s">
        <v>49</v>
      </c>
      <c r="J429" s="7" t="str">
        <f>HYPERLINK("https://www.codechef.com/problems/DISPAL", "https://www.codechef.com/problems/DISPAL")</f>
        <v>https://www.codechef.com/problems/DISPAL</v>
      </c>
      <c r="K429" s="15"/>
      <c r="L429" s="15" t="s">
        <v>105</v>
      </c>
      <c r="M429" s="15"/>
      <c r="N429" s="15" t="s">
        <v>50</v>
      </c>
      <c r="O429" s="15" t="s">
        <v>51</v>
      </c>
    </row>
    <row r="430" spans="1:15">
      <c r="A430" s="14" t="s">
        <v>11</v>
      </c>
      <c r="B430" s="14" t="s">
        <v>2302</v>
      </c>
      <c r="C430" s="14" t="s">
        <v>2303</v>
      </c>
      <c r="D430" s="14" t="s">
        <v>2577</v>
      </c>
      <c r="E430" s="14">
        <v>158</v>
      </c>
      <c r="F430" s="14" t="s">
        <v>2768</v>
      </c>
      <c r="G430" s="14" t="s">
        <v>2769</v>
      </c>
      <c r="H430" s="14" t="s">
        <v>2770</v>
      </c>
      <c r="I430" s="14" t="s">
        <v>49</v>
      </c>
      <c r="J430" s="11" t="str">
        <f>HYPERLINK("https://www.codechef.com/problems/TAVISUAL", "https://www.codechef.com/problems/TAVISUAL")</f>
        <v>https://www.codechef.com/problems/TAVISUAL</v>
      </c>
      <c r="K430" s="14"/>
      <c r="L430" s="14"/>
      <c r="M430" s="14"/>
      <c r="N430" s="14" t="s">
        <v>50</v>
      </c>
      <c r="O430" s="14" t="s">
        <v>51</v>
      </c>
    </row>
    <row r="431" spans="1:15">
      <c r="A431" s="15" t="s">
        <v>11</v>
      </c>
      <c r="B431" s="15" t="s">
        <v>2302</v>
      </c>
      <c r="C431" s="15" t="s">
        <v>2303</v>
      </c>
      <c r="D431" s="15" t="s">
        <v>2577</v>
      </c>
      <c r="E431" s="15">
        <v>159</v>
      </c>
      <c r="F431" s="15" t="s">
        <v>2771</v>
      </c>
      <c r="G431" s="15" t="s">
        <v>2772</v>
      </c>
      <c r="H431" s="15" t="s">
        <v>2770</v>
      </c>
      <c r="I431" s="15" t="s">
        <v>49</v>
      </c>
      <c r="J431" s="7" t="str">
        <f>HYPERLINK("https://www.codechef.com/problems/FUNHAND", "https://www.codechef.com/problems/FUNHAND")</f>
        <v>https://www.codechef.com/problems/FUNHAND</v>
      </c>
      <c r="K431" s="15"/>
      <c r="L431" s="15" t="s">
        <v>2773</v>
      </c>
      <c r="M431" s="15"/>
      <c r="N431" s="15" t="s">
        <v>50</v>
      </c>
      <c r="O431" s="15" t="s">
        <v>51</v>
      </c>
    </row>
    <row r="432" spans="1:15">
      <c r="A432" s="14" t="s">
        <v>11</v>
      </c>
      <c r="B432" s="14" t="s">
        <v>2302</v>
      </c>
      <c r="C432" s="14" t="s">
        <v>2303</v>
      </c>
      <c r="D432" s="14" t="s">
        <v>2577</v>
      </c>
      <c r="E432" s="14">
        <v>160</v>
      </c>
      <c r="F432" s="14" t="s">
        <v>2774</v>
      </c>
      <c r="G432" s="14" t="s">
        <v>2775</v>
      </c>
      <c r="H432" s="14" t="s">
        <v>281</v>
      </c>
      <c r="I432" s="14" t="s">
        <v>49</v>
      </c>
      <c r="J432" s="11" t="str">
        <f>HYPERLINK("https://www.codechef.com/problems/PERMCLEAR", "https://www.codechef.com/problems/PERMCLEAR")</f>
        <v>https://www.codechef.com/problems/PERMCLEAR</v>
      </c>
      <c r="K432" s="14"/>
      <c r="L432" s="14"/>
      <c r="M432" s="14"/>
      <c r="N432" s="14" t="s">
        <v>50</v>
      </c>
      <c r="O432" s="14" t="s">
        <v>51</v>
      </c>
    </row>
    <row r="433" spans="1:15">
      <c r="A433" s="15" t="s">
        <v>11</v>
      </c>
      <c r="B433" s="15" t="s">
        <v>2302</v>
      </c>
      <c r="C433" s="15" t="s">
        <v>2303</v>
      </c>
      <c r="D433" s="15" t="s">
        <v>2577</v>
      </c>
      <c r="E433" s="15">
        <v>161</v>
      </c>
      <c r="F433" s="15" t="s">
        <v>2776</v>
      </c>
      <c r="G433" s="15" t="s">
        <v>2777</v>
      </c>
      <c r="H433" s="15" t="s">
        <v>510</v>
      </c>
      <c r="I433" s="15" t="s">
        <v>49</v>
      </c>
      <c r="J433" s="7" t="str">
        <f>HYPERLINK("https://www.codechef.com/problems/UWCOI20B", "https://www.codechef.com/problems/UWCOI20B")</f>
        <v>https://www.codechef.com/problems/UWCOI20B</v>
      </c>
      <c r="K433" s="15"/>
      <c r="L433" s="15"/>
      <c r="M433" s="15"/>
      <c r="N433" s="15" t="s">
        <v>50</v>
      </c>
      <c r="O433" s="15" t="s">
        <v>51</v>
      </c>
    </row>
    <row r="434" spans="1:15">
      <c r="A434" s="14" t="s">
        <v>11</v>
      </c>
      <c r="B434" s="14" t="s">
        <v>2302</v>
      </c>
      <c r="C434" s="14" t="s">
        <v>2303</v>
      </c>
      <c r="D434" s="14" t="s">
        <v>2577</v>
      </c>
      <c r="E434" s="14">
        <v>162</v>
      </c>
      <c r="F434" s="14" t="s">
        <v>2778</v>
      </c>
      <c r="G434" s="14" t="s">
        <v>2779</v>
      </c>
      <c r="H434" s="14" t="s">
        <v>2780</v>
      </c>
      <c r="I434" s="14" t="s">
        <v>49</v>
      </c>
      <c r="J434" s="11" t="str">
        <f>HYPERLINK("https://www.codechef.com/problems/EXTRAN", "https://www.codechef.com/problems/EXTRAN")</f>
        <v>https://www.codechef.com/problems/EXTRAN</v>
      </c>
      <c r="K434" s="14"/>
      <c r="L434" s="14" t="s">
        <v>2781</v>
      </c>
      <c r="M434" s="14"/>
      <c r="N434" s="14" t="s">
        <v>50</v>
      </c>
      <c r="O434" s="14" t="s">
        <v>51</v>
      </c>
    </row>
    <row r="435" spans="1:15">
      <c r="A435" s="15" t="s">
        <v>11</v>
      </c>
      <c r="B435" s="15" t="s">
        <v>2302</v>
      </c>
      <c r="C435" s="15" t="s">
        <v>2303</v>
      </c>
      <c r="D435" s="15" t="s">
        <v>2577</v>
      </c>
      <c r="E435" s="15">
        <v>163</v>
      </c>
      <c r="F435" s="15" t="s">
        <v>2782</v>
      </c>
      <c r="G435" s="15" t="s">
        <v>2783</v>
      </c>
      <c r="H435" s="15" t="s">
        <v>2780</v>
      </c>
      <c r="I435" s="15" t="s">
        <v>49</v>
      </c>
      <c r="J435" s="7" t="str">
        <f>HYPERLINK("https://www.codechef.com/problems/LPC", "https://www.codechef.com/problems/LPC")</f>
        <v>https://www.codechef.com/problems/LPC</v>
      </c>
      <c r="K435" s="15"/>
      <c r="L435" s="15" t="s">
        <v>2784</v>
      </c>
      <c r="M435" s="15"/>
      <c r="N435" s="15" t="s">
        <v>50</v>
      </c>
      <c r="O435" s="15" t="s">
        <v>51</v>
      </c>
    </row>
    <row r="436" spans="1:15">
      <c r="A436" s="14" t="s">
        <v>11</v>
      </c>
      <c r="B436" s="14" t="s">
        <v>2302</v>
      </c>
      <c r="C436" s="14" t="s">
        <v>2303</v>
      </c>
      <c r="D436" s="14" t="s">
        <v>2577</v>
      </c>
      <c r="E436" s="14">
        <v>164</v>
      </c>
      <c r="F436" s="14" t="s">
        <v>2785</v>
      </c>
      <c r="G436" s="14" t="s">
        <v>2786</v>
      </c>
      <c r="H436" s="14" t="s">
        <v>2787</v>
      </c>
      <c r="I436" s="14" t="s">
        <v>49</v>
      </c>
      <c r="J436" s="11" t="str">
        <f>HYPERLINK("https://www.codechef.com/problems/CHPINTU", "https://www.codechef.com/problems/CHPINTU")</f>
        <v>https://www.codechef.com/problems/CHPINTU</v>
      </c>
      <c r="K436" s="14"/>
      <c r="L436" s="14" t="s">
        <v>2788</v>
      </c>
      <c r="M436" s="14"/>
      <c r="N436" s="14" t="s">
        <v>50</v>
      </c>
      <c r="O436" s="14" t="s">
        <v>51</v>
      </c>
    </row>
    <row r="437" spans="1:15">
      <c r="A437" s="15" t="s">
        <v>11</v>
      </c>
      <c r="B437" s="15" t="s">
        <v>2302</v>
      </c>
      <c r="C437" s="15" t="s">
        <v>2303</v>
      </c>
      <c r="D437" s="15" t="s">
        <v>2577</v>
      </c>
      <c r="E437" s="15">
        <v>165</v>
      </c>
      <c r="F437" s="15" t="s">
        <v>2789</v>
      </c>
      <c r="G437" s="15" t="s">
        <v>2790</v>
      </c>
      <c r="H437" s="15" t="s">
        <v>2787</v>
      </c>
      <c r="I437" s="15" t="s">
        <v>49</v>
      </c>
      <c r="J437" s="7" t="str">
        <f>HYPERLINK("https://www.codechef.com/problems/SPLITMAX", "https://www.codechef.com/problems/SPLITMAX")</f>
        <v>https://www.codechef.com/problems/SPLITMAX</v>
      </c>
      <c r="K437" s="15"/>
      <c r="L437" s="15"/>
      <c r="M437" s="15"/>
      <c r="N437" s="15" t="s">
        <v>50</v>
      </c>
      <c r="O437" s="15" t="s">
        <v>51</v>
      </c>
    </row>
    <row r="438" spans="1:15">
      <c r="A438" s="14" t="s">
        <v>11</v>
      </c>
      <c r="B438" s="14" t="s">
        <v>2302</v>
      </c>
      <c r="C438" s="14" t="s">
        <v>2303</v>
      </c>
      <c r="D438" s="14" t="s">
        <v>2577</v>
      </c>
      <c r="E438" s="14">
        <v>166</v>
      </c>
      <c r="F438" s="14" t="s">
        <v>2791</v>
      </c>
      <c r="G438" s="14" t="s">
        <v>2792</v>
      </c>
      <c r="H438" s="14" t="s">
        <v>2793</v>
      </c>
      <c r="I438" s="14" t="s">
        <v>49</v>
      </c>
      <c r="J438" s="11" t="str">
        <f>HYPERLINK("https://www.codechef.com/problems/HLEQN", "https://www.codechef.com/problems/HLEQN")</f>
        <v>https://www.codechef.com/problems/HLEQN</v>
      </c>
      <c r="K438" s="14"/>
      <c r="L438" s="14" t="s">
        <v>2794</v>
      </c>
      <c r="M438" s="14"/>
      <c r="N438" s="14" t="s">
        <v>50</v>
      </c>
      <c r="O438" s="14" t="s">
        <v>51</v>
      </c>
    </row>
    <row r="439" spans="1:15">
      <c r="A439" s="15" t="s">
        <v>11</v>
      </c>
      <c r="B439" s="15" t="s">
        <v>2302</v>
      </c>
      <c r="C439" s="15" t="s">
        <v>2303</v>
      </c>
      <c r="D439" s="15" t="s">
        <v>2577</v>
      </c>
      <c r="E439" s="15">
        <v>167</v>
      </c>
      <c r="F439" s="15" t="s">
        <v>2795</v>
      </c>
      <c r="G439" s="15" t="s">
        <v>2796</v>
      </c>
      <c r="H439" s="15" t="s">
        <v>1046</v>
      </c>
      <c r="I439" s="15" t="s">
        <v>49</v>
      </c>
      <c r="J439" s="7" t="str">
        <f>HYPERLINK("https://www.codechef.com/problems/NUMCOMP", "https://www.codechef.com/problems/NUMCOMP")</f>
        <v>https://www.codechef.com/problems/NUMCOMP</v>
      </c>
      <c r="K439" s="15"/>
      <c r="L439" s="15" t="s">
        <v>213</v>
      </c>
      <c r="M439" s="15"/>
      <c r="N439" s="15" t="s">
        <v>50</v>
      </c>
      <c r="O439" s="15" t="s">
        <v>51</v>
      </c>
    </row>
    <row r="440" spans="1:15">
      <c r="A440" s="14" t="s">
        <v>11</v>
      </c>
      <c r="B440" s="14" t="s">
        <v>2302</v>
      </c>
      <c r="C440" s="14" t="s">
        <v>2303</v>
      </c>
      <c r="D440" s="14" t="s">
        <v>2577</v>
      </c>
      <c r="E440" s="14">
        <v>168</v>
      </c>
      <c r="F440" s="14" t="s">
        <v>2797</v>
      </c>
      <c r="G440" s="14" t="s">
        <v>2798</v>
      </c>
      <c r="H440" s="14" t="s">
        <v>1046</v>
      </c>
      <c r="I440" s="14" t="s">
        <v>49</v>
      </c>
      <c r="J440" s="11" t="str">
        <f>HYPERLINK("https://www.codechef.com/problems/CACHEHIT", "https://www.codechef.com/problems/CACHEHIT")</f>
        <v>https://www.codechef.com/problems/CACHEHIT</v>
      </c>
      <c r="K440" s="14"/>
      <c r="L440" s="14" t="s">
        <v>1796</v>
      </c>
      <c r="M440" s="14"/>
      <c r="N440" s="14" t="s">
        <v>50</v>
      </c>
      <c r="O440" s="14" t="s">
        <v>51</v>
      </c>
    </row>
    <row r="441" spans="1:15">
      <c r="A441" s="15" t="s">
        <v>11</v>
      </c>
      <c r="B441" s="15" t="s">
        <v>2302</v>
      </c>
      <c r="C441" s="15" t="s">
        <v>2303</v>
      </c>
      <c r="D441" s="15" t="s">
        <v>2577</v>
      </c>
      <c r="E441" s="15">
        <v>169</v>
      </c>
      <c r="F441" s="15" t="s">
        <v>2799</v>
      </c>
      <c r="G441" s="15" t="s">
        <v>2800</v>
      </c>
      <c r="H441" s="15" t="s">
        <v>2801</v>
      </c>
      <c r="I441" s="15" t="s">
        <v>49</v>
      </c>
      <c r="J441" s="7" t="str">
        <f>HYPERLINK("https://www.codechef.com/problems/MAKEPALAGAIN", "https://www.codechef.com/problems/MAKEPALAGAIN")</f>
        <v>https://www.codechef.com/problems/MAKEPALAGAIN</v>
      </c>
      <c r="K441" s="15"/>
      <c r="L441" s="15" t="s">
        <v>2338</v>
      </c>
      <c r="M441" s="15"/>
      <c r="N441" s="15" t="s">
        <v>50</v>
      </c>
      <c r="O441" s="15" t="s">
        <v>51</v>
      </c>
    </row>
    <row r="442" spans="1:15">
      <c r="A442" s="14" t="s">
        <v>11</v>
      </c>
      <c r="B442" s="14" t="s">
        <v>2302</v>
      </c>
      <c r="C442" s="14" t="s">
        <v>2303</v>
      </c>
      <c r="D442" s="14" t="s">
        <v>2577</v>
      </c>
      <c r="E442" s="14">
        <v>170</v>
      </c>
      <c r="F442" s="14" t="s">
        <v>2802</v>
      </c>
      <c r="G442" s="14" t="s">
        <v>2803</v>
      </c>
      <c r="H442" s="14" t="s">
        <v>2801</v>
      </c>
      <c r="I442" s="14" t="s">
        <v>49</v>
      </c>
      <c r="J442" s="11" t="str">
        <f>HYPERLINK("https://www.codechef.com/problems/PERMGCD", "https://www.codechef.com/problems/PERMGCD")</f>
        <v>https://www.codechef.com/problems/PERMGCD</v>
      </c>
      <c r="K442" s="14"/>
      <c r="L442" s="14" t="s">
        <v>2804</v>
      </c>
      <c r="M442" s="14"/>
      <c r="N442" s="14" t="s">
        <v>50</v>
      </c>
      <c r="O442" s="14" t="s">
        <v>51</v>
      </c>
    </row>
    <row r="443" spans="1:15">
      <c r="A443" s="15" t="s">
        <v>11</v>
      </c>
      <c r="B443" s="15" t="s">
        <v>2302</v>
      </c>
      <c r="C443" s="15" t="s">
        <v>2303</v>
      </c>
      <c r="D443" s="15" t="s">
        <v>2577</v>
      </c>
      <c r="E443" s="15">
        <v>171</v>
      </c>
      <c r="F443" s="15" t="s">
        <v>2805</v>
      </c>
      <c r="G443" s="15" t="s">
        <v>2806</v>
      </c>
      <c r="H443" s="15" t="s">
        <v>2807</v>
      </c>
      <c r="I443" s="15" t="s">
        <v>49</v>
      </c>
      <c r="J443" s="7" t="str">
        <f>HYPERLINK("https://www.codechef.com/problems/DIVBYK", "https://www.codechef.com/problems/DIVBYK")</f>
        <v>https://www.codechef.com/problems/DIVBYK</v>
      </c>
      <c r="K443" s="15"/>
      <c r="L443" s="15" t="s">
        <v>202</v>
      </c>
      <c r="M443" s="15"/>
      <c r="N443" s="15" t="s">
        <v>50</v>
      </c>
      <c r="O443" s="15" t="s">
        <v>51</v>
      </c>
    </row>
    <row r="444" spans="1:15">
      <c r="A444" s="14" t="s">
        <v>11</v>
      </c>
      <c r="B444" s="14" t="s">
        <v>2302</v>
      </c>
      <c r="C444" s="14" t="s">
        <v>2303</v>
      </c>
      <c r="D444" s="14" t="s">
        <v>2577</v>
      </c>
      <c r="E444" s="14">
        <v>172</v>
      </c>
      <c r="F444" s="14" t="s">
        <v>2808</v>
      </c>
      <c r="G444" s="14" t="s">
        <v>2809</v>
      </c>
      <c r="H444" s="14" t="s">
        <v>2810</v>
      </c>
      <c r="I444" s="14" t="s">
        <v>49</v>
      </c>
      <c r="J444" s="11" t="str">
        <f>HYPERLINK("https://www.codechef.com/problems/CHEFCH", "https://www.codechef.com/problems/CHEFCH")</f>
        <v>https://www.codechef.com/problems/CHEFCH</v>
      </c>
      <c r="K444" s="14"/>
      <c r="L444" s="14" t="s">
        <v>2811</v>
      </c>
      <c r="M444" s="14"/>
      <c r="N444" s="14" t="s">
        <v>50</v>
      </c>
      <c r="O444" s="14" t="s">
        <v>51</v>
      </c>
    </row>
    <row r="445" spans="1:15">
      <c r="A445" s="15" t="s">
        <v>11</v>
      </c>
      <c r="B445" s="15" t="s">
        <v>2302</v>
      </c>
      <c r="C445" s="15" t="s">
        <v>2303</v>
      </c>
      <c r="D445" s="15" t="s">
        <v>2577</v>
      </c>
      <c r="E445" s="15">
        <v>173</v>
      </c>
      <c r="F445" s="15" t="s">
        <v>2812</v>
      </c>
      <c r="G445" s="15" t="s">
        <v>2813</v>
      </c>
      <c r="H445" s="15" t="s">
        <v>2814</v>
      </c>
      <c r="I445" s="15" t="s">
        <v>49</v>
      </c>
      <c r="J445" s="7" t="str">
        <f>HYPERLINK("https://www.codechef.com/problems/MINDIST1", "https://www.codechef.com/problems/MINDIST1")</f>
        <v>https://www.codechef.com/problems/MINDIST1</v>
      </c>
      <c r="K445" s="15"/>
      <c r="L445" s="15" t="s">
        <v>2338</v>
      </c>
      <c r="M445" s="15"/>
      <c r="N445" s="15" t="s">
        <v>50</v>
      </c>
      <c r="O445" s="15" t="s">
        <v>51</v>
      </c>
    </row>
    <row r="446" spans="1:15">
      <c r="A446" s="14" t="s">
        <v>11</v>
      </c>
      <c r="B446" s="14" t="s">
        <v>2302</v>
      </c>
      <c r="C446" s="14" t="s">
        <v>2303</v>
      </c>
      <c r="D446" s="14" t="s">
        <v>2577</v>
      </c>
      <c r="E446" s="14">
        <v>174</v>
      </c>
      <c r="F446" s="14" t="s">
        <v>2815</v>
      </c>
      <c r="G446" s="14" t="s">
        <v>2816</v>
      </c>
      <c r="H446" s="14" t="s">
        <v>2817</v>
      </c>
      <c r="I446" s="14" t="s">
        <v>49</v>
      </c>
      <c r="J446" s="11" t="str">
        <f>HYPERLINK("https://www.codechef.com/problems/CHCHCL", "https://www.codechef.com/problems/CHCHCL")</f>
        <v>https://www.codechef.com/problems/CHCHCL</v>
      </c>
      <c r="K446" s="14"/>
      <c r="L446" s="14" t="s">
        <v>2138</v>
      </c>
      <c r="M446" s="14"/>
      <c r="N446" s="14" t="s">
        <v>50</v>
      </c>
      <c r="O446" s="14" t="s">
        <v>51</v>
      </c>
    </row>
    <row r="447" spans="1:15">
      <c r="A447" s="15" t="s">
        <v>11</v>
      </c>
      <c r="B447" s="15" t="s">
        <v>2302</v>
      </c>
      <c r="C447" s="15" t="s">
        <v>2303</v>
      </c>
      <c r="D447" s="15" t="s">
        <v>2577</v>
      </c>
      <c r="E447" s="15">
        <v>175</v>
      </c>
      <c r="F447" s="15" t="s">
        <v>2818</v>
      </c>
      <c r="G447" s="15" t="s">
        <v>2819</v>
      </c>
      <c r="H447" s="15" t="s">
        <v>2817</v>
      </c>
      <c r="I447" s="15" t="s">
        <v>49</v>
      </c>
      <c r="J447" s="7" t="str">
        <f>HYPERLINK("https://www.codechef.com/problems/CATFEED", "https://www.codechef.com/problems/CATFEED")</f>
        <v>https://www.codechef.com/problems/CATFEED</v>
      </c>
      <c r="K447" s="15"/>
      <c r="L447" s="15" t="s">
        <v>2820</v>
      </c>
      <c r="M447" s="15"/>
      <c r="N447" s="15" t="s">
        <v>50</v>
      </c>
      <c r="O447" s="15" t="s">
        <v>51</v>
      </c>
    </row>
    <row r="448" spans="1:15">
      <c r="A448" s="14" t="s">
        <v>11</v>
      </c>
      <c r="B448" s="14" t="s">
        <v>2302</v>
      </c>
      <c r="C448" s="14" t="s">
        <v>2303</v>
      </c>
      <c r="D448" s="14" t="s">
        <v>2577</v>
      </c>
      <c r="E448" s="14">
        <v>176</v>
      </c>
      <c r="F448" s="14" t="s">
        <v>2821</v>
      </c>
      <c r="G448" s="14" t="s">
        <v>2822</v>
      </c>
      <c r="H448" s="14" t="s">
        <v>2823</v>
      </c>
      <c r="I448" s="14" t="s">
        <v>49</v>
      </c>
      <c r="J448" s="11" t="str">
        <f>HYPERLINK("https://www.codechef.com/problems/SHUFFLIN", "https://www.codechef.com/problems/SHUFFLIN")</f>
        <v>https://www.codechef.com/problems/SHUFFLIN</v>
      </c>
      <c r="K448" s="14"/>
      <c r="L448" s="14"/>
      <c r="M448" s="14"/>
      <c r="N448" s="14" t="s">
        <v>50</v>
      </c>
      <c r="O448" s="14" t="s">
        <v>51</v>
      </c>
    </row>
    <row r="449" spans="1:15">
      <c r="A449" s="15" t="s">
        <v>11</v>
      </c>
      <c r="B449" s="15" t="s">
        <v>2302</v>
      </c>
      <c r="C449" s="15" t="s">
        <v>2303</v>
      </c>
      <c r="D449" s="15" t="s">
        <v>2577</v>
      </c>
      <c r="E449" s="15">
        <v>177</v>
      </c>
      <c r="F449" s="15" t="s">
        <v>2824</v>
      </c>
      <c r="G449" s="15" t="s">
        <v>2825</v>
      </c>
      <c r="H449" s="15" t="s">
        <v>2826</v>
      </c>
      <c r="I449" s="15" t="s">
        <v>49</v>
      </c>
      <c r="J449" s="7" t="str">
        <f>HYPERLINK("https://www.codechef.com/problems/CRZBISHOP", "https://www.codechef.com/problems/CRZBISHOP")</f>
        <v>https://www.codechef.com/problems/CRZBISHOP</v>
      </c>
      <c r="K449" s="15"/>
      <c r="L449" s="15" t="s">
        <v>2344</v>
      </c>
      <c r="M449" s="15"/>
      <c r="N449" s="15" t="s">
        <v>50</v>
      </c>
      <c r="O449" s="15" t="s">
        <v>51</v>
      </c>
    </row>
    <row r="450" spans="1:15">
      <c r="A450" s="14" t="s">
        <v>11</v>
      </c>
      <c r="B450" s="14" t="s">
        <v>2302</v>
      </c>
      <c r="C450" s="14" t="s">
        <v>2303</v>
      </c>
      <c r="D450" s="14" t="s">
        <v>2577</v>
      </c>
      <c r="E450" s="14">
        <v>178</v>
      </c>
      <c r="F450" s="14" t="s">
        <v>2827</v>
      </c>
      <c r="G450" s="14" t="s">
        <v>2828</v>
      </c>
      <c r="H450" s="14" t="s">
        <v>2829</v>
      </c>
      <c r="I450" s="14" t="s">
        <v>49</v>
      </c>
      <c r="J450" s="11" t="str">
        <f>HYPERLINK("https://www.codechef.com/problems/LCOLLIS", "https://www.codechef.com/problems/LCOLLIS")</f>
        <v>https://www.codechef.com/problems/LCOLLIS</v>
      </c>
      <c r="K450" s="14"/>
      <c r="L450" s="14" t="s">
        <v>67</v>
      </c>
      <c r="M450" s="14"/>
      <c r="N450" s="14" t="s">
        <v>50</v>
      </c>
      <c r="O450" s="14" t="s">
        <v>51</v>
      </c>
    </row>
    <row r="451" spans="1:15">
      <c r="A451" s="15" t="s">
        <v>11</v>
      </c>
      <c r="B451" s="15" t="s">
        <v>2302</v>
      </c>
      <c r="C451" s="15" t="s">
        <v>2303</v>
      </c>
      <c r="D451" s="15" t="s">
        <v>2577</v>
      </c>
      <c r="E451" s="15">
        <v>179</v>
      </c>
      <c r="F451" s="15" t="s">
        <v>2830</v>
      </c>
      <c r="G451" s="15" t="s">
        <v>2831</v>
      </c>
      <c r="H451" s="15" t="s">
        <v>2832</v>
      </c>
      <c r="I451" s="15" t="s">
        <v>49</v>
      </c>
      <c r="J451" s="7" t="str">
        <f>HYPERLINK("https://www.codechef.com/problems/EVALMAS", "https://www.codechef.com/problems/EVALMAS")</f>
        <v>https://www.codechef.com/problems/EVALMAS</v>
      </c>
      <c r="K451" s="15"/>
      <c r="L451" s="15" t="s">
        <v>2833</v>
      </c>
      <c r="M451" s="15"/>
      <c r="N451" s="15" t="s">
        <v>50</v>
      </c>
      <c r="O451" s="15" t="s">
        <v>51</v>
      </c>
    </row>
    <row r="452" spans="1:15">
      <c r="A452" s="14" t="s">
        <v>11</v>
      </c>
      <c r="B452" s="14" t="s">
        <v>2302</v>
      </c>
      <c r="C452" s="14" t="s">
        <v>2303</v>
      </c>
      <c r="D452" s="14" t="s">
        <v>2577</v>
      </c>
      <c r="E452" s="14">
        <v>180</v>
      </c>
      <c r="F452" s="14" t="s">
        <v>2834</v>
      </c>
      <c r="G452" s="14" t="s">
        <v>2835</v>
      </c>
      <c r="H452" s="14" t="s">
        <v>2836</v>
      </c>
      <c r="I452" s="14" t="s">
        <v>49</v>
      </c>
      <c r="J452" s="11" t="str">
        <f>HYPERLINK("https://www.codechef.com/problems/LCM_GCD", "https://www.codechef.com/problems/LCM_GCD")</f>
        <v>https://www.codechef.com/problems/LCM_GCD</v>
      </c>
      <c r="K452" s="14"/>
      <c r="L452" s="14" t="s">
        <v>2837</v>
      </c>
      <c r="M452" s="14"/>
      <c r="N452" s="14" t="s">
        <v>50</v>
      </c>
      <c r="O452" s="14" t="s">
        <v>51</v>
      </c>
    </row>
    <row r="453" spans="1:15">
      <c r="A453" s="15" t="s">
        <v>11</v>
      </c>
      <c r="B453" s="15" t="s">
        <v>2302</v>
      </c>
      <c r="C453" s="15" t="s">
        <v>2303</v>
      </c>
      <c r="D453" s="15" t="s">
        <v>2577</v>
      </c>
      <c r="E453" s="15">
        <v>181</v>
      </c>
      <c r="F453" s="15" t="s">
        <v>2838</v>
      </c>
      <c r="G453" s="15" t="s">
        <v>2839</v>
      </c>
      <c r="H453" s="15" t="s">
        <v>2840</v>
      </c>
      <c r="I453" s="15" t="s">
        <v>49</v>
      </c>
      <c r="J453" s="7" t="str">
        <f>HYPERLINK("https://www.codechef.com/problems/EATTWICE", "https://www.codechef.com/problems/EATTWICE")</f>
        <v>https://www.codechef.com/problems/EATTWICE</v>
      </c>
      <c r="K453" s="15"/>
      <c r="L453" s="15" t="s">
        <v>2268</v>
      </c>
      <c r="M453" s="15"/>
      <c r="N453" s="15" t="s">
        <v>50</v>
      </c>
      <c r="O453" s="15" t="s">
        <v>51</v>
      </c>
    </row>
    <row r="454" spans="1:15">
      <c r="A454" s="14" t="s">
        <v>11</v>
      </c>
      <c r="B454" s="14" t="s">
        <v>2302</v>
      </c>
      <c r="C454" s="14" t="s">
        <v>2303</v>
      </c>
      <c r="D454" s="14" t="s">
        <v>2577</v>
      </c>
      <c r="E454" s="14">
        <v>182</v>
      </c>
      <c r="F454" s="14" t="s">
        <v>2841</v>
      </c>
      <c r="G454" s="14" t="s">
        <v>2842</v>
      </c>
      <c r="H454" s="14" t="s">
        <v>2843</v>
      </c>
      <c r="I454" s="14" t="s">
        <v>49</v>
      </c>
      <c r="J454" s="11" t="str">
        <f>HYPERLINK("https://www.codechef.com/problems/MEANMEDIAN", "https://www.codechef.com/problems/MEANMEDIAN")</f>
        <v>https://www.codechef.com/problems/MEANMEDIAN</v>
      </c>
      <c r="K454" s="14"/>
      <c r="L454" s="14" t="s">
        <v>194</v>
      </c>
      <c r="M454" s="14"/>
      <c r="N454" s="14" t="s">
        <v>50</v>
      </c>
      <c r="O454" s="14" t="s">
        <v>51</v>
      </c>
    </row>
    <row r="455" spans="1:15">
      <c r="A455" s="15" t="s">
        <v>11</v>
      </c>
      <c r="B455" s="15" t="s">
        <v>2302</v>
      </c>
      <c r="C455" s="15" t="s">
        <v>2303</v>
      </c>
      <c r="D455" s="15" t="s">
        <v>2577</v>
      </c>
      <c r="E455" s="15">
        <v>183</v>
      </c>
      <c r="F455" s="15" t="s">
        <v>2844</v>
      </c>
      <c r="G455" s="15" t="s">
        <v>2845</v>
      </c>
      <c r="H455" s="15" t="s">
        <v>1251</v>
      </c>
      <c r="I455" s="15" t="s">
        <v>49</v>
      </c>
      <c r="J455" s="7" t="str">
        <f>HYPERLINK("https://www.codechef.com/problems/DSTAPLS", "https://www.codechef.com/problems/DSTAPLS")</f>
        <v>https://www.codechef.com/problems/DSTAPLS</v>
      </c>
      <c r="K455" s="15"/>
      <c r="L455" s="15" t="s">
        <v>2567</v>
      </c>
      <c r="M455" s="15"/>
      <c r="N455" s="15" t="s">
        <v>50</v>
      </c>
      <c r="O455" s="15" t="s">
        <v>51</v>
      </c>
    </row>
    <row r="456" spans="1:15">
      <c r="A456" s="14" t="s">
        <v>11</v>
      </c>
      <c r="B456" s="14" t="s">
        <v>2302</v>
      </c>
      <c r="C456" s="14" t="s">
        <v>2303</v>
      </c>
      <c r="D456" s="14" t="s">
        <v>2577</v>
      </c>
      <c r="E456" s="14">
        <v>184</v>
      </c>
      <c r="F456" s="14" t="s">
        <v>2846</v>
      </c>
      <c r="G456" s="14" t="s">
        <v>2847</v>
      </c>
      <c r="H456" s="14" t="s">
        <v>1251</v>
      </c>
      <c r="I456" s="14" t="s">
        <v>49</v>
      </c>
      <c r="J456" s="11" t="str">
        <f>HYPERLINK("https://www.codechef.com/problems/MISSSUMS", "https://www.codechef.com/problems/MISSSUMS")</f>
        <v>https://www.codechef.com/problems/MISSSUMS</v>
      </c>
      <c r="K456" s="14"/>
      <c r="L456" s="14"/>
      <c r="M456" s="14"/>
      <c r="N456" s="14" t="s">
        <v>50</v>
      </c>
      <c r="O456" s="14" t="s">
        <v>51</v>
      </c>
    </row>
    <row r="457" spans="1:15">
      <c r="A457" s="15" t="s">
        <v>11</v>
      </c>
      <c r="B457" s="15" t="s">
        <v>2302</v>
      </c>
      <c r="C457" s="15" t="s">
        <v>2303</v>
      </c>
      <c r="D457" s="15" t="s">
        <v>2577</v>
      </c>
      <c r="E457" s="15">
        <v>185</v>
      </c>
      <c r="F457" s="15" t="s">
        <v>2848</v>
      </c>
      <c r="G457" s="15" t="s">
        <v>2849</v>
      </c>
      <c r="H457" s="15" t="s">
        <v>2850</v>
      </c>
      <c r="I457" s="15" t="s">
        <v>49</v>
      </c>
      <c r="J457" s="7" t="str">
        <f>HYPERLINK("https://www.codechef.com/problems/SUBARRY", "https://www.codechef.com/problems/SUBARRY")</f>
        <v>https://www.codechef.com/problems/SUBARRY</v>
      </c>
      <c r="K457" s="15"/>
      <c r="L457" s="15"/>
      <c r="M457" s="15"/>
      <c r="N457" s="15" t="s">
        <v>50</v>
      </c>
      <c r="O457" s="15" t="s">
        <v>51</v>
      </c>
    </row>
    <row r="458" spans="1:15">
      <c r="A458" s="14" t="s">
        <v>11</v>
      </c>
      <c r="B458" s="14" t="s">
        <v>2302</v>
      </c>
      <c r="C458" s="14" t="s">
        <v>2303</v>
      </c>
      <c r="D458" s="14" t="s">
        <v>2577</v>
      </c>
      <c r="E458" s="14">
        <v>186</v>
      </c>
      <c r="F458" s="14" t="s">
        <v>2851</v>
      </c>
      <c r="G458" s="14" t="s">
        <v>2852</v>
      </c>
      <c r="H458" s="14" t="s">
        <v>2853</v>
      </c>
      <c r="I458" s="14" t="s">
        <v>49</v>
      </c>
      <c r="J458" s="11" t="str">
        <f>HYPERLINK("https://www.codechef.com/problems/CHEFING", "https://www.codechef.com/problems/CHEFING")</f>
        <v>https://www.codechef.com/problems/CHEFING</v>
      </c>
      <c r="K458" s="14"/>
      <c r="L458" s="14" t="s">
        <v>2743</v>
      </c>
      <c r="M458" s="14"/>
      <c r="N458" s="14" t="s">
        <v>50</v>
      </c>
      <c r="O458" s="14" t="s">
        <v>51</v>
      </c>
    </row>
    <row r="459" spans="1:15">
      <c r="A459" s="15" t="s">
        <v>11</v>
      </c>
      <c r="B459" s="15" t="s">
        <v>2302</v>
      </c>
      <c r="C459" s="15" t="s">
        <v>2303</v>
      </c>
      <c r="D459" s="15" t="s">
        <v>2577</v>
      </c>
      <c r="E459" s="15">
        <v>187</v>
      </c>
      <c r="F459" s="15" t="s">
        <v>2854</v>
      </c>
      <c r="G459" s="15" t="s">
        <v>2855</v>
      </c>
      <c r="H459" s="15" t="s">
        <v>2856</v>
      </c>
      <c r="I459" s="15" t="s">
        <v>49</v>
      </c>
      <c r="J459" s="7" t="str">
        <f>HYPERLINK("https://www.codechef.com/problems/MATDIF", "https://www.codechef.com/problems/MATDIF")</f>
        <v>https://www.codechef.com/problems/MATDIF</v>
      </c>
      <c r="K459" s="15"/>
      <c r="L459" s="15"/>
      <c r="M459" s="15"/>
      <c r="N459" s="15" t="s">
        <v>50</v>
      </c>
      <c r="O459" s="15" t="s">
        <v>51</v>
      </c>
    </row>
    <row r="460" spans="1:15">
      <c r="A460" s="14" t="s">
        <v>11</v>
      </c>
      <c r="B460" s="14" t="s">
        <v>2302</v>
      </c>
      <c r="C460" s="14" t="s">
        <v>2303</v>
      </c>
      <c r="D460" s="14" t="s">
        <v>2577</v>
      </c>
      <c r="E460" s="14">
        <v>188</v>
      </c>
      <c r="F460" s="14" t="s">
        <v>2857</v>
      </c>
      <c r="G460" s="14" t="s">
        <v>2858</v>
      </c>
      <c r="H460" s="14" t="s">
        <v>2859</v>
      </c>
      <c r="I460" s="14" t="s">
        <v>49</v>
      </c>
      <c r="J460" s="11" t="str">
        <f>HYPERLINK("https://www.codechef.com/problems/NOTINCOM", "https://www.codechef.com/problems/NOTINCOM")</f>
        <v>https://www.codechef.com/problems/NOTINCOM</v>
      </c>
      <c r="K460" s="14"/>
      <c r="L460" s="14" t="s">
        <v>2860</v>
      </c>
      <c r="M460" s="14"/>
      <c r="N460" s="14" t="s">
        <v>50</v>
      </c>
      <c r="O460" s="14" t="s">
        <v>51</v>
      </c>
    </row>
    <row r="461" spans="1:15">
      <c r="A461" s="15" t="s">
        <v>11</v>
      </c>
      <c r="B461" s="15" t="s">
        <v>2302</v>
      </c>
      <c r="C461" s="15" t="s">
        <v>2303</v>
      </c>
      <c r="D461" s="15" t="s">
        <v>2577</v>
      </c>
      <c r="E461" s="15">
        <v>189</v>
      </c>
      <c r="F461" s="15" t="s">
        <v>2861</v>
      </c>
      <c r="G461" s="15" t="s">
        <v>2862</v>
      </c>
      <c r="H461" s="15" t="s">
        <v>1386</v>
      </c>
      <c r="I461" s="15" t="s">
        <v>49</v>
      </c>
      <c r="J461" s="7" t="str">
        <f>HYPERLINK("https://www.codechef.com/problems/CATSDOGS", "https://www.codechef.com/problems/CATSDOGS")</f>
        <v>https://www.codechef.com/problems/CATSDOGS</v>
      </c>
      <c r="K461" s="15"/>
      <c r="L461" s="15" t="s">
        <v>2681</v>
      </c>
      <c r="M461" s="15"/>
      <c r="N461" s="15" t="s">
        <v>50</v>
      </c>
      <c r="O461" s="15" t="s">
        <v>51</v>
      </c>
    </row>
    <row r="462" spans="1:15">
      <c r="A462" s="14" t="s">
        <v>11</v>
      </c>
      <c r="B462" s="14" t="s">
        <v>2302</v>
      </c>
      <c r="C462" s="14" t="s">
        <v>2303</v>
      </c>
      <c r="D462" s="14" t="s">
        <v>2577</v>
      </c>
      <c r="E462" s="14">
        <v>190</v>
      </c>
      <c r="F462" s="14" t="s">
        <v>2863</v>
      </c>
      <c r="G462" s="14" t="s">
        <v>2864</v>
      </c>
      <c r="H462" s="14" t="s">
        <v>2865</v>
      </c>
      <c r="I462" s="14" t="s">
        <v>49</v>
      </c>
      <c r="J462" s="11" t="str">
        <f>HYPERLINK("https://www.codechef.com/problems/HEIGHTS", "https://www.codechef.com/problems/HEIGHTS")</f>
        <v>https://www.codechef.com/problems/HEIGHTS</v>
      </c>
      <c r="K462" s="14"/>
      <c r="L462" s="14" t="s">
        <v>2548</v>
      </c>
      <c r="M462" s="14"/>
      <c r="N462" s="14" t="s">
        <v>50</v>
      </c>
      <c r="O462" s="14" t="s">
        <v>51</v>
      </c>
    </row>
    <row r="463" spans="1:15">
      <c r="A463" s="15" t="s">
        <v>11</v>
      </c>
      <c r="B463" s="15" t="s">
        <v>2302</v>
      </c>
      <c r="C463" s="15" t="s">
        <v>2303</v>
      </c>
      <c r="D463" s="15" t="s">
        <v>2577</v>
      </c>
      <c r="E463" s="15">
        <v>191</v>
      </c>
      <c r="F463" s="15" t="s">
        <v>2866</v>
      </c>
      <c r="G463" s="15" t="s">
        <v>2867</v>
      </c>
      <c r="H463" s="15" t="s">
        <v>2868</v>
      </c>
      <c r="I463" s="15" t="s">
        <v>49</v>
      </c>
      <c r="J463" s="7" t="str">
        <f>HYPERLINK("https://www.codechef.com/problems/MNMX", "https://www.codechef.com/problems/MNMX")</f>
        <v>https://www.codechef.com/problems/MNMX</v>
      </c>
      <c r="K463" s="15"/>
      <c r="L463" s="15"/>
      <c r="M463" s="15"/>
      <c r="N463" s="15" t="s">
        <v>50</v>
      </c>
      <c r="O463" s="15" t="s">
        <v>51</v>
      </c>
    </row>
    <row r="464" spans="1:15">
      <c r="A464" s="14" t="s">
        <v>11</v>
      </c>
      <c r="B464" s="14" t="s">
        <v>2302</v>
      </c>
      <c r="C464" s="14" t="s">
        <v>2303</v>
      </c>
      <c r="D464" s="14" t="s">
        <v>2577</v>
      </c>
      <c r="E464" s="14">
        <v>192</v>
      </c>
      <c r="F464" s="14" t="s">
        <v>2869</v>
      </c>
      <c r="G464" s="14" t="s">
        <v>2870</v>
      </c>
      <c r="H464" s="14" t="s">
        <v>2868</v>
      </c>
      <c r="I464" s="14" t="s">
        <v>49</v>
      </c>
      <c r="J464" s="11" t="str">
        <f>HYPERLINK("https://www.codechef.com/problems/LOSTMAX", "https://www.codechef.com/problems/LOSTMAX")</f>
        <v>https://www.codechef.com/problems/LOSTMAX</v>
      </c>
      <c r="K464" s="14"/>
      <c r="L464" s="14" t="s">
        <v>2871</v>
      </c>
      <c r="M464" s="14"/>
      <c r="N464" s="14" t="s">
        <v>50</v>
      </c>
      <c r="O464" s="14" t="s">
        <v>51</v>
      </c>
    </row>
    <row r="465" spans="1:15">
      <c r="A465" s="15" t="s">
        <v>11</v>
      </c>
      <c r="B465" s="15" t="s">
        <v>2302</v>
      </c>
      <c r="C465" s="15" t="s">
        <v>2303</v>
      </c>
      <c r="D465" s="15" t="s">
        <v>2577</v>
      </c>
      <c r="E465" s="15">
        <v>193</v>
      </c>
      <c r="F465" s="15" t="s">
        <v>2872</v>
      </c>
      <c r="G465" s="15" t="s">
        <v>2873</v>
      </c>
      <c r="H465" s="15" t="s">
        <v>2874</v>
      </c>
      <c r="I465" s="15" t="s">
        <v>49</v>
      </c>
      <c r="J465" s="7" t="str">
        <f>HYPERLINK("https://www.codechef.com/problems/MAKEPAL2", "https://www.codechef.com/problems/MAKEPAL2")</f>
        <v>https://www.codechef.com/problems/MAKEPAL2</v>
      </c>
      <c r="K465" s="15"/>
      <c r="L465" s="15" t="s">
        <v>2875</v>
      </c>
      <c r="M465" s="15"/>
      <c r="N465" s="15" t="s">
        <v>50</v>
      </c>
      <c r="O465" s="15" t="s">
        <v>51</v>
      </c>
    </row>
    <row r="466" spans="1:15">
      <c r="A466" s="14" t="s">
        <v>11</v>
      </c>
      <c r="B466" s="14" t="s">
        <v>2302</v>
      </c>
      <c r="C466" s="14" t="s">
        <v>2303</v>
      </c>
      <c r="D466" s="14" t="s">
        <v>2577</v>
      </c>
      <c r="E466" s="14">
        <v>194</v>
      </c>
      <c r="F466" s="14" t="s">
        <v>2876</v>
      </c>
      <c r="G466" s="14" t="s">
        <v>2877</v>
      </c>
      <c r="H466" s="14" t="s">
        <v>2878</v>
      </c>
      <c r="I466" s="14" t="s">
        <v>49</v>
      </c>
      <c r="J466" s="11" t="str">
        <f>HYPERLINK("https://www.codechef.com/problems/DEPCHEF", "https://www.codechef.com/problems/DEPCHEF")</f>
        <v>https://www.codechef.com/problems/DEPCHEF</v>
      </c>
      <c r="K466" s="14"/>
      <c r="L466" s="14" t="s">
        <v>2344</v>
      </c>
      <c r="M466" s="14"/>
      <c r="N466" s="14" t="s">
        <v>50</v>
      </c>
      <c r="O466" s="14" t="s">
        <v>51</v>
      </c>
    </row>
    <row r="467" spans="1:15">
      <c r="A467" s="15" t="s">
        <v>11</v>
      </c>
      <c r="B467" s="15" t="s">
        <v>2879</v>
      </c>
      <c r="C467" s="15" t="s">
        <v>2880</v>
      </c>
      <c r="D467" s="15" t="s">
        <v>2881</v>
      </c>
      <c r="E467" s="15">
        <v>1</v>
      </c>
      <c r="F467" s="15" t="s">
        <v>2882</v>
      </c>
      <c r="G467" s="15" t="s">
        <v>2883</v>
      </c>
      <c r="H467" s="15" t="s">
        <v>2884</v>
      </c>
      <c r="I467" s="15" t="s">
        <v>96</v>
      </c>
      <c r="J467" s="7" t="str">
        <f>HYPERLINK("https://www.codechef.com/problems/AVGPERM", "https://www.codechef.com/problems/AVGPERM")</f>
        <v>https://www.codechef.com/problems/AVGPERM</v>
      </c>
      <c r="K467" s="15"/>
      <c r="L467" s="15" t="s">
        <v>202</v>
      </c>
      <c r="M467" s="15"/>
      <c r="N467" s="15" t="s">
        <v>50</v>
      </c>
      <c r="O467" s="15" t="s">
        <v>51</v>
      </c>
    </row>
    <row r="468" spans="1:15">
      <c r="A468" s="14" t="s">
        <v>11</v>
      </c>
      <c r="B468" s="14" t="s">
        <v>2879</v>
      </c>
      <c r="C468" s="14" t="s">
        <v>2880</v>
      </c>
      <c r="D468" s="14" t="s">
        <v>2881</v>
      </c>
      <c r="E468" s="14">
        <v>2</v>
      </c>
      <c r="F468" s="14" t="s">
        <v>2885</v>
      </c>
      <c r="G468" s="14" t="s">
        <v>2886</v>
      </c>
      <c r="H468" s="14" t="s">
        <v>1383</v>
      </c>
      <c r="I468" s="14" t="s">
        <v>96</v>
      </c>
      <c r="J468" s="11" t="str">
        <f>HYPERLINK("https://www.codechef.com/problems/HOTEL", "https://www.codechef.com/problems/HOTEL")</f>
        <v>https://www.codechef.com/problems/HOTEL</v>
      </c>
      <c r="K468" s="14"/>
      <c r="L468" s="14" t="s">
        <v>2887</v>
      </c>
      <c r="M468" s="14"/>
      <c r="N468" s="14" t="s">
        <v>50</v>
      </c>
      <c r="O468" s="14" t="s">
        <v>51</v>
      </c>
    </row>
    <row r="469" spans="1:15">
      <c r="A469" s="15" t="s">
        <v>11</v>
      </c>
      <c r="B469" s="15" t="s">
        <v>2879</v>
      </c>
      <c r="C469" s="15" t="s">
        <v>2880</v>
      </c>
      <c r="D469" s="15" t="s">
        <v>2881</v>
      </c>
      <c r="E469" s="15">
        <v>3</v>
      </c>
      <c r="F469" s="15" t="s">
        <v>2888</v>
      </c>
      <c r="G469" s="15" t="s">
        <v>2889</v>
      </c>
      <c r="H469" s="15" t="s">
        <v>2890</v>
      </c>
      <c r="I469" s="15" t="s">
        <v>96</v>
      </c>
      <c r="J469" s="7" t="str">
        <f>HYPERLINK("https://www.codechef.com/problems/MTYFRI", "https://www.codechef.com/problems/MTYFRI")</f>
        <v>https://www.codechef.com/problems/MTYFRI</v>
      </c>
      <c r="K469" s="15"/>
      <c r="L469" s="15" t="s">
        <v>2891</v>
      </c>
      <c r="M469" s="15"/>
      <c r="N469" s="15" t="s">
        <v>50</v>
      </c>
      <c r="O469" s="15" t="s">
        <v>51</v>
      </c>
    </row>
    <row r="470" spans="1:15">
      <c r="A470" s="14" t="s">
        <v>11</v>
      </c>
      <c r="B470" s="14" t="s">
        <v>2879</v>
      </c>
      <c r="C470" s="14" t="s">
        <v>2880</v>
      </c>
      <c r="D470" s="14" t="s">
        <v>2881</v>
      </c>
      <c r="E470" s="14">
        <v>4</v>
      </c>
      <c r="F470" s="14" t="s">
        <v>2892</v>
      </c>
      <c r="G470" s="14" t="s">
        <v>2893</v>
      </c>
      <c r="H470" s="14" t="s">
        <v>2894</v>
      </c>
      <c r="I470" s="14" t="s">
        <v>96</v>
      </c>
      <c r="J470" s="11" t="str">
        <f>HYPERLINK("https://www.codechef.com/problems/ARRHALVES", "https://www.codechef.com/problems/ARRHALVES")</f>
        <v>https://www.codechef.com/problems/ARRHALVES</v>
      </c>
      <c r="K470" s="14"/>
      <c r="L470" s="14" t="s">
        <v>2681</v>
      </c>
      <c r="M470" s="14"/>
      <c r="N470" s="14" t="s">
        <v>50</v>
      </c>
      <c r="O470" s="14" t="s">
        <v>51</v>
      </c>
    </row>
    <row r="471" spans="1:15">
      <c r="A471" s="15" t="s">
        <v>11</v>
      </c>
      <c r="B471" s="15" t="s">
        <v>2879</v>
      </c>
      <c r="C471" s="15" t="s">
        <v>2880</v>
      </c>
      <c r="D471" s="15" t="s">
        <v>2881</v>
      </c>
      <c r="E471" s="15">
        <v>5</v>
      </c>
      <c r="F471" s="15" t="s">
        <v>2895</v>
      </c>
      <c r="G471" s="15" t="s">
        <v>2896</v>
      </c>
      <c r="H471" s="15" t="s">
        <v>2897</v>
      </c>
      <c r="I471" s="15" t="s">
        <v>96</v>
      </c>
      <c r="J471" s="7" t="str">
        <f>HYPERLINK("https://www.codechef.com/problems/CHFHEIST", "https://www.codechef.com/problems/CHFHEIST")</f>
        <v>https://www.codechef.com/problems/CHFHEIST</v>
      </c>
      <c r="K471" s="15"/>
      <c r="L471" s="15" t="s">
        <v>2898</v>
      </c>
      <c r="M471" s="15"/>
      <c r="N471" s="15" t="s">
        <v>50</v>
      </c>
      <c r="O471" s="15" t="s">
        <v>51</v>
      </c>
    </row>
    <row r="472" spans="1:15">
      <c r="A472" s="14" t="s">
        <v>11</v>
      </c>
      <c r="B472" s="14" t="s">
        <v>2879</v>
      </c>
      <c r="C472" s="14" t="s">
        <v>2880</v>
      </c>
      <c r="D472" s="14" t="s">
        <v>2881</v>
      </c>
      <c r="E472" s="14">
        <v>6</v>
      </c>
      <c r="F472" s="14" t="s">
        <v>2899</v>
      </c>
      <c r="G472" s="14" t="s">
        <v>2900</v>
      </c>
      <c r="H472" s="14" t="s">
        <v>2901</v>
      </c>
      <c r="I472" s="14" t="s">
        <v>96</v>
      </c>
      <c r="J472" s="11" t="str">
        <f>HYPERLINK("https://www.codechef.com/problems/PMA", "https://www.codechef.com/problems/PMA")</f>
        <v>https://www.codechef.com/problems/PMA</v>
      </c>
      <c r="K472" s="14"/>
      <c r="L472" s="14" t="s">
        <v>2344</v>
      </c>
      <c r="M472" s="14"/>
      <c r="N472" s="14" t="s">
        <v>50</v>
      </c>
      <c r="O472" s="14" t="s">
        <v>51</v>
      </c>
    </row>
    <row r="473" spans="1:15">
      <c r="A473" s="15" t="s">
        <v>11</v>
      </c>
      <c r="B473" s="15" t="s">
        <v>2879</v>
      </c>
      <c r="C473" s="15" t="s">
        <v>2880</v>
      </c>
      <c r="D473" s="15" t="s">
        <v>2881</v>
      </c>
      <c r="E473" s="15">
        <v>7</v>
      </c>
      <c r="F473" s="15" t="s">
        <v>2420</v>
      </c>
      <c r="G473" s="15" t="s">
        <v>2902</v>
      </c>
      <c r="H473" s="15" t="s">
        <v>2903</v>
      </c>
      <c r="I473" s="15" t="s">
        <v>96</v>
      </c>
      <c r="J473" s="7" t="str">
        <f>HYPERLINK("https://www.codechef.com/problems/STRAME", "https://www.codechef.com/problems/STRAME")</f>
        <v>https://www.codechef.com/problems/STRAME</v>
      </c>
      <c r="K473" s="15"/>
      <c r="L473" s="15"/>
      <c r="M473" s="15"/>
      <c r="N473" s="15" t="s">
        <v>50</v>
      </c>
      <c r="O473" s="15" t="s">
        <v>51</v>
      </c>
    </row>
    <row r="474" spans="1:15">
      <c r="A474" s="14" t="s">
        <v>11</v>
      </c>
      <c r="B474" s="14" t="s">
        <v>2879</v>
      </c>
      <c r="C474" s="14" t="s">
        <v>2880</v>
      </c>
      <c r="D474" s="14" t="s">
        <v>2881</v>
      </c>
      <c r="E474" s="14">
        <v>8</v>
      </c>
      <c r="F474" s="14" t="s">
        <v>2904</v>
      </c>
      <c r="G474" s="14" t="s">
        <v>2905</v>
      </c>
      <c r="H474" s="14" t="s">
        <v>2906</v>
      </c>
      <c r="I474" s="14" t="s">
        <v>96</v>
      </c>
      <c r="J474" s="11" t="str">
        <f>HYPERLINK("https://www.codechef.com/problems/REMELEM", "https://www.codechef.com/problems/REMELEM")</f>
        <v>https://www.codechef.com/problems/REMELEM</v>
      </c>
      <c r="K474" s="14"/>
      <c r="L474" s="14"/>
      <c r="M474" s="14"/>
      <c r="N474" s="14" t="s">
        <v>50</v>
      </c>
      <c r="O474" s="14" t="s">
        <v>51</v>
      </c>
    </row>
    <row r="475" spans="1:15">
      <c r="A475" s="15" t="s">
        <v>11</v>
      </c>
      <c r="B475" s="15" t="s">
        <v>2879</v>
      </c>
      <c r="C475" s="15" t="s">
        <v>2880</v>
      </c>
      <c r="D475" s="15" t="s">
        <v>2881</v>
      </c>
      <c r="E475" s="15">
        <v>9</v>
      </c>
      <c r="F475" s="15" t="s">
        <v>2907</v>
      </c>
      <c r="G475" s="15" t="s">
        <v>2908</v>
      </c>
      <c r="H475" s="15" t="s">
        <v>2906</v>
      </c>
      <c r="I475" s="15" t="s">
        <v>96</v>
      </c>
      <c r="J475" s="7" t="str">
        <f>HYPERLINK("https://www.codechef.com/problems/COLOUR", "https://www.codechef.com/problems/COLOUR")</f>
        <v>https://www.codechef.com/problems/COLOUR</v>
      </c>
      <c r="K475" s="15"/>
      <c r="L475" s="15" t="s">
        <v>2909</v>
      </c>
      <c r="M475" s="15"/>
      <c r="N475" s="15" t="s">
        <v>50</v>
      </c>
      <c r="O475" s="15" t="s">
        <v>51</v>
      </c>
    </row>
    <row r="476" spans="1:15">
      <c r="A476" s="14" t="s">
        <v>11</v>
      </c>
      <c r="B476" s="14" t="s">
        <v>2879</v>
      </c>
      <c r="C476" s="14" t="s">
        <v>2880</v>
      </c>
      <c r="D476" s="14" t="s">
        <v>2881</v>
      </c>
      <c r="E476" s="14">
        <v>10</v>
      </c>
      <c r="F476" s="14" t="s">
        <v>2910</v>
      </c>
      <c r="G476" s="14" t="s">
        <v>2911</v>
      </c>
      <c r="H476" s="14" t="s">
        <v>2912</v>
      </c>
      <c r="I476" s="14" t="s">
        <v>96</v>
      </c>
      <c r="J476" s="11" t="str">
        <f>HYPERLINK("https://www.codechef.com/problems/PLAYFIT", "https://www.codechef.com/problems/PLAYFIT")</f>
        <v>https://www.codechef.com/problems/PLAYFIT</v>
      </c>
      <c r="K476" s="14"/>
      <c r="L476" s="14" t="s">
        <v>2913</v>
      </c>
      <c r="M476" s="14"/>
      <c r="N476" s="14" t="s">
        <v>50</v>
      </c>
      <c r="O476" s="14" t="s">
        <v>51</v>
      </c>
    </row>
    <row r="477" spans="1:15">
      <c r="A477" s="15" t="s">
        <v>11</v>
      </c>
      <c r="B477" s="15" t="s">
        <v>2879</v>
      </c>
      <c r="C477" s="15" t="s">
        <v>2880</v>
      </c>
      <c r="D477" s="15" t="s">
        <v>2881</v>
      </c>
      <c r="E477" s="15">
        <v>11</v>
      </c>
      <c r="F477" s="15" t="s">
        <v>2914</v>
      </c>
      <c r="G477" s="15" t="s">
        <v>2915</v>
      </c>
      <c r="H477" s="15" t="s">
        <v>2912</v>
      </c>
      <c r="I477" s="15" t="s">
        <v>96</v>
      </c>
      <c r="J477" s="7" t="str">
        <f>HYPERLINK("https://www.codechef.com/problems/EQUALITY", "https://www.codechef.com/problems/EQUALITY")</f>
        <v>https://www.codechef.com/problems/EQUALITY</v>
      </c>
      <c r="K477" s="15"/>
      <c r="L477" s="15" t="s">
        <v>194</v>
      </c>
      <c r="M477" s="15"/>
      <c r="N477" s="15" t="s">
        <v>50</v>
      </c>
      <c r="O477" s="15" t="s">
        <v>51</v>
      </c>
    </row>
    <row r="478" spans="1:15">
      <c r="A478" s="14" t="s">
        <v>11</v>
      </c>
      <c r="B478" s="14" t="s">
        <v>2879</v>
      </c>
      <c r="C478" s="14" t="s">
        <v>2880</v>
      </c>
      <c r="D478" s="14" t="s">
        <v>2881</v>
      </c>
      <c r="E478" s="14">
        <v>12</v>
      </c>
      <c r="F478" s="14" t="s">
        <v>2916</v>
      </c>
      <c r="G478" s="14" t="s">
        <v>2917</v>
      </c>
      <c r="H478" s="14" t="s">
        <v>2918</v>
      </c>
      <c r="I478" s="14" t="s">
        <v>96</v>
      </c>
      <c r="J478" s="11" t="str">
        <f>HYPERLINK("https://www.codechef.com/problems/DECREM", "https://www.codechef.com/problems/DECREM")</f>
        <v>https://www.codechef.com/problems/DECREM</v>
      </c>
      <c r="K478" s="14"/>
      <c r="L478" s="14" t="s">
        <v>2919</v>
      </c>
      <c r="M478" s="14"/>
      <c r="N478" s="14" t="s">
        <v>50</v>
      </c>
      <c r="O478" s="14" t="s">
        <v>51</v>
      </c>
    </row>
    <row r="479" spans="1:15">
      <c r="A479" s="15" t="s">
        <v>11</v>
      </c>
      <c r="B479" s="15" t="s">
        <v>2879</v>
      </c>
      <c r="C479" s="15" t="s">
        <v>2880</v>
      </c>
      <c r="D479" s="15" t="s">
        <v>2881</v>
      </c>
      <c r="E479" s="15">
        <v>13</v>
      </c>
      <c r="F479" s="15" t="s">
        <v>2920</v>
      </c>
      <c r="G479" s="15" t="s">
        <v>2921</v>
      </c>
      <c r="H479" s="15" t="s">
        <v>2922</v>
      </c>
      <c r="I479" s="15" t="s">
        <v>96</v>
      </c>
      <c r="J479" s="7" t="str">
        <f>HYPERLINK("https://www.codechef.com/problems/AVGARR", "https://www.codechef.com/problems/AVGARR")</f>
        <v>https://www.codechef.com/problems/AVGARR</v>
      </c>
      <c r="K479" s="15"/>
      <c r="L479" s="15" t="s">
        <v>2923</v>
      </c>
      <c r="M479" s="15"/>
      <c r="N479" s="15" t="s">
        <v>50</v>
      </c>
      <c r="O479" s="15" t="s">
        <v>51</v>
      </c>
    </row>
    <row r="480" spans="1:15">
      <c r="A480" s="14" t="s">
        <v>11</v>
      </c>
      <c r="B480" s="14" t="s">
        <v>2879</v>
      </c>
      <c r="C480" s="14" t="s">
        <v>2880</v>
      </c>
      <c r="D480" s="14" t="s">
        <v>2881</v>
      </c>
      <c r="E480" s="14">
        <v>14</v>
      </c>
      <c r="F480" s="14" t="s">
        <v>2924</v>
      </c>
      <c r="G480" s="14" t="s">
        <v>2925</v>
      </c>
      <c r="H480" s="14" t="s">
        <v>2926</v>
      </c>
      <c r="I480" s="14" t="s">
        <v>96</v>
      </c>
      <c r="J480" s="11" t="str">
        <f>HYPERLINK("https://www.codechef.com/problems/PLPROCESS", "https://www.codechef.com/problems/PLPROCESS")</f>
        <v>https://www.codechef.com/problems/PLPROCESS</v>
      </c>
      <c r="K480" s="14"/>
      <c r="L480" s="14" t="s">
        <v>2927</v>
      </c>
      <c r="M480" s="14"/>
      <c r="N480" s="14" t="s">
        <v>50</v>
      </c>
      <c r="O480" s="14" t="s">
        <v>51</v>
      </c>
    </row>
    <row r="481" spans="1:15">
      <c r="A481" s="15" t="s">
        <v>11</v>
      </c>
      <c r="B481" s="15" t="s">
        <v>2879</v>
      </c>
      <c r="C481" s="15" t="s">
        <v>2880</v>
      </c>
      <c r="D481" s="15" t="s">
        <v>2881</v>
      </c>
      <c r="E481" s="15">
        <v>15</v>
      </c>
      <c r="F481" s="15" t="s">
        <v>2928</v>
      </c>
      <c r="G481" s="15" t="s">
        <v>2929</v>
      </c>
      <c r="H481" s="15" t="s">
        <v>2930</v>
      </c>
      <c r="I481" s="15" t="s">
        <v>96</v>
      </c>
      <c r="J481" s="7" t="str">
        <f>HYPERLINK("https://www.codechef.com/problems/DIRECTI", "https://www.codechef.com/problems/DIRECTI")</f>
        <v>https://www.codechef.com/problems/DIRECTI</v>
      </c>
      <c r="K481" s="15"/>
      <c r="L481" s="15" t="s">
        <v>2731</v>
      </c>
      <c r="M481" s="15"/>
      <c r="N481" s="15" t="s">
        <v>50</v>
      </c>
      <c r="O481" s="15" t="s">
        <v>51</v>
      </c>
    </row>
    <row r="482" spans="1:15">
      <c r="A482" s="14" t="s">
        <v>11</v>
      </c>
      <c r="B482" s="14" t="s">
        <v>2879</v>
      </c>
      <c r="C482" s="14" t="s">
        <v>2880</v>
      </c>
      <c r="D482" s="14" t="s">
        <v>2881</v>
      </c>
      <c r="E482" s="14">
        <v>16</v>
      </c>
      <c r="F482" s="14" t="s">
        <v>2931</v>
      </c>
      <c r="G482" s="14" t="s">
        <v>2932</v>
      </c>
      <c r="H482" s="14" t="s">
        <v>2930</v>
      </c>
      <c r="I482" s="14" t="s">
        <v>96</v>
      </c>
      <c r="J482" s="11" t="str">
        <f>HYPERLINK("https://www.codechef.com/problems/PIPSQUIK", "https://www.codechef.com/problems/PIPSQUIK")</f>
        <v>https://www.codechef.com/problems/PIPSQUIK</v>
      </c>
      <c r="K482" s="14"/>
      <c r="L482" s="14"/>
      <c r="M482" s="14"/>
      <c r="N482" s="14" t="s">
        <v>50</v>
      </c>
      <c r="O482" s="14" t="s">
        <v>51</v>
      </c>
    </row>
    <row r="483" spans="1:15">
      <c r="A483" s="15" t="s">
        <v>11</v>
      </c>
      <c r="B483" s="15" t="s">
        <v>2879</v>
      </c>
      <c r="C483" s="15" t="s">
        <v>2880</v>
      </c>
      <c r="D483" s="15" t="s">
        <v>2881</v>
      </c>
      <c r="E483" s="15">
        <v>17</v>
      </c>
      <c r="F483" s="15" t="s">
        <v>2933</v>
      </c>
      <c r="G483" s="15" t="s">
        <v>2934</v>
      </c>
      <c r="H483" s="15" t="s">
        <v>2935</v>
      </c>
      <c r="I483" s="15" t="s">
        <v>96</v>
      </c>
      <c r="J483" s="7" t="str">
        <f>HYPERLINK("https://www.codechef.com/problems/UNQEQ", "https://www.codechef.com/problems/UNQEQ")</f>
        <v>https://www.codechef.com/problems/UNQEQ</v>
      </c>
      <c r="K483" s="15"/>
      <c r="L483" s="15"/>
      <c r="M483" s="15"/>
      <c r="N483" s="15" t="s">
        <v>50</v>
      </c>
      <c r="O483" s="15" t="s">
        <v>51</v>
      </c>
    </row>
    <row r="484" spans="1:15">
      <c r="A484" s="14" t="s">
        <v>11</v>
      </c>
      <c r="B484" s="14" t="s">
        <v>2879</v>
      </c>
      <c r="C484" s="14" t="s">
        <v>2880</v>
      </c>
      <c r="D484" s="14" t="s">
        <v>2881</v>
      </c>
      <c r="E484" s="14">
        <v>18</v>
      </c>
      <c r="F484" s="14" t="s">
        <v>2936</v>
      </c>
      <c r="G484" s="14" t="s">
        <v>2937</v>
      </c>
      <c r="H484" s="14" t="s">
        <v>2938</v>
      </c>
      <c r="I484" s="14" t="s">
        <v>96</v>
      </c>
      <c r="J484" s="11" t="str">
        <f>HYPERLINK("https://www.codechef.com/problems/MAXAGRY", "https://www.codechef.com/problems/MAXAGRY")</f>
        <v>https://www.codechef.com/problems/MAXAGRY</v>
      </c>
      <c r="K484" s="14"/>
      <c r="L484" s="14" t="s">
        <v>2939</v>
      </c>
      <c r="M484" s="14"/>
      <c r="N484" s="14" t="s">
        <v>50</v>
      </c>
      <c r="O484" s="14" t="s">
        <v>51</v>
      </c>
    </row>
    <row r="485" spans="1:15">
      <c r="A485" s="15" t="s">
        <v>11</v>
      </c>
      <c r="B485" s="15" t="s">
        <v>2879</v>
      </c>
      <c r="C485" s="15" t="s">
        <v>2880</v>
      </c>
      <c r="D485" s="15" t="s">
        <v>2881</v>
      </c>
      <c r="E485" s="15">
        <v>19</v>
      </c>
      <c r="F485" s="15" t="s">
        <v>2940</v>
      </c>
      <c r="G485" s="15" t="s">
        <v>2941</v>
      </c>
      <c r="H485" s="15" t="s">
        <v>2942</v>
      </c>
      <c r="I485" s="15" t="s">
        <v>96</v>
      </c>
      <c r="J485" s="7" t="str">
        <f>HYPERLINK("https://www.codechef.com/problems/PERMXORITY", "https://www.codechef.com/problems/PERMXORITY")</f>
        <v>https://www.codechef.com/problems/PERMXORITY</v>
      </c>
      <c r="K485" s="15"/>
      <c r="L485" s="15" t="s">
        <v>1420</v>
      </c>
      <c r="M485" s="15"/>
      <c r="N485" s="15" t="s">
        <v>50</v>
      </c>
      <c r="O485" s="15" t="s">
        <v>51</v>
      </c>
    </row>
    <row r="486" spans="1:15">
      <c r="A486" s="14" t="s">
        <v>11</v>
      </c>
      <c r="B486" s="14" t="s">
        <v>2879</v>
      </c>
      <c r="C486" s="14" t="s">
        <v>2880</v>
      </c>
      <c r="D486" s="14" t="s">
        <v>2881</v>
      </c>
      <c r="E486" s="14">
        <v>20</v>
      </c>
      <c r="F486" s="14" t="s">
        <v>2943</v>
      </c>
      <c r="G486" s="14" t="s">
        <v>2944</v>
      </c>
      <c r="H486" s="14" t="s">
        <v>2945</v>
      </c>
      <c r="I486" s="14" t="s">
        <v>96</v>
      </c>
      <c r="J486" s="11" t="str">
        <f>HYPERLINK("https://www.codechef.com/problems/CHEFDINE", "https://www.codechef.com/problems/CHEFDINE")</f>
        <v>https://www.codechef.com/problems/CHEFDINE</v>
      </c>
      <c r="K486" s="14"/>
      <c r="L486" s="14" t="s">
        <v>2946</v>
      </c>
      <c r="M486" s="14"/>
      <c r="N486" s="14" t="s">
        <v>50</v>
      </c>
      <c r="O486" s="14" t="s">
        <v>51</v>
      </c>
    </row>
    <row r="487" spans="1:15">
      <c r="A487" s="15" t="s">
        <v>11</v>
      </c>
      <c r="B487" s="15" t="s">
        <v>2879</v>
      </c>
      <c r="C487" s="15" t="s">
        <v>2880</v>
      </c>
      <c r="D487" s="15" t="s">
        <v>2881</v>
      </c>
      <c r="E487" s="15">
        <v>21</v>
      </c>
      <c r="F487" s="15" t="s">
        <v>2947</v>
      </c>
      <c r="G487" s="15" t="s">
        <v>2948</v>
      </c>
      <c r="H487" s="15" t="s">
        <v>2949</v>
      </c>
      <c r="I487" s="15" t="s">
        <v>96</v>
      </c>
      <c r="J487" s="7" t="str">
        <f>HYPERLINK("https://www.codechef.com/problems/HTMLTAGS", "https://www.codechef.com/problems/HTMLTAGS")</f>
        <v>https://www.codechef.com/problems/HTMLTAGS</v>
      </c>
      <c r="K487" s="15"/>
      <c r="L487" s="15" t="s">
        <v>2950</v>
      </c>
      <c r="M487" s="15"/>
      <c r="N487" s="15" t="s">
        <v>50</v>
      </c>
      <c r="O487" s="15" t="s">
        <v>51</v>
      </c>
    </row>
    <row r="488" spans="1:15">
      <c r="A488" s="14" t="s">
        <v>11</v>
      </c>
      <c r="B488" s="14" t="s">
        <v>2879</v>
      </c>
      <c r="C488" s="14" t="s">
        <v>2880</v>
      </c>
      <c r="D488" s="14" t="s">
        <v>2881</v>
      </c>
      <c r="E488" s="14">
        <v>22</v>
      </c>
      <c r="F488" s="14" t="s">
        <v>2951</v>
      </c>
      <c r="G488" s="14" t="s">
        <v>2952</v>
      </c>
      <c r="H488" s="14" t="s">
        <v>2953</v>
      </c>
      <c r="I488" s="14" t="s">
        <v>96</v>
      </c>
      <c r="J488" s="11" t="str">
        <f>HYPERLINK("https://www.codechef.com/problems/CHCOINSG", "https://www.codechef.com/problems/CHCOINSG")</f>
        <v>https://www.codechef.com/problems/CHCOINSG</v>
      </c>
      <c r="K488" s="14"/>
      <c r="L488" s="14" t="s">
        <v>2954</v>
      </c>
      <c r="M488" s="14"/>
      <c r="N488" s="14" t="s">
        <v>50</v>
      </c>
      <c r="O488" s="14" t="s">
        <v>51</v>
      </c>
    </row>
    <row r="489" spans="1:15">
      <c r="A489" s="15" t="s">
        <v>11</v>
      </c>
      <c r="B489" s="15" t="s">
        <v>2879</v>
      </c>
      <c r="C489" s="15" t="s">
        <v>2880</v>
      </c>
      <c r="D489" s="15" t="s">
        <v>2881</v>
      </c>
      <c r="E489" s="15">
        <v>23</v>
      </c>
      <c r="F489" s="15" t="s">
        <v>2955</v>
      </c>
      <c r="G489" s="15" t="s">
        <v>2956</v>
      </c>
      <c r="H489" s="15" t="s">
        <v>2957</v>
      </c>
      <c r="I489" s="15" t="s">
        <v>96</v>
      </c>
      <c r="J489" s="7" t="str">
        <f>HYPERLINK("https://www.codechef.com/problems/MAKEARRAYODD", "https://www.codechef.com/problems/MAKEARRAYODD")</f>
        <v>https://www.codechef.com/problems/MAKEARRAYODD</v>
      </c>
      <c r="K489" s="15"/>
      <c r="L489" s="15" t="s">
        <v>1420</v>
      </c>
      <c r="M489" s="15"/>
      <c r="N489" s="15" t="s">
        <v>50</v>
      </c>
      <c r="O489" s="15" t="s">
        <v>51</v>
      </c>
    </row>
    <row r="490" spans="1:15">
      <c r="A490" s="14" t="s">
        <v>11</v>
      </c>
      <c r="B490" s="14" t="s">
        <v>2879</v>
      </c>
      <c r="C490" s="14" t="s">
        <v>2880</v>
      </c>
      <c r="D490" s="14" t="s">
        <v>2881</v>
      </c>
      <c r="E490" s="14">
        <v>24</v>
      </c>
      <c r="F490" s="14" t="s">
        <v>2958</v>
      </c>
      <c r="G490" s="14" t="s">
        <v>2959</v>
      </c>
      <c r="H490" s="14" t="s">
        <v>2960</v>
      </c>
      <c r="I490" s="14" t="s">
        <v>96</v>
      </c>
      <c r="J490" s="11" t="str">
        <f>HYPERLINK("https://www.codechef.com/problems/CUTPIZ", "https://www.codechef.com/problems/CUTPIZ")</f>
        <v>https://www.codechef.com/problems/CUTPIZ</v>
      </c>
      <c r="K490" s="14"/>
      <c r="L490" s="14" t="s">
        <v>2961</v>
      </c>
      <c r="M490" s="14"/>
      <c r="N490" s="14" t="s">
        <v>50</v>
      </c>
      <c r="O490" s="14" t="s">
        <v>51</v>
      </c>
    </row>
    <row r="491" spans="1:15">
      <c r="A491" s="15" t="s">
        <v>11</v>
      </c>
      <c r="B491" s="15" t="s">
        <v>2879</v>
      </c>
      <c r="C491" s="15" t="s">
        <v>2880</v>
      </c>
      <c r="D491" s="15" t="s">
        <v>2881</v>
      </c>
      <c r="E491" s="15">
        <v>25</v>
      </c>
      <c r="F491" s="15" t="s">
        <v>2962</v>
      </c>
      <c r="G491" s="15" t="s">
        <v>2963</v>
      </c>
      <c r="H491" s="15" t="s">
        <v>2960</v>
      </c>
      <c r="I491" s="15" t="s">
        <v>96</v>
      </c>
      <c r="J491" s="7" t="str">
        <f>HYPERLINK("https://www.codechef.com/problems/FLAGS", "https://www.codechef.com/problems/FLAGS")</f>
        <v>https://www.codechef.com/problems/FLAGS</v>
      </c>
      <c r="K491" s="15"/>
      <c r="L491" s="15" t="s">
        <v>2681</v>
      </c>
      <c r="M491" s="15"/>
      <c r="N491" s="15" t="s">
        <v>50</v>
      </c>
      <c r="O491" s="15" t="s">
        <v>51</v>
      </c>
    </row>
    <row r="492" spans="1:15">
      <c r="A492" s="14" t="s">
        <v>11</v>
      </c>
      <c r="B492" s="14" t="s">
        <v>2879</v>
      </c>
      <c r="C492" s="14" t="s">
        <v>2880</v>
      </c>
      <c r="D492" s="14" t="s">
        <v>2881</v>
      </c>
      <c r="E492" s="14">
        <v>26</v>
      </c>
      <c r="F492" s="14" t="s">
        <v>2964</v>
      </c>
      <c r="G492" s="14" t="s">
        <v>2965</v>
      </c>
      <c r="H492" s="14" t="s">
        <v>2966</v>
      </c>
      <c r="I492" s="14" t="s">
        <v>96</v>
      </c>
      <c r="J492" s="11" t="str">
        <f>HYPERLINK("https://www.codechef.com/problems/SMOKE", "https://www.codechef.com/problems/SMOKE")</f>
        <v>https://www.codechef.com/problems/SMOKE</v>
      </c>
      <c r="K492" s="14"/>
      <c r="L492" s="14"/>
      <c r="M492" s="14"/>
      <c r="N492" s="14" t="s">
        <v>50</v>
      </c>
      <c r="O492" s="14" t="s">
        <v>51</v>
      </c>
    </row>
    <row r="493" spans="1:15">
      <c r="A493" s="15" t="s">
        <v>11</v>
      </c>
      <c r="B493" s="15" t="s">
        <v>2879</v>
      </c>
      <c r="C493" s="15" t="s">
        <v>2880</v>
      </c>
      <c r="D493" s="15" t="s">
        <v>2881</v>
      </c>
      <c r="E493" s="15">
        <v>27</v>
      </c>
      <c r="F493" s="15" t="s">
        <v>2967</v>
      </c>
      <c r="G493" s="15" t="s">
        <v>2968</v>
      </c>
      <c r="H493" s="15" t="s">
        <v>2969</v>
      </c>
      <c r="I493" s="15" t="s">
        <v>96</v>
      </c>
      <c r="J493" s="7" t="str">
        <f>HYPERLINK("https://www.codechef.com/problems/SOD3", "https://www.codechef.com/problems/SOD3")</f>
        <v>https://www.codechef.com/problems/SOD3</v>
      </c>
      <c r="K493" s="15"/>
      <c r="L493" s="15"/>
      <c r="M493" s="15"/>
      <c r="N493" s="15" t="s">
        <v>50</v>
      </c>
      <c r="O493" s="15" t="s">
        <v>51</v>
      </c>
    </row>
    <row r="494" spans="1:15">
      <c r="A494" s="14" t="s">
        <v>11</v>
      </c>
      <c r="B494" s="14" t="s">
        <v>2879</v>
      </c>
      <c r="C494" s="14" t="s">
        <v>2880</v>
      </c>
      <c r="D494" s="14" t="s">
        <v>2881</v>
      </c>
      <c r="E494" s="14">
        <v>28</v>
      </c>
      <c r="F494" s="14" t="s">
        <v>2970</v>
      </c>
      <c r="G494" s="14" t="s">
        <v>2971</v>
      </c>
      <c r="H494" s="14" t="s">
        <v>2972</v>
      </c>
      <c r="I494" s="14" t="s">
        <v>96</v>
      </c>
      <c r="J494" s="11" t="str">
        <f>HYPERLINK("https://www.codechef.com/problems/TRIANGCL", "https://www.codechef.com/problems/TRIANGCL")</f>
        <v>https://www.codechef.com/problems/TRIANGCL</v>
      </c>
      <c r="K494" s="14"/>
      <c r="L494" s="14"/>
      <c r="M494" s="14"/>
      <c r="N494" s="14" t="s">
        <v>50</v>
      </c>
      <c r="O494" s="14" t="s">
        <v>51</v>
      </c>
    </row>
    <row r="495" spans="1:15">
      <c r="A495" s="15" t="s">
        <v>11</v>
      </c>
      <c r="B495" s="15" t="s">
        <v>2879</v>
      </c>
      <c r="C495" s="15" t="s">
        <v>2880</v>
      </c>
      <c r="D495" s="15" t="s">
        <v>2881</v>
      </c>
      <c r="E495" s="15">
        <v>29</v>
      </c>
      <c r="F495" s="15" t="s">
        <v>2973</v>
      </c>
      <c r="G495" s="15" t="s">
        <v>2974</v>
      </c>
      <c r="H495" s="15" t="s">
        <v>2972</v>
      </c>
      <c r="I495" s="15" t="s">
        <v>96</v>
      </c>
      <c r="J495" s="7" t="str">
        <f>HYPERLINK("https://www.codechef.com/problems/CHEFADV", "https://www.codechef.com/problems/CHEFADV")</f>
        <v>https://www.codechef.com/problems/CHEFADV</v>
      </c>
      <c r="K495" s="15"/>
      <c r="L495" s="15" t="s">
        <v>2975</v>
      </c>
      <c r="M495" s="15"/>
      <c r="N495" s="15" t="s">
        <v>50</v>
      </c>
      <c r="O495" s="15" t="s">
        <v>51</v>
      </c>
    </row>
    <row r="496" spans="1:15">
      <c r="A496" s="14" t="s">
        <v>11</v>
      </c>
      <c r="B496" s="14" t="s">
        <v>2879</v>
      </c>
      <c r="C496" s="14" t="s">
        <v>2880</v>
      </c>
      <c r="D496" s="14" t="s">
        <v>2881</v>
      </c>
      <c r="E496" s="14">
        <v>30</v>
      </c>
      <c r="F496" s="14" t="s">
        <v>2976</v>
      </c>
      <c r="G496" s="14" t="s">
        <v>2977</v>
      </c>
      <c r="H496" s="14" t="s">
        <v>1299</v>
      </c>
      <c r="I496" s="14" t="s">
        <v>96</v>
      </c>
      <c r="J496" s="11" t="str">
        <f>HYPERLINK("https://www.codechef.com/problems/MKGPLNKS", "https://www.codechef.com/problems/MKGPLNKS")</f>
        <v>https://www.codechef.com/problems/MKGPLNKS</v>
      </c>
      <c r="K496" s="14"/>
      <c r="L496" s="14" t="s">
        <v>2338</v>
      </c>
      <c r="M496" s="14"/>
      <c r="N496" s="14" t="s">
        <v>50</v>
      </c>
      <c r="O496" s="14" t="s">
        <v>51</v>
      </c>
    </row>
    <row r="497" spans="1:15">
      <c r="A497" s="15" t="s">
        <v>11</v>
      </c>
      <c r="B497" s="15" t="s">
        <v>2879</v>
      </c>
      <c r="C497" s="15" t="s">
        <v>2880</v>
      </c>
      <c r="D497" s="15" t="s">
        <v>2881</v>
      </c>
      <c r="E497" s="15">
        <v>31</v>
      </c>
      <c r="F497" s="15" t="s">
        <v>2978</v>
      </c>
      <c r="G497" s="15" t="s">
        <v>2979</v>
      </c>
      <c r="H497" s="15" t="s">
        <v>2980</v>
      </c>
      <c r="I497" s="15" t="s">
        <v>96</v>
      </c>
      <c r="J497" s="7" t="str">
        <f>HYPERLINK("https://www.codechef.com/problems/APPROX2", "https://www.codechef.com/problems/APPROX2")</f>
        <v>https://www.codechef.com/problems/APPROX2</v>
      </c>
      <c r="K497" s="15"/>
      <c r="L497" s="15" t="s">
        <v>1796</v>
      </c>
      <c r="M497" s="15"/>
      <c r="N497" s="15" t="s">
        <v>50</v>
      </c>
      <c r="O497" s="15" t="s">
        <v>51</v>
      </c>
    </row>
    <row r="498" spans="1:15">
      <c r="A498" s="14" t="s">
        <v>11</v>
      </c>
      <c r="B498" s="14" t="s">
        <v>2879</v>
      </c>
      <c r="C498" s="14" t="s">
        <v>2880</v>
      </c>
      <c r="D498" s="14" t="s">
        <v>2881</v>
      </c>
      <c r="E498" s="14">
        <v>32</v>
      </c>
      <c r="F498" s="14" t="s">
        <v>2981</v>
      </c>
      <c r="G498" s="14" t="s">
        <v>2982</v>
      </c>
      <c r="H498" s="14" t="s">
        <v>1022</v>
      </c>
      <c r="I498" s="14" t="s">
        <v>96</v>
      </c>
      <c r="J498" s="11" t="str">
        <f>HYPERLINK("https://www.codechef.com/problems/MGCSET", "https://www.codechef.com/problems/MGCSET")</f>
        <v>https://www.codechef.com/problems/MGCSET</v>
      </c>
      <c r="K498" s="14"/>
      <c r="L498" s="14" t="s">
        <v>2983</v>
      </c>
      <c r="M498" s="14"/>
      <c r="N498" s="14" t="s">
        <v>50</v>
      </c>
      <c r="O498" s="14" t="s">
        <v>51</v>
      </c>
    </row>
    <row r="499" spans="1:15">
      <c r="A499" s="15" t="s">
        <v>11</v>
      </c>
      <c r="B499" s="15" t="s">
        <v>2879</v>
      </c>
      <c r="C499" s="15" t="s">
        <v>2880</v>
      </c>
      <c r="D499" s="15" t="s">
        <v>2881</v>
      </c>
      <c r="E499" s="15">
        <v>33</v>
      </c>
      <c r="F499" s="15" t="s">
        <v>2984</v>
      </c>
      <c r="G499" s="15" t="s">
        <v>2985</v>
      </c>
      <c r="H499" s="15" t="s">
        <v>2986</v>
      </c>
      <c r="I499" s="15" t="s">
        <v>96</v>
      </c>
      <c r="J499" s="7" t="str">
        <f>HYPERLINK("https://www.codechef.com/problems/CHDOGS", "https://www.codechef.com/problems/CHDOGS")</f>
        <v>https://www.codechef.com/problems/CHDOGS</v>
      </c>
      <c r="K499" s="15"/>
      <c r="L499" s="15" t="s">
        <v>2987</v>
      </c>
      <c r="M499" s="15"/>
      <c r="N499" s="15" t="s">
        <v>50</v>
      </c>
      <c r="O499" s="15" t="s">
        <v>51</v>
      </c>
    </row>
    <row r="500" spans="1:15">
      <c r="A500" s="14" t="s">
        <v>11</v>
      </c>
      <c r="B500" s="14" t="s">
        <v>2879</v>
      </c>
      <c r="C500" s="14" t="s">
        <v>2880</v>
      </c>
      <c r="D500" s="14" t="s">
        <v>2881</v>
      </c>
      <c r="E500" s="14">
        <v>34</v>
      </c>
      <c r="F500" s="14" t="s">
        <v>2988</v>
      </c>
      <c r="G500" s="14" t="s">
        <v>2989</v>
      </c>
      <c r="H500" s="14" t="s">
        <v>2990</v>
      </c>
      <c r="I500" s="14" t="s">
        <v>96</v>
      </c>
      <c r="J500" s="11" t="str">
        <f>HYPERLINK("https://www.codechef.com/problems/XOR_ORDER", "https://www.codechef.com/problems/XOR_ORDER")</f>
        <v>https://www.codechef.com/problems/XOR_ORDER</v>
      </c>
      <c r="K500" s="14"/>
      <c r="L500" s="14"/>
      <c r="M500" s="14"/>
      <c r="N500" s="14" t="s">
        <v>50</v>
      </c>
      <c r="O500" s="14" t="s">
        <v>51</v>
      </c>
    </row>
    <row r="501" spans="1:15">
      <c r="A501" s="15" t="s">
        <v>11</v>
      </c>
      <c r="B501" s="15" t="s">
        <v>2879</v>
      </c>
      <c r="C501" s="15" t="s">
        <v>2880</v>
      </c>
      <c r="D501" s="15" t="s">
        <v>2881</v>
      </c>
      <c r="E501" s="15">
        <v>35</v>
      </c>
      <c r="F501" s="15" t="s">
        <v>2991</v>
      </c>
      <c r="G501" s="15" t="s">
        <v>2992</v>
      </c>
      <c r="H501" s="15" t="s">
        <v>2993</v>
      </c>
      <c r="I501" s="15" t="s">
        <v>96</v>
      </c>
      <c r="J501" s="7" t="str">
        <f>HYPERLINK("https://www.codechef.com/problems/CHEFFED", "https://www.codechef.com/problems/CHEFFED")</f>
        <v>https://www.codechef.com/problems/CHEFFED</v>
      </c>
      <c r="K501" s="15"/>
      <c r="L501" s="15" t="s">
        <v>2994</v>
      </c>
      <c r="M501" s="15"/>
      <c r="N501" s="15" t="s">
        <v>50</v>
      </c>
      <c r="O501" s="15" t="s">
        <v>51</v>
      </c>
    </row>
    <row r="502" spans="1:15">
      <c r="A502" s="14" t="s">
        <v>11</v>
      </c>
      <c r="B502" s="14" t="s">
        <v>2879</v>
      </c>
      <c r="C502" s="14" t="s">
        <v>2880</v>
      </c>
      <c r="D502" s="14" t="s">
        <v>2881</v>
      </c>
      <c r="E502" s="14">
        <v>36</v>
      </c>
      <c r="F502" s="14" t="s">
        <v>2995</v>
      </c>
      <c r="G502" s="14" t="s">
        <v>2996</v>
      </c>
      <c r="H502" s="14" t="s">
        <v>2993</v>
      </c>
      <c r="I502" s="14" t="s">
        <v>96</v>
      </c>
      <c r="J502" s="11" t="str">
        <f>HYPERLINK("https://www.codechef.com/problems/VEGETA", "https://www.codechef.com/problems/VEGETA")</f>
        <v>https://www.codechef.com/problems/VEGETA</v>
      </c>
      <c r="K502" s="14"/>
      <c r="L502" s="14"/>
      <c r="M502" s="14"/>
      <c r="N502" s="14" t="s">
        <v>50</v>
      </c>
      <c r="O502" s="14" t="s">
        <v>51</v>
      </c>
    </row>
    <row r="503" spans="1:15">
      <c r="A503" s="15" t="s">
        <v>11</v>
      </c>
      <c r="B503" s="15" t="s">
        <v>2879</v>
      </c>
      <c r="C503" s="15" t="s">
        <v>2880</v>
      </c>
      <c r="D503" s="15" t="s">
        <v>2881</v>
      </c>
      <c r="E503" s="15">
        <v>37</v>
      </c>
      <c r="F503" s="15" t="s">
        <v>2997</v>
      </c>
      <c r="G503" s="15" t="s">
        <v>2998</v>
      </c>
      <c r="H503" s="15" t="s">
        <v>2999</v>
      </c>
      <c r="I503" s="15" t="s">
        <v>96</v>
      </c>
      <c r="J503" s="7" t="str">
        <f>HYPERLINK("https://www.codechef.com/problems/ONOZ", "https://www.codechef.com/problems/ONOZ")</f>
        <v>https://www.codechef.com/problems/ONOZ</v>
      </c>
      <c r="K503" s="15"/>
      <c r="L503" s="15"/>
      <c r="M503" s="15"/>
      <c r="N503" s="15" t="s">
        <v>50</v>
      </c>
      <c r="O503" s="15" t="s">
        <v>51</v>
      </c>
    </row>
    <row r="504" spans="1:15">
      <c r="A504" s="14" t="s">
        <v>11</v>
      </c>
      <c r="B504" s="14" t="s">
        <v>2879</v>
      </c>
      <c r="C504" s="14" t="s">
        <v>2880</v>
      </c>
      <c r="D504" s="14" t="s">
        <v>2881</v>
      </c>
      <c r="E504" s="14">
        <v>38</v>
      </c>
      <c r="F504" s="14" t="s">
        <v>3000</v>
      </c>
      <c r="G504" s="14" t="s">
        <v>3001</v>
      </c>
      <c r="H504" s="14" t="s">
        <v>3002</v>
      </c>
      <c r="I504" s="14" t="s">
        <v>96</v>
      </c>
      <c r="J504" s="11" t="str">
        <f>HYPERLINK("https://www.codechef.com/problems/ALTERNATEDIV", "https://www.codechef.com/problems/ALTERNATEDIV")</f>
        <v>https://www.codechef.com/problems/ALTERNATEDIV</v>
      </c>
      <c r="K504" s="14"/>
      <c r="L504" s="14" t="s">
        <v>3003</v>
      </c>
      <c r="M504" s="14"/>
      <c r="N504" s="14" t="s">
        <v>50</v>
      </c>
      <c r="O504" s="14" t="s">
        <v>51</v>
      </c>
    </row>
    <row r="505" spans="1:15">
      <c r="A505" s="15" t="s">
        <v>11</v>
      </c>
      <c r="B505" s="15" t="s">
        <v>2879</v>
      </c>
      <c r="C505" s="15" t="s">
        <v>2880</v>
      </c>
      <c r="D505" s="15" t="s">
        <v>2881</v>
      </c>
      <c r="E505" s="15">
        <v>39</v>
      </c>
      <c r="F505" s="15" t="s">
        <v>3004</v>
      </c>
      <c r="G505" s="15" t="s">
        <v>3005</v>
      </c>
      <c r="H505" s="15" t="s">
        <v>3006</v>
      </c>
      <c r="I505" s="15" t="s">
        <v>96</v>
      </c>
      <c r="J505" s="7" t="str">
        <f>HYPERLINK("https://www.codechef.com/problems/JOGGING", "https://www.codechef.com/problems/JOGGING")</f>
        <v>https://www.codechef.com/problems/JOGGING</v>
      </c>
      <c r="K505" s="15"/>
      <c r="L505" s="15" t="s">
        <v>3007</v>
      </c>
      <c r="M505" s="15"/>
      <c r="N505" s="15" t="s">
        <v>50</v>
      </c>
      <c r="O505" s="15" t="s">
        <v>51</v>
      </c>
    </row>
    <row r="506" spans="1:15">
      <c r="A506" s="14" t="s">
        <v>11</v>
      </c>
      <c r="B506" s="14" t="s">
        <v>2879</v>
      </c>
      <c r="C506" s="14" t="s">
        <v>2880</v>
      </c>
      <c r="D506" s="14" t="s">
        <v>2881</v>
      </c>
      <c r="E506" s="14">
        <v>40</v>
      </c>
      <c r="F506" s="14" t="s">
        <v>3008</v>
      </c>
      <c r="G506" s="14" t="s">
        <v>3009</v>
      </c>
      <c r="H506" s="14" t="s">
        <v>3010</v>
      </c>
      <c r="I506" s="14" t="s">
        <v>96</v>
      </c>
      <c r="J506" s="11" t="str">
        <f>HYPERLINK("https://www.codechef.com/problems/CORTSENT", "https://www.codechef.com/problems/CORTSENT")</f>
        <v>https://www.codechef.com/problems/CORTSENT</v>
      </c>
      <c r="K506" s="14"/>
      <c r="L506" s="14" t="s">
        <v>2731</v>
      </c>
      <c r="M506" s="14"/>
      <c r="N506" s="14" t="s">
        <v>50</v>
      </c>
      <c r="O506" s="14" t="s">
        <v>51</v>
      </c>
    </row>
    <row r="507" spans="1:15">
      <c r="A507" s="15" t="s">
        <v>11</v>
      </c>
      <c r="B507" s="15" t="s">
        <v>2879</v>
      </c>
      <c r="C507" s="15" t="s">
        <v>2880</v>
      </c>
      <c r="D507" s="15" t="s">
        <v>2881</v>
      </c>
      <c r="E507" s="15">
        <v>41</v>
      </c>
      <c r="F507" s="15" t="s">
        <v>3011</v>
      </c>
      <c r="G507" s="15" t="s">
        <v>3012</v>
      </c>
      <c r="H507" s="15" t="s">
        <v>3013</v>
      </c>
      <c r="I507" s="15" t="s">
        <v>96</v>
      </c>
      <c r="J507" s="7" t="str">
        <f>HYPERLINK("https://www.codechef.com/problems/CHEFODD", "https://www.codechef.com/problems/CHEFODD")</f>
        <v>https://www.codechef.com/problems/CHEFODD</v>
      </c>
      <c r="K507" s="15"/>
      <c r="L507" s="15" t="s">
        <v>202</v>
      </c>
      <c r="M507" s="15"/>
      <c r="N507" s="15" t="s">
        <v>50</v>
      </c>
      <c r="O507" s="15" t="s">
        <v>51</v>
      </c>
    </row>
    <row r="508" spans="1:15">
      <c r="A508" s="14" t="s">
        <v>11</v>
      </c>
      <c r="B508" s="14" t="s">
        <v>2879</v>
      </c>
      <c r="C508" s="14" t="s">
        <v>2880</v>
      </c>
      <c r="D508" s="14" t="s">
        <v>2881</v>
      </c>
      <c r="E508" s="14">
        <v>42</v>
      </c>
      <c r="F508" s="14" t="s">
        <v>3014</v>
      </c>
      <c r="G508" s="14" t="s">
        <v>3015</v>
      </c>
      <c r="H508" s="14" t="s">
        <v>3013</v>
      </c>
      <c r="I508" s="14" t="s">
        <v>96</v>
      </c>
      <c r="J508" s="11" t="str">
        <f>HYPERLINK("https://www.codechef.com/problems/MAKEPAL", "https://www.codechef.com/problems/MAKEPAL")</f>
        <v>https://www.codechef.com/problems/MAKEPAL</v>
      </c>
      <c r="K508" s="14"/>
      <c r="L508" s="14" t="s">
        <v>1701</v>
      </c>
      <c r="M508" s="14"/>
      <c r="N508" s="14" t="s">
        <v>50</v>
      </c>
      <c r="O508" s="14" t="s">
        <v>51</v>
      </c>
    </row>
    <row r="509" spans="1:15">
      <c r="A509" s="15" t="s">
        <v>11</v>
      </c>
      <c r="B509" s="15" t="s">
        <v>2879</v>
      </c>
      <c r="C509" s="15" t="s">
        <v>2880</v>
      </c>
      <c r="D509" s="15" t="s">
        <v>2881</v>
      </c>
      <c r="E509" s="15">
        <v>43</v>
      </c>
      <c r="F509" s="15" t="s">
        <v>3016</v>
      </c>
      <c r="G509" s="15" t="s">
        <v>3017</v>
      </c>
      <c r="H509" s="15" t="s">
        <v>3018</v>
      </c>
      <c r="I509" s="15" t="s">
        <v>96</v>
      </c>
      <c r="J509" s="7" t="str">
        <f>HYPERLINK("https://www.codechef.com/problems/IRSTXOR", "https://www.codechef.com/problems/IRSTXOR")</f>
        <v>https://www.codechef.com/problems/IRSTXOR</v>
      </c>
      <c r="K509" s="15"/>
      <c r="L509" s="15" t="s">
        <v>3019</v>
      </c>
      <c r="M509" s="15"/>
      <c r="N509" s="15" t="s">
        <v>50</v>
      </c>
      <c r="O509" s="15" t="s">
        <v>51</v>
      </c>
    </row>
    <row r="510" spans="1:15">
      <c r="A510" s="14" t="s">
        <v>11</v>
      </c>
      <c r="B510" s="14" t="s">
        <v>2879</v>
      </c>
      <c r="C510" s="14" t="s">
        <v>2880</v>
      </c>
      <c r="D510" s="14" t="s">
        <v>2881</v>
      </c>
      <c r="E510" s="14">
        <v>44</v>
      </c>
      <c r="F510" s="14" t="s">
        <v>3020</v>
      </c>
      <c r="G510" s="14" t="s">
        <v>3021</v>
      </c>
      <c r="H510" s="14" t="s">
        <v>3022</v>
      </c>
      <c r="I510" s="14" t="s">
        <v>96</v>
      </c>
      <c r="J510" s="11" t="str">
        <f>HYPERLINK("https://www.codechef.com/problems/CAOS1", "https://www.codechef.com/problems/CAOS1")</f>
        <v>https://www.codechef.com/problems/CAOS1</v>
      </c>
      <c r="K510" s="14"/>
      <c r="L510" s="14" t="s">
        <v>2681</v>
      </c>
      <c r="M510" s="14"/>
      <c r="N510" s="14" t="s">
        <v>50</v>
      </c>
      <c r="O510" s="14" t="s">
        <v>51</v>
      </c>
    </row>
    <row r="511" spans="1:15">
      <c r="A511" s="15" t="s">
        <v>11</v>
      </c>
      <c r="B511" s="15" t="s">
        <v>2879</v>
      </c>
      <c r="C511" s="15" t="s">
        <v>2880</v>
      </c>
      <c r="D511" s="15" t="s">
        <v>2881</v>
      </c>
      <c r="E511" s="15">
        <v>45</v>
      </c>
      <c r="F511" s="15" t="s">
        <v>3023</v>
      </c>
      <c r="G511" s="15" t="s">
        <v>3024</v>
      </c>
      <c r="H511" s="15" t="s">
        <v>3022</v>
      </c>
      <c r="I511" s="15" t="s">
        <v>96</v>
      </c>
      <c r="J511" s="7" t="str">
        <f>HYPERLINK("https://www.codechef.com/problems/ANTIPALINDR", "https://www.codechef.com/problems/ANTIPALINDR")</f>
        <v>https://www.codechef.com/problems/ANTIPALINDR</v>
      </c>
      <c r="K511" s="15"/>
      <c r="L511" s="15" t="s">
        <v>3003</v>
      </c>
      <c r="M511" s="15"/>
      <c r="N511" s="15" t="s">
        <v>50</v>
      </c>
      <c r="O511" s="15" t="s">
        <v>51</v>
      </c>
    </row>
    <row r="512" spans="1:15">
      <c r="A512" s="14" t="s">
        <v>11</v>
      </c>
      <c r="B512" s="14" t="s">
        <v>2879</v>
      </c>
      <c r="C512" s="14" t="s">
        <v>2880</v>
      </c>
      <c r="D512" s="14" t="s">
        <v>2881</v>
      </c>
      <c r="E512" s="14">
        <v>46</v>
      </c>
      <c r="F512" s="14" t="s">
        <v>3025</v>
      </c>
      <c r="G512" s="14" t="s">
        <v>3026</v>
      </c>
      <c r="H512" s="14" t="s">
        <v>3027</v>
      </c>
      <c r="I512" s="14" t="s">
        <v>96</v>
      </c>
      <c r="J512" s="11" t="str">
        <f>HYPERLINK("https://www.codechef.com/problems/CO92SUBW", "https://www.codechef.com/problems/CO92SUBW")</f>
        <v>https://www.codechef.com/problems/CO92SUBW</v>
      </c>
      <c r="K512" s="14"/>
      <c r="L512" s="14" t="s">
        <v>2138</v>
      </c>
      <c r="M512" s="14"/>
      <c r="N512" s="14" t="s">
        <v>50</v>
      </c>
      <c r="O512" s="14" t="s">
        <v>51</v>
      </c>
    </row>
    <row r="513" spans="1:15">
      <c r="A513" s="15" t="s">
        <v>11</v>
      </c>
      <c r="B513" s="15" t="s">
        <v>2879</v>
      </c>
      <c r="C513" s="15" t="s">
        <v>2880</v>
      </c>
      <c r="D513" s="15" t="s">
        <v>2881</v>
      </c>
      <c r="E513" s="15">
        <v>47</v>
      </c>
      <c r="F513" s="15" t="s">
        <v>3028</v>
      </c>
      <c r="G513" s="15" t="s">
        <v>3029</v>
      </c>
      <c r="H513" s="15" t="s">
        <v>3030</v>
      </c>
      <c r="I513" s="15" t="s">
        <v>96</v>
      </c>
      <c r="J513" s="7" t="str">
        <f>HYPERLINK("https://www.codechef.com/problems/HHAL", "https://www.codechef.com/problems/HHAL")</f>
        <v>https://www.codechef.com/problems/HHAL</v>
      </c>
      <c r="K513" s="15"/>
      <c r="L513" s="15" t="s">
        <v>3031</v>
      </c>
      <c r="M513" s="15"/>
      <c r="N513" s="15" t="s">
        <v>50</v>
      </c>
      <c r="O513" s="15" t="s">
        <v>51</v>
      </c>
    </row>
    <row r="514" spans="1:15">
      <c r="A514" s="14" t="s">
        <v>11</v>
      </c>
      <c r="B514" s="14" t="s">
        <v>2879</v>
      </c>
      <c r="C514" s="14" t="s">
        <v>2880</v>
      </c>
      <c r="D514" s="14" t="s">
        <v>2881</v>
      </c>
      <c r="E514" s="14">
        <v>48</v>
      </c>
      <c r="F514" s="14" t="s">
        <v>3032</v>
      </c>
      <c r="G514" s="14" t="s">
        <v>3033</v>
      </c>
      <c r="H514" s="14" t="s">
        <v>3030</v>
      </c>
      <c r="I514" s="14" t="s">
        <v>96</v>
      </c>
      <c r="J514" s="11" t="str">
        <f>HYPERLINK("https://www.codechef.com/problems/N1VALUES", "https://www.codechef.com/problems/N1VALUES")</f>
        <v>https://www.codechef.com/problems/N1VALUES</v>
      </c>
      <c r="K514" s="14"/>
      <c r="L514" s="14" t="s">
        <v>2257</v>
      </c>
      <c r="M514" s="14"/>
      <c r="N514" s="14" t="s">
        <v>50</v>
      </c>
      <c r="O514" s="14" t="s">
        <v>51</v>
      </c>
    </row>
    <row r="515" spans="1:15">
      <c r="A515" s="15" t="s">
        <v>11</v>
      </c>
      <c r="B515" s="15" t="s">
        <v>2879</v>
      </c>
      <c r="C515" s="15" t="s">
        <v>2880</v>
      </c>
      <c r="D515" s="15" t="s">
        <v>2881</v>
      </c>
      <c r="E515" s="15">
        <v>49</v>
      </c>
      <c r="F515" s="15" t="s">
        <v>3034</v>
      </c>
      <c r="G515" s="15" t="s">
        <v>3035</v>
      </c>
      <c r="H515" s="15" t="s">
        <v>3036</v>
      </c>
      <c r="I515" s="15" t="s">
        <v>96</v>
      </c>
      <c r="J515" s="7" t="str">
        <f>HYPERLINK("https://www.codechef.com/problems/GCDSUBARRAYS", "https://www.codechef.com/problems/GCDSUBARRAYS")</f>
        <v>https://www.codechef.com/problems/GCDSUBARRAYS</v>
      </c>
      <c r="K515" s="15"/>
      <c r="L515" s="15" t="s">
        <v>1238</v>
      </c>
      <c r="M515" s="15"/>
      <c r="N515" s="15" t="s">
        <v>50</v>
      </c>
      <c r="O515" s="15" t="s">
        <v>51</v>
      </c>
    </row>
    <row r="516" spans="1:15">
      <c r="A516" s="14" t="s">
        <v>11</v>
      </c>
      <c r="B516" s="14" t="s">
        <v>2879</v>
      </c>
      <c r="C516" s="14" t="s">
        <v>2880</v>
      </c>
      <c r="D516" s="14" t="s">
        <v>2881</v>
      </c>
      <c r="E516" s="14">
        <v>50</v>
      </c>
      <c r="F516" s="14" t="s">
        <v>3037</v>
      </c>
      <c r="G516" s="14" t="s">
        <v>3038</v>
      </c>
      <c r="H516" s="14" t="s">
        <v>3039</v>
      </c>
      <c r="I516" s="14" t="s">
        <v>96</v>
      </c>
      <c r="J516" s="11" t="str">
        <f>HYPERLINK("https://www.codechef.com/problems/TOTCRT", "https://www.codechef.com/problems/TOTCRT")</f>
        <v>https://www.codechef.com/problems/TOTCRT</v>
      </c>
      <c r="K516" s="14"/>
      <c r="L516" s="14"/>
      <c r="M516" s="14"/>
      <c r="N516" s="14" t="s">
        <v>50</v>
      </c>
      <c r="O516" s="14" t="s">
        <v>51</v>
      </c>
    </row>
    <row r="517" spans="1:15">
      <c r="A517" s="15" t="s">
        <v>11</v>
      </c>
      <c r="B517" s="15" t="s">
        <v>2879</v>
      </c>
      <c r="C517" s="15" t="s">
        <v>2880</v>
      </c>
      <c r="D517" s="15" t="s">
        <v>3040</v>
      </c>
      <c r="E517" s="15">
        <v>51</v>
      </c>
      <c r="F517" s="15" t="s">
        <v>3041</v>
      </c>
      <c r="G517" s="15" t="s">
        <v>3042</v>
      </c>
      <c r="H517" s="15" t="s">
        <v>3043</v>
      </c>
      <c r="I517" s="15" t="s">
        <v>96</v>
      </c>
      <c r="J517" s="7" t="str">
        <f>HYPERLINK("https://www.codechef.com/problems/SUBARRAYREM", "https://www.codechef.com/problems/SUBARRAYREM")</f>
        <v>https://www.codechef.com/problems/SUBARRAYREM</v>
      </c>
      <c r="K517" s="15"/>
      <c r="L517" s="15"/>
      <c r="M517" s="15"/>
      <c r="N517" s="15" t="s">
        <v>50</v>
      </c>
      <c r="O517" s="15" t="s">
        <v>51</v>
      </c>
    </row>
    <row r="518" spans="1:15">
      <c r="A518" s="14" t="s">
        <v>11</v>
      </c>
      <c r="B518" s="14" t="s">
        <v>2879</v>
      </c>
      <c r="C518" s="14" t="s">
        <v>2880</v>
      </c>
      <c r="D518" s="14" t="s">
        <v>3040</v>
      </c>
      <c r="E518" s="14">
        <v>52</v>
      </c>
      <c r="F518" s="14" t="s">
        <v>3044</v>
      </c>
      <c r="G518" s="14" t="s">
        <v>3045</v>
      </c>
      <c r="H518" s="14" t="s">
        <v>3046</v>
      </c>
      <c r="I518" s="14" t="s">
        <v>96</v>
      </c>
      <c r="J518" s="11" t="str">
        <f>HYPERLINK("https://www.codechef.com/problems/PALINPAIN", "https://www.codechef.com/problems/PALINPAIN")</f>
        <v>https://www.codechef.com/problems/PALINPAIN</v>
      </c>
      <c r="K518" s="14"/>
      <c r="L518" s="14" t="s">
        <v>3047</v>
      </c>
      <c r="M518" s="14"/>
      <c r="N518" s="14" t="s">
        <v>50</v>
      </c>
      <c r="O518" s="14" t="s">
        <v>51</v>
      </c>
    </row>
    <row r="519" spans="1:15">
      <c r="A519" s="15" t="s">
        <v>11</v>
      </c>
      <c r="B519" s="15" t="s">
        <v>2879</v>
      </c>
      <c r="C519" s="15" t="s">
        <v>2880</v>
      </c>
      <c r="D519" s="15" t="s">
        <v>3040</v>
      </c>
      <c r="E519" s="15">
        <v>53</v>
      </c>
      <c r="F519" s="15" t="s">
        <v>3048</v>
      </c>
      <c r="G519" s="15" t="s">
        <v>3049</v>
      </c>
      <c r="H519" s="15" t="s">
        <v>1276</v>
      </c>
      <c r="I519" s="15" t="s">
        <v>96</v>
      </c>
      <c r="J519" s="7" t="str">
        <f>HYPERLINK("https://www.codechef.com/problems/SILLYPRS", "https://www.codechef.com/problems/SILLYPRS")</f>
        <v>https://www.codechef.com/problems/SILLYPRS</v>
      </c>
      <c r="K519" s="15"/>
      <c r="L519" s="15"/>
      <c r="M519" s="15"/>
      <c r="N519" s="15" t="s">
        <v>50</v>
      </c>
      <c r="O519" s="15" t="s">
        <v>51</v>
      </c>
    </row>
    <row r="520" spans="1:15">
      <c r="A520" s="14" t="s">
        <v>11</v>
      </c>
      <c r="B520" s="14" t="s">
        <v>2879</v>
      </c>
      <c r="C520" s="14" t="s">
        <v>2880</v>
      </c>
      <c r="D520" s="14" t="s">
        <v>3040</v>
      </c>
      <c r="E520" s="14">
        <v>54</v>
      </c>
      <c r="F520" s="14" t="s">
        <v>3050</v>
      </c>
      <c r="G520" s="14" t="s">
        <v>3051</v>
      </c>
      <c r="H520" s="14" t="s">
        <v>1276</v>
      </c>
      <c r="I520" s="14" t="s">
        <v>96</v>
      </c>
      <c r="J520" s="11" t="str">
        <f>HYPERLINK("https://www.codechef.com/problems/EQBYXOR", "https://www.codechef.com/problems/EQBYXOR")</f>
        <v>https://www.codechef.com/problems/EQBYXOR</v>
      </c>
      <c r="K520" s="14"/>
      <c r="L520" s="14" t="s">
        <v>3052</v>
      </c>
      <c r="M520" s="14"/>
      <c r="N520" s="14" t="s">
        <v>50</v>
      </c>
      <c r="O520" s="14" t="s">
        <v>51</v>
      </c>
    </row>
    <row r="521" spans="1:15">
      <c r="A521" s="15" t="s">
        <v>11</v>
      </c>
      <c r="B521" s="15" t="s">
        <v>2879</v>
      </c>
      <c r="C521" s="15" t="s">
        <v>2880</v>
      </c>
      <c r="D521" s="15" t="s">
        <v>3040</v>
      </c>
      <c r="E521" s="15">
        <v>55</v>
      </c>
      <c r="F521" s="15" t="s">
        <v>3053</v>
      </c>
      <c r="G521" s="15" t="s">
        <v>3054</v>
      </c>
      <c r="H521" s="15" t="s">
        <v>1276</v>
      </c>
      <c r="I521" s="15" t="s">
        <v>96</v>
      </c>
      <c r="J521" s="7" t="str">
        <f>HYPERLINK("https://www.codechef.com/problems/REDONE", "https://www.codechef.com/problems/REDONE")</f>
        <v>https://www.codechef.com/problems/REDONE</v>
      </c>
      <c r="K521" s="15"/>
      <c r="L521" s="15"/>
      <c r="M521" s="15"/>
      <c r="N521" s="15" t="s">
        <v>50</v>
      </c>
      <c r="O521" s="15" t="s">
        <v>51</v>
      </c>
    </row>
    <row r="522" spans="1:15">
      <c r="A522" s="14" t="s">
        <v>11</v>
      </c>
      <c r="B522" s="14" t="s">
        <v>2879</v>
      </c>
      <c r="C522" s="14" t="s">
        <v>2880</v>
      </c>
      <c r="D522" s="14" t="s">
        <v>3040</v>
      </c>
      <c r="E522" s="14">
        <v>56</v>
      </c>
      <c r="F522" s="14" t="s">
        <v>3055</v>
      </c>
      <c r="G522" s="14" t="s">
        <v>3056</v>
      </c>
      <c r="H522" s="14" t="s">
        <v>3057</v>
      </c>
      <c r="I522" s="14" t="s">
        <v>96</v>
      </c>
      <c r="J522" s="11" t="str">
        <f>HYPERLINK("https://www.codechef.com/problems/COKE", "https://www.codechef.com/problems/COKE")</f>
        <v>https://www.codechef.com/problems/COKE</v>
      </c>
      <c r="K522" s="14"/>
      <c r="L522" s="14" t="s">
        <v>194</v>
      </c>
      <c r="M522" s="14"/>
      <c r="N522" s="14" t="s">
        <v>50</v>
      </c>
      <c r="O522" s="14" t="s">
        <v>51</v>
      </c>
    </row>
    <row r="523" spans="1:15">
      <c r="A523" s="15" t="s">
        <v>11</v>
      </c>
      <c r="B523" s="15" t="s">
        <v>2879</v>
      </c>
      <c r="C523" s="15" t="s">
        <v>2880</v>
      </c>
      <c r="D523" s="15" t="s">
        <v>3040</v>
      </c>
      <c r="E523" s="15">
        <v>57</v>
      </c>
      <c r="F523" s="15" t="s">
        <v>3058</v>
      </c>
      <c r="G523" s="15" t="s">
        <v>3059</v>
      </c>
      <c r="H523" s="15" t="s">
        <v>3060</v>
      </c>
      <c r="I523" s="15" t="s">
        <v>96</v>
      </c>
      <c r="J523" s="7" t="str">
        <f>HYPERLINK("https://www.codechef.com/problems/DELXORONE", "https://www.codechef.com/problems/DELXORONE")</f>
        <v>https://www.codechef.com/problems/DELXORONE</v>
      </c>
      <c r="K523" s="15"/>
      <c r="L523" s="15" t="s">
        <v>1012</v>
      </c>
      <c r="M523" s="15"/>
      <c r="N523" s="15" t="s">
        <v>50</v>
      </c>
      <c r="O523" s="15" t="s">
        <v>51</v>
      </c>
    </row>
    <row r="524" spans="1:15">
      <c r="A524" s="14" t="s">
        <v>11</v>
      </c>
      <c r="B524" s="14" t="s">
        <v>2879</v>
      </c>
      <c r="C524" s="14" t="s">
        <v>2880</v>
      </c>
      <c r="D524" s="14" t="s">
        <v>3040</v>
      </c>
      <c r="E524" s="14">
        <v>58</v>
      </c>
      <c r="F524" s="14" t="s">
        <v>3061</v>
      </c>
      <c r="G524" s="14" t="s">
        <v>3062</v>
      </c>
      <c r="H524" s="14" t="s">
        <v>3063</v>
      </c>
      <c r="I524" s="14" t="s">
        <v>96</v>
      </c>
      <c r="J524" s="11" t="str">
        <f>HYPERLINK("https://www.codechef.com/problems/CONCATPAL", "https://www.codechef.com/problems/CONCATPAL")</f>
        <v>https://www.codechef.com/problems/CONCATPAL</v>
      </c>
      <c r="K524" s="14"/>
      <c r="L524" s="14" t="s">
        <v>2344</v>
      </c>
      <c r="M524" s="14"/>
      <c r="N524" s="14" t="s">
        <v>50</v>
      </c>
      <c r="O524" s="14" t="s">
        <v>51</v>
      </c>
    </row>
    <row r="525" spans="1:15">
      <c r="A525" s="15" t="s">
        <v>11</v>
      </c>
      <c r="B525" s="15" t="s">
        <v>2879</v>
      </c>
      <c r="C525" s="15" t="s">
        <v>2880</v>
      </c>
      <c r="D525" s="15" t="s">
        <v>3040</v>
      </c>
      <c r="E525" s="15">
        <v>59</v>
      </c>
      <c r="F525" s="15" t="s">
        <v>3064</v>
      </c>
      <c r="G525" s="15" t="s">
        <v>3065</v>
      </c>
      <c r="H525" s="15" t="s">
        <v>3066</v>
      </c>
      <c r="I525" s="15" t="s">
        <v>96</v>
      </c>
      <c r="J525" s="7" t="str">
        <f>HYPERLINK("https://www.codechef.com/problems/MEDIC", "https://www.codechef.com/problems/MEDIC")</f>
        <v>https://www.codechef.com/problems/MEDIC</v>
      </c>
      <c r="K525" s="15"/>
      <c r="L525" s="15"/>
      <c r="M525" s="15"/>
      <c r="N525" s="15" t="s">
        <v>50</v>
      </c>
      <c r="O525" s="15" t="s">
        <v>51</v>
      </c>
    </row>
    <row r="526" spans="1:15">
      <c r="A526" s="14" t="s">
        <v>11</v>
      </c>
      <c r="B526" s="14" t="s">
        <v>2879</v>
      </c>
      <c r="C526" s="14" t="s">
        <v>2880</v>
      </c>
      <c r="D526" s="14" t="s">
        <v>3040</v>
      </c>
      <c r="E526" s="14">
        <v>60</v>
      </c>
      <c r="F526" s="14" t="s">
        <v>3067</v>
      </c>
      <c r="G526" s="14" t="s">
        <v>3068</v>
      </c>
      <c r="H526" s="14" t="s">
        <v>3069</v>
      </c>
      <c r="I526" s="14" t="s">
        <v>96</v>
      </c>
      <c r="J526" s="11" t="str">
        <f>HYPERLINK("https://www.codechef.com/problems/SPSUM", "https://www.codechef.com/problems/SPSUM")</f>
        <v>https://www.codechef.com/problems/SPSUM</v>
      </c>
      <c r="K526" s="14"/>
      <c r="L526" s="14"/>
      <c r="M526" s="14"/>
      <c r="N526" s="14" t="s">
        <v>50</v>
      </c>
      <c r="O526" s="14" t="s">
        <v>51</v>
      </c>
    </row>
    <row r="527" spans="1:15">
      <c r="A527" s="15" t="s">
        <v>11</v>
      </c>
      <c r="B527" s="15" t="s">
        <v>2879</v>
      </c>
      <c r="C527" s="15" t="s">
        <v>2880</v>
      </c>
      <c r="D527" s="15" t="s">
        <v>3040</v>
      </c>
      <c r="E527" s="15">
        <v>61</v>
      </c>
      <c r="F527" s="15" t="s">
        <v>3070</v>
      </c>
      <c r="G527" s="15" t="s">
        <v>3071</v>
      </c>
      <c r="H527" s="15" t="s">
        <v>3072</v>
      </c>
      <c r="I527" s="15" t="s">
        <v>96</v>
      </c>
      <c r="J527" s="7" t="str">
        <f>HYPERLINK("https://www.codechef.com/problems/KS2", "https://www.codechef.com/problems/KS2")</f>
        <v>https://www.codechef.com/problems/KS2</v>
      </c>
      <c r="K527" s="15"/>
      <c r="L527" s="15" t="s">
        <v>2344</v>
      </c>
      <c r="M527" s="15"/>
      <c r="N527" s="15" t="s">
        <v>50</v>
      </c>
      <c r="O527" s="15" t="s">
        <v>51</v>
      </c>
    </row>
    <row r="528" spans="1:15">
      <c r="A528" s="14" t="s">
        <v>11</v>
      </c>
      <c r="B528" s="14" t="s">
        <v>2879</v>
      </c>
      <c r="C528" s="14" t="s">
        <v>2880</v>
      </c>
      <c r="D528" s="14" t="s">
        <v>3040</v>
      </c>
      <c r="E528" s="14">
        <v>62</v>
      </c>
      <c r="F528" s="14" t="s">
        <v>3073</v>
      </c>
      <c r="G528" s="14" t="s">
        <v>3074</v>
      </c>
      <c r="H528" s="14" t="s">
        <v>3075</v>
      </c>
      <c r="I528" s="14" t="s">
        <v>96</v>
      </c>
      <c r="J528" s="11" t="str">
        <f>HYPERLINK("https://www.codechef.com/problems/POSITNEG", "https://www.codechef.com/problems/POSITNEG")</f>
        <v>https://www.codechef.com/problems/POSITNEG</v>
      </c>
      <c r="K528" s="14"/>
      <c r="L528" s="14" t="s">
        <v>3076</v>
      </c>
      <c r="M528" s="14"/>
      <c r="N528" s="14" t="s">
        <v>50</v>
      </c>
      <c r="O528" s="14" t="s">
        <v>51</v>
      </c>
    </row>
    <row r="529" spans="1:15">
      <c r="A529" s="15" t="s">
        <v>11</v>
      </c>
      <c r="B529" s="15" t="s">
        <v>2879</v>
      </c>
      <c r="C529" s="15" t="s">
        <v>2880</v>
      </c>
      <c r="D529" s="15" t="s">
        <v>3040</v>
      </c>
      <c r="E529" s="15">
        <v>63</v>
      </c>
      <c r="F529" s="15" t="s">
        <v>3077</v>
      </c>
      <c r="G529" s="15" t="s">
        <v>3078</v>
      </c>
      <c r="H529" s="15" t="s">
        <v>3079</v>
      </c>
      <c r="I529" s="15" t="s">
        <v>96</v>
      </c>
      <c r="J529" s="7" t="str">
        <f>HYPERLINK("https://www.codechef.com/problems/SPCP5", "https://www.codechef.com/problems/SPCP5")</f>
        <v>https://www.codechef.com/problems/SPCP5</v>
      </c>
      <c r="K529" s="15"/>
      <c r="L529" s="15"/>
      <c r="M529" s="15"/>
      <c r="N529" s="15" t="s">
        <v>50</v>
      </c>
      <c r="O529" s="15" t="s">
        <v>51</v>
      </c>
    </row>
    <row r="530" spans="1:15">
      <c r="A530" s="14" t="s">
        <v>11</v>
      </c>
      <c r="B530" s="14" t="s">
        <v>2879</v>
      </c>
      <c r="C530" s="14" t="s">
        <v>2880</v>
      </c>
      <c r="D530" s="14" t="s">
        <v>3040</v>
      </c>
      <c r="E530" s="14">
        <v>64</v>
      </c>
      <c r="F530" s="14" t="s">
        <v>3080</v>
      </c>
      <c r="G530" s="14" t="s">
        <v>3081</v>
      </c>
      <c r="H530" s="14" t="s">
        <v>3082</v>
      </c>
      <c r="I530" s="14" t="s">
        <v>96</v>
      </c>
      <c r="J530" s="11" t="str">
        <f>HYPERLINK("https://www.codechef.com/problems/ADMINSHOP", "https://www.codechef.com/problems/ADMINSHOP")</f>
        <v>https://www.codechef.com/problems/ADMINSHOP</v>
      </c>
      <c r="K530" s="14"/>
      <c r="L530" s="14" t="s">
        <v>140</v>
      </c>
      <c r="M530" s="14"/>
      <c r="N530" s="14" t="s">
        <v>50</v>
      </c>
      <c r="O530" s="14" t="s">
        <v>51</v>
      </c>
    </row>
    <row r="531" spans="1:15">
      <c r="A531" s="15" t="s">
        <v>11</v>
      </c>
      <c r="B531" s="15" t="s">
        <v>2879</v>
      </c>
      <c r="C531" s="15" t="s">
        <v>2880</v>
      </c>
      <c r="D531" s="15" t="s">
        <v>3040</v>
      </c>
      <c r="E531" s="15">
        <v>65</v>
      </c>
      <c r="F531" s="15" t="s">
        <v>3083</v>
      </c>
      <c r="G531" s="15" t="s">
        <v>3084</v>
      </c>
      <c r="H531" s="15" t="s">
        <v>3085</v>
      </c>
      <c r="I531" s="15" t="s">
        <v>96</v>
      </c>
      <c r="J531" s="7" t="str">
        <f>HYPERLINK("https://www.codechef.com/problems/PREFPERM", "https://www.codechef.com/problems/PREFPERM")</f>
        <v>https://www.codechef.com/problems/PREFPERM</v>
      </c>
      <c r="K531" s="15"/>
      <c r="L531" s="15" t="s">
        <v>2833</v>
      </c>
      <c r="M531" s="15"/>
      <c r="N531" s="15" t="s">
        <v>50</v>
      </c>
      <c r="O531" s="15" t="s">
        <v>51</v>
      </c>
    </row>
    <row r="532" spans="1:15">
      <c r="A532" s="14" t="s">
        <v>11</v>
      </c>
      <c r="B532" s="14" t="s">
        <v>2879</v>
      </c>
      <c r="C532" s="14" t="s">
        <v>2880</v>
      </c>
      <c r="D532" s="14" t="s">
        <v>3040</v>
      </c>
      <c r="E532" s="14">
        <v>66</v>
      </c>
      <c r="F532" s="14" t="s">
        <v>3086</v>
      </c>
      <c r="G532" s="14" t="s">
        <v>3087</v>
      </c>
      <c r="H532" s="14" t="s">
        <v>3088</v>
      </c>
      <c r="I532" s="14" t="s">
        <v>96</v>
      </c>
      <c r="J532" s="11" t="str">
        <f>HYPERLINK("https://www.codechef.com/problems/FLIP", "https://www.codechef.com/problems/FLIP")</f>
        <v>https://www.codechef.com/problems/FLIP</v>
      </c>
      <c r="K532" s="14"/>
      <c r="L532" s="14" t="s">
        <v>3089</v>
      </c>
      <c r="M532" s="14"/>
      <c r="N532" s="14" t="s">
        <v>50</v>
      </c>
      <c r="O532" s="14" t="s">
        <v>51</v>
      </c>
    </row>
    <row r="533" spans="1:15">
      <c r="A533" s="15" t="s">
        <v>11</v>
      </c>
      <c r="B533" s="15" t="s">
        <v>2879</v>
      </c>
      <c r="C533" s="15" t="s">
        <v>2880</v>
      </c>
      <c r="D533" s="15" t="s">
        <v>3040</v>
      </c>
      <c r="E533" s="15">
        <v>67</v>
      </c>
      <c r="F533" s="15" t="s">
        <v>3090</v>
      </c>
      <c r="G533" s="15" t="s">
        <v>3091</v>
      </c>
      <c r="H533" s="15" t="s">
        <v>3092</v>
      </c>
      <c r="I533" s="15" t="s">
        <v>96</v>
      </c>
      <c r="J533" s="7" t="str">
        <f>HYPERLINK("https://www.codechef.com/problems/RANKLIST", "https://www.codechef.com/problems/RANKLIST")</f>
        <v>https://www.codechef.com/problems/RANKLIST</v>
      </c>
      <c r="K533" s="15"/>
      <c r="L533" s="15"/>
      <c r="M533" s="15"/>
      <c r="N533" s="15" t="s">
        <v>50</v>
      </c>
      <c r="O533" s="15" t="s">
        <v>51</v>
      </c>
    </row>
    <row r="534" spans="1:15">
      <c r="A534" s="14" t="s">
        <v>11</v>
      </c>
      <c r="B534" s="14" t="s">
        <v>2879</v>
      </c>
      <c r="C534" s="14" t="s">
        <v>2880</v>
      </c>
      <c r="D534" s="14" t="s">
        <v>3040</v>
      </c>
      <c r="E534" s="14">
        <v>68</v>
      </c>
      <c r="F534" s="14" t="s">
        <v>3093</v>
      </c>
      <c r="G534" s="14" t="s">
        <v>3094</v>
      </c>
      <c r="H534" s="14" t="s">
        <v>3095</v>
      </c>
      <c r="I534" s="14" t="s">
        <v>96</v>
      </c>
      <c r="J534" s="11" t="str">
        <f>HYPERLINK("https://www.codechef.com/problems/COUNTSUB", "https://www.codechef.com/problems/COUNTSUB")</f>
        <v>https://www.codechef.com/problems/COUNTSUB</v>
      </c>
      <c r="K534" s="14"/>
      <c r="L534" s="14" t="s">
        <v>3096</v>
      </c>
      <c r="M534" s="14"/>
      <c r="N534" s="14" t="s">
        <v>50</v>
      </c>
      <c r="O534" s="14" t="s">
        <v>51</v>
      </c>
    </row>
    <row r="535" spans="1:15">
      <c r="A535" s="15" t="s">
        <v>11</v>
      </c>
      <c r="B535" s="15" t="s">
        <v>2879</v>
      </c>
      <c r="C535" s="15" t="s">
        <v>2880</v>
      </c>
      <c r="D535" s="15" t="s">
        <v>3040</v>
      </c>
      <c r="E535" s="15">
        <v>69</v>
      </c>
      <c r="F535" s="15" t="s">
        <v>3097</v>
      </c>
      <c r="G535" s="15" t="s">
        <v>3098</v>
      </c>
      <c r="H535" s="15" t="s">
        <v>3099</v>
      </c>
      <c r="I535" s="15" t="s">
        <v>96</v>
      </c>
      <c r="J535" s="7" t="str">
        <f>HYPERLINK("https://www.codechef.com/problems/CATHIEF", "https://www.codechef.com/problems/CATHIEF")</f>
        <v>https://www.codechef.com/problems/CATHIEF</v>
      </c>
      <c r="K535" s="15"/>
      <c r="L535" s="15" t="s">
        <v>194</v>
      </c>
      <c r="M535" s="15"/>
      <c r="N535" s="15" t="s">
        <v>50</v>
      </c>
      <c r="O535" s="15" t="s">
        <v>51</v>
      </c>
    </row>
    <row r="536" spans="1:15">
      <c r="A536" s="14" t="s">
        <v>11</v>
      </c>
      <c r="B536" s="14" t="s">
        <v>2879</v>
      </c>
      <c r="C536" s="14" t="s">
        <v>2880</v>
      </c>
      <c r="D536" s="14" t="s">
        <v>3040</v>
      </c>
      <c r="E536" s="14">
        <v>70</v>
      </c>
      <c r="F536" s="14" t="s">
        <v>3100</v>
      </c>
      <c r="G536" s="14" t="s">
        <v>3101</v>
      </c>
      <c r="H536" s="14" t="s">
        <v>3102</v>
      </c>
      <c r="I536" s="14" t="s">
        <v>96</v>
      </c>
      <c r="J536" s="11" t="str">
        <f>HYPERLINK("https://www.codechef.com/problems/XXOORR", "https://www.codechef.com/problems/XXOORR")</f>
        <v>https://www.codechef.com/problems/XXOORR</v>
      </c>
      <c r="K536" s="14"/>
      <c r="L536" s="14"/>
      <c r="M536" s="14"/>
      <c r="N536" s="14" t="s">
        <v>50</v>
      </c>
      <c r="O536" s="14" t="s">
        <v>51</v>
      </c>
    </row>
    <row r="537" spans="1:15">
      <c r="A537" s="15" t="s">
        <v>11</v>
      </c>
      <c r="B537" s="15" t="s">
        <v>2879</v>
      </c>
      <c r="C537" s="15" t="s">
        <v>2880</v>
      </c>
      <c r="D537" s="15" t="s">
        <v>3040</v>
      </c>
      <c r="E537" s="15">
        <v>71</v>
      </c>
      <c r="F537" s="15" t="s">
        <v>3103</v>
      </c>
      <c r="G537" s="15" t="s">
        <v>3104</v>
      </c>
      <c r="H537" s="15" t="s">
        <v>3105</v>
      </c>
      <c r="I537" s="15" t="s">
        <v>96</v>
      </c>
      <c r="J537" s="7" t="str">
        <f>HYPERLINK("https://www.codechef.com/problems/CHEFSIGN", "https://www.codechef.com/problems/CHEFSIGN")</f>
        <v>https://www.codechef.com/problems/CHEFSIGN</v>
      </c>
      <c r="K537" s="15"/>
      <c r="L537" s="15" t="s">
        <v>3106</v>
      </c>
      <c r="M537" s="15"/>
      <c r="N537" s="15" t="s">
        <v>50</v>
      </c>
      <c r="O537" s="15" t="s">
        <v>51</v>
      </c>
    </row>
    <row r="538" spans="1:15">
      <c r="A538" s="14" t="s">
        <v>11</v>
      </c>
      <c r="B538" s="14" t="s">
        <v>2879</v>
      </c>
      <c r="C538" s="14" t="s">
        <v>2880</v>
      </c>
      <c r="D538" s="14" t="s">
        <v>3040</v>
      </c>
      <c r="E538" s="14">
        <v>72</v>
      </c>
      <c r="F538" s="14" t="s">
        <v>3107</v>
      </c>
      <c r="G538" s="14" t="s">
        <v>3108</v>
      </c>
      <c r="H538" s="14" t="s">
        <v>3109</v>
      </c>
      <c r="I538" s="14" t="s">
        <v>96</v>
      </c>
      <c r="J538" s="11" t="str">
        <f>HYPERLINK("https://www.codechef.com/problems/BORSTR", "https://www.codechef.com/problems/BORSTR")</f>
        <v>https://www.codechef.com/problems/BORSTR</v>
      </c>
      <c r="K538" s="14"/>
      <c r="L538" s="14" t="s">
        <v>105</v>
      </c>
      <c r="M538" s="14"/>
      <c r="N538" s="14" t="s">
        <v>50</v>
      </c>
      <c r="O538" s="14" t="s">
        <v>51</v>
      </c>
    </row>
    <row r="539" spans="1:15">
      <c r="A539" s="15" t="s">
        <v>11</v>
      </c>
      <c r="B539" s="15" t="s">
        <v>2879</v>
      </c>
      <c r="C539" s="15" t="s">
        <v>2880</v>
      </c>
      <c r="D539" s="15" t="s">
        <v>3040</v>
      </c>
      <c r="E539" s="15">
        <v>73</v>
      </c>
      <c r="F539" s="15" t="s">
        <v>3110</v>
      </c>
      <c r="G539" s="15" t="s">
        <v>3111</v>
      </c>
      <c r="H539" s="15" t="s">
        <v>3112</v>
      </c>
      <c r="I539" s="15" t="s">
        <v>96</v>
      </c>
      <c r="J539" s="7" t="str">
        <f>HYPERLINK("https://www.codechef.com/problems/CHSQR", "https://www.codechef.com/problems/CHSQR")</f>
        <v>https://www.codechef.com/problems/CHSQR</v>
      </c>
      <c r="K539" s="15"/>
      <c r="L539" s="15" t="s">
        <v>1701</v>
      </c>
      <c r="M539" s="15"/>
      <c r="N539" s="15" t="s">
        <v>50</v>
      </c>
      <c r="O539" s="15" t="s">
        <v>51</v>
      </c>
    </row>
    <row r="540" spans="1:15">
      <c r="A540" s="14" t="s">
        <v>11</v>
      </c>
      <c r="B540" s="14" t="s">
        <v>2879</v>
      </c>
      <c r="C540" s="14" t="s">
        <v>2880</v>
      </c>
      <c r="D540" s="14" t="s">
        <v>3040</v>
      </c>
      <c r="E540" s="14">
        <v>74</v>
      </c>
      <c r="F540" s="14" t="s">
        <v>3113</v>
      </c>
      <c r="G540" s="14" t="s">
        <v>3114</v>
      </c>
      <c r="H540" s="14" t="s">
        <v>3115</v>
      </c>
      <c r="I540" s="14" t="s">
        <v>96</v>
      </c>
      <c r="J540" s="11" t="str">
        <f>HYPERLINK("https://www.codechef.com/problems/ORANDCON", "https://www.codechef.com/problems/ORANDCON")</f>
        <v>https://www.codechef.com/problems/ORANDCON</v>
      </c>
      <c r="K540" s="14"/>
      <c r="L540" s="14"/>
      <c r="M540" s="14"/>
      <c r="N540" s="14" t="s">
        <v>50</v>
      </c>
      <c r="O540" s="14" t="s">
        <v>51</v>
      </c>
    </row>
    <row r="541" spans="1:15">
      <c r="A541" s="15" t="s">
        <v>11</v>
      </c>
      <c r="B541" s="15" t="s">
        <v>2879</v>
      </c>
      <c r="C541" s="15" t="s">
        <v>2880</v>
      </c>
      <c r="D541" s="15" t="s">
        <v>3040</v>
      </c>
      <c r="E541" s="15">
        <v>75</v>
      </c>
      <c r="F541" s="15" t="s">
        <v>3116</v>
      </c>
      <c r="G541" s="15" t="s">
        <v>3117</v>
      </c>
      <c r="H541" s="15" t="s">
        <v>3118</v>
      </c>
      <c r="I541" s="15" t="s">
        <v>96</v>
      </c>
      <c r="J541" s="7" t="str">
        <f>HYPERLINK("https://www.codechef.com/problems/MISS_NUM", "https://www.codechef.com/problems/MISS_NUM")</f>
        <v>https://www.codechef.com/problems/MISS_NUM</v>
      </c>
      <c r="K541" s="15"/>
      <c r="L541" s="15" t="s">
        <v>1762</v>
      </c>
      <c r="M541" s="15"/>
      <c r="N541" s="15" t="s">
        <v>50</v>
      </c>
      <c r="O541" s="15" t="s">
        <v>51</v>
      </c>
    </row>
    <row r="542" spans="1:15">
      <c r="A542" s="14" t="s">
        <v>11</v>
      </c>
      <c r="B542" s="14" t="s">
        <v>2879</v>
      </c>
      <c r="C542" s="14" t="s">
        <v>2880</v>
      </c>
      <c r="D542" s="14" t="s">
        <v>3040</v>
      </c>
      <c r="E542" s="14">
        <v>76</v>
      </c>
      <c r="F542" s="14" t="s">
        <v>3119</v>
      </c>
      <c r="G542" s="14" t="s">
        <v>3120</v>
      </c>
      <c r="H542" s="14" t="s">
        <v>3118</v>
      </c>
      <c r="I542" s="14" t="s">
        <v>96</v>
      </c>
      <c r="J542" s="11" t="str">
        <f>HYPERLINK("https://www.codechef.com/problems/ARRPAL", "https://www.codechef.com/problems/ARRPAL")</f>
        <v>https://www.codechef.com/problems/ARRPAL</v>
      </c>
      <c r="K542" s="14"/>
      <c r="L542" s="14" t="s">
        <v>2681</v>
      </c>
      <c r="M542" s="14"/>
      <c r="N542" s="14" t="s">
        <v>50</v>
      </c>
      <c r="O542" s="14" t="s">
        <v>51</v>
      </c>
    </row>
    <row r="543" spans="1:15">
      <c r="A543" s="15" t="s">
        <v>11</v>
      </c>
      <c r="B543" s="15" t="s">
        <v>2879</v>
      </c>
      <c r="C543" s="15" t="s">
        <v>2880</v>
      </c>
      <c r="D543" s="15" t="s">
        <v>3040</v>
      </c>
      <c r="E543" s="15">
        <v>77</v>
      </c>
      <c r="F543" s="15" t="s">
        <v>3121</v>
      </c>
      <c r="G543" s="15" t="s">
        <v>3122</v>
      </c>
      <c r="H543" s="15" t="s">
        <v>1175</v>
      </c>
      <c r="I543" s="15" t="s">
        <v>96</v>
      </c>
      <c r="J543" s="7" t="str">
        <f>HYPERLINK("https://www.codechef.com/problems/S06E06", "https://www.codechef.com/problems/S06E06")</f>
        <v>https://www.codechef.com/problems/S06E06</v>
      </c>
      <c r="K543" s="15"/>
      <c r="L543" s="15"/>
      <c r="M543" s="15"/>
      <c r="N543" s="15" t="s">
        <v>50</v>
      </c>
      <c r="O543" s="15" t="s">
        <v>51</v>
      </c>
    </row>
    <row r="544" spans="1:15">
      <c r="A544" s="14" t="s">
        <v>11</v>
      </c>
      <c r="B544" s="14" t="s">
        <v>2879</v>
      </c>
      <c r="C544" s="14" t="s">
        <v>2880</v>
      </c>
      <c r="D544" s="14" t="s">
        <v>3040</v>
      </c>
      <c r="E544" s="14">
        <v>78</v>
      </c>
      <c r="F544" s="14" t="s">
        <v>3123</v>
      </c>
      <c r="G544" s="14" t="s">
        <v>3124</v>
      </c>
      <c r="H544" s="14" t="s">
        <v>3125</v>
      </c>
      <c r="I544" s="14" t="s">
        <v>96</v>
      </c>
      <c r="J544" s="11" t="str">
        <f>HYPERLINK("https://www.codechef.com/problems/AMMEAT2", "https://www.codechef.com/problems/AMMEAT2")</f>
        <v>https://www.codechef.com/problems/AMMEAT2</v>
      </c>
      <c r="K544" s="14"/>
      <c r="L544" s="14" t="s">
        <v>3126</v>
      </c>
      <c r="M544" s="14"/>
      <c r="N544" s="14" t="s">
        <v>50</v>
      </c>
      <c r="O544" s="14" t="s">
        <v>51</v>
      </c>
    </row>
    <row r="545" spans="1:15">
      <c r="A545" s="15" t="s">
        <v>11</v>
      </c>
      <c r="B545" s="15" t="s">
        <v>2879</v>
      </c>
      <c r="C545" s="15" t="s">
        <v>2880</v>
      </c>
      <c r="D545" s="15" t="s">
        <v>3040</v>
      </c>
      <c r="E545" s="15">
        <v>79</v>
      </c>
      <c r="F545" s="15" t="s">
        <v>3127</v>
      </c>
      <c r="G545" s="15" t="s">
        <v>3128</v>
      </c>
      <c r="H545" s="15" t="s">
        <v>3129</v>
      </c>
      <c r="I545" s="15" t="s">
        <v>96</v>
      </c>
      <c r="J545" s="7" t="str">
        <f>HYPERLINK("https://www.codechef.com/problems/BOUNCE_BALL", "https://www.codechef.com/problems/BOUNCE_BALL")</f>
        <v>https://www.codechef.com/problems/BOUNCE_BALL</v>
      </c>
      <c r="K545" s="15"/>
      <c r="L545" s="15" t="s">
        <v>2927</v>
      </c>
      <c r="M545" s="15"/>
      <c r="N545" s="15" t="s">
        <v>50</v>
      </c>
      <c r="O545" s="15" t="s">
        <v>51</v>
      </c>
    </row>
    <row r="546" spans="1:15">
      <c r="A546" s="14" t="s">
        <v>11</v>
      </c>
      <c r="B546" s="14" t="s">
        <v>2879</v>
      </c>
      <c r="C546" s="14" t="s">
        <v>2880</v>
      </c>
      <c r="D546" s="14" t="s">
        <v>3040</v>
      </c>
      <c r="E546" s="14">
        <v>80</v>
      </c>
      <c r="F546" s="14" t="s">
        <v>3130</v>
      </c>
      <c r="G546" s="14" t="s">
        <v>3131</v>
      </c>
      <c r="H546" s="14" t="s">
        <v>3132</v>
      </c>
      <c r="I546" s="14" t="s">
        <v>96</v>
      </c>
      <c r="J546" s="11" t="str">
        <f>HYPERLINK("https://www.codechef.com/problems/DIVCOL", "https://www.codechef.com/problems/DIVCOL")</f>
        <v>https://www.codechef.com/problems/DIVCOL</v>
      </c>
      <c r="K546" s="14"/>
      <c r="L546" s="14" t="s">
        <v>3133</v>
      </c>
      <c r="M546" s="14"/>
      <c r="N546" s="14" t="s">
        <v>50</v>
      </c>
      <c r="O546" s="14" t="s">
        <v>51</v>
      </c>
    </row>
    <row r="547" spans="1:15">
      <c r="A547" s="15" t="s">
        <v>11</v>
      </c>
      <c r="B547" s="15" t="s">
        <v>2879</v>
      </c>
      <c r="C547" s="15" t="s">
        <v>2880</v>
      </c>
      <c r="D547" s="15" t="s">
        <v>3040</v>
      </c>
      <c r="E547" s="15">
        <v>81</v>
      </c>
      <c r="F547" s="15" t="s">
        <v>3134</v>
      </c>
      <c r="G547" s="15" t="s">
        <v>3135</v>
      </c>
      <c r="H547" s="15" t="s">
        <v>3136</v>
      </c>
      <c r="I547" s="15" t="s">
        <v>96</v>
      </c>
      <c r="J547" s="7" t="str">
        <f>HYPERLINK("https://www.codechef.com/problems/ADVITIYA5", "https://www.codechef.com/problems/ADVITIYA5")</f>
        <v>https://www.codechef.com/problems/ADVITIYA5</v>
      </c>
      <c r="K547" s="15"/>
      <c r="L547" s="15" t="s">
        <v>2833</v>
      </c>
      <c r="M547" s="15"/>
      <c r="N547" s="15" t="s">
        <v>50</v>
      </c>
      <c r="O547" s="15" t="s">
        <v>51</v>
      </c>
    </row>
    <row r="548" spans="1:15">
      <c r="A548" s="14" t="s">
        <v>11</v>
      </c>
      <c r="B548" s="14" t="s">
        <v>2879</v>
      </c>
      <c r="C548" s="14" t="s">
        <v>2880</v>
      </c>
      <c r="D548" s="14" t="s">
        <v>3040</v>
      </c>
      <c r="E548" s="14">
        <v>82</v>
      </c>
      <c r="F548" s="14" t="s">
        <v>3137</v>
      </c>
      <c r="G548" s="14" t="s">
        <v>3138</v>
      </c>
      <c r="H548" s="14" t="s">
        <v>3139</v>
      </c>
      <c r="I548" s="14" t="s">
        <v>96</v>
      </c>
      <c r="J548" s="11" t="str">
        <f>HYPERLINK("https://www.codechef.com/problems/REMOSET", "https://www.codechef.com/problems/REMOSET")</f>
        <v>https://www.codechef.com/problems/REMOSET</v>
      </c>
      <c r="K548" s="14"/>
      <c r="L548" s="14"/>
      <c r="M548" s="14"/>
      <c r="N548" s="14" t="s">
        <v>50</v>
      </c>
      <c r="O548" s="14" t="s">
        <v>51</v>
      </c>
    </row>
    <row r="549" spans="1:15">
      <c r="A549" s="15" t="s">
        <v>11</v>
      </c>
      <c r="B549" s="15" t="s">
        <v>2879</v>
      </c>
      <c r="C549" s="15" t="s">
        <v>2880</v>
      </c>
      <c r="D549" s="15" t="s">
        <v>3040</v>
      </c>
      <c r="E549" s="15">
        <v>83</v>
      </c>
      <c r="F549" s="15" t="s">
        <v>3140</v>
      </c>
      <c r="G549" s="15" t="s">
        <v>3141</v>
      </c>
      <c r="H549" s="15" t="s">
        <v>3142</v>
      </c>
      <c r="I549" s="15" t="s">
        <v>96</v>
      </c>
      <c r="J549" s="7" t="str">
        <f>HYPERLINK("https://www.codechef.com/problems/CHFADJSUM", "https://www.codechef.com/problems/CHFADJSUM")</f>
        <v>https://www.codechef.com/problems/CHFADJSUM</v>
      </c>
      <c r="K549" s="15"/>
      <c r="L549" s="15" t="s">
        <v>2344</v>
      </c>
      <c r="M549" s="15"/>
      <c r="N549" s="15" t="s">
        <v>50</v>
      </c>
      <c r="O549" s="15" t="s">
        <v>51</v>
      </c>
    </row>
    <row r="550" spans="1:15">
      <c r="A550" s="14" t="s">
        <v>11</v>
      </c>
      <c r="B550" s="14" t="s">
        <v>2879</v>
      </c>
      <c r="C550" s="14" t="s">
        <v>2880</v>
      </c>
      <c r="D550" s="14" t="s">
        <v>3040</v>
      </c>
      <c r="E550" s="14">
        <v>84</v>
      </c>
      <c r="F550" s="14" t="s">
        <v>3143</v>
      </c>
      <c r="G550" s="14" t="s">
        <v>3144</v>
      </c>
      <c r="H550" s="14" t="s">
        <v>1120</v>
      </c>
      <c r="I550" s="14" t="s">
        <v>96</v>
      </c>
      <c r="J550" s="11" t="str">
        <f>HYPERLINK("https://www.codechef.com/problems/XOR2", "https://www.codechef.com/problems/XOR2")</f>
        <v>https://www.codechef.com/problems/XOR2</v>
      </c>
      <c r="K550" s="14"/>
      <c r="L550" s="14"/>
      <c r="M550" s="14"/>
      <c r="N550" s="14" t="s">
        <v>50</v>
      </c>
      <c r="O550" s="14" t="s">
        <v>51</v>
      </c>
    </row>
    <row r="551" spans="1:15">
      <c r="A551" s="15" t="s">
        <v>11</v>
      </c>
      <c r="B551" s="15" t="s">
        <v>2879</v>
      </c>
      <c r="C551" s="15" t="s">
        <v>2880</v>
      </c>
      <c r="D551" s="15" t="s">
        <v>3040</v>
      </c>
      <c r="E551" s="15">
        <v>85</v>
      </c>
      <c r="F551" s="15" t="s">
        <v>537</v>
      </c>
      <c r="G551" s="15" t="s">
        <v>538</v>
      </c>
      <c r="H551" s="15" t="s">
        <v>539</v>
      </c>
      <c r="I551" s="15" t="s">
        <v>96</v>
      </c>
      <c r="J551" s="7" t="str">
        <f>HYPERLINK("https://www.codechef.com/problems/CIREQ", "https://www.codechef.com/problems/CIREQ")</f>
        <v>https://www.codechef.com/problems/CIREQ</v>
      </c>
      <c r="K551" s="15"/>
      <c r="L551" s="15" t="s">
        <v>540</v>
      </c>
      <c r="M551" s="15"/>
      <c r="N551" s="15" t="s">
        <v>50</v>
      </c>
      <c r="O551" s="15" t="s">
        <v>51</v>
      </c>
    </row>
    <row r="552" spans="1:15">
      <c r="A552" s="14" t="s">
        <v>11</v>
      </c>
      <c r="B552" s="14" t="s">
        <v>3145</v>
      </c>
      <c r="C552" s="14" t="s">
        <v>3146</v>
      </c>
      <c r="D552" s="14" t="s">
        <v>3147</v>
      </c>
      <c r="E552" s="14">
        <v>1</v>
      </c>
      <c r="F552" s="14" t="s">
        <v>3148</v>
      </c>
      <c r="G552" s="14" t="s">
        <v>3149</v>
      </c>
      <c r="H552" s="14" t="s">
        <v>348</v>
      </c>
      <c r="I552" s="14" t="s">
        <v>96</v>
      </c>
      <c r="J552" s="11" t="str">
        <f>HYPERLINK("https://www.codechef.com/problems/ODDSUM", "https://www.codechef.com/problems/ODDSUM")</f>
        <v>https://www.codechef.com/problems/ODDSUM</v>
      </c>
      <c r="K552" s="14"/>
      <c r="L552" s="14" t="s">
        <v>2138</v>
      </c>
      <c r="M552" s="14"/>
      <c r="N552" s="14" t="s">
        <v>50</v>
      </c>
      <c r="O552" s="14" t="s">
        <v>51</v>
      </c>
    </row>
    <row r="553" spans="1:15">
      <c r="A553" s="15" t="s">
        <v>11</v>
      </c>
      <c r="B553" s="15" t="s">
        <v>3145</v>
      </c>
      <c r="C553" s="15" t="s">
        <v>3146</v>
      </c>
      <c r="D553" s="15" t="s">
        <v>3147</v>
      </c>
      <c r="E553" s="15">
        <v>2</v>
      </c>
      <c r="F553" s="15" t="s">
        <v>3150</v>
      </c>
      <c r="G553" s="15" t="s">
        <v>3151</v>
      </c>
      <c r="H553" s="15" t="s">
        <v>3129</v>
      </c>
      <c r="I553" s="15" t="s">
        <v>96</v>
      </c>
      <c r="J553" s="7" t="str">
        <f>HYPERLINK("https://www.codechef.com/problems/CHFINVNT", "https://www.codechef.com/problems/CHFINVNT")</f>
        <v>https://www.codechef.com/problems/CHFINVNT</v>
      </c>
      <c r="K553" s="15"/>
      <c r="L553" s="15" t="s">
        <v>1762</v>
      </c>
      <c r="M553" s="15"/>
      <c r="N553" s="15" t="s">
        <v>50</v>
      </c>
      <c r="O553" s="15" t="s">
        <v>51</v>
      </c>
    </row>
    <row r="554" spans="1:15">
      <c r="A554" s="14" t="s">
        <v>11</v>
      </c>
      <c r="B554" s="14" t="s">
        <v>3145</v>
      </c>
      <c r="C554" s="14" t="s">
        <v>3146</v>
      </c>
      <c r="D554" s="14" t="s">
        <v>3147</v>
      </c>
      <c r="E554" s="14">
        <v>3</v>
      </c>
      <c r="F554" s="14" t="s">
        <v>3152</v>
      </c>
      <c r="G554" s="14" t="s">
        <v>3153</v>
      </c>
      <c r="H554" s="14" t="s">
        <v>1120</v>
      </c>
      <c r="I554" s="14" t="s">
        <v>96</v>
      </c>
      <c r="J554" s="11" t="str">
        <f>HYPERLINK("https://www.codechef.com/problems/DONUTS", "https://www.codechef.com/problems/DONUTS")</f>
        <v>https://www.codechef.com/problems/DONUTS</v>
      </c>
      <c r="K554" s="14"/>
      <c r="L554" s="14" t="s">
        <v>3154</v>
      </c>
      <c r="M554" s="14"/>
      <c r="N554" s="14" t="s">
        <v>50</v>
      </c>
      <c r="O554" s="14" t="s">
        <v>51</v>
      </c>
    </row>
    <row r="555" spans="1:15">
      <c r="A555" s="15" t="s">
        <v>11</v>
      </c>
      <c r="B555" s="15" t="s">
        <v>3145</v>
      </c>
      <c r="C555" s="15" t="s">
        <v>3146</v>
      </c>
      <c r="D555" s="15" t="s">
        <v>3147</v>
      </c>
      <c r="E555" s="15">
        <v>4</v>
      </c>
      <c r="F555" s="15" t="s">
        <v>3143</v>
      </c>
      <c r="G555" s="15" t="s">
        <v>3144</v>
      </c>
      <c r="H555" s="15" t="s">
        <v>1120</v>
      </c>
      <c r="I555" s="15" t="s">
        <v>96</v>
      </c>
      <c r="J555" s="7" t="str">
        <f>HYPERLINK("https://www.codechef.com/problems/XOR2", "https://www.codechef.com/problems/XOR2")</f>
        <v>https://www.codechef.com/problems/XOR2</v>
      </c>
      <c r="K555" s="15"/>
      <c r="L555" s="15"/>
      <c r="M555" s="15"/>
      <c r="N555" s="15" t="s">
        <v>50</v>
      </c>
      <c r="O555" s="15" t="s">
        <v>51</v>
      </c>
    </row>
    <row r="556" spans="1:15">
      <c r="A556" s="14" t="s">
        <v>11</v>
      </c>
      <c r="B556" s="14" t="s">
        <v>3145</v>
      </c>
      <c r="C556" s="14" t="s">
        <v>3146</v>
      </c>
      <c r="D556" s="14" t="s">
        <v>3147</v>
      </c>
      <c r="E556" s="14">
        <v>5</v>
      </c>
      <c r="F556" s="14" t="s">
        <v>3155</v>
      </c>
      <c r="G556" s="14" t="s">
        <v>3156</v>
      </c>
      <c r="H556" s="14" t="s">
        <v>1120</v>
      </c>
      <c r="I556" s="14" t="s">
        <v>96</v>
      </c>
      <c r="J556" s="11" t="str">
        <f>HYPERLINK("https://www.codechef.com/problems/BENCHP", "https://www.codechef.com/problems/BENCHP")</f>
        <v>https://www.codechef.com/problems/BENCHP</v>
      </c>
      <c r="K556" s="14"/>
      <c r="L556" s="14" t="s">
        <v>3157</v>
      </c>
      <c r="M556" s="14"/>
      <c r="N556" s="14" t="s">
        <v>50</v>
      </c>
      <c r="O556" s="14" t="s">
        <v>51</v>
      </c>
    </row>
    <row r="557" spans="1:15">
      <c r="A557" s="15" t="s">
        <v>11</v>
      </c>
      <c r="B557" s="15" t="s">
        <v>3145</v>
      </c>
      <c r="C557" s="15" t="s">
        <v>3146</v>
      </c>
      <c r="D557" s="15" t="s">
        <v>3147</v>
      </c>
      <c r="E557" s="15">
        <v>6</v>
      </c>
      <c r="F557" s="15" t="s">
        <v>3158</v>
      </c>
      <c r="G557" s="15" t="s">
        <v>3159</v>
      </c>
      <c r="H557" s="15" t="s">
        <v>3139</v>
      </c>
      <c r="I557" s="15" t="s">
        <v>96</v>
      </c>
      <c r="J557" s="7" t="str">
        <f>HYPERLINK("https://www.codechef.com/problems/DIFSTR", "https://www.codechef.com/problems/DIFSTR")</f>
        <v>https://www.codechef.com/problems/DIFSTR</v>
      </c>
      <c r="K557" s="15"/>
      <c r="L557" s="15" t="s">
        <v>2338</v>
      </c>
      <c r="M557" s="15"/>
      <c r="N557" s="15" t="s">
        <v>50</v>
      </c>
      <c r="O557" s="15" t="s">
        <v>51</v>
      </c>
    </row>
    <row r="558" spans="1:15">
      <c r="A558" s="14" t="s">
        <v>11</v>
      </c>
      <c r="B558" s="14" t="s">
        <v>3145</v>
      </c>
      <c r="C558" s="14" t="s">
        <v>3146</v>
      </c>
      <c r="D558" s="14" t="s">
        <v>3147</v>
      </c>
      <c r="E558" s="14">
        <v>7</v>
      </c>
      <c r="F558" s="14" t="s">
        <v>926</v>
      </c>
      <c r="G558" s="14" t="s">
        <v>927</v>
      </c>
      <c r="H558" s="14" t="s">
        <v>928</v>
      </c>
      <c r="I558" s="14" t="s">
        <v>96</v>
      </c>
      <c r="J558" s="11" t="str">
        <f>HYPERLINK("https://www.codechef.com/problems/MAXSUBARR", "https://www.codechef.com/problems/MAXSUBARR")</f>
        <v>https://www.codechef.com/problems/MAXSUBARR</v>
      </c>
      <c r="K558" s="14"/>
      <c r="L558" s="14" t="s">
        <v>929</v>
      </c>
      <c r="M558" s="14"/>
      <c r="N558" s="14" t="s">
        <v>50</v>
      </c>
      <c r="O558" s="14" t="s">
        <v>51</v>
      </c>
    </row>
    <row r="559" spans="1:15">
      <c r="A559" s="15" t="s">
        <v>11</v>
      </c>
      <c r="B559" s="15" t="s">
        <v>3145</v>
      </c>
      <c r="C559" s="15" t="s">
        <v>3146</v>
      </c>
      <c r="D559" s="15" t="s">
        <v>3147</v>
      </c>
      <c r="E559" s="15">
        <v>8</v>
      </c>
      <c r="F559" s="15" t="s">
        <v>3160</v>
      </c>
      <c r="G559" s="15" t="s">
        <v>3161</v>
      </c>
      <c r="H559" s="15" t="s">
        <v>928</v>
      </c>
      <c r="I559" s="15" t="s">
        <v>96</v>
      </c>
      <c r="J559" s="7" t="str">
        <f>HYPERLINK("https://www.codechef.com/problems/CHEARMY", "https://www.codechef.com/problems/CHEARMY")</f>
        <v>https://www.codechef.com/problems/CHEARMY</v>
      </c>
      <c r="K559" s="15"/>
      <c r="L559" s="15" t="s">
        <v>3162</v>
      </c>
      <c r="M559" s="15"/>
      <c r="N559" s="15" t="s">
        <v>50</v>
      </c>
      <c r="O559" s="15" t="s">
        <v>51</v>
      </c>
    </row>
    <row r="560" spans="1:15">
      <c r="A560" s="14" t="s">
        <v>11</v>
      </c>
      <c r="B560" s="14" t="s">
        <v>3145</v>
      </c>
      <c r="C560" s="14" t="s">
        <v>3146</v>
      </c>
      <c r="D560" s="14" t="s">
        <v>3147</v>
      </c>
      <c r="E560" s="14">
        <v>9</v>
      </c>
      <c r="F560" s="14" t="s">
        <v>3163</v>
      </c>
      <c r="G560" s="14" t="s">
        <v>3164</v>
      </c>
      <c r="H560" s="14" t="s">
        <v>3165</v>
      </c>
      <c r="I560" s="14" t="s">
        <v>96</v>
      </c>
      <c r="J560" s="11" t="str">
        <f>HYPERLINK("https://www.codechef.com/problems/SURVIVE", "https://www.codechef.com/problems/SURVIVE")</f>
        <v>https://www.codechef.com/problems/SURVIVE</v>
      </c>
      <c r="K560" s="14"/>
      <c r="L560" s="14"/>
      <c r="M560" s="14"/>
      <c r="N560" s="14" t="s">
        <v>50</v>
      </c>
      <c r="O560" s="14" t="s">
        <v>51</v>
      </c>
    </row>
    <row r="561" spans="1:15">
      <c r="A561" s="15" t="s">
        <v>11</v>
      </c>
      <c r="B561" s="15" t="s">
        <v>3145</v>
      </c>
      <c r="C561" s="15" t="s">
        <v>3146</v>
      </c>
      <c r="D561" s="15" t="s">
        <v>3147</v>
      </c>
      <c r="E561" s="15">
        <v>10</v>
      </c>
      <c r="F561" s="15" t="s">
        <v>3166</v>
      </c>
      <c r="G561" s="15" t="s">
        <v>3167</v>
      </c>
      <c r="H561" s="15" t="s">
        <v>3168</v>
      </c>
      <c r="I561" s="15" t="s">
        <v>96</v>
      </c>
      <c r="J561" s="7" t="str">
        <f>HYPERLINK("https://www.codechef.com/problems/GCDPRF", "https://www.codechef.com/problems/GCDPRF")</f>
        <v>https://www.codechef.com/problems/GCDPRF</v>
      </c>
      <c r="K561" s="15"/>
      <c r="L561" s="15" t="s">
        <v>2994</v>
      </c>
      <c r="M561" s="15"/>
      <c r="N561" s="15" t="s">
        <v>50</v>
      </c>
      <c r="O561" s="15" t="s">
        <v>51</v>
      </c>
    </row>
    <row r="562" spans="1:15">
      <c r="A562" s="14" t="s">
        <v>11</v>
      </c>
      <c r="B562" s="14" t="s">
        <v>3145</v>
      </c>
      <c r="C562" s="14" t="s">
        <v>3146</v>
      </c>
      <c r="D562" s="14" t="s">
        <v>3147</v>
      </c>
      <c r="E562" s="14">
        <v>11</v>
      </c>
      <c r="F562" s="14" t="s">
        <v>3169</v>
      </c>
      <c r="G562" s="14" t="s">
        <v>3170</v>
      </c>
      <c r="H562" s="14" t="s">
        <v>3171</v>
      </c>
      <c r="I562" s="14" t="s">
        <v>96</v>
      </c>
      <c r="J562" s="11" t="str">
        <f>HYPERLINK("https://www.codechef.com/problems/MAXEDGES", "https://www.codechef.com/problems/MAXEDGES")</f>
        <v>https://www.codechef.com/problems/MAXEDGES</v>
      </c>
      <c r="K562" s="14"/>
      <c r="L562" s="14" t="s">
        <v>3172</v>
      </c>
      <c r="M562" s="14"/>
      <c r="N562" s="14" t="s">
        <v>50</v>
      </c>
      <c r="O562" s="14" t="s">
        <v>51</v>
      </c>
    </row>
    <row r="563" spans="1:15">
      <c r="A563" s="15" t="s">
        <v>11</v>
      </c>
      <c r="B563" s="15" t="s">
        <v>3145</v>
      </c>
      <c r="C563" s="15" t="s">
        <v>3146</v>
      </c>
      <c r="D563" s="15" t="s">
        <v>3147</v>
      </c>
      <c r="E563" s="15">
        <v>12</v>
      </c>
      <c r="F563" s="15" t="s">
        <v>3173</v>
      </c>
      <c r="G563" s="15" t="s">
        <v>3174</v>
      </c>
      <c r="H563" s="15" t="s">
        <v>3175</v>
      </c>
      <c r="I563" s="15" t="s">
        <v>96</v>
      </c>
      <c r="J563" s="7" t="str">
        <f>HYPERLINK("https://www.codechef.com/problems/IOPC17C", "https://www.codechef.com/problems/IOPC17C")</f>
        <v>https://www.codechef.com/problems/IOPC17C</v>
      </c>
      <c r="K563" s="15"/>
      <c r="L563" s="15" t="s">
        <v>3176</v>
      </c>
      <c r="M563" s="15"/>
      <c r="N563" s="15" t="s">
        <v>50</v>
      </c>
      <c r="O563" s="15" t="s">
        <v>51</v>
      </c>
    </row>
    <row r="564" spans="1:15">
      <c r="A564" s="14" t="s">
        <v>11</v>
      </c>
      <c r="B564" s="14" t="s">
        <v>3145</v>
      </c>
      <c r="C564" s="14" t="s">
        <v>3146</v>
      </c>
      <c r="D564" s="14" t="s">
        <v>3147</v>
      </c>
      <c r="E564" s="14">
        <v>13</v>
      </c>
      <c r="F564" s="14" t="s">
        <v>3177</v>
      </c>
      <c r="G564" s="14" t="s">
        <v>3178</v>
      </c>
      <c r="H564" s="14" t="s">
        <v>543</v>
      </c>
      <c r="I564" s="14" t="s">
        <v>96</v>
      </c>
      <c r="J564" s="11" t="str">
        <f>HYPERLINK("https://www.codechef.com/problems/CONSTRRAY", "https://www.codechef.com/problems/CONSTRRAY")</f>
        <v>https://www.codechef.com/problems/CONSTRRAY</v>
      </c>
      <c r="K564" s="14"/>
      <c r="L564" s="14" t="s">
        <v>2833</v>
      </c>
      <c r="M564" s="14"/>
      <c r="N564" s="14" t="s">
        <v>50</v>
      </c>
      <c r="O564" s="14" t="s">
        <v>51</v>
      </c>
    </row>
    <row r="565" spans="1:15">
      <c r="A565" s="15" t="s">
        <v>11</v>
      </c>
      <c r="B565" s="15" t="s">
        <v>3145</v>
      </c>
      <c r="C565" s="15" t="s">
        <v>3146</v>
      </c>
      <c r="D565" s="15" t="s">
        <v>3147</v>
      </c>
      <c r="E565" s="15">
        <v>14</v>
      </c>
      <c r="F565" s="15" t="s">
        <v>3179</v>
      </c>
      <c r="G565" s="15" t="s">
        <v>3180</v>
      </c>
      <c r="H565" s="15" t="s">
        <v>3181</v>
      </c>
      <c r="I565" s="15" t="s">
        <v>96</v>
      </c>
      <c r="J565" s="7" t="str">
        <f>HYPERLINK("https://www.codechef.com/problems/ZEBRA", "https://www.codechef.com/problems/ZEBRA")</f>
        <v>https://www.codechef.com/problems/ZEBRA</v>
      </c>
      <c r="K565" s="15"/>
      <c r="L565" s="15"/>
      <c r="M565" s="15"/>
      <c r="N565" s="15" t="s">
        <v>50</v>
      </c>
      <c r="O565" s="15" t="s">
        <v>51</v>
      </c>
    </row>
    <row r="566" spans="1:15">
      <c r="A566" s="14" t="s">
        <v>11</v>
      </c>
      <c r="B566" s="14" t="s">
        <v>3145</v>
      </c>
      <c r="C566" s="14" t="s">
        <v>3146</v>
      </c>
      <c r="D566" s="14" t="s">
        <v>3147</v>
      </c>
      <c r="E566" s="14">
        <v>15</v>
      </c>
      <c r="F566" s="14" t="s">
        <v>3182</v>
      </c>
      <c r="G566" s="14" t="s">
        <v>3183</v>
      </c>
      <c r="H566" s="14" t="s">
        <v>3184</v>
      </c>
      <c r="I566" s="14" t="s">
        <v>96</v>
      </c>
      <c r="J566" s="11" t="str">
        <f>HYPERLINK("https://www.codechef.com/problems/UCL", "https://www.codechef.com/problems/UCL")</f>
        <v>https://www.codechef.com/problems/UCL</v>
      </c>
      <c r="K566" s="14"/>
      <c r="L566" s="14"/>
      <c r="M566" s="14"/>
      <c r="N566" s="14" t="s">
        <v>50</v>
      </c>
      <c r="O566" s="14" t="s">
        <v>51</v>
      </c>
    </row>
    <row r="567" spans="1:15">
      <c r="A567" s="15" t="s">
        <v>11</v>
      </c>
      <c r="B567" s="15" t="s">
        <v>3145</v>
      </c>
      <c r="C567" s="15" t="s">
        <v>3146</v>
      </c>
      <c r="D567" s="15" t="s">
        <v>3147</v>
      </c>
      <c r="E567" s="15">
        <v>16</v>
      </c>
      <c r="F567" s="15" t="s">
        <v>3185</v>
      </c>
      <c r="G567" s="15" t="s">
        <v>3186</v>
      </c>
      <c r="H567" s="15" t="s">
        <v>3187</v>
      </c>
      <c r="I567" s="15" t="s">
        <v>96</v>
      </c>
      <c r="J567" s="7" t="str">
        <f>HYPERLINK("https://www.codechef.com/problems/BITTUP", "https://www.codechef.com/problems/BITTUP")</f>
        <v>https://www.codechef.com/problems/BITTUP</v>
      </c>
      <c r="K567" s="15"/>
      <c r="L567" s="15" t="s">
        <v>3188</v>
      </c>
      <c r="M567" s="15"/>
      <c r="N567" s="15" t="s">
        <v>50</v>
      </c>
      <c r="O567" s="15" t="s">
        <v>51</v>
      </c>
    </row>
    <row r="568" spans="1:15">
      <c r="A568" s="14" t="s">
        <v>11</v>
      </c>
      <c r="B568" s="14" t="s">
        <v>3145</v>
      </c>
      <c r="C568" s="14" t="s">
        <v>3146</v>
      </c>
      <c r="D568" s="14" t="s">
        <v>3147</v>
      </c>
      <c r="E568" s="14">
        <v>17</v>
      </c>
      <c r="F568" s="14" t="s">
        <v>3189</v>
      </c>
      <c r="G568" s="14" t="s">
        <v>3190</v>
      </c>
      <c r="H568" s="14" t="s">
        <v>3191</v>
      </c>
      <c r="I568" s="14" t="s">
        <v>96</v>
      </c>
      <c r="J568" s="11" t="str">
        <f>HYPERLINK("https://www.codechef.com/problems/SMALLXOR", "https://www.codechef.com/problems/SMALLXOR")</f>
        <v>https://www.codechef.com/problems/SMALLXOR</v>
      </c>
      <c r="K568" s="14"/>
      <c r="L568" s="14"/>
      <c r="M568" s="14"/>
      <c r="N568" s="14" t="s">
        <v>50</v>
      </c>
      <c r="O568" s="14" t="s">
        <v>51</v>
      </c>
    </row>
    <row r="569" spans="1:15">
      <c r="A569" s="15" t="s">
        <v>11</v>
      </c>
      <c r="B569" s="15" t="s">
        <v>3145</v>
      </c>
      <c r="C569" s="15" t="s">
        <v>3146</v>
      </c>
      <c r="D569" s="15" t="s">
        <v>3147</v>
      </c>
      <c r="E569" s="15">
        <v>18</v>
      </c>
      <c r="F569" s="15" t="s">
        <v>3192</v>
      </c>
      <c r="G569" s="15" t="s">
        <v>3193</v>
      </c>
      <c r="H569" s="15" t="s">
        <v>3194</v>
      </c>
      <c r="I569" s="15" t="s">
        <v>96</v>
      </c>
      <c r="J569" s="7" t="str">
        <f>HYPERLINK("https://www.codechef.com/problems/CONCATSORT", "https://www.codechef.com/problems/CONCATSORT")</f>
        <v>https://www.codechef.com/problems/CONCATSORT</v>
      </c>
      <c r="K569" s="15"/>
      <c r="L569" s="15" t="s">
        <v>2268</v>
      </c>
      <c r="M569" s="15"/>
      <c r="N569" s="15" t="s">
        <v>50</v>
      </c>
      <c r="O569" s="15" t="s">
        <v>51</v>
      </c>
    </row>
    <row r="570" spans="1:15">
      <c r="A570" s="14" t="s">
        <v>11</v>
      </c>
      <c r="B570" s="14" t="s">
        <v>3145</v>
      </c>
      <c r="C570" s="14" t="s">
        <v>3146</v>
      </c>
      <c r="D570" s="14" t="s">
        <v>3147</v>
      </c>
      <c r="E570" s="14">
        <v>19</v>
      </c>
      <c r="F570" s="14" t="s">
        <v>3195</v>
      </c>
      <c r="G570" s="14" t="s">
        <v>3196</v>
      </c>
      <c r="H570" s="14" t="s">
        <v>3197</v>
      </c>
      <c r="I570" s="14" t="s">
        <v>96</v>
      </c>
      <c r="J570" s="11" t="str">
        <f>HYPERLINK("https://www.codechef.com/problems/CHARGES", "https://www.codechef.com/problems/CHARGES")</f>
        <v>https://www.codechef.com/problems/CHARGES</v>
      </c>
      <c r="K570" s="14"/>
      <c r="L570" s="14" t="s">
        <v>3198</v>
      </c>
      <c r="M570" s="14"/>
      <c r="N570" s="14" t="s">
        <v>50</v>
      </c>
      <c r="O570" s="14" t="s">
        <v>51</v>
      </c>
    </row>
    <row r="571" spans="1:15">
      <c r="A571" s="15" t="s">
        <v>11</v>
      </c>
      <c r="B571" s="15" t="s">
        <v>3145</v>
      </c>
      <c r="C571" s="15" t="s">
        <v>3146</v>
      </c>
      <c r="D571" s="15" t="s">
        <v>3147</v>
      </c>
      <c r="E571" s="15">
        <v>20</v>
      </c>
      <c r="F571" s="15" t="s">
        <v>3199</v>
      </c>
      <c r="G571" s="15" t="s">
        <v>3200</v>
      </c>
      <c r="H571" s="15" t="s">
        <v>3201</v>
      </c>
      <c r="I571" s="15" t="s">
        <v>96</v>
      </c>
      <c r="J571" s="7" t="str">
        <f>HYPERLINK("https://www.codechef.com/problems/CHEFINSQ", "https://www.codechef.com/problems/CHEFINSQ")</f>
        <v>https://www.codechef.com/problems/CHEFINSQ</v>
      </c>
      <c r="K571" s="15"/>
      <c r="L571" s="15" t="s">
        <v>3202</v>
      </c>
      <c r="M571" s="15"/>
      <c r="N571" s="15" t="s">
        <v>50</v>
      </c>
      <c r="O571" s="15" t="s">
        <v>51</v>
      </c>
    </row>
    <row r="572" spans="1:15">
      <c r="A572" s="14" t="s">
        <v>11</v>
      </c>
      <c r="B572" s="14" t="s">
        <v>3145</v>
      </c>
      <c r="C572" s="14" t="s">
        <v>3146</v>
      </c>
      <c r="D572" s="14" t="s">
        <v>3147</v>
      </c>
      <c r="E572" s="14">
        <v>21</v>
      </c>
      <c r="F572" s="14" t="s">
        <v>3203</v>
      </c>
      <c r="G572" s="14" t="s">
        <v>3204</v>
      </c>
      <c r="H572" s="14" t="s">
        <v>423</v>
      </c>
      <c r="I572" s="14" t="s">
        <v>96</v>
      </c>
      <c r="J572" s="11" t="str">
        <f>HYPERLINK("https://www.codechef.com/problems/RANGEASSIGN", "https://www.codechef.com/problems/RANGEASSIGN")</f>
        <v>https://www.codechef.com/problems/RANGEASSIGN</v>
      </c>
      <c r="K572" s="14"/>
      <c r="L572" s="14"/>
      <c r="M572" s="14"/>
      <c r="N572" s="14" t="s">
        <v>50</v>
      </c>
      <c r="O572" s="14" t="s">
        <v>51</v>
      </c>
    </row>
    <row r="573" spans="1:15">
      <c r="A573" s="15" t="s">
        <v>11</v>
      </c>
      <c r="B573" s="15" t="s">
        <v>3145</v>
      </c>
      <c r="C573" s="15" t="s">
        <v>3146</v>
      </c>
      <c r="D573" s="15" t="s">
        <v>3147</v>
      </c>
      <c r="E573" s="15">
        <v>22</v>
      </c>
      <c r="F573" s="15" t="s">
        <v>3205</v>
      </c>
      <c r="G573" s="15" t="s">
        <v>3206</v>
      </c>
      <c r="H573" s="15" t="s">
        <v>1310</v>
      </c>
      <c r="I573" s="15" t="s">
        <v>96</v>
      </c>
      <c r="J573" s="7" t="str">
        <f>HYPERLINK("https://www.codechef.com/problems/PERMPAL", "https://www.codechef.com/problems/PERMPAL")</f>
        <v>https://www.codechef.com/problems/PERMPAL</v>
      </c>
      <c r="K573" s="15"/>
      <c r="L573" s="15" t="s">
        <v>105</v>
      </c>
      <c r="M573" s="15"/>
      <c r="N573" s="15" t="s">
        <v>50</v>
      </c>
      <c r="O573" s="15" t="s">
        <v>51</v>
      </c>
    </row>
    <row r="574" spans="1:15">
      <c r="A574" s="14" t="s">
        <v>11</v>
      </c>
      <c r="B574" s="14" t="s">
        <v>3145</v>
      </c>
      <c r="C574" s="14" t="s">
        <v>3146</v>
      </c>
      <c r="D574" s="14" t="s">
        <v>3147</v>
      </c>
      <c r="E574" s="14">
        <v>23</v>
      </c>
      <c r="F574" s="14" t="s">
        <v>3207</v>
      </c>
      <c r="G574" s="14" t="s">
        <v>3208</v>
      </c>
      <c r="H574" s="14" t="s">
        <v>1310</v>
      </c>
      <c r="I574" s="14" t="s">
        <v>96</v>
      </c>
      <c r="J574" s="11" t="str">
        <f>HYPERLINK("https://www.codechef.com/problems/FIND_X", "https://www.codechef.com/problems/FIND_X")</f>
        <v>https://www.codechef.com/problems/FIND_X</v>
      </c>
      <c r="K574" s="14"/>
      <c r="L574" s="14" t="s">
        <v>3209</v>
      </c>
      <c r="M574" s="14"/>
      <c r="N574" s="14" t="s">
        <v>50</v>
      </c>
      <c r="O574" s="14" t="s">
        <v>51</v>
      </c>
    </row>
    <row r="575" spans="1:15">
      <c r="A575" s="15" t="s">
        <v>11</v>
      </c>
      <c r="B575" s="15" t="s">
        <v>3145</v>
      </c>
      <c r="C575" s="15" t="s">
        <v>3146</v>
      </c>
      <c r="D575" s="15" t="s">
        <v>3147</v>
      </c>
      <c r="E575" s="15">
        <v>24</v>
      </c>
      <c r="F575" s="15" t="s">
        <v>3210</v>
      </c>
      <c r="G575" s="15" t="s">
        <v>3211</v>
      </c>
      <c r="H575" s="15" t="s">
        <v>3212</v>
      </c>
      <c r="I575" s="15" t="s">
        <v>96</v>
      </c>
      <c r="J575" s="7" t="str">
        <f>HYPERLINK("https://www.codechef.com/problems/FREQARRRET", "https://www.codechef.com/problems/FREQARRRET")</f>
        <v>https://www.codechef.com/problems/FREQARRRET</v>
      </c>
      <c r="K575" s="15"/>
      <c r="L575" s="15" t="s">
        <v>3213</v>
      </c>
      <c r="M575" s="15"/>
      <c r="N575" s="15" t="s">
        <v>50</v>
      </c>
      <c r="O575" s="15" t="s">
        <v>51</v>
      </c>
    </row>
    <row r="576" spans="1:15">
      <c r="A576" s="14" t="s">
        <v>11</v>
      </c>
      <c r="B576" s="14" t="s">
        <v>3145</v>
      </c>
      <c r="C576" s="14" t="s">
        <v>3146</v>
      </c>
      <c r="D576" s="14" t="s">
        <v>3147</v>
      </c>
      <c r="E576" s="14">
        <v>25</v>
      </c>
      <c r="F576" s="14" t="s">
        <v>3214</v>
      </c>
      <c r="G576" s="14" t="s">
        <v>3215</v>
      </c>
      <c r="H576" s="14" t="s">
        <v>546</v>
      </c>
      <c r="I576" s="14" t="s">
        <v>96</v>
      </c>
      <c r="J576" s="11" t="str">
        <f>HYPERLINK("https://www.codechef.com/problems/ORMATRIX", "https://www.codechef.com/problems/ORMATRIX")</f>
        <v>https://www.codechef.com/problems/ORMATRIX</v>
      </c>
      <c r="K576" s="14"/>
      <c r="L576" s="14" t="s">
        <v>3216</v>
      </c>
      <c r="M576" s="14"/>
      <c r="N576" s="14" t="s">
        <v>50</v>
      </c>
      <c r="O576" s="14" t="s">
        <v>51</v>
      </c>
    </row>
    <row r="577" spans="1:15">
      <c r="A577" s="15" t="s">
        <v>11</v>
      </c>
      <c r="B577" s="15" t="s">
        <v>3145</v>
      </c>
      <c r="C577" s="15" t="s">
        <v>3146</v>
      </c>
      <c r="D577" s="15" t="s">
        <v>3147</v>
      </c>
      <c r="E577" s="15">
        <v>26</v>
      </c>
      <c r="F577" s="15" t="s">
        <v>3217</v>
      </c>
      <c r="G577" s="15" t="s">
        <v>3218</v>
      </c>
      <c r="H577" s="15" t="s">
        <v>3219</v>
      </c>
      <c r="I577" s="15" t="s">
        <v>96</v>
      </c>
      <c r="J577" s="7" t="str">
        <f>HYPERLINK("https://www.codechef.com/problems/FIRESC", "https://www.codechef.com/problems/FIRESC")</f>
        <v>https://www.codechef.com/problems/FIRESC</v>
      </c>
      <c r="K577" s="15"/>
      <c r="L577" s="15" t="s">
        <v>3220</v>
      </c>
      <c r="M577" s="15"/>
      <c r="N577" s="15" t="s">
        <v>50</v>
      </c>
      <c r="O577" s="15" t="s">
        <v>51</v>
      </c>
    </row>
    <row r="578" spans="1:15">
      <c r="A578" s="14" t="s">
        <v>11</v>
      </c>
      <c r="B578" s="14" t="s">
        <v>3145</v>
      </c>
      <c r="C578" s="14" t="s">
        <v>3146</v>
      </c>
      <c r="D578" s="14" t="s">
        <v>3147</v>
      </c>
      <c r="E578" s="14">
        <v>27</v>
      </c>
      <c r="F578" s="14" t="s">
        <v>3221</v>
      </c>
      <c r="G578" s="14" t="s">
        <v>3222</v>
      </c>
      <c r="H578" s="14" t="s">
        <v>3223</v>
      </c>
      <c r="I578" s="14" t="s">
        <v>96</v>
      </c>
      <c r="J578" s="11" t="str">
        <f>HYPERLINK("https://www.codechef.com/problems/THREENUMBERS", "https://www.codechef.com/problems/THREENUMBERS")</f>
        <v>https://www.codechef.com/problems/THREENUMBERS</v>
      </c>
      <c r="K578" s="14"/>
      <c r="L578" s="14"/>
      <c r="M578" s="14"/>
      <c r="N578" s="14" t="s">
        <v>50</v>
      </c>
      <c r="O578" s="14" t="s">
        <v>51</v>
      </c>
    </row>
    <row r="579" spans="1:15">
      <c r="A579" s="15" t="s">
        <v>11</v>
      </c>
      <c r="B579" s="15" t="s">
        <v>3145</v>
      </c>
      <c r="C579" s="15" t="s">
        <v>3146</v>
      </c>
      <c r="D579" s="15" t="s">
        <v>3147</v>
      </c>
      <c r="E579" s="15">
        <v>28</v>
      </c>
      <c r="F579" s="15" t="s">
        <v>3224</v>
      </c>
      <c r="G579" s="15" t="s">
        <v>3225</v>
      </c>
      <c r="H579" s="15" t="s">
        <v>3226</v>
      </c>
      <c r="I579" s="15" t="s">
        <v>96</v>
      </c>
      <c r="J579" s="7" t="str">
        <f>HYPERLINK("https://www.codechef.com/problems/CHEFCAR", "https://www.codechef.com/problems/CHEFCAR")</f>
        <v>https://www.codechef.com/problems/CHEFCAR</v>
      </c>
      <c r="K579" s="15"/>
      <c r="L579" s="15" t="s">
        <v>2567</v>
      </c>
      <c r="M579" s="15"/>
      <c r="N579" s="15" t="s">
        <v>50</v>
      </c>
      <c r="O579" s="15" t="s">
        <v>51</v>
      </c>
    </row>
    <row r="580" spans="1:15">
      <c r="A580" s="14" t="s">
        <v>11</v>
      </c>
      <c r="B580" s="14" t="s">
        <v>3145</v>
      </c>
      <c r="C580" s="14" t="s">
        <v>3146</v>
      </c>
      <c r="D580" s="14" t="s">
        <v>3147</v>
      </c>
      <c r="E580" s="14">
        <v>29</v>
      </c>
      <c r="F580" s="14" t="s">
        <v>3227</v>
      </c>
      <c r="G580" s="14" t="s">
        <v>3228</v>
      </c>
      <c r="H580" s="14" t="s">
        <v>3229</v>
      </c>
      <c r="I580" s="14" t="s">
        <v>96</v>
      </c>
      <c r="J580" s="11" t="str">
        <f>HYPERLINK("https://www.codechef.com/problems/VOWMTRX", "https://www.codechef.com/problems/VOWMTRX")</f>
        <v>https://www.codechef.com/problems/VOWMTRX</v>
      </c>
      <c r="K580" s="14"/>
      <c r="L580" s="14"/>
      <c r="M580" s="14"/>
      <c r="N580" s="14" t="s">
        <v>50</v>
      </c>
      <c r="O580" s="14" t="s">
        <v>51</v>
      </c>
    </row>
    <row r="581" spans="1:15">
      <c r="A581" s="15" t="s">
        <v>11</v>
      </c>
      <c r="B581" s="15" t="s">
        <v>3145</v>
      </c>
      <c r="C581" s="15" t="s">
        <v>3146</v>
      </c>
      <c r="D581" s="15" t="s">
        <v>3147</v>
      </c>
      <c r="E581" s="15">
        <v>30</v>
      </c>
      <c r="F581" s="15" t="s">
        <v>3230</v>
      </c>
      <c r="G581" s="15" t="s">
        <v>3231</v>
      </c>
      <c r="H581" s="15" t="s">
        <v>625</v>
      </c>
      <c r="I581" s="15" t="s">
        <v>96</v>
      </c>
      <c r="J581" s="7" t="str">
        <f>HYPERLINK("https://www.codechef.com/problems/FENCE", "https://www.codechef.com/problems/FENCE")</f>
        <v>https://www.codechef.com/problems/FENCE</v>
      </c>
      <c r="K581" s="15"/>
      <c r="L581" s="15" t="s">
        <v>3232</v>
      </c>
      <c r="M581" s="15"/>
      <c r="N581" s="15" t="s">
        <v>50</v>
      </c>
      <c r="O581" s="15" t="s">
        <v>51</v>
      </c>
    </row>
    <row r="582" spans="1:15">
      <c r="A582" s="14" t="s">
        <v>11</v>
      </c>
      <c r="B582" s="14" t="s">
        <v>3145</v>
      </c>
      <c r="C582" s="14" t="s">
        <v>3146</v>
      </c>
      <c r="D582" s="14" t="s">
        <v>3147</v>
      </c>
      <c r="E582" s="14">
        <v>31</v>
      </c>
      <c r="F582" s="14" t="s">
        <v>3233</v>
      </c>
      <c r="G582" s="14" t="s">
        <v>3234</v>
      </c>
      <c r="H582" s="14" t="s">
        <v>3235</v>
      </c>
      <c r="I582" s="14" t="s">
        <v>96</v>
      </c>
      <c r="J582" s="11" t="str">
        <f>HYPERLINK("https://www.codechef.com/problems/ANTIPALQ", "https://www.codechef.com/problems/ANTIPALQ")</f>
        <v>https://www.codechef.com/problems/ANTIPALQ</v>
      </c>
      <c r="K582" s="14"/>
      <c r="L582" s="14" t="s">
        <v>3236</v>
      </c>
      <c r="M582" s="14"/>
      <c r="N582" s="14" t="s">
        <v>50</v>
      </c>
      <c r="O582" s="14" t="s">
        <v>51</v>
      </c>
    </row>
    <row r="583" spans="1:15">
      <c r="A583" s="15" t="s">
        <v>11</v>
      </c>
      <c r="B583" s="15" t="s">
        <v>3145</v>
      </c>
      <c r="C583" s="15" t="s">
        <v>3146</v>
      </c>
      <c r="D583" s="15" t="s">
        <v>3147</v>
      </c>
      <c r="E583" s="15">
        <v>32</v>
      </c>
      <c r="F583" s="15" t="s">
        <v>3237</v>
      </c>
      <c r="G583" s="15" t="s">
        <v>3238</v>
      </c>
      <c r="H583" s="15" t="s">
        <v>3239</v>
      </c>
      <c r="I583" s="15" t="s">
        <v>96</v>
      </c>
      <c r="J583" s="7" t="str">
        <f>HYPERLINK("https://www.codechef.com/problems/NUMHUNT", "https://www.codechef.com/problems/NUMHUNT")</f>
        <v>https://www.codechef.com/problems/NUMHUNT</v>
      </c>
      <c r="K583" s="15"/>
      <c r="L583" s="15" t="s">
        <v>3240</v>
      </c>
      <c r="M583" s="15"/>
      <c r="N583" s="15" t="s">
        <v>50</v>
      </c>
      <c r="O583" s="15" t="s">
        <v>51</v>
      </c>
    </row>
    <row r="584" spans="1:15">
      <c r="A584" s="14" t="s">
        <v>11</v>
      </c>
      <c r="B584" s="14" t="s">
        <v>3145</v>
      </c>
      <c r="C584" s="14" t="s">
        <v>3146</v>
      </c>
      <c r="D584" s="14" t="s">
        <v>3147</v>
      </c>
      <c r="E584" s="14">
        <v>33</v>
      </c>
      <c r="F584" s="14" t="s">
        <v>3241</v>
      </c>
      <c r="G584" s="14" t="s">
        <v>3242</v>
      </c>
      <c r="H584" s="14" t="s">
        <v>3243</v>
      </c>
      <c r="I584" s="14" t="s">
        <v>96</v>
      </c>
      <c r="J584" s="11" t="str">
        <f>HYPERLINK("https://www.codechef.com/problems/ALIENOR", "https://www.codechef.com/problems/ALIENOR")</f>
        <v>https://www.codechef.com/problems/ALIENOR</v>
      </c>
      <c r="K584" s="14"/>
      <c r="L584" s="14" t="s">
        <v>1437</v>
      </c>
      <c r="M584" s="14"/>
      <c r="N584" s="14" t="s">
        <v>50</v>
      </c>
      <c r="O584" s="14" t="s">
        <v>51</v>
      </c>
    </row>
    <row r="585" spans="1:15">
      <c r="A585" s="15" t="s">
        <v>11</v>
      </c>
      <c r="B585" s="15" t="s">
        <v>3145</v>
      </c>
      <c r="C585" s="15" t="s">
        <v>3146</v>
      </c>
      <c r="D585" s="15" t="s">
        <v>3147</v>
      </c>
      <c r="E585" s="15">
        <v>34</v>
      </c>
      <c r="F585" s="15" t="s">
        <v>3244</v>
      </c>
      <c r="G585" s="15" t="s">
        <v>3245</v>
      </c>
      <c r="H585" s="15" t="s">
        <v>3246</v>
      </c>
      <c r="I585" s="15" t="s">
        <v>96</v>
      </c>
      <c r="J585" s="7" t="str">
        <f>HYPERLINK("https://www.codechef.com/problems/POWPM", "https://www.codechef.com/problems/POWPM")</f>
        <v>https://www.codechef.com/problems/POWPM</v>
      </c>
      <c r="K585" s="15"/>
      <c r="L585" s="15" t="s">
        <v>3247</v>
      </c>
      <c r="M585" s="15"/>
      <c r="N585" s="15" t="s">
        <v>50</v>
      </c>
      <c r="O585" s="15" t="s">
        <v>51</v>
      </c>
    </row>
    <row r="586" spans="1:15">
      <c r="A586" s="14" t="s">
        <v>11</v>
      </c>
      <c r="B586" s="14" t="s">
        <v>3145</v>
      </c>
      <c r="C586" s="14" t="s">
        <v>3146</v>
      </c>
      <c r="D586" s="14" t="s">
        <v>3147</v>
      </c>
      <c r="E586" s="14">
        <v>35</v>
      </c>
      <c r="F586" s="14" t="s">
        <v>3248</v>
      </c>
      <c r="G586" s="14" t="s">
        <v>3249</v>
      </c>
      <c r="H586" s="14" t="s">
        <v>3184</v>
      </c>
      <c r="I586" s="14" t="s">
        <v>96</v>
      </c>
      <c r="J586" s="11" t="str">
        <f>HYPERLINK("https://www.codechef.com/problems/ENV", "https://www.codechef.com/problems/ENV")</f>
        <v>https://www.codechef.com/problems/ENV</v>
      </c>
      <c r="K586" s="14"/>
      <c r="L586" s="14" t="s">
        <v>3076</v>
      </c>
      <c r="M586" s="14"/>
      <c r="N586" s="14" t="s">
        <v>50</v>
      </c>
      <c r="O586" s="14" t="s">
        <v>51</v>
      </c>
    </row>
    <row r="587" spans="1:15">
      <c r="A587" s="15" t="s">
        <v>11</v>
      </c>
      <c r="B587" s="15" t="s">
        <v>3145</v>
      </c>
      <c r="C587" s="15" t="s">
        <v>3146</v>
      </c>
      <c r="D587" s="15" t="s">
        <v>3147</v>
      </c>
      <c r="E587" s="15">
        <v>36</v>
      </c>
      <c r="F587" s="15" t="s">
        <v>3250</v>
      </c>
      <c r="G587" s="15" t="s">
        <v>3251</v>
      </c>
      <c r="H587" s="15" t="s">
        <v>3252</v>
      </c>
      <c r="I587" s="15" t="s">
        <v>96</v>
      </c>
      <c r="J587" s="7" t="str">
        <f>HYPERLINK("https://www.codechef.com/problems/MINIMISEMAX", "https://www.codechef.com/problems/MINIMISEMAX")</f>
        <v>https://www.codechef.com/problems/MINIMISEMAX</v>
      </c>
      <c r="K587" s="15"/>
      <c r="L587" s="15" t="s">
        <v>3253</v>
      </c>
      <c r="M587" s="15"/>
      <c r="N587" s="15" t="s">
        <v>50</v>
      </c>
      <c r="O587" s="15" t="s">
        <v>51</v>
      </c>
    </row>
    <row r="588" spans="1:15">
      <c r="A588" s="14" t="s">
        <v>11</v>
      </c>
      <c r="B588" s="14" t="s">
        <v>3145</v>
      </c>
      <c r="C588" s="14" t="s">
        <v>3146</v>
      </c>
      <c r="D588" s="14" t="s">
        <v>3147</v>
      </c>
      <c r="E588" s="14">
        <v>37</v>
      </c>
      <c r="F588" s="14" t="s">
        <v>3254</v>
      </c>
      <c r="G588" s="14" t="s">
        <v>3255</v>
      </c>
      <c r="H588" s="14" t="s">
        <v>1180</v>
      </c>
      <c r="I588" s="14" t="s">
        <v>96</v>
      </c>
      <c r="J588" s="11" t="str">
        <f>HYPERLINK("https://www.codechef.com/problems/CHEFPRODUCT", "https://www.codechef.com/problems/CHEFPRODUCT")</f>
        <v>https://www.codechef.com/problems/CHEFPRODUCT</v>
      </c>
      <c r="K588" s="14"/>
      <c r="L588" s="14" t="s">
        <v>3256</v>
      </c>
      <c r="M588" s="14"/>
      <c r="N588" s="14" t="s">
        <v>50</v>
      </c>
      <c r="O588" s="14" t="s">
        <v>51</v>
      </c>
    </row>
    <row r="589" spans="1:15">
      <c r="A589" s="15" t="s">
        <v>11</v>
      </c>
      <c r="B589" s="15" t="s">
        <v>3145</v>
      </c>
      <c r="C589" s="15" t="s">
        <v>3146</v>
      </c>
      <c r="D589" s="15" t="s">
        <v>3147</v>
      </c>
      <c r="E589" s="15">
        <v>38</v>
      </c>
      <c r="F589" s="15" t="s">
        <v>3257</v>
      </c>
      <c r="G589" s="15" t="s">
        <v>3258</v>
      </c>
      <c r="H589" s="15" t="s">
        <v>3259</v>
      </c>
      <c r="I589" s="15" t="s">
        <v>96</v>
      </c>
      <c r="J589" s="7" t="str">
        <f>HYPERLINK("https://www.codechef.com/problems/BLAST3", "https://www.codechef.com/problems/BLAST3")</f>
        <v>https://www.codechef.com/problems/BLAST3</v>
      </c>
      <c r="K589" s="15"/>
      <c r="L589" s="15" t="s">
        <v>2681</v>
      </c>
      <c r="M589" s="15"/>
      <c r="N589" s="15" t="s">
        <v>50</v>
      </c>
      <c r="O589" s="15" t="s">
        <v>51</v>
      </c>
    </row>
    <row r="590" spans="1:15">
      <c r="A590" s="14" t="s">
        <v>11</v>
      </c>
      <c r="B590" s="14" t="s">
        <v>3145</v>
      </c>
      <c r="C590" s="14" t="s">
        <v>3146</v>
      </c>
      <c r="D590" s="14" t="s">
        <v>3147</v>
      </c>
      <c r="E590" s="14">
        <v>39</v>
      </c>
      <c r="F590" s="14" t="s">
        <v>3260</v>
      </c>
      <c r="G590" s="14" t="s">
        <v>3261</v>
      </c>
      <c r="H590" s="14" t="s">
        <v>3235</v>
      </c>
      <c r="I590" s="14" t="s">
        <v>96</v>
      </c>
      <c r="J590" s="11" t="str">
        <f>HYPERLINK("https://www.codechef.com/problems/BOX95", "https://www.codechef.com/problems/BOX95")</f>
        <v>https://www.codechef.com/problems/BOX95</v>
      </c>
      <c r="K590" s="14"/>
      <c r="L590" s="14" t="s">
        <v>1420</v>
      </c>
      <c r="M590" s="14"/>
      <c r="N590" s="14" t="s">
        <v>50</v>
      </c>
      <c r="O590" s="14" t="s">
        <v>51</v>
      </c>
    </row>
    <row r="591" spans="1:15">
      <c r="A591" s="15" t="s">
        <v>11</v>
      </c>
      <c r="B591" s="15" t="s">
        <v>3145</v>
      </c>
      <c r="C591" s="15" t="s">
        <v>3146</v>
      </c>
      <c r="D591" s="15" t="s">
        <v>3147</v>
      </c>
      <c r="E591" s="15">
        <v>40</v>
      </c>
      <c r="F591" s="15" t="s">
        <v>3262</v>
      </c>
      <c r="G591" s="15" t="s">
        <v>3263</v>
      </c>
      <c r="H591" s="15" t="s">
        <v>617</v>
      </c>
      <c r="I591" s="15" t="s">
        <v>96</v>
      </c>
      <c r="J591" s="7" t="str">
        <f>HYPERLINK("https://www.codechef.com/problems/S100", "https://www.codechef.com/problems/S100")</f>
        <v>https://www.codechef.com/problems/S100</v>
      </c>
      <c r="K591" s="15"/>
      <c r="L591" s="15"/>
      <c r="M591" s="15"/>
      <c r="N591" s="15" t="s">
        <v>50</v>
      </c>
      <c r="O591" s="15" t="s">
        <v>51</v>
      </c>
    </row>
    <row r="592" spans="1:15">
      <c r="A592" s="14" t="s">
        <v>11</v>
      </c>
      <c r="B592" s="14" t="s">
        <v>3145</v>
      </c>
      <c r="C592" s="14" t="s">
        <v>3146</v>
      </c>
      <c r="D592" s="14" t="s">
        <v>3147</v>
      </c>
      <c r="E592" s="14">
        <v>41</v>
      </c>
      <c r="F592" s="14" t="s">
        <v>1413</v>
      </c>
      <c r="G592" s="14" t="s">
        <v>1414</v>
      </c>
      <c r="H592" s="14" t="s">
        <v>1415</v>
      </c>
      <c r="I592" s="14" t="s">
        <v>96</v>
      </c>
      <c r="J592" s="11" t="str">
        <f>HYPERLINK("https://www.codechef.com/problems/BITEQU", "https://www.codechef.com/problems/BITEQU")</f>
        <v>https://www.codechef.com/problems/BITEQU</v>
      </c>
      <c r="K592" s="14"/>
      <c r="L592" s="14" t="s">
        <v>1416</v>
      </c>
      <c r="M592" s="14"/>
      <c r="N592" s="14" t="s">
        <v>50</v>
      </c>
      <c r="O592" s="14" t="s">
        <v>51</v>
      </c>
    </row>
    <row r="593" spans="1:15">
      <c r="A593" s="15" t="s">
        <v>11</v>
      </c>
      <c r="B593" s="15" t="s">
        <v>3145</v>
      </c>
      <c r="C593" s="15" t="s">
        <v>3146</v>
      </c>
      <c r="D593" s="15" t="s">
        <v>3147</v>
      </c>
      <c r="E593" s="15">
        <v>42</v>
      </c>
      <c r="F593" s="15" t="s">
        <v>3264</v>
      </c>
      <c r="G593" s="15" t="s">
        <v>3265</v>
      </c>
      <c r="H593" s="15" t="s">
        <v>1056</v>
      </c>
      <c r="I593" s="15" t="s">
        <v>96</v>
      </c>
      <c r="J593" s="7" t="str">
        <f>HYPERLINK("https://www.codechef.com/problems/GRITGRID", "https://www.codechef.com/problems/GRITGRID")</f>
        <v>https://www.codechef.com/problems/GRITGRID</v>
      </c>
      <c r="K593" s="15"/>
      <c r="L593" s="15" t="s">
        <v>2344</v>
      </c>
      <c r="M593" s="15"/>
      <c r="N593" s="15" t="s">
        <v>50</v>
      </c>
      <c r="O593" s="15" t="s">
        <v>51</v>
      </c>
    </row>
    <row r="594" spans="1:15">
      <c r="A594" s="14" t="s">
        <v>11</v>
      </c>
      <c r="B594" s="14" t="s">
        <v>3145</v>
      </c>
      <c r="C594" s="14" t="s">
        <v>3146</v>
      </c>
      <c r="D594" s="14" t="s">
        <v>3147</v>
      </c>
      <c r="E594" s="14">
        <v>43</v>
      </c>
      <c r="F594" s="14" t="s">
        <v>3266</v>
      </c>
      <c r="G594" s="14" t="s">
        <v>3267</v>
      </c>
      <c r="H594" s="14" t="s">
        <v>3268</v>
      </c>
      <c r="I594" s="14" t="s">
        <v>96</v>
      </c>
      <c r="J594" s="11" t="str">
        <f>HYPERLINK("https://www.codechef.com/problems/KSUB", "https://www.codechef.com/problems/KSUB")</f>
        <v>https://www.codechef.com/problems/KSUB</v>
      </c>
      <c r="K594" s="14"/>
      <c r="L594" s="14" t="s">
        <v>3269</v>
      </c>
      <c r="M594" s="14"/>
      <c r="N594" s="14" t="s">
        <v>50</v>
      </c>
      <c r="O594" s="14" t="s">
        <v>51</v>
      </c>
    </row>
    <row r="595" spans="1:15">
      <c r="A595" s="15" t="s">
        <v>11</v>
      </c>
      <c r="B595" s="15" t="s">
        <v>3145</v>
      </c>
      <c r="C595" s="15" t="s">
        <v>3146</v>
      </c>
      <c r="D595" s="15" t="s">
        <v>3147</v>
      </c>
      <c r="E595" s="15">
        <v>44</v>
      </c>
      <c r="F595" s="15" t="s">
        <v>3270</v>
      </c>
      <c r="G595" s="15" t="s">
        <v>3271</v>
      </c>
      <c r="H595" s="15" t="s">
        <v>3272</v>
      </c>
      <c r="I595" s="15" t="s">
        <v>96</v>
      </c>
      <c r="J595" s="7" t="str">
        <f>HYPERLINK("https://www.codechef.com/problems/MEDMAXMATCH", "https://www.codechef.com/problems/MEDMAXMATCH")</f>
        <v>https://www.codechef.com/problems/MEDMAXMATCH</v>
      </c>
      <c r="K595" s="15"/>
      <c r="L595" s="15" t="s">
        <v>1043</v>
      </c>
      <c r="M595" s="15"/>
      <c r="N595" s="15" t="s">
        <v>50</v>
      </c>
      <c r="O595" s="15" t="s">
        <v>51</v>
      </c>
    </row>
    <row r="596" spans="1:15">
      <c r="A596" s="14" t="s">
        <v>11</v>
      </c>
      <c r="B596" s="14" t="s">
        <v>3145</v>
      </c>
      <c r="C596" s="14" t="s">
        <v>3146</v>
      </c>
      <c r="D596" s="14" t="s">
        <v>3147</v>
      </c>
      <c r="E596" s="14">
        <v>45</v>
      </c>
      <c r="F596" s="14" t="s">
        <v>3273</v>
      </c>
      <c r="G596" s="14" t="s">
        <v>3274</v>
      </c>
      <c r="H596" s="14" t="s">
        <v>3275</v>
      </c>
      <c r="I596" s="14" t="s">
        <v>96</v>
      </c>
      <c r="J596" s="11" t="str">
        <f>HYPERLINK("https://www.codechef.com/problems/TOWERTOP", "https://www.codechef.com/problems/TOWERTOP")</f>
        <v>https://www.codechef.com/problems/TOWERTOP</v>
      </c>
      <c r="K596" s="14"/>
      <c r="L596" s="14"/>
      <c r="M596" s="14"/>
      <c r="N596" s="14" t="s">
        <v>50</v>
      </c>
      <c r="O596" s="14" t="s">
        <v>51</v>
      </c>
    </row>
    <row r="597" spans="1:15">
      <c r="A597" s="15" t="s">
        <v>11</v>
      </c>
      <c r="B597" s="15" t="s">
        <v>3145</v>
      </c>
      <c r="C597" s="15" t="s">
        <v>3146</v>
      </c>
      <c r="D597" s="15" t="s">
        <v>3147</v>
      </c>
      <c r="E597" s="15">
        <v>46</v>
      </c>
      <c r="F597" s="15" t="s">
        <v>3276</v>
      </c>
      <c r="G597" s="15" t="s">
        <v>3277</v>
      </c>
      <c r="H597" s="15" t="s">
        <v>1056</v>
      </c>
      <c r="I597" s="15" t="s">
        <v>96</v>
      </c>
      <c r="J597" s="7" t="str">
        <f>HYPERLINK("https://www.codechef.com/problems/SUBARRAYLEN", "https://www.codechef.com/problems/SUBARRAYLEN")</f>
        <v>https://www.codechef.com/problems/SUBARRAYLEN</v>
      </c>
      <c r="K597" s="15"/>
      <c r="L597" s="15"/>
      <c r="M597" s="15"/>
      <c r="N597" s="15" t="s">
        <v>50</v>
      </c>
      <c r="O597" s="15" t="s">
        <v>51</v>
      </c>
    </row>
    <row r="598" spans="1:15">
      <c r="A598" s="14" t="s">
        <v>11</v>
      </c>
      <c r="B598" s="14" t="s">
        <v>3145</v>
      </c>
      <c r="C598" s="14" t="s">
        <v>3146</v>
      </c>
      <c r="D598" s="14" t="s">
        <v>3147</v>
      </c>
      <c r="E598" s="14">
        <v>47</v>
      </c>
      <c r="F598" s="14" t="s">
        <v>3278</v>
      </c>
      <c r="G598" s="14" t="s">
        <v>3279</v>
      </c>
      <c r="H598" s="14" t="s">
        <v>3280</v>
      </c>
      <c r="I598" s="14" t="s">
        <v>96</v>
      </c>
      <c r="J598" s="11" t="str">
        <f>HYPERLINK("https://www.codechef.com/problems/OPTPAIRS", "https://www.codechef.com/problems/OPTPAIRS")</f>
        <v>https://www.codechef.com/problems/OPTPAIRS</v>
      </c>
      <c r="K598" s="14"/>
      <c r="L598" s="14"/>
      <c r="M598" s="14"/>
      <c r="N598" s="14" t="s">
        <v>50</v>
      </c>
      <c r="O598" s="14" t="s">
        <v>51</v>
      </c>
    </row>
    <row r="599" spans="1:15">
      <c r="A599" s="15" t="s">
        <v>11</v>
      </c>
      <c r="B599" s="15" t="s">
        <v>3145</v>
      </c>
      <c r="C599" s="15" t="s">
        <v>3146</v>
      </c>
      <c r="D599" s="15" t="s">
        <v>3147</v>
      </c>
      <c r="E599" s="15">
        <v>48</v>
      </c>
      <c r="F599" s="15" t="s">
        <v>3281</v>
      </c>
      <c r="G599" s="15" t="s">
        <v>3282</v>
      </c>
      <c r="H599" s="15" t="s">
        <v>3283</v>
      </c>
      <c r="I599" s="15" t="s">
        <v>96</v>
      </c>
      <c r="J599" s="7" t="str">
        <f>HYPERLINK("https://www.codechef.com/problems/ARRSORT", "https://www.codechef.com/problems/ARRSORT")</f>
        <v>https://www.codechef.com/problems/ARRSORT</v>
      </c>
      <c r="K599" s="15"/>
      <c r="L599" s="15" t="s">
        <v>3284</v>
      </c>
      <c r="M599" s="15"/>
      <c r="N599" s="15" t="s">
        <v>50</v>
      </c>
      <c r="O599" s="15" t="s">
        <v>51</v>
      </c>
    </row>
    <row r="600" spans="1:15">
      <c r="A600" s="14" t="s">
        <v>11</v>
      </c>
      <c r="B600" s="14" t="s">
        <v>3145</v>
      </c>
      <c r="C600" s="14" t="s">
        <v>3146</v>
      </c>
      <c r="D600" s="14" t="s">
        <v>3147</v>
      </c>
      <c r="E600" s="14">
        <v>49</v>
      </c>
      <c r="F600" s="14" t="s">
        <v>3285</v>
      </c>
      <c r="G600" s="14" t="s">
        <v>3286</v>
      </c>
      <c r="H600" s="14" t="s">
        <v>298</v>
      </c>
      <c r="I600" s="14" t="s">
        <v>96</v>
      </c>
      <c r="J600" s="11" t="str">
        <f>HYPERLINK("https://www.codechef.com/problems/MEXOR", "https://www.codechef.com/problems/MEXOR")</f>
        <v>https://www.codechef.com/problems/MEXOR</v>
      </c>
      <c r="K600" s="14"/>
      <c r="L600" s="14" t="s">
        <v>3287</v>
      </c>
      <c r="M600" s="14"/>
      <c r="N600" s="14" t="s">
        <v>50</v>
      </c>
      <c r="O600" s="14" t="s">
        <v>51</v>
      </c>
    </row>
    <row r="601" spans="1:15">
      <c r="A601" s="15" t="s">
        <v>11</v>
      </c>
      <c r="B601" s="15" t="s">
        <v>3145</v>
      </c>
      <c r="C601" s="15" t="s">
        <v>3146</v>
      </c>
      <c r="D601" s="15" t="s">
        <v>3147</v>
      </c>
      <c r="E601" s="15">
        <v>50</v>
      </c>
      <c r="F601" s="15" t="s">
        <v>3288</v>
      </c>
      <c r="G601" s="15" t="s">
        <v>3289</v>
      </c>
      <c r="H601" s="15" t="s">
        <v>3243</v>
      </c>
      <c r="I601" s="15" t="s">
        <v>96</v>
      </c>
      <c r="J601" s="7" t="str">
        <f>HYPERLINK("https://www.codechef.com/problems/EXAMCHT", "https://www.codechef.com/problems/EXAMCHT")</f>
        <v>https://www.codechef.com/problems/EXAMCHT</v>
      </c>
      <c r="K601" s="15"/>
      <c r="L601" s="15" t="s">
        <v>3290</v>
      </c>
      <c r="M601" s="15"/>
      <c r="N601" s="15" t="s">
        <v>50</v>
      </c>
      <c r="O601" s="15" t="s">
        <v>51</v>
      </c>
    </row>
    <row r="602" spans="1:15">
      <c r="A602" s="14" t="s">
        <v>11</v>
      </c>
      <c r="B602" s="14" t="s">
        <v>3145</v>
      </c>
      <c r="C602" s="14" t="s">
        <v>3146</v>
      </c>
      <c r="D602" s="14" t="s">
        <v>3291</v>
      </c>
      <c r="E602" s="14">
        <v>51</v>
      </c>
      <c r="F602" s="14" t="s">
        <v>3292</v>
      </c>
      <c r="G602" s="14" t="s">
        <v>3293</v>
      </c>
      <c r="H602" s="14" t="s">
        <v>413</v>
      </c>
      <c r="I602" s="14" t="s">
        <v>96</v>
      </c>
      <c r="J602" s="11" t="str">
        <f>HYPERLINK("https://www.codechef.com/problems/WATCHFB", "https://www.codechef.com/problems/WATCHFB")</f>
        <v>https://www.codechef.com/problems/WATCHFB</v>
      </c>
      <c r="K602" s="14"/>
      <c r="L602" s="14"/>
      <c r="M602" s="14"/>
      <c r="N602" s="14" t="s">
        <v>50</v>
      </c>
      <c r="O602" s="14" t="s">
        <v>51</v>
      </c>
    </row>
    <row r="603" spans="1:15">
      <c r="A603" s="15" t="s">
        <v>11</v>
      </c>
      <c r="B603" s="15" t="s">
        <v>3145</v>
      </c>
      <c r="C603" s="15" t="s">
        <v>3146</v>
      </c>
      <c r="D603" s="15" t="s">
        <v>3291</v>
      </c>
      <c r="E603" s="15">
        <v>52</v>
      </c>
      <c r="F603" s="15" t="s">
        <v>3294</v>
      </c>
      <c r="G603" s="15" t="s">
        <v>3295</v>
      </c>
      <c r="H603" s="15" t="s">
        <v>3296</v>
      </c>
      <c r="I603" s="15" t="s">
        <v>96</v>
      </c>
      <c r="J603" s="7" t="str">
        <f>HYPERLINK("https://www.codechef.com/problems/AVGGIFT", "https://www.codechef.com/problems/AVGGIFT")</f>
        <v>https://www.codechef.com/problems/AVGGIFT</v>
      </c>
      <c r="K603" s="15"/>
      <c r="L603" s="15" t="s">
        <v>3297</v>
      </c>
      <c r="M603" s="15"/>
      <c r="N603" s="15" t="s">
        <v>50</v>
      </c>
      <c r="O603" s="15" t="s">
        <v>51</v>
      </c>
    </row>
    <row r="604" spans="1:15">
      <c r="A604" s="14" t="s">
        <v>11</v>
      </c>
      <c r="B604" s="14" t="s">
        <v>3145</v>
      </c>
      <c r="C604" s="14" t="s">
        <v>3146</v>
      </c>
      <c r="D604" s="14" t="s">
        <v>3291</v>
      </c>
      <c r="E604" s="14">
        <v>53</v>
      </c>
      <c r="F604" s="14" t="s">
        <v>1465</v>
      </c>
      <c r="G604" s="14" t="s">
        <v>1466</v>
      </c>
      <c r="H604" s="14" t="s">
        <v>1467</v>
      </c>
      <c r="I604" s="14" t="s">
        <v>96</v>
      </c>
      <c r="J604" s="11" t="str">
        <f>HYPERLINK("https://www.codechef.com/problems/XORGAND", "https://www.codechef.com/problems/XORGAND")</f>
        <v>https://www.codechef.com/problems/XORGAND</v>
      </c>
      <c r="K604" s="14"/>
      <c r="L604" s="14"/>
      <c r="M604" s="14"/>
      <c r="N604" s="14" t="s">
        <v>50</v>
      </c>
      <c r="O604" s="14" t="s">
        <v>51</v>
      </c>
    </row>
    <row r="605" spans="1:15">
      <c r="A605" s="15" t="s">
        <v>11</v>
      </c>
      <c r="B605" s="15" t="s">
        <v>3145</v>
      </c>
      <c r="C605" s="15" t="s">
        <v>3146</v>
      </c>
      <c r="D605" s="15" t="s">
        <v>3291</v>
      </c>
      <c r="E605" s="15">
        <v>54</v>
      </c>
      <c r="F605" s="15" t="s">
        <v>3298</v>
      </c>
      <c r="G605" s="15" t="s">
        <v>3299</v>
      </c>
      <c r="H605" s="15" t="s">
        <v>3300</v>
      </c>
      <c r="I605" s="15" t="s">
        <v>96</v>
      </c>
      <c r="J605" s="7" t="str">
        <f>HYPERLINK("https://www.codechef.com/problems/ORTUPLES", "https://www.codechef.com/problems/ORTUPLES")</f>
        <v>https://www.codechef.com/problems/ORTUPLES</v>
      </c>
      <c r="K605" s="15"/>
      <c r="L605" s="15" t="s">
        <v>3301</v>
      </c>
      <c r="M605" s="15"/>
      <c r="N605" s="15" t="s">
        <v>50</v>
      </c>
      <c r="O605" s="15" t="s">
        <v>51</v>
      </c>
    </row>
    <row r="606" spans="1:15">
      <c r="A606" s="14" t="s">
        <v>11</v>
      </c>
      <c r="B606" s="14" t="s">
        <v>3145</v>
      </c>
      <c r="C606" s="14" t="s">
        <v>3146</v>
      </c>
      <c r="D606" s="14" t="s">
        <v>3291</v>
      </c>
      <c r="E606" s="14">
        <v>55</v>
      </c>
      <c r="F606" s="14" t="s">
        <v>3302</v>
      </c>
      <c r="G606" s="14" t="s">
        <v>3303</v>
      </c>
      <c r="H606" s="14" t="s">
        <v>3304</v>
      </c>
      <c r="I606" s="14" t="s">
        <v>96</v>
      </c>
      <c r="J606" s="11" t="str">
        <f>HYPERLINK("https://www.codechef.com/problems/ARRGAME", "https://www.codechef.com/problems/ARRGAME")</f>
        <v>https://www.codechef.com/problems/ARRGAME</v>
      </c>
      <c r="K606" s="14"/>
      <c r="L606" s="14" t="s">
        <v>2681</v>
      </c>
      <c r="M606" s="14"/>
      <c r="N606" s="14" t="s">
        <v>50</v>
      </c>
      <c r="O606" s="14" t="s">
        <v>51</v>
      </c>
    </row>
    <row r="607" spans="1:15">
      <c r="A607" s="15" t="s">
        <v>11</v>
      </c>
      <c r="B607" s="15" t="s">
        <v>3145</v>
      </c>
      <c r="C607" s="15" t="s">
        <v>3146</v>
      </c>
      <c r="D607" s="15" t="s">
        <v>3291</v>
      </c>
      <c r="E607" s="15">
        <v>56</v>
      </c>
      <c r="F607" s="15" t="s">
        <v>3305</v>
      </c>
      <c r="G607" s="15" t="s">
        <v>3306</v>
      </c>
      <c r="H607" s="15" t="s">
        <v>3307</v>
      </c>
      <c r="I607" s="15" t="s">
        <v>96</v>
      </c>
      <c r="J607" s="7" t="str">
        <f>HYPERLINK("https://www.codechef.com/problems/BUYSWEET", "https://www.codechef.com/problems/BUYSWEET")</f>
        <v>https://www.codechef.com/problems/BUYSWEET</v>
      </c>
      <c r="K607" s="15"/>
      <c r="L607" s="15" t="s">
        <v>3308</v>
      </c>
      <c r="M607" s="15"/>
      <c r="N607" s="15" t="s">
        <v>50</v>
      </c>
      <c r="O607" s="15" t="s">
        <v>51</v>
      </c>
    </row>
    <row r="608" spans="1:15">
      <c r="A608" s="14" t="s">
        <v>11</v>
      </c>
      <c r="B608" s="14" t="s">
        <v>3145</v>
      </c>
      <c r="C608" s="14" t="s">
        <v>3146</v>
      </c>
      <c r="D608" s="14" t="s">
        <v>3291</v>
      </c>
      <c r="E608" s="14">
        <v>57</v>
      </c>
      <c r="F608" s="14" t="s">
        <v>3309</v>
      </c>
      <c r="G608" s="14" t="s">
        <v>3310</v>
      </c>
      <c r="H608" s="14" t="s">
        <v>3311</v>
      </c>
      <c r="I608" s="14" t="s">
        <v>96</v>
      </c>
      <c r="J608" s="11" t="str">
        <f>HYPERLINK("https://www.codechef.com/problems/LUMPYBUS", "https://www.codechef.com/problems/LUMPYBUS")</f>
        <v>https://www.codechef.com/problems/LUMPYBUS</v>
      </c>
      <c r="K608" s="14"/>
      <c r="L608" s="14" t="s">
        <v>2946</v>
      </c>
      <c r="M608" s="14"/>
      <c r="N608" s="14" t="s">
        <v>50</v>
      </c>
      <c r="O608" s="14" t="s">
        <v>51</v>
      </c>
    </row>
    <row r="609" spans="1:15">
      <c r="A609" s="15" t="s">
        <v>11</v>
      </c>
      <c r="B609" s="15" t="s">
        <v>3145</v>
      </c>
      <c r="C609" s="15" t="s">
        <v>3146</v>
      </c>
      <c r="D609" s="15" t="s">
        <v>3291</v>
      </c>
      <c r="E609" s="15">
        <v>58</v>
      </c>
      <c r="F609" s="15" t="s">
        <v>3312</v>
      </c>
      <c r="G609" s="15" t="s">
        <v>3313</v>
      </c>
      <c r="H609" s="15" t="s">
        <v>3311</v>
      </c>
      <c r="I609" s="15" t="s">
        <v>96</v>
      </c>
      <c r="J609" s="7" t="str">
        <f>HYPERLINK("https://www.codechef.com/problems/CHRGES", "https://www.codechef.com/problems/CHRGES")</f>
        <v>https://www.codechef.com/problems/CHRGES</v>
      </c>
      <c r="K609" s="15"/>
      <c r="L609" s="15" t="s">
        <v>2784</v>
      </c>
      <c r="M609" s="15"/>
      <c r="N609" s="15" t="s">
        <v>50</v>
      </c>
      <c r="O609" s="15" t="s">
        <v>51</v>
      </c>
    </row>
    <row r="610" spans="1:15">
      <c r="A610" s="14" t="s">
        <v>11</v>
      </c>
      <c r="B610" s="14" t="s">
        <v>3145</v>
      </c>
      <c r="C610" s="14" t="s">
        <v>3146</v>
      </c>
      <c r="D610" s="14" t="s">
        <v>3291</v>
      </c>
      <c r="E610" s="14">
        <v>59</v>
      </c>
      <c r="F610" s="14" t="s">
        <v>3314</v>
      </c>
      <c r="G610" s="14" t="s">
        <v>3315</v>
      </c>
      <c r="H610" s="14" t="s">
        <v>3311</v>
      </c>
      <c r="I610" s="14" t="s">
        <v>96</v>
      </c>
      <c r="J610" s="11" t="str">
        <f>HYPERLINK("https://www.codechef.com/problems/DEVPERF", "https://www.codechef.com/problems/DEVPERF")</f>
        <v>https://www.codechef.com/problems/DEVPERF</v>
      </c>
      <c r="K610" s="14"/>
      <c r="L610" s="14" t="s">
        <v>3316</v>
      </c>
      <c r="M610" s="14"/>
      <c r="N610" s="14" t="s">
        <v>50</v>
      </c>
      <c r="O610" s="14" t="s">
        <v>51</v>
      </c>
    </row>
    <row r="611" spans="1:15">
      <c r="A611" s="15" t="s">
        <v>11</v>
      </c>
      <c r="B611" s="15" t="s">
        <v>3145</v>
      </c>
      <c r="C611" s="15" t="s">
        <v>3146</v>
      </c>
      <c r="D611" s="15" t="s">
        <v>3291</v>
      </c>
      <c r="E611" s="15">
        <v>60</v>
      </c>
      <c r="F611" s="15" t="s">
        <v>3317</v>
      </c>
      <c r="G611" s="15" t="s">
        <v>3318</v>
      </c>
      <c r="H611" s="15" t="s">
        <v>3319</v>
      </c>
      <c r="I611" s="15" t="s">
        <v>96</v>
      </c>
      <c r="J611" s="7" t="str">
        <f>HYPERLINK("https://www.codechef.com/problems/SUMPOWER", "https://www.codechef.com/problems/SUMPOWER")</f>
        <v>https://www.codechef.com/problems/SUMPOWER</v>
      </c>
      <c r="K611" s="15"/>
      <c r="L611" s="15"/>
      <c r="M611" s="15"/>
      <c r="N611" s="15" t="s">
        <v>50</v>
      </c>
      <c r="O611" s="15" t="s">
        <v>51</v>
      </c>
    </row>
    <row r="612" spans="1:15">
      <c r="A612" s="14" t="s">
        <v>11</v>
      </c>
      <c r="B612" s="14" t="s">
        <v>3145</v>
      </c>
      <c r="C612" s="14" t="s">
        <v>3146</v>
      </c>
      <c r="D612" s="14" t="s">
        <v>3291</v>
      </c>
      <c r="E612" s="14">
        <v>61</v>
      </c>
      <c r="F612" s="14" t="s">
        <v>3320</v>
      </c>
      <c r="G612" s="14" t="s">
        <v>3321</v>
      </c>
      <c r="H612" s="14" t="s">
        <v>3322</v>
      </c>
      <c r="I612" s="14" t="s">
        <v>96</v>
      </c>
      <c r="J612" s="11" t="str">
        <f>HYPERLINK("https://www.codechef.com/problems/CEILSUM", "https://www.codechef.com/problems/CEILSUM")</f>
        <v>https://www.codechef.com/problems/CEILSUM</v>
      </c>
      <c r="K612" s="14"/>
      <c r="L612" s="14" t="s">
        <v>2681</v>
      </c>
      <c r="M612" s="14"/>
      <c r="N612" s="14" t="s">
        <v>50</v>
      </c>
      <c r="O612" s="14" t="s">
        <v>51</v>
      </c>
    </row>
    <row r="613" spans="1:15">
      <c r="A613" s="15" t="s">
        <v>11</v>
      </c>
      <c r="B613" s="15" t="s">
        <v>3145</v>
      </c>
      <c r="C613" s="15" t="s">
        <v>3146</v>
      </c>
      <c r="D613" s="15" t="s">
        <v>3291</v>
      </c>
      <c r="E613" s="15">
        <v>62</v>
      </c>
      <c r="F613" s="15" t="s">
        <v>3323</v>
      </c>
      <c r="G613" s="15" t="s">
        <v>3324</v>
      </c>
      <c r="H613" s="15" t="s">
        <v>3325</v>
      </c>
      <c r="I613" s="15" t="s">
        <v>96</v>
      </c>
      <c r="J613" s="7" t="str">
        <f>HYPERLINK("https://www.codechef.com/problems/MINCOLOR", "https://www.codechef.com/problems/MINCOLOR")</f>
        <v>https://www.codechef.com/problems/MINCOLOR</v>
      </c>
      <c r="K613" s="15"/>
      <c r="L613" s="15" t="s">
        <v>3326</v>
      </c>
      <c r="M613" s="15"/>
      <c r="N613" s="15" t="s">
        <v>50</v>
      </c>
      <c r="O613" s="15" t="s">
        <v>51</v>
      </c>
    </row>
    <row r="614" spans="1:15">
      <c r="A614" s="14" t="s">
        <v>11</v>
      </c>
      <c r="B614" s="14" t="s">
        <v>3145</v>
      </c>
      <c r="C614" s="14" t="s">
        <v>3146</v>
      </c>
      <c r="D614" s="14" t="s">
        <v>3291</v>
      </c>
      <c r="E614" s="14">
        <v>63</v>
      </c>
      <c r="F614" s="14" t="s">
        <v>3327</v>
      </c>
      <c r="G614" s="14" t="s">
        <v>3328</v>
      </c>
      <c r="H614" s="14" t="s">
        <v>3325</v>
      </c>
      <c r="I614" s="14" t="s">
        <v>96</v>
      </c>
      <c r="J614" s="11" t="str">
        <f>HYPERLINK("https://www.codechef.com/problems/SUMPRODSEG", "https://www.codechef.com/problems/SUMPRODSEG")</f>
        <v>https://www.codechef.com/problems/SUMPRODSEG</v>
      </c>
      <c r="K614" s="14"/>
      <c r="L614" s="14"/>
      <c r="M614" s="14"/>
      <c r="N614" s="14" t="s">
        <v>50</v>
      </c>
      <c r="O614" s="14" t="s">
        <v>51</v>
      </c>
    </row>
    <row r="615" spans="1:15">
      <c r="A615" s="15" t="s">
        <v>11</v>
      </c>
      <c r="B615" s="15" t="s">
        <v>3145</v>
      </c>
      <c r="C615" s="15" t="s">
        <v>3146</v>
      </c>
      <c r="D615" s="15" t="s">
        <v>3291</v>
      </c>
      <c r="E615" s="15">
        <v>64</v>
      </c>
      <c r="F615" s="15" t="s">
        <v>3329</v>
      </c>
      <c r="G615" s="15" t="s">
        <v>3330</v>
      </c>
      <c r="H615" s="15" t="s">
        <v>3331</v>
      </c>
      <c r="I615" s="15" t="s">
        <v>96</v>
      </c>
      <c r="J615" s="7" t="str">
        <f>HYPERLINK("https://www.codechef.com/problems/MAXMEX", "https://www.codechef.com/problems/MAXMEX")</f>
        <v>https://www.codechef.com/problems/MAXMEX</v>
      </c>
      <c r="K615" s="15"/>
      <c r="L615" s="15" t="s">
        <v>2681</v>
      </c>
      <c r="M615" s="15"/>
      <c r="N615" s="15" t="s">
        <v>50</v>
      </c>
      <c r="O615" s="15" t="s">
        <v>51</v>
      </c>
    </row>
    <row r="616" spans="1:15">
      <c r="A616" s="14" t="s">
        <v>11</v>
      </c>
      <c r="B616" s="14" t="s">
        <v>3145</v>
      </c>
      <c r="C616" s="14" t="s">
        <v>3146</v>
      </c>
      <c r="D616" s="14" t="s">
        <v>3291</v>
      </c>
      <c r="E616" s="14">
        <v>65</v>
      </c>
      <c r="F616" s="14" t="s">
        <v>3332</v>
      </c>
      <c r="G616" s="14" t="s">
        <v>3333</v>
      </c>
      <c r="H616" s="14" t="s">
        <v>3331</v>
      </c>
      <c r="I616" s="14" t="s">
        <v>96</v>
      </c>
      <c r="J616" s="11" t="str">
        <f>HYPERLINK("https://www.codechef.com/problems/EVENXOR", "https://www.codechef.com/problems/EVENXOR")</f>
        <v>https://www.codechef.com/problems/EVENXOR</v>
      </c>
      <c r="K616" s="14"/>
      <c r="L616" s="14" t="s">
        <v>3334</v>
      </c>
      <c r="M616" s="14"/>
      <c r="N616" s="14" t="s">
        <v>50</v>
      </c>
      <c r="O616" s="14" t="s">
        <v>51</v>
      </c>
    </row>
    <row r="617" spans="1:15">
      <c r="A617" s="15" t="s">
        <v>11</v>
      </c>
      <c r="B617" s="15" t="s">
        <v>3145</v>
      </c>
      <c r="C617" s="15" t="s">
        <v>3146</v>
      </c>
      <c r="D617" s="15" t="s">
        <v>3291</v>
      </c>
      <c r="E617" s="15">
        <v>66</v>
      </c>
      <c r="F617" s="15" t="s">
        <v>3335</v>
      </c>
      <c r="G617" s="15" t="s">
        <v>3336</v>
      </c>
      <c r="H617" s="15" t="s">
        <v>3331</v>
      </c>
      <c r="I617" s="15" t="s">
        <v>96</v>
      </c>
      <c r="J617" s="7" t="str">
        <f>HYPERLINK("https://www.codechef.com/problems/MSTICK", "https://www.codechef.com/problems/MSTICK")</f>
        <v>https://www.codechef.com/problems/MSTICK</v>
      </c>
      <c r="K617" s="15"/>
      <c r="L617" s="15"/>
      <c r="M617" s="15"/>
      <c r="N617" s="15" t="s">
        <v>50</v>
      </c>
      <c r="O617" s="15" t="s">
        <v>51</v>
      </c>
    </row>
    <row r="618" spans="1:15">
      <c r="A618" s="14" t="s">
        <v>11</v>
      </c>
      <c r="B618" s="14" t="s">
        <v>3145</v>
      </c>
      <c r="C618" s="14" t="s">
        <v>3146</v>
      </c>
      <c r="D618" s="14" t="s">
        <v>3291</v>
      </c>
      <c r="E618" s="14">
        <v>67</v>
      </c>
      <c r="F618" s="14" t="s">
        <v>3337</v>
      </c>
      <c r="G618" s="14" t="s">
        <v>3338</v>
      </c>
      <c r="H618" s="14" t="s">
        <v>3331</v>
      </c>
      <c r="I618" s="14" t="s">
        <v>96</v>
      </c>
      <c r="J618" s="11" t="str">
        <f>HYPERLINK("https://www.codechef.com/problems/SUMDIV2", "https://www.codechef.com/problems/SUMDIV2")</f>
        <v>https://www.codechef.com/problems/SUMDIV2</v>
      </c>
      <c r="K618" s="14"/>
      <c r="L618" s="14"/>
      <c r="M618" s="14"/>
      <c r="N618" s="14" t="s">
        <v>50</v>
      </c>
      <c r="O618" s="14" t="s">
        <v>51</v>
      </c>
    </row>
    <row r="619" spans="1:15">
      <c r="A619" s="15" t="s">
        <v>11</v>
      </c>
      <c r="B619" s="15" t="s">
        <v>3145</v>
      </c>
      <c r="C619" s="15" t="s">
        <v>3146</v>
      </c>
      <c r="D619" s="15" t="s">
        <v>3291</v>
      </c>
      <c r="E619" s="15">
        <v>68</v>
      </c>
      <c r="F619" s="15" t="s">
        <v>3339</v>
      </c>
      <c r="G619" s="15" t="s">
        <v>3340</v>
      </c>
      <c r="H619" s="15" t="s">
        <v>3341</v>
      </c>
      <c r="I619" s="15" t="s">
        <v>96</v>
      </c>
      <c r="J619" s="7" t="str">
        <f>HYPERLINK("https://www.codechef.com/problems/TEAMFOR", "https://www.codechef.com/problems/TEAMFOR")</f>
        <v>https://www.codechef.com/problems/TEAMFOR</v>
      </c>
      <c r="K619" s="15"/>
      <c r="L619" s="15"/>
      <c r="M619" s="15"/>
      <c r="N619" s="15" t="s">
        <v>50</v>
      </c>
      <c r="O619" s="15" t="s">
        <v>51</v>
      </c>
    </row>
    <row r="620" spans="1:15">
      <c r="A620" s="14" t="s">
        <v>11</v>
      </c>
      <c r="B620" s="14" t="s">
        <v>3145</v>
      </c>
      <c r="C620" s="14" t="s">
        <v>3146</v>
      </c>
      <c r="D620" s="14" t="s">
        <v>3291</v>
      </c>
      <c r="E620" s="14">
        <v>69</v>
      </c>
      <c r="F620" s="14" t="s">
        <v>3342</v>
      </c>
      <c r="G620" s="14" t="s">
        <v>3343</v>
      </c>
      <c r="H620" s="14" t="s">
        <v>3341</v>
      </c>
      <c r="I620" s="14" t="s">
        <v>96</v>
      </c>
      <c r="J620" s="11" t="str">
        <f>HYPERLINK("https://www.codechef.com/problems/MAXIMISESUM", "https://www.codechef.com/problems/MAXIMISESUM")</f>
        <v>https://www.codechef.com/problems/MAXIMISESUM</v>
      </c>
      <c r="K620" s="14"/>
      <c r="L620" s="14"/>
      <c r="M620" s="14"/>
      <c r="N620" s="14" t="s">
        <v>50</v>
      </c>
      <c r="O620" s="14" t="s">
        <v>51</v>
      </c>
    </row>
    <row r="621" spans="1:15">
      <c r="A621" s="15" t="s">
        <v>11</v>
      </c>
      <c r="B621" s="15" t="s">
        <v>3145</v>
      </c>
      <c r="C621" s="15" t="s">
        <v>3146</v>
      </c>
      <c r="D621" s="15" t="s">
        <v>3291</v>
      </c>
      <c r="E621" s="15">
        <v>70</v>
      </c>
      <c r="F621" s="15" t="s">
        <v>3344</v>
      </c>
      <c r="G621" s="15" t="s">
        <v>3345</v>
      </c>
      <c r="H621" s="15" t="s">
        <v>3346</v>
      </c>
      <c r="I621" s="15" t="s">
        <v>96</v>
      </c>
      <c r="J621" s="7" t="str">
        <f>HYPERLINK("https://www.codechef.com/problems/CHAPD", "https://www.codechef.com/problems/CHAPD")</f>
        <v>https://www.codechef.com/problems/CHAPD</v>
      </c>
      <c r="K621" s="15"/>
      <c r="L621" s="15" t="s">
        <v>3347</v>
      </c>
      <c r="M621" s="15"/>
      <c r="N621" s="15" t="s">
        <v>50</v>
      </c>
      <c r="O621" s="15" t="s">
        <v>51</v>
      </c>
    </row>
    <row r="622" spans="1:15">
      <c r="A622" s="14" t="s">
        <v>11</v>
      </c>
      <c r="B622" s="14" t="s">
        <v>3145</v>
      </c>
      <c r="C622" s="14" t="s">
        <v>3146</v>
      </c>
      <c r="D622" s="14" t="s">
        <v>3291</v>
      </c>
      <c r="E622" s="14">
        <v>71</v>
      </c>
      <c r="F622" s="14" t="s">
        <v>3348</v>
      </c>
      <c r="G622" s="14" t="s">
        <v>3349</v>
      </c>
      <c r="H622" s="14" t="s">
        <v>3350</v>
      </c>
      <c r="I622" s="14" t="s">
        <v>96</v>
      </c>
      <c r="J622" s="11" t="str">
        <f>HYPERLINK("https://www.codechef.com/problems/ORACLCS", "https://www.codechef.com/problems/ORACLCS")</f>
        <v>https://www.codechef.com/problems/ORACLCS</v>
      </c>
      <c r="K622" s="14"/>
      <c r="L622" s="14" t="s">
        <v>2344</v>
      </c>
      <c r="M622" s="14"/>
      <c r="N622" s="14" t="s">
        <v>50</v>
      </c>
      <c r="O622" s="14" t="s">
        <v>51</v>
      </c>
    </row>
    <row r="623" spans="1:15">
      <c r="A623" s="15" t="s">
        <v>11</v>
      </c>
      <c r="B623" s="15" t="s">
        <v>3145</v>
      </c>
      <c r="C623" s="15" t="s">
        <v>3146</v>
      </c>
      <c r="D623" s="15" t="s">
        <v>3291</v>
      </c>
      <c r="E623" s="15">
        <v>72</v>
      </c>
      <c r="F623" s="15" t="s">
        <v>3351</v>
      </c>
      <c r="G623" s="15" t="s">
        <v>3352</v>
      </c>
      <c r="H623" s="15" t="s">
        <v>3353</v>
      </c>
      <c r="I623" s="15" t="s">
        <v>96</v>
      </c>
      <c r="J623" s="7" t="str">
        <f>HYPERLINK("https://www.codechef.com/problems/SETDIFF", "https://www.codechef.com/problems/SETDIFF")</f>
        <v>https://www.codechef.com/problems/SETDIFF</v>
      </c>
      <c r="K623" s="15"/>
      <c r="L623" s="15"/>
      <c r="M623" s="15"/>
      <c r="N623" s="15" t="s">
        <v>50</v>
      </c>
      <c r="O623" s="15" t="s">
        <v>51</v>
      </c>
    </row>
    <row r="624" spans="1:15">
      <c r="A624" s="14" t="s">
        <v>11</v>
      </c>
      <c r="B624" s="14" t="s">
        <v>3145</v>
      </c>
      <c r="C624" s="14" t="s">
        <v>3146</v>
      </c>
      <c r="D624" s="14" t="s">
        <v>3291</v>
      </c>
      <c r="E624" s="14">
        <v>73</v>
      </c>
      <c r="F624" s="14" t="s">
        <v>3354</v>
      </c>
      <c r="G624" s="14" t="s">
        <v>3355</v>
      </c>
      <c r="H624" s="14" t="s">
        <v>3356</v>
      </c>
      <c r="I624" s="14" t="s">
        <v>96</v>
      </c>
      <c r="J624" s="11" t="str">
        <f>HYPERLINK("https://www.codechef.com/problems/CHCBOX", "https://www.codechef.com/problems/CHCBOX")</f>
        <v>https://www.codechef.com/problems/CHCBOX</v>
      </c>
      <c r="K624" s="14"/>
      <c r="L624" s="14" t="s">
        <v>3357</v>
      </c>
      <c r="M624" s="14"/>
      <c r="N624" s="14" t="s">
        <v>50</v>
      </c>
      <c r="O624" s="14" t="s">
        <v>51</v>
      </c>
    </row>
    <row r="625" spans="1:15">
      <c r="A625" s="15" t="s">
        <v>11</v>
      </c>
      <c r="B625" s="15" t="s">
        <v>3145</v>
      </c>
      <c r="C625" s="15" t="s">
        <v>3146</v>
      </c>
      <c r="D625" s="15" t="s">
        <v>3291</v>
      </c>
      <c r="E625" s="15">
        <v>74</v>
      </c>
      <c r="F625" s="15" t="s">
        <v>3358</v>
      </c>
      <c r="G625" s="15" t="s">
        <v>3359</v>
      </c>
      <c r="H625" s="15" t="s">
        <v>3360</v>
      </c>
      <c r="I625" s="15" t="s">
        <v>96</v>
      </c>
      <c r="J625" s="7" t="str">
        <f>HYPERLINK("https://www.codechef.com/problems/PALINT", "https://www.codechef.com/problems/PALINT")</f>
        <v>https://www.codechef.com/problems/PALINT</v>
      </c>
      <c r="K625" s="15"/>
      <c r="L625" s="15" t="s">
        <v>3361</v>
      </c>
      <c r="M625" s="15"/>
      <c r="N625" s="15" t="s">
        <v>50</v>
      </c>
      <c r="O625" s="15" t="s">
        <v>51</v>
      </c>
    </row>
    <row r="626" spans="1:15">
      <c r="A626" s="14" t="s">
        <v>11</v>
      </c>
      <c r="B626" s="14" t="s">
        <v>3145</v>
      </c>
      <c r="C626" s="14" t="s">
        <v>3146</v>
      </c>
      <c r="D626" s="14" t="s">
        <v>3291</v>
      </c>
      <c r="E626" s="14">
        <v>75</v>
      </c>
      <c r="F626" s="14" t="s">
        <v>3362</v>
      </c>
      <c r="G626" s="14" t="s">
        <v>3363</v>
      </c>
      <c r="H626" s="14" t="s">
        <v>3364</v>
      </c>
      <c r="I626" s="14" t="s">
        <v>96</v>
      </c>
      <c r="J626" s="11" t="str">
        <f>HYPERLINK("https://www.codechef.com/problems/FGFS", "https://www.codechef.com/problems/FGFS")</f>
        <v>https://www.codechef.com/problems/FGFS</v>
      </c>
      <c r="K626" s="14"/>
      <c r="L626" s="14" t="s">
        <v>3365</v>
      </c>
      <c r="M626" s="14"/>
      <c r="N626" s="14" t="s">
        <v>50</v>
      </c>
      <c r="O626" s="14" t="s">
        <v>51</v>
      </c>
    </row>
    <row r="627" spans="1:15">
      <c r="A627" s="15" t="s">
        <v>11</v>
      </c>
      <c r="B627" s="15" t="s">
        <v>3145</v>
      </c>
      <c r="C627" s="15" t="s">
        <v>3146</v>
      </c>
      <c r="D627" s="15" t="s">
        <v>3291</v>
      </c>
      <c r="E627" s="15">
        <v>76</v>
      </c>
      <c r="F627" s="15" t="s">
        <v>3366</v>
      </c>
      <c r="G627" s="15" t="s">
        <v>3367</v>
      </c>
      <c r="H627" s="15" t="s">
        <v>3368</v>
      </c>
      <c r="I627" s="15" t="s">
        <v>96</v>
      </c>
      <c r="J627" s="7" t="str">
        <f>HYPERLINK("https://www.codechef.com/problems/PSHOT", "https://www.codechef.com/problems/PSHOT")</f>
        <v>https://www.codechef.com/problems/PSHOT</v>
      </c>
      <c r="K627" s="15"/>
      <c r="L627" s="15" t="s">
        <v>2681</v>
      </c>
      <c r="M627" s="15"/>
      <c r="N627" s="15" t="s">
        <v>50</v>
      </c>
      <c r="O627" s="15" t="s">
        <v>51</v>
      </c>
    </row>
    <row r="628" spans="1:15">
      <c r="A628" s="14" t="s">
        <v>11</v>
      </c>
      <c r="B628" s="14" t="s">
        <v>3145</v>
      </c>
      <c r="C628" s="14" t="s">
        <v>3146</v>
      </c>
      <c r="D628" s="14" t="s">
        <v>3291</v>
      </c>
      <c r="E628" s="14">
        <v>77</v>
      </c>
      <c r="F628" s="14" t="s">
        <v>3369</v>
      </c>
      <c r="G628" s="14" t="s">
        <v>3370</v>
      </c>
      <c r="H628" s="14" t="s">
        <v>3371</v>
      </c>
      <c r="I628" s="14" t="s">
        <v>96</v>
      </c>
      <c r="J628" s="11" t="str">
        <f>HYPERLINK("https://www.codechef.com/problems/APP_BAL_SCA", "https://www.codechef.com/problems/APP_BAL_SCA")</f>
        <v>https://www.codechef.com/problems/APP_BAL_SCA</v>
      </c>
      <c r="K628" s="14"/>
      <c r="L628" s="14" t="s">
        <v>202</v>
      </c>
      <c r="M628" s="14"/>
      <c r="N628" s="14" t="s">
        <v>50</v>
      </c>
      <c r="O628" s="14" t="s">
        <v>51</v>
      </c>
    </row>
    <row r="629" spans="1:15">
      <c r="A629" s="15" t="s">
        <v>11</v>
      </c>
      <c r="B629" s="15" t="s">
        <v>3145</v>
      </c>
      <c r="C629" s="15" t="s">
        <v>3146</v>
      </c>
      <c r="D629" s="15" t="s">
        <v>3291</v>
      </c>
      <c r="E629" s="15">
        <v>78</v>
      </c>
      <c r="F629" s="15" t="s">
        <v>3372</v>
      </c>
      <c r="G629" s="15" t="s">
        <v>3373</v>
      </c>
      <c r="H629" s="15" t="s">
        <v>3371</v>
      </c>
      <c r="I629" s="15" t="s">
        <v>96</v>
      </c>
      <c r="J629" s="7" t="str">
        <f>HYPERLINK("https://www.codechef.com/problems/FIX", "https://www.codechef.com/problems/FIX")</f>
        <v>https://www.codechef.com/problems/FIX</v>
      </c>
      <c r="K629" s="15"/>
      <c r="L629" s="15" t="s">
        <v>3374</v>
      </c>
      <c r="M629" s="15"/>
      <c r="N629" s="15" t="s">
        <v>50</v>
      </c>
      <c r="O629" s="15" t="s">
        <v>51</v>
      </c>
    </row>
    <row r="630" spans="1:15">
      <c r="A630" s="14" t="s">
        <v>11</v>
      </c>
      <c r="B630" s="14" t="s">
        <v>3145</v>
      </c>
      <c r="C630" s="14" t="s">
        <v>3146</v>
      </c>
      <c r="D630" s="14" t="s">
        <v>3291</v>
      </c>
      <c r="E630" s="14">
        <v>79</v>
      </c>
      <c r="F630" s="14" t="s">
        <v>3375</v>
      </c>
      <c r="G630" s="14" t="s">
        <v>3376</v>
      </c>
      <c r="H630" s="14" t="s">
        <v>3377</v>
      </c>
      <c r="I630" s="14" t="s">
        <v>96</v>
      </c>
      <c r="J630" s="11" t="str">
        <f>HYPERLINK("https://www.codechef.com/problems/SUBSEQDIST", "https://www.codechef.com/problems/SUBSEQDIST")</f>
        <v>https://www.codechef.com/problems/SUBSEQDIST</v>
      </c>
      <c r="K630" s="14"/>
      <c r="L630" s="14"/>
      <c r="M630" s="14"/>
      <c r="N630" s="14" t="s">
        <v>50</v>
      </c>
      <c r="O630" s="14" t="s">
        <v>51</v>
      </c>
    </row>
    <row r="631" spans="1:15">
      <c r="A631" s="15" t="s">
        <v>11</v>
      </c>
      <c r="B631" s="15" t="s">
        <v>3145</v>
      </c>
      <c r="C631" s="15" t="s">
        <v>3146</v>
      </c>
      <c r="D631" s="15" t="s">
        <v>3291</v>
      </c>
      <c r="E631" s="15">
        <v>80</v>
      </c>
      <c r="F631" s="15" t="s">
        <v>3378</v>
      </c>
      <c r="G631" s="15" t="s">
        <v>3379</v>
      </c>
      <c r="H631" s="15" t="s">
        <v>3380</v>
      </c>
      <c r="I631" s="15" t="s">
        <v>96</v>
      </c>
      <c r="J631" s="7" t="str">
        <f>HYPERLINK("https://www.codechef.com/problems/MVALUE", "https://www.codechef.com/problems/MVALUE")</f>
        <v>https://www.codechef.com/problems/MVALUE</v>
      </c>
      <c r="K631" s="15"/>
      <c r="L631" s="15" t="s">
        <v>3381</v>
      </c>
      <c r="M631" s="15"/>
      <c r="N631" s="15" t="s">
        <v>50</v>
      </c>
      <c r="O631" s="15" t="s">
        <v>51</v>
      </c>
    </row>
    <row r="632" spans="1:15">
      <c r="A632" s="14" t="s">
        <v>11</v>
      </c>
      <c r="B632" s="14" t="s">
        <v>3145</v>
      </c>
      <c r="C632" s="14" t="s">
        <v>3146</v>
      </c>
      <c r="D632" s="14" t="s">
        <v>3291</v>
      </c>
      <c r="E632" s="14">
        <v>81</v>
      </c>
      <c r="F632" s="14" t="s">
        <v>3382</v>
      </c>
      <c r="G632" s="14" t="s">
        <v>3383</v>
      </c>
      <c r="H632" s="14" t="s">
        <v>3384</v>
      </c>
      <c r="I632" s="14" t="s">
        <v>96</v>
      </c>
      <c r="J632" s="11" t="str">
        <f>HYPERLINK("https://www.codechef.com/problems/XORMUL", "https://www.codechef.com/problems/XORMUL")</f>
        <v>https://www.codechef.com/problems/XORMUL</v>
      </c>
      <c r="K632" s="14"/>
      <c r="L632" s="14"/>
      <c r="M632" s="14"/>
      <c r="N632" s="14" t="s">
        <v>50</v>
      </c>
      <c r="O632" s="14" t="s">
        <v>51</v>
      </c>
    </row>
    <row r="633" spans="1:15">
      <c r="A633" s="15" t="s">
        <v>11</v>
      </c>
      <c r="B633" s="15" t="s">
        <v>3145</v>
      </c>
      <c r="C633" s="15" t="s">
        <v>3146</v>
      </c>
      <c r="D633" s="15" t="s">
        <v>3291</v>
      </c>
      <c r="E633" s="15">
        <v>82</v>
      </c>
      <c r="F633" s="15" t="s">
        <v>3385</v>
      </c>
      <c r="G633" s="15" t="s">
        <v>3386</v>
      </c>
      <c r="H633" s="15" t="s">
        <v>3384</v>
      </c>
      <c r="I633" s="15" t="s">
        <v>96</v>
      </c>
      <c r="J633" s="7" t="str">
        <f>HYPERLINK("https://www.codechef.com/problems/PBATTLE", "https://www.codechef.com/problems/PBATTLE")</f>
        <v>https://www.codechef.com/problems/PBATTLE</v>
      </c>
      <c r="K633" s="15"/>
      <c r="L633" s="15" t="s">
        <v>2946</v>
      </c>
      <c r="M633" s="15"/>
      <c r="N633" s="15" t="s">
        <v>50</v>
      </c>
      <c r="O633" s="15" t="s">
        <v>51</v>
      </c>
    </row>
    <row r="634" spans="1:15">
      <c r="A634" s="14" t="s">
        <v>11</v>
      </c>
      <c r="B634" s="14" t="s">
        <v>3145</v>
      </c>
      <c r="C634" s="14" t="s">
        <v>3146</v>
      </c>
      <c r="D634" s="14" t="s">
        <v>3291</v>
      </c>
      <c r="E634" s="14">
        <v>83</v>
      </c>
      <c r="F634" s="14" t="s">
        <v>3387</v>
      </c>
      <c r="G634" s="14" t="s">
        <v>3388</v>
      </c>
      <c r="H634" s="14" t="s">
        <v>3384</v>
      </c>
      <c r="I634" s="14" t="s">
        <v>96</v>
      </c>
      <c r="J634" s="11" t="str">
        <f>HYPERLINK("https://www.codechef.com/problems/WEIRDSUBARR", "https://www.codechef.com/problems/WEIRDSUBARR")</f>
        <v>https://www.codechef.com/problems/WEIRDSUBARR</v>
      </c>
      <c r="K634" s="14"/>
      <c r="L634" s="14"/>
      <c r="M634" s="14"/>
      <c r="N634" s="14" t="s">
        <v>50</v>
      </c>
      <c r="O634" s="14" t="s">
        <v>51</v>
      </c>
    </row>
    <row r="635" spans="1:15">
      <c r="A635" s="15" t="s">
        <v>11</v>
      </c>
      <c r="B635" s="15" t="s">
        <v>3145</v>
      </c>
      <c r="C635" s="15" t="s">
        <v>3146</v>
      </c>
      <c r="D635" s="15" t="s">
        <v>3291</v>
      </c>
      <c r="E635" s="15">
        <v>84</v>
      </c>
      <c r="F635" s="15" t="s">
        <v>3389</v>
      </c>
      <c r="G635" s="15" t="s">
        <v>3390</v>
      </c>
      <c r="H635" s="15" t="s">
        <v>3391</v>
      </c>
      <c r="I635" s="15" t="s">
        <v>96</v>
      </c>
      <c r="J635" s="7" t="str">
        <f>HYPERLINK("https://www.codechef.com/problems/FAIR_DISTRIB", "https://www.codechef.com/problems/FAIR_DISTRIB")</f>
        <v>https://www.codechef.com/problems/FAIR_DISTRIB</v>
      </c>
      <c r="K635" s="15"/>
      <c r="L635" s="15" t="s">
        <v>3392</v>
      </c>
      <c r="M635" s="15"/>
      <c r="N635" s="15" t="s">
        <v>50</v>
      </c>
      <c r="O635" s="15" t="s">
        <v>51</v>
      </c>
    </row>
    <row r="636" spans="1:15">
      <c r="A636" s="14" t="s">
        <v>11</v>
      </c>
      <c r="B636" s="14" t="s">
        <v>3145</v>
      </c>
      <c r="C636" s="14" t="s">
        <v>3146</v>
      </c>
      <c r="D636" s="14" t="s">
        <v>3291</v>
      </c>
      <c r="E636" s="14">
        <v>85</v>
      </c>
      <c r="F636" s="14" t="s">
        <v>3393</v>
      </c>
      <c r="G636" s="14" t="s">
        <v>3394</v>
      </c>
      <c r="H636" s="14" t="s">
        <v>3391</v>
      </c>
      <c r="I636" s="14" t="s">
        <v>96</v>
      </c>
      <c r="J636" s="11" t="str">
        <f>HYPERLINK("https://www.codechef.com/problems/GCDMOD", "https://www.codechef.com/problems/GCDMOD")</f>
        <v>https://www.codechef.com/problems/GCDMOD</v>
      </c>
      <c r="K636" s="14"/>
      <c r="L636" s="14" t="s">
        <v>3395</v>
      </c>
      <c r="M636" s="14"/>
      <c r="N636" s="14" t="s">
        <v>50</v>
      </c>
      <c r="O636" s="14" t="s">
        <v>51</v>
      </c>
    </row>
    <row r="637" spans="1:15">
      <c r="A637" s="15" t="s">
        <v>11</v>
      </c>
      <c r="B637" s="15" t="s">
        <v>3145</v>
      </c>
      <c r="C637" s="15" t="s">
        <v>3146</v>
      </c>
      <c r="D637" s="15" t="s">
        <v>3291</v>
      </c>
      <c r="E637" s="15">
        <v>86</v>
      </c>
      <c r="F637" s="15" t="s">
        <v>3396</v>
      </c>
      <c r="G637" s="15" t="s">
        <v>3397</v>
      </c>
      <c r="H637" s="15" t="s">
        <v>3398</v>
      </c>
      <c r="I637" s="15" t="s">
        <v>96</v>
      </c>
      <c r="J637" s="7" t="str">
        <f>HYPERLINK("https://www.codechef.com/problems/ARMTRN", "https://www.codechef.com/problems/ARMTRN")</f>
        <v>https://www.codechef.com/problems/ARMTRN</v>
      </c>
      <c r="K637" s="15"/>
      <c r="L637" s="15" t="s">
        <v>2946</v>
      </c>
      <c r="M637" s="15"/>
      <c r="N637" s="15" t="s">
        <v>50</v>
      </c>
      <c r="O637" s="15" t="s">
        <v>51</v>
      </c>
    </row>
    <row r="638" spans="1:15">
      <c r="A638" s="14" t="s">
        <v>11</v>
      </c>
      <c r="B638" s="14" t="s">
        <v>3145</v>
      </c>
      <c r="C638" s="14" t="s">
        <v>3146</v>
      </c>
      <c r="D638" s="14" t="s">
        <v>3291</v>
      </c>
      <c r="E638" s="14">
        <v>87</v>
      </c>
      <c r="F638" s="14" t="s">
        <v>3399</v>
      </c>
      <c r="G638" s="14" t="s">
        <v>3400</v>
      </c>
      <c r="H638" s="14" t="s">
        <v>3401</v>
      </c>
      <c r="I638" s="14" t="s">
        <v>96</v>
      </c>
      <c r="J638" s="11" t="str">
        <f>HYPERLINK("https://www.codechef.com/problems/ONEKING", "https://www.codechef.com/problems/ONEKING")</f>
        <v>https://www.codechef.com/problems/ONEKING</v>
      </c>
      <c r="K638" s="14"/>
      <c r="L638" s="14" t="s">
        <v>1043</v>
      </c>
      <c r="M638" s="14"/>
      <c r="N638" s="14" t="s">
        <v>50</v>
      </c>
      <c r="O638" s="14" t="s">
        <v>51</v>
      </c>
    </row>
    <row r="639" spans="1:15">
      <c r="A639" s="15" t="s">
        <v>11</v>
      </c>
      <c r="B639" s="15" t="s">
        <v>3145</v>
      </c>
      <c r="C639" s="15" t="s">
        <v>3146</v>
      </c>
      <c r="D639" s="15" t="s">
        <v>3291</v>
      </c>
      <c r="E639" s="15">
        <v>88</v>
      </c>
      <c r="F639" s="15" t="s">
        <v>3402</v>
      </c>
      <c r="G639" s="15" t="s">
        <v>3403</v>
      </c>
      <c r="H639" s="15" t="s">
        <v>3404</v>
      </c>
      <c r="I639" s="15" t="s">
        <v>96</v>
      </c>
      <c r="J639" s="7" t="str">
        <f>HYPERLINK("https://www.codechef.com/problems/LUCKPAL", "https://www.codechef.com/problems/LUCKPAL")</f>
        <v>https://www.codechef.com/problems/LUCKPAL</v>
      </c>
      <c r="K639" s="15"/>
      <c r="L639" s="15" t="s">
        <v>3405</v>
      </c>
      <c r="M639" s="15"/>
      <c r="N639" s="15" t="s">
        <v>50</v>
      </c>
      <c r="O639" s="15" t="s">
        <v>51</v>
      </c>
    </row>
    <row r="640" spans="1:15">
      <c r="A640" s="14" t="s">
        <v>11</v>
      </c>
      <c r="B640" s="14" t="s">
        <v>3145</v>
      </c>
      <c r="C640" s="14" t="s">
        <v>3146</v>
      </c>
      <c r="D640" s="14" t="s">
        <v>3291</v>
      </c>
      <c r="E640" s="14">
        <v>89</v>
      </c>
      <c r="F640" s="14" t="s">
        <v>93</v>
      </c>
      <c r="G640" s="14" t="s">
        <v>94</v>
      </c>
      <c r="H640" s="14" t="s">
        <v>95</v>
      </c>
      <c r="I640" s="14" t="s">
        <v>96</v>
      </c>
      <c r="J640" s="11" t="str">
        <f>HYPERLINK("https://www.codechef.com/problems/NCOPIES", "https://www.codechef.com/problems/NCOPIES")</f>
        <v>https://www.codechef.com/problems/NCOPIES</v>
      </c>
      <c r="K640" s="14"/>
      <c r="L640" s="14" t="s">
        <v>97</v>
      </c>
      <c r="M640" s="14"/>
      <c r="N640" s="14" t="s">
        <v>50</v>
      </c>
      <c r="O640" s="14" t="s">
        <v>51</v>
      </c>
    </row>
    <row r="641" spans="1:15">
      <c r="A641" s="15" t="s">
        <v>11</v>
      </c>
      <c r="B641" s="15" t="s">
        <v>3145</v>
      </c>
      <c r="C641" s="15" t="s">
        <v>3146</v>
      </c>
      <c r="D641" s="15" t="s">
        <v>3291</v>
      </c>
      <c r="E641" s="15">
        <v>90</v>
      </c>
      <c r="F641" s="15" t="s">
        <v>3406</v>
      </c>
      <c r="G641" s="15" t="s">
        <v>3407</v>
      </c>
      <c r="H641" s="15" t="s">
        <v>3408</v>
      </c>
      <c r="I641" s="15" t="s">
        <v>96</v>
      </c>
      <c r="J641" s="7" t="str">
        <f>HYPERLINK("https://www.codechef.com/problems/KFUNC", "https://www.codechef.com/problems/KFUNC")</f>
        <v>https://www.codechef.com/problems/KFUNC</v>
      </c>
      <c r="K641" s="15"/>
      <c r="L641" s="15" t="s">
        <v>2138</v>
      </c>
      <c r="M641" s="15"/>
      <c r="N641" s="15" t="s">
        <v>50</v>
      </c>
      <c r="O641" s="15" t="s">
        <v>51</v>
      </c>
    </row>
    <row r="642" spans="1:15">
      <c r="A642" s="14" t="s">
        <v>11</v>
      </c>
      <c r="B642" s="14" t="s">
        <v>3145</v>
      </c>
      <c r="C642" s="14" t="s">
        <v>3146</v>
      </c>
      <c r="D642" s="14" t="s">
        <v>3291</v>
      </c>
      <c r="E642" s="14">
        <v>91</v>
      </c>
      <c r="F642" s="14" t="s">
        <v>3409</v>
      </c>
      <c r="G642" s="14" t="s">
        <v>3410</v>
      </c>
      <c r="H642" s="14" t="s">
        <v>1442</v>
      </c>
      <c r="I642" s="14" t="s">
        <v>96</v>
      </c>
      <c r="J642" s="11" t="str">
        <f>HYPERLINK("https://www.codechef.com/problems/MAX01EVSWP", "https://www.codechef.com/problems/MAX01EVSWP")</f>
        <v>https://www.codechef.com/problems/MAX01EVSWP</v>
      </c>
      <c r="K642" s="14"/>
      <c r="L642" s="14" t="s">
        <v>105</v>
      </c>
      <c r="M642" s="14"/>
      <c r="N642" s="14" t="s">
        <v>50</v>
      </c>
      <c r="O642" s="14" t="s">
        <v>51</v>
      </c>
    </row>
    <row r="643" spans="1:15">
      <c r="A643" s="15" t="s">
        <v>11</v>
      </c>
      <c r="B643" s="15" t="s">
        <v>3145</v>
      </c>
      <c r="C643" s="15" t="s">
        <v>3146</v>
      </c>
      <c r="D643" s="15" t="s">
        <v>3291</v>
      </c>
      <c r="E643" s="15">
        <v>92</v>
      </c>
      <c r="F643" s="15" t="s">
        <v>3411</v>
      </c>
      <c r="G643" s="15" t="s">
        <v>3412</v>
      </c>
      <c r="H643" s="15" t="s">
        <v>3413</v>
      </c>
      <c r="I643" s="15" t="s">
        <v>96</v>
      </c>
      <c r="J643" s="7" t="str">
        <f>HYPERLINK("https://www.codechef.com/problems/EOOPR", "https://www.codechef.com/problems/EOOPR")</f>
        <v>https://www.codechef.com/problems/EOOPR</v>
      </c>
      <c r="K643" s="15"/>
      <c r="L643" s="15" t="s">
        <v>3414</v>
      </c>
      <c r="M643" s="15"/>
      <c r="N643" s="15" t="s">
        <v>50</v>
      </c>
      <c r="O643" s="15" t="s">
        <v>51</v>
      </c>
    </row>
    <row r="644" spans="1:15">
      <c r="A644" s="14" t="s">
        <v>11</v>
      </c>
      <c r="B644" s="14" t="s">
        <v>3145</v>
      </c>
      <c r="C644" s="14" t="s">
        <v>3146</v>
      </c>
      <c r="D644" s="14" t="s">
        <v>3291</v>
      </c>
      <c r="E644" s="14">
        <v>93</v>
      </c>
      <c r="F644" s="14" t="s">
        <v>3415</v>
      </c>
      <c r="G644" s="14" t="s">
        <v>3416</v>
      </c>
      <c r="H644" s="14" t="s">
        <v>3417</v>
      </c>
      <c r="I644" s="14" t="s">
        <v>96</v>
      </c>
      <c r="J644" s="11" t="str">
        <f>HYPERLINK("https://www.codechef.com/problems/FIZZBUZZ2306", "https://www.codechef.com/problems/FIZZBUZZ2306")</f>
        <v>https://www.codechef.com/problems/FIZZBUZZ2306</v>
      </c>
      <c r="K644" s="14"/>
      <c r="L644" s="14" t="s">
        <v>2567</v>
      </c>
      <c r="M644" s="14"/>
      <c r="N644" s="14" t="s">
        <v>50</v>
      </c>
      <c r="O644" s="14" t="s">
        <v>51</v>
      </c>
    </row>
    <row r="645" spans="1:15">
      <c r="A645" s="15" t="s">
        <v>11</v>
      </c>
      <c r="B645" s="15" t="s">
        <v>3145</v>
      </c>
      <c r="C645" s="15" t="s">
        <v>3146</v>
      </c>
      <c r="D645" s="15" t="s">
        <v>3291</v>
      </c>
      <c r="E645" s="15">
        <v>94</v>
      </c>
      <c r="F645" s="15" t="s">
        <v>702</v>
      </c>
      <c r="G645" s="15" t="s">
        <v>3418</v>
      </c>
      <c r="H645" s="15" t="s">
        <v>3419</v>
      </c>
      <c r="I645" s="15" t="s">
        <v>96</v>
      </c>
      <c r="J645" s="7" t="str">
        <f>HYPERLINK("https://www.codechef.com/problems/CHRL2", "https://www.codechef.com/problems/CHRL2")</f>
        <v>https://www.codechef.com/problems/CHRL2</v>
      </c>
      <c r="K645" s="15"/>
      <c r="L645" s="15" t="s">
        <v>3420</v>
      </c>
      <c r="M645" s="15"/>
      <c r="N645" s="15" t="s">
        <v>50</v>
      </c>
      <c r="O645" s="15" t="s">
        <v>51</v>
      </c>
    </row>
    <row r="646" spans="1:15">
      <c r="A646" s="14" t="s">
        <v>11</v>
      </c>
      <c r="B646" s="14" t="s">
        <v>3145</v>
      </c>
      <c r="C646" s="14" t="s">
        <v>3146</v>
      </c>
      <c r="D646" s="14" t="s">
        <v>3291</v>
      </c>
      <c r="E646" s="14">
        <v>95</v>
      </c>
      <c r="F646" s="14" t="s">
        <v>3421</v>
      </c>
      <c r="G646" s="14" t="s">
        <v>3422</v>
      </c>
      <c r="H646" s="14" t="s">
        <v>3423</v>
      </c>
      <c r="I646" s="14" t="s">
        <v>96</v>
      </c>
      <c r="J646" s="11" t="str">
        <f>HYPERLINK("https://www.codechef.com/problems/ICL1903", "https://www.codechef.com/problems/ICL1903")</f>
        <v>https://www.codechef.com/problems/ICL1903</v>
      </c>
      <c r="K646" s="14"/>
      <c r="L646" s="14" t="s">
        <v>1238</v>
      </c>
      <c r="M646" s="14"/>
      <c r="N646" s="14" t="s">
        <v>50</v>
      </c>
      <c r="O646" s="14" t="s">
        <v>51</v>
      </c>
    </row>
    <row r="647" spans="1:15">
      <c r="A647" s="15" t="s">
        <v>11</v>
      </c>
      <c r="B647" s="15" t="s">
        <v>3145</v>
      </c>
      <c r="C647" s="15" t="s">
        <v>3146</v>
      </c>
      <c r="D647" s="15" t="s">
        <v>3291</v>
      </c>
      <c r="E647" s="15">
        <v>96</v>
      </c>
      <c r="F647" s="15" t="s">
        <v>3424</v>
      </c>
      <c r="G647" s="15" t="s">
        <v>3425</v>
      </c>
      <c r="H647" s="15" t="s">
        <v>3423</v>
      </c>
      <c r="I647" s="15" t="s">
        <v>96</v>
      </c>
      <c r="J647" s="7" t="str">
        <f>HYPERLINK("https://www.codechef.com/problems/DIGITREM", "https://www.codechef.com/problems/DIGITREM")</f>
        <v>https://www.codechef.com/problems/DIGITREM</v>
      </c>
      <c r="K647" s="15"/>
      <c r="L647" s="15" t="s">
        <v>1762</v>
      </c>
      <c r="M647" s="15"/>
      <c r="N647" s="15" t="s">
        <v>50</v>
      </c>
      <c r="O647" s="15" t="s">
        <v>51</v>
      </c>
    </row>
    <row r="648" spans="1:15">
      <c r="A648" s="14" t="s">
        <v>11</v>
      </c>
      <c r="B648" s="14" t="s">
        <v>3145</v>
      </c>
      <c r="C648" s="14" t="s">
        <v>3146</v>
      </c>
      <c r="D648" s="14" t="s">
        <v>3291</v>
      </c>
      <c r="E648" s="14">
        <v>97</v>
      </c>
      <c r="F648" s="14" t="s">
        <v>3426</v>
      </c>
      <c r="G648" s="14" t="s">
        <v>3427</v>
      </c>
      <c r="H648" s="14" t="s">
        <v>3423</v>
      </c>
      <c r="I648" s="14" t="s">
        <v>96</v>
      </c>
      <c r="J648" s="11" t="str">
        <f>HYPERLINK("https://www.codechef.com/problems/ABREPEAT", "https://www.codechef.com/problems/ABREPEAT")</f>
        <v>https://www.codechef.com/problems/ABREPEAT</v>
      </c>
      <c r="K648" s="14"/>
      <c r="L648" s="14" t="s">
        <v>3428</v>
      </c>
      <c r="M648" s="14"/>
      <c r="N648" s="14" t="s">
        <v>50</v>
      </c>
      <c r="O648" s="14" t="s">
        <v>51</v>
      </c>
    </row>
    <row r="649" spans="1:15">
      <c r="A649" s="15" t="s">
        <v>11</v>
      </c>
      <c r="B649" s="15" t="s">
        <v>3145</v>
      </c>
      <c r="C649" s="15" t="s">
        <v>3146</v>
      </c>
      <c r="D649" s="15" t="s">
        <v>3291</v>
      </c>
      <c r="E649" s="15">
        <v>98</v>
      </c>
      <c r="F649" s="15" t="s">
        <v>3429</v>
      </c>
      <c r="G649" s="15" t="s">
        <v>3430</v>
      </c>
      <c r="H649" s="15" t="s">
        <v>3431</v>
      </c>
      <c r="I649" s="15" t="s">
        <v>96</v>
      </c>
      <c r="J649" s="7" t="str">
        <f>HYPERLINK("https://www.codechef.com/problems/STRCOMPARE", "https://www.codechef.com/problems/STRCOMPARE")</f>
        <v>https://www.codechef.com/problems/STRCOMPARE</v>
      </c>
      <c r="K649" s="15"/>
      <c r="L649" s="15"/>
      <c r="M649" s="15"/>
      <c r="N649" s="15" t="s">
        <v>50</v>
      </c>
      <c r="O649" s="15" t="s">
        <v>51</v>
      </c>
    </row>
    <row r="650" spans="1:15">
      <c r="A650" s="14" t="s">
        <v>11</v>
      </c>
      <c r="B650" s="14" t="s">
        <v>3145</v>
      </c>
      <c r="C650" s="14" t="s">
        <v>3146</v>
      </c>
      <c r="D650" s="14" t="s">
        <v>3291</v>
      </c>
      <c r="E650" s="14">
        <v>99</v>
      </c>
      <c r="F650" s="14" t="s">
        <v>3432</v>
      </c>
      <c r="G650" s="14" t="s">
        <v>3433</v>
      </c>
      <c r="H650" s="14" t="s">
        <v>647</v>
      </c>
      <c r="I650" s="14" t="s">
        <v>96</v>
      </c>
      <c r="J650" s="11" t="str">
        <f>HYPERLINK("https://www.codechef.com/problems/SUB_XOR", "https://www.codechef.com/problems/SUB_XOR")</f>
        <v>https://www.codechef.com/problems/SUB_XOR</v>
      </c>
      <c r="K650" s="14"/>
      <c r="L650" s="14"/>
      <c r="M650" s="14"/>
      <c r="N650" s="14" t="s">
        <v>50</v>
      </c>
      <c r="O650" s="14" t="s">
        <v>51</v>
      </c>
    </row>
    <row r="651" spans="1:15">
      <c r="A651" s="15" t="s">
        <v>11</v>
      </c>
      <c r="B651" s="15" t="s">
        <v>3145</v>
      </c>
      <c r="C651" s="15" t="s">
        <v>3146</v>
      </c>
      <c r="D651" s="15" t="s">
        <v>3291</v>
      </c>
      <c r="E651" s="15">
        <v>100</v>
      </c>
      <c r="F651" s="15" t="s">
        <v>3434</v>
      </c>
      <c r="G651" s="15" t="s">
        <v>3435</v>
      </c>
      <c r="H651" s="15" t="s">
        <v>3436</v>
      </c>
      <c r="I651" s="15" t="s">
        <v>96</v>
      </c>
      <c r="J651" s="7" t="str">
        <f>HYPERLINK("https://www.codechef.com/problems/PREFIXFLIP", "https://www.codechef.com/problems/PREFIXFLIP")</f>
        <v>https://www.codechef.com/problems/PREFIXFLIP</v>
      </c>
      <c r="K651" s="15"/>
      <c r="L651" s="15" t="s">
        <v>3437</v>
      </c>
      <c r="M651" s="15"/>
      <c r="N651" s="15" t="s">
        <v>50</v>
      </c>
      <c r="O651" s="15" t="s">
        <v>51</v>
      </c>
    </row>
    <row r="652" spans="1:15">
      <c r="A652" s="14" t="s">
        <v>11</v>
      </c>
      <c r="B652" s="14" t="s">
        <v>3145</v>
      </c>
      <c r="C652" s="14" t="s">
        <v>3146</v>
      </c>
      <c r="D652" s="14" t="s">
        <v>3291</v>
      </c>
      <c r="E652" s="14">
        <v>101</v>
      </c>
      <c r="F652" s="14" t="s">
        <v>1449</v>
      </c>
      <c r="G652" s="14" t="s">
        <v>1450</v>
      </c>
      <c r="H652" s="14" t="s">
        <v>1451</v>
      </c>
      <c r="I652" s="14" t="s">
        <v>96</v>
      </c>
      <c r="J652" s="11" t="str">
        <f>HYPERLINK("https://www.codechef.com/problems/MINNOTES", "https://www.codechef.com/problems/MINNOTES")</f>
        <v>https://www.codechef.com/problems/MINNOTES</v>
      </c>
      <c r="K652" s="14"/>
      <c r="L652" s="14" t="s">
        <v>1452</v>
      </c>
      <c r="M652" s="14"/>
      <c r="N652" s="14" t="s">
        <v>50</v>
      </c>
      <c r="O652" s="14" t="s">
        <v>51</v>
      </c>
    </row>
    <row r="653" spans="1:15">
      <c r="A653" s="15" t="s">
        <v>11</v>
      </c>
      <c r="B653" s="15" t="s">
        <v>3145</v>
      </c>
      <c r="C653" s="15" t="s">
        <v>3146</v>
      </c>
      <c r="D653" s="15" t="s">
        <v>3291</v>
      </c>
      <c r="E653" s="15">
        <v>102</v>
      </c>
      <c r="F653" s="15" t="s">
        <v>3438</v>
      </c>
      <c r="G653" s="15" t="s">
        <v>3439</v>
      </c>
      <c r="H653" s="15" t="s">
        <v>1451</v>
      </c>
      <c r="I653" s="15" t="s">
        <v>96</v>
      </c>
      <c r="J653" s="7" t="str">
        <f>HYPERLINK("https://www.codechef.com/problems/RACINGEN", "https://www.codechef.com/problems/RACINGEN")</f>
        <v>https://www.codechef.com/problems/RACINGEN</v>
      </c>
      <c r="K653" s="15"/>
      <c r="L653" s="15"/>
      <c r="M653" s="15"/>
      <c r="N653" s="15" t="s">
        <v>50</v>
      </c>
      <c r="O653" s="15" t="s">
        <v>51</v>
      </c>
    </row>
    <row r="654" spans="1:15">
      <c r="A654" s="14" t="s">
        <v>11</v>
      </c>
      <c r="B654" s="14" t="s">
        <v>3145</v>
      </c>
      <c r="C654" s="14" t="s">
        <v>3146</v>
      </c>
      <c r="D654" s="14" t="s">
        <v>3291</v>
      </c>
      <c r="E654" s="14">
        <v>103</v>
      </c>
      <c r="F654" s="14" t="s">
        <v>3440</v>
      </c>
      <c r="G654" s="14" t="s">
        <v>3441</v>
      </c>
      <c r="H654" s="14" t="s">
        <v>3442</v>
      </c>
      <c r="I654" s="14" t="s">
        <v>96</v>
      </c>
      <c r="J654" s="11" t="str">
        <f>HYPERLINK("https://www.codechef.com/problems/LEBAMBOO", "https://www.codechef.com/problems/LEBAMBOO")</f>
        <v>https://www.codechef.com/problems/LEBAMBOO</v>
      </c>
      <c r="K654" s="14"/>
      <c r="L654" s="14" t="s">
        <v>194</v>
      </c>
      <c r="M654" s="14"/>
      <c r="N654" s="14" t="s">
        <v>50</v>
      </c>
      <c r="O654" s="14" t="s">
        <v>51</v>
      </c>
    </row>
    <row r="655" spans="1:15">
      <c r="A655" s="15" t="s">
        <v>11</v>
      </c>
      <c r="B655" s="15" t="s">
        <v>3145</v>
      </c>
      <c r="C655" s="15" t="s">
        <v>3146</v>
      </c>
      <c r="D655" s="15" t="s">
        <v>3291</v>
      </c>
      <c r="E655" s="15">
        <v>104</v>
      </c>
      <c r="F655" s="15" t="s">
        <v>3443</v>
      </c>
      <c r="G655" s="15" t="s">
        <v>3444</v>
      </c>
      <c r="H655" s="15" t="s">
        <v>3445</v>
      </c>
      <c r="I655" s="15" t="s">
        <v>96</v>
      </c>
      <c r="J655" s="7" t="str">
        <f>HYPERLINK("https://www.codechef.com/problems/DISTELE", "https://www.codechef.com/problems/DISTELE")</f>
        <v>https://www.codechef.com/problems/DISTELE</v>
      </c>
      <c r="K655" s="15"/>
      <c r="L655" s="15" t="s">
        <v>3446</v>
      </c>
      <c r="M655" s="15"/>
      <c r="N655" s="15" t="s">
        <v>50</v>
      </c>
      <c r="O655" s="15" t="s">
        <v>51</v>
      </c>
    </row>
    <row r="656" spans="1:15">
      <c r="A656" s="14" t="s">
        <v>11</v>
      </c>
      <c r="B656" s="14" t="s">
        <v>3145</v>
      </c>
      <c r="C656" s="14" t="s">
        <v>3146</v>
      </c>
      <c r="D656" s="14" t="s">
        <v>3291</v>
      </c>
      <c r="E656" s="14">
        <v>105</v>
      </c>
      <c r="F656" s="14" t="s">
        <v>3447</v>
      </c>
      <c r="G656" s="14" t="s">
        <v>3448</v>
      </c>
      <c r="H656" s="14" t="s">
        <v>3449</v>
      </c>
      <c r="I656" s="14" t="s">
        <v>96</v>
      </c>
      <c r="J656" s="11" t="str">
        <f>HYPERLINK("https://www.codechef.com/problems/CHEFELEC", "https://www.codechef.com/problems/CHEFELEC")</f>
        <v>https://www.codechef.com/problems/CHEFELEC</v>
      </c>
      <c r="K656" s="14"/>
      <c r="L656" s="14" t="s">
        <v>3450</v>
      </c>
      <c r="M656" s="14"/>
      <c r="N656" s="14" t="s">
        <v>50</v>
      </c>
      <c r="O656" s="14" t="s">
        <v>51</v>
      </c>
    </row>
    <row r="657" spans="1:15">
      <c r="A657" s="15" t="s">
        <v>11</v>
      </c>
      <c r="B657" s="15" t="s">
        <v>3145</v>
      </c>
      <c r="C657" s="15" t="s">
        <v>3146</v>
      </c>
      <c r="D657" s="15" t="s">
        <v>3291</v>
      </c>
      <c r="E657" s="15">
        <v>106</v>
      </c>
      <c r="F657" s="15" t="s">
        <v>3451</v>
      </c>
      <c r="G657" s="15" t="s">
        <v>3452</v>
      </c>
      <c r="H657" s="15" t="s">
        <v>3453</v>
      </c>
      <c r="I657" s="15" t="s">
        <v>96</v>
      </c>
      <c r="J657" s="7" t="str">
        <f>HYPERLINK("https://www.codechef.com/problems/RECTCNT", "https://www.codechef.com/problems/RECTCNT")</f>
        <v>https://www.codechef.com/problems/RECTCNT</v>
      </c>
      <c r="K657" s="15"/>
      <c r="L657" s="15"/>
      <c r="M657" s="15"/>
      <c r="N657" s="15" t="s">
        <v>50</v>
      </c>
      <c r="O657" s="15" t="s">
        <v>51</v>
      </c>
    </row>
    <row r="658" spans="1:15">
      <c r="A658" s="14" t="s">
        <v>11</v>
      </c>
      <c r="B658" s="14" t="s">
        <v>3145</v>
      </c>
      <c r="C658" s="14" t="s">
        <v>3146</v>
      </c>
      <c r="D658" s="14" t="s">
        <v>3291</v>
      </c>
      <c r="E658" s="14">
        <v>107</v>
      </c>
      <c r="F658" s="14" t="s">
        <v>3454</v>
      </c>
      <c r="G658" s="14" t="s">
        <v>3455</v>
      </c>
      <c r="H658" s="14" t="s">
        <v>3456</v>
      </c>
      <c r="I658" s="14" t="s">
        <v>96</v>
      </c>
      <c r="J658" s="11" t="str">
        <f>HYPERLINK("https://www.codechef.com/problems/CAB", "https://www.codechef.com/problems/CAB")</f>
        <v>https://www.codechef.com/problems/CAB</v>
      </c>
      <c r="K658" s="14"/>
      <c r="L658" s="14" t="s">
        <v>3457</v>
      </c>
      <c r="M658" s="14"/>
      <c r="N658" s="14" t="s">
        <v>50</v>
      </c>
      <c r="O658" s="14" t="s">
        <v>51</v>
      </c>
    </row>
    <row r="659" spans="1:15">
      <c r="A659" s="15" t="s">
        <v>11</v>
      </c>
      <c r="B659" s="15" t="s">
        <v>3145</v>
      </c>
      <c r="C659" s="15" t="s">
        <v>3146</v>
      </c>
      <c r="D659" s="15" t="s">
        <v>3291</v>
      </c>
      <c r="E659" s="15">
        <v>108</v>
      </c>
      <c r="F659" s="15" t="s">
        <v>3458</v>
      </c>
      <c r="G659" s="15" t="s">
        <v>3459</v>
      </c>
      <c r="H659" s="15" t="s">
        <v>1478</v>
      </c>
      <c r="I659" s="15" t="s">
        <v>96</v>
      </c>
      <c r="J659" s="7" t="str">
        <f>HYPERLINK("https://www.codechef.com/problems/BRKNLIFE", "https://www.codechef.com/problems/BRKNLIFE")</f>
        <v>https://www.codechef.com/problems/BRKNLIFE</v>
      </c>
      <c r="K659" s="15"/>
      <c r="L659" s="15" t="s">
        <v>3460</v>
      </c>
      <c r="M659" s="15"/>
      <c r="N659" s="15" t="s">
        <v>50</v>
      </c>
      <c r="O659" s="15" t="s">
        <v>51</v>
      </c>
    </row>
    <row r="660" spans="1:15">
      <c r="A660" s="14" t="s">
        <v>11</v>
      </c>
      <c r="B660" s="14" t="s">
        <v>3145</v>
      </c>
      <c r="C660" s="14" t="s">
        <v>3146</v>
      </c>
      <c r="D660" s="14" t="s">
        <v>3291</v>
      </c>
      <c r="E660" s="14">
        <v>109</v>
      </c>
      <c r="F660" s="14" t="s">
        <v>1476</v>
      </c>
      <c r="G660" s="14" t="s">
        <v>1477</v>
      </c>
      <c r="H660" s="14" t="s">
        <v>1478</v>
      </c>
      <c r="I660" s="14" t="s">
        <v>96</v>
      </c>
      <c r="J660" s="11" t="str">
        <f>HYPERLINK("https://www.codechef.com/problems/SUMQ", "https://www.codechef.com/problems/SUMQ")</f>
        <v>https://www.codechef.com/problems/SUMQ</v>
      </c>
      <c r="K660" s="14"/>
      <c r="L660" s="14"/>
      <c r="M660" s="14"/>
      <c r="N660" s="14" t="s">
        <v>50</v>
      </c>
      <c r="O660" s="14" t="s">
        <v>51</v>
      </c>
    </row>
    <row r="661" spans="1:15">
      <c r="A661" s="15" t="s">
        <v>11</v>
      </c>
      <c r="B661" s="15" t="s">
        <v>3145</v>
      </c>
      <c r="C661" s="15" t="s">
        <v>3146</v>
      </c>
      <c r="D661" s="15" t="s">
        <v>3291</v>
      </c>
      <c r="E661" s="15">
        <v>110</v>
      </c>
      <c r="F661" s="15" t="s">
        <v>1689</v>
      </c>
      <c r="G661" s="15" t="s">
        <v>3461</v>
      </c>
      <c r="H661" s="15" t="s">
        <v>3462</v>
      </c>
      <c r="I661" s="15" t="s">
        <v>96</v>
      </c>
      <c r="J661" s="7" t="str">
        <f>HYPERLINK("https://www.codechef.com/problems/LUNCHTIM", "https://www.codechef.com/problems/LUNCHTIM")</f>
        <v>https://www.codechef.com/problems/LUNCHTIM</v>
      </c>
      <c r="K661" s="15"/>
      <c r="L661" s="15" t="s">
        <v>3463</v>
      </c>
      <c r="M661" s="15"/>
      <c r="N661" s="15" t="s">
        <v>50</v>
      </c>
      <c r="O661" s="15" t="s">
        <v>51</v>
      </c>
    </row>
    <row r="662" spans="1:15">
      <c r="A662" s="14" t="s">
        <v>11</v>
      </c>
      <c r="B662" s="14" t="s">
        <v>3145</v>
      </c>
      <c r="C662" s="14" t="s">
        <v>3146</v>
      </c>
      <c r="D662" s="14" t="s">
        <v>3291</v>
      </c>
      <c r="E662" s="14">
        <v>111</v>
      </c>
      <c r="F662" s="14" t="s">
        <v>3464</v>
      </c>
      <c r="G662" s="14" t="s">
        <v>3465</v>
      </c>
      <c r="H662" s="14" t="s">
        <v>3462</v>
      </c>
      <c r="I662" s="14" t="s">
        <v>96</v>
      </c>
      <c r="J662" s="11" t="str">
        <f>HYPERLINK("https://www.codechef.com/problems/PCJ18C", "https://www.codechef.com/problems/PCJ18C")</f>
        <v>https://www.codechef.com/problems/PCJ18C</v>
      </c>
      <c r="K662" s="14"/>
      <c r="L662" s="14" t="s">
        <v>3466</v>
      </c>
      <c r="M662" s="14"/>
      <c r="N662" s="14" t="s">
        <v>50</v>
      </c>
      <c r="O662" s="14" t="s">
        <v>51</v>
      </c>
    </row>
    <row r="663" spans="1:15">
      <c r="A663" s="15" t="s">
        <v>11</v>
      </c>
      <c r="B663" s="15" t="s">
        <v>3145</v>
      </c>
      <c r="C663" s="15" t="s">
        <v>3146</v>
      </c>
      <c r="D663" s="15" t="s">
        <v>3291</v>
      </c>
      <c r="E663" s="15">
        <v>112</v>
      </c>
      <c r="F663" s="15" t="s">
        <v>3467</v>
      </c>
      <c r="G663" s="15" t="s">
        <v>3468</v>
      </c>
      <c r="H663" s="15" t="s">
        <v>1463</v>
      </c>
      <c r="I663" s="15" t="s">
        <v>96</v>
      </c>
      <c r="J663" s="7" t="str">
        <f>HYPERLINK("https://www.codechef.com/problems/MONKS", "https://www.codechef.com/problems/MONKS")</f>
        <v>https://www.codechef.com/problems/MONKS</v>
      </c>
      <c r="K663" s="15"/>
      <c r="L663" s="15" t="s">
        <v>1043</v>
      </c>
      <c r="M663" s="15"/>
      <c r="N663" s="15" t="s">
        <v>50</v>
      </c>
      <c r="O663" s="15" t="s">
        <v>51</v>
      </c>
    </row>
    <row r="664" spans="1:15">
      <c r="A664" s="14" t="s">
        <v>11</v>
      </c>
      <c r="B664" s="14" t="s">
        <v>3145</v>
      </c>
      <c r="C664" s="14" t="s">
        <v>3146</v>
      </c>
      <c r="D664" s="14" t="s">
        <v>3291</v>
      </c>
      <c r="E664" s="14">
        <v>113</v>
      </c>
      <c r="F664" s="14" t="s">
        <v>3469</v>
      </c>
      <c r="G664" s="14" t="s">
        <v>3470</v>
      </c>
      <c r="H664" s="14" t="s">
        <v>1463</v>
      </c>
      <c r="I664" s="14" t="s">
        <v>96</v>
      </c>
      <c r="J664" s="11" t="str">
        <f>HYPERLINK("https://www.codechef.com/problems/PALPALS", "https://www.codechef.com/problems/PALPALS")</f>
        <v>https://www.codechef.com/problems/PALPALS</v>
      </c>
      <c r="K664" s="14"/>
      <c r="L664" s="14" t="s">
        <v>3047</v>
      </c>
      <c r="M664" s="14"/>
      <c r="N664" s="14" t="s">
        <v>50</v>
      </c>
      <c r="O664" s="14" t="s">
        <v>51</v>
      </c>
    </row>
    <row r="665" spans="1:15">
      <c r="A665" s="15" t="s">
        <v>11</v>
      </c>
      <c r="B665" s="15" t="s">
        <v>3145</v>
      </c>
      <c r="C665" s="15" t="s">
        <v>3146</v>
      </c>
      <c r="D665" s="15" t="s">
        <v>3291</v>
      </c>
      <c r="E665" s="15">
        <v>114</v>
      </c>
      <c r="F665" s="15" t="s">
        <v>1461</v>
      </c>
      <c r="G665" s="15" t="s">
        <v>1462</v>
      </c>
      <c r="H665" s="15" t="s">
        <v>1463</v>
      </c>
      <c r="I665" s="15" t="s">
        <v>96</v>
      </c>
      <c r="J665" s="7" t="str">
        <f>HYPERLINK("https://www.codechef.com/problems/BIN_OD", "https://www.codechef.com/problems/BIN_OD")</f>
        <v>https://www.codechef.com/problems/BIN_OD</v>
      </c>
      <c r="K665" s="15"/>
      <c r="L665" s="15" t="s">
        <v>1464</v>
      </c>
      <c r="M665" s="15"/>
      <c r="N665" s="15" t="s">
        <v>50</v>
      </c>
      <c r="O665" s="15" t="s">
        <v>51</v>
      </c>
    </row>
    <row r="666" spans="1:15">
      <c r="A666" s="14" t="s">
        <v>11</v>
      </c>
      <c r="B666" s="14" t="s">
        <v>3145</v>
      </c>
      <c r="C666" s="14" t="s">
        <v>3146</v>
      </c>
      <c r="D666" s="14" t="s">
        <v>3291</v>
      </c>
      <c r="E666" s="14">
        <v>115</v>
      </c>
      <c r="F666" s="14" t="s">
        <v>3471</v>
      </c>
      <c r="G666" s="14" t="s">
        <v>3472</v>
      </c>
      <c r="H666" s="14" t="s">
        <v>3473</v>
      </c>
      <c r="I666" s="14" t="s">
        <v>96</v>
      </c>
      <c r="J666" s="11" t="str">
        <f>HYPERLINK("https://www.codechef.com/problems/KCON", "https://www.codechef.com/problems/KCON")</f>
        <v>https://www.codechef.com/problems/KCON</v>
      </c>
      <c r="K666" s="14"/>
      <c r="L666" s="14"/>
      <c r="M666" s="14"/>
      <c r="N666" s="14" t="s">
        <v>50</v>
      </c>
      <c r="O666" s="14" t="s">
        <v>51</v>
      </c>
    </row>
    <row r="667" spans="1:15">
      <c r="A667" s="15" t="s">
        <v>11</v>
      </c>
      <c r="B667" s="15" t="s">
        <v>3145</v>
      </c>
      <c r="C667" s="15" t="s">
        <v>3146</v>
      </c>
      <c r="D667" s="15" t="s">
        <v>3291</v>
      </c>
      <c r="E667" s="15">
        <v>116</v>
      </c>
      <c r="F667" s="15" t="s">
        <v>3474</v>
      </c>
      <c r="G667" s="15" t="s">
        <v>3475</v>
      </c>
      <c r="H667" s="15" t="s">
        <v>3473</v>
      </c>
      <c r="I667" s="15" t="s">
        <v>96</v>
      </c>
      <c r="J667" s="7" t="str">
        <f>HYPERLINK("https://www.codechef.com/problems/CAPIMOVE", "https://www.codechef.com/problems/CAPIMOVE")</f>
        <v>https://www.codechef.com/problems/CAPIMOVE</v>
      </c>
      <c r="K667" s="15"/>
      <c r="L667" s="15" t="s">
        <v>511</v>
      </c>
      <c r="M667" s="15"/>
      <c r="N667" s="15" t="s">
        <v>50</v>
      </c>
      <c r="O667" s="15" t="s">
        <v>51</v>
      </c>
    </row>
    <row r="668" spans="1:15">
      <c r="A668" s="14" t="s">
        <v>11</v>
      </c>
      <c r="B668" s="14" t="s">
        <v>3145</v>
      </c>
      <c r="C668" s="14" t="s">
        <v>3146</v>
      </c>
      <c r="D668" s="14" t="s">
        <v>3291</v>
      </c>
      <c r="E668" s="14">
        <v>117</v>
      </c>
      <c r="F668" s="14" t="s">
        <v>3476</v>
      </c>
      <c r="G668" s="14" t="s">
        <v>3477</v>
      </c>
      <c r="H668" s="14" t="s">
        <v>1071</v>
      </c>
      <c r="I668" s="14" t="s">
        <v>96</v>
      </c>
      <c r="J668" s="11" t="str">
        <f>HYPERLINK("https://www.codechef.com/problems/ZEROONE", "https://www.codechef.com/problems/ZEROONE")</f>
        <v>https://www.codechef.com/problems/ZEROONE</v>
      </c>
      <c r="K668" s="14"/>
      <c r="L668" s="14"/>
      <c r="M668" s="14"/>
      <c r="N668" s="14" t="s">
        <v>50</v>
      </c>
      <c r="O668" s="14" t="s">
        <v>51</v>
      </c>
    </row>
    <row r="669" spans="1:15">
      <c r="A669" s="15" t="s">
        <v>11</v>
      </c>
      <c r="B669" s="15" t="s">
        <v>3145</v>
      </c>
      <c r="C669" s="15" t="s">
        <v>3146</v>
      </c>
      <c r="D669" s="15" t="s">
        <v>3291</v>
      </c>
      <c r="E669" s="15">
        <v>118</v>
      </c>
      <c r="F669" s="15" t="s">
        <v>3478</v>
      </c>
      <c r="G669" s="15" t="s">
        <v>3479</v>
      </c>
      <c r="H669" s="15" t="s">
        <v>1071</v>
      </c>
      <c r="I669" s="15" t="s">
        <v>96</v>
      </c>
      <c r="J669" s="7" t="str">
        <f>HYPERLINK("https://www.codechef.com/problems/SET302", "https://www.codechef.com/problems/SET302")</f>
        <v>https://www.codechef.com/problems/SET302</v>
      </c>
      <c r="K669" s="15"/>
      <c r="L669" s="15"/>
      <c r="M669" s="15"/>
      <c r="N669" s="15" t="s">
        <v>50</v>
      </c>
      <c r="O669" s="15" t="s">
        <v>51</v>
      </c>
    </row>
    <row r="670" spans="1:15">
      <c r="A670" s="14" t="s">
        <v>11</v>
      </c>
      <c r="B670" s="14" t="s">
        <v>3145</v>
      </c>
      <c r="C670" s="14" t="s">
        <v>3146</v>
      </c>
      <c r="D670" s="14" t="s">
        <v>3291</v>
      </c>
      <c r="E670" s="14">
        <v>119</v>
      </c>
      <c r="F670" s="14" t="s">
        <v>1458</v>
      </c>
      <c r="G670" s="14" t="s">
        <v>1459</v>
      </c>
      <c r="H670" s="14" t="s">
        <v>706</v>
      </c>
      <c r="I670" s="14" t="s">
        <v>96</v>
      </c>
      <c r="J670" s="11" t="str">
        <f>HYPERLINK("https://www.codechef.com/problems/KLXOR", "https://www.codechef.com/problems/KLXOR")</f>
        <v>https://www.codechef.com/problems/KLXOR</v>
      </c>
      <c r="K670" s="14"/>
      <c r="L670" s="14" t="s">
        <v>1460</v>
      </c>
      <c r="M670" s="14"/>
      <c r="N670" s="14" t="s">
        <v>50</v>
      </c>
      <c r="O670" s="14" t="s">
        <v>51</v>
      </c>
    </row>
    <row r="671" spans="1:15">
      <c r="A671" s="15" t="s">
        <v>11</v>
      </c>
      <c r="B671" s="15" t="s">
        <v>3145</v>
      </c>
      <c r="C671" s="15" t="s">
        <v>3146</v>
      </c>
      <c r="D671" s="15" t="s">
        <v>3291</v>
      </c>
      <c r="E671" s="15">
        <v>120</v>
      </c>
      <c r="F671" s="15" t="s">
        <v>3480</v>
      </c>
      <c r="G671" s="15" t="s">
        <v>3481</v>
      </c>
      <c r="H671" s="15" t="s">
        <v>3482</v>
      </c>
      <c r="I671" s="15" t="s">
        <v>96</v>
      </c>
      <c r="J671" s="7" t="str">
        <f>HYPERLINK("https://www.codechef.com/problems/ARTBALAN", "https://www.codechef.com/problems/ARTBALAN")</f>
        <v>https://www.codechef.com/problems/ARTBALAN</v>
      </c>
      <c r="K671" s="15"/>
      <c r="L671" s="15" t="s">
        <v>3483</v>
      </c>
      <c r="M671" s="15"/>
      <c r="N671" s="15" t="s">
        <v>50</v>
      </c>
      <c r="O671" s="15" t="s">
        <v>51</v>
      </c>
    </row>
    <row r="672" spans="1:15">
      <c r="A672" s="14" t="s">
        <v>11</v>
      </c>
      <c r="B672" s="14" t="s">
        <v>3145</v>
      </c>
      <c r="C672" s="14" t="s">
        <v>3146</v>
      </c>
      <c r="D672" s="14" t="s">
        <v>3291</v>
      </c>
      <c r="E672" s="14">
        <v>121</v>
      </c>
      <c r="F672" s="14" t="s">
        <v>3484</v>
      </c>
      <c r="G672" s="14" t="s">
        <v>3485</v>
      </c>
      <c r="H672" s="14" t="s">
        <v>3486</v>
      </c>
      <c r="I672" s="14" t="s">
        <v>96</v>
      </c>
      <c r="J672" s="11" t="str">
        <f>HYPERLINK("https://www.codechef.com/problems/ABX01", "https://www.codechef.com/problems/ABX01")</f>
        <v>https://www.codechef.com/problems/ABX01</v>
      </c>
      <c r="K672" s="14"/>
      <c r="L672" s="14" t="s">
        <v>3487</v>
      </c>
      <c r="M672" s="14"/>
      <c r="N672" s="14" t="s">
        <v>50</v>
      </c>
      <c r="O672" s="14" t="s">
        <v>51</v>
      </c>
    </row>
    <row r="673" spans="1:15">
      <c r="A673" s="15" t="s">
        <v>11</v>
      </c>
      <c r="B673" s="15" t="s">
        <v>3145</v>
      </c>
      <c r="C673" s="15" t="s">
        <v>3146</v>
      </c>
      <c r="D673" s="15" t="s">
        <v>3291</v>
      </c>
      <c r="E673" s="15">
        <v>122</v>
      </c>
      <c r="F673" s="15" t="s">
        <v>3488</v>
      </c>
      <c r="G673" s="15" t="s">
        <v>3489</v>
      </c>
      <c r="H673" s="15" t="s">
        <v>3490</v>
      </c>
      <c r="I673" s="15" t="s">
        <v>96</v>
      </c>
      <c r="J673" s="7" t="str">
        <f>HYPERLINK("https://www.codechef.com/problems/PREZ", "https://www.codechef.com/problems/PREZ")</f>
        <v>https://www.codechef.com/problems/PREZ</v>
      </c>
      <c r="K673" s="15"/>
      <c r="L673" s="15" t="s">
        <v>140</v>
      </c>
      <c r="M673" s="15"/>
      <c r="N673" s="15" t="s">
        <v>50</v>
      </c>
      <c r="O673" s="15" t="s">
        <v>51</v>
      </c>
    </row>
    <row r="674" spans="1:15">
      <c r="A674" s="14" t="s">
        <v>11</v>
      </c>
      <c r="B674" s="14" t="s">
        <v>3145</v>
      </c>
      <c r="C674" s="14" t="s">
        <v>3146</v>
      </c>
      <c r="D674" s="14" t="s">
        <v>3291</v>
      </c>
      <c r="E674" s="14">
        <v>123</v>
      </c>
      <c r="F674" s="14" t="s">
        <v>3491</v>
      </c>
      <c r="G674" s="14" t="s">
        <v>3492</v>
      </c>
      <c r="H674" s="14" t="s">
        <v>3490</v>
      </c>
      <c r="I674" s="14" t="s">
        <v>96</v>
      </c>
      <c r="J674" s="11" t="str">
        <f>HYPERLINK("https://www.codechef.com/problems/CHEFHAM", "https://www.codechef.com/problems/CHEFHAM")</f>
        <v>https://www.codechef.com/problems/CHEFHAM</v>
      </c>
      <c r="K674" s="14"/>
      <c r="L674" s="14" t="s">
        <v>3493</v>
      </c>
      <c r="M674" s="14"/>
      <c r="N674" s="14" t="s">
        <v>50</v>
      </c>
      <c r="O674" s="14" t="s">
        <v>51</v>
      </c>
    </row>
    <row r="675" spans="1:15">
      <c r="A675" s="15" t="s">
        <v>11</v>
      </c>
      <c r="B675" s="15" t="s">
        <v>3145</v>
      </c>
      <c r="C675" s="15" t="s">
        <v>3146</v>
      </c>
      <c r="D675" s="15" t="s">
        <v>3291</v>
      </c>
      <c r="E675" s="15">
        <v>124</v>
      </c>
      <c r="F675" s="15" t="s">
        <v>3494</v>
      </c>
      <c r="G675" s="15" t="s">
        <v>3495</v>
      </c>
      <c r="H675" s="15" t="s">
        <v>692</v>
      </c>
      <c r="I675" s="15" t="s">
        <v>96</v>
      </c>
      <c r="J675" s="7" t="str">
        <f>HYPERLINK("https://www.codechef.com/problems/SVRT", "https://www.codechef.com/problems/SVRT")</f>
        <v>https://www.codechef.com/problems/SVRT</v>
      </c>
      <c r="K675" s="15"/>
      <c r="L675" s="15"/>
      <c r="M675" s="15"/>
      <c r="N675" s="15" t="s">
        <v>50</v>
      </c>
      <c r="O675" s="15" t="s">
        <v>51</v>
      </c>
    </row>
    <row r="676" spans="1:15">
      <c r="A676" s="14" t="s">
        <v>11</v>
      </c>
      <c r="B676" s="14" t="s">
        <v>3145</v>
      </c>
      <c r="C676" s="14" t="s">
        <v>3146</v>
      </c>
      <c r="D676" s="14" t="s">
        <v>3291</v>
      </c>
      <c r="E676" s="14">
        <v>125</v>
      </c>
      <c r="F676" s="14" t="s">
        <v>3496</v>
      </c>
      <c r="G676" s="14" t="s">
        <v>3497</v>
      </c>
      <c r="H676" s="14" t="s">
        <v>3498</v>
      </c>
      <c r="I676" s="14" t="s">
        <v>96</v>
      </c>
      <c r="J676" s="11" t="str">
        <f>HYPERLINK("https://www.codechef.com/problems/STR_REVERSE", "https://www.codechef.com/problems/STR_REVERSE")</f>
        <v>https://www.codechef.com/problems/STR_REVERSE</v>
      </c>
      <c r="K676" s="14"/>
      <c r="L676" s="14"/>
      <c r="M676" s="14"/>
      <c r="N676" s="14" t="s">
        <v>50</v>
      </c>
      <c r="O676" s="14" t="s">
        <v>51</v>
      </c>
    </row>
    <row r="677" spans="1:15">
      <c r="A677" s="15" t="s">
        <v>11</v>
      </c>
      <c r="B677" s="15" t="s">
        <v>3145</v>
      </c>
      <c r="C677" s="15" t="s">
        <v>3146</v>
      </c>
      <c r="D677" s="15" t="s">
        <v>3291</v>
      </c>
      <c r="E677" s="15">
        <v>126</v>
      </c>
      <c r="F677" s="15" t="s">
        <v>3499</v>
      </c>
      <c r="G677" s="15" t="s">
        <v>3500</v>
      </c>
      <c r="H677" s="15" t="s">
        <v>3501</v>
      </c>
      <c r="I677" s="15" t="s">
        <v>96</v>
      </c>
      <c r="J677" s="7" t="str">
        <f>HYPERLINK("https://www.codechef.com/problems/TAAPLUSB", "https://www.codechef.com/problems/TAAPLUSB")</f>
        <v>https://www.codechef.com/problems/TAAPLUSB</v>
      </c>
      <c r="K677" s="15"/>
      <c r="L677" s="15"/>
      <c r="M677" s="15"/>
      <c r="N677" s="15" t="s">
        <v>50</v>
      </c>
      <c r="O677" s="15" t="s">
        <v>51</v>
      </c>
    </row>
    <row r="678" spans="1:15">
      <c r="A678" s="14" t="s">
        <v>11</v>
      </c>
      <c r="B678" s="14" t="s">
        <v>3145</v>
      </c>
      <c r="C678" s="14" t="s">
        <v>3146</v>
      </c>
      <c r="D678" s="14" t="s">
        <v>3291</v>
      </c>
      <c r="E678" s="14">
        <v>127</v>
      </c>
      <c r="F678" s="14" t="s">
        <v>3502</v>
      </c>
      <c r="G678" s="14" t="s">
        <v>3503</v>
      </c>
      <c r="H678" s="14" t="s">
        <v>3501</v>
      </c>
      <c r="I678" s="14" t="s">
        <v>96</v>
      </c>
      <c r="J678" s="11" t="str">
        <f>HYPERLINK("https://www.codechef.com/problems/BWALL", "https://www.codechef.com/problems/BWALL")</f>
        <v>https://www.codechef.com/problems/BWALL</v>
      </c>
      <c r="K678" s="14"/>
      <c r="L678" s="14" t="s">
        <v>3504</v>
      </c>
      <c r="M678" s="14"/>
      <c r="N678" s="14" t="s">
        <v>50</v>
      </c>
      <c r="O678" s="14" t="s">
        <v>51</v>
      </c>
    </row>
    <row r="679" spans="1:15">
      <c r="A679" s="15" t="s">
        <v>11</v>
      </c>
      <c r="B679" s="15" t="s">
        <v>3145</v>
      </c>
      <c r="C679" s="15" t="s">
        <v>3146</v>
      </c>
      <c r="D679" s="15" t="s">
        <v>3291</v>
      </c>
      <c r="E679" s="15">
        <v>128</v>
      </c>
      <c r="F679" s="15" t="s">
        <v>3505</v>
      </c>
      <c r="G679" s="15" t="s">
        <v>3506</v>
      </c>
      <c r="H679" s="15" t="s">
        <v>3507</v>
      </c>
      <c r="I679" s="15" t="s">
        <v>96</v>
      </c>
      <c r="J679" s="7" t="str">
        <f>HYPERLINK("https://www.codechef.com/problems/DIGITOP", "https://www.codechef.com/problems/DIGITOP")</f>
        <v>https://www.codechef.com/problems/DIGITOP</v>
      </c>
      <c r="K679" s="15"/>
      <c r="L679" s="15" t="s">
        <v>3508</v>
      </c>
      <c r="M679" s="15"/>
      <c r="N679" s="15" t="s">
        <v>50</v>
      </c>
      <c r="O679" s="15" t="s">
        <v>51</v>
      </c>
    </row>
    <row r="680" spans="1:15">
      <c r="A680" s="14" t="s">
        <v>11</v>
      </c>
      <c r="B680" s="14" t="s">
        <v>3509</v>
      </c>
      <c r="C680" s="14" t="s">
        <v>3510</v>
      </c>
      <c r="D680" s="14" t="s">
        <v>3511</v>
      </c>
      <c r="E680" s="14">
        <v>1</v>
      </c>
      <c r="F680" s="14" t="s">
        <v>3512</v>
      </c>
      <c r="G680" s="14" t="s">
        <v>3513</v>
      </c>
      <c r="H680" s="14" t="s">
        <v>361</v>
      </c>
      <c r="I680" s="14" t="s">
        <v>96</v>
      </c>
      <c r="J680" s="11" t="str">
        <f>HYPERLINK("https://www.codechef.com/problems/BTAR", "https://www.codechef.com/problems/BTAR")</f>
        <v>https://www.codechef.com/problems/BTAR</v>
      </c>
      <c r="K680" s="14"/>
      <c r="L680" s="14" t="s">
        <v>2401</v>
      </c>
      <c r="M680" s="14"/>
      <c r="N680" s="14" t="s">
        <v>50</v>
      </c>
      <c r="O680" s="14" t="s">
        <v>51</v>
      </c>
    </row>
    <row r="681" spans="1:15">
      <c r="A681" s="15" t="s">
        <v>11</v>
      </c>
      <c r="B681" s="15" t="s">
        <v>3509</v>
      </c>
      <c r="C681" s="15" t="s">
        <v>3510</v>
      </c>
      <c r="D681" s="15" t="s">
        <v>3511</v>
      </c>
      <c r="E681" s="15">
        <v>2</v>
      </c>
      <c r="F681" s="15" t="s">
        <v>3514</v>
      </c>
      <c r="G681" s="15" t="s">
        <v>3515</v>
      </c>
      <c r="H681" s="15" t="s">
        <v>3516</v>
      </c>
      <c r="I681" s="15" t="s">
        <v>96</v>
      </c>
      <c r="J681" s="7" t="str">
        <f>HYPERLINK("https://www.codechef.com/problems/MAGNETSORT", "https://www.codechef.com/problems/MAGNETSORT")</f>
        <v>https://www.codechef.com/problems/MAGNETSORT</v>
      </c>
      <c r="K681" s="15"/>
      <c r="L681" s="15" t="s">
        <v>3517</v>
      </c>
      <c r="M681" s="15"/>
      <c r="N681" s="15" t="s">
        <v>50</v>
      </c>
      <c r="O681" s="15" t="s">
        <v>51</v>
      </c>
    </row>
    <row r="682" spans="1:15">
      <c r="A682" s="14" t="s">
        <v>11</v>
      </c>
      <c r="B682" s="14" t="s">
        <v>3509</v>
      </c>
      <c r="C682" s="14" t="s">
        <v>3510</v>
      </c>
      <c r="D682" s="14" t="s">
        <v>3511</v>
      </c>
      <c r="E682" s="14">
        <v>3</v>
      </c>
      <c r="F682" s="14" t="s">
        <v>3518</v>
      </c>
      <c r="G682" s="14" t="s">
        <v>3519</v>
      </c>
      <c r="H682" s="14" t="s">
        <v>3516</v>
      </c>
      <c r="I682" s="14" t="s">
        <v>96</v>
      </c>
      <c r="J682" s="11" t="str">
        <f>HYPERLINK("https://www.codechef.com/problems/S07E09", "https://www.codechef.com/problems/S07E09")</f>
        <v>https://www.codechef.com/problems/S07E09</v>
      </c>
      <c r="K682" s="14"/>
      <c r="L682" s="14"/>
      <c r="M682" s="14"/>
      <c r="N682" s="14" t="s">
        <v>50</v>
      </c>
      <c r="O682" s="14" t="s">
        <v>51</v>
      </c>
    </row>
    <row r="683" spans="1:15">
      <c r="A683" s="15" t="s">
        <v>11</v>
      </c>
      <c r="B683" s="15" t="s">
        <v>3509</v>
      </c>
      <c r="C683" s="15" t="s">
        <v>3510</v>
      </c>
      <c r="D683" s="15" t="s">
        <v>3511</v>
      </c>
      <c r="E683" s="15">
        <v>4</v>
      </c>
      <c r="F683" s="15" t="s">
        <v>3520</v>
      </c>
      <c r="G683" s="15" t="s">
        <v>3521</v>
      </c>
      <c r="H683" s="15" t="s">
        <v>3522</v>
      </c>
      <c r="I683" s="15" t="s">
        <v>96</v>
      </c>
      <c r="J683" s="7" t="str">
        <f>HYPERLINK("https://www.codechef.com/problems/SEGDIV", "https://www.codechef.com/problems/SEGDIV")</f>
        <v>https://www.codechef.com/problems/SEGDIV</v>
      </c>
      <c r="K683" s="15"/>
      <c r="L683" s="15"/>
      <c r="M683" s="15"/>
      <c r="N683" s="15" t="s">
        <v>50</v>
      </c>
      <c r="O683" s="15" t="s">
        <v>51</v>
      </c>
    </row>
    <row r="684" spans="1:15">
      <c r="A684" s="14" t="s">
        <v>11</v>
      </c>
      <c r="B684" s="14" t="s">
        <v>3509</v>
      </c>
      <c r="C684" s="14" t="s">
        <v>3510</v>
      </c>
      <c r="D684" s="14" t="s">
        <v>3511</v>
      </c>
      <c r="E684" s="14">
        <v>5</v>
      </c>
      <c r="F684" s="14" t="s">
        <v>3523</v>
      </c>
      <c r="G684" s="14" t="s">
        <v>3524</v>
      </c>
      <c r="H684" s="14" t="s">
        <v>3525</v>
      </c>
      <c r="I684" s="14" t="s">
        <v>96</v>
      </c>
      <c r="J684" s="11" t="str">
        <f>HYPERLINK("https://www.codechef.com/problems/PEPPERON", "https://www.codechef.com/problems/PEPPERON")</f>
        <v>https://www.codechef.com/problems/PEPPERON</v>
      </c>
      <c r="K684" s="14"/>
      <c r="L684" s="14" t="s">
        <v>2181</v>
      </c>
      <c r="M684" s="14"/>
      <c r="N684" s="14" t="s">
        <v>50</v>
      </c>
      <c r="O684" s="14" t="s">
        <v>51</v>
      </c>
    </row>
    <row r="685" spans="1:15">
      <c r="A685" s="15" t="s">
        <v>11</v>
      </c>
      <c r="B685" s="15" t="s">
        <v>3509</v>
      </c>
      <c r="C685" s="15" t="s">
        <v>3510</v>
      </c>
      <c r="D685" s="15" t="s">
        <v>3511</v>
      </c>
      <c r="E685" s="15">
        <v>6</v>
      </c>
      <c r="F685" s="15" t="s">
        <v>3526</v>
      </c>
      <c r="G685" s="15" t="s">
        <v>3527</v>
      </c>
      <c r="H685" s="15" t="s">
        <v>3525</v>
      </c>
      <c r="I685" s="15" t="s">
        <v>96</v>
      </c>
      <c r="J685" s="7" t="str">
        <f>HYPERLINK("https://www.codechef.com/problems/ICL1901", "https://www.codechef.com/problems/ICL1901")</f>
        <v>https://www.codechef.com/problems/ICL1901</v>
      </c>
      <c r="K685" s="15"/>
      <c r="L685" s="15" t="s">
        <v>2344</v>
      </c>
      <c r="M685" s="15"/>
      <c r="N685" s="15" t="s">
        <v>50</v>
      </c>
      <c r="O685" s="15" t="s">
        <v>51</v>
      </c>
    </row>
    <row r="686" spans="1:15">
      <c r="A686" s="14" t="s">
        <v>11</v>
      </c>
      <c r="B686" s="14" t="s">
        <v>3509</v>
      </c>
      <c r="C686" s="14" t="s">
        <v>3510</v>
      </c>
      <c r="D686" s="14" t="s">
        <v>3511</v>
      </c>
      <c r="E686" s="14">
        <v>7</v>
      </c>
      <c r="F686" s="14" t="s">
        <v>3528</v>
      </c>
      <c r="G686" s="14" t="s">
        <v>3529</v>
      </c>
      <c r="H686" s="14" t="s">
        <v>3530</v>
      </c>
      <c r="I686" s="14" t="s">
        <v>96</v>
      </c>
      <c r="J686" s="11" t="str">
        <f>HYPERLINK("https://www.codechef.com/problems/JOKRBTMN", "https://www.codechef.com/problems/JOKRBTMN")</f>
        <v>https://www.codechef.com/problems/JOKRBTMN</v>
      </c>
      <c r="K686" s="14"/>
      <c r="L686" s="14" t="s">
        <v>1701</v>
      </c>
      <c r="M686" s="14"/>
      <c r="N686" s="14" t="s">
        <v>50</v>
      </c>
      <c r="O686" s="14" t="s">
        <v>51</v>
      </c>
    </row>
    <row r="687" spans="1:15">
      <c r="A687" s="15" t="s">
        <v>11</v>
      </c>
      <c r="B687" s="15" t="s">
        <v>3509</v>
      </c>
      <c r="C687" s="15" t="s">
        <v>3510</v>
      </c>
      <c r="D687" s="15" t="s">
        <v>3511</v>
      </c>
      <c r="E687" s="15">
        <v>8</v>
      </c>
      <c r="F687" s="15" t="s">
        <v>3531</v>
      </c>
      <c r="G687" s="15" t="s">
        <v>3532</v>
      </c>
      <c r="H687" s="15" t="s">
        <v>3533</v>
      </c>
      <c r="I687" s="15" t="s">
        <v>96</v>
      </c>
      <c r="J687" s="7" t="str">
        <f>HYPERLINK("https://www.codechef.com/problems/KAVGMAT", "https://www.codechef.com/problems/KAVGMAT")</f>
        <v>https://www.codechef.com/problems/KAVGMAT</v>
      </c>
      <c r="K687" s="15"/>
      <c r="L687" s="15" t="s">
        <v>3534</v>
      </c>
      <c r="M687" s="15"/>
      <c r="N687" s="15" t="s">
        <v>50</v>
      </c>
      <c r="O687" s="15" t="s">
        <v>51</v>
      </c>
    </row>
    <row r="688" spans="1:15">
      <c r="A688" s="14" t="s">
        <v>11</v>
      </c>
      <c r="B688" s="14" t="s">
        <v>3509</v>
      </c>
      <c r="C688" s="14" t="s">
        <v>3510</v>
      </c>
      <c r="D688" s="14" t="s">
        <v>3511</v>
      </c>
      <c r="E688" s="14">
        <v>9</v>
      </c>
      <c r="F688" s="14" t="s">
        <v>3535</v>
      </c>
      <c r="G688" s="14" t="s">
        <v>3536</v>
      </c>
      <c r="H688" s="14" t="s">
        <v>3533</v>
      </c>
      <c r="I688" s="14" t="s">
        <v>96</v>
      </c>
      <c r="J688" s="11" t="str">
        <f>HYPERLINK("https://www.codechef.com/problems/EANDO", "https://www.codechef.com/problems/EANDO")</f>
        <v>https://www.codechef.com/problems/EANDO</v>
      </c>
      <c r="K688" s="14"/>
      <c r="L688" s="14" t="s">
        <v>3537</v>
      </c>
      <c r="M688" s="14"/>
      <c r="N688" s="14" t="s">
        <v>50</v>
      </c>
      <c r="O688" s="14" t="s">
        <v>51</v>
      </c>
    </row>
    <row r="689" spans="1:15">
      <c r="A689" s="15" t="s">
        <v>11</v>
      </c>
      <c r="B689" s="15" t="s">
        <v>3509</v>
      </c>
      <c r="C689" s="15" t="s">
        <v>3510</v>
      </c>
      <c r="D689" s="15" t="s">
        <v>3511</v>
      </c>
      <c r="E689" s="15">
        <v>10</v>
      </c>
      <c r="F689" s="15" t="s">
        <v>3538</v>
      </c>
      <c r="G689" s="15" t="s">
        <v>3539</v>
      </c>
      <c r="H689" s="15" t="s">
        <v>3540</v>
      </c>
      <c r="I689" s="15" t="s">
        <v>96</v>
      </c>
      <c r="J689" s="7" t="str">
        <f>HYPERLINK("https://www.codechef.com/problems/ARRT", "https://www.codechef.com/problems/ARRT")</f>
        <v>https://www.codechef.com/problems/ARRT</v>
      </c>
      <c r="K689" s="15"/>
      <c r="L689" s="15" t="s">
        <v>2681</v>
      </c>
      <c r="M689" s="15"/>
      <c r="N689" s="15" t="s">
        <v>50</v>
      </c>
      <c r="O689" s="15" t="s">
        <v>51</v>
      </c>
    </row>
    <row r="690" spans="1:15">
      <c r="A690" s="14" t="s">
        <v>11</v>
      </c>
      <c r="B690" s="14" t="s">
        <v>3509</v>
      </c>
      <c r="C690" s="14" t="s">
        <v>3510</v>
      </c>
      <c r="D690" s="14" t="s">
        <v>3511</v>
      </c>
      <c r="E690" s="14">
        <v>11</v>
      </c>
      <c r="F690" s="14" t="s">
        <v>3541</v>
      </c>
      <c r="G690" s="14" t="s">
        <v>3542</v>
      </c>
      <c r="H690" s="14" t="s">
        <v>3543</v>
      </c>
      <c r="I690" s="14" t="s">
        <v>96</v>
      </c>
      <c r="J690" s="11" t="str">
        <f>HYPERLINK("https://www.codechef.com/problems/CLFIBD", "https://www.codechef.com/problems/CLFIBD")</f>
        <v>https://www.codechef.com/problems/CLFIBD</v>
      </c>
      <c r="K690" s="14"/>
      <c r="L690" s="14" t="s">
        <v>3544</v>
      </c>
      <c r="M690" s="14"/>
      <c r="N690" s="14" t="s">
        <v>50</v>
      </c>
      <c r="O690" s="14" t="s">
        <v>51</v>
      </c>
    </row>
    <row r="691" spans="1:15">
      <c r="A691" s="15" t="s">
        <v>11</v>
      </c>
      <c r="B691" s="15" t="s">
        <v>3509</v>
      </c>
      <c r="C691" s="15" t="s">
        <v>3510</v>
      </c>
      <c r="D691" s="15" t="s">
        <v>3511</v>
      </c>
      <c r="E691" s="15">
        <v>12</v>
      </c>
      <c r="F691" s="15" t="s">
        <v>3545</v>
      </c>
      <c r="G691" s="15" t="s">
        <v>3546</v>
      </c>
      <c r="H691" s="15" t="s">
        <v>3547</v>
      </c>
      <c r="I691" s="15" t="s">
        <v>96</v>
      </c>
      <c r="J691" s="7" t="str">
        <f>HYPERLINK("https://www.codechef.com/problems/OROFAND", "https://www.codechef.com/problems/OROFAND")</f>
        <v>https://www.codechef.com/problems/OROFAND</v>
      </c>
      <c r="K691" s="15"/>
      <c r="L691" s="15" t="s">
        <v>3548</v>
      </c>
      <c r="M691" s="15"/>
      <c r="N691" s="15" t="s">
        <v>50</v>
      </c>
      <c r="O691" s="15" t="s">
        <v>51</v>
      </c>
    </row>
    <row r="692" spans="1:15">
      <c r="A692" s="14" t="s">
        <v>11</v>
      </c>
      <c r="B692" s="14" t="s">
        <v>3509</v>
      </c>
      <c r="C692" s="14" t="s">
        <v>3510</v>
      </c>
      <c r="D692" s="14" t="s">
        <v>3511</v>
      </c>
      <c r="E692" s="14">
        <v>13</v>
      </c>
      <c r="F692" s="14" t="s">
        <v>3549</v>
      </c>
      <c r="G692" s="14" t="s">
        <v>3550</v>
      </c>
      <c r="H692" s="14" t="s">
        <v>728</v>
      </c>
      <c r="I692" s="14" t="s">
        <v>96</v>
      </c>
      <c r="J692" s="11" t="str">
        <f>HYPERLINK("https://www.codechef.com/problems/GOODPERM", "https://www.codechef.com/problems/GOODPERM")</f>
        <v>https://www.codechef.com/problems/GOODPERM</v>
      </c>
      <c r="K692" s="14"/>
      <c r="L692" s="14" t="s">
        <v>2181</v>
      </c>
      <c r="M692" s="14"/>
      <c r="N692" s="14" t="s">
        <v>50</v>
      </c>
      <c r="O692" s="14" t="s">
        <v>51</v>
      </c>
    </row>
    <row r="693" spans="1:15">
      <c r="A693" s="15" t="s">
        <v>11</v>
      </c>
      <c r="B693" s="15" t="s">
        <v>3509</v>
      </c>
      <c r="C693" s="15" t="s">
        <v>3510</v>
      </c>
      <c r="D693" s="15" t="s">
        <v>3511</v>
      </c>
      <c r="E693" s="15">
        <v>14</v>
      </c>
      <c r="F693" s="15" t="s">
        <v>3551</v>
      </c>
      <c r="G693" s="15" t="s">
        <v>3552</v>
      </c>
      <c r="H693" s="15" t="s">
        <v>3553</v>
      </c>
      <c r="I693" s="15" t="s">
        <v>96</v>
      </c>
      <c r="J693" s="7" t="str">
        <f>HYPERLINK("https://www.codechef.com/problems/ADJXOR2", "https://www.codechef.com/problems/ADJXOR2")</f>
        <v>https://www.codechef.com/problems/ADJXOR2</v>
      </c>
      <c r="K693" s="15"/>
      <c r="L693" s="15" t="s">
        <v>3554</v>
      </c>
      <c r="M693" s="15"/>
      <c r="N693" s="15" t="s">
        <v>50</v>
      </c>
      <c r="O693" s="15" t="s">
        <v>51</v>
      </c>
    </row>
    <row r="694" spans="1:15">
      <c r="A694" s="14" t="s">
        <v>11</v>
      </c>
      <c r="B694" s="14" t="s">
        <v>3509</v>
      </c>
      <c r="C694" s="14" t="s">
        <v>3510</v>
      </c>
      <c r="D694" s="14" t="s">
        <v>3511</v>
      </c>
      <c r="E694" s="14">
        <v>15</v>
      </c>
      <c r="F694" s="14" t="s">
        <v>1473</v>
      </c>
      <c r="G694" s="14" t="s">
        <v>1474</v>
      </c>
      <c r="H694" s="14" t="s">
        <v>1475</v>
      </c>
      <c r="I694" s="14" t="s">
        <v>96</v>
      </c>
      <c r="J694" s="11" t="str">
        <f>HYPERLINK("https://www.codechef.com/problems/MINVOTE", "https://www.codechef.com/problems/MINVOTE")</f>
        <v>https://www.codechef.com/problems/MINVOTE</v>
      </c>
      <c r="K694" s="14"/>
      <c r="L694" s="14"/>
      <c r="M694" s="14"/>
      <c r="N694" s="14" t="s">
        <v>50</v>
      </c>
      <c r="O694" s="14" t="s">
        <v>51</v>
      </c>
    </row>
    <row r="695" spans="1:15">
      <c r="A695" s="15" t="s">
        <v>11</v>
      </c>
      <c r="B695" s="15" t="s">
        <v>3509</v>
      </c>
      <c r="C695" s="15" t="s">
        <v>3510</v>
      </c>
      <c r="D695" s="15" t="s">
        <v>3511</v>
      </c>
      <c r="E695" s="15">
        <v>16</v>
      </c>
      <c r="F695" s="15" t="s">
        <v>3555</v>
      </c>
      <c r="G695" s="15" t="s">
        <v>3556</v>
      </c>
      <c r="H695" s="15" t="s">
        <v>3557</v>
      </c>
      <c r="I695" s="15" t="s">
        <v>96</v>
      </c>
      <c r="J695" s="7" t="str">
        <f>HYPERLINK("https://www.codechef.com/problems/BLIMP", "https://www.codechef.com/problems/BLIMP")</f>
        <v>https://www.codechef.com/problems/BLIMP</v>
      </c>
      <c r="K695" s="15"/>
      <c r="L695" s="15" t="s">
        <v>202</v>
      </c>
      <c r="M695" s="15"/>
      <c r="N695" s="15" t="s">
        <v>50</v>
      </c>
      <c r="O695" s="15" t="s">
        <v>51</v>
      </c>
    </row>
    <row r="696" spans="1:15">
      <c r="A696" s="14" t="s">
        <v>11</v>
      </c>
      <c r="B696" s="14" t="s">
        <v>3509</v>
      </c>
      <c r="C696" s="14" t="s">
        <v>3510</v>
      </c>
      <c r="D696" s="14" t="s">
        <v>3511</v>
      </c>
      <c r="E696" s="14">
        <v>17</v>
      </c>
      <c r="F696" s="14" t="s">
        <v>3558</v>
      </c>
      <c r="G696" s="14" t="s">
        <v>3559</v>
      </c>
      <c r="H696" s="14" t="s">
        <v>3557</v>
      </c>
      <c r="I696" s="14" t="s">
        <v>96</v>
      </c>
      <c r="J696" s="11" t="str">
        <f>HYPERLINK("https://www.codechef.com/problems/NOKIA", "https://www.codechef.com/problems/NOKIA")</f>
        <v>https://www.codechef.com/problems/NOKIA</v>
      </c>
      <c r="K696" s="14"/>
      <c r="L696" s="14" t="s">
        <v>3560</v>
      </c>
      <c r="M696" s="14"/>
      <c r="N696" s="14" t="s">
        <v>50</v>
      </c>
      <c r="O696" s="14" t="s">
        <v>51</v>
      </c>
    </row>
    <row r="697" spans="1:15">
      <c r="A697" s="15" t="s">
        <v>11</v>
      </c>
      <c r="B697" s="15" t="s">
        <v>3509</v>
      </c>
      <c r="C697" s="15" t="s">
        <v>3510</v>
      </c>
      <c r="D697" s="15" t="s">
        <v>3511</v>
      </c>
      <c r="E697" s="15">
        <v>18</v>
      </c>
      <c r="F697" s="15" t="s">
        <v>3561</v>
      </c>
      <c r="G697" s="15" t="s">
        <v>3562</v>
      </c>
      <c r="H697" s="15" t="s">
        <v>3563</v>
      </c>
      <c r="I697" s="15" t="s">
        <v>96</v>
      </c>
      <c r="J697" s="7" t="str">
        <f>HYPERLINK("https://www.codechef.com/problems/AFLIP", "https://www.codechef.com/problems/AFLIP")</f>
        <v>https://www.codechef.com/problems/AFLIP</v>
      </c>
      <c r="K697" s="15"/>
      <c r="L697" s="15" t="s">
        <v>3564</v>
      </c>
      <c r="M697" s="15"/>
      <c r="N697" s="15" t="s">
        <v>50</v>
      </c>
      <c r="O697" s="15" t="s">
        <v>51</v>
      </c>
    </row>
    <row r="698" spans="1:15">
      <c r="A698" s="14" t="s">
        <v>11</v>
      </c>
      <c r="B698" s="14" t="s">
        <v>3509</v>
      </c>
      <c r="C698" s="14" t="s">
        <v>3510</v>
      </c>
      <c r="D698" s="14" t="s">
        <v>3511</v>
      </c>
      <c r="E698" s="14">
        <v>19</v>
      </c>
      <c r="F698" s="14" t="s">
        <v>3565</v>
      </c>
      <c r="G698" s="14" t="s">
        <v>3566</v>
      </c>
      <c r="H698" s="14" t="s">
        <v>3567</v>
      </c>
      <c r="I698" s="14" t="s">
        <v>96</v>
      </c>
      <c r="J698" s="11" t="str">
        <f>HYPERLINK("https://www.codechef.com/problems/MINABS", "https://www.codechef.com/problems/MINABS")</f>
        <v>https://www.codechef.com/problems/MINABS</v>
      </c>
      <c r="K698" s="14"/>
      <c r="L698" s="14" t="s">
        <v>3568</v>
      </c>
      <c r="M698" s="14"/>
      <c r="N698" s="14" t="s">
        <v>50</v>
      </c>
      <c r="O698" s="14" t="s">
        <v>51</v>
      </c>
    </row>
    <row r="699" spans="1:15">
      <c r="A699" s="15" t="s">
        <v>11</v>
      </c>
      <c r="B699" s="15" t="s">
        <v>3509</v>
      </c>
      <c r="C699" s="15" t="s">
        <v>3510</v>
      </c>
      <c r="D699" s="15" t="s">
        <v>3511</v>
      </c>
      <c r="E699" s="15">
        <v>20</v>
      </c>
      <c r="F699" s="15" t="s">
        <v>3569</v>
      </c>
      <c r="G699" s="15" t="s">
        <v>3570</v>
      </c>
      <c r="H699" s="15" t="s">
        <v>3567</v>
      </c>
      <c r="I699" s="15" t="s">
        <v>96</v>
      </c>
      <c r="J699" s="7" t="str">
        <f>HYPERLINK("https://www.codechef.com/problems/BINMIS", "https://www.codechef.com/problems/BINMIS")</f>
        <v>https://www.codechef.com/problems/BINMIS</v>
      </c>
      <c r="K699" s="15"/>
      <c r="L699" s="15" t="s">
        <v>3571</v>
      </c>
      <c r="M699" s="15"/>
      <c r="N699" s="15" t="s">
        <v>50</v>
      </c>
      <c r="O699" s="15" t="s">
        <v>51</v>
      </c>
    </row>
    <row r="700" spans="1:15">
      <c r="A700" s="14" t="s">
        <v>11</v>
      </c>
      <c r="B700" s="14" t="s">
        <v>3509</v>
      </c>
      <c r="C700" s="14" t="s">
        <v>3510</v>
      </c>
      <c r="D700" s="14" t="s">
        <v>3511</v>
      </c>
      <c r="E700" s="14">
        <v>21</v>
      </c>
      <c r="F700" s="14" t="s">
        <v>3572</v>
      </c>
      <c r="G700" s="14" t="s">
        <v>3573</v>
      </c>
      <c r="H700" s="14" t="s">
        <v>3574</v>
      </c>
      <c r="I700" s="14" t="s">
        <v>96</v>
      </c>
      <c r="J700" s="11" t="str">
        <f>HYPERLINK("https://www.codechef.com/problems/FINDABC", "https://www.codechef.com/problems/FINDABC")</f>
        <v>https://www.codechef.com/problems/FINDABC</v>
      </c>
      <c r="K700" s="14"/>
      <c r="L700" s="14" t="s">
        <v>3575</v>
      </c>
      <c r="M700" s="14"/>
      <c r="N700" s="14" t="s">
        <v>50</v>
      </c>
      <c r="O700" s="14" t="s">
        <v>51</v>
      </c>
    </row>
    <row r="701" spans="1:15">
      <c r="A701" s="15" t="s">
        <v>11</v>
      </c>
      <c r="B701" s="15" t="s">
        <v>3509</v>
      </c>
      <c r="C701" s="15" t="s">
        <v>3510</v>
      </c>
      <c r="D701" s="15" t="s">
        <v>3511</v>
      </c>
      <c r="E701" s="15">
        <v>22</v>
      </c>
      <c r="F701" s="15" t="s">
        <v>3576</v>
      </c>
      <c r="G701" s="15" t="s">
        <v>3577</v>
      </c>
      <c r="H701" s="15" t="s">
        <v>3578</v>
      </c>
      <c r="I701" s="15" t="s">
        <v>96</v>
      </c>
      <c r="J701" s="7" t="str">
        <f>HYPERLINK("https://www.codechef.com/problems/XORPROD", "https://www.codechef.com/problems/XORPROD")</f>
        <v>https://www.codechef.com/problems/XORPROD</v>
      </c>
      <c r="K701" s="15"/>
      <c r="L701" s="15"/>
      <c r="M701" s="15"/>
      <c r="N701" s="15" t="s">
        <v>50</v>
      </c>
      <c r="O701" s="15" t="s">
        <v>51</v>
      </c>
    </row>
    <row r="702" spans="1:15">
      <c r="A702" s="14" t="s">
        <v>11</v>
      </c>
      <c r="B702" s="14" t="s">
        <v>3509</v>
      </c>
      <c r="C702" s="14" t="s">
        <v>3510</v>
      </c>
      <c r="D702" s="14" t="s">
        <v>3511</v>
      </c>
      <c r="E702" s="14">
        <v>23</v>
      </c>
      <c r="F702" s="14" t="s">
        <v>3579</v>
      </c>
      <c r="G702" s="14" t="s">
        <v>3580</v>
      </c>
      <c r="H702" s="14" t="s">
        <v>3581</v>
      </c>
      <c r="I702" s="14" t="s">
        <v>96</v>
      </c>
      <c r="J702" s="11" t="str">
        <f>HYPERLINK("https://www.codechef.com/problems/CHEFRRUN", "https://www.codechef.com/problems/CHEFRRUN")</f>
        <v>https://www.codechef.com/problems/CHEFRRUN</v>
      </c>
      <c r="K702" s="14"/>
      <c r="L702" s="14" t="s">
        <v>3582</v>
      </c>
      <c r="M702" s="14"/>
      <c r="N702" s="14" t="s">
        <v>50</v>
      </c>
      <c r="O702" s="14" t="s">
        <v>51</v>
      </c>
    </row>
    <row r="703" spans="1:15">
      <c r="A703" s="15" t="s">
        <v>11</v>
      </c>
      <c r="B703" s="15" t="s">
        <v>3509</v>
      </c>
      <c r="C703" s="15" t="s">
        <v>3510</v>
      </c>
      <c r="D703" s="15" t="s">
        <v>3511</v>
      </c>
      <c r="E703" s="15">
        <v>24</v>
      </c>
      <c r="F703" s="15" t="s">
        <v>3583</v>
      </c>
      <c r="G703" s="15" t="s">
        <v>3584</v>
      </c>
      <c r="H703" s="15" t="s">
        <v>3585</v>
      </c>
      <c r="I703" s="15" t="s">
        <v>96</v>
      </c>
      <c r="J703" s="7" t="str">
        <f>HYPERLINK("https://www.codechef.com/problems/EQLIS", "https://www.codechef.com/problems/EQLIS")</f>
        <v>https://www.codechef.com/problems/EQLIS</v>
      </c>
      <c r="K703" s="15"/>
      <c r="L703" s="15" t="s">
        <v>3586</v>
      </c>
      <c r="M703" s="15"/>
      <c r="N703" s="15" t="s">
        <v>50</v>
      </c>
      <c r="O703" s="15" t="s">
        <v>51</v>
      </c>
    </row>
    <row r="704" spans="1:15">
      <c r="A704" s="14" t="s">
        <v>11</v>
      </c>
      <c r="B704" s="14" t="s">
        <v>3509</v>
      </c>
      <c r="C704" s="14" t="s">
        <v>3510</v>
      </c>
      <c r="D704" s="14" t="s">
        <v>3511</v>
      </c>
      <c r="E704" s="14">
        <v>25</v>
      </c>
      <c r="F704" s="14" t="s">
        <v>3587</v>
      </c>
      <c r="G704" s="14" t="s">
        <v>3588</v>
      </c>
      <c r="H704" s="14" t="s">
        <v>3585</v>
      </c>
      <c r="I704" s="14" t="s">
        <v>96</v>
      </c>
      <c r="J704" s="11" t="str">
        <f>HYPERLINK("https://www.codechef.com/problems/DIVREC", "https://www.codechef.com/problems/DIVREC")</f>
        <v>https://www.codechef.com/problems/DIVREC</v>
      </c>
      <c r="K704" s="14"/>
      <c r="L704" s="14" t="s">
        <v>194</v>
      </c>
      <c r="M704" s="14"/>
      <c r="N704" s="14" t="s">
        <v>50</v>
      </c>
      <c r="O704" s="14" t="s">
        <v>51</v>
      </c>
    </row>
    <row r="705" spans="1:15">
      <c r="A705" s="15" t="s">
        <v>11</v>
      </c>
      <c r="B705" s="15" t="s">
        <v>3509</v>
      </c>
      <c r="C705" s="15" t="s">
        <v>3510</v>
      </c>
      <c r="D705" s="15" t="s">
        <v>3511</v>
      </c>
      <c r="E705" s="15">
        <v>26</v>
      </c>
      <c r="F705" s="15" t="s">
        <v>3589</v>
      </c>
      <c r="G705" s="15" t="s">
        <v>3590</v>
      </c>
      <c r="H705" s="15" t="s">
        <v>3591</v>
      </c>
      <c r="I705" s="15" t="s">
        <v>96</v>
      </c>
      <c r="J705" s="7" t="str">
        <f>HYPERLINK("https://www.codechef.com/problems/RRATING", "https://www.codechef.com/problems/RRATING")</f>
        <v>https://www.codechef.com/problems/RRATING</v>
      </c>
      <c r="K705" s="15"/>
      <c r="L705" s="15"/>
      <c r="M705" s="15"/>
      <c r="N705" s="15" t="s">
        <v>50</v>
      </c>
      <c r="O705" s="15" t="s">
        <v>51</v>
      </c>
    </row>
    <row r="706" spans="1:15">
      <c r="A706" s="14" t="s">
        <v>11</v>
      </c>
      <c r="B706" s="14" t="s">
        <v>3509</v>
      </c>
      <c r="C706" s="14" t="s">
        <v>3510</v>
      </c>
      <c r="D706" s="14" t="s">
        <v>3511</v>
      </c>
      <c r="E706" s="14">
        <v>27</v>
      </c>
      <c r="F706" s="14" t="s">
        <v>3592</v>
      </c>
      <c r="G706" s="14" t="s">
        <v>3593</v>
      </c>
      <c r="H706" s="14" t="s">
        <v>3594</v>
      </c>
      <c r="I706" s="14" t="s">
        <v>96</v>
      </c>
      <c r="J706" s="11" t="str">
        <f>HYPERLINK("https://www.codechef.com/problems/COLGLF4", "https://www.codechef.com/problems/COLGLF4")</f>
        <v>https://www.codechef.com/problems/COLGLF4</v>
      </c>
      <c r="K706" s="14"/>
      <c r="L706" s="14" t="s">
        <v>3595</v>
      </c>
      <c r="M706" s="14"/>
      <c r="N706" s="14" t="s">
        <v>50</v>
      </c>
      <c r="O706" s="14" t="s">
        <v>51</v>
      </c>
    </row>
    <row r="707" spans="1:15">
      <c r="A707" s="15" t="s">
        <v>11</v>
      </c>
      <c r="B707" s="15" t="s">
        <v>3509</v>
      </c>
      <c r="C707" s="15" t="s">
        <v>3510</v>
      </c>
      <c r="D707" s="15" t="s">
        <v>3511</v>
      </c>
      <c r="E707" s="15">
        <v>28</v>
      </c>
      <c r="F707" s="15" t="s">
        <v>3596</v>
      </c>
      <c r="G707" s="15" t="s">
        <v>3597</v>
      </c>
      <c r="H707" s="15" t="s">
        <v>3598</v>
      </c>
      <c r="I707" s="15" t="s">
        <v>96</v>
      </c>
      <c r="J707" s="7" t="str">
        <f>HYPERLINK("https://www.codechef.com/problems/PYTHAGORAS", "https://www.codechef.com/problems/PYTHAGORAS")</f>
        <v>https://www.codechef.com/problems/PYTHAGORAS</v>
      </c>
      <c r="K707" s="15"/>
      <c r="L707" s="15" t="s">
        <v>202</v>
      </c>
      <c r="M707" s="15"/>
      <c r="N707" s="15" t="s">
        <v>50</v>
      </c>
      <c r="O707" s="15" t="s">
        <v>51</v>
      </c>
    </row>
    <row r="708" spans="1:15">
      <c r="A708" s="14" t="s">
        <v>11</v>
      </c>
      <c r="B708" s="14" t="s">
        <v>3509</v>
      </c>
      <c r="C708" s="14" t="s">
        <v>3510</v>
      </c>
      <c r="D708" s="14" t="s">
        <v>3511</v>
      </c>
      <c r="E708" s="14">
        <v>29</v>
      </c>
      <c r="F708" s="14" t="s">
        <v>3599</v>
      </c>
      <c r="G708" s="14" t="s">
        <v>3600</v>
      </c>
      <c r="H708" s="14" t="s">
        <v>3598</v>
      </c>
      <c r="I708" s="14" t="s">
        <v>96</v>
      </c>
      <c r="J708" s="11" t="str">
        <f>HYPERLINK("https://www.codechef.com/problems/MINDSUM", "https://www.codechef.com/problems/MINDSUM")</f>
        <v>https://www.codechef.com/problems/MINDSUM</v>
      </c>
      <c r="K708" s="14"/>
      <c r="L708" s="14"/>
      <c r="M708" s="14"/>
      <c r="N708" s="14" t="s">
        <v>50</v>
      </c>
      <c r="O708" s="14" t="s">
        <v>51</v>
      </c>
    </row>
    <row r="709" spans="1:15">
      <c r="A709" s="15" t="s">
        <v>11</v>
      </c>
      <c r="B709" s="15" t="s">
        <v>3509</v>
      </c>
      <c r="C709" s="15" t="s">
        <v>3510</v>
      </c>
      <c r="D709" s="15" t="s">
        <v>3511</v>
      </c>
      <c r="E709" s="15">
        <v>30</v>
      </c>
      <c r="F709" s="15" t="s">
        <v>3601</v>
      </c>
      <c r="G709" s="15" t="s">
        <v>3602</v>
      </c>
      <c r="H709" s="15" t="s">
        <v>3603</v>
      </c>
      <c r="I709" s="15" t="s">
        <v>96</v>
      </c>
      <c r="J709" s="7" t="str">
        <f>HYPERLINK("https://www.codechef.com/problems/MATXOR", "https://www.codechef.com/problems/MATXOR")</f>
        <v>https://www.codechef.com/problems/MATXOR</v>
      </c>
      <c r="K709" s="15"/>
      <c r="L709" s="15" t="s">
        <v>3604</v>
      </c>
      <c r="M709" s="15"/>
      <c r="N709" s="15" t="s">
        <v>50</v>
      </c>
      <c r="O709" s="15" t="s">
        <v>51</v>
      </c>
    </row>
    <row r="710" spans="1:15">
      <c r="A710" s="14" t="s">
        <v>11</v>
      </c>
      <c r="B710" s="14" t="s">
        <v>3509</v>
      </c>
      <c r="C710" s="14" t="s">
        <v>3510</v>
      </c>
      <c r="D710" s="14" t="s">
        <v>3511</v>
      </c>
      <c r="E710" s="14">
        <v>31</v>
      </c>
      <c r="F710" s="14" t="s">
        <v>3605</v>
      </c>
      <c r="G710" s="14" t="s">
        <v>3606</v>
      </c>
      <c r="H710" s="14" t="s">
        <v>3607</v>
      </c>
      <c r="I710" s="14" t="s">
        <v>96</v>
      </c>
      <c r="J710" s="11" t="str">
        <f>HYPERLINK("https://www.codechef.com/problems/BININV", "https://www.codechef.com/problems/BININV")</f>
        <v>https://www.codechef.com/problems/BININV</v>
      </c>
      <c r="K710" s="14"/>
      <c r="L710" s="14" t="s">
        <v>2522</v>
      </c>
      <c r="M710" s="14"/>
      <c r="N710" s="14" t="s">
        <v>50</v>
      </c>
      <c r="O710" s="14" t="s">
        <v>51</v>
      </c>
    </row>
    <row r="711" spans="1:15">
      <c r="A711" s="15" t="s">
        <v>11</v>
      </c>
      <c r="B711" s="15" t="s">
        <v>3509</v>
      </c>
      <c r="C711" s="15" t="s">
        <v>3510</v>
      </c>
      <c r="D711" s="15" t="s">
        <v>3511</v>
      </c>
      <c r="E711" s="15">
        <v>32</v>
      </c>
      <c r="F711" s="15" t="s">
        <v>677</v>
      </c>
      <c r="G711" s="15" t="s">
        <v>678</v>
      </c>
      <c r="H711" s="15" t="s">
        <v>679</v>
      </c>
      <c r="I711" s="15" t="s">
        <v>96</v>
      </c>
      <c r="J711" s="7" t="str">
        <f>HYPERLINK("https://www.codechef.com/problems/TRIPLETMIN", "https://www.codechef.com/problems/TRIPLETMIN")</f>
        <v>https://www.codechef.com/problems/TRIPLETMIN</v>
      </c>
      <c r="K711" s="15"/>
      <c r="L711" s="15"/>
      <c r="M711" s="15"/>
      <c r="N711" s="15" t="s">
        <v>50</v>
      </c>
      <c r="O711" s="15" t="s">
        <v>51</v>
      </c>
    </row>
    <row r="712" spans="1:15">
      <c r="A712" s="14" t="s">
        <v>11</v>
      </c>
      <c r="B712" s="14" t="s">
        <v>3509</v>
      </c>
      <c r="C712" s="14" t="s">
        <v>3510</v>
      </c>
      <c r="D712" s="14" t="s">
        <v>3511</v>
      </c>
      <c r="E712" s="14">
        <v>33</v>
      </c>
      <c r="F712" s="14" t="s">
        <v>3608</v>
      </c>
      <c r="G712" s="14" t="s">
        <v>3609</v>
      </c>
      <c r="H712" s="14" t="s">
        <v>3610</v>
      </c>
      <c r="I712" s="14" t="s">
        <v>96</v>
      </c>
      <c r="J712" s="11" t="str">
        <f>HYPERLINK("https://www.codechef.com/problems/SWAPNUM31", "https://www.codechef.com/problems/SWAPNUM31")</f>
        <v>https://www.codechef.com/problems/SWAPNUM31</v>
      </c>
      <c r="K712" s="14"/>
      <c r="L712" s="14"/>
      <c r="M712" s="14"/>
      <c r="N712" s="14" t="s">
        <v>50</v>
      </c>
      <c r="O712" s="14" t="s">
        <v>51</v>
      </c>
    </row>
    <row r="713" spans="1:15">
      <c r="A713" s="15" t="s">
        <v>11</v>
      </c>
      <c r="B713" s="15" t="s">
        <v>3509</v>
      </c>
      <c r="C713" s="15" t="s">
        <v>3510</v>
      </c>
      <c r="D713" s="15" t="s">
        <v>3511</v>
      </c>
      <c r="E713" s="15">
        <v>34</v>
      </c>
      <c r="F713" s="15" t="s">
        <v>3611</v>
      </c>
      <c r="G713" s="15" t="s">
        <v>3612</v>
      </c>
      <c r="H713" s="15" t="s">
        <v>3613</v>
      </c>
      <c r="I713" s="15" t="s">
        <v>96</v>
      </c>
      <c r="J713" s="7" t="str">
        <f>HYPERLINK("https://www.codechef.com/problems/ATAT", "https://www.codechef.com/problems/ATAT")</f>
        <v>https://www.codechef.com/problems/ATAT</v>
      </c>
      <c r="K713" s="15"/>
      <c r="L713" s="15" t="s">
        <v>3256</v>
      </c>
      <c r="M713" s="15"/>
      <c r="N713" s="15" t="s">
        <v>50</v>
      </c>
      <c r="O713" s="15" t="s">
        <v>51</v>
      </c>
    </row>
    <row r="714" spans="1:15">
      <c r="A714" s="14" t="s">
        <v>11</v>
      </c>
      <c r="B714" s="14" t="s">
        <v>3509</v>
      </c>
      <c r="C714" s="14" t="s">
        <v>3510</v>
      </c>
      <c r="D714" s="14" t="s">
        <v>3511</v>
      </c>
      <c r="E714" s="14">
        <v>35</v>
      </c>
      <c r="F714" s="14" t="s">
        <v>3614</v>
      </c>
      <c r="G714" s="14" t="s">
        <v>3615</v>
      </c>
      <c r="H714" s="14" t="s">
        <v>3616</v>
      </c>
      <c r="I714" s="14" t="s">
        <v>96</v>
      </c>
      <c r="J714" s="11" t="str">
        <f>HYPERLINK("https://www.codechef.com/problems/MAXSUMPERM", "https://www.codechef.com/problems/MAXSUMPERM")</f>
        <v>https://www.codechef.com/problems/MAXSUMPERM</v>
      </c>
      <c r="K714" s="14"/>
      <c r="L714" s="14" t="s">
        <v>3617</v>
      </c>
      <c r="M714" s="14"/>
      <c r="N714" s="14" t="s">
        <v>50</v>
      </c>
      <c r="O714" s="14" t="s">
        <v>51</v>
      </c>
    </row>
    <row r="715" spans="1:15">
      <c r="A715" s="15" t="s">
        <v>11</v>
      </c>
      <c r="B715" s="15" t="s">
        <v>3509</v>
      </c>
      <c r="C715" s="15" t="s">
        <v>3510</v>
      </c>
      <c r="D715" s="15" t="s">
        <v>3511</v>
      </c>
      <c r="E715" s="15">
        <v>36</v>
      </c>
      <c r="F715" s="15" t="s">
        <v>3618</v>
      </c>
      <c r="G715" s="15" t="s">
        <v>3619</v>
      </c>
      <c r="H715" s="15" t="s">
        <v>3616</v>
      </c>
      <c r="I715" s="15" t="s">
        <v>96</v>
      </c>
      <c r="J715" s="7" t="str">
        <f>HYPERLINK("https://www.codechef.com/problems/EQUALHAMMING", "https://www.codechef.com/problems/EQUALHAMMING")</f>
        <v>https://www.codechef.com/problems/EQUALHAMMING</v>
      </c>
      <c r="K715" s="15"/>
      <c r="L715" s="15" t="s">
        <v>3172</v>
      </c>
      <c r="M715" s="15"/>
      <c r="N715" s="15" t="s">
        <v>50</v>
      </c>
      <c r="O715" s="15" t="s">
        <v>51</v>
      </c>
    </row>
    <row r="716" spans="1:15">
      <c r="A716" s="14" t="s">
        <v>11</v>
      </c>
      <c r="B716" s="14" t="s">
        <v>3509</v>
      </c>
      <c r="C716" s="14" t="s">
        <v>3510</v>
      </c>
      <c r="D716" s="14" t="s">
        <v>3511</v>
      </c>
      <c r="E716" s="14">
        <v>37</v>
      </c>
      <c r="F716" s="14" t="s">
        <v>3620</v>
      </c>
      <c r="G716" s="14" t="s">
        <v>3621</v>
      </c>
      <c r="H716" s="14" t="s">
        <v>3622</v>
      </c>
      <c r="I716" s="14" t="s">
        <v>96</v>
      </c>
      <c r="J716" s="11" t="str">
        <f>HYPERLINK("https://www.codechef.com/problems/PERMEX", "https://www.codechef.com/problems/PERMEX")</f>
        <v>https://www.codechef.com/problems/PERMEX</v>
      </c>
      <c r="K716" s="14"/>
      <c r="L716" s="14" t="s">
        <v>2833</v>
      </c>
      <c r="M716" s="14"/>
      <c r="N716" s="14" t="s">
        <v>50</v>
      </c>
      <c r="O716" s="14" t="s">
        <v>51</v>
      </c>
    </row>
    <row r="717" spans="1:15">
      <c r="A717" s="15" t="s">
        <v>11</v>
      </c>
      <c r="B717" s="15" t="s">
        <v>3509</v>
      </c>
      <c r="C717" s="15" t="s">
        <v>3510</v>
      </c>
      <c r="D717" s="15" t="s">
        <v>3511</v>
      </c>
      <c r="E717" s="15">
        <v>38</v>
      </c>
      <c r="F717" s="15" t="s">
        <v>3623</v>
      </c>
      <c r="G717" s="15" t="s">
        <v>3624</v>
      </c>
      <c r="H717" s="15" t="s">
        <v>3625</v>
      </c>
      <c r="I717" s="15" t="s">
        <v>96</v>
      </c>
      <c r="J717" s="7" t="str">
        <f>HYPERLINK("https://www.codechef.com/problems/ALT", "https://www.codechef.com/problems/ALT")</f>
        <v>https://www.codechef.com/problems/ALT</v>
      </c>
      <c r="K717" s="15"/>
      <c r="L717" s="15" t="s">
        <v>3626</v>
      </c>
      <c r="M717" s="15"/>
      <c r="N717" s="15" t="s">
        <v>50</v>
      </c>
      <c r="O717" s="15" t="s">
        <v>51</v>
      </c>
    </row>
    <row r="718" spans="1:15">
      <c r="A718" s="14" t="s">
        <v>11</v>
      </c>
      <c r="B718" s="14" t="s">
        <v>3509</v>
      </c>
      <c r="C718" s="14" t="s">
        <v>3510</v>
      </c>
      <c r="D718" s="14" t="s">
        <v>3511</v>
      </c>
      <c r="E718" s="14">
        <v>39</v>
      </c>
      <c r="F718" s="14" t="s">
        <v>3627</v>
      </c>
      <c r="G718" s="14" t="s">
        <v>3628</v>
      </c>
      <c r="H718" s="14" t="s">
        <v>3629</v>
      </c>
      <c r="I718" s="14" t="s">
        <v>96</v>
      </c>
      <c r="J718" s="11" t="str">
        <f>HYPERLINK("https://www.codechef.com/problems/DUMBLEDORE", "https://www.codechef.com/problems/DUMBLEDORE")</f>
        <v>https://www.codechef.com/problems/DUMBLEDORE</v>
      </c>
      <c r="K718" s="14"/>
      <c r="L718" s="14" t="s">
        <v>3630</v>
      </c>
      <c r="M718" s="14"/>
      <c r="N718" s="14" t="s">
        <v>50</v>
      </c>
      <c r="O718" s="14" t="s">
        <v>51</v>
      </c>
    </row>
    <row r="719" spans="1:15">
      <c r="A719" s="15" t="s">
        <v>11</v>
      </c>
      <c r="B719" s="15" t="s">
        <v>3509</v>
      </c>
      <c r="C719" s="15" t="s">
        <v>3510</v>
      </c>
      <c r="D719" s="15" t="s">
        <v>3511</v>
      </c>
      <c r="E719" s="15">
        <v>40</v>
      </c>
      <c r="F719" s="15" t="s">
        <v>3631</v>
      </c>
      <c r="G719" s="15" t="s">
        <v>3632</v>
      </c>
      <c r="H719" s="15" t="s">
        <v>3633</v>
      </c>
      <c r="I719" s="15" t="s">
        <v>96</v>
      </c>
      <c r="J719" s="7" t="str">
        <f>HYPERLINK("https://www.codechef.com/problems/ARRFILL", "https://www.codechef.com/problems/ARRFILL")</f>
        <v>https://www.codechef.com/problems/ARRFILL</v>
      </c>
      <c r="K719" s="15"/>
      <c r="L719" s="15" t="s">
        <v>3209</v>
      </c>
      <c r="M719" s="15"/>
      <c r="N719" s="15" t="s">
        <v>50</v>
      </c>
      <c r="O719" s="15" t="s">
        <v>51</v>
      </c>
    </row>
    <row r="720" spans="1:15">
      <c r="A720" s="14" t="s">
        <v>11</v>
      </c>
      <c r="B720" s="14" t="s">
        <v>3509</v>
      </c>
      <c r="C720" s="14" t="s">
        <v>3510</v>
      </c>
      <c r="D720" s="14" t="s">
        <v>3511</v>
      </c>
      <c r="E720" s="14">
        <v>41</v>
      </c>
      <c r="F720" s="14" t="s">
        <v>3634</v>
      </c>
      <c r="G720" s="14" t="s">
        <v>3635</v>
      </c>
      <c r="H720" s="14" t="s">
        <v>3636</v>
      </c>
      <c r="I720" s="14" t="s">
        <v>96</v>
      </c>
      <c r="J720" s="11" t="str">
        <f>HYPERLINK("https://www.codechef.com/problems/JS", "https://www.codechef.com/problems/JS")</f>
        <v>https://www.codechef.com/problems/JS</v>
      </c>
      <c r="K720" s="14"/>
      <c r="L720" s="14" t="s">
        <v>2138</v>
      </c>
      <c r="M720" s="14"/>
      <c r="N720" s="14" t="s">
        <v>50</v>
      </c>
      <c r="O720" s="14" t="s">
        <v>51</v>
      </c>
    </row>
    <row r="721" spans="1:15">
      <c r="A721" s="15" t="s">
        <v>11</v>
      </c>
      <c r="B721" s="15" t="s">
        <v>3509</v>
      </c>
      <c r="C721" s="15" t="s">
        <v>3510</v>
      </c>
      <c r="D721" s="15" t="s">
        <v>3511</v>
      </c>
      <c r="E721" s="15">
        <v>42</v>
      </c>
      <c r="F721" s="15" t="s">
        <v>3637</v>
      </c>
      <c r="G721" s="15" t="s">
        <v>3638</v>
      </c>
      <c r="H721" s="15" t="s">
        <v>3639</v>
      </c>
      <c r="I721" s="15" t="s">
        <v>96</v>
      </c>
      <c r="J721" s="7" t="str">
        <f>HYPERLINK("https://www.codechef.com/problems/NUMCOMP1", "https://www.codechef.com/problems/NUMCOMP1")</f>
        <v>https://www.codechef.com/problems/NUMCOMP1</v>
      </c>
      <c r="K721" s="15"/>
      <c r="L721" s="15" t="s">
        <v>3640</v>
      </c>
      <c r="M721" s="15"/>
      <c r="N721" s="15" t="s">
        <v>50</v>
      </c>
      <c r="O721" s="15" t="s">
        <v>51</v>
      </c>
    </row>
    <row r="722" spans="1:15">
      <c r="A722" s="14" t="s">
        <v>11</v>
      </c>
      <c r="B722" s="14" t="s">
        <v>3509</v>
      </c>
      <c r="C722" s="14" t="s">
        <v>3510</v>
      </c>
      <c r="D722" s="14" t="s">
        <v>3511</v>
      </c>
      <c r="E722" s="14">
        <v>43</v>
      </c>
      <c r="F722" s="14" t="s">
        <v>3641</v>
      </c>
      <c r="G722" s="14" t="s">
        <v>3642</v>
      </c>
      <c r="H722" s="14" t="s">
        <v>3643</v>
      </c>
      <c r="I722" s="14" t="s">
        <v>96</v>
      </c>
      <c r="J722" s="11" t="str">
        <f>HYPERLINK("https://www.codechef.com/problems/CHEFSHIP", "https://www.codechef.com/problems/CHEFSHIP")</f>
        <v>https://www.codechef.com/problems/CHEFSHIP</v>
      </c>
      <c r="K722" s="14"/>
      <c r="L722" s="14" t="s">
        <v>3644</v>
      </c>
      <c r="M722" s="14"/>
      <c r="N722" s="14" t="s">
        <v>50</v>
      </c>
      <c r="O722" s="14" t="s">
        <v>51</v>
      </c>
    </row>
    <row r="723" spans="1:15">
      <c r="A723" s="15" t="s">
        <v>11</v>
      </c>
      <c r="B723" s="15" t="s">
        <v>3509</v>
      </c>
      <c r="C723" s="15" t="s">
        <v>3510</v>
      </c>
      <c r="D723" s="15" t="s">
        <v>3511</v>
      </c>
      <c r="E723" s="15">
        <v>44</v>
      </c>
      <c r="F723" s="15" t="s">
        <v>3645</v>
      </c>
      <c r="G723" s="15" t="s">
        <v>3646</v>
      </c>
      <c r="H723" s="15" t="s">
        <v>3647</v>
      </c>
      <c r="I723" s="15" t="s">
        <v>96</v>
      </c>
      <c r="J723" s="7" t="str">
        <f>HYPERLINK("https://www.codechef.com/problems/TREECLR", "https://www.codechef.com/problems/TREECLR")</f>
        <v>https://www.codechef.com/problems/TREECLR</v>
      </c>
      <c r="K723" s="15"/>
      <c r="L723" s="15"/>
      <c r="M723" s="15"/>
      <c r="N723" s="15" t="s">
        <v>50</v>
      </c>
      <c r="O723" s="15" t="s">
        <v>51</v>
      </c>
    </row>
    <row r="724" spans="1:15">
      <c r="A724" s="14" t="s">
        <v>11</v>
      </c>
      <c r="B724" s="14" t="s">
        <v>3509</v>
      </c>
      <c r="C724" s="14" t="s">
        <v>3510</v>
      </c>
      <c r="D724" s="14" t="s">
        <v>3648</v>
      </c>
      <c r="E724" s="14">
        <v>45</v>
      </c>
      <c r="F724" s="14" t="s">
        <v>3649</v>
      </c>
      <c r="G724" s="14" t="s">
        <v>3650</v>
      </c>
      <c r="H724" s="14" t="s">
        <v>3651</v>
      </c>
      <c r="I724" s="14" t="s">
        <v>96</v>
      </c>
      <c r="J724" s="11" t="str">
        <f>HYPERLINK("https://www.codechef.com/problems/MULT9", "https://www.codechef.com/problems/MULT9")</f>
        <v>https://www.codechef.com/problems/MULT9</v>
      </c>
      <c r="K724" s="14"/>
      <c r="L724" s="14"/>
      <c r="M724" s="14"/>
      <c r="N724" s="14" t="s">
        <v>50</v>
      </c>
      <c r="O724" s="14" t="s">
        <v>51</v>
      </c>
    </row>
    <row r="725" spans="1:15">
      <c r="A725" s="15" t="s">
        <v>11</v>
      </c>
      <c r="B725" s="15" t="s">
        <v>3509</v>
      </c>
      <c r="C725" s="15" t="s">
        <v>3510</v>
      </c>
      <c r="D725" s="15" t="s">
        <v>3648</v>
      </c>
      <c r="E725" s="15">
        <v>46</v>
      </c>
      <c r="F725" s="15" t="s">
        <v>3652</v>
      </c>
      <c r="G725" s="15" t="s">
        <v>3653</v>
      </c>
      <c r="H725" s="15" t="s">
        <v>3654</v>
      </c>
      <c r="I725" s="15" t="s">
        <v>96</v>
      </c>
      <c r="J725" s="7" t="str">
        <f>HYPERLINK("https://www.codechef.com/problems/GCDISCOUNT", "https://www.codechef.com/problems/GCDISCOUNT")</f>
        <v>https://www.codechef.com/problems/GCDISCOUNT</v>
      </c>
      <c r="K725" s="15"/>
      <c r="L725" s="15" t="s">
        <v>3655</v>
      </c>
      <c r="M725" s="15"/>
      <c r="N725" s="15" t="s">
        <v>50</v>
      </c>
      <c r="O725" s="15" t="s">
        <v>51</v>
      </c>
    </row>
    <row r="726" spans="1:15">
      <c r="A726" s="14" t="s">
        <v>11</v>
      </c>
      <c r="B726" s="14" t="s">
        <v>3509</v>
      </c>
      <c r="C726" s="14" t="s">
        <v>3510</v>
      </c>
      <c r="D726" s="14" t="s">
        <v>3648</v>
      </c>
      <c r="E726" s="14">
        <v>47</v>
      </c>
      <c r="F726" s="14" t="s">
        <v>3656</v>
      </c>
      <c r="G726" s="14" t="s">
        <v>3657</v>
      </c>
      <c r="H726" s="14" t="s">
        <v>3658</v>
      </c>
      <c r="I726" s="14" t="s">
        <v>96</v>
      </c>
      <c r="J726" s="11" t="str">
        <f>HYPERLINK("https://www.codechef.com/problems/POWSUM", "https://www.codechef.com/problems/POWSUM")</f>
        <v>https://www.codechef.com/problems/POWSUM</v>
      </c>
      <c r="K726" s="14"/>
      <c r="L726" s="14" t="s">
        <v>3659</v>
      </c>
      <c r="M726" s="14"/>
      <c r="N726" s="14" t="s">
        <v>50</v>
      </c>
      <c r="O726" s="14" t="s">
        <v>51</v>
      </c>
    </row>
    <row r="727" spans="1:15">
      <c r="A727" s="15" t="s">
        <v>11</v>
      </c>
      <c r="B727" s="15" t="s">
        <v>3509</v>
      </c>
      <c r="C727" s="15" t="s">
        <v>3510</v>
      </c>
      <c r="D727" s="15" t="s">
        <v>3648</v>
      </c>
      <c r="E727" s="15">
        <v>48</v>
      </c>
      <c r="F727" s="15" t="s">
        <v>3660</v>
      </c>
      <c r="G727" s="15" t="s">
        <v>3661</v>
      </c>
      <c r="H727" s="15" t="s">
        <v>3662</v>
      </c>
      <c r="I727" s="15" t="s">
        <v>96</v>
      </c>
      <c r="J727" s="7" t="str">
        <f>HYPERLINK("https://www.codechef.com/problems/MAXAND18", "https://www.codechef.com/problems/MAXAND18")</f>
        <v>https://www.codechef.com/problems/MAXAND18</v>
      </c>
      <c r="K727" s="15"/>
      <c r="L727" s="15" t="s">
        <v>1403</v>
      </c>
      <c r="M727" s="15"/>
      <c r="N727" s="15" t="s">
        <v>50</v>
      </c>
      <c r="O727" s="15" t="s">
        <v>51</v>
      </c>
    </row>
    <row r="728" spans="1:15">
      <c r="A728" s="14" t="s">
        <v>11</v>
      </c>
      <c r="B728" s="14" t="s">
        <v>3509</v>
      </c>
      <c r="C728" s="14" t="s">
        <v>3510</v>
      </c>
      <c r="D728" s="14" t="s">
        <v>3648</v>
      </c>
      <c r="E728" s="14">
        <v>49</v>
      </c>
      <c r="F728" s="14" t="s">
        <v>3663</v>
      </c>
      <c r="G728" s="14" t="s">
        <v>3664</v>
      </c>
      <c r="H728" s="14" t="s">
        <v>3665</v>
      </c>
      <c r="I728" s="14" t="s">
        <v>96</v>
      </c>
      <c r="J728" s="11" t="str">
        <f>HYPERLINK("https://www.codechef.com/problems/GRAYSC", "https://www.codechef.com/problems/GRAYSC")</f>
        <v>https://www.codechef.com/problems/GRAYSC</v>
      </c>
      <c r="K728" s="14"/>
      <c r="L728" s="14" t="s">
        <v>3666</v>
      </c>
      <c r="M728" s="14"/>
      <c r="N728" s="14" t="s">
        <v>50</v>
      </c>
      <c r="O728" s="14" t="s">
        <v>51</v>
      </c>
    </row>
    <row r="729" spans="1:15">
      <c r="A729" s="15" t="s">
        <v>11</v>
      </c>
      <c r="B729" s="15" t="s">
        <v>3509</v>
      </c>
      <c r="C729" s="15" t="s">
        <v>3510</v>
      </c>
      <c r="D729" s="15" t="s">
        <v>3648</v>
      </c>
      <c r="E729" s="15">
        <v>50</v>
      </c>
      <c r="F729" s="15" t="s">
        <v>3667</v>
      </c>
      <c r="G729" s="15" t="s">
        <v>3668</v>
      </c>
      <c r="H729" s="15" t="s">
        <v>3665</v>
      </c>
      <c r="I729" s="15" t="s">
        <v>96</v>
      </c>
      <c r="J729" s="7" t="str">
        <f>HYPERLINK("https://www.codechef.com/problems/PEWDSVTS", "https://www.codechef.com/problems/PEWDSVTS")</f>
        <v>https://www.codechef.com/problems/PEWDSVTS</v>
      </c>
      <c r="K729" s="15"/>
      <c r="L729" s="15" t="s">
        <v>3669</v>
      </c>
      <c r="M729" s="15"/>
      <c r="N729" s="15" t="s">
        <v>50</v>
      </c>
      <c r="O729" s="15" t="s">
        <v>51</v>
      </c>
    </row>
    <row r="730" spans="1:15">
      <c r="A730" s="14" t="s">
        <v>11</v>
      </c>
      <c r="B730" s="14" t="s">
        <v>3509</v>
      </c>
      <c r="C730" s="14" t="s">
        <v>3510</v>
      </c>
      <c r="D730" s="14" t="s">
        <v>3648</v>
      </c>
      <c r="E730" s="14">
        <v>51</v>
      </c>
      <c r="F730" s="14" t="s">
        <v>3670</v>
      </c>
      <c r="G730" s="14" t="s">
        <v>3671</v>
      </c>
      <c r="H730" s="14" t="s">
        <v>3672</v>
      </c>
      <c r="I730" s="14" t="s">
        <v>96</v>
      </c>
      <c r="J730" s="11" t="str">
        <f>HYPERLINK("https://www.codechef.com/problems/DISKMOV", "https://www.codechef.com/problems/DISKMOV")</f>
        <v>https://www.codechef.com/problems/DISKMOV</v>
      </c>
      <c r="K730" s="14"/>
      <c r="L730" s="14" t="s">
        <v>202</v>
      </c>
      <c r="M730" s="14"/>
      <c r="N730" s="14" t="s">
        <v>50</v>
      </c>
      <c r="O730" s="14" t="s">
        <v>51</v>
      </c>
    </row>
    <row r="731" spans="1:15">
      <c r="A731" s="15" t="s">
        <v>11</v>
      </c>
      <c r="B731" s="15" t="s">
        <v>3509</v>
      </c>
      <c r="C731" s="15" t="s">
        <v>3510</v>
      </c>
      <c r="D731" s="15" t="s">
        <v>3648</v>
      </c>
      <c r="E731" s="15">
        <v>52</v>
      </c>
      <c r="F731" s="15" t="s">
        <v>3673</v>
      </c>
      <c r="G731" s="15" t="s">
        <v>3674</v>
      </c>
      <c r="H731" s="15" t="s">
        <v>3675</v>
      </c>
      <c r="I731" s="15" t="s">
        <v>96</v>
      </c>
      <c r="J731" s="7" t="str">
        <f>HYPERLINK("https://www.codechef.com/problems/KS1", "https://www.codechef.com/problems/KS1")</f>
        <v>https://www.codechef.com/problems/KS1</v>
      </c>
      <c r="K731" s="15"/>
      <c r="L731" s="15" t="s">
        <v>1439</v>
      </c>
      <c r="M731" s="15"/>
      <c r="N731" s="15" t="s">
        <v>50</v>
      </c>
      <c r="O731" s="15" t="s">
        <v>51</v>
      </c>
    </row>
    <row r="732" spans="1:15">
      <c r="A732" s="14" t="s">
        <v>11</v>
      </c>
      <c r="B732" s="14" t="s">
        <v>3509</v>
      </c>
      <c r="C732" s="14" t="s">
        <v>3510</v>
      </c>
      <c r="D732" s="14" t="s">
        <v>3648</v>
      </c>
      <c r="E732" s="14">
        <v>53</v>
      </c>
      <c r="F732" s="14" t="s">
        <v>3676</v>
      </c>
      <c r="G732" s="14" t="s">
        <v>3677</v>
      </c>
      <c r="H732" s="14" t="s">
        <v>3678</v>
      </c>
      <c r="I732" s="14" t="s">
        <v>96</v>
      </c>
      <c r="J732" s="11" t="str">
        <f>HYPERLINK("https://www.codechef.com/problems/MININV", "https://www.codechef.com/problems/MININV")</f>
        <v>https://www.codechef.com/problems/MININV</v>
      </c>
      <c r="K732" s="14"/>
      <c r="L732" s="14" t="s">
        <v>2471</v>
      </c>
      <c r="M732" s="14"/>
      <c r="N732" s="14" t="s">
        <v>50</v>
      </c>
      <c r="O732" s="14" t="s">
        <v>51</v>
      </c>
    </row>
    <row r="733" spans="1:15">
      <c r="A733" s="15" t="s">
        <v>11</v>
      </c>
      <c r="B733" s="15" t="s">
        <v>3509</v>
      </c>
      <c r="C733" s="15" t="s">
        <v>3510</v>
      </c>
      <c r="D733" s="15" t="s">
        <v>3648</v>
      </c>
      <c r="E733" s="15">
        <v>54</v>
      </c>
      <c r="F733" s="15" t="s">
        <v>3679</v>
      </c>
      <c r="G733" s="15" t="s">
        <v>3680</v>
      </c>
      <c r="H733" s="15" t="s">
        <v>3681</v>
      </c>
      <c r="I733" s="15" t="s">
        <v>96</v>
      </c>
      <c r="J733" s="7" t="str">
        <f>HYPERLINK("https://www.codechef.com/problems/RRMATRIX", "https://www.codechef.com/problems/RRMATRIX")</f>
        <v>https://www.codechef.com/problems/RRMATRIX</v>
      </c>
      <c r="K733" s="15"/>
      <c r="L733" s="15"/>
      <c r="M733" s="15"/>
      <c r="N733" s="15" t="s">
        <v>50</v>
      </c>
      <c r="O733" s="15" t="s">
        <v>51</v>
      </c>
    </row>
    <row r="734" spans="1:15">
      <c r="A734" s="14" t="s">
        <v>11</v>
      </c>
      <c r="B734" s="14" t="s">
        <v>3509</v>
      </c>
      <c r="C734" s="14" t="s">
        <v>3510</v>
      </c>
      <c r="D734" s="14" t="s">
        <v>3648</v>
      </c>
      <c r="E734" s="14">
        <v>55</v>
      </c>
      <c r="F734" s="14" t="s">
        <v>3682</v>
      </c>
      <c r="G734" s="14" t="s">
        <v>3683</v>
      </c>
      <c r="H734" s="14" t="s">
        <v>3684</v>
      </c>
      <c r="I734" s="14" t="s">
        <v>96</v>
      </c>
      <c r="J734" s="11" t="str">
        <f>HYPERLINK("https://www.codechef.com/problems/STRGMNZ", "https://www.codechef.com/problems/STRGMNZ")</f>
        <v>https://www.codechef.com/problems/STRGMNZ</v>
      </c>
      <c r="K734" s="14"/>
      <c r="L734" s="14"/>
      <c r="M734" s="14"/>
      <c r="N734" s="14" t="s">
        <v>50</v>
      </c>
      <c r="O734" s="14" t="s">
        <v>51</v>
      </c>
    </row>
    <row r="735" spans="1:15">
      <c r="A735" s="15" t="s">
        <v>11</v>
      </c>
      <c r="B735" s="15" t="s">
        <v>3509</v>
      </c>
      <c r="C735" s="15" t="s">
        <v>3510</v>
      </c>
      <c r="D735" s="15" t="s">
        <v>3648</v>
      </c>
      <c r="E735" s="15">
        <v>56</v>
      </c>
      <c r="F735" s="15" t="s">
        <v>3685</v>
      </c>
      <c r="G735" s="15" t="s">
        <v>3686</v>
      </c>
      <c r="H735" s="15" t="s">
        <v>1484</v>
      </c>
      <c r="I735" s="15" t="s">
        <v>96</v>
      </c>
      <c r="J735" s="7" t="str">
        <f>HYPERLINK("https://www.codechef.com/problems/BNSONSTR", "https://www.codechef.com/problems/BNSONSTR")</f>
        <v>https://www.codechef.com/problems/BNSONSTR</v>
      </c>
      <c r="K735" s="15"/>
      <c r="L735" s="15" t="s">
        <v>3687</v>
      </c>
      <c r="M735" s="15"/>
      <c r="N735" s="15" t="s">
        <v>50</v>
      </c>
      <c r="O735" s="15" t="s">
        <v>51</v>
      </c>
    </row>
    <row r="736" spans="1:15">
      <c r="A736" s="14" t="s">
        <v>11</v>
      </c>
      <c r="B736" s="14" t="s">
        <v>3509</v>
      </c>
      <c r="C736" s="14" t="s">
        <v>3510</v>
      </c>
      <c r="D736" s="14" t="s">
        <v>3648</v>
      </c>
      <c r="E736" s="14">
        <v>57</v>
      </c>
      <c r="F736" s="14" t="s">
        <v>3688</v>
      </c>
      <c r="G736" s="14" t="s">
        <v>3689</v>
      </c>
      <c r="H736" s="14" t="s">
        <v>3690</v>
      </c>
      <c r="I736" s="14" t="s">
        <v>96</v>
      </c>
      <c r="J736" s="11" t="str">
        <f>HYPERLINK("https://www.codechef.com/problems/RBFLOWERS", "https://www.codechef.com/problems/RBFLOWERS")</f>
        <v>https://www.codechef.com/problems/RBFLOWERS</v>
      </c>
      <c r="K736" s="14"/>
      <c r="L736" s="14"/>
      <c r="M736" s="14"/>
      <c r="N736" s="14" t="s">
        <v>50</v>
      </c>
      <c r="O736" s="14" t="s">
        <v>51</v>
      </c>
    </row>
    <row r="737" spans="1:15">
      <c r="A737" s="15" t="s">
        <v>11</v>
      </c>
      <c r="B737" s="15" t="s">
        <v>3509</v>
      </c>
      <c r="C737" s="15" t="s">
        <v>3510</v>
      </c>
      <c r="D737" s="15" t="s">
        <v>3648</v>
      </c>
      <c r="E737" s="15">
        <v>58</v>
      </c>
      <c r="F737" s="15" t="s">
        <v>3691</v>
      </c>
      <c r="G737" s="15" t="s">
        <v>3692</v>
      </c>
      <c r="H737" s="15" t="s">
        <v>3693</v>
      </c>
      <c r="I737" s="15" t="s">
        <v>96</v>
      </c>
      <c r="J737" s="7" t="str">
        <f>HYPERLINK("https://www.codechef.com/problems/CHMOD", "https://www.codechef.com/problems/CHMOD")</f>
        <v>https://www.codechef.com/problems/CHMOD</v>
      </c>
      <c r="K737" s="15"/>
      <c r="L737" s="15" t="s">
        <v>1012</v>
      </c>
      <c r="M737" s="15"/>
      <c r="N737" s="15" t="s">
        <v>50</v>
      </c>
      <c r="O737" s="15" t="s">
        <v>51</v>
      </c>
    </row>
    <row r="738" spans="1:15">
      <c r="A738" s="14" t="s">
        <v>11</v>
      </c>
      <c r="B738" s="14" t="s">
        <v>3509</v>
      </c>
      <c r="C738" s="14" t="s">
        <v>3510</v>
      </c>
      <c r="D738" s="14" t="s">
        <v>3648</v>
      </c>
      <c r="E738" s="14">
        <v>59</v>
      </c>
      <c r="F738" s="14" t="s">
        <v>3694</v>
      </c>
      <c r="G738" s="14" t="s">
        <v>3695</v>
      </c>
      <c r="H738" s="14" t="s">
        <v>3693</v>
      </c>
      <c r="I738" s="14" t="s">
        <v>96</v>
      </c>
      <c r="J738" s="11" t="str">
        <f>HYPERLINK("https://www.codechef.com/problems/PAPARAZI", "https://www.codechef.com/problems/PAPARAZI")</f>
        <v>https://www.codechef.com/problems/PAPARAZI</v>
      </c>
      <c r="K738" s="14"/>
      <c r="L738" s="14" t="s">
        <v>3696</v>
      </c>
      <c r="M738" s="14"/>
      <c r="N738" s="14" t="s">
        <v>50</v>
      </c>
      <c r="O738" s="14" t="s">
        <v>51</v>
      </c>
    </row>
    <row r="739" spans="1:15">
      <c r="A739" s="15" t="s">
        <v>11</v>
      </c>
      <c r="B739" s="15" t="s">
        <v>3509</v>
      </c>
      <c r="C739" s="15" t="s">
        <v>3510</v>
      </c>
      <c r="D739" s="15" t="s">
        <v>3648</v>
      </c>
      <c r="E739" s="15">
        <v>60</v>
      </c>
      <c r="F739" s="15" t="s">
        <v>3697</v>
      </c>
      <c r="G739" s="15" t="s">
        <v>3698</v>
      </c>
      <c r="H739" s="15" t="s">
        <v>3699</v>
      </c>
      <c r="I739" s="15" t="s">
        <v>96</v>
      </c>
      <c r="J739" s="7" t="str">
        <f>HYPERLINK("https://www.codechef.com/problems/SUB7NUM", "https://www.codechef.com/problems/SUB7NUM")</f>
        <v>https://www.codechef.com/problems/SUB7NUM</v>
      </c>
      <c r="K739" s="15"/>
      <c r="L739" s="15"/>
      <c r="M739" s="15"/>
      <c r="N739" s="15" t="s">
        <v>50</v>
      </c>
      <c r="O739" s="15" t="s">
        <v>51</v>
      </c>
    </row>
    <row r="740" spans="1:15">
      <c r="A740" s="14" t="s">
        <v>11</v>
      </c>
      <c r="B740" s="14" t="s">
        <v>3509</v>
      </c>
      <c r="C740" s="14" t="s">
        <v>3510</v>
      </c>
      <c r="D740" s="14" t="s">
        <v>3648</v>
      </c>
      <c r="E740" s="14">
        <v>61</v>
      </c>
      <c r="F740" s="14" t="s">
        <v>3700</v>
      </c>
      <c r="G740" s="14" t="s">
        <v>3701</v>
      </c>
      <c r="H740" s="14" t="s">
        <v>3699</v>
      </c>
      <c r="I740" s="14" t="s">
        <v>96</v>
      </c>
      <c r="J740" s="11" t="str">
        <f>HYPERLINK("https://www.codechef.com/problems/SUBSEQINV", "https://www.codechef.com/problems/SUBSEQINV")</f>
        <v>https://www.codechef.com/problems/SUBSEQINV</v>
      </c>
      <c r="K740" s="14"/>
      <c r="L740" s="14"/>
      <c r="M740" s="14"/>
      <c r="N740" s="14" t="s">
        <v>50</v>
      </c>
      <c r="O740" s="14" t="s">
        <v>51</v>
      </c>
    </row>
    <row r="741" spans="1:15">
      <c r="A741" s="15" t="s">
        <v>11</v>
      </c>
      <c r="B741" s="15" t="s">
        <v>3509</v>
      </c>
      <c r="C741" s="15" t="s">
        <v>3510</v>
      </c>
      <c r="D741" s="15" t="s">
        <v>3648</v>
      </c>
      <c r="E741" s="15">
        <v>62</v>
      </c>
      <c r="F741" s="15" t="s">
        <v>3702</v>
      </c>
      <c r="G741" s="15" t="s">
        <v>3703</v>
      </c>
      <c r="H741" s="15" t="s">
        <v>3704</v>
      </c>
      <c r="I741" s="15" t="s">
        <v>96</v>
      </c>
      <c r="J741" s="7" t="str">
        <f>HYPERLINK("https://www.codechef.com/problems/CLANEXPNSN", "https://www.codechef.com/problems/CLANEXPNSN")</f>
        <v>https://www.codechef.com/problems/CLANEXPNSN</v>
      </c>
      <c r="K741" s="15"/>
      <c r="L741" s="15" t="s">
        <v>3705</v>
      </c>
      <c r="M741" s="15"/>
      <c r="N741" s="15" t="s">
        <v>50</v>
      </c>
      <c r="O741" s="15" t="s">
        <v>51</v>
      </c>
    </row>
    <row r="742" spans="1:15">
      <c r="A742" s="14" t="s">
        <v>11</v>
      </c>
      <c r="B742" s="14" t="s">
        <v>3509</v>
      </c>
      <c r="C742" s="14" t="s">
        <v>3510</v>
      </c>
      <c r="D742" s="14" t="s">
        <v>3648</v>
      </c>
      <c r="E742" s="14">
        <v>63</v>
      </c>
      <c r="F742" s="14" t="s">
        <v>3706</v>
      </c>
      <c r="G742" s="14" t="s">
        <v>3707</v>
      </c>
      <c r="H742" s="14" t="s">
        <v>3708</v>
      </c>
      <c r="I742" s="14" t="s">
        <v>96</v>
      </c>
      <c r="J742" s="11" t="str">
        <f>HYPERLINK("https://www.codechef.com/problems/ANDEQ", "https://www.codechef.com/problems/ANDEQ")</f>
        <v>https://www.codechef.com/problems/ANDEQ</v>
      </c>
      <c r="K742" s="14"/>
      <c r="L742" s="14" t="s">
        <v>3709</v>
      </c>
      <c r="M742" s="14"/>
      <c r="N742" s="14" t="s">
        <v>50</v>
      </c>
      <c r="O742" s="14" t="s">
        <v>51</v>
      </c>
    </row>
    <row r="743" spans="1:15">
      <c r="A743" s="15" t="s">
        <v>11</v>
      </c>
      <c r="B743" s="15" t="s">
        <v>3509</v>
      </c>
      <c r="C743" s="15" t="s">
        <v>3510</v>
      </c>
      <c r="D743" s="15" t="s">
        <v>3648</v>
      </c>
      <c r="E743" s="15">
        <v>64</v>
      </c>
      <c r="F743" s="15" t="s">
        <v>3710</v>
      </c>
      <c r="G743" s="15" t="s">
        <v>3711</v>
      </c>
      <c r="H743" s="15" t="s">
        <v>3712</v>
      </c>
      <c r="I743" s="15" t="s">
        <v>96</v>
      </c>
      <c r="J743" s="7" t="str">
        <f>HYPERLINK("https://www.codechef.com/problems/UNIQUEK", "https://www.codechef.com/problems/UNIQUEK")</f>
        <v>https://www.codechef.com/problems/UNIQUEK</v>
      </c>
      <c r="K743" s="15"/>
      <c r="L743" s="15"/>
      <c r="M743" s="15"/>
      <c r="N743" s="15" t="s">
        <v>50</v>
      </c>
      <c r="O743" s="15" t="s">
        <v>51</v>
      </c>
    </row>
    <row r="744" spans="1:15">
      <c r="A744" s="14" t="s">
        <v>11</v>
      </c>
      <c r="B744" s="14" t="s">
        <v>3509</v>
      </c>
      <c r="C744" s="14" t="s">
        <v>3510</v>
      </c>
      <c r="D744" s="14" t="s">
        <v>3648</v>
      </c>
      <c r="E744" s="14">
        <v>65</v>
      </c>
      <c r="F744" s="14" t="s">
        <v>3713</v>
      </c>
      <c r="G744" s="14" t="s">
        <v>3714</v>
      </c>
      <c r="H744" s="14" t="s">
        <v>3715</v>
      </c>
      <c r="I744" s="14" t="s">
        <v>96</v>
      </c>
      <c r="J744" s="11" t="str">
        <f>HYPERLINK("https://www.codechef.com/problems/MEX_ARRAY", "https://www.codechef.com/problems/MEX_ARRAY")</f>
        <v>https://www.codechef.com/problems/MEX_ARRAY</v>
      </c>
      <c r="K744" s="14"/>
      <c r="L744" s="14"/>
      <c r="M744" s="14"/>
      <c r="N744" s="14" t="s">
        <v>50</v>
      </c>
      <c r="O744" s="14" t="s">
        <v>51</v>
      </c>
    </row>
    <row r="745" spans="1:15">
      <c r="A745" s="15" t="s">
        <v>11</v>
      </c>
      <c r="B745" s="15" t="s">
        <v>3509</v>
      </c>
      <c r="C745" s="15" t="s">
        <v>3510</v>
      </c>
      <c r="D745" s="15" t="s">
        <v>3648</v>
      </c>
      <c r="E745" s="15">
        <v>66</v>
      </c>
      <c r="F745" s="15" t="s">
        <v>3716</v>
      </c>
      <c r="G745" s="15" t="s">
        <v>3717</v>
      </c>
      <c r="H745" s="15" t="s">
        <v>3718</v>
      </c>
      <c r="I745" s="15" t="s">
        <v>96</v>
      </c>
      <c r="J745" s="7" t="str">
        <f>HYPERLINK("https://www.codechef.com/problems/NZXOR", "https://www.codechef.com/problems/NZXOR")</f>
        <v>https://www.codechef.com/problems/NZXOR</v>
      </c>
      <c r="K745" s="15"/>
      <c r="L745" s="15" t="s">
        <v>3719</v>
      </c>
      <c r="M745" s="15"/>
      <c r="N745" s="15" t="s">
        <v>50</v>
      </c>
      <c r="O745" s="15" t="s">
        <v>51</v>
      </c>
    </row>
    <row r="746" spans="1:15">
      <c r="A746" s="14" t="s">
        <v>11</v>
      </c>
      <c r="B746" s="14" t="s">
        <v>3509</v>
      </c>
      <c r="C746" s="14" t="s">
        <v>3510</v>
      </c>
      <c r="D746" s="14" t="s">
        <v>3648</v>
      </c>
      <c r="E746" s="14">
        <v>67</v>
      </c>
      <c r="F746" s="14" t="s">
        <v>3720</v>
      </c>
      <c r="G746" s="14" t="s">
        <v>3721</v>
      </c>
      <c r="H746" s="14" t="s">
        <v>3722</v>
      </c>
      <c r="I746" s="14" t="s">
        <v>96</v>
      </c>
      <c r="J746" s="11" t="str">
        <f>HYPERLINK("https://www.codechef.com/problems/BRTXORS", "https://www.codechef.com/problems/BRTXORS")</f>
        <v>https://www.codechef.com/problems/BRTXORS</v>
      </c>
      <c r="K746" s="14"/>
      <c r="L746" s="14" t="s">
        <v>3723</v>
      </c>
      <c r="M746" s="14"/>
      <c r="N746" s="14" t="s">
        <v>50</v>
      </c>
      <c r="O746" s="14" t="s">
        <v>51</v>
      </c>
    </row>
    <row r="747" spans="1:15">
      <c r="A747" s="15" t="s">
        <v>11</v>
      </c>
      <c r="B747" s="15" t="s">
        <v>3509</v>
      </c>
      <c r="C747" s="15" t="s">
        <v>3510</v>
      </c>
      <c r="D747" s="15" t="s">
        <v>3648</v>
      </c>
      <c r="E747" s="15">
        <v>68</v>
      </c>
      <c r="F747" s="15" t="s">
        <v>3724</v>
      </c>
      <c r="G747" s="15" t="s">
        <v>3725</v>
      </c>
      <c r="H747" s="15" t="s">
        <v>3726</v>
      </c>
      <c r="I747" s="15" t="s">
        <v>96</v>
      </c>
      <c r="J747" s="7" t="str">
        <f>HYPERLINK("https://www.codechef.com/problems/TADELIVE", "https://www.codechef.com/problems/TADELIVE")</f>
        <v>https://www.codechef.com/problems/TADELIVE</v>
      </c>
      <c r="K747" s="15"/>
      <c r="L747" s="15"/>
      <c r="M747" s="15"/>
      <c r="N747" s="15" t="s">
        <v>50</v>
      </c>
      <c r="O747" s="15" t="s">
        <v>51</v>
      </c>
    </row>
    <row r="748" spans="1:15">
      <c r="A748" s="14" t="s">
        <v>11</v>
      </c>
      <c r="B748" s="14" t="s">
        <v>3509</v>
      </c>
      <c r="C748" s="14" t="s">
        <v>3510</v>
      </c>
      <c r="D748" s="14" t="s">
        <v>3648</v>
      </c>
      <c r="E748" s="14">
        <v>69</v>
      </c>
      <c r="F748" s="14" t="s">
        <v>3727</v>
      </c>
      <c r="G748" s="14" t="s">
        <v>3728</v>
      </c>
      <c r="H748" s="14" t="s">
        <v>3729</v>
      </c>
      <c r="I748" s="14" t="s">
        <v>96</v>
      </c>
      <c r="J748" s="11" t="str">
        <f>HYPERLINK("https://www.codechef.com/problems/STRINGXOR", "https://www.codechef.com/problems/STRINGXOR")</f>
        <v>https://www.codechef.com/problems/STRINGXOR</v>
      </c>
      <c r="K748" s="14"/>
      <c r="L748" s="14"/>
      <c r="M748" s="14"/>
      <c r="N748" s="14" t="s">
        <v>50</v>
      </c>
      <c r="O748" s="14" t="s">
        <v>51</v>
      </c>
    </row>
    <row r="749" spans="1:15">
      <c r="A749" s="15" t="s">
        <v>11</v>
      </c>
      <c r="B749" s="15" t="s">
        <v>3509</v>
      </c>
      <c r="C749" s="15" t="s">
        <v>3510</v>
      </c>
      <c r="D749" s="15" t="s">
        <v>3648</v>
      </c>
      <c r="E749" s="15">
        <v>70</v>
      </c>
      <c r="F749" s="15" t="s">
        <v>3730</v>
      </c>
      <c r="G749" s="15" t="s">
        <v>3731</v>
      </c>
      <c r="H749" s="15" t="s">
        <v>3732</v>
      </c>
      <c r="I749" s="15" t="s">
        <v>96</v>
      </c>
      <c r="J749" s="7" t="str">
        <f>HYPERLINK("https://www.codechef.com/problems/AND", "https://www.codechef.com/problems/AND")</f>
        <v>https://www.codechef.com/problems/AND</v>
      </c>
      <c r="K749" s="15"/>
      <c r="L749" s="15" t="s">
        <v>3733</v>
      </c>
      <c r="M749" s="15"/>
      <c r="N749" s="15" t="s">
        <v>50</v>
      </c>
      <c r="O749" s="15" t="s">
        <v>51</v>
      </c>
    </row>
    <row r="750" spans="1:15">
      <c r="A750" s="14" t="s">
        <v>11</v>
      </c>
      <c r="B750" s="14" t="s">
        <v>3509</v>
      </c>
      <c r="C750" s="14" t="s">
        <v>3510</v>
      </c>
      <c r="D750" s="14" t="s">
        <v>3648</v>
      </c>
      <c r="E750" s="14">
        <v>71</v>
      </c>
      <c r="F750" s="14" t="s">
        <v>3734</v>
      </c>
      <c r="G750" s="14" t="s">
        <v>3735</v>
      </c>
      <c r="H750" s="14" t="s">
        <v>3736</v>
      </c>
      <c r="I750" s="14" t="s">
        <v>96</v>
      </c>
      <c r="J750" s="11" t="str">
        <f>HYPERLINK("https://www.codechef.com/problems/SOLVEMORE", "https://www.codechef.com/problems/SOLVEMORE")</f>
        <v>https://www.codechef.com/problems/SOLVEMORE</v>
      </c>
      <c r="K750" s="14"/>
      <c r="L750" s="14"/>
      <c r="M750" s="14"/>
      <c r="N750" s="14" t="s">
        <v>50</v>
      </c>
      <c r="O750" s="14" t="s">
        <v>51</v>
      </c>
    </row>
    <row r="751" spans="1:15">
      <c r="A751" s="15" t="s">
        <v>11</v>
      </c>
      <c r="B751" s="15" t="s">
        <v>3509</v>
      </c>
      <c r="C751" s="15" t="s">
        <v>3510</v>
      </c>
      <c r="D751" s="15" t="s">
        <v>3648</v>
      </c>
      <c r="E751" s="15">
        <v>72</v>
      </c>
      <c r="F751" s="15" t="s">
        <v>3737</v>
      </c>
      <c r="G751" s="15" t="s">
        <v>3738</v>
      </c>
      <c r="H751" s="15" t="s">
        <v>3739</v>
      </c>
      <c r="I751" s="15" t="s">
        <v>96</v>
      </c>
      <c r="J751" s="7" t="str">
        <f>HYPERLINK("https://www.codechef.com/problems/DISTINCTNEIG", "https://www.codechef.com/problems/DISTINCTNEIG")</f>
        <v>https://www.codechef.com/problems/DISTINCTNEIG</v>
      </c>
      <c r="K751" s="15"/>
      <c r="L751" s="15" t="s">
        <v>3076</v>
      </c>
      <c r="M751" s="15"/>
      <c r="N751" s="15" t="s">
        <v>50</v>
      </c>
      <c r="O751" s="15" t="s">
        <v>51</v>
      </c>
    </row>
    <row r="752" spans="1:15">
      <c r="A752" s="14" t="s">
        <v>11</v>
      </c>
      <c r="B752" s="14" t="s">
        <v>3509</v>
      </c>
      <c r="C752" s="14" t="s">
        <v>3510</v>
      </c>
      <c r="D752" s="14" t="s">
        <v>3648</v>
      </c>
      <c r="E752" s="14">
        <v>73</v>
      </c>
      <c r="F752" s="14" t="s">
        <v>3740</v>
      </c>
      <c r="G752" s="14" t="s">
        <v>3741</v>
      </c>
      <c r="H752" s="14" t="s">
        <v>3739</v>
      </c>
      <c r="I752" s="14" t="s">
        <v>96</v>
      </c>
      <c r="J752" s="11" t="str">
        <f>HYPERLINK("https://www.codechef.com/problems/ROIDS", "https://www.codechef.com/problems/ROIDS")</f>
        <v>https://www.codechef.com/problems/ROIDS</v>
      </c>
      <c r="K752" s="14"/>
      <c r="L752" s="14"/>
      <c r="M752" s="14"/>
      <c r="N752" s="14" t="s">
        <v>50</v>
      </c>
      <c r="O752" s="14" t="s">
        <v>51</v>
      </c>
    </row>
    <row r="753" spans="1:15">
      <c r="A753" s="15" t="s">
        <v>11</v>
      </c>
      <c r="B753" s="15" t="s">
        <v>3509</v>
      </c>
      <c r="C753" s="15" t="s">
        <v>3510</v>
      </c>
      <c r="D753" s="15" t="s">
        <v>3648</v>
      </c>
      <c r="E753" s="15">
        <v>74</v>
      </c>
      <c r="F753" s="15" t="s">
        <v>3742</v>
      </c>
      <c r="G753" s="15" t="s">
        <v>3743</v>
      </c>
      <c r="H753" s="15" t="s">
        <v>3744</v>
      </c>
      <c r="I753" s="15" t="s">
        <v>96</v>
      </c>
      <c r="J753" s="7" t="str">
        <f>HYPERLINK("https://www.codechef.com/problems/PERMXORSUM", "https://www.codechef.com/problems/PERMXORSUM")</f>
        <v>https://www.codechef.com/problems/PERMXORSUM</v>
      </c>
      <c r="K753" s="15"/>
      <c r="L753" s="15"/>
      <c r="M753" s="15"/>
      <c r="N753" s="15" t="s">
        <v>50</v>
      </c>
      <c r="O753" s="15" t="s">
        <v>51</v>
      </c>
    </row>
    <row r="754" spans="1:15">
      <c r="A754" s="14" t="s">
        <v>11</v>
      </c>
      <c r="B754" s="14" t="s">
        <v>3745</v>
      </c>
      <c r="C754" s="14" t="s">
        <v>3746</v>
      </c>
      <c r="D754" s="14" t="s">
        <v>3747</v>
      </c>
      <c r="E754" s="14">
        <v>1</v>
      </c>
      <c r="F754" s="14" t="s">
        <v>3748</v>
      </c>
      <c r="G754" s="14" t="s">
        <v>3749</v>
      </c>
      <c r="H754" s="14" t="s">
        <v>3750</v>
      </c>
      <c r="I754" s="14" t="s">
        <v>322</v>
      </c>
      <c r="J754" s="11" t="str">
        <f>HYPERLINK("https://www.codechef.com/problems/MXFACS", "https://www.codechef.com/problems/MXFACS")</f>
        <v>https://www.codechef.com/problems/MXFACS</v>
      </c>
      <c r="K754" s="14"/>
      <c r="L754" s="14"/>
      <c r="M754" s="14"/>
      <c r="N754" s="14" t="s">
        <v>50</v>
      </c>
      <c r="O754" s="14" t="s">
        <v>51</v>
      </c>
    </row>
    <row r="755" spans="1:15">
      <c r="A755" s="15" t="s">
        <v>11</v>
      </c>
      <c r="B755" s="15" t="s">
        <v>3745</v>
      </c>
      <c r="C755" s="15" t="s">
        <v>3746</v>
      </c>
      <c r="D755" s="15" t="s">
        <v>3747</v>
      </c>
      <c r="E755" s="15">
        <v>2</v>
      </c>
      <c r="F755" s="15" t="s">
        <v>3751</v>
      </c>
      <c r="G755" s="15" t="s">
        <v>3752</v>
      </c>
      <c r="H755" s="15" t="s">
        <v>3753</v>
      </c>
      <c r="I755" s="15" t="s">
        <v>322</v>
      </c>
      <c r="J755" s="7" t="str">
        <f>HYPERLINK("https://www.codechef.com/problems/ELWINTER", "https://www.codechef.com/problems/ELWINTER")</f>
        <v>https://www.codechef.com/problems/ELWINTER</v>
      </c>
      <c r="K755" s="15"/>
      <c r="L755" s="15" t="s">
        <v>3754</v>
      </c>
      <c r="M755" s="15"/>
      <c r="N755" s="15" t="s">
        <v>50</v>
      </c>
      <c r="O755" s="15" t="s">
        <v>51</v>
      </c>
    </row>
    <row r="756" spans="1:15">
      <c r="A756" s="14" t="s">
        <v>11</v>
      </c>
      <c r="B756" s="14" t="s">
        <v>3745</v>
      </c>
      <c r="C756" s="14" t="s">
        <v>3746</v>
      </c>
      <c r="D756" s="14" t="s">
        <v>3747</v>
      </c>
      <c r="E756" s="14">
        <v>3</v>
      </c>
      <c r="F756" s="14" t="s">
        <v>3041</v>
      </c>
      <c r="G756" s="14" t="s">
        <v>3755</v>
      </c>
      <c r="H756" s="14" t="s">
        <v>3753</v>
      </c>
      <c r="I756" s="14" t="s">
        <v>322</v>
      </c>
      <c r="J756" s="11" t="str">
        <f>HYPERLINK("https://www.codechef.com/problems/REMSUBARR", "https://www.codechef.com/problems/REMSUBARR")</f>
        <v>https://www.codechef.com/problems/REMSUBARR</v>
      </c>
      <c r="K756" s="14"/>
      <c r="L756" s="14"/>
      <c r="M756" s="14"/>
      <c r="N756" s="14" t="s">
        <v>50</v>
      </c>
      <c r="O756" s="14" t="s">
        <v>51</v>
      </c>
    </row>
    <row r="757" spans="1:15">
      <c r="A757" s="15" t="s">
        <v>11</v>
      </c>
      <c r="B757" s="15" t="s">
        <v>3745</v>
      </c>
      <c r="C757" s="15" t="s">
        <v>3746</v>
      </c>
      <c r="D757" s="15" t="s">
        <v>3747</v>
      </c>
      <c r="E757" s="15">
        <v>4</v>
      </c>
      <c r="F757" s="15" t="s">
        <v>3756</v>
      </c>
      <c r="G757" s="15" t="s">
        <v>3757</v>
      </c>
      <c r="H757" s="15" t="s">
        <v>3758</v>
      </c>
      <c r="I757" s="15" t="s">
        <v>322</v>
      </c>
      <c r="J757" s="7" t="str">
        <f>HYPERLINK("https://www.codechef.com/problems/ALTSUFF", "https://www.codechef.com/problems/ALTSUFF")</f>
        <v>https://www.codechef.com/problems/ALTSUFF</v>
      </c>
      <c r="K757" s="15"/>
      <c r="L757" s="15" t="s">
        <v>3003</v>
      </c>
      <c r="M757" s="15"/>
      <c r="N757" s="15" t="s">
        <v>50</v>
      </c>
      <c r="O757" s="15" t="s">
        <v>51</v>
      </c>
    </row>
    <row r="758" spans="1:15">
      <c r="A758" s="14" t="s">
        <v>11</v>
      </c>
      <c r="B758" s="14" t="s">
        <v>3745</v>
      </c>
      <c r="C758" s="14" t="s">
        <v>3746</v>
      </c>
      <c r="D758" s="14" t="s">
        <v>3747</v>
      </c>
      <c r="E758" s="14">
        <v>5</v>
      </c>
      <c r="F758" s="14" t="s">
        <v>3759</v>
      </c>
      <c r="G758" s="14" t="s">
        <v>3760</v>
      </c>
      <c r="H758" s="14" t="s">
        <v>3761</v>
      </c>
      <c r="I758" s="14" t="s">
        <v>322</v>
      </c>
      <c r="J758" s="11" t="str">
        <f>HYPERLINK("https://www.codechef.com/problems/ROPASCI", "https://www.codechef.com/problems/ROPASCI")</f>
        <v>https://www.codechef.com/problems/ROPASCI</v>
      </c>
      <c r="K758" s="14"/>
      <c r="L758" s="14"/>
      <c r="M758" s="14"/>
      <c r="N758" s="14" t="s">
        <v>50</v>
      </c>
      <c r="O758" s="14" t="s">
        <v>51</v>
      </c>
    </row>
    <row r="759" spans="1:15">
      <c r="A759" s="15" t="s">
        <v>11</v>
      </c>
      <c r="B759" s="15" t="s">
        <v>3745</v>
      </c>
      <c r="C759" s="15" t="s">
        <v>3746</v>
      </c>
      <c r="D759" s="15" t="s">
        <v>3747</v>
      </c>
      <c r="E759" s="15">
        <v>6</v>
      </c>
      <c r="F759" s="15" t="s">
        <v>3762</v>
      </c>
      <c r="G759" s="15" t="s">
        <v>3763</v>
      </c>
      <c r="H759" s="15" t="s">
        <v>3764</v>
      </c>
      <c r="I759" s="15" t="s">
        <v>322</v>
      </c>
      <c r="J759" s="7" t="str">
        <f>HYPERLINK("https://www.codechef.com/problems/PALIXOR", "https://www.codechef.com/problems/PALIXOR")</f>
        <v>https://www.codechef.com/problems/PALIXOR</v>
      </c>
      <c r="K759" s="15"/>
      <c r="L759" s="15" t="s">
        <v>3765</v>
      </c>
      <c r="M759" s="15"/>
      <c r="N759" s="15" t="s">
        <v>50</v>
      </c>
      <c r="O759" s="15" t="s">
        <v>51</v>
      </c>
    </row>
    <row r="760" spans="1:15">
      <c r="A760" s="14" t="s">
        <v>11</v>
      </c>
      <c r="B760" s="14" t="s">
        <v>3745</v>
      </c>
      <c r="C760" s="14" t="s">
        <v>3746</v>
      </c>
      <c r="D760" s="14" t="s">
        <v>3747</v>
      </c>
      <c r="E760" s="14">
        <v>7</v>
      </c>
      <c r="F760" s="14" t="s">
        <v>3766</v>
      </c>
      <c r="G760" s="14" t="s">
        <v>3767</v>
      </c>
      <c r="H760" s="14" t="s">
        <v>3768</v>
      </c>
      <c r="I760" s="14" t="s">
        <v>322</v>
      </c>
      <c r="J760" s="11" t="str">
        <f>HYPERLINK("https://www.codechef.com/problems/DISTK", "https://www.codechef.com/problems/DISTK")</f>
        <v>https://www.codechef.com/problems/DISTK</v>
      </c>
      <c r="K760" s="14"/>
      <c r="L760" s="14" t="s">
        <v>2833</v>
      </c>
      <c r="M760" s="14"/>
      <c r="N760" s="14" t="s">
        <v>50</v>
      </c>
      <c r="O760" s="14" t="s">
        <v>51</v>
      </c>
    </row>
    <row r="761" spans="1:15">
      <c r="A761" s="15" t="s">
        <v>11</v>
      </c>
      <c r="B761" s="15" t="s">
        <v>3745</v>
      </c>
      <c r="C761" s="15" t="s">
        <v>3746</v>
      </c>
      <c r="D761" s="15" t="s">
        <v>3747</v>
      </c>
      <c r="E761" s="15">
        <v>8</v>
      </c>
      <c r="F761" s="15" t="s">
        <v>3769</v>
      </c>
      <c r="G761" s="15" t="s">
        <v>3770</v>
      </c>
      <c r="H761" s="15" t="s">
        <v>3771</v>
      </c>
      <c r="I761" s="15" t="s">
        <v>322</v>
      </c>
      <c r="J761" s="7" t="str">
        <f>HYPERLINK("https://www.codechef.com/problems/PRIMEFACDIV", "https://www.codechef.com/problems/PRIMEFACDIV")</f>
        <v>https://www.codechef.com/problems/PRIMEFACDIV</v>
      </c>
      <c r="K761" s="15"/>
      <c r="L761" s="15" t="s">
        <v>3772</v>
      </c>
      <c r="M761" s="15"/>
      <c r="N761" s="15" t="s">
        <v>50</v>
      </c>
      <c r="O761" s="15" t="s">
        <v>51</v>
      </c>
    </row>
    <row r="762" spans="1:15">
      <c r="A762" s="14" t="s">
        <v>11</v>
      </c>
      <c r="B762" s="14" t="s">
        <v>3745</v>
      </c>
      <c r="C762" s="14" t="s">
        <v>3746</v>
      </c>
      <c r="D762" s="14" t="s">
        <v>3747</v>
      </c>
      <c r="E762" s="14">
        <v>9</v>
      </c>
      <c r="F762" s="14" t="s">
        <v>3773</v>
      </c>
      <c r="G762" s="14" t="s">
        <v>3774</v>
      </c>
      <c r="H762" s="14" t="s">
        <v>3775</v>
      </c>
      <c r="I762" s="14" t="s">
        <v>322</v>
      </c>
      <c r="J762" s="11" t="str">
        <f>HYPERLINK("https://www.codechef.com/problems/QNUMBER", "https://www.codechef.com/problems/QNUMBER")</f>
        <v>https://www.codechef.com/problems/QNUMBER</v>
      </c>
      <c r="K762" s="14"/>
      <c r="L762" s="14" t="s">
        <v>3776</v>
      </c>
      <c r="M762" s="14"/>
      <c r="N762" s="14" t="s">
        <v>50</v>
      </c>
      <c r="O762" s="14" t="s">
        <v>51</v>
      </c>
    </row>
    <row r="763" spans="1:15">
      <c r="A763" s="15" t="s">
        <v>11</v>
      </c>
      <c r="B763" s="15" t="s">
        <v>3745</v>
      </c>
      <c r="C763" s="15" t="s">
        <v>3746</v>
      </c>
      <c r="D763" s="15" t="s">
        <v>3747</v>
      </c>
      <c r="E763" s="15">
        <v>10</v>
      </c>
      <c r="F763" s="15" t="s">
        <v>3777</v>
      </c>
      <c r="G763" s="15" t="s">
        <v>3778</v>
      </c>
      <c r="H763" s="15" t="s">
        <v>3779</v>
      </c>
      <c r="I763" s="15" t="s">
        <v>322</v>
      </c>
      <c r="J763" s="7" t="str">
        <f>HYPERLINK("https://www.codechef.com/problems/MAXANDOR", "https://www.codechef.com/problems/MAXANDOR")</f>
        <v>https://www.codechef.com/problems/MAXANDOR</v>
      </c>
      <c r="K763" s="15"/>
      <c r="L763" s="15" t="s">
        <v>1403</v>
      </c>
      <c r="M763" s="15"/>
      <c r="N763" s="15" t="s">
        <v>50</v>
      </c>
      <c r="O763" s="15" t="s">
        <v>51</v>
      </c>
    </row>
    <row r="764" spans="1:15">
      <c r="A764" s="14" t="s">
        <v>11</v>
      </c>
      <c r="B764" s="14" t="s">
        <v>3745</v>
      </c>
      <c r="C764" s="14" t="s">
        <v>3746</v>
      </c>
      <c r="D764" s="14" t="s">
        <v>3747</v>
      </c>
      <c r="E764" s="14">
        <v>11</v>
      </c>
      <c r="F764" s="14" t="s">
        <v>3780</v>
      </c>
      <c r="G764" s="14" t="s">
        <v>3781</v>
      </c>
      <c r="H764" s="14" t="s">
        <v>3782</v>
      </c>
      <c r="I764" s="14" t="s">
        <v>322</v>
      </c>
      <c r="J764" s="11" t="str">
        <f>HYPERLINK("https://www.codechef.com/problems/NOSEQ", "https://www.codechef.com/problems/NOSEQ")</f>
        <v>https://www.codechef.com/problems/NOSEQ</v>
      </c>
      <c r="K764" s="14"/>
      <c r="L764" s="14"/>
      <c r="M764" s="14"/>
      <c r="N764" s="14" t="s">
        <v>50</v>
      </c>
      <c r="O764" s="14" t="s">
        <v>51</v>
      </c>
    </row>
    <row r="765" spans="1:15">
      <c r="A765" s="15" t="s">
        <v>11</v>
      </c>
      <c r="B765" s="15" t="s">
        <v>3745</v>
      </c>
      <c r="C765" s="15" t="s">
        <v>3746</v>
      </c>
      <c r="D765" s="15" t="s">
        <v>3747</v>
      </c>
      <c r="E765" s="15">
        <v>12</v>
      </c>
      <c r="F765" s="15" t="s">
        <v>3783</v>
      </c>
      <c r="G765" s="15" t="s">
        <v>3784</v>
      </c>
      <c r="H765" s="15" t="s">
        <v>3785</v>
      </c>
      <c r="I765" s="15" t="s">
        <v>322</v>
      </c>
      <c r="J765" s="7" t="str">
        <f>HYPERLINK("https://www.codechef.com/problems/GOLMINE", "https://www.codechef.com/problems/GOLMINE")</f>
        <v>https://www.codechef.com/problems/GOLMINE</v>
      </c>
      <c r="K765" s="15"/>
      <c r="L765" s="15" t="s">
        <v>2138</v>
      </c>
      <c r="M765" s="15"/>
      <c r="N765" s="15" t="s">
        <v>50</v>
      </c>
      <c r="O765" s="15" t="s">
        <v>51</v>
      </c>
    </row>
    <row r="766" spans="1:15">
      <c r="A766" s="14" t="s">
        <v>11</v>
      </c>
      <c r="B766" s="14" t="s">
        <v>3745</v>
      </c>
      <c r="C766" s="14" t="s">
        <v>3746</v>
      </c>
      <c r="D766" s="14" t="s">
        <v>3747</v>
      </c>
      <c r="E766" s="14">
        <v>13</v>
      </c>
      <c r="F766" s="14" t="s">
        <v>3786</v>
      </c>
      <c r="G766" s="14" t="s">
        <v>3787</v>
      </c>
      <c r="H766" s="14" t="s">
        <v>3788</v>
      </c>
      <c r="I766" s="14" t="s">
        <v>322</v>
      </c>
      <c r="J766" s="11" t="str">
        <f>HYPERLINK("https://www.codechef.com/problems/CONSADD", "https://www.codechef.com/problems/CONSADD")</f>
        <v>https://www.codechef.com/problems/CONSADD</v>
      </c>
      <c r="K766" s="14"/>
      <c r="L766" s="14" t="s">
        <v>2833</v>
      </c>
      <c r="M766" s="14"/>
      <c r="N766" s="14" t="s">
        <v>50</v>
      </c>
      <c r="O766" s="14" t="s">
        <v>51</v>
      </c>
    </row>
    <row r="767" spans="1:15">
      <c r="A767" s="15" t="s">
        <v>11</v>
      </c>
      <c r="B767" s="15" t="s">
        <v>3745</v>
      </c>
      <c r="C767" s="15" t="s">
        <v>3746</v>
      </c>
      <c r="D767" s="15" t="s">
        <v>3747</v>
      </c>
      <c r="E767" s="15">
        <v>14</v>
      </c>
      <c r="F767" s="15" t="s">
        <v>3789</v>
      </c>
      <c r="G767" s="15" t="s">
        <v>3790</v>
      </c>
      <c r="H767" s="15" t="s">
        <v>3788</v>
      </c>
      <c r="I767" s="15" t="s">
        <v>322</v>
      </c>
      <c r="J767" s="7" t="str">
        <f>HYPERLINK("https://www.codechef.com/problems/KPAL", "https://www.codechef.com/problems/KPAL")</f>
        <v>https://www.codechef.com/problems/KPAL</v>
      </c>
      <c r="K767" s="15"/>
      <c r="L767" s="15" t="s">
        <v>2681</v>
      </c>
      <c r="M767" s="15"/>
      <c r="N767" s="15" t="s">
        <v>50</v>
      </c>
      <c r="O767" s="15" t="s">
        <v>51</v>
      </c>
    </row>
    <row r="768" spans="1:15">
      <c r="A768" s="14" t="s">
        <v>11</v>
      </c>
      <c r="B768" s="14" t="s">
        <v>3745</v>
      </c>
      <c r="C768" s="14" t="s">
        <v>3746</v>
      </c>
      <c r="D768" s="14" t="s">
        <v>3747</v>
      </c>
      <c r="E768" s="14">
        <v>15</v>
      </c>
      <c r="F768" s="14" t="s">
        <v>3791</v>
      </c>
      <c r="G768" s="14" t="s">
        <v>3792</v>
      </c>
      <c r="H768" s="14" t="s">
        <v>3793</v>
      </c>
      <c r="I768" s="14" t="s">
        <v>322</v>
      </c>
      <c r="J768" s="11" t="str">
        <f>HYPERLINK("https://www.codechef.com/problems/SYMARRSWAP", "https://www.codechef.com/problems/SYMARRSWAP")</f>
        <v>https://www.codechef.com/problems/SYMARRSWAP</v>
      </c>
      <c r="K768" s="14"/>
      <c r="L768" s="14"/>
      <c r="M768" s="14"/>
      <c r="N768" s="14" t="s">
        <v>50</v>
      </c>
      <c r="O768" s="14" t="s">
        <v>51</v>
      </c>
    </row>
    <row r="769" spans="1:15">
      <c r="A769" s="15" t="s">
        <v>11</v>
      </c>
      <c r="B769" s="15" t="s">
        <v>3745</v>
      </c>
      <c r="C769" s="15" t="s">
        <v>3746</v>
      </c>
      <c r="D769" s="15" t="s">
        <v>3747</v>
      </c>
      <c r="E769" s="15">
        <v>16</v>
      </c>
      <c r="F769" s="15" t="s">
        <v>3794</v>
      </c>
      <c r="G769" s="15" t="s">
        <v>3795</v>
      </c>
      <c r="H769" s="15" t="s">
        <v>3796</v>
      </c>
      <c r="I769" s="15" t="s">
        <v>322</v>
      </c>
      <c r="J769" s="7" t="str">
        <f>HYPERLINK("https://www.codechef.com/problems/MOUNTAIN", "https://www.codechef.com/problems/MOUNTAIN")</f>
        <v>https://www.codechef.com/problems/MOUNTAIN</v>
      </c>
      <c r="K769" s="15"/>
      <c r="L769" s="15" t="s">
        <v>140</v>
      </c>
      <c r="M769" s="15"/>
      <c r="N769" s="15" t="s">
        <v>50</v>
      </c>
      <c r="O769" s="15" t="s">
        <v>51</v>
      </c>
    </row>
    <row r="770" spans="1:15">
      <c r="A770" s="14" t="s">
        <v>11</v>
      </c>
      <c r="B770" s="14" t="s">
        <v>3745</v>
      </c>
      <c r="C770" s="14" t="s">
        <v>3746</v>
      </c>
      <c r="D770" s="14" t="s">
        <v>3747</v>
      </c>
      <c r="E770" s="14">
        <v>17</v>
      </c>
      <c r="F770" s="14" t="s">
        <v>3797</v>
      </c>
      <c r="G770" s="14" t="s">
        <v>3798</v>
      </c>
      <c r="H770" s="14" t="s">
        <v>3799</v>
      </c>
      <c r="I770" s="14" t="s">
        <v>322</v>
      </c>
      <c r="J770" s="11" t="str">
        <f>HYPERLINK("https://www.codechef.com/problems/NOPALINDROME", "https://www.codechef.com/problems/NOPALINDROME")</f>
        <v>https://www.codechef.com/problems/NOPALINDROME</v>
      </c>
      <c r="K770" s="14"/>
      <c r="L770" s="14"/>
      <c r="M770" s="14"/>
      <c r="N770" s="14" t="s">
        <v>50</v>
      </c>
      <c r="O770" s="14" t="s">
        <v>51</v>
      </c>
    </row>
    <row r="771" spans="1:15">
      <c r="A771" s="15" t="s">
        <v>11</v>
      </c>
      <c r="B771" s="15" t="s">
        <v>3745</v>
      </c>
      <c r="C771" s="15" t="s">
        <v>3746</v>
      </c>
      <c r="D771" s="15" t="s">
        <v>3747</v>
      </c>
      <c r="E771" s="15">
        <v>18</v>
      </c>
      <c r="F771" s="15" t="s">
        <v>1485</v>
      </c>
      <c r="G771" s="15" t="s">
        <v>1486</v>
      </c>
      <c r="H771" s="15" t="s">
        <v>1487</v>
      </c>
      <c r="I771" s="15" t="s">
        <v>322</v>
      </c>
      <c r="J771" s="7" t="str">
        <f>HYPERLINK("https://www.codechef.com/problems/MAXREMOV", "https://www.codechef.com/problems/MAXREMOV")</f>
        <v>https://www.codechef.com/problems/MAXREMOV</v>
      </c>
      <c r="K771" s="15"/>
      <c r="L771" s="15" t="s">
        <v>1488</v>
      </c>
      <c r="M771" s="15"/>
      <c r="N771" s="15" t="s">
        <v>50</v>
      </c>
      <c r="O771" s="15" t="s">
        <v>51</v>
      </c>
    </row>
    <row r="772" spans="1:15">
      <c r="A772" s="14" t="s">
        <v>11</v>
      </c>
      <c r="B772" s="14" t="s">
        <v>3745</v>
      </c>
      <c r="C772" s="14" t="s">
        <v>3746</v>
      </c>
      <c r="D772" s="14" t="s">
        <v>3747</v>
      </c>
      <c r="E772" s="14">
        <v>19</v>
      </c>
      <c r="F772" s="14" t="s">
        <v>3800</v>
      </c>
      <c r="G772" s="14" t="s">
        <v>3801</v>
      </c>
      <c r="H772" s="14" t="s">
        <v>3802</v>
      </c>
      <c r="I772" s="14" t="s">
        <v>322</v>
      </c>
      <c r="J772" s="11" t="str">
        <f>HYPERLINK("https://www.codechef.com/problems/SPCP6", "https://www.codechef.com/problems/SPCP6")</f>
        <v>https://www.codechef.com/problems/SPCP6</v>
      </c>
      <c r="K772" s="14"/>
      <c r="L772" s="14"/>
      <c r="M772" s="14"/>
      <c r="N772" s="14" t="s">
        <v>50</v>
      </c>
      <c r="O772" s="14" t="s">
        <v>51</v>
      </c>
    </row>
    <row r="773" spans="1:15">
      <c r="A773" s="15" t="s">
        <v>11</v>
      </c>
      <c r="B773" s="15" t="s">
        <v>3745</v>
      </c>
      <c r="C773" s="15" t="s">
        <v>3746</v>
      </c>
      <c r="D773" s="15" t="s">
        <v>3747</v>
      </c>
      <c r="E773" s="15">
        <v>20</v>
      </c>
      <c r="F773" s="15" t="s">
        <v>3803</v>
      </c>
      <c r="G773" s="15" t="s">
        <v>3804</v>
      </c>
      <c r="H773" s="15" t="s">
        <v>3805</v>
      </c>
      <c r="I773" s="15" t="s">
        <v>322</v>
      </c>
      <c r="J773" s="7" t="str">
        <f>HYPERLINK("https://www.codechef.com/problems/PARPER", "https://www.codechef.com/problems/PARPER")</f>
        <v>https://www.codechef.com/problems/PARPER</v>
      </c>
      <c r="K773" s="15"/>
      <c r="L773" s="15" t="s">
        <v>3806</v>
      </c>
      <c r="M773" s="15"/>
      <c r="N773" s="15" t="s">
        <v>50</v>
      </c>
      <c r="O773" s="15" t="s">
        <v>51</v>
      </c>
    </row>
    <row r="774" spans="1:15">
      <c r="A774" s="14" t="s">
        <v>11</v>
      </c>
      <c r="B774" s="14" t="s">
        <v>3745</v>
      </c>
      <c r="C774" s="14" t="s">
        <v>3746</v>
      </c>
      <c r="D774" s="14" t="s">
        <v>3747</v>
      </c>
      <c r="E774" s="14">
        <v>21</v>
      </c>
      <c r="F774" s="14" t="s">
        <v>1489</v>
      </c>
      <c r="G774" s="14" t="s">
        <v>1490</v>
      </c>
      <c r="H774" s="14" t="s">
        <v>1491</v>
      </c>
      <c r="I774" s="14" t="s">
        <v>322</v>
      </c>
      <c r="J774" s="11" t="str">
        <f>HYPERLINK("https://www.codechef.com/problems/AGCY", "https://www.codechef.com/problems/AGCY")</f>
        <v>https://www.codechef.com/problems/AGCY</v>
      </c>
      <c r="K774" s="14"/>
      <c r="L774" s="14" t="s">
        <v>1492</v>
      </c>
      <c r="M774" s="14"/>
      <c r="N774" s="14" t="s">
        <v>50</v>
      </c>
      <c r="O774" s="14" t="s">
        <v>51</v>
      </c>
    </row>
    <row r="775" spans="1:15">
      <c r="A775" s="15" t="s">
        <v>11</v>
      </c>
      <c r="B775" s="15" t="s">
        <v>3745</v>
      </c>
      <c r="C775" s="15" t="s">
        <v>3746</v>
      </c>
      <c r="D775" s="15" t="s">
        <v>3747</v>
      </c>
      <c r="E775" s="15">
        <v>22</v>
      </c>
      <c r="F775" s="15" t="s">
        <v>3807</v>
      </c>
      <c r="G775" s="15" t="s">
        <v>3808</v>
      </c>
      <c r="H775" s="15" t="s">
        <v>1491</v>
      </c>
      <c r="I775" s="15" t="s">
        <v>322</v>
      </c>
      <c r="J775" s="7" t="str">
        <f>HYPERLINK("https://www.codechef.com/problems/BURGER", "https://www.codechef.com/problems/BURGER")</f>
        <v>https://www.codechef.com/problems/BURGER</v>
      </c>
      <c r="K775" s="15"/>
      <c r="L775" s="15" t="s">
        <v>3809</v>
      </c>
      <c r="M775" s="15"/>
      <c r="N775" s="15" t="s">
        <v>50</v>
      </c>
      <c r="O775" s="15" t="s">
        <v>51</v>
      </c>
    </row>
    <row r="776" spans="1:15">
      <c r="A776" s="14" t="s">
        <v>11</v>
      </c>
      <c r="B776" s="14" t="s">
        <v>3745</v>
      </c>
      <c r="C776" s="14" t="s">
        <v>3746</v>
      </c>
      <c r="D776" s="14" t="s">
        <v>3747</v>
      </c>
      <c r="E776" s="14">
        <v>23</v>
      </c>
      <c r="F776" s="14" t="s">
        <v>3810</v>
      </c>
      <c r="G776" s="14" t="s">
        <v>3811</v>
      </c>
      <c r="H776" s="14" t="s">
        <v>3812</v>
      </c>
      <c r="I776" s="14" t="s">
        <v>322</v>
      </c>
      <c r="J776" s="11" t="str">
        <f>HYPERLINK("https://www.codechef.com/problems/SUMARRAY", "https://www.codechef.com/problems/SUMARRAY")</f>
        <v>https://www.codechef.com/problems/SUMARRAY</v>
      </c>
      <c r="K776" s="14"/>
      <c r="L776" s="14"/>
      <c r="M776" s="14"/>
      <c r="N776" s="14" t="s">
        <v>50</v>
      </c>
      <c r="O776" s="14" t="s">
        <v>51</v>
      </c>
    </row>
    <row r="777" spans="1:15">
      <c r="A777" s="15" t="s">
        <v>11</v>
      </c>
      <c r="B777" s="15" t="s">
        <v>3745</v>
      </c>
      <c r="C777" s="15" t="s">
        <v>3746</v>
      </c>
      <c r="D777" s="15" t="s">
        <v>3747</v>
      </c>
      <c r="E777" s="15">
        <v>24</v>
      </c>
      <c r="F777" s="15" t="s">
        <v>3813</v>
      </c>
      <c r="G777" s="15" t="s">
        <v>3814</v>
      </c>
      <c r="H777" s="15" t="s">
        <v>3815</v>
      </c>
      <c r="I777" s="15" t="s">
        <v>322</v>
      </c>
      <c r="J777" s="7" t="str">
        <f>HYPERLINK("https://www.codechef.com/problems/EQUIVALENT", "https://www.codechef.com/problems/EQUIVALENT")</f>
        <v>https://www.codechef.com/problems/EQUIVALENT</v>
      </c>
      <c r="K777" s="15"/>
      <c r="L777" s="15" t="s">
        <v>3816</v>
      </c>
      <c r="M777" s="15"/>
      <c r="N777" s="15" t="s">
        <v>50</v>
      </c>
      <c r="O777" s="15" t="s">
        <v>51</v>
      </c>
    </row>
    <row r="778" spans="1:15">
      <c r="A778" s="14" t="s">
        <v>11</v>
      </c>
      <c r="B778" s="14" t="s">
        <v>3745</v>
      </c>
      <c r="C778" s="14" t="s">
        <v>3746</v>
      </c>
      <c r="D778" s="14" t="s">
        <v>3747</v>
      </c>
      <c r="E778" s="14">
        <v>25</v>
      </c>
      <c r="F778" s="14" t="s">
        <v>3817</v>
      </c>
      <c r="G778" s="14" t="s">
        <v>3818</v>
      </c>
      <c r="H778" s="14" t="s">
        <v>3819</v>
      </c>
      <c r="I778" s="14" t="s">
        <v>322</v>
      </c>
      <c r="J778" s="11" t="str">
        <f>HYPERLINK("https://www.codechef.com/problems/SEGTHREE", "https://www.codechef.com/problems/SEGTHREE")</f>
        <v>https://www.codechef.com/problems/SEGTHREE</v>
      </c>
      <c r="K778" s="14"/>
      <c r="L778" s="14"/>
      <c r="M778" s="14"/>
      <c r="N778" s="14" t="s">
        <v>50</v>
      </c>
      <c r="O778" s="14" t="s">
        <v>51</v>
      </c>
    </row>
    <row r="779" spans="1:15">
      <c r="A779" s="15" t="s">
        <v>11</v>
      </c>
      <c r="B779" s="15" t="s">
        <v>3745</v>
      </c>
      <c r="C779" s="15" t="s">
        <v>3746</v>
      </c>
      <c r="D779" s="15" t="s">
        <v>3747</v>
      </c>
      <c r="E779" s="15">
        <v>26</v>
      </c>
      <c r="F779" s="15" t="s">
        <v>3820</v>
      </c>
      <c r="G779" s="15" t="s">
        <v>3821</v>
      </c>
      <c r="H779" s="15" t="s">
        <v>3822</v>
      </c>
      <c r="I779" s="15" t="s">
        <v>322</v>
      </c>
      <c r="J779" s="7" t="str">
        <f>HYPERLINK("https://www.codechef.com/problems/FPE", "https://www.codechef.com/problems/FPE")</f>
        <v>https://www.codechef.com/problems/FPE</v>
      </c>
      <c r="K779" s="15"/>
      <c r="L779" s="15" t="s">
        <v>3823</v>
      </c>
      <c r="M779" s="15"/>
      <c r="N779" s="15" t="s">
        <v>50</v>
      </c>
      <c r="O779" s="15" t="s">
        <v>51</v>
      </c>
    </row>
    <row r="780" spans="1:15">
      <c r="A780" s="14" t="s">
        <v>11</v>
      </c>
      <c r="B780" s="14" t="s">
        <v>3745</v>
      </c>
      <c r="C780" s="14" t="s">
        <v>3746</v>
      </c>
      <c r="D780" s="14" t="s">
        <v>3747</v>
      </c>
      <c r="E780" s="14">
        <v>27</v>
      </c>
      <c r="F780" s="14" t="s">
        <v>3824</v>
      </c>
      <c r="G780" s="14" t="s">
        <v>3825</v>
      </c>
      <c r="H780" s="14" t="s">
        <v>3826</v>
      </c>
      <c r="I780" s="14" t="s">
        <v>322</v>
      </c>
      <c r="J780" s="11" t="str">
        <f>HYPERLINK("https://www.codechef.com/problems/RECHEND", "https://www.codechef.com/problems/RECHEND")</f>
        <v>https://www.codechef.com/problems/RECHEND</v>
      </c>
      <c r="K780" s="14"/>
      <c r="L780" s="14"/>
      <c r="M780" s="14"/>
      <c r="N780" s="14" t="s">
        <v>50</v>
      </c>
      <c r="O780" s="14" t="s">
        <v>51</v>
      </c>
    </row>
    <row r="781" spans="1:15">
      <c r="A781" s="15" t="s">
        <v>11</v>
      </c>
      <c r="B781" s="15" t="s">
        <v>3745</v>
      </c>
      <c r="C781" s="15" t="s">
        <v>3746</v>
      </c>
      <c r="D781" s="15" t="s">
        <v>3747</v>
      </c>
      <c r="E781" s="15">
        <v>28</v>
      </c>
      <c r="F781" s="15" t="s">
        <v>3827</v>
      </c>
      <c r="G781" s="15" t="s">
        <v>3828</v>
      </c>
      <c r="H781" s="15" t="s">
        <v>3826</v>
      </c>
      <c r="I781" s="15" t="s">
        <v>322</v>
      </c>
      <c r="J781" s="7" t="str">
        <f>HYPERLINK("https://www.codechef.com/problems/TRPTSTIC", "https://www.codechef.com/problems/TRPTSTIC")</f>
        <v>https://www.codechef.com/problems/TRPTSTIC</v>
      </c>
      <c r="K781" s="15"/>
      <c r="L781" s="15"/>
      <c r="M781" s="15"/>
      <c r="N781" s="15" t="s">
        <v>50</v>
      </c>
      <c r="O781" s="15" t="s">
        <v>51</v>
      </c>
    </row>
    <row r="782" spans="1:15">
      <c r="A782" s="14" t="s">
        <v>11</v>
      </c>
      <c r="B782" s="14" t="s">
        <v>3745</v>
      </c>
      <c r="C782" s="14" t="s">
        <v>3746</v>
      </c>
      <c r="D782" s="14" t="s">
        <v>3747</v>
      </c>
      <c r="E782" s="14">
        <v>29</v>
      </c>
      <c r="F782" s="14" t="s">
        <v>3829</v>
      </c>
      <c r="G782" s="14" t="s">
        <v>3830</v>
      </c>
      <c r="H782" s="14" t="s">
        <v>3831</v>
      </c>
      <c r="I782" s="14" t="s">
        <v>322</v>
      </c>
      <c r="J782" s="11" t="str">
        <f>HYPERLINK("https://www.codechef.com/problems/LCMMANIA", "https://www.codechef.com/problems/LCMMANIA")</f>
        <v>https://www.codechef.com/problems/LCMMANIA</v>
      </c>
      <c r="K782" s="14"/>
      <c r="L782" s="14" t="s">
        <v>3832</v>
      </c>
      <c r="M782" s="14"/>
      <c r="N782" s="14" t="s">
        <v>50</v>
      </c>
      <c r="O782" s="14" t="s">
        <v>51</v>
      </c>
    </row>
    <row r="783" spans="1:15">
      <c r="A783" s="15" t="s">
        <v>11</v>
      </c>
      <c r="B783" s="15" t="s">
        <v>3745</v>
      </c>
      <c r="C783" s="15" t="s">
        <v>3746</v>
      </c>
      <c r="D783" s="15" t="s">
        <v>3747</v>
      </c>
      <c r="E783" s="15">
        <v>30</v>
      </c>
      <c r="F783" s="15" t="s">
        <v>3833</v>
      </c>
      <c r="G783" s="15" t="s">
        <v>3834</v>
      </c>
      <c r="H783" s="15" t="s">
        <v>3835</v>
      </c>
      <c r="I783" s="15" t="s">
        <v>322</v>
      </c>
      <c r="J783" s="7" t="str">
        <f>HYPERLINK("https://www.codechef.com/problems/SUBARRAYXOR", "https://www.codechef.com/problems/SUBARRAYXOR")</f>
        <v>https://www.codechef.com/problems/SUBARRAYXOR</v>
      </c>
      <c r="K783" s="15"/>
      <c r="L783" s="15"/>
      <c r="M783" s="15"/>
      <c r="N783" s="15" t="s">
        <v>50</v>
      </c>
      <c r="O783" s="15" t="s">
        <v>51</v>
      </c>
    </row>
    <row r="784" spans="1:15">
      <c r="A784" s="14" t="s">
        <v>11</v>
      </c>
      <c r="B784" s="14" t="s">
        <v>3745</v>
      </c>
      <c r="C784" s="14" t="s">
        <v>3746</v>
      </c>
      <c r="D784" s="14" t="s">
        <v>3747</v>
      </c>
      <c r="E784" s="14">
        <v>31</v>
      </c>
      <c r="F784" s="14" t="s">
        <v>3836</v>
      </c>
      <c r="G784" s="14" t="s">
        <v>3837</v>
      </c>
      <c r="H784" s="14" t="s">
        <v>3838</v>
      </c>
      <c r="I784" s="14" t="s">
        <v>322</v>
      </c>
      <c r="J784" s="11" t="str">
        <f>HYPERLINK("https://www.codechef.com/problems/MAJIK", "https://www.codechef.com/problems/MAJIK")</f>
        <v>https://www.codechef.com/problems/MAJIK</v>
      </c>
      <c r="K784" s="14"/>
      <c r="L784" s="14"/>
      <c r="M784" s="14"/>
      <c r="N784" s="14" t="s">
        <v>50</v>
      </c>
      <c r="O784" s="14" t="s">
        <v>51</v>
      </c>
    </row>
    <row r="785" spans="1:15">
      <c r="A785" s="15" t="s">
        <v>11</v>
      </c>
      <c r="B785" s="15" t="s">
        <v>3745</v>
      </c>
      <c r="C785" s="15" t="s">
        <v>3746</v>
      </c>
      <c r="D785" s="15" t="s">
        <v>3747</v>
      </c>
      <c r="E785" s="15">
        <v>32</v>
      </c>
      <c r="F785" s="15" t="s">
        <v>3839</v>
      </c>
      <c r="G785" s="15" t="s">
        <v>3840</v>
      </c>
      <c r="H785" s="15" t="s">
        <v>3841</v>
      </c>
      <c r="I785" s="15" t="s">
        <v>322</v>
      </c>
      <c r="J785" s="7" t="str">
        <f>HYPERLINK("https://www.codechef.com/problems/TRAVELLING", "https://www.codechef.com/problems/TRAVELLING")</f>
        <v>https://www.codechef.com/problems/TRAVELLING</v>
      </c>
      <c r="K785" s="15"/>
      <c r="L785" s="15"/>
      <c r="M785" s="15"/>
      <c r="N785" s="15" t="s">
        <v>50</v>
      </c>
      <c r="O785" s="15" t="s">
        <v>51</v>
      </c>
    </row>
    <row r="786" spans="1:15">
      <c r="A786" s="14" t="s">
        <v>11</v>
      </c>
      <c r="B786" s="14" t="s">
        <v>3745</v>
      </c>
      <c r="C786" s="14" t="s">
        <v>3746</v>
      </c>
      <c r="D786" s="14" t="s">
        <v>3747</v>
      </c>
      <c r="E786" s="14">
        <v>33</v>
      </c>
      <c r="F786" s="14" t="s">
        <v>3842</v>
      </c>
      <c r="G786" s="14" t="s">
        <v>3843</v>
      </c>
      <c r="H786" s="14" t="s">
        <v>3844</v>
      </c>
      <c r="I786" s="14" t="s">
        <v>322</v>
      </c>
      <c r="J786" s="11" t="str">
        <f>HYPERLINK("https://www.codechef.com/problems/MAXIMALEXP", "https://www.codechef.com/problems/MAXIMALEXP")</f>
        <v>https://www.codechef.com/problems/MAXIMALEXP</v>
      </c>
      <c r="K786" s="14"/>
      <c r="L786" s="14" t="s">
        <v>3845</v>
      </c>
      <c r="M786" s="14"/>
      <c r="N786" s="14" t="s">
        <v>50</v>
      </c>
      <c r="O786" s="14" t="s">
        <v>51</v>
      </c>
    </row>
    <row r="787" spans="1:15">
      <c r="A787" s="15" t="s">
        <v>11</v>
      </c>
      <c r="B787" s="15" t="s">
        <v>3745</v>
      </c>
      <c r="C787" s="15" t="s">
        <v>3746</v>
      </c>
      <c r="D787" s="15" t="s">
        <v>3747</v>
      </c>
      <c r="E787" s="15">
        <v>34</v>
      </c>
      <c r="F787" s="15" t="s">
        <v>3846</v>
      </c>
      <c r="G787" s="15" t="s">
        <v>3847</v>
      </c>
      <c r="H787" s="15" t="s">
        <v>3848</v>
      </c>
      <c r="I787" s="15" t="s">
        <v>322</v>
      </c>
      <c r="J787" s="7" t="str">
        <f>HYPERLINK("https://www.codechef.com/problems/INTARR", "https://www.codechef.com/problems/INTARR")</f>
        <v>https://www.codechef.com/problems/INTARR</v>
      </c>
      <c r="K787" s="15"/>
      <c r="L787" s="15" t="s">
        <v>3849</v>
      </c>
      <c r="M787" s="15"/>
      <c r="N787" s="15" t="s">
        <v>50</v>
      </c>
      <c r="O787" s="15" t="s">
        <v>51</v>
      </c>
    </row>
    <row r="788" spans="1:15">
      <c r="A788" s="14" t="s">
        <v>11</v>
      </c>
      <c r="B788" s="14" t="s">
        <v>3745</v>
      </c>
      <c r="C788" s="14" t="s">
        <v>3746</v>
      </c>
      <c r="D788" s="14" t="s">
        <v>3747</v>
      </c>
      <c r="E788" s="14">
        <v>35</v>
      </c>
      <c r="F788" s="14" t="s">
        <v>3850</v>
      </c>
      <c r="G788" s="14" t="s">
        <v>3851</v>
      </c>
      <c r="H788" s="14" t="s">
        <v>3852</v>
      </c>
      <c r="I788" s="14" t="s">
        <v>322</v>
      </c>
      <c r="J788" s="11" t="str">
        <f>HYPERLINK("https://www.codechef.com/problems/MAXVAC", "https://www.codechef.com/problems/MAXVAC")</f>
        <v>https://www.codechef.com/problems/MAXVAC</v>
      </c>
      <c r="K788" s="14"/>
      <c r="L788" s="14" t="s">
        <v>3853</v>
      </c>
      <c r="M788" s="14"/>
      <c r="N788" s="14" t="s">
        <v>50</v>
      </c>
      <c r="O788" s="14" t="s">
        <v>51</v>
      </c>
    </row>
    <row r="789" spans="1:15">
      <c r="A789" s="15" t="s">
        <v>11</v>
      </c>
      <c r="B789" s="15" t="s">
        <v>3745</v>
      </c>
      <c r="C789" s="15" t="s">
        <v>3746</v>
      </c>
      <c r="D789" s="15" t="s">
        <v>3747</v>
      </c>
      <c r="E789" s="15">
        <v>36</v>
      </c>
      <c r="F789" s="15" t="s">
        <v>3854</v>
      </c>
      <c r="G789" s="15" t="s">
        <v>3855</v>
      </c>
      <c r="H789" s="15" t="s">
        <v>3856</v>
      </c>
      <c r="I789" s="15" t="s">
        <v>322</v>
      </c>
      <c r="J789" s="7" t="str">
        <f>HYPERLINK("https://www.codechef.com/problems/SQRTCBRT", "https://www.codechef.com/problems/SQRTCBRT")</f>
        <v>https://www.codechef.com/problems/SQRTCBRT</v>
      </c>
      <c r="K789" s="15"/>
      <c r="L789" s="15"/>
      <c r="M789" s="15"/>
      <c r="N789" s="15" t="s">
        <v>50</v>
      </c>
      <c r="O789" s="15" t="s">
        <v>51</v>
      </c>
    </row>
    <row r="790" spans="1:15">
      <c r="A790" s="14" t="s">
        <v>11</v>
      </c>
      <c r="B790" s="14" t="s">
        <v>3745</v>
      </c>
      <c r="C790" s="14" t="s">
        <v>3746</v>
      </c>
      <c r="D790" s="14" t="s">
        <v>3747</v>
      </c>
      <c r="E790" s="14">
        <v>37</v>
      </c>
      <c r="F790" s="14" t="s">
        <v>3857</v>
      </c>
      <c r="G790" s="14" t="s">
        <v>3858</v>
      </c>
      <c r="H790" s="14" t="s">
        <v>3859</v>
      </c>
      <c r="I790" s="14" t="s">
        <v>322</v>
      </c>
      <c r="J790" s="11" t="str">
        <f>HYPERLINK("https://www.codechef.com/problems/LEXILARGEST", "https://www.codechef.com/problems/LEXILARGEST")</f>
        <v>https://www.codechef.com/problems/LEXILARGEST</v>
      </c>
      <c r="K790" s="14"/>
      <c r="L790" s="14" t="s">
        <v>3860</v>
      </c>
      <c r="M790" s="14"/>
      <c r="N790" s="14" t="s">
        <v>50</v>
      </c>
      <c r="O790" s="14" t="s">
        <v>51</v>
      </c>
    </row>
    <row r="791" spans="1:15">
      <c r="A791" s="15" t="s">
        <v>11</v>
      </c>
      <c r="B791" s="15" t="s">
        <v>3745</v>
      </c>
      <c r="C791" s="15" t="s">
        <v>3746</v>
      </c>
      <c r="D791" s="15" t="s">
        <v>3747</v>
      </c>
      <c r="E791" s="15">
        <v>38</v>
      </c>
      <c r="F791" s="15" t="s">
        <v>3861</v>
      </c>
      <c r="G791" s="15" t="s">
        <v>3862</v>
      </c>
      <c r="H791" s="15" t="s">
        <v>3863</v>
      </c>
      <c r="I791" s="15" t="s">
        <v>322</v>
      </c>
      <c r="J791" s="7" t="str">
        <f>HYPERLINK("https://www.codechef.com/problems/AWESUM_OR", "https://www.codechef.com/problems/AWESUM_OR")</f>
        <v>https://www.codechef.com/problems/AWESUM_OR</v>
      </c>
      <c r="K791" s="15"/>
      <c r="L791" s="15" t="s">
        <v>3864</v>
      </c>
      <c r="M791" s="15"/>
      <c r="N791" s="15" t="s">
        <v>50</v>
      </c>
      <c r="O791" s="15" t="s">
        <v>51</v>
      </c>
    </row>
    <row r="792" spans="1:15">
      <c r="A792" s="14" t="s">
        <v>11</v>
      </c>
      <c r="B792" s="14" t="s">
        <v>3745</v>
      </c>
      <c r="C792" s="14" t="s">
        <v>3746</v>
      </c>
      <c r="D792" s="14" t="s">
        <v>3747</v>
      </c>
      <c r="E792" s="14">
        <v>39</v>
      </c>
      <c r="F792" s="14" t="s">
        <v>3865</v>
      </c>
      <c r="G792" s="14" t="s">
        <v>3866</v>
      </c>
      <c r="H792" s="14" t="s">
        <v>3867</v>
      </c>
      <c r="I792" s="14" t="s">
        <v>322</v>
      </c>
      <c r="J792" s="11" t="str">
        <f>HYPERLINK("https://www.codechef.com/problems/MUSROD", "https://www.codechef.com/problems/MUSROD")</f>
        <v>https://www.codechef.com/problems/MUSROD</v>
      </c>
      <c r="K792" s="14"/>
      <c r="L792" s="14" t="s">
        <v>2946</v>
      </c>
      <c r="M792" s="14"/>
      <c r="N792" s="14" t="s">
        <v>50</v>
      </c>
      <c r="O792" s="14" t="s">
        <v>51</v>
      </c>
    </row>
    <row r="793" spans="1:15">
      <c r="A793" s="15" t="s">
        <v>11</v>
      </c>
      <c r="B793" s="15" t="s">
        <v>3745</v>
      </c>
      <c r="C793" s="15" t="s">
        <v>3746</v>
      </c>
      <c r="D793" s="15" t="s">
        <v>3747</v>
      </c>
      <c r="E793" s="15">
        <v>40</v>
      </c>
      <c r="F793" s="15" t="s">
        <v>3868</v>
      </c>
      <c r="G793" s="15" t="s">
        <v>3869</v>
      </c>
      <c r="H793" s="15" t="s">
        <v>3870</v>
      </c>
      <c r="I793" s="15" t="s">
        <v>322</v>
      </c>
      <c r="J793" s="7" t="str">
        <f>HYPERLINK("https://www.codechef.com/problems/SUBSBIN", "https://www.codechef.com/problems/SUBSBIN")</f>
        <v>https://www.codechef.com/problems/SUBSBIN</v>
      </c>
      <c r="K793" s="15"/>
      <c r="L793" s="15"/>
      <c r="M793" s="15"/>
      <c r="N793" s="15" t="s">
        <v>50</v>
      </c>
      <c r="O793" s="15" t="s">
        <v>51</v>
      </c>
    </row>
    <row r="794" spans="1:15">
      <c r="A794" s="14" t="s">
        <v>11</v>
      </c>
      <c r="B794" s="14" t="s">
        <v>3745</v>
      </c>
      <c r="C794" s="14" t="s">
        <v>3746</v>
      </c>
      <c r="D794" s="14" t="s">
        <v>3747</v>
      </c>
      <c r="E794" s="14">
        <v>41</v>
      </c>
      <c r="F794" s="14" t="s">
        <v>3871</v>
      </c>
      <c r="G794" s="14" t="s">
        <v>3872</v>
      </c>
      <c r="H794" s="14" t="s">
        <v>3873</v>
      </c>
      <c r="I794" s="14" t="s">
        <v>322</v>
      </c>
      <c r="J794" s="11" t="str">
        <f>HYPERLINK("https://www.codechef.com/problems/CHEFSHOPPING", "https://www.codechef.com/problems/CHEFSHOPPING")</f>
        <v>https://www.codechef.com/problems/CHEFSHOPPING</v>
      </c>
      <c r="K794" s="14"/>
      <c r="L794" s="14" t="s">
        <v>2344</v>
      </c>
      <c r="M794" s="14"/>
      <c r="N794" s="14" t="s">
        <v>50</v>
      </c>
      <c r="O794" s="14" t="s">
        <v>51</v>
      </c>
    </row>
    <row r="795" spans="1:15">
      <c r="A795" s="15" t="s">
        <v>11</v>
      </c>
      <c r="B795" s="15" t="s">
        <v>3745</v>
      </c>
      <c r="C795" s="15" t="s">
        <v>3746</v>
      </c>
      <c r="D795" s="15" t="s">
        <v>3747</v>
      </c>
      <c r="E795" s="15">
        <v>42</v>
      </c>
      <c r="F795" s="15" t="s">
        <v>3874</v>
      </c>
      <c r="G795" s="15" t="s">
        <v>3875</v>
      </c>
      <c r="H795" s="15" t="s">
        <v>3873</v>
      </c>
      <c r="I795" s="15" t="s">
        <v>322</v>
      </c>
      <c r="J795" s="7" t="str">
        <f>HYPERLINK("https://www.codechef.com/problems/DIVBY3", "https://www.codechef.com/problems/DIVBY3")</f>
        <v>https://www.codechef.com/problems/DIVBY3</v>
      </c>
      <c r="K795" s="15"/>
      <c r="L795" s="15" t="s">
        <v>3876</v>
      </c>
      <c r="M795" s="15"/>
      <c r="N795" s="15" t="s">
        <v>50</v>
      </c>
      <c r="O795" s="15" t="s">
        <v>51</v>
      </c>
    </row>
    <row r="796" spans="1:15">
      <c r="A796" s="14" t="s">
        <v>11</v>
      </c>
      <c r="B796" s="14" t="s">
        <v>3745</v>
      </c>
      <c r="C796" s="14" t="s">
        <v>3746</v>
      </c>
      <c r="D796" s="14" t="s">
        <v>3747</v>
      </c>
      <c r="E796" s="14">
        <v>43</v>
      </c>
      <c r="F796" s="14" t="s">
        <v>3877</v>
      </c>
      <c r="G796" s="14" t="s">
        <v>3878</v>
      </c>
      <c r="H796" s="14" t="s">
        <v>3879</v>
      </c>
      <c r="I796" s="14" t="s">
        <v>322</v>
      </c>
      <c r="J796" s="11" t="str">
        <f>HYPERLINK("https://www.codechef.com/problems/SEQGOODNESS", "https://www.codechef.com/problems/SEQGOODNESS")</f>
        <v>https://www.codechef.com/problems/SEQGOODNESS</v>
      </c>
      <c r="K796" s="14"/>
      <c r="L796" s="14"/>
      <c r="M796" s="14"/>
      <c r="N796" s="14" t="s">
        <v>50</v>
      </c>
      <c r="O796" s="14" t="s">
        <v>51</v>
      </c>
    </row>
    <row r="797" spans="1:15">
      <c r="A797" s="15" t="s">
        <v>11</v>
      </c>
      <c r="B797" s="15" t="s">
        <v>3745</v>
      </c>
      <c r="C797" s="15" t="s">
        <v>3746</v>
      </c>
      <c r="D797" s="15" t="s">
        <v>3747</v>
      </c>
      <c r="E797" s="15">
        <v>44</v>
      </c>
      <c r="F797" s="15" t="s">
        <v>3880</v>
      </c>
      <c r="G797" s="15" t="s">
        <v>3881</v>
      </c>
      <c r="H797" s="15" t="s">
        <v>3882</v>
      </c>
      <c r="I797" s="15" t="s">
        <v>322</v>
      </c>
      <c r="J797" s="7" t="str">
        <f>HYPERLINK("https://www.codechef.com/problems/MINIMUMOP", "https://www.codechef.com/problems/MINIMUMOP")</f>
        <v>https://www.codechef.com/problems/MINIMUMOP</v>
      </c>
      <c r="K797" s="15"/>
      <c r="L797" s="15" t="s">
        <v>3816</v>
      </c>
      <c r="M797" s="15"/>
      <c r="N797" s="15" t="s">
        <v>50</v>
      </c>
      <c r="O797" s="15" t="s">
        <v>51</v>
      </c>
    </row>
    <row r="798" spans="1:15">
      <c r="A798" s="14" t="s">
        <v>11</v>
      </c>
      <c r="B798" s="14" t="s">
        <v>3745</v>
      </c>
      <c r="C798" s="14" t="s">
        <v>3746</v>
      </c>
      <c r="D798" s="14" t="s">
        <v>3747</v>
      </c>
      <c r="E798" s="14">
        <v>45</v>
      </c>
      <c r="F798" s="14" t="s">
        <v>3883</v>
      </c>
      <c r="G798" s="14" t="s">
        <v>3884</v>
      </c>
      <c r="H798" s="14" t="s">
        <v>3885</v>
      </c>
      <c r="I798" s="14" t="s">
        <v>322</v>
      </c>
      <c r="J798" s="11" t="str">
        <f>HYPERLINK("https://www.codechef.com/problems/CCD", "https://www.codechef.com/problems/CCD")</f>
        <v>https://www.codechef.com/problems/CCD</v>
      </c>
      <c r="K798" s="14"/>
      <c r="L798" s="14" t="s">
        <v>3886</v>
      </c>
      <c r="M798" s="14"/>
      <c r="N798" s="14" t="s">
        <v>50</v>
      </c>
      <c r="O798" s="14" t="s">
        <v>51</v>
      </c>
    </row>
    <row r="799" spans="1:15">
      <c r="A799" s="15" t="s">
        <v>11</v>
      </c>
      <c r="B799" s="15" t="s">
        <v>3745</v>
      </c>
      <c r="C799" s="15" t="s">
        <v>3746</v>
      </c>
      <c r="D799" s="15" t="s">
        <v>3747</v>
      </c>
      <c r="E799" s="15">
        <v>46</v>
      </c>
      <c r="F799" s="15" t="s">
        <v>3887</v>
      </c>
      <c r="G799" s="15" t="s">
        <v>3888</v>
      </c>
      <c r="H799" s="15" t="s">
        <v>3889</v>
      </c>
      <c r="I799" s="15" t="s">
        <v>322</v>
      </c>
      <c r="J799" s="7" t="str">
        <f>HYPERLINK("https://www.codechef.com/problems/EXPVALUE", "https://www.codechef.com/problems/EXPVALUE")</f>
        <v>https://www.codechef.com/problems/EXPVALUE</v>
      </c>
      <c r="K799" s="15"/>
      <c r="L799" s="15" t="s">
        <v>3890</v>
      </c>
      <c r="M799" s="15"/>
      <c r="N799" s="15" t="s">
        <v>50</v>
      </c>
      <c r="O799" s="15" t="s">
        <v>51</v>
      </c>
    </row>
    <row r="800" spans="1:15">
      <c r="A800" s="14" t="s">
        <v>11</v>
      </c>
      <c r="B800" s="14" t="s">
        <v>3745</v>
      </c>
      <c r="C800" s="14" t="s">
        <v>3746</v>
      </c>
      <c r="D800" s="14" t="s">
        <v>3747</v>
      </c>
      <c r="E800" s="14">
        <v>47</v>
      </c>
      <c r="F800" s="14" t="s">
        <v>1493</v>
      </c>
      <c r="G800" s="14" t="s">
        <v>1494</v>
      </c>
      <c r="H800" s="14" t="s">
        <v>1495</v>
      </c>
      <c r="I800" s="14" t="s">
        <v>322</v>
      </c>
      <c r="J800" s="11" t="str">
        <f>HYPERLINK("https://www.codechef.com/problems/CENS20A", "https://www.codechef.com/problems/CENS20A")</f>
        <v>https://www.codechef.com/problems/CENS20A</v>
      </c>
      <c r="K800" s="14"/>
      <c r="L800" s="14" t="s">
        <v>1496</v>
      </c>
      <c r="M800" s="14"/>
      <c r="N800" s="14" t="s">
        <v>50</v>
      </c>
      <c r="O800" s="14" t="s">
        <v>51</v>
      </c>
    </row>
    <row r="801" spans="1:15">
      <c r="A801" s="15" t="s">
        <v>11</v>
      </c>
      <c r="B801" s="15" t="s">
        <v>3745</v>
      </c>
      <c r="C801" s="15" t="s">
        <v>3746</v>
      </c>
      <c r="D801" s="15" t="s">
        <v>3747</v>
      </c>
      <c r="E801" s="15">
        <v>48</v>
      </c>
      <c r="F801" s="15" t="s">
        <v>3891</v>
      </c>
      <c r="G801" s="15" t="s">
        <v>3892</v>
      </c>
      <c r="H801" s="15" t="s">
        <v>3893</v>
      </c>
      <c r="I801" s="15" t="s">
        <v>322</v>
      </c>
      <c r="J801" s="7" t="str">
        <f>HYPERLINK("https://www.codechef.com/problems/SSO", "https://www.codechef.com/problems/SSO")</f>
        <v>https://www.codechef.com/problems/SSO</v>
      </c>
      <c r="K801" s="15"/>
      <c r="L801" s="15"/>
      <c r="M801" s="15"/>
      <c r="N801" s="15" t="s">
        <v>50</v>
      </c>
      <c r="O801" s="15" t="s">
        <v>51</v>
      </c>
    </row>
    <row r="802" spans="1:15">
      <c r="A802" s="14" t="s">
        <v>11</v>
      </c>
      <c r="B802" s="14" t="s">
        <v>3745</v>
      </c>
      <c r="C802" s="14" t="s">
        <v>3746</v>
      </c>
      <c r="D802" s="14" t="s">
        <v>3747</v>
      </c>
      <c r="E802" s="14">
        <v>49</v>
      </c>
      <c r="F802" s="14" t="s">
        <v>3894</v>
      </c>
      <c r="G802" s="14" t="s">
        <v>3895</v>
      </c>
      <c r="H802" s="14" t="s">
        <v>3896</v>
      </c>
      <c r="I802" s="14" t="s">
        <v>322</v>
      </c>
      <c r="J802" s="11" t="str">
        <f>HYPERLINK("https://www.codechef.com/problems/DLTNODE", "https://www.codechef.com/problems/DLTNODE")</f>
        <v>https://www.codechef.com/problems/DLTNODE</v>
      </c>
      <c r="K802" s="14"/>
      <c r="L802" s="14" t="s">
        <v>3897</v>
      </c>
      <c r="M802" s="14"/>
      <c r="N802" s="14" t="s">
        <v>50</v>
      </c>
      <c r="O802" s="14" t="s">
        <v>51</v>
      </c>
    </row>
    <row r="803" spans="1:15">
      <c r="A803" s="15" t="s">
        <v>11</v>
      </c>
      <c r="B803" s="15" t="s">
        <v>3745</v>
      </c>
      <c r="C803" s="15" t="s">
        <v>3746</v>
      </c>
      <c r="D803" s="15" t="s">
        <v>3747</v>
      </c>
      <c r="E803" s="15">
        <v>50</v>
      </c>
      <c r="F803" s="15" t="s">
        <v>3898</v>
      </c>
      <c r="G803" s="15" t="s">
        <v>3899</v>
      </c>
      <c r="H803" s="15" t="s">
        <v>3896</v>
      </c>
      <c r="I803" s="15" t="s">
        <v>322</v>
      </c>
      <c r="J803" s="7" t="str">
        <f>HYPERLINK("https://www.codechef.com/problems/MEXYARR", "https://www.codechef.com/problems/MEXYARR")</f>
        <v>https://www.codechef.com/problems/MEXYARR</v>
      </c>
      <c r="K803" s="15"/>
      <c r="L803" s="15"/>
      <c r="M803" s="15"/>
      <c r="N803" s="15" t="s">
        <v>50</v>
      </c>
      <c r="O803" s="15" t="s">
        <v>51</v>
      </c>
    </row>
    <row r="804" spans="1:15">
      <c r="A804" s="14" t="s">
        <v>11</v>
      </c>
      <c r="B804" s="14" t="s">
        <v>3745</v>
      </c>
      <c r="C804" s="14" t="s">
        <v>3746</v>
      </c>
      <c r="D804" s="14" t="s">
        <v>3747</v>
      </c>
      <c r="E804" s="14">
        <v>51</v>
      </c>
      <c r="F804" s="14" t="s">
        <v>3900</v>
      </c>
      <c r="G804" s="14" t="s">
        <v>3901</v>
      </c>
      <c r="H804" s="14" t="s">
        <v>3902</v>
      </c>
      <c r="I804" s="14" t="s">
        <v>322</v>
      </c>
      <c r="J804" s="11" t="str">
        <f>HYPERLINK("https://www.codechef.com/problems/VSTRING", "https://www.codechef.com/problems/VSTRING")</f>
        <v>https://www.codechef.com/problems/VSTRING</v>
      </c>
      <c r="K804" s="14"/>
      <c r="L804" s="14"/>
      <c r="M804" s="14"/>
      <c r="N804" s="14" t="s">
        <v>50</v>
      </c>
      <c r="O804" s="14" t="s">
        <v>51</v>
      </c>
    </row>
    <row r="805" spans="1:15">
      <c r="A805" s="15" t="s">
        <v>11</v>
      </c>
      <c r="B805" s="15" t="s">
        <v>3745</v>
      </c>
      <c r="C805" s="15" t="s">
        <v>3746</v>
      </c>
      <c r="D805" s="15" t="s">
        <v>3747</v>
      </c>
      <c r="E805" s="15">
        <v>52</v>
      </c>
      <c r="F805" s="15" t="s">
        <v>3903</v>
      </c>
      <c r="G805" s="15" t="s">
        <v>3904</v>
      </c>
      <c r="H805" s="15" t="s">
        <v>3902</v>
      </c>
      <c r="I805" s="15" t="s">
        <v>322</v>
      </c>
      <c r="J805" s="7" t="str">
        <f>HYPERLINK("https://www.codechef.com/problems/PYRAMIDMOVES", "https://www.codechef.com/problems/PYRAMIDMOVES")</f>
        <v>https://www.codechef.com/problems/PYRAMIDMOVES</v>
      </c>
      <c r="K805" s="15"/>
      <c r="L805" s="15"/>
      <c r="M805" s="15"/>
      <c r="N805" s="15" t="s">
        <v>50</v>
      </c>
      <c r="O805" s="15" t="s">
        <v>51</v>
      </c>
    </row>
    <row r="806" spans="1:15">
      <c r="A806" s="14" t="s">
        <v>11</v>
      </c>
      <c r="B806" s="14" t="s">
        <v>3745</v>
      </c>
      <c r="C806" s="14" t="s">
        <v>3746</v>
      </c>
      <c r="D806" s="14" t="s">
        <v>3747</v>
      </c>
      <c r="E806" s="14">
        <v>53</v>
      </c>
      <c r="F806" s="14" t="s">
        <v>3905</v>
      </c>
      <c r="G806" s="14" t="s">
        <v>3906</v>
      </c>
      <c r="H806" s="14" t="s">
        <v>3907</v>
      </c>
      <c r="I806" s="14" t="s">
        <v>322</v>
      </c>
      <c r="J806" s="11" t="str">
        <f>HYPERLINK("https://www.codechef.com/problems/CHINSM", "https://www.codechef.com/problems/CHINSM")</f>
        <v>https://www.codechef.com/problems/CHINSM</v>
      </c>
      <c r="K806" s="14"/>
      <c r="L806" s="14" t="s">
        <v>3908</v>
      </c>
      <c r="M806" s="14"/>
      <c r="N806" s="14" t="s">
        <v>50</v>
      </c>
      <c r="O806" s="14" t="s">
        <v>51</v>
      </c>
    </row>
    <row r="807" spans="1:15">
      <c r="A807" s="15" t="s">
        <v>11</v>
      </c>
      <c r="B807" s="15" t="s">
        <v>3745</v>
      </c>
      <c r="C807" s="15" t="s">
        <v>3746</v>
      </c>
      <c r="D807" s="15" t="s">
        <v>3747</v>
      </c>
      <c r="E807" s="15">
        <v>54</v>
      </c>
      <c r="F807" s="15" t="s">
        <v>3909</v>
      </c>
      <c r="G807" s="15" t="s">
        <v>3910</v>
      </c>
      <c r="H807" s="15" t="s">
        <v>3911</v>
      </c>
      <c r="I807" s="15" t="s">
        <v>322</v>
      </c>
      <c r="J807" s="7" t="str">
        <f>HYPERLINK("https://www.codechef.com/problems/PARPERM", "https://www.codechef.com/problems/PARPERM")</f>
        <v>https://www.codechef.com/problems/PARPERM</v>
      </c>
      <c r="K807" s="15"/>
      <c r="L807" s="15" t="s">
        <v>3912</v>
      </c>
      <c r="M807" s="15"/>
      <c r="N807" s="15" t="s">
        <v>50</v>
      </c>
      <c r="O807" s="15" t="s">
        <v>51</v>
      </c>
    </row>
    <row r="808" spans="1:15">
      <c r="A808" s="14" t="s">
        <v>11</v>
      </c>
      <c r="B808" s="14" t="s">
        <v>3745</v>
      </c>
      <c r="C808" s="14" t="s">
        <v>3746</v>
      </c>
      <c r="D808" s="14" t="s">
        <v>3747</v>
      </c>
      <c r="E808" s="14">
        <v>55</v>
      </c>
      <c r="F808" s="14" t="s">
        <v>3913</v>
      </c>
      <c r="G808" s="14" t="s">
        <v>3914</v>
      </c>
      <c r="H808" s="14" t="s">
        <v>3915</v>
      </c>
      <c r="I808" s="14" t="s">
        <v>322</v>
      </c>
      <c r="J808" s="11" t="str">
        <f>HYPERLINK("https://www.codechef.com/problems/ICM2003", "https://www.codechef.com/problems/ICM2003")</f>
        <v>https://www.codechef.com/problems/ICM2003</v>
      </c>
      <c r="K808" s="14"/>
      <c r="L808" s="14" t="s">
        <v>3916</v>
      </c>
      <c r="M808" s="14"/>
      <c r="N808" s="14" t="s">
        <v>50</v>
      </c>
      <c r="O808" s="14" t="s">
        <v>51</v>
      </c>
    </row>
    <row r="809" spans="1:15">
      <c r="A809" s="15" t="s">
        <v>11</v>
      </c>
      <c r="B809" s="15" t="s">
        <v>3745</v>
      </c>
      <c r="C809" s="15" t="s">
        <v>3746</v>
      </c>
      <c r="D809" s="15" t="s">
        <v>3747</v>
      </c>
      <c r="E809" s="15">
        <v>56</v>
      </c>
      <c r="F809" s="15" t="s">
        <v>3917</v>
      </c>
      <c r="G809" s="15" t="s">
        <v>3918</v>
      </c>
      <c r="H809" s="15" t="s">
        <v>3919</v>
      </c>
      <c r="I809" s="15" t="s">
        <v>322</v>
      </c>
      <c r="J809" s="7" t="str">
        <f>HYPERLINK("https://www.codechef.com/problems/CIRMERGE", "https://www.codechef.com/problems/CIRMERGE")</f>
        <v>https://www.codechef.com/problems/CIRMERGE</v>
      </c>
      <c r="K809" s="15"/>
      <c r="L809" s="15" t="s">
        <v>3920</v>
      </c>
      <c r="M809" s="15"/>
      <c r="N809" s="15" t="s">
        <v>50</v>
      </c>
      <c r="O809" s="15" t="s">
        <v>51</v>
      </c>
    </row>
    <row r="810" spans="1:15">
      <c r="A810" s="14" t="s">
        <v>11</v>
      </c>
      <c r="B810" s="14" t="s">
        <v>3745</v>
      </c>
      <c r="C810" s="14" t="s">
        <v>3746</v>
      </c>
      <c r="D810" s="14" t="s">
        <v>3747</v>
      </c>
      <c r="E810" s="14">
        <v>57</v>
      </c>
      <c r="F810" s="14" t="s">
        <v>3921</v>
      </c>
      <c r="G810" s="14" t="s">
        <v>3922</v>
      </c>
      <c r="H810" s="14" t="s">
        <v>3923</v>
      </c>
      <c r="I810" s="14" t="s">
        <v>322</v>
      </c>
      <c r="J810" s="11" t="str">
        <f>HYPERLINK("https://www.codechef.com/problems/ANUMLA", "https://www.codechef.com/problems/ANUMLA")</f>
        <v>https://www.codechef.com/problems/ANUMLA</v>
      </c>
      <c r="K810" s="14"/>
      <c r="L810" s="14" t="s">
        <v>3924</v>
      </c>
      <c r="M810" s="14"/>
      <c r="N810" s="14" t="s">
        <v>50</v>
      </c>
      <c r="O810" s="14" t="s">
        <v>51</v>
      </c>
    </row>
    <row r="811" spans="1:15">
      <c r="A811" s="15" t="s">
        <v>11</v>
      </c>
      <c r="B811" s="15" t="s">
        <v>3745</v>
      </c>
      <c r="C811" s="15" t="s">
        <v>3746</v>
      </c>
      <c r="D811" s="15" t="s">
        <v>3747</v>
      </c>
      <c r="E811" s="15">
        <v>58</v>
      </c>
      <c r="F811" s="15" t="s">
        <v>3925</v>
      </c>
      <c r="G811" s="15" t="s">
        <v>3926</v>
      </c>
      <c r="H811" s="15" t="s">
        <v>3927</v>
      </c>
      <c r="I811" s="15" t="s">
        <v>322</v>
      </c>
      <c r="J811" s="7" t="str">
        <f>HYPERLINK("https://www.codechef.com/problems/STROPERS", "https://www.codechef.com/problems/STROPERS")</f>
        <v>https://www.codechef.com/problems/STROPERS</v>
      </c>
      <c r="K811" s="15"/>
      <c r="L811" s="15"/>
      <c r="M811" s="15"/>
      <c r="N811" s="15" t="s">
        <v>50</v>
      </c>
      <c r="O811" s="15" t="s">
        <v>51</v>
      </c>
    </row>
    <row r="812" spans="1:15">
      <c r="A812" s="14" t="s">
        <v>11</v>
      </c>
      <c r="B812" s="14" t="s">
        <v>3745</v>
      </c>
      <c r="C812" s="14" t="s">
        <v>3746</v>
      </c>
      <c r="D812" s="14" t="s">
        <v>3747</v>
      </c>
      <c r="E812" s="14">
        <v>59</v>
      </c>
      <c r="F812" s="14" t="s">
        <v>3928</v>
      </c>
      <c r="G812" s="14" t="s">
        <v>3929</v>
      </c>
      <c r="H812" s="14" t="s">
        <v>3930</v>
      </c>
      <c r="I812" s="14" t="s">
        <v>322</v>
      </c>
      <c r="J812" s="11" t="str">
        <f>HYPERLINK("https://www.codechef.com/problems/DIANE", "https://www.codechef.com/problems/DIANE")</f>
        <v>https://www.codechef.com/problems/DIANE</v>
      </c>
      <c r="K812" s="14"/>
      <c r="L812" s="14" t="s">
        <v>2681</v>
      </c>
      <c r="M812" s="14"/>
      <c r="N812" s="14" t="s">
        <v>50</v>
      </c>
      <c r="O812" s="14" t="s">
        <v>51</v>
      </c>
    </row>
    <row r="813" spans="1:15">
      <c r="A813" s="15" t="s">
        <v>11</v>
      </c>
      <c r="B813" s="15" t="s">
        <v>3745</v>
      </c>
      <c r="C813" s="15" t="s">
        <v>3746</v>
      </c>
      <c r="D813" s="15" t="s">
        <v>3747</v>
      </c>
      <c r="E813" s="15">
        <v>60</v>
      </c>
      <c r="F813" s="15" t="s">
        <v>3931</v>
      </c>
      <c r="G813" s="15" t="s">
        <v>3932</v>
      </c>
      <c r="H813" s="15" t="s">
        <v>3933</v>
      </c>
      <c r="I813" s="15" t="s">
        <v>322</v>
      </c>
      <c r="J813" s="7" t="str">
        <f>HYPERLINK("https://www.codechef.com/problems/COPAR", "https://www.codechef.com/problems/COPAR")</f>
        <v>https://www.codechef.com/problems/COPAR</v>
      </c>
      <c r="K813" s="15"/>
      <c r="L813" s="15" t="s">
        <v>3934</v>
      </c>
      <c r="M813" s="15"/>
      <c r="N813" s="15" t="s">
        <v>50</v>
      </c>
      <c r="O813" s="15" t="s">
        <v>51</v>
      </c>
    </row>
    <row r="814" spans="1:15">
      <c r="A814" s="14" t="s">
        <v>11</v>
      </c>
      <c r="B814" s="14" t="s">
        <v>3745</v>
      </c>
      <c r="C814" s="14" t="s">
        <v>3746</v>
      </c>
      <c r="D814" s="14" t="s">
        <v>3747</v>
      </c>
      <c r="E814" s="14">
        <v>61</v>
      </c>
      <c r="F814" s="14" t="s">
        <v>3935</v>
      </c>
      <c r="G814" s="14" t="s">
        <v>3936</v>
      </c>
      <c r="H814" s="14" t="s">
        <v>3933</v>
      </c>
      <c r="I814" s="14" t="s">
        <v>322</v>
      </c>
      <c r="J814" s="11" t="str">
        <f>HYPERLINK("https://www.codechef.com/problems/EXISTENCEOFX", "https://www.codechef.com/problems/EXISTENCEOFX")</f>
        <v>https://www.codechef.com/problems/EXISTENCEOFX</v>
      </c>
      <c r="K814" s="14"/>
      <c r="L814" s="14" t="s">
        <v>1434</v>
      </c>
      <c r="M814" s="14"/>
      <c r="N814" s="14" t="s">
        <v>50</v>
      </c>
      <c r="O814" s="14" t="s">
        <v>51</v>
      </c>
    </row>
    <row r="815" spans="1:15">
      <c r="A815" s="15" t="s">
        <v>11</v>
      </c>
      <c r="B815" s="15" t="s">
        <v>3745</v>
      </c>
      <c r="C815" s="15" t="s">
        <v>3746</v>
      </c>
      <c r="D815" s="15" t="s">
        <v>3747</v>
      </c>
      <c r="E815" s="15">
        <v>62</v>
      </c>
      <c r="F815" s="15" t="s">
        <v>3937</v>
      </c>
      <c r="G815" s="15" t="s">
        <v>3938</v>
      </c>
      <c r="H815" s="15" t="s">
        <v>3939</v>
      </c>
      <c r="I815" s="15" t="s">
        <v>322</v>
      </c>
      <c r="J815" s="7" t="str">
        <f>HYPERLINK("https://www.codechef.com/problems/DIST_VALS", "https://www.codechef.com/problems/DIST_VALS")</f>
        <v>https://www.codechef.com/problems/DIST_VALS</v>
      </c>
      <c r="K815" s="15"/>
      <c r="L815" s="15" t="s">
        <v>3940</v>
      </c>
      <c r="M815" s="15"/>
      <c r="N815" s="15" t="s">
        <v>50</v>
      </c>
      <c r="O815" s="15" t="s">
        <v>51</v>
      </c>
    </row>
    <row r="816" spans="1:15">
      <c r="A816" s="14" t="s">
        <v>11</v>
      </c>
      <c r="B816" s="14" t="s">
        <v>3745</v>
      </c>
      <c r="C816" s="14" t="s">
        <v>3746</v>
      </c>
      <c r="D816" s="14" t="s">
        <v>3747</v>
      </c>
      <c r="E816" s="14">
        <v>63</v>
      </c>
      <c r="F816" s="14" t="s">
        <v>3941</v>
      </c>
      <c r="G816" s="14" t="s">
        <v>3942</v>
      </c>
      <c r="H816" s="14" t="s">
        <v>3943</v>
      </c>
      <c r="I816" s="14" t="s">
        <v>322</v>
      </c>
      <c r="J816" s="11" t="str">
        <f>HYPERLINK("https://www.codechef.com/problems/TSHIRTS", "https://www.codechef.com/problems/TSHIRTS")</f>
        <v>https://www.codechef.com/problems/TSHIRTS</v>
      </c>
      <c r="K816" s="14"/>
      <c r="L816" s="14"/>
      <c r="M816" s="14"/>
      <c r="N816" s="14" t="s">
        <v>50</v>
      </c>
      <c r="O816" s="14" t="s">
        <v>51</v>
      </c>
    </row>
    <row r="817" spans="1:15">
      <c r="A817" s="15" t="s">
        <v>11</v>
      </c>
      <c r="B817" s="15" t="s">
        <v>3745</v>
      </c>
      <c r="C817" s="15" t="s">
        <v>3746</v>
      </c>
      <c r="D817" s="15" t="s">
        <v>3747</v>
      </c>
      <c r="E817" s="15">
        <v>64</v>
      </c>
      <c r="F817" s="15" t="s">
        <v>3944</v>
      </c>
      <c r="G817" s="15" t="s">
        <v>3945</v>
      </c>
      <c r="H817" s="15" t="s">
        <v>3946</v>
      </c>
      <c r="I817" s="15" t="s">
        <v>322</v>
      </c>
      <c r="J817" s="7" t="str">
        <f>HYPERLINK("https://www.codechef.com/problems/ANTSCHEF", "https://www.codechef.com/problems/ANTSCHEF")</f>
        <v>https://www.codechef.com/problems/ANTSCHEF</v>
      </c>
      <c r="K817" s="15"/>
      <c r="L817" s="15" t="s">
        <v>3947</v>
      </c>
      <c r="M817" s="15"/>
      <c r="N817" s="15" t="s">
        <v>50</v>
      </c>
      <c r="O817" s="15" t="s">
        <v>51</v>
      </c>
    </row>
    <row r="818" spans="1:15">
      <c r="A818" s="14" t="s">
        <v>11</v>
      </c>
      <c r="B818" s="14" t="s">
        <v>3745</v>
      </c>
      <c r="C818" s="14" t="s">
        <v>3746</v>
      </c>
      <c r="D818" s="14" t="s">
        <v>3747</v>
      </c>
      <c r="E818" s="14">
        <v>65</v>
      </c>
      <c r="F818" s="14" t="s">
        <v>3948</v>
      </c>
      <c r="G818" s="14" t="s">
        <v>3949</v>
      </c>
      <c r="H818" s="14" t="s">
        <v>3950</v>
      </c>
      <c r="I818" s="14" t="s">
        <v>322</v>
      </c>
      <c r="J818" s="11" t="str">
        <f>HYPERLINK("https://www.codechef.com/problems/ALIKE_THEM", "https://www.codechef.com/problems/ALIKE_THEM")</f>
        <v>https://www.codechef.com/problems/ALIKE_THEM</v>
      </c>
      <c r="K818" s="14"/>
      <c r="L818" s="14" t="s">
        <v>3951</v>
      </c>
      <c r="M818" s="14"/>
      <c r="N818" s="14" t="s">
        <v>50</v>
      </c>
      <c r="O818" s="14" t="s">
        <v>51</v>
      </c>
    </row>
    <row r="819" spans="1:15">
      <c r="A819" s="15" t="s">
        <v>11</v>
      </c>
      <c r="B819" s="15" t="s">
        <v>3745</v>
      </c>
      <c r="C819" s="15" t="s">
        <v>3746</v>
      </c>
      <c r="D819" s="15" t="s">
        <v>3747</v>
      </c>
      <c r="E819" s="15">
        <v>66</v>
      </c>
      <c r="F819" s="15" t="s">
        <v>3952</v>
      </c>
      <c r="G819" s="15" t="s">
        <v>3953</v>
      </c>
      <c r="H819" s="15" t="s">
        <v>3954</v>
      </c>
      <c r="I819" s="15" t="s">
        <v>322</v>
      </c>
      <c r="J819" s="7" t="str">
        <f>HYPERLINK("https://www.codechef.com/problems/INTREP", "https://www.codechef.com/problems/INTREP")</f>
        <v>https://www.codechef.com/problems/INTREP</v>
      </c>
      <c r="K819" s="15"/>
      <c r="L819" s="15" t="s">
        <v>3955</v>
      </c>
      <c r="M819" s="15"/>
      <c r="N819" s="15" t="s">
        <v>50</v>
      </c>
      <c r="O819" s="15" t="s">
        <v>51</v>
      </c>
    </row>
    <row r="820" spans="1:15">
      <c r="A820" s="14" t="s">
        <v>11</v>
      </c>
      <c r="B820" s="14" t="s">
        <v>3745</v>
      </c>
      <c r="C820" s="14" t="s">
        <v>3746</v>
      </c>
      <c r="D820" s="14" t="s">
        <v>3747</v>
      </c>
      <c r="E820" s="14">
        <v>67</v>
      </c>
      <c r="F820" s="14" t="s">
        <v>3956</v>
      </c>
      <c r="G820" s="14" t="s">
        <v>3957</v>
      </c>
      <c r="H820" s="14" t="s">
        <v>3958</v>
      </c>
      <c r="I820" s="14" t="s">
        <v>322</v>
      </c>
      <c r="J820" s="11" t="str">
        <f>HYPERLINK("https://www.codechef.com/problems/MAX1S", "https://www.codechef.com/problems/MAX1S")</f>
        <v>https://www.codechef.com/problems/MAX1S</v>
      </c>
      <c r="K820" s="14"/>
      <c r="L820" s="14"/>
      <c r="M820" s="14"/>
      <c r="N820" s="14" t="s">
        <v>50</v>
      </c>
      <c r="O820" s="14" t="s">
        <v>51</v>
      </c>
    </row>
    <row r="821" spans="1:15">
      <c r="A821" s="15" t="s">
        <v>11</v>
      </c>
      <c r="B821" s="15" t="s">
        <v>3745</v>
      </c>
      <c r="C821" s="15" t="s">
        <v>3746</v>
      </c>
      <c r="D821" s="15" t="s">
        <v>3747</v>
      </c>
      <c r="E821" s="15">
        <v>68</v>
      </c>
      <c r="F821" s="15" t="s">
        <v>1497</v>
      </c>
      <c r="G821" s="15" t="s">
        <v>1498</v>
      </c>
      <c r="H821" s="15" t="s">
        <v>1499</v>
      </c>
      <c r="I821" s="15" t="s">
        <v>322</v>
      </c>
      <c r="J821" s="7" t="str">
        <f>HYPERLINK("https://www.codechef.com/problems/SUMOFCUBE", "https://www.codechef.com/problems/SUMOFCUBE")</f>
        <v>https://www.codechef.com/problems/SUMOFCUBE</v>
      </c>
      <c r="K821" s="15"/>
      <c r="L821" s="15"/>
      <c r="M821" s="15"/>
      <c r="N821" s="15" t="s">
        <v>50</v>
      </c>
      <c r="O821" s="15" t="s">
        <v>51</v>
      </c>
    </row>
    <row r="822" spans="1:15">
      <c r="A822" s="14" t="s">
        <v>11</v>
      </c>
      <c r="B822" s="14" t="s">
        <v>3745</v>
      </c>
      <c r="C822" s="14" t="s">
        <v>3746</v>
      </c>
      <c r="D822" s="14" t="s">
        <v>3747</v>
      </c>
      <c r="E822" s="14">
        <v>69</v>
      </c>
      <c r="F822" s="14" t="s">
        <v>3959</v>
      </c>
      <c r="G822" s="14" t="s">
        <v>3960</v>
      </c>
      <c r="H822" s="14" t="s">
        <v>3961</v>
      </c>
      <c r="I822" s="14" t="s">
        <v>322</v>
      </c>
      <c r="J822" s="11" t="str">
        <f>HYPERLINK("https://www.codechef.com/problems/KSUM", "https://www.codechef.com/problems/KSUM")</f>
        <v>https://www.codechef.com/problems/KSUM</v>
      </c>
      <c r="K822" s="14"/>
      <c r="L822" s="14" t="s">
        <v>3962</v>
      </c>
      <c r="M822" s="14"/>
      <c r="N822" s="14" t="s">
        <v>50</v>
      </c>
      <c r="O822" s="14" t="s">
        <v>51</v>
      </c>
    </row>
    <row r="823" spans="1:15">
      <c r="A823" s="15" t="s">
        <v>11</v>
      </c>
      <c r="B823" s="15" t="s">
        <v>3745</v>
      </c>
      <c r="C823" s="15" t="s">
        <v>3746</v>
      </c>
      <c r="D823" s="15" t="s">
        <v>3747</v>
      </c>
      <c r="E823" s="15">
        <v>70</v>
      </c>
      <c r="F823" s="15" t="s">
        <v>3963</v>
      </c>
      <c r="G823" s="15" t="s">
        <v>3964</v>
      </c>
      <c r="H823" s="15" t="s">
        <v>3965</v>
      </c>
      <c r="I823" s="15" t="s">
        <v>322</v>
      </c>
      <c r="J823" s="7" t="str">
        <f>HYPERLINK("https://www.codechef.com/problems/ABCSTR", "https://www.codechef.com/problems/ABCSTR")</f>
        <v>https://www.codechef.com/problems/ABCSTR</v>
      </c>
      <c r="K823" s="15"/>
      <c r="L823" s="15" t="s">
        <v>3966</v>
      </c>
      <c r="M823" s="15"/>
      <c r="N823" s="15" t="s">
        <v>50</v>
      </c>
      <c r="O823" s="15" t="s">
        <v>51</v>
      </c>
    </row>
    <row r="824" spans="1:15">
      <c r="A824" s="14" t="s">
        <v>11</v>
      </c>
      <c r="B824" s="14" t="s">
        <v>3745</v>
      </c>
      <c r="C824" s="14" t="s">
        <v>3746</v>
      </c>
      <c r="D824" s="14" t="s">
        <v>3747</v>
      </c>
      <c r="E824" s="14">
        <v>71</v>
      </c>
      <c r="F824" s="14" t="s">
        <v>3967</v>
      </c>
      <c r="G824" s="14" t="s">
        <v>3968</v>
      </c>
      <c r="H824" s="14" t="s">
        <v>3969</v>
      </c>
      <c r="I824" s="14" t="s">
        <v>322</v>
      </c>
      <c r="J824" s="11" t="str">
        <f>HYPERLINK("https://www.codechef.com/problems/ASHIGIFT", "https://www.codechef.com/problems/ASHIGIFT")</f>
        <v>https://www.codechef.com/problems/ASHIGIFT</v>
      </c>
      <c r="K824" s="14"/>
      <c r="L824" s="14" t="s">
        <v>3970</v>
      </c>
      <c r="M824" s="14"/>
      <c r="N824" s="14" t="s">
        <v>50</v>
      </c>
      <c r="O824" s="14" t="s">
        <v>51</v>
      </c>
    </row>
    <row r="825" spans="1:15">
      <c r="A825" s="15" t="s">
        <v>11</v>
      </c>
      <c r="B825" s="15" t="s">
        <v>3745</v>
      </c>
      <c r="C825" s="15" t="s">
        <v>3746</v>
      </c>
      <c r="D825" s="15" t="s">
        <v>3747</v>
      </c>
      <c r="E825" s="15">
        <v>72</v>
      </c>
      <c r="F825" s="15" t="s">
        <v>3971</v>
      </c>
      <c r="G825" s="15" t="s">
        <v>3972</v>
      </c>
      <c r="H825" s="15" t="s">
        <v>3973</v>
      </c>
      <c r="I825" s="15" t="s">
        <v>322</v>
      </c>
      <c r="J825" s="7" t="str">
        <f>HYPERLINK("https://www.codechef.com/problems/LONGESTARRAY", "https://www.codechef.com/problems/LONGESTARRAY")</f>
        <v>https://www.codechef.com/problems/LONGESTARRAY</v>
      </c>
      <c r="K825" s="15"/>
      <c r="L825" s="15" t="s">
        <v>1464</v>
      </c>
      <c r="M825" s="15"/>
      <c r="N825" s="15" t="s">
        <v>50</v>
      </c>
      <c r="O825" s="15" t="s">
        <v>51</v>
      </c>
    </row>
    <row r="826" spans="1:15">
      <c r="A826" s="14" t="s">
        <v>11</v>
      </c>
      <c r="B826" s="14" t="s">
        <v>3745</v>
      </c>
      <c r="C826" s="14" t="s">
        <v>3746</v>
      </c>
      <c r="D826" s="14" t="s">
        <v>3747</v>
      </c>
      <c r="E826" s="14">
        <v>73</v>
      </c>
      <c r="F826" s="14" t="s">
        <v>3974</v>
      </c>
      <c r="G826" s="14" t="s">
        <v>3975</v>
      </c>
      <c r="H826" s="14" t="s">
        <v>3976</v>
      </c>
      <c r="I826" s="14" t="s">
        <v>322</v>
      </c>
      <c r="J826" s="11" t="str">
        <f>HYPERLINK("https://www.codechef.com/problems/ASH57", "https://www.codechef.com/problems/ASH57")</f>
        <v>https://www.codechef.com/problems/ASH57</v>
      </c>
      <c r="K826" s="14"/>
      <c r="L826" s="14" t="s">
        <v>3977</v>
      </c>
      <c r="M826" s="14"/>
      <c r="N826" s="14" t="s">
        <v>50</v>
      </c>
      <c r="O826" s="14" t="s">
        <v>51</v>
      </c>
    </row>
    <row r="827" spans="1:15">
      <c r="A827" s="15" t="s">
        <v>11</v>
      </c>
      <c r="B827" s="15" t="s">
        <v>3745</v>
      </c>
      <c r="C827" s="15" t="s">
        <v>3746</v>
      </c>
      <c r="D827" s="15" t="s">
        <v>3747</v>
      </c>
      <c r="E827" s="15">
        <v>74</v>
      </c>
      <c r="F827" s="15" t="s">
        <v>3978</v>
      </c>
      <c r="G827" s="15" t="s">
        <v>3979</v>
      </c>
      <c r="H827" s="15" t="s">
        <v>3980</v>
      </c>
      <c r="I827" s="15" t="s">
        <v>322</v>
      </c>
      <c r="J827" s="7" t="str">
        <f>HYPERLINK("https://www.codechef.com/problems/CS2023_404", "https://www.codechef.com/problems/CS2023_404")</f>
        <v>https://www.codechef.com/problems/CS2023_404</v>
      </c>
      <c r="K827" s="15"/>
      <c r="L827" s="15" t="s">
        <v>3981</v>
      </c>
      <c r="M827" s="15"/>
      <c r="N827" s="15" t="s">
        <v>50</v>
      </c>
      <c r="O827" s="15" t="s">
        <v>51</v>
      </c>
    </row>
    <row r="828" spans="1:15">
      <c r="A828" s="14" t="s">
        <v>11</v>
      </c>
      <c r="B828" s="14" t="s">
        <v>3745</v>
      </c>
      <c r="C828" s="14" t="s">
        <v>3746</v>
      </c>
      <c r="D828" s="14" t="s">
        <v>3747</v>
      </c>
      <c r="E828" s="14">
        <v>75</v>
      </c>
      <c r="F828" s="14" t="s">
        <v>3982</v>
      </c>
      <c r="G828" s="14" t="s">
        <v>3983</v>
      </c>
      <c r="H828" s="14" t="s">
        <v>3984</v>
      </c>
      <c r="I828" s="14" t="s">
        <v>322</v>
      </c>
      <c r="J828" s="11" t="str">
        <f>HYPERLINK("https://www.codechef.com/problems/ALTDIA", "https://www.codechef.com/problems/ALTDIA")</f>
        <v>https://www.codechef.com/problems/ALTDIA</v>
      </c>
      <c r="K828" s="14"/>
      <c r="L828" s="14" t="s">
        <v>3985</v>
      </c>
      <c r="M828" s="14"/>
      <c r="N828" s="14" t="s">
        <v>50</v>
      </c>
      <c r="O828" s="14" t="s">
        <v>51</v>
      </c>
    </row>
    <row r="829" spans="1:15">
      <c r="A829" s="15" t="s">
        <v>11</v>
      </c>
      <c r="B829" s="15" t="s">
        <v>3745</v>
      </c>
      <c r="C829" s="15" t="s">
        <v>3746</v>
      </c>
      <c r="D829" s="15" t="s">
        <v>3747</v>
      </c>
      <c r="E829" s="15">
        <v>76</v>
      </c>
      <c r="F829" s="15" t="s">
        <v>3986</v>
      </c>
      <c r="G829" s="15" t="s">
        <v>3987</v>
      </c>
      <c r="H829" s="15" t="s">
        <v>3988</v>
      </c>
      <c r="I829" s="15" t="s">
        <v>322</v>
      </c>
      <c r="J829" s="7" t="str">
        <f>HYPERLINK("https://www.codechef.com/problems/SPOOKYSEQ", "https://www.codechef.com/problems/SPOOKYSEQ")</f>
        <v>https://www.codechef.com/problems/SPOOKYSEQ</v>
      </c>
      <c r="K829" s="15"/>
      <c r="L829" s="15"/>
      <c r="M829" s="15"/>
      <c r="N829" s="15" t="s">
        <v>50</v>
      </c>
      <c r="O829" s="15" t="s">
        <v>51</v>
      </c>
    </row>
    <row r="830" spans="1:15">
      <c r="A830" s="14" t="s">
        <v>11</v>
      </c>
      <c r="B830" s="14" t="s">
        <v>3745</v>
      </c>
      <c r="C830" s="14" t="s">
        <v>3746</v>
      </c>
      <c r="D830" s="14" t="s">
        <v>3747</v>
      </c>
      <c r="E830" s="14">
        <v>77</v>
      </c>
      <c r="F830" s="14" t="s">
        <v>3989</v>
      </c>
      <c r="G830" s="14" t="s">
        <v>3990</v>
      </c>
      <c r="H830" s="14" t="s">
        <v>3991</v>
      </c>
      <c r="I830" s="14" t="s">
        <v>322</v>
      </c>
      <c r="J830" s="11" t="str">
        <f>HYPERLINK("https://www.codechef.com/problems/SUMXOR2", "https://www.codechef.com/problems/SUMXOR2")</f>
        <v>https://www.codechef.com/problems/SUMXOR2</v>
      </c>
      <c r="K830" s="14"/>
      <c r="L830" s="14"/>
      <c r="M830" s="14"/>
      <c r="N830" s="14" t="s">
        <v>50</v>
      </c>
      <c r="O830" s="14" t="s">
        <v>51</v>
      </c>
    </row>
    <row r="831" spans="1:15">
      <c r="A831" s="15" t="s">
        <v>11</v>
      </c>
      <c r="B831" s="15" t="s">
        <v>3745</v>
      </c>
      <c r="C831" s="15" t="s">
        <v>3746</v>
      </c>
      <c r="D831" s="15" t="s">
        <v>3747</v>
      </c>
      <c r="E831" s="15">
        <v>78</v>
      </c>
      <c r="F831" s="15" t="s">
        <v>3266</v>
      </c>
      <c r="G831" s="15" t="s">
        <v>3992</v>
      </c>
      <c r="H831" s="15" t="s">
        <v>3991</v>
      </c>
      <c r="I831" s="15" t="s">
        <v>322</v>
      </c>
      <c r="J831" s="7" t="str">
        <f>HYPERLINK("https://www.codechef.com/problems/CHESUB", "https://www.codechef.com/problems/CHESUB")</f>
        <v>https://www.codechef.com/problems/CHESUB</v>
      </c>
      <c r="K831" s="15"/>
      <c r="L831" s="15" t="s">
        <v>3993</v>
      </c>
      <c r="M831" s="15"/>
      <c r="N831" s="15" t="s">
        <v>50</v>
      </c>
      <c r="O831" s="15" t="s">
        <v>51</v>
      </c>
    </row>
    <row r="832" spans="1:15">
      <c r="A832" s="14" t="s">
        <v>11</v>
      </c>
      <c r="B832" s="14" t="s">
        <v>3745</v>
      </c>
      <c r="C832" s="14" t="s">
        <v>3746</v>
      </c>
      <c r="D832" s="14" t="s">
        <v>3747</v>
      </c>
      <c r="E832" s="14">
        <v>79</v>
      </c>
      <c r="F832" s="14" t="s">
        <v>3994</v>
      </c>
      <c r="G832" s="14" t="s">
        <v>3995</v>
      </c>
      <c r="H832" s="14" t="s">
        <v>3996</v>
      </c>
      <c r="I832" s="14" t="s">
        <v>322</v>
      </c>
      <c r="J832" s="11" t="str">
        <f>HYPERLINK("https://www.codechef.com/problems/CHEFFFUNC", "https://www.codechef.com/problems/CHEFFFUNC")</f>
        <v>https://www.codechef.com/problems/CHEFFFUNC</v>
      </c>
      <c r="K832" s="14"/>
      <c r="L832" s="14" t="s">
        <v>3997</v>
      </c>
      <c r="M832" s="14"/>
      <c r="N832" s="14" t="s">
        <v>50</v>
      </c>
      <c r="O832" s="14" t="s">
        <v>51</v>
      </c>
    </row>
    <row r="833" spans="1:15">
      <c r="A833" s="15" t="s">
        <v>11</v>
      </c>
      <c r="B833" s="15" t="s">
        <v>3745</v>
      </c>
      <c r="C833" s="15" t="s">
        <v>3746</v>
      </c>
      <c r="D833" s="15" t="s">
        <v>3747</v>
      </c>
      <c r="E833" s="15">
        <v>80</v>
      </c>
      <c r="F833" s="15" t="s">
        <v>3998</v>
      </c>
      <c r="G833" s="15" t="s">
        <v>3999</v>
      </c>
      <c r="H833" s="15" t="s">
        <v>4000</v>
      </c>
      <c r="I833" s="15" t="s">
        <v>322</v>
      </c>
      <c r="J833" s="7" t="str">
        <f>HYPERLINK("https://www.codechef.com/problems/MERGEBS", "https://www.codechef.com/problems/MERGEBS")</f>
        <v>https://www.codechef.com/problems/MERGEBS</v>
      </c>
      <c r="K833" s="15"/>
      <c r="L833" s="15" t="s">
        <v>4001</v>
      </c>
      <c r="M833" s="15"/>
      <c r="N833" s="15" t="s">
        <v>50</v>
      </c>
      <c r="O833" s="15" t="s">
        <v>51</v>
      </c>
    </row>
    <row r="834" spans="1:15">
      <c r="A834" s="14" t="s">
        <v>11</v>
      </c>
      <c r="B834" s="14" t="s">
        <v>3745</v>
      </c>
      <c r="C834" s="14" t="s">
        <v>3746</v>
      </c>
      <c r="D834" s="14" t="s">
        <v>3747</v>
      </c>
      <c r="E834" s="14">
        <v>81</v>
      </c>
      <c r="F834" s="14" t="s">
        <v>4002</v>
      </c>
      <c r="G834" s="14" t="s">
        <v>4003</v>
      </c>
      <c r="H834" s="14" t="s">
        <v>4004</v>
      </c>
      <c r="I834" s="14" t="s">
        <v>322</v>
      </c>
      <c r="J834" s="11" t="str">
        <f>HYPERLINK("https://www.codechef.com/problems/REDGREEN", "https://www.codechef.com/problems/REDGREEN")</f>
        <v>https://www.codechef.com/problems/REDGREEN</v>
      </c>
      <c r="K834" s="14"/>
      <c r="L834" s="14"/>
      <c r="M834" s="14"/>
      <c r="N834" s="14" t="s">
        <v>50</v>
      </c>
      <c r="O834" s="14" t="s">
        <v>51</v>
      </c>
    </row>
    <row r="835" spans="1:15">
      <c r="A835" s="15" t="s">
        <v>11</v>
      </c>
      <c r="B835" s="15" t="s">
        <v>3745</v>
      </c>
      <c r="C835" s="15" t="s">
        <v>3746</v>
      </c>
      <c r="D835" s="15" t="s">
        <v>3747</v>
      </c>
      <c r="E835" s="15">
        <v>82</v>
      </c>
      <c r="F835" s="15" t="s">
        <v>4005</v>
      </c>
      <c r="G835" s="15" t="s">
        <v>4006</v>
      </c>
      <c r="H835" s="15" t="s">
        <v>4007</v>
      </c>
      <c r="I835" s="15" t="s">
        <v>322</v>
      </c>
      <c r="J835" s="7" t="str">
        <f>HYPERLINK("https://www.codechef.com/problems/MAKEPAL3", "https://www.codechef.com/problems/MAKEPAL3")</f>
        <v>https://www.codechef.com/problems/MAKEPAL3</v>
      </c>
      <c r="K835" s="15"/>
      <c r="L835" s="15" t="s">
        <v>3003</v>
      </c>
      <c r="M835" s="15"/>
      <c r="N835" s="15" t="s">
        <v>50</v>
      </c>
      <c r="O835" s="15" t="s">
        <v>51</v>
      </c>
    </row>
    <row r="836" spans="1:15">
      <c r="A836" s="14" t="s">
        <v>11</v>
      </c>
      <c r="B836" s="14" t="s">
        <v>3745</v>
      </c>
      <c r="C836" s="14" t="s">
        <v>3746</v>
      </c>
      <c r="D836" s="14" t="s">
        <v>3747</v>
      </c>
      <c r="E836" s="14">
        <v>83</v>
      </c>
      <c r="F836" s="14" t="s">
        <v>4008</v>
      </c>
      <c r="G836" s="14" t="s">
        <v>4009</v>
      </c>
      <c r="H836" s="14" t="s">
        <v>4010</v>
      </c>
      <c r="I836" s="14" t="s">
        <v>322</v>
      </c>
      <c r="J836" s="11" t="str">
        <f>HYPERLINK("https://www.codechef.com/problems/SWAPGAME", "https://www.codechef.com/problems/SWAPGAME")</f>
        <v>https://www.codechef.com/problems/SWAPGAME</v>
      </c>
      <c r="K836" s="14"/>
      <c r="L836" s="14"/>
      <c r="M836" s="14"/>
      <c r="N836" s="14" t="s">
        <v>50</v>
      </c>
      <c r="O836" s="14" t="s">
        <v>51</v>
      </c>
    </row>
    <row r="837" spans="1:15">
      <c r="A837" s="15" t="s">
        <v>11</v>
      </c>
      <c r="B837" s="15" t="s">
        <v>3745</v>
      </c>
      <c r="C837" s="15" t="s">
        <v>3746</v>
      </c>
      <c r="D837" s="15" t="s">
        <v>3747</v>
      </c>
      <c r="E837" s="15">
        <v>84</v>
      </c>
      <c r="F837" s="15" t="s">
        <v>4011</v>
      </c>
      <c r="G837" s="15" t="s">
        <v>4012</v>
      </c>
      <c r="H837" s="15" t="s">
        <v>4013</v>
      </c>
      <c r="I837" s="15" t="s">
        <v>322</v>
      </c>
      <c r="J837" s="7" t="str">
        <f>HYPERLINK("https://www.codechef.com/problems/ABROADS", "https://www.codechef.com/problems/ABROADS")</f>
        <v>https://www.codechef.com/problems/ABROADS</v>
      </c>
      <c r="K837" s="15"/>
      <c r="L837" s="15" t="s">
        <v>4014</v>
      </c>
      <c r="M837" s="15"/>
      <c r="N837" s="15" t="s">
        <v>50</v>
      </c>
      <c r="O837" s="15" t="s">
        <v>51</v>
      </c>
    </row>
    <row r="838" spans="1:15">
      <c r="A838" s="14" t="s">
        <v>11</v>
      </c>
      <c r="B838" s="14" t="s">
        <v>3745</v>
      </c>
      <c r="C838" s="14" t="s">
        <v>3746</v>
      </c>
      <c r="D838" s="14" t="s">
        <v>3747</v>
      </c>
      <c r="E838" s="14">
        <v>85</v>
      </c>
      <c r="F838" s="14" t="s">
        <v>4015</v>
      </c>
      <c r="G838" s="14" t="s">
        <v>4016</v>
      </c>
      <c r="H838" s="14" t="s">
        <v>4017</v>
      </c>
      <c r="I838" s="14" t="s">
        <v>322</v>
      </c>
      <c r="J838" s="11" t="str">
        <f>HYPERLINK("https://www.codechef.com/problems/SIMPLEARRAY", "https://www.codechef.com/problems/SIMPLEARRAY")</f>
        <v>https://www.codechef.com/problems/SIMPLEARRAY</v>
      </c>
      <c r="K838" s="14"/>
      <c r="L838" s="14"/>
      <c r="M838" s="14"/>
      <c r="N838" s="14" t="s">
        <v>50</v>
      </c>
      <c r="O838" s="14" t="s">
        <v>51</v>
      </c>
    </row>
    <row r="839" spans="1:15">
      <c r="A839" s="15" t="s">
        <v>11</v>
      </c>
      <c r="B839" s="15" t="s">
        <v>3745</v>
      </c>
      <c r="C839" s="15" t="s">
        <v>3746</v>
      </c>
      <c r="D839" s="15" t="s">
        <v>3747</v>
      </c>
      <c r="E839" s="15">
        <v>86</v>
      </c>
      <c r="F839" s="15" t="s">
        <v>4018</v>
      </c>
      <c r="G839" s="15" t="s">
        <v>4019</v>
      </c>
      <c r="H839" s="15" t="s">
        <v>4020</v>
      </c>
      <c r="I839" s="15" t="s">
        <v>322</v>
      </c>
      <c r="J839" s="7" t="str">
        <f>HYPERLINK("https://www.codechef.com/problems/CHEFQUE", "https://www.codechef.com/problems/CHEFQUE")</f>
        <v>https://www.codechef.com/problems/CHEFQUE</v>
      </c>
      <c r="K839" s="15"/>
      <c r="L839" s="15" t="s">
        <v>4021</v>
      </c>
      <c r="M839" s="15"/>
      <c r="N839" s="15" t="s">
        <v>50</v>
      </c>
      <c r="O839" s="15" t="s">
        <v>51</v>
      </c>
    </row>
    <row r="840" spans="1:15">
      <c r="A840" s="14" t="s">
        <v>11</v>
      </c>
      <c r="B840" s="14" t="s">
        <v>3745</v>
      </c>
      <c r="C840" s="14" t="s">
        <v>3746</v>
      </c>
      <c r="D840" s="14" t="s">
        <v>3747</v>
      </c>
      <c r="E840" s="14">
        <v>87</v>
      </c>
      <c r="F840" s="14" t="s">
        <v>155</v>
      </c>
      <c r="G840" s="14" t="s">
        <v>4022</v>
      </c>
      <c r="H840" s="14" t="s">
        <v>4023</v>
      </c>
      <c r="I840" s="14" t="s">
        <v>322</v>
      </c>
      <c r="J840" s="11" t="str">
        <f>HYPERLINK("https://www.codechef.com/problems/CANDIES3", "https://www.codechef.com/problems/CANDIES3")</f>
        <v>https://www.codechef.com/problems/CANDIES3</v>
      </c>
      <c r="K840" s="14"/>
      <c r="L840" s="14" t="s">
        <v>4024</v>
      </c>
      <c r="M840" s="14"/>
      <c r="N840" s="14" t="s">
        <v>50</v>
      </c>
      <c r="O840" s="14" t="s">
        <v>51</v>
      </c>
    </row>
    <row r="841" spans="1:15">
      <c r="A841" s="15" t="s">
        <v>11</v>
      </c>
      <c r="B841" s="15" t="s">
        <v>3745</v>
      </c>
      <c r="C841" s="15" t="s">
        <v>3746</v>
      </c>
      <c r="D841" s="15" t="s">
        <v>3747</v>
      </c>
      <c r="E841" s="15">
        <v>88</v>
      </c>
      <c r="F841" s="15" t="s">
        <v>4025</v>
      </c>
      <c r="G841" s="15" t="s">
        <v>4026</v>
      </c>
      <c r="H841" s="15" t="s">
        <v>4027</v>
      </c>
      <c r="I841" s="15" t="s">
        <v>322</v>
      </c>
      <c r="J841" s="7" t="str">
        <f>HYPERLINK("https://www.codechef.com/problems/SPLITMIN", "https://www.codechef.com/problems/SPLITMIN")</f>
        <v>https://www.codechef.com/problems/SPLITMIN</v>
      </c>
      <c r="K841" s="15"/>
      <c r="L841" s="15"/>
      <c r="M841" s="15"/>
      <c r="N841" s="15" t="s">
        <v>50</v>
      </c>
      <c r="O841" s="15" t="s">
        <v>51</v>
      </c>
    </row>
    <row r="842" spans="1:15">
      <c r="A842" s="14" t="s">
        <v>11</v>
      </c>
      <c r="B842" s="14" t="s">
        <v>3745</v>
      </c>
      <c r="C842" s="14" t="s">
        <v>3746</v>
      </c>
      <c r="D842" s="14" t="s">
        <v>3747</v>
      </c>
      <c r="E842" s="14">
        <v>89</v>
      </c>
      <c r="F842" s="14" t="s">
        <v>4028</v>
      </c>
      <c r="G842" s="14" t="s">
        <v>4029</v>
      </c>
      <c r="H842" s="14" t="s">
        <v>4027</v>
      </c>
      <c r="I842" s="14" t="s">
        <v>322</v>
      </c>
      <c r="J842" s="11" t="str">
        <f>HYPERLINK("https://www.codechef.com/problems/KEEPOUT", "https://www.codechef.com/problems/KEEPOUT")</f>
        <v>https://www.codechef.com/problems/KEEPOUT</v>
      </c>
      <c r="K842" s="14"/>
      <c r="L842" s="14" t="s">
        <v>4030</v>
      </c>
      <c r="M842" s="14"/>
      <c r="N842" s="14" t="s">
        <v>50</v>
      </c>
      <c r="O842" s="14" t="s">
        <v>51</v>
      </c>
    </row>
    <row r="843" spans="1:15">
      <c r="A843" s="15" t="s">
        <v>11</v>
      </c>
      <c r="B843" s="15" t="s">
        <v>3745</v>
      </c>
      <c r="C843" s="15" t="s">
        <v>3746</v>
      </c>
      <c r="D843" s="15" t="s">
        <v>3747</v>
      </c>
      <c r="E843" s="15">
        <v>90</v>
      </c>
      <c r="F843" s="15" t="s">
        <v>4031</v>
      </c>
      <c r="G843" s="15" t="s">
        <v>4032</v>
      </c>
      <c r="H843" s="15" t="s">
        <v>4033</v>
      </c>
      <c r="I843" s="15" t="s">
        <v>322</v>
      </c>
      <c r="J843" s="7" t="str">
        <f>HYPERLINK("https://www.codechef.com/problems/SPTREE", "https://www.codechef.com/problems/SPTREE")</f>
        <v>https://www.codechef.com/problems/SPTREE</v>
      </c>
      <c r="K843" s="15"/>
      <c r="L843" s="15"/>
      <c r="M843" s="15"/>
      <c r="N843" s="15" t="s">
        <v>50</v>
      </c>
      <c r="O843" s="15" t="s">
        <v>51</v>
      </c>
    </row>
    <row r="844" spans="1:15">
      <c r="A844" s="14" t="s">
        <v>11</v>
      </c>
      <c r="B844" s="14" t="s">
        <v>3745</v>
      </c>
      <c r="C844" s="14" t="s">
        <v>3746</v>
      </c>
      <c r="D844" s="14" t="s">
        <v>3747</v>
      </c>
      <c r="E844" s="14">
        <v>91</v>
      </c>
      <c r="F844" s="14" t="s">
        <v>4034</v>
      </c>
      <c r="G844" s="14" t="s">
        <v>4035</v>
      </c>
      <c r="H844" s="14" t="s">
        <v>4036</v>
      </c>
      <c r="I844" s="14" t="s">
        <v>322</v>
      </c>
      <c r="J844" s="11" t="str">
        <f>HYPERLINK("https://www.codechef.com/problems/TWOAVG", "https://www.codechef.com/problems/TWOAVG")</f>
        <v>https://www.codechef.com/problems/TWOAVG</v>
      </c>
      <c r="K844" s="14"/>
      <c r="L844" s="14"/>
      <c r="M844" s="14"/>
      <c r="N844" s="14" t="s">
        <v>50</v>
      </c>
      <c r="O844" s="14" t="s">
        <v>51</v>
      </c>
    </row>
    <row r="845" spans="1:15">
      <c r="A845" s="15" t="s">
        <v>11</v>
      </c>
      <c r="B845" s="15" t="s">
        <v>3745</v>
      </c>
      <c r="C845" s="15" t="s">
        <v>3746</v>
      </c>
      <c r="D845" s="15" t="s">
        <v>3747</v>
      </c>
      <c r="E845" s="15">
        <v>92</v>
      </c>
      <c r="F845" s="15" t="s">
        <v>4037</v>
      </c>
      <c r="G845" s="15" t="s">
        <v>4038</v>
      </c>
      <c r="H845" s="15" t="s">
        <v>4039</v>
      </c>
      <c r="I845" s="15" t="s">
        <v>322</v>
      </c>
      <c r="J845" s="7" t="str">
        <f>HYPERLINK("https://www.codechef.com/problems/RIFFLES", "https://www.codechef.com/problems/RIFFLES")</f>
        <v>https://www.codechef.com/problems/RIFFLES</v>
      </c>
      <c r="K845" s="15"/>
      <c r="L845" s="15"/>
      <c r="M845" s="15"/>
      <c r="N845" s="15" t="s">
        <v>50</v>
      </c>
      <c r="O845" s="15" t="s">
        <v>51</v>
      </c>
    </row>
    <row r="846" spans="1:15">
      <c r="A846" s="14" t="s">
        <v>11</v>
      </c>
      <c r="B846" s="14" t="s">
        <v>3745</v>
      </c>
      <c r="C846" s="14" t="s">
        <v>3746</v>
      </c>
      <c r="D846" s="14" t="s">
        <v>3747</v>
      </c>
      <c r="E846" s="14">
        <v>93</v>
      </c>
      <c r="F846" s="14" t="s">
        <v>4040</v>
      </c>
      <c r="G846" s="14" t="s">
        <v>4041</v>
      </c>
      <c r="H846" s="14" t="s">
        <v>4042</v>
      </c>
      <c r="I846" s="14" t="s">
        <v>322</v>
      </c>
      <c r="J846" s="11" t="str">
        <f>HYPERLINK("https://www.codechef.com/problems/CHANDWEIGHT", "https://www.codechef.com/problems/CHANDWEIGHT")</f>
        <v>https://www.codechef.com/problems/CHANDWEIGHT</v>
      </c>
      <c r="K846" s="14"/>
      <c r="L846" s="14" t="s">
        <v>4043</v>
      </c>
      <c r="M846" s="14"/>
      <c r="N846" s="14" t="s">
        <v>50</v>
      </c>
      <c r="O846" s="14" t="s">
        <v>51</v>
      </c>
    </row>
    <row r="847" spans="1:15">
      <c r="A847" s="15" t="s">
        <v>11</v>
      </c>
      <c r="B847" s="15" t="s">
        <v>3745</v>
      </c>
      <c r="C847" s="15" t="s">
        <v>3746</v>
      </c>
      <c r="D847" s="15" t="s">
        <v>3747</v>
      </c>
      <c r="E847" s="15">
        <v>94</v>
      </c>
      <c r="F847" s="15" t="s">
        <v>4044</v>
      </c>
      <c r="G847" s="15" t="s">
        <v>4045</v>
      </c>
      <c r="H847" s="15" t="s">
        <v>4046</v>
      </c>
      <c r="I847" s="15" t="s">
        <v>322</v>
      </c>
      <c r="J847" s="7" t="str">
        <f>HYPERLINK("https://www.codechef.com/problems/CLASSES", "https://www.codechef.com/problems/CLASSES")</f>
        <v>https://www.codechef.com/problems/CLASSES</v>
      </c>
      <c r="K847" s="15"/>
      <c r="L847" s="15" t="s">
        <v>4047</v>
      </c>
      <c r="M847" s="15"/>
      <c r="N847" s="15" t="s">
        <v>50</v>
      </c>
      <c r="O847" s="15" t="s">
        <v>51</v>
      </c>
    </row>
    <row r="848" spans="1:15">
      <c r="A848" s="14" t="s">
        <v>11</v>
      </c>
      <c r="B848" s="14" t="s">
        <v>3745</v>
      </c>
      <c r="C848" s="14" t="s">
        <v>3746</v>
      </c>
      <c r="D848" s="14" t="s">
        <v>3747</v>
      </c>
      <c r="E848" s="14">
        <v>95</v>
      </c>
      <c r="F848" s="14" t="s">
        <v>4048</v>
      </c>
      <c r="G848" s="14" t="s">
        <v>4049</v>
      </c>
      <c r="H848" s="14" t="s">
        <v>4050</v>
      </c>
      <c r="I848" s="14" t="s">
        <v>322</v>
      </c>
      <c r="J848" s="11" t="str">
        <f>HYPERLINK("https://www.codechef.com/problems/TDISTS", "https://www.codechef.com/problems/TDISTS")</f>
        <v>https://www.codechef.com/problems/TDISTS</v>
      </c>
      <c r="K848" s="14"/>
      <c r="L848" s="14"/>
      <c r="M848" s="14"/>
      <c r="N848" s="14" t="s">
        <v>50</v>
      </c>
      <c r="O848" s="14" t="s">
        <v>51</v>
      </c>
    </row>
    <row r="849" spans="1:15">
      <c r="A849" s="15" t="s">
        <v>11</v>
      </c>
      <c r="B849" s="15" t="s">
        <v>3745</v>
      </c>
      <c r="C849" s="15" t="s">
        <v>3746</v>
      </c>
      <c r="D849" s="15" t="s">
        <v>3747</v>
      </c>
      <c r="E849" s="15">
        <v>96</v>
      </c>
      <c r="F849" s="15" t="s">
        <v>4051</v>
      </c>
      <c r="G849" s="15" t="s">
        <v>4052</v>
      </c>
      <c r="H849" s="15" t="s">
        <v>4053</v>
      </c>
      <c r="I849" s="15" t="s">
        <v>322</v>
      </c>
      <c r="J849" s="7" t="str">
        <f>HYPERLINK("https://www.codechef.com/problems/WRDVLS", "https://www.codechef.com/problems/WRDVLS")</f>
        <v>https://www.codechef.com/problems/WRDVLS</v>
      </c>
      <c r="K849" s="15"/>
      <c r="L849" s="15"/>
      <c r="M849" s="15"/>
      <c r="N849" s="15" t="s">
        <v>50</v>
      </c>
      <c r="O849" s="15" t="s">
        <v>51</v>
      </c>
    </row>
    <row r="850" spans="1:15">
      <c r="A850" s="14" t="s">
        <v>11</v>
      </c>
      <c r="B850" s="14" t="s">
        <v>3745</v>
      </c>
      <c r="C850" s="14" t="s">
        <v>3746</v>
      </c>
      <c r="D850" s="14" t="s">
        <v>3747</v>
      </c>
      <c r="E850" s="14">
        <v>97</v>
      </c>
      <c r="F850" s="14" t="s">
        <v>4054</v>
      </c>
      <c r="G850" s="14" t="s">
        <v>4055</v>
      </c>
      <c r="H850" s="14" t="s">
        <v>4056</v>
      </c>
      <c r="I850" s="14" t="s">
        <v>322</v>
      </c>
      <c r="J850" s="11" t="str">
        <f>HYPERLINK("https://www.codechef.com/problems/CNCTCT", "https://www.codechef.com/problems/CNCTCT")</f>
        <v>https://www.codechef.com/problems/CNCTCT</v>
      </c>
      <c r="K850" s="14"/>
      <c r="L850" s="14" t="s">
        <v>4057</v>
      </c>
      <c r="M850" s="14"/>
      <c r="N850" s="14" t="s">
        <v>50</v>
      </c>
      <c r="O850" s="14" t="s">
        <v>51</v>
      </c>
    </row>
    <row r="851" spans="1:15">
      <c r="A851" s="15" t="s">
        <v>11</v>
      </c>
      <c r="B851" s="15" t="s">
        <v>3745</v>
      </c>
      <c r="C851" s="15" t="s">
        <v>3746</v>
      </c>
      <c r="D851" s="15" t="s">
        <v>3747</v>
      </c>
      <c r="E851" s="15">
        <v>98</v>
      </c>
      <c r="F851" s="15" t="s">
        <v>4058</v>
      </c>
      <c r="G851" s="15" t="s">
        <v>4059</v>
      </c>
      <c r="H851" s="15" t="s">
        <v>4060</v>
      </c>
      <c r="I851" s="15" t="s">
        <v>322</v>
      </c>
      <c r="J851" s="7" t="str">
        <f>HYPERLINK("https://www.codechef.com/problems/CONSTANARRAY", "https://www.codechef.com/problems/CONSTANARRAY")</f>
        <v>https://www.codechef.com/problems/CONSTANARRAY</v>
      </c>
      <c r="K851" s="15"/>
      <c r="L851" s="15" t="s">
        <v>4061</v>
      </c>
      <c r="M851" s="15"/>
      <c r="N851" s="15" t="s">
        <v>50</v>
      </c>
      <c r="O851" s="15" t="s">
        <v>51</v>
      </c>
    </row>
    <row r="852" spans="1:15">
      <c r="A852" s="14" t="s">
        <v>11</v>
      </c>
      <c r="B852" s="14" t="s">
        <v>3745</v>
      </c>
      <c r="C852" s="14" t="s">
        <v>3746</v>
      </c>
      <c r="D852" s="14" t="s">
        <v>3747</v>
      </c>
      <c r="E852" s="14">
        <v>99</v>
      </c>
      <c r="F852" s="14" t="s">
        <v>4062</v>
      </c>
      <c r="G852" s="14" t="s">
        <v>4063</v>
      </c>
      <c r="H852" s="14" t="s">
        <v>4064</v>
      </c>
      <c r="I852" s="14" t="s">
        <v>322</v>
      </c>
      <c r="J852" s="11" t="str">
        <f>HYPERLINK("https://www.codechef.com/problems/ONEORALL", "https://www.codechef.com/problems/ONEORALL")</f>
        <v>https://www.codechef.com/problems/ONEORALL</v>
      </c>
      <c r="K852" s="14"/>
      <c r="L852" s="14" t="s">
        <v>3003</v>
      </c>
      <c r="M852" s="14"/>
      <c r="N852" s="14" t="s">
        <v>50</v>
      </c>
      <c r="O852" s="14" t="s">
        <v>51</v>
      </c>
    </row>
    <row r="853" spans="1:15">
      <c r="A853" s="15" t="s">
        <v>11</v>
      </c>
      <c r="B853" s="15" t="s">
        <v>3745</v>
      </c>
      <c r="C853" s="15" t="s">
        <v>3746</v>
      </c>
      <c r="D853" s="15" t="s">
        <v>3747</v>
      </c>
      <c r="E853" s="15">
        <v>100</v>
      </c>
      <c r="F853" s="15" t="s">
        <v>4065</v>
      </c>
      <c r="G853" s="15" t="s">
        <v>4066</v>
      </c>
      <c r="H853" s="15" t="s">
        <v>4067</v>
      </c>
      <c r="I853" s="15" t="s">
        <v>322</v>
      </c>
      <c r="J853" s="7" t="str">
        <f>HYPERLINK("https://www.codechef.com/problems/SMALLESTDIFF", "https://www.codechef.com/problems/SMALLESTDIFF")</f>
        <v>https://www.codechef.com/problems/SMALLESTDIFF</v>
      </c>
      <c r="K853" s="15"/>
      <c r="L853" s="15"/>
      <c r="M853" s="15"/>
      <c r="N853" s="15" t="s">
        <v>50</v>
      </c>
      <c r="O853" s="15" t="s">
        <v>51</v>
      </c>
    </row>
    <row r="854" spans="1:15">
      <c r="A854" s="14" t="s">
        <v>11</v>
      </c>
      <c r="B854" s="14" t="s">
        <v>3745</v>
      </c>
      <c r="C854" s="14" t="s">
        <v>3746</v>
      </c>
      <c r="D854" s="14" t="s">
        <v>3747</v>
      </c>
      <c r="E854" s="14">
        <v>101</v>
      </c>
      <c r="F854" s="14" t="s">
        <v>4068</v>
      </c>
      <c r="G854" s="14" t="s">
        <v>4069</v>
      </c>
      <c r="H854" s="14" t="s">
        <v>4070</v>
      </c>
      <c r="I854" s="14" t="s">
        <v>322</v>
      </c>
      <c r="J854" s="11" t="str">
        <f>HYPERLINK("https://www.codechef.com/problems/GCD_QUERIES", "https://www.codechef.com/problems/GCD_QUERIES")</f>
        <v>https://www.codechef.com/problems/GCD_QUERIES</v>
      </c>
      <c r="K854" s="14"/>
      <c r="L854" s="14" t="s">
        <v>4071</v>
      </c>
      <c r="M854" s="14"/>
      <c r="N854" s="14" t="s">
        <v>50</v>
      </c>
      <c r="O854" s="14" t="s">
        <v>51</v>
      </c>
    </row>
    <row r="855" spans="1:15">
      <c r="A855" s="15" t="s">
        <v>11</v>
      </c>
      <c r="B855" s="15" t="s">
        <v>3745</v>
      </c>
      <c r="C855" s="15" t="s">
        <v>3746</v>
      </c>
      <c r="D855" s="15" t="s">
        <v>3747</v>
      </c>
      <c r="E855" s="15">
        <v>102</v>
      </c>
      <c r="F855" s="15" t="s">
        <v>4072</v>
      </c>
      <c r="G855" s="15" t="s">
        <v>4073</v>
      </c>
      <c r="H855" s="15" t="s">
        <v>4074</v>
      </c>
      <c r="I855" s="15" t="s">
        <v>322</v>
      </c>
      <c r="J855" s="7" t="str">
        <f>HYPERLINK("https://www.codechef.com/problems/TWOCOUNTERS", "https://www.codechef.com/problems/TWOCOUNTERS")</f>
        <v>https://www.codechef.com/problems/TWOCOUNTERS</v>
      </c>
      <c r="K855" s="15"/>
      <c r="L855" s="15"/>
      <c r="M855" s="15"/>
      <c r="N855" s="15" t="s">
        <v>50</v>
      </c>
      <c r="O855" s="15" t="s">
        <v>51</v>
      </c>
    </row>
    <row r="856" spans="1:15">
      <c r="A856" s="14" t="s">
        <v>11</v>
      </c>
      <c r="B856" s="14" t="s">
        <v>3745</v>
      </c>
      <c r="C856" s="14" t="s">
        <v>3746</v>
      </c>
      <c r="D856" s="14" t="s">
        <v>3747</v>
      </c>
      <c r="E856" s="14">
        <v>103</v>
      </c>
      <c r="F856" s="14" t="s">
        <v>4075</v>
      </c>
      <c r="G856" s="14" t="s">
        <v>4076</v>
      </c>
      <c r="H856" s="14" t="s">
        <v>4077</v>
      </c>
      <c r="I856" s="14" t="s">
        <v>322</v>
      </c>
      <c r="J856" s="11" t="str">
        <f>HYPERLINK("https://www.codechef.com/problems/ADJFLIP", "https://www.codechef.com/problems/ADJFLIP")</f>
        <v>https://www.codechef.com/problems/ADJFLIP</v>
      </c>
      <c r="K856" s="14"/>
      <c r="L856" s="14" t="s">
        <v>4078</v>
      </c>
      <c r="M856" s="14"/>
      <c r="N856" s="14" t="s">
        <v>50</v>
      </c>
      <c r="O856" s="14" t="s">
        <v>51</v>
      </c>
    </row>
    <row r="857" spans="1:15">
      <c r="A857" s="15" t="s">
        <v>11</v>
      </c>
      <c r="B857" s="15" t="s">
        <v>3745</v>
      </c>
      <c r="C857" s="15" t="s">
        <v>3746</v>
      </c>
      <c r="D857" s="15" t="s">
        <v>3747</v>
      </c>
      <c r="E857" s="15">
        <v>104</v>
      </c>
      <c r="F857" s="15" t="s">
        <v>4079</v>
      </c>
      <c r="G857" s="15" t="s">
        <v>4080</v>
      </c>
      <c r="H857" s="15" t="s">
        <v>4081</v>
      </c>
      <c r="I857" s="15" t="s">
        <v>322</v>
      </c>
      <c r="J857" s="7" t="str">
        <f>HYPERLINK("https://www.codechef.com/problems/MAXCYCSHIFT", "https://www.codechef.com/problems/MAXCYCSHIFT")</f>
        <v>https://www.codechef.com/problems/MAXCYCSHIFT</v>
      </c>
      <c r="K857" s="15"/>
      <c r="L857" s="15" t="s">
        <v>4082</v>
      </c>
      <c r="M857" s="15"/>
      <c r="N857" s="15" t="s">
        <v>50</v>
      </c>
      <c r="O857" s="15" t="s">
        <v>51</v>
      </c>
    </row>
    <row r="858" spans="1:15">
      <c r="A858" s="14" t="s">
        <v>11</v>
      </c>
      <c r="B858" s="14" t="s">
        <v>3745</v>
      </c>
      <c r="C858" s="14" t="s">
        <v>3746</v>
      </c>
      <c r="D858" s="14" t="s">
        <v>3747</v>
      </c>
      <c r="E858" s="14">
        <v>105</v>
      </c>
      <c r="F858" s="14" t="s">
        <v>4083</v>
      </c>
      <c r="G858" s="14" t="s">
        <v>4084</v>
      </c>
      <c r="H858" s="14" t="s">
        <v>4085</v>
      </c>
      <c r="I858" s="14" t="s">
        <v>322</v>
      </c>
      <c r="J858" s="11" t="str">
        <f>HYPERLINK("https://www.codechef.com/problems/BALSUFF", "https://www.codechef.com/problems/BALSUFF")</f>
        <v>https://www.codechef.com/problems/BALSUFF</v>
      </c>
      <c r="K858" s="14"/>
      <c r="L858" s="14" t="s">
        <v>140</v>
      </c>
      <c r="M858" s="14"/>
      <c r="N858" s="14" t="s">
        <v>50</v>
      </c>
      <c r="O858" s="14" t="s">
        <v>51</v>
      </c>
    </row>
    <row r="859" spans="1:15">
      <c r="A859" s="15" t="s">
        <v>11</v>
      </c>
      <c r="B859" s="15" t="s">
        <v>3745</v>
      </c>
      <c r="C859" s="15" t="s">
        <v>3746</v>
      </c>
      <c r="D859" s="15" t="s">
        <v>3747</v>
      </c>
      <c r="E859" s="15">
        <v>106</v>
      </c>
      <c r="F859" s="15" t="s">
        <v>4086</v>
      </c>
      <c r="G859" s="15" t="s">
        <v>4087</v>
      </c>
      <c r="H859" s="15" t="s">
        <v>4088</v>
      </c>
      <c r="I859" s="15" t="s">
        <v>322</v>
      </c>
      <c r="J859" s="7" t="str">
        <f>HYPERLINK("https://www.codechef.com/problems/GSEQ", "https://www.codechef.com/problems/GSEQ")</f>
        <v>https://www.codechef.com/problems/GSEQ</v>
      </c>
      <c r="K859" s="15"/>
      <c r="L859" s="15" t="s">
        <v>4089</v>
      </c>
      <c r="M859" s="15"/>
      <c r="N859" s="15" t="s">
        <v>50</v>
      </c>
      <c r="O859" s="15" t="s">
        <v>51</v>
      </c>
    </row>
    <row r="860" spans="1:15">
      <c r="A860" s="14" t="s">
        <v>11</v>
      </c>
      <c r="B860" s="14" t="s">
        <v>3745</v>
      </c>
      <c r="C860" s="14" t="s">
        <v>3746</v>
      </c>
      <c r="D860" s="14" t="s">
        <v>3747</v>
      </c>
      <c r="E860" s="14">
        <v>107</v>
      </c>
      <c r="F860" s="14" t="s">
        <v>4090</v>
      </c>
      <c r="G860" s="14" t="s">
        <v>4091</v>
      </c>
      <c r="H860" s="14" t="s">
        <v>4092</v>
      </c>
      <c r="I860" s="14" t="s">
        <v>322</v>
      </c>
      <c r="J860" s="11" t="str">
        <f>HYPERLINK("https://www.codechef.com/problems/DEQUEUE", "https://www.codechef.com/problems/DEQUEUE")</f>
        <v>https://www.codechef.com/problems/DEQUEUE</v>
      </c>
      <c r="K860" s="14"/>
      <c r="L860" s="14" t="s">
        <v>4093</v>
      </c>
      <c r="M860" s="14"/>
      <c r="N860" s="14" t="s">
        <v>50</v>
      </c>
      <c r="O860" s="14" t="s">
        <v>51</v>
      </c>
    </row>
    <row r="861" spans="1:15">
      <c r="A861" s="15" t="s">
        <v>11</v>
      </c>
      <c r="B861" s="15" t="s">
        <v>3745</v>
      </c>
      <c r="C861" s="15" t="s">
        <v>3746</v>
      </c>
      <c r="D861" s="15" t="s">
        <v>3747</v>
      </c>
      <c r="E861" s="15">
        <v>108</v>
      </c>
      <c r="F861" s="15" t="s">
        <v>4094</v>
      </c>
      <c r="G861" s="15" t="s">
        <v>4095</v>
      </c>
      <c r="H861" s="15" t="s">
        <v>4096</v>
      </c>
      <c r="I861" s="15" t="s">
        <v>322</v>
      </c>
      <c r="J861" s="7" t="str">
        <f>HYPERLINK("https://www.codechef.com/problems/SQUAR", "https://www.codechef.com/problems/SQUAR")</f>
        <v>https://www.codechef.com/problems/SQUAR</v>
      </c>
      <c r="K861" s="15"/>
      <c r="L861" s="15"/>
      <c r="M861" s="15"/>
      <c r="N861" s="15" t="s">
        <v>50</v>
      </c>
      <c r="O861" s="15" t="s">
        <v>51</v>
      </c>
    </row>
    <row r="862" spans="1:15">
      <c r="A862" s="14" t="s">
        <v>11</v>
      </c>
      <c r="B862" s="14" t="s">
        <v>3745</v>
      </c>
      <c r="C862" s="14" t="s">
        <v>3746</v>
      </c>
      <c r="D862" s="14" t="s">
        <v>3747</v>
      </c>
      <c r="E862" s="14">
        <v>109</v>
      </c>
      <c r="F862" s="14" t="s">
        <v>4097</v>
      </c>
      <c r="G862" s="14" t="s">
        <v>4098</v>
      </c>
      <c r="H862" s="14" t="s">
        <v>4099</v>
      </c>
      <c r="I862" s="14" t="s">
        <v>322</v>
      </c>
      <c r="J862" s="11" t="str">
        <f>HYPERLINK("https://www.codechef.com/problems/MEXSUB", "https://www.codechef.com/problems/MEXSUB")</f>
        <v>https://www.codechef.com/problems/MEXSUB</v>
      </c>
      <c r="K862" s="14"/>
      <c r="L862" s="14"/>
      <c r="M862" s="14"/>
      <c r="N862" s="14" t="s">
        <v>50</v>
      </c>
      <c r="O862" s="14" t="s">
        <v>51</v>
      </c>
    </row>
    <row r="863" spans="1:15">
      <c r="A863" s="15" t="s">
        <v>11</v>
      </c>
      <c r="B863" s="15" t="s">
        <v>3745</v>
      </c>
      <c r="C863" s="15" t="s">
        <v>3746</v>
      </c>
      <c r="D863" s="15" t="s">
        <v>3747</v>
      </c>
      <c r="E863" s="15">
        <v>110</v>
      </c>
      <c r="F863" s="15" t="s">
        <v>4100</v>
      </c>
      <c r="G863" s="15" t="s">
        <v>4101</v>
      </c>
      <c r="H863" s="15" t="s">
        <v>4099</v>
      </c>
      <c r="I863" s="15" t="s">
        <v>322</v>
      </c>
      <c r="J863" s="7" t="str">
        <f>HYPERLINK("https://www.codechef.com/problems/CHEF7UP", "https://www.codechef.com/problems/CHEF7UP")</f>
        <v>https://www.codechef.com/problems/CHEF7UP</v>
      </c>
      <c r="K863" s="15"/>
      <c r="L863" s="15" t="s">
        <v>4102</v>
      </c>
      <c r="M863" s="15"/>
      <c r="N863" s="15" t="s">
        <v>50</v>
      </c>
      <c r="O863" s="15" t="s">
        <v>51</v>
      </c>
    </row>
    <row r="864" spans="1:15">
      <c r="A864" s="14" t="s">
        <v>11</v>
      </c>
      <c r="B864" s="14" t="s">
        <v>3745</v>
      </c>
      <c r="C864" s="14" t="s">
        <v>3746</v>
      </c>
      <c r="D864" s="14" t="s">
        <v>3747</v>
      </c>
      <c r="E864" s="14">
        <v>111</v>
      </c>
      <c r="F864" s="14" t="s">
        <v>4103</v>
      </c>
      <c r="G864" s="14" t="s">
        <v>4104</v>
      </c>
      <c r="H864" s="14" t="s">
        <v>4105</v>
      </c>
      <c r="I864" s="14" t="s">
        <v>322</v>
      </c>
      <c r="J864" s="11" t="str">
        <f>HYPERLINK("https://www.codechef.com/problems/EXPECTEDSUM", "https://www.codechef.com/problems/EXPECTEDSUM")</f>
        <v>https://www.codechef.com/problems/EXPECTEDSUM</v>
      </c>
      <c r="K864" s="14"/>
      <c r="L864" s="14" t="s">
        <v>4106</v>
      </c>
      <c r="M864" s="14"/>
      <c r="N864" s="14" t="s">
        <v>50</v>
      </c>
      <c r="O864" s="14" t="s">
        <v>51</v>
      </c>
    </row>
    <row r="865" spans="1:15">
      <c r="A865" s="15" t="s">
        <v>11</v>
      </c>
      <c r="B865" s="15" t="s">
        <v>3745</v>
      </c>
      <c r="C865" s="15" t="s">
        <v>3746</v>
      </c>
      <c r="D865" s="15" t="s">
        <v>3747</v>
      </c>
      <c r="E865" s="15">
        <v>112</v>
      </c>
      <c r="F865" s="15" t="s">
        <v>4107</v>
      </c>
      <c r="G865" s="15" t="s">
        <v>4108</v>
      </c>
      <c r="H865" s="15" t="s">
        <v>4109</v>
      </c>
      <c r="I865" s="15" t="s">
        <v>322</v>
      </c>
      <c r="J865" s="7" t="str">
        <f>HYPERLINK("https://www.codechef.com/problems/ADMIT", "https://www.codechef.com/problems/ADMIT")</f>
        <v>https://www.codechef.com/problems/ADMIT</v>
      </c>
      <c r="K865" s="15"/>
      <c r="L865" s="15" t="s">
        <v>4110</v>
      </c>
      <c r="M865" s="15"/>
      <c r="N865" s="15" t="s">
        <v>50</v>
      </c>
      <c r="O865" s="15" t="s">
        <v>51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dimension ref="A1:O281"/>
  <sheetViews>
    <sheetView workbookViewId="0"/>
  </sheetViews>
  <sheetFormatPr defaultRowHeight="14.5"/>
  <cols>
    <col min="1" max="1" width="18" customWidth="1"/>
    <col min="2" max="2" width="25" customWidth="1"/>
    <col min="3" max="3" width="84" customWidth="1"/>
    <col min="4" max="4" width="61" customWidth="1"/>
    <col min="5" max="5" width="16" customWidth="1"/>
    <col min="6" max="6" width="53" customWidth="1"/>
    <col min="7" max="7" width="15" customWidth="1"/>
    <col min="8" max="8" width="20" customWidth="1"/>
    <col min="9" max="9" width="19" customWidth="1"/>
    <col min="10" max="10" width="15" customWidth="1"/>
    <col min="11" max="11" width="17" customWidth="1"/>
    <col min="12" max="12" width="166" customWidth="1"/>
    <col min="13"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12</v>
      </c>
      <c r="B2" s="14" t="s">
        <v>4111</v>
      </c>
      <c r="C2" s="14" t="s">
        <v>4112</v>
      </c>
      <c r="D2" s="14" t="s">
        <v>4113</v>
      </c>
      <c r="E2" s="14">
        <v>1</v>
      </c>
      <c r="F2" s="14" t="s">
        <v>4114</v>
      </c>
      <c r="G2" s="14" t="s">
        <v>4115</v>
      </c>
      <c r="H2" s="14" t="s">
        <v>2204</v>
      </c>
      <c r="I2" s="14" t="s">
        <v>49</v>
      </c>
      <c r="J2" s="11" t="str">
        <f>HYPERLINK("https://www.codechef.com/problems/CHFRICH", "https://www.codechef.com/problems/CHFRICH")</f>
        <v>https://www.codechef.com/problems/CHFRICH</v>
      </c>
      <c r="K2" s="14"/>
      <c r="L2" s="14"/>
      <c r="M2" s="14"/>
      <c r="N2" s="14" t="s">
        <v>50</v>
      </c>
      <c r="O2" s="14" t="s">
        <v>51</v>
      </c>
    </row>
    <row r="3" spans="1:15">
      <c r="A3" s="15" t="s">
        <v>12</v>
      </c>
      <c r="B3" s="15" t="s">
        <v>4111</v>
      </c>
      <c r="C3" s="15" t="s">
        <v>4112</v>
      </c>
      <c r="D3" s="15" t="s">
        <v>4113</v>
      </c>
      <c r="E3" s="15">
        <v>2</v>
      </c>
      <c r="F3" s="15" t="s">
        <v>4116</v>
      </c>
      <c r="G3" s="15" t="s">
        <v>4117</v>
      </c>
      <c r="H3" s="15" t="s">
        <v>2271</v>
      </c>
      <c r="I3" s="15" t="s">
        <v>49</v>
      </c>
      <c r="J3" s="7" t="str">
        <f>HYPERLINK("https://www.codechef.com/problems/VDATES", "https://www.codechef.com/problems/VDATES")</f>
        <v>https://www.codechef.com/problems/VDATES</v>
      </c>
      <c r="K3" s="15"/>
      <c r="L3" s="15"/>
      <c r="M3" s="15"/>
      <c r="N3" s="15" t="s">
        <v>50</v>
      </c>
      <c r="O3" s="15" t="s">
        <v>51</v>
      </c>
    </row>
    <row r="4" spans="1:15">
      <c r="A4" s="14" t="s">
        <v>12</v>
      </c>
      <c r="B4" s="14" t="s">
        <v>4111</v>
      </c>
      <c r="C4" s="14" t="s">
        <v>4112</v>
      </c>
      <c r="D4" s="14" t="s">
        <v>4113</v>
      </c>
      <c r="E4" s="14">
        <v>3</v>
      </c>
      <c r="F4" s="14" t="s">
        <v>4118</v>
      </c>
      <c r="G4" s="14" t="s">
        <v>4119</v>
      </c>
      <c r="H4" s="14" t="s">
        <v>108</v>
      </c>
      <c r="I4" s="14" t="s">
        <v>49</v>
      </c>
      <c r="J4" s="11" t="str">
        <f>HYPERLINK("https://www.codechef.com/problems/HOOPS", "https://www.codechef.com/problems/HOOPS")</f>
        <v>https://www.codechef.com/problems/HOOPS</v>
      </c>
      <c r="K4" s="14"/>
      <c r="L4" s="14"/>
      <c r="M4" s="14"/>
      <c r="N4" s="14" t="s">
        <v>50</v>
      </c>
      <c r="O4" s="14" t="s">
        <v>51</v>
      </c>
    </row>
    <row r="5" spans="1:15">
      <c r="A5" s="15" t="s">
        <v>12</v>
      </c>
      <c r="B5" s="15" t="s">
        <v>4111</v>
      </c>
      <c r="C5" s="15" t="s">
        <v>4112</v>
      </c>
      <c r="D5" s="15" t="s">
        <v>4113</v>
      </c>
      <c r="E5" s="15">
        <v>4</v>
      </c>
      <c r="F5" s="15" t="s">
        <v>4120</v>
      </c>
      <c r="G5" s="15" t="s">
        <v>4121</v>
      </c>
      <c r="H5" s="15" t="s">
        <v>985</v>
      </c>
      <c r="I5" s="15" t="s">
        <v>49</v>
      </c>
      <c r="J5" s="7" t="str">
        <f>HYPERLINK("https://www.codechef.com/problems/MAX_DIFF", "https://www.codechef.com/problems/MAX_DIFF")</f>
        <v>https://www.codechef.com/problems/MAX_DIFF</v>
      </c>
      <c r="K5" s="15"/>
      <c r="L5" s="15"/>
      <c r="M5" s="15"/>
      <c r="N5" s="15" t="s">
        <v>50</v>
      </c>
      <c r="O5" s="15" t="s">
        <v>51</v>
      </c>
    </row>
    <row r="6" spans="1:15">
      <c r="A6" s="14" t="s">
        <v>12</v>
      </c>
      <c r="B6" s="14" t="s">
        <v>4111</v>
      </c>
      <c r="C6" s="14" t="s">
        <v>4112</v>
      </c>
      <c r="D6" s="14" t="s">
        <v>4113</v>
      </c>
      <c r="E6" s="14">
        <v>5</v>
      </c>
      <c r="F6" s="14" t="s">
        <v>4122</v>
      </c>
      <c r="G6" s="14" t="s">
        <v>4123</v>
      </c>
      <c r="H6" s="14" t="s">
        <v>4124</v>
      </c>
      <c r="I6" s="14" t="s">
        <v>49</v>
      </c>
      <c r="J6" s="11" t="str">
        <f>HYPERLINK("https://www.codechef.com/problems/IMDB", "https://www.codechef.com/problems/IMDB")</f>
        <v>https://www.codechef.com/problems/IMDB</v>
      </c>
      <c r="K6" s="14"/>
      <c r="L6" s="14"/>
      <c r="M6" s="14"/>
      <c r="N6" s="14" t="s">
        <v>50</v>
      </c>
      <c r="O6" s="14" t="s">
        <v>51</v>
      </c>
    </row>
    <row r="7" spans="1:15">
      <c r="A7" s="15" t="s">
        <v>12</v>
      </c>
      <c r="B7" s="15" t="s">
        <v>4111</v>
      </c>
      <c r="C7" s="15" t="s">
        <v>4112</v>
      </c>
      <c r="D7" s="15" t="s">
        <v>4113</v>
      </c>
      <c r="E7" s="15">
        <v>6</v>
      </c>
      <c r="F7" s="15" t="s">
        <v>4125</v>
      </c>
      <c r="G7" s="15" t="s">
        <v>4126</v>
      </c>
      <c r="H7" s="15" t="s">
        <v>4127</v>
      </c>
      <c r="I7" s="15" t="s">
        <v>49</v>
      </c>
      <c r="J7" s="7" t="str">
        <f>HYPERLINK("https://www.codechef.com/problems/TWODISH", "https://www.codechef.com/problems/TWODISH")</f>
        <v>https://www.codechef.com/problems/TWODISH</v>
      </c>
      <c r="K7" s="15"/>
      <c r="L7" s="15"/>
      <c r="M7" s="15"/>
      <c r="N7" s="15" t="s">
        <v>50</v>
      </c>
      <c r="O7" s="15" t="s">
        <v>51</v>
      </c>
    </row>
    <row r="8" spans="1:15">
      <c r="A8" s="14" t="s">
        <v>12</v>
      </c>
      <c r="B8" s="14" t="s">
        <v>4111</v>
      </c>
      <c r="C8" s="14" t="s">
        <v>4112</v>
      </c>
      <c r="D8" s="14" t="s">
        <v>4113</v>
      </c>
      <c r="E8" s="14">
        <v>7</v>
      </c>
      <c r="F8" s="14" t="s">
        <v>4128</v>
      </c>
      <c r="G8" s="14" t="s">
        <v>4129</v>
      </c>
      <c r="H8" s="14" t="s">
        <v>242</v>
      </c>
      <c r="I8" s="14" t="s">
        <v>49</v>
      </c>
      <c r="J8" s="11" t="str">
        <f>HYPERLINK("https://www.codechef.com/problems/PROBCAT", "https://www.codechef.com/problems/PROBCAT")</f>
        <v>https://www.codechef.com/problems/PROBCAT</v>
      </c>
      <c r="K8" s="14"/>
      <c r="L8" s="14"/>
      <c r="M8" s="14"/>
      <c r="N8" s="14" t="s">
        <v>50</v>
      </c>
      <c r="O8" s="14" t="s">
        <v>51</v>
      </c>
    </row>
    <row r="9" spans="1:15">
      <c r="A9" s="15" t="s">
        <v>12</v>
      </c>
      <c r="B9" s="15" t="s">
        <v>4111</v>
      </c>
      <c r="C9" s="15" t="s">
        <v>4112</v>
      </c>
      <c r="D9" s="15" t="s">
        <v>4113</v>
      </c>
      <c r="E9" s="15">
        <v>8</v>
      </c>
      <c r="F9" s="15" t="s">
        <v>4130</v>
      </c>
      <c r="G9" s="15" t="s">
        <v>4131</v>
      </c>
      <c r="H9" s="15" t="s">
        <v>2310</v>
      </c>
      <c r="I9" s="15" t="s">
        <v>49</v>
      </c>
      <c r="J9" s="7" t="str">
        <f>HYPERLINK("https://www.codechef.com/problems/PROGLANG", "https://www.codechef.com/problems/PROGLANG")</f>
        <v>https://www.codechef.com/problems/PROGLANG</v>
      </c>
      <c r="K9" s="15"/>
      <c r="L9" s="15"/>
      <c r="M9" s="15"/>
      <c r="N9" s="15" t="s">
        <v>50</v>
      </c>
      <c r="O9" s="15" t="s">
        <v>51</v>
      </c>
    </row>
    <row r="10" spans="1:15">
      <c r="A10" s="14" t="s">
        <v>12</v>
      </c>
      <c r="B10" s="14" t="s">
        <v>4111</v>
      </c>
      <c r="C10" s="14" t="s">
        <v>4112</v>
      </c>
      <c r="D10" s="14" t="s">
        <v>4113</v>
      </c>
      <c r="E10" s="14">
        <v>9</v>
      </c>
      <c r="F10" s="14" t="s">
        <v>4132</v>
      </c>
      <c r="G10" s="14" t="s">
        <v>4133</v>
      </c>
      <c r="H10" s="14" t="s">
        <v>121</v>
      </c>
      <c r="I10" s="14" t="s">
        <v>49</v>
      </c>
      <c r="J10" s="11" t="str">
        <f>HYPERLINK("https://www.codechef.com/problems/CHFSPL", "https://www.codechef.com/problems/CHFSPL")</f>
        <v>https://www.codechef.com/problems/CHFSPL</v>
      </c>
      <c r="K10" s="14"/>
      <c r="L10" s="14"/>
      <c r="M10" s="14"/>
      <c r="N10" s="14" t="s">
        <v>50</v>
      </c>
      <c r="O10" s="14" t="s">
        <v>51</v>
      </c>
    </row>
    <row r="11" spans="1:15">
      <c r="A11" s="15" t="s">
        <v>12</v>
      </c>
      <c r="B11" s="15" t="s">
        <v>4111</v>
      </c>
      <c r="C11" s="15" t="s">
        <v>4112</v>
      </c>
      <c r="D11" s="15" t="s">
        <v>4113</v>
      </c>
      <c r="E11" s="15">
        <v>10</v>
      </c>
      <c r="F11" s="15" t="s">
        <v>4134</v>
      </c>
      <c r="G11" s="15" t="s">
        <v>4135</v>
      </c>
      <c r="H11" s="15" t="s">
        <v>2770</v>
      </c>
      <c r="I11" s="15" t="s">
        <v>49</v>
      </c>
      <c r="J11" s="7" t="str">
        <f>HYPERLINK("https://www.codechef.com/problems/SMOL", "https://www.codechef.com/problems/SMOL")</f>
        <v>https://www.codechef.com/problems/SMOL</v>
      </c>
      <c r="K11" s="15"/>
      <c r="L11" s="15"/>
      <c r="M11" s="15"/>
      <c r="N11" s="15" t="s">
        <v>50</v>
      </c>
      <c r="O11" s="15" t="s">
        <v>51</v>
      </c>
    </row>
    <row r="12" spans="1:15">
      <c r="A12" s="14" t="s">
        <v>12</v>
      </c>
      <c r="B12" s="14" t="s">
        <v>4111</v>
      </c>
      <c r="C12" s="14" t="s">
        <v>4112</v>
      </c>
      <c r="D12" s="14" t="s">
        <v>4113</v>
      </c>
      <c r="E12" s="14">
        <v>11</v>
      </c>
      <c r="F12" s="14" t="s">
        <v>4136</v>
      </c>
      <c r="G12" s="14" t="s">
        <v>4137</v>
      </c>
      <c r="H12" s="14" t="s">
        <v>4138</v>
      </c>
      <c r="I12" s="14" t="s">
        <v>49</v>
      </c>
      <c r="J12" s="11" t="str">
        <f>HYPERLINK("https://www.codechef.com/problems/WEIGHTBL", "https://www.codechef.com/problems/WEIGHTBL")</f>
        <v>https://www.codechef.com/problems/WEIGHTBL</v>
      </c>
      <c r="K12" s="14"/>
      <c r="L12" s="14"/>
      <c r="M12" s="14"/>
      <c r="N12" s="14" t="s">
        <v>50</v>
      </c>
      <c r="O12" s="14" t="s">
        <v>51</v>
      </c>
    </row>
    <row r="13" spans="1:15">
      <c r="A13" s="15" t="s">
        <v>12</v>
      </c>
      <c r="B13" s="15" t="s">
        <v>4111</v>
      </c>
      <c r="C13" s="15" t="s">
        <v>4112</v>
      </c>
      <c r="D13" s="15" t="s">
        <v>4113</v>
      </c>
      <c r="E13" s="15">
        <v>12</v>
      </c>
      <c r="F13" s="15" t="s">
        <v>4139</v>
      </c>
      <c r="G13" s="15" t="s">
        <v>4140</v>
      </c>
      <c r="H13" s="15" t="s">
        <v>2377</v>
      </c>
      <c r="I13" s="15" t="s">
        <v>49</v>
      </c>
      <c r="J13" s="7" t="str">
        <f>HYPERLINK("https://www.codechef.com/problems/CSTOCK", "https://www.codechef.com/problems/CSTOCK")</f>
        <v>https://www.codechef.com/problems/CSTOCK</v>
      </c>
      <c r="K13" s="15"/>
      <c r="L13" s="15"/>
      <c r="M13" s="15"/>
      <c r="N13" s="15" t="s">
        <v>50</v>
      </c>
      <c r="O13" s="15" t="s">
        <v>51</v>
      </c>
    </row>
    <row r="14" spans="1:15">
      <c r="A14" s="14" t="s">
        <v>12</v>
      </c>
      <c r="B14" s="14" t="s">
        <v>4111</v>
      </c>
      <c r="C14" s="14" t="s">
        <v>4112</v>
      </c>
      <c r="D14" s="14" t="s">
        <v>4113</v>
      </c>
      <c r="E14" s="14">
        <v>13</v>
      </c>
      <c r="F14" s="14" t="s">
        <v>4141</v>
      </c>
      <c r="G14" s="14" t="s">
        <v>4142</v>
      </c>
      <c r="H14" s="14" t="s">
        <v>4143</v>
      </c>
      <c r="I14" s="14" t="s">
        <v>49</v>
      </c>
      <c r="J14" s="11" t="str">
        <f>HYPERLINK("https://www.codechef.com/problems/NFS", "https://www.codechef.com/problems/NFS")</f>
        <v>https://www.codechef.com/problems/NFS</v>
      </c>
      <c r="K14" s="14"/>
      <c r="L14" s="14"/>
      <c r="M14" s="14"/>
      <c r="N14" s="14" t="s">
        <v>50</v>
      </c>
      <c r="O14" s="14" t="s">
        <v>51</v>
      </c>
    </row>
    <row r="15" spans="1:15">
      <c r="A15" s="15" t="s">
        <v>12</v>
      </c>
      <c r="B15" s="15" t="s">
        <v>4111</v>
      </c>
      <c r="C15" s="15" t="s">
        <v>4112</v>
      </c>
      <c r="D15" s="15" t="s">
        <v>4113</v>
      </c>
      <c r="E15" s="15">
        <v>14</v>
      </c>
      <c r="F15" s="15" t="s">
        <v>4144</v>
      </c>
      <c r="G15" s="15" t="s">
        <v>4145</v>
      </c>
      <c r="H15" s="15" t="s">
        <v>4146</v>
      </c>
      <c r="I15" s="15" t="s">
        <v>49</v>
      </c>
      <c r="J15" s="7" t="str">
        <f>HYPERLINK("https://www.codechef.com/problems/MXEVNSUB", "https://www.codechef.com/problems/MXEVNSUB")</f>
        <v>https://www.codechef.com/problems/MXEVNSUB</v>
      </c>
      <c r="K15" s="15"/>
      <c r="L15" s="15"/>
      <c r="M15" s="15"/>
      <c r="N15" s="15" t="s">
        <v>50</v>
      </c>
      <c r="O15" s="15" t="s">
        <v>51</v>
      </c>
    </row>
    <row r="16" spans="1:15">
      <c r="A16" s="14" t="s">
        <v>12</v>
      </c>
      <c r="B16" s="14" t="s">
        <v>4111</v>
      </c>
      <c r="C16" s="14" t="s">
        <v>4112</v>
      </c>
      <c r="D16" s="14" t="s">
        <v>4113</v>
      </c>
      <c r="E16" s="14">
        <v>15</v>
      </c>
      <c r="F16" s="14" t="s">
        <v>4147</v>
      </c>
      <c r="G16" s="14" t="s">
        <v>4148</v>
      </c>
      <c r="H16" s="14" t="s">
        <v>4149</v>
      </c>
      <c r="I16" s="14" t="s">
        <v>96</v>
      </c>
      <c r="J16" s="11" t="str">
        <f>HYPERLINK("https://www.codechef.com/problems/MANYSUMS", "https://www.codechef.com/problems/MANYSUMS")</f>
        <v>https://www.codechef.com/problems/MANYSUMS</v>
      </c>
      <c r="K16" s="14"/>
      <c r="L16" s="14"/>
      <c r="M16" s="14"/>
      <c r="N16" s="14" t="s">
        <v>50</v>
      </c>
      <c r="O16" s="14" t="s">
        <v>51</v>
      </c>
    </row>
    <row r="17" spans="1:15">
      <c r="A17" s="15" t="s">
        <v>12</v>
      </c>
      <c r="B17" s="15" t="s">
        <v>4111</v>
      </c>
      <c r="C17" s="15" t="s">
        <v>4112</v>
      </c>
      <c r="D17" s="15" t="s">
        <v>4113</v>
      </c>
      <c r="E17" s="15">
        <v>16</v>
      </c>
      <c r="F17" s="15" t="s">
        <v>4150</v>
      </c>
      <c r="G17" s="15" t="s">
        <v>4151</v>
      </c>
      <c r="H17" s="15" t="s">
        <v>4152</v>
      </c>
      <c r="I17" s="15" t="s">
        <v>49</v>
      </c>
      <c r="J17" s="7" t="str">
        <f>HYPERLINK("https://www.codechef.com/problems/TANDJ1", "https://www.codechef.com/problems/TANDJ1")</f>
        <v>https://www.codechef.com/problems/TANDJ1</v>
      </c>
      <c r="K17" s="15"/>
      <c r="L17" s="15"/>
      <c r="M17" s="15"/>
      <c r="N17" s="15" t="s">
        <v>50</v>
      </c>
      <c r="O17" s="15" t="s">
        <v>51</v>
      </c>
    </row>
    <row r="18" spans="1:15">
      <c r="A18" s="14" t="s">
        <v>12</v>
      </c>
      <c r="B18" s="14" t="s">
        <v>4111</v>
      </c>
      <c r="C18" s="14" t="s">
        <v>4112</v>
      </c>
      <c r="D18" s="14" t="s">
        <v>4153</v>
      </c>
      <c r="E18" s="14">
        <v>17</v>
      </c>
      <c r="F18" s="14" t="s">
        <v>4154</v>
      </c>
      <c r="G18" s="14" t="s">
        <v>4155</v>
      </c>
      <c r="H18" s="14" t="s">
        <v>4156</v>
      </c>
      <c r="I18" s="14" t="s">
        <v>49</v>
      </c>
      <c r="J18" s="11" t="str">
        <f>HYPERLINK("https://www.codechef.com/problems/VACCINQ", "https://www.codechef.com/problems/VACCINQ")</f>
        <v>https://www.codechef.com/problems/VACCINQ</v>
      </c>
      <c r="K18" s="14"/>
      <c r="L18" s="14"/>
      <c r="M18" s="14"/>
      <c r="N18" s="14" t="s">
        <v>50</v>
      </c>
      <c r="O18" s="14" t="s">
        <v>51</v>
      </c>
    </row>
    <row r="19" spans="1:15">
      <c r="A19" s="15" t="s">
        <v>12</v>
      </c>
      <c r="B19" s="15" t="s">
        <v>4111</v>
      </c>
      <c r="C19" s="15" t="s">
        <v>4112</v>
      </c>
      <c r="D19" s="15" t="s">
        <v>4153</v>
      </c>
      <c r="E19" s="15">
        <v>18</v>
      </c>
      <c r="F19" s="15" t="s">
        <v>4157</v>
      </c>
      <c r="G19" s="15" t="s">
        <v>4158</v>
      </c>
      <c r="H19" s="15" t="s">
        <v>4159</v>
      </c>
      <c r="I19" s="15" t="s">
        <v>49</v>
      </c>
      <c r="J19" s="7" t="str">
        <f>HYPERLINK("https://www.codechef.com/problems/IPCCERT", "https://www.codechef.com/problems/IPCCERT")</f>
        <v>https://www.codechef.com/problems/IPCCERT</v>
      </c>
      <c r="K19" s="15"/>
      <c r="L19" s="15" t="s">
        <v>2301</v>
      </c>
      <c r="M19" s="15"/>
      <c r="N19" s="15" t="s">
        <v>50</v>
      </c>
      <c r="O19" s="15" t="s">
        <v>51</v>
      </c>
    </row>
    <row r="20" spans="1:15">
      <c r="A20" s="14" t="s">
        <v>12</v>
      </c>
      <c r="B20" s="14" t="s">
        <v>4111</v>
      </c>
      <c r="C20" s="14" t="s">
        <v>4112</v>
      </c>
      <c r="D20" s="14" t="s">
        <v>4153</v>
      </c>
      <c r="E20" s="14">
        <v>19</v>
      </c>
      <c r="F20" s="14" t="s">
        <v>4160</v>
      </c>
      <c r="G20" s="14" t="s">
        <v>4161</v>
      </c>
      <c r="H20" s="14" t="s">
        <v>2704</v>
      </c>
      <c r="I20" s="14" t="s">
        <v>49</v>
      </c>
      <c r="J20" s="11" t="str">
        <f>HYPERLINK("https://www.codechef.com/problems/MAKEEQUAL", "https://www.codechef.com/problems/MAKEEQUAL")</f>
        <v>https://www.codechef.com/problems/MAKEEQUAL</v>
      </c>
      <c r="K20" s="14"/>
      <c r="L20" s="14"/>
      <c r="M20" s="14"/>
      <c r="N20" s="14" t="s">
        <v>50</v>
      </c>
      <c r="O20" s="14" t="s">
        <v>51</v>
      </c>
    </row>
    <row r="21" spans="1:15">
      <c r="A21" s="15" t="s">
        <v>12</v>
      </c>
      <c r="B21" s="15" t="s">
        <v>4111</v>
      </c>
      <c r="C21" s="15" t="s">
        <v>4112</v>
      </c>
      <c r="D21" s="15" t="s">
        <v>4153</v>
      </c>
      <c r="E21" s="15">
        <v>20</v>
      </c>
      <c r="F21" s="15" t="s">
        <v>4162</v>
      </c>
      <c r="G21" s="15" t="s">
        <v>4163</v>
      </c>
      <c r="H21" s="15" t="s">
        <v>2602</v>
      </c>
      <c r="I21" s="15" t="s">
        <v>49</v>
      </c>
      <c r="J21" s="7" t="str">
        <f>HYPERLINK("https://www.codechef.com/problems/SUBTASK", "https://www.codechef.com/problems/SUBTASK")</f>
        <v>https://www.codechef.com/problems/SUBTASK</v>
      </c>
      <c r="K21" s="15"/>
      <c r="L21" s="15"/>
      <c r="M21" s="15"/>
      <c r="N21" s="15" t="s">
        <v>50</v>
      </c>
      <c r="O21" s="15" t="s">
        <v>51</v>
      </c>
    </row>
    <row r="22" spans="1:15">
      <c r="A22" s="14" t="s">
        <v>12</v>
      </c>
      <c r="B22" s="14" t="s">
        <v>4111</v>
      </c>
      <c r="C22" s="14" t="s">
        <v>4112</v>
      </c>
      <c r="D22" s="14" t="s">
        <v>4153</v>
      </c>
      <c r="E22" s="14">
        <v>21</v>
      </c>
      <c r="F22" s="14" t="s">
        <v>4164</v>
      </c>
      <c r="G22" s="14" t="s">
        <v>4165</v>
      </c>
      <c r="H22" s="14" t="s">
        <v>2583</v>
      </c>
      <c r="I22" s="14" t="s">
        <v>49</v>
      </c>
      <c r="J22" s="11" t="str">
        <f>HYPERLINK("https://www.codechef.com/problems/BALLOON", "https://www.codechef.com/problems/BALLOON")</f>
        <v>https://www.codechef.com/problems/BALLOON</v>
      </c>
      <c r="K22" s="14"/>
      <c r="L22" s="14"/>
      <c r="M22" s="14"/>
      <c r="N22" s="14" t="s">
        <v>50</v>
      </c>
      <c r="O22" s="14" t="s">
        <v>51</v>
      </c>
    </row>
    <row r="23" spans="1:15">
      <c r="A23" s="15" t="s">
        <v>12</v>
      </c>
      <c r="B23" s="15" t="s">
        <v>4111</v>
      </c>
      <c r="C23" s="15" t="s">
        <v>4112</v>
      </c>
      <c r="D23" s="15" t="s">
        <v>4153</v>
      </c>
      <c r="E23" s="15">
        <v>22</v>
      </c>
      <c r="F23" s="15" t="s">
        <v>4166</v>
      </c>
      <c r="G23" s="15" t="s">
        <v>4167</v>
      </c>
      <c r="H23" s="15" t="s">
        <v>2698</v>
      </c>
      <c r="I23" s="15" t="s">
        <v>49</v>
      </c>
      <c r="J23" s="7" t="str">
        <f>HYPERLINK("https://www.codechef.com/problems/BEGGASOL", "https://www.codechef.com/problems/BEGGASOL")</f>
        <v>https://www.codechef.com/problems/BEGGASOL</v>
      </c>
      <c r="K23" s="15"/>
      <c r="L23" s="15" t="s">
        <v>3247</v>
      </c>
      <c r="M23" s="15"/>
      <c r="N23" s="15" t="s">
        <v>50</v>
      </c>
      <c r="O23" s="15" t="s">
        <v>51</v>
      </c>
    </row>
    <row r="24" spans="1:15">
      <c r="A24" s="14" t="s">
        <v>12</v>
      </c>
      <c r="B24" s="14" t="s">
        <v>4111</v>
      </c>
      <c r="C24" s="14" t="s">
        <v>4112</v>
      </c>
      <c r="D24" s="14" t="s">
        <v>4153</v>
      </c>
      <c r="E24" s="14">
        <v>23</v>
      </c>
      <c r="F24" s="14" t="s">
        <v>4168</v>
      </c>
      <c r="G24" s="14" t="s">
        <v>4169</v>
      </c>
      <c r="H24" s="14" t="s">
        <v>4170</v>
      </c>
      <c r="I24" s="14" t="s">
        <v>49</v>
      </c>
      <c r="J24" s="11" t="str">
        <f>HYPERLINK("https://www.codechef.com/problems/CARVANS", "https://www.codechef.com/problems/CARVANS")</f>
        <v>https://www.codechef.com/problems/CARVANS</v>
      </c>
      <c r="K24" s="14"/>
      <c r="L24" s="14"/>
      <c r="M24" s="14"/>
      <c r="N24" s="14" t="s">
        <v>50</v>
      </c>
      <c r="O24" s="14" t="s">
        <v>51</v>
      </c>
    </row>
    <row r="25" spans="1:15">
      <c r="A25" s="15" t="s">
        <v>12</v>
      </c>
      <c r="B25" s="15" t="s">
        <v>4111</v>
      </c>
      <c r="C25" s="15" t="s">
        <v>4112</v>
      </c>
      <c r="D25" s="15" t="s">
        <v>4153</v>
      </c>
      <c r="E25" s="15">
        <v>24</v>
      </c>
      <c r="F25" s="15" t="s">
        <v>4171</v>
      </c>
      <c r="G25" s="15" t="s">
        <v>4172</v>
      </c>
      <c r="H25" s="15" t="s">
        <v>327</v>
      </c>
      <c r="I25" s="15" t="s">
        <v>49</v>
      </c>
      <c r="J25" s="7" t="str">
        <f>HYPERLINK("https://www.codechef.com/problems/CASH", "https://www.codechef.com/problems/CASH")</f>
        <v>https://www.codechef.com/problems/CASH</v>
      </c>
      <c r="K25" s="15"/>
      <c r="L25" s="15"/>
      <c r="M25" s="15"/>
      <c r="N25" s="15" t="s">
        <v>50</v>
      </c>
      <c r="O25" s="15" t="s">
        <v>51</v>
      </c>
    </row>
    <row r="26" spans="1:15">
      <c r="A26" s="14" t="s">
        <v>12</v>
      </c>
      <c r="B26" s="14" t="s">
        <v>4111</v>
      </c>
      <c r="C26" s="14" t="s">
        <v>4112</v>
      </c>
      <c r="D26" s="14" t="s">
        <v>4153</v>
      </c>
      <c r="E26" s="14">
        <v>25</v>
      </c>
      <c r="F26" s="14" t="s">
        <v>4173</v>
      </c>
      <c r="G26" s="14" t="s">
        <v>4174</v>
      </c>
      <c r="H26" s="14" t="s">
        <v>2953</v>
      </c>
      <c r="I26" s="14" t="s">
        <v>96</v>
      </c>
      <c r="J26" s="11" t="str">
        <f>HYPERLINK("https://www.codechef.com/problems/AVGFLEX", "https://www.codechef.com/problems/AVGFLEX")</f>
        <v>https://www.codechef.com/problems/AVGFLEX</v>
      </c>
      <c r="K26" s="14"/>
      <c r="L26" s="14"/>
      <c r="M26" s="14"/>
      <c r="N26" s="14" t="s">
        <v>50</v>
      </c>
      <c r="O26" s="14" t="s">
        <v>51</v>
      </c>
    </row>
    <row r="27" spans="1:15">
      <c r="A27" s="15" t="s">
        <v>12</v>
      </c>
      <c r="B27" s="15" t="s">
        <v>4111</v>
      </c>
      <c r="C27" s="15" t="s">
        <v>4112</v>
      </c>
      <c r="D27" s="15" t="s">
        <v>4153</v>
      </c>
      <c r="E27" s="15">
        <v>26</v>
      </c>
      <c r="F27" s="15" t="s">
        <v>4175</v>
      </c>
      <c r="G27" s="15" t="s">
        <v>4176</v>
      </c>
      <c r="H27" s="15" t="s">
        <v>4177</v>
      </c>
      <c r="I27" s="15" t="s">
        <v>49</v>
      </c>
      <c r="J27" s="7" t="str">
        <f>HYPERLINK("https://www.codechef.com/problems/NOBEL", "https://www.codechef.com/problems/NOBEL")</f>
        <v>https://www.codechef.com/problems/NOBEL</v>
      </c>
      <c r="K27" s="15"/>
      <c r="L27" s="15"/>
      <c r="M27" s="15"/>
      <c r="N27" s="15" t="s">
        <v>50</v>
      </c>
      <c r="O27" s="15" t="s">
        <v>51</v>
      </c>
    </row>
    <row r="28" spans="1:15">
      <c r="A28" s="14" t="s">
        <v>12</v>
      </c>
      <c r="B28" s="14" t="s">
        <v>4111</v>
      </c>
      <c r="C28" s="14" t="s">
        <v>4112</v>
      </c>
      <c r="D28" s="14" t="s">
        <v>4153</v>
      </c>
      <c r="E28" s="14">
        <v>27</v>
      </c>
      <c r="F28" s="14" t="s">
        <v>4178</v>
      </c>
      <c r="G28" s="14" t="s">
        <v>4179</v>
      </c>
      <c r="H28" s="14" t="s">
        <v>1423</v>
      </c>
      <c r="I28" s="14" t="s">
        <v>96</v>
      </c>
      <c r="J28" s="11" t="str">
        <f>HYPERLINK("https://www.codechef.com/problems/COLGLF2", "https://www.codechef.com/problems/COLGLF2")</f>
        <v>https://www.codechef.com/problems/COLGLF2</v>
      </c>
      <c r="K28" s="14"/>
      <c r="L28" s="14"/>
      <c r="M28" s="14"/>
      <c r="N28" s="14" t="s">
        <v>50</v>
      </c>
      <c r="O28" s="14" t="s">
        <v>51</v>
      </c>
    </row>
    <row r="29" spans="1:15">
      <c r="A29" s="15" t="s">
        <v>12</v>
      </c>
      <c r="B29" s="15" t="s">
        <v>4111</v>
      </c>
      <c r="C29" s="15" t="s">
        <v>4112</v>
      </c>
      <c r="D29" s="15" t="s">
        <v>4153</v>
      </c>
      <c r="E29" s="15">
        <v>28</v>
      </c>
      <c r="F29" s="15" t="s">
        <v>145</v>
      </c>
      <c r="G29" s="15" t="s">
        <v>146</v>
      </c>
      <c r="H29" s="15" t="s">
        <v>147</v>
      </c>
      <c r="I29" s="15" t="s">
        <v>49</v>
      </c>
      <c r="J29" s="7" t="str">
        <f>HYPERLINK("https://www.codechef.com/problems/COPS", "https://www.codechef.com/problems/COPS")</f>
        <v>https://www.codechef.com/problems/COPS</v>
      </c>
      <c r="K29" s="15"/>
      <c r="L29" s="15"/>
      <c r="M29" s="15"/>
      <c r="N29" s="15" t="s">
        <v>50</v>
      </c>
      <c r="O29" s="15" t="s">
        <v>51</v>
      </c>
    </row>
    <row r="30" spans="1:15">
      <c r="A30" s="14" t="s">
        <v>12</v>
      </c>
      <c r="B30" s="14" t="s">
        <v>4111</v>
      </c>
      <c r="C30" s="14" t="s">
        <v>4112</v>
      </c>
      <c r="D30" s="14" t="s">
        <v>4180</v>
      </c>
      <c r="E30" s="14">
        <v>29</v>
      </c>
      <c r="F30" s="14" t="s">
        <v>4181</v>
      </c>
      <c r="G30" s="14" t="s">
        <v>4182</v>
      </c>
      <c r="H30" s="14" t="s">
        <v>4183</v>
      </c>
      <c r="I30" s="14" t="s">
        <v>49</v>
      </c>
      <c r="J30" s="11" t="str">
        <f>HYPERLINK("https://www.codechef.com/problems/PAWRI", "https://www.codechef.com/problems/PAWRI")</f>
        <v>https://www.codechef.com/problems/PAWRI</v>
      </c>
      <c r="K30" s="14"/>
      <c r="L30" s="14"/>
      <c r="M30" s="14"/>
      <c r="N30" s="14" t="s">
        <v>50</v>
      </c>
      <c r="O30" s="14" t="s">
        <v>51</v>
      </c>
    </row>
    <row r="31" spans="1:15">
      <c r="A31" s="15" t="s">
        <v>12</v>
      </c>
      <c r="B31" s="15" t="s">
        <v>4111</v>
      </c>
      <c r="C31" s="15" t="s">
        <v>4112</v>
      </c>
      <c r="D31" s="15" t="s">
        <v>4180</v>
      </c>
      <c r="E31" s="15">
        <v>30</v>
      </c>
      <c r="F31" s="15" t="s">
        <v>983</v>
      </c>
      <c r="G31" s="15" t="s">
        <v>984</v>
      </c>
      <c r="H31" s="15" t="s">
        <v>985</v>
      </c>
      <c r="I31" s="15" t="s">
        <v>49</v>
      </c>
      <c r="J31" s="7" t="str">
        <f>HYPERLINK("https://www.codechef.com/problems/TWOSTR", "https://www.codechef.com/problems/TWOSTR")</f>
        <v>https://www.codechef.com/problems/TWOSTR</v>
      </c>
      <c r="K31" s="15"/>
      <c r="L31" s="15"/>
      <c r="M31" s="15"/>
      <c r="N31" s="15" t="s">
        <v>50</v>
      </c>
      <c r="O31" s="15" t="s">
        <v>51</v>
      </c>
    </row>
    <row r="32" spans="1:15">
      <c r="A32" s="14" t="s">
        <v>12</v>
      </c>
      <c r="B32" s="14" t="s">
        <v>4111</v>
      </c>
      <c r="C32" s="14" t="s">
        <v>4112</v>
      </c>
      <c r="D32" s="14" t="s">
        <v>4180</v>
      </c>
      <c r="E32" s="14">
        <v>31</v>
      </c>
      <c r="F32" s="14" t="s">
        <v>4184</v>
      </c>
      <c r="G32" s="14" t="s">
        <v>4185</v>
      </c>
      <c r="H32" s="14" t="s">
        <v>4186</v>
      </c>
      <c r="I32" s="14" t="s">
        <v>49</v>
      </c>
      <c r="J32" s="11" t="str">
        <f>HYPERLINK("https://www.codechef.com/problems/MAGDOORS", "https://www.codechef.com/problems/MAGDOORS")</f>
        <v>https://www.codechef.com/problems/MAGDOORS</v>
      </c>
      <c r="K32" s="14"/>
      <c r="L32" s="14"/>
      <c r="M32" s="14"/>
      <c r="N32" s="14" t="s">
        <v>50</v>
      </c>
      <c r="O32" s="14" t="s">
        <v>51</v>
      </c>
    </row>
    <row r="33" spans="1:15">
      <c r="A33" s="15" t="s">
        <v>12</v>
      </c>
      <c r="B33" s="15" t="s">
        <v>4111</v>
      </c>
      <c r="C33" s="15" t="s">
        <v>4112</v>
      </c>
      <c r="D33" s="15" t="s">
        <v>4180</v>
      </c>
      <c r="E33" s="15">
        <v>32</v>
      </c>
      <c r="F33" s="15" t="s">
        <v>74</v>
      </c>
      <c r="G33" s="15" t="s">
        <v>75</v>
      </c>
      <c r="H33" s="15" t="s">
        <v>76</v>
      </c>
      <c r="I33" s="15" t="s">
        <v>49</v>
      </c>
      <c r="J33" s="7" t="str">
        <f>HYPERLINK("https://www.codechef.com/problems/ERROR", "https://www.codechef.com/problems/ERROR")</f>
        <v>https://www.codechef.com/problems/ERROR</v>
      </c>
      <c r="K33" s="15"/>
      <c r="L33" s="15"/>
      <c r="M33" s="15"/>
      <c r="N33" s="15" t="s">
        <v>50</v>
      </c>
      <c r="O33" s="15" t="s">
        <v>51</v>
      </c>
    </row>
    <row r="34" spans="1:15">
      <c r="A34" s="14" t="s">
        <v>12</v>
      </c>
      <c r="B34" s="14" t="s">
        <v>4111</v>
      </c>
      <c r="C34" s="14" t="s">
        <v>4112</v>
      </c>
      <c r="D34" s="14" t="s">
        <v>4180</v>
      </c>
      <c r="E34" s="14">
        <v>33</v>
      </c>
      <c r="F34" s="14" t="s">
        <v>61</v>
      </c>
      <c r="G34" s="14" t="s">
        <v>62</v>
      </c>
      <c r="H34" s="14" t="s">
        <v>63</v>
      </c>
      <c r="I34" s="14" t="s">
        <v>49</v>
      </c>
      <c r="J34" s="11" t="str">
        <f>HYPERLINK("https://www.codechef.com/problems/ALPHABET", "https://www.codechef.com/problems/ALPHABET")</f>
        <v>https://www.codechef.com/problems/ALPHABET</v>
      </c>
      <c r="K34" s="14"/>
      <c r="L34" s="14"/>
      <c r="M34" s="14"/>
      <c r="N34" s="14" t="s">
        <v>50</v>
      </c>
      <c r="O34" s="14" t="s">
        <v>51</v>
      </c>
    </row>
    <row r="35" spans="1:15">
      <c r="A35" s="15" t="s">
        <v>12</v>
      </c>
      <c r="B35" s="15" t="s">
        <v>4111</v>
      </c>
      <c r="C35" s="15" t="s">
        <v>4112</v>
      </c>
      <c r="D35" s="15" t="s">
        <v>4180</v>
      </c>
      <c r="E35" s="15">
        <v>34</v>
      </c>
      <c r="F35" s="15" t="s">
        <v>4187</v>
      </c>
      <c r="G35" s="15" t="s">
        <v>4188</v>
      </c>
      <c r="H35" s="15" t="s">
        <v>2692</v>
      </c>
      <c r="I35" s="15" t="s">
        <v>49</v>
      </c>
      <c r="J35" s="7" t="str">
        <f>HYPERLINK("https://www.codechef.com/problems/HIRETEST", "https://www.codechef.com/problems/HIRETEST")</f>
        <v>https://www.codechef.com/problems/HIRETEST</v>
      </c>
      <c r="K35" s="15"/>
      <c r="L35" s="15"/>
      <c r="M35" s="15"/>
      <c r="N35" s="15" t="s">
        <v>50</v>
      </c>
      <c r="O35" s="15" t="s">
        <v>51</v>
      </c>
    </row>
    <row r="36" spans="1:15">
      <c r="A36" s="14" t="s">
        <v>12</v>
      </c>
      <c r="B36" s="14" t="s">
        <v>4111</v>
      </c>
      <c r="C36" s="14" t="s">
        <v>4112</v>
      </c>
      <c r="D36" s="14" t="s">
        <v>4180</v>
      </c>
      <c r="E36" s="14">
        <v>35</v>
      </c>
      <c r="F36" s="14" t="s">
        <v>975</v>
      </c>
      <c r="G36" s="14" t="s">
        <v>976</v>
      </c>
      <c r="H36" s="14" t="s">
        <v>977</v>
      </c>
      <c r="I36" s="14" t="s">
        <v>49</v>
      </c>
      <c r="J36" s="11" t="str">
        <f>HYPERLINK("https://www.codechef.com/problems/LAPIN", "https://www.codechef.com/problems/LAPIN")</f>
        <v>https://www.codechef.com/problems/LAPIN</v>
      </c>
      <c r="K36" s="14"/>
      <c r="L36" s="14" t="s">
        <v>978</v>
      </c>
      <c r="M36" s="14"/>
      <c r="N36" s="14" t="s">
        <v>50</v>
      </c>
      <c r="O36" s="14" t="s">
        <v>51</v>
      </c>
    </row>
    <row r="37" spans="1:15">
      <c r="A37" s="15" t="s">
        <v>12</v>
      </c>
      <c r="B37" s="15" t="s">
        <v>4111</v>
      </c>
      <c r="C37" s="15" t="s">
        <v>4112</v>
      </c>
      <c r="D37" s="15" t="s">
        <v>4180</v>
      </c>
      <c r="E37" s="15">
        <v>36</v>
      </c>
      <c r="F37" s="15" t="s">
        <v>4189</v>
      </c>
      <c r="G37" s="15" t="s">
        <v>4190</v>
      </c>
      <c r="H37" s="15" t="s">
        <v>4191</v>
      </c>
      <c r="I37" s="15" t="s">
        <v>49</v>
      </c>
      <c r="J37" s="7" t="str">
        <f>HYPERLINK("https://www.codechef.com/problems/CSUB", "https://www.codechef.com/problems/CSUB")</f>
        <v>https://www.codechef.com/problems/CSUB</v>
      </c>
      <c r="K37" s="15"/>
      <c r="L37" s="15"/>
      <c r="M37" s="15"/>
      <c r="N37" s="15" t="s">
        <v>50</v>
      </c>
      <c r="O37" s="15" t="s">
        <v>51</v>
      </c>
    </row>
    <row r="38" spans="1:15">
      <c r="A38" s="14" t="s">
        <v>12</v>
      </c>
      <c r="B38" s="14" t="s">
        <v>4111</v>
      </c>
      <c r="C38" s="14" t="s">
        <v>4112</v>
      </c>
      <c r="D38" s="14" t="s">
        <v>4180</v>
      </c>
      <c r="E38" s="14">
        <v>37</v>
      </c>
      <c r="F38" s="14" t="s">
        <v>4192</v>
      </c>
      <c r="G38" s="14" t="s">
        <v>4193</v>
      </c>
      <c r="H38" s="14" t="s">
        <v>1259</v>
      </c>
      <c r="I38" s="14" t="s">
        <v>49</v>
      </c>
      <c r="J38" s="11" t="str">
        <f>HYPERLINK("https://www.codechef.com/problems/EQUINOX", "https://www.codechef.com/problems/EQUINOX")</f>
        <v>https://www.codechef.com/problems/EQUINOX</v>
      </c>
      <c r="K38" s="14"/>
      <c r="L38" s="14"/>
      <c r="M38" s="14"/>
      <c r="N38" s="14" t="s">
        <v>50</v>
      </c>
      <c r="O38" s="14" t="s">
        <v>51</v>
      </c>
    </row>
    <row r="39" spans="1:15">
      <c r="A39" s="15" t="s">
        <v>12</v>
      </c>
      <c r="B39" s="15" t="s">
        <v>4111</v>
      </c>
      <c r="C39" s="15" t="s">
        <v>4112</v>
      </c>
      <c r="D39" s="15" t="s">
        <v>4180</v>
      </c>
      <c r="E39" s="15">
        <v>38</v>
      </c>
      <c r="F39" s="15" t="s">
        <v>4194</v>
      </c>
      <c r="G39" s="15" t="s">
        <v>4195</v>
      </c>
      <c r="H39" s="15" t="s">
        <v>4196</v>
      </c>
      <c r="I39" s="15" t="s">
        <v>49</v>
      </c>
      <c r="J39" s="7" t="str">
        <f>HYPERLINK("https://www.codechef.com/problems/SNAKPROC", "https://www.codechef.com/problems/SNAKPROC")</f>
        <v>https://www.codechef.com/problems/SNAKPROC</v>
      </c>
      <c r="K39" s="15"/>
      <c r="L39" s="15"/>
      <c r="M39" s="15"/>
      <c r="N39" s="15" t="s">
        <v>50</v>
      </c>
      <c r="O39" s="15" t="s">
        <v>51</v>
      </c>
    </row>
    <row r="40" spans="1:15">
      <c r="A40" s="14" t="s">
        <v>12</v>
      </c>
      <c r="B40" s="14" t="s">
        <v>4111</v>
      </c>
      <c r="C40" s="14" t="s">
        <v>4112</v>
      </c>
      <c r="D40" s="14" t="s">
        <v>4180</v>
      </c>
      <c r="E40" s="14">
        <v>39</v>
      </c>
      <c r="F40" s="14" t="s">
        <v>986</v>
      </c>
      <c r="G40" s="14" t="s">
        <v>987</v>
      </c>
      <c r="H40" s="14" t="s">
        <v>988</v>
      </c>
      <c r="I40" s="14" t="s">
        <v>96</v>
      </c>
      <c r="J40" s="11" t="str">
        <f>HYPERLINK("https://www.codechef.com/problems/PASSWD", "https://www.codechef.com/problems/PASSWD")</f>
        <v>https://www.codechef.com/problems/PASSWD</v>
      </c>
      <c r="K40" s="14"/>
      <c r="L40" s="14"/>
      <c r="M40" s="14"/>
      <c r="N40" s="14" t="s">
        <v>50</v>
      </c>
      <c r="O40" s="14" t="s">
        <v>51</v>
      </c>
    </row>
    <row r="41" spans="1:15">
      <c r="A41" s="15" t="s">
        <v>12</v>
      </c>
      <c r="B41" s="15" t="s">
        <v>4111</v>
      </c>
      <c r="C41" s="15" t="s">
        <v>4112</v>
      </c>
      <c r="D41" s="15" t="s">
        <v>4197</v>
      </c>
      <c r="E41" s="15">
        <v>40</v>
      </c>
      <c r="F41" s="15" t="s">
        <v>4198</v>
      </c>
      <c r="G41" s="15" t="s">
        <v>4199</v>
      </c>
      <c r="H41" s="15" t="s">
        <v>2829</v>
      </c>
      <c r="I41" s="15" t="s">
        <v>49</v>
      </c>
      <c r="J41" s="7" t="str">
        <f>HYPERLINK("https://www.codechef.com/problems/SMPAIR", "https://www.codechef.com/problems/SMPAIR")</f>
        <v>https://www.codechef.com/problems/SMPAIR</v>
      </c>
      <c r="K41" s="15"/>
      <c r="L41" s="15"/>
      <c r="M41" s="15"/>
      <c r="N41" s="15" t="s">
        <v>50</v>
      </c>
      <c r="O41" s="15" t="s">
        <v>51</v>
      </c>
    </row>
    <row r="42" spans="1:15">
      <c r="A42" s="14" t="s">
        <v>12</v>
      </c>
      <c r="B42" s="14" t="s">
        <v>4111</v>
      </c>
      <c r="C42" s="14" t="s">
        <v>4112</v>
      </c>
      <c r="D42" s="14" t="s">
        <v>4197</v>
      </c>
      <c r="E42" s="14">
        <v>41</v>
      </c>
      <c r="F42" s="14" t="s">
        <v>270</v>
      </c>
      <c r="G42" s="14" t="s">
        <v>271</v>
      </c>
      <c r="H42" s="14" t="s">
        <v>272</v>
      </c>
      <c r="I42" s="14" t="s">
        <v>49</v>
      </c>
      <c r="J42" s="11" t="str">
        <f>HYPERLINK("https://www.codechef.com/problems/HORSES", "https://www.codechef.com/problems/HORSES")</f>
        <v>https://www.codechef.com/problems/HORSES</v>
      </c>
      <c r="K42" s="14"/>
      <c r="L42" s="14" t="s">
        <v>273</v>
      </c>
      <c r="M42" s="14"/>
      <c r="N42" s="14" t="s">
        <v>50</v>
      </c>
      <c r="O42" s="14" t="s">
        <v>51</v>
      </c>
    </row>
    <row r="43" spans="1:15">
      <c r="A43" s="15" t="s">
        <v>12</v>
      </c>
      <c r="B43" s="15" t="s">
        <v>4111</v>
      </c>
      <c r="C43" s="15" t="s">
        <v>4112</v>
      </c>
      <c r="D43" s="15" t="s">
        <v>4197</v>
      </c>
      <c r="E43" s="15">
        <v>42</v>
      </c>
      <c r="F43" s="15" t="s">
        <v>279</v>
      </c>
      <c r="G43" s="15" t="s">
        <v>280</v>
      </c>
      <c r="H43" s="15" t="s">
        <v>281</v>
      </c>
      <c r="I43" s="15" t="s">
        <v>49</v>
      </c>
      <c r="J43" s="7" t="str">
        <f>HYPERLINK("https://www.codechef.com/problems/MAXDIFF", "https://www.codechef.com/problems/MAXDIFF")</f>
        <v>https://www.codechef.com/problems/MAXDIFF</v>
      </c>
      <c r="K43" s="15"/>
      <c r="L43" s="15"/>
      <c r="M43" s="15"/>
      <c r="N43" s="15" t="s">
        <v>50</v>
      </c>
      <c r="O43" s="15" t="s">
        <v>51</v>
      </c>
    </row>
    <row r="44" spans="1:15">
      <c r="A44" s="14" t="s">
        <v>12</v>
      </c>
      <c r="B44" s="14" t="s">
        <v>4111</v>
      </c>
      <c r="C44" s="14" t="s">
        <v>4112</v>
      </c>
      <c r="D44" s="14" t="s">
        <v>4197</v>
      </c>
      <c r="E44" s="14">
        <v>43</v>
      </c>
      <c r="F44" s="14" t="s">
        <v>4200</v>
      </c>
      <c r="G44" s="14" t="s">
        <v>4201</v>
      </c>
      <c r="H44" s="14" t="s">
        <v>281</v>
      </c>
      <c r="I44" s="14" t="s">
        <v>49</v>
      </c>
      <c r="J44" s="11" t="str">
        <f>HYPERLINK("https://www.codechef.com/problems/SIGNFLIP", "https://www.codechef.com/problems/SIGNFLIP")</f>
        <v>https://www.codechef.com/problems/SIGNFLIP</v>
      </c>
      <c r="K44" s="14"/>
      <c r="L44" s="14"/>
      <c r="M44" s="14"/>
      <c r="N44" s="14" t="s">
        <v>50</v>
      </c>
      <c r="O44" s="14" t="s">
        <v>51</v>
      </c>
    </row>
    <row r="45" spans="1:15">
      <c r="A45" s="15" t="s">
        <v>12</v>
      </c>
      <c r="B45" s="15" t="s">
        <v>4111</v>
      </c>
      <c r="C45" s="15" t="s">
        <v>4112</v>
      </c>
      <c r="D45" s="15" t="s">
        <v>4197</v>
      </c>
      <c r="E45" s="15">
        <v>44</v>
      </c>
      <c r="F45" s="15" t="s">
        <v>4202</v>
      </c>
      <c r="G45" s="15" t="s">
        <v>4203</v>
      </c>
      <c r="H45" s="15" t="s">
        <v>4204</v>
      </c>
      <c r="I45" s="15" t="s">
        <v>49</v>
      </c>
      <c r="J45" s="7" t="str">
        <f>HYPERLINK("https://www.codechef.com/problems/DIV03", "https://www.codechef.com/problems/DIV03")</f>
        <v>https://www.codechef.com/problems/DIV03</v>
      </c>
      <c r="K45" s="15"/>
      <c r="L45" s="15"/>
      <c r="M45" s="15"/>
      <c r="N45" s="15" t="s">
        <v>50</v>
      </c>
      <c r="O45" s="15" t="s">
        <v>51</v>
      </c>
    </row>
    <row r="46" spans="1:15">
      <c r="A46" s="14" t="s">
        <v>12</v>
      </c>
      <c r="B46" s="14" t="s">
        <v>4111</v>
      </c>
      <c r="C46" s="14" t="s">
        <v>4112</v>
      </c>
      <c r="D46" s="14" t="s">
        <v>4197</v>
      </c>
      <c r="E46" s="14">
        <v>45</v>
      </c>
      <c r="F46" s="14" t="s">
        <v>4205</v>
      </c>
      <c r="G46" s="14" t="s">
        <v>4206</v>
      </c>
      <c r="H46" s="14" t="s">
        <v>2836</v>
      </c>
      <c r="I46" s="14" t="s">
        <v>49</v>
      </c>
      <c r="J46" s="11" t="str">
        <f>HYPERLINK("https://www.codechef.com/problems/CM164364", "https://www.codechef.com/problems/CM164364")</f>
        <v>https://www.codechef.com/problems/CM164364</v>
      </c>
      <c r="K46" s="14"/>
      <c r="L46" s="14"/>
      <c r="M46" s="14"/>
      <c r="N46" s="14" t="s">
        <v>50</v>
      </c>
      <c r="O46" s="14" t="s">
        <v>51</v>
      </c>
    </row>
    <row r="47" spans="1:15">
      <c r="A47" s="15" t="s">
        <v>12</v>
      </c>
      <c r="B47" s="15" t="s">
        <v>4111</v>
      </c>
      <c r="C47" s="15" t="s">
        <v>4112</v>
      </c>
      <c r="D47" s="15" t="s">
        <v>4197</v>
      </c>
      <c r="E47" s="15">
        <v>46</v>
      </c>
      <c r="F47" s="15" t="s">
        <v>1044</v>
      </c>
      <c r="G47" s="15" t="s">
        <v>1045</v>
      </c>
      <c r="H47" s="15" t="s">
        <v>1046</v>
      </c>
      <c r="I47" s="15" t="s">
        <v>49</v>
      </c>
      <c r="J47" s="7" t="str">
        <f>HYPERLINK("https://www.codechef.com/problems/TACHSTCK", "https://www.codechef.com/problems/TACHSTCK")</f>
        <v>https://www.codechef.com/problems/TACHSTCK</v>
      </c>
      <c r="K47" s="15"/>
      <c r="L47" s="15"/>
      <c r="M47" s="15"/>
      <c r="N47" s="15" t="s">
        <v>50</v>
      </c>
      <c r="O47" s="15" t="s">
        <v>51</v>
      </c>
    </row>
    <row r="48" spans="1:15">
      <c r="A48" s="14" t="s">
        <v>12</v>
      </c>
      <c r="B48" s="14" t="s">
        <v>4111</v>
      </c>
      <c r="C48" s="14" t="s">
        <v>4112</v>
      </c>
      <c r="D48" s="14" t="s">
        <v>4197</v>
      </c>
      <c r="E48" s="14">
        <v>47</v>
      </c>
      <c r="F48" s="14" t="s">
        <v>290</v>
      </c>
      <c r="G48" s="14" t="s">
        <v>291</v>
      </c>
      <c r="H48" s="14" t="s">
        <v>292</v>
      </c>
      <c r="I48" s="14" t="s">
        <v>49</v>
      </c>
      <c r="J48" s="11" t="str">
        <f>HYPERLINK("https://www.codechef.com/problems/STICKS", "https://www.codechef.com/problems/STICKS")</f>
        <v>https://www.codechef.com/problems/STICKS</v>
      </c>
      <c r="K48" s="14"/>
      <c r="L48" s="14"/>
      <c r="M48" s="14"/>
      <c r="N48" s="14" t="s">
        <v>50</v>
      </c>
      <c r="O48" s="14" t="s">
        <v>51</v>
      </c>
    </row>
    <row r="49" spans="1:15">
      <c r="A49" s="15" t="s">
        <v>12</v>
      </c>
      <c r="B49" s="15" t="s">
        <v>4111</v>
      </c>
      <c r="C49" s="15" t="s">
        <v>4112</v>
      </c>
      <c r="D49" s="15" t="s">
        <v>4197</v>
      </c>
      <c r="E49" s="15">
        <v>48</v>
      </c>
      <c r="F49" s="15" t="s">
        <v>4207</v>
      </c>
      <c r="G49" s="15" t="s">
        <v>4208</v>
      </c>
      <c r="H49" s="15" t="s">
        <v>180</v>
      </c>
      <c r="I49" s="15" t="s">
        <v>49</v>
      </c>
      <c r="J49" s="7" t="str">
        <f>HYPERLINK("https://www.codechef.com/problems/LINCHESS", "https://www.codechef.com/problems/LINCHESS")</f>
        <v>https://www.codechef.com/problems/LINCHESS</v>
      </c>
      <c r="K49" s="15"/>
      <c r="L49" s="15" t="s">
        <v>4209</v>
      </c>
      <c r="M49" s="15"/>
      <c r="N49" s="15" t="s">
        <v>50</v>
      </c>
      <c r="O49" s="15" t="s">
        <v>51</v>
      </c>
    </row>
    <row r="50" spans="1:15">
      <c r="A50" s="14" t="s">
        <v>12</v>
      </c>
      <c r="B50" s="14" t="s">
        <v>4111</v>
      </c>
      <c r="C50" s="14" t="s">
        <v>4112</v>
      </c>
      <c r="D50" s="14" t="s">
        <v>4210</v>
      </c>
      <c r="E50" s="14">
        <v>49</v>
      </c>
      <c r="F50" s="14" t="s">
        <v>4211</v>
      </c>
      <c r="G50" s="14" t="s">
        <v>4212</v>
      </c>
      <c r="H50" s="14" t="s">
        <v>4213</v>
      </c>
      <c r="I50" s="14" t="s">
        <v>49</v>
      </c>
      <c r="J50" s="11" t="str">
        <f>HYPERLINK("https://www.codechef.com/problems/LUCKFOUR", "https://www.codechef.com/problems/LUCKFOUR")</f>
        <v>https://www.codechef.com/problems/LUCKFOUR</v>
      </c>
      <c r="K50" s="14"/>
      <c r="L50" s="14"/>
      <c r="M50" s="14"/>
      <c r="N50" s="14" t="s">
        <v>50</v>
      </c>
      <c r="O50" s="14" t="s">
        <v>51</v>
      </c>
    </row>
    <row r="51" spans="1:15">
      <c r="A51" s="15" t="s">
        <v>12</v>
      </c>
      <c r="B51" s="15" t="s">
        <v>4111</v>
      </c>
      <c r="C51" s="15" t="s">
        <v>4112</v>
      </c>
      <c r="D51" s="15" t="s">
        <v>4210</v>
      </c>
      <c r="E51" s="15">
        <v>50</v>
      </c>
      <c r="F51" s="15" t="s">
        <v>4214</v>
      </c>
      <c r="G51" s="15" t="s">
        <v>4215</v>
      </c>
      <c r="H51" s="15" t="s">
        <v>4216</v>
      </c>
      <c r="I51" s="15" t="s">
        <v>49</v>
      </c>
      <c r="J51" s="7" t="str">
        <f>HYPERLINK("https://www.codechef.com/problems/MATCHES", "https://www.codechef.com/problems/MATCHES")</f>
        <v>https://www.codechef.com/problems/MATCHES</v>
      </c>
      <c r="K51" s="15"/>
      <c r="L51" s="15"/>
      <c r="M51" s="15"/>
      <c r="N51" s="15" t="s">
        <v>50</v>
      </c>
      <c r="O51" s="15" t="s">
        <v>51</v>
      </c>
    </row>
    <row r="52" spans="1:15">
      <c r="A52" s="14" t="s">
        <v>12</v>
      </c>
      <c r="B52" s="14" t="s">
        <v>4111</v>
      </c>
      <c r="C52" s="14" t="s">
        <v>4112</v>
      </c>
      <c r="D52" s="14" t="s">
        <v>4210</v>
      </c>
      <c r="E52" s="14">
        <v>51</v>
      </c>
      <c r="F52" s="14" t="s">
        <v>4217</v>
      </c>
      <c r="G52" s="14" t="s">
        <v>4218</v>
      </c>
      <c r="H52" s="14" t="s">
        <v>88</v>
      </c>
      <c r="I52" s="14" t="s">
        <v>49</v>
      </c>
      <c r="J52" s="11" t="str">
        <f>HYPERLINK("https://www.codechef.com/problems/PAIREQ", "https://www.codechef.com/problems/PAIREQ")</f>
        <v>https://www.codechef.com/problems/PAIREQ</v>
      </c>
      <c r="K52" s="14"/>
      <c r="L52" s="14"/>
      <c r="M52" s="14"/>
      <c r="N52" s="14" t="s">
        <v>50</v>
      </c>
      <c r="O52" s="14" t="s">
        <v>51</v>
      </c>
    </row>
    <row r="53" spans="1:15">
      <c r="A53" s="15" t="s">
        <v>12</v>
      </c>
      <c r="B53" s="15" t="s">
        <v>4111</v>
      </c>
      <c r="C53" s="15" t="s">
        <v>4112</v>
      </c>
      <c r="D53" s="15" t="s">
        <v>4210</v>
      </c>
      <c r="E53" s="15">
        <v>52</v>
      </c>
      <c r="F53" s="15" t="s">
        <v>1007</v>
      </c>
      <c r="G53" s="15" t="s">
        <v>1008</v>
      </c>
      <c r="H53" s="15" t="s">
        <v>1009</v>
      </c>
      <c r="I53" s="15" t="s">
        <v>49</v>
      </c>
      <c r="J53" s="7" t="str">
        <f>HYPERLINK("https://www.codechef.com/problems/CFRTEST", "https://www.codechef.com/problems/CFRTEST")</f>
        <v>https://www.codechef.com/problems/CFRTEST</v>
      </c>
      <c r="K53" s="15"/>
      <c r="L53" s="15"/>
      <c r="M53" s="15"/>
      <c r="N53" s="15" t="s">
        <v>50</v>
      </c>
      <c r="O53" s="15" t="s">
        <v>51</v>
      </c>
    </row>
    <row r="54" spans="1:15">
      <c r="A54" s="14" t="s">
        <v>12</v>
      </c>
      <c r="B54" s="14" t="s">
        <v>4111</v>
      </c>
      <c r="C54" s="14" t="s">
        <v>4112</v>
      </c>
      <c r="D54" s="14" t="s">
        <v>4210</v>
      </c>
      <c r="E54" s="14">
        <v>53</v>
      </c>
      <c r="F54" s="14" t="s">
        <v>4219</v>
      </c>
      <c r="G54" s="14" t="s">
        <v>4220</v>
      </c>
      <c r="H54" s="14" t="s">
        <v>4221</v>
      </c>
      <c r="I54" s="14" t="s">
        <v>49</v>
      </c>
      <c r="J54" s="11" t="str">
        <f>HYPERLINK("https://www.codechef.com/problems/HOLIDAYS", "https://www.codechef.com/problems/HOLIDAYS")</f>
        <v>https://www.codechef.com/problems/HOLIDAYS</v>
      </c>
      <c r="K54" s="14"/>
      <c r="L54" s="14"/>
      <c r="M54" s="14"/>
      <c r="N54" s="14" t="s">
        <v>50</v>
      </c>
      <c r="O54" s="14" t="s">
        <v>51</v>
      </c>
    </row>
    <row r="55" spans="1:15">
      <c r="A55" s="15" t="s">
        <v>12</v>
      </c>
      <c r="B55" s="15" t="s">
        <v>4111</v>
      </c>
      <c r="C55" s="15" t="s">
        <v>4112</v>
      </c>
      <c r="D55" s="15" t="s">
        <v>4210</v>
      </c>
      <c r="E55" s="15">
        <v>54</v>
      </c>
      <c r="F55" s="15" t="s">
        <v>4164</v>
      </c>
      <c r="G55" s="15" t="s">
        <v>4165</v>
      </c>
      <c r="H55" s="15" t="s">
        <v>2583</v>
      </c>
      <c r="I55" s="15" t="s">
        <v>49</v>
      </c>
      <c r="J55" s="7" t="str">
        <f>HYPERLINK("https://www.codechef.com/problems/BALLOON", "https://www.codechef.com/problems/BALLOON")</f>
        <v>https://www.codechef.com/problems/BALLOON</v>
      </c>
      <c r="K55" s="15"/>
      <c r="L55" s="15"/>
      <c r="M55" s="15"/>
      <c r="N55" s="15" t="s">
        <v>50</v>
      </c>
      <c r="O55" s="15" t="s">
        <v>51</v>
      </c>
    </row>
    <row r="56" spans="1:15">
      <c r="A56" s="14" t="s">
        <v>12</v>
      </c>
      <c r="B56" s="14" t="s">
        <v>4111</v>
      </c>
      <c r="C56" s="14" t="s">
        <v>4112</v>
      </c>
      <c r="D56" s="14" t="s">
        <v>4210</v>
      </c>
      <c r="E56" s="14">
        <v>55</v>
      </c>
      <c r="F56" s="14" t="s">
        <v>4205</v>
      </c>
      <c r="G56" s="14" t="s">
        <v>4206</v>
      </c>
      <c r="H56" s="14" t="s">
        <v>2836</v>
      </c>
      <c r="I56" s="14" t="s">
        <v>49</v>
      </c>
      <c r="J56" s="11" t="str">
        <f>HYPERLINK("https://www.codechef.com/problems/CM164364", "https://www.codechef.com/problems/CM164364")</f>
        <v>https://www.codechef.com/problems/CM164364</v>
      </c>
      <c r="K56" s="14"/>
      <c r="L56" s="14"/>
      <c r="M56" s="14"/>
      <c r="N56" s="14" t="s">
        <v>50</v>
      </c>
      <c r="O56" s="14" t="s">
        <v>51</v>
      </c>
    </row>
    <row r="57" spans="1:15">
      <c r="A57" s="15" t="s">
        <v>12</v>
      </c>
      <c r="B57" s="15" t="s">
        <v>4111</v>
      </c>
      <c r="C57" s="15" t="s">
        <v>4112</v>
      </c>
      <c r="D57" s="15" t="s">
        <v>4210</v>
      </c>
      <c r="E57" s="15">
        <v>56</v>
      </c>
      <c r="F57" s="15" t="s">
        <v>267</v>
      </c>
      <c r="G57" s="15" t="s">
        <v>268</v>
      </c>
      <c r="H57" s="15" t="s">
        <v>269</v>
      </c>
      <c r="I57" s="15" t="s">
        <v>49</v>
      </c>
      <c r="J57" s="7" t="str">
        <f>HYPERLINK("https://www.codechef.com/problems/SIMPSTAT", "https://www.codechef.com/problems/SIMPSTAT")</f>
        <v>https://www.codechef.com/problems/SIMPSTAT</v>
      </c>
      <c r="K57" s="15"/>
      <c r="L57" s="15"/>
      <c r="M57" s="15"/>
      <c r="N57" s="15" t="s">
        <v>50</v>
      </c>
      <c r="O57" s="15" t="s">
        <v>51</v>
      </c>
    </row>
    <row r="58" spans="1:15">
      <c r="A58" s="14" t="s">
        <v>12</v>
      </c>
      <c r="B58" s="14" t="s">
        <v>4111</v>
      </c>
      <c r="C58" s="14" t="s">
        <v>4112</v>
      </c>
      <c r="D58" s="14" t="s">
        <v>4210</v>
      </c>
      <c r="E58" s="14">
        <v>57</v>
      </c>
      <c r="F58" s="14" t="s">
        <v>4222</v>
      </c>
      <c r="G58" s="14" t="s">
        <v>4223</v>
      </c>
      <c r="H58" s="14" t="s">
        <v>4224</v>
      </c>
      <c r="I58" s="14" t="s">
        <v>49</v>
      </c>
      <c r="J58" s="11" t="str">
        <f>HYPERLINK("https://www.codechef.com/problems/GFTSHP", "https://www.codechef.com/problems/GFTSHP")</f>
        <v>https://www.codechef.com/problems/GFTSHP</v>
      </c>
      <c r="K58" s="14"/>
      <c r="L58" s="14"/>
      <c r="M58" s="14"/>
      <c r="N58" s="14" t="s">
        <v>50</v>
      </c>
      <c r="O58" s="14" t="s">
        <v>51</v>
      </c>
    </row>
    <row r="59" spans="1:15">
      <c r="A59" s="15" t="s">
        <v>12</v>
      </c>
      <c r="B59" s="15" t="s">
        <v>4111</v>
      </c>
      <c r="C59" s="15" t="s">
        <v>4112</v>
      </c>
      <c r="D59" s="15" t="s">
        <v>4210</v>
      </c>
      <c r="E59" s="15">
        <v>58</v>
      </c>
      <c r="F59" s="15" t="s">
        <v>1037</v>
      </c>
      <c r="G59" s="15" t="s">
        <v>1038</v>
      </c>
      <c r="H59" s="15" t="s">
        <v>1039</v>
      </c>
      <c r="I59" s="15" t="s">
        <v>49</v>
      </c>
      <c r="J59" s="7" t="str">
        <f>HYPERLINK("https://www.codechef.com/problems/PERMEXIS", "https://www.codechef.com/problems/PERMEXIS")</f>
        <v>https://www.codechef.com/problems/PERMEXIS</v>
      </c>
      <c r="K59" s="15"/>
      <c r="L59" s="15"/>
      <c r="M59" s="15"/>
      <c r="N59" s="15" t="s">
        <v>50</v>
      </c>
      <c r="O59" s="15" t="s">
        <v>51</v>
      </c>
    </row>
    <row r="60" spans="1:15">
      <c r="A60" s="14" t="s">
        <v>12</v>
      </c>
      <c r="B60" s="14" t="s">
        <v>4111</v>
      </c>
      <c r="C60" s="14" t="s">
        <v>4112</v>
      </c>
      <c r="D60" s="14" t="s">
        <v>4210</v>
      </c>
      <c r="E60" s="14">
        <v>59</v>
      </c>
      <c r="F60" s="14" t="s">
        <v>4225</v>
      </c>
      <c r="G60" s="14" t="s">
        <v>4226</v>
      </c>
      <c r="H60" s="14" t="s">
        <v>4227</v>
      </c>
      <c r="I60" s="14" t="s">
        <v>49</v>
      </c>
      <c r="J60" s="11" t="str">
        <f>HYPERLINK("https://www.codechef.com/problems/MAXTHEMIN", "https://www.codechef.com/problems/MAXTHEMIN")</f>
        <v>https://www.codechef.com/problems/MAXTHEMIN</v>
      </c>
      <c r="K60" s="14"/>
      <c r="L60" s="14"/>
      <c r="M60" s="14"/>
      <c r="N60" s="14" t="s">
        <v>50</v>
      </c>
      <c r="O60" s="14" t="s">
        <v>51</v>
      </c>
    </row>
    <row r="61" spans="1:15">
      <c r="A61" s="15" t="s">
        <v>12</v>
      </c>
      <c r="B61" s="15" t="s">
        <v>4111</v>
      </c>
      <c r="C61" s="15" t="s">
        <v>4112</v>
      </c>
      <c r="D61" s="15" t="s">
        <v>4210</v>
      </c>
      <c r="E61" s="15">
        <v>60</v>
      </c>
      <c r="F61" s="15" t="s">
        <v>4228</v>
      </c>
      <c r="G61" s="15" t="s">
        <v>4229</v>
      </c>
      <c r="H61" s="15" t="s">
        <v>4230</v>
      </c>
      <c r="I61" s="15" t="s">
        <v>49</v>
      </c>
      <c r="J61" s="7" t="str">
        <f>HYPERLINK("https://www.codechef.com/problems/MXMTRIO", "https://www.codechef.com/problems/MXMTRIO")</f>
        <v>https://www.codechef.com/problems/MXMTRIO</v>
      </c>
      <c r="K61" s="15"/>
      <c r="L61" s="15"/>
      <c r="M61" s="15"/>
      <c r="N61" s="15" t="s">
        <v>50</v>
      </c>
      <c r="O61" s="15" t="s">
        <v>51</v>
      </c>
    </row>
    <row r="62" spans="1:15">
      <c r="A62" s="14" t="s">
        <v>12</v>
      </c>
      <c r="B62" s="14" t="s">
        <v>4111</v>
      </c>
      <c r="C62" s="14" t="s">
        <v>4112</v>
      </c>
      <c r="D62" s="14" t="s">
        <v>4210</v>
      </c>
      <c r="E62" s="14">
        <v>61</v>
      </c>
      <c r="F62" s="14" t="s">
        <v>4231</v>
      </c>
      <c r="G62" s="14" t="s">
        <v>4232</v>
      </c>
      <c r="H62" s="14" t="s">
        <v>4233</v>
      </c>
      <c r="I62" s="14" t="s">
        <v>49</v>
      </c>
      <c r="J62" s="11" t="str">
        <f>HYPERLINK("https://www.codechef.com/problems/POLIN", "https://www.codechef.com/problems/POLIN")</f>
        <v>https://www.codechef.com/problems/POLIN</v>
      </c>
      <c r="K62" s="14"/>
      <c r="L62" s="14"/>
      <c r="M62" s="14"/>
      <c r="N62" s="14" t="s">
        <v>50</v>
      </c>
      <c r="O62" s="14" t="s">
        <v>51</v>
      </c>
    </row>
    <row r="63" spans="1:15">
      <c r="A63" s="15" t="s">
        <v>12</v>
      </c>
      <c r="B63" s="15" t="s">
        <v>4111</v>
      </c>
      <c r="C63" s="15" t="s">
        <v>4112</v>
      </c>
      <c r="D63" s="15" t="s">
        <v>4210</v>
      </c>
      <c r="E63" s="15">
        <v>62</v>
      </c>
      <c r="F63" s="15" t="s">
        <v>4200</v>
      </c>
      <c r="G63" s="15" t="s">
        <v>4201</v>
      </c>
      <c r="H63" s="15" t="s">
        <v>281</v>
      </c>
      <c r="I63" s="15" t="s">
        <v>49</v>
      </c>
      <c r="J63" s="7" t="str">
        <f>HYPERLINK("https://www.codechef.com/problems/SIGNFLIP", "https://www.codechef.com/problems/SIGNFLIP")</f>
        <v>https://www.codechef.com/problems/SIGNFLIP</v>
      </c>
      <c r="K63" s="15"/>
      <c r="L63" s="15"/>
      <c r="M63" s="15"/>
      <c r="N63" s="15" t="s">
        <v>50</v>
      </c>
      <c r="O63" s="15" t="s">
        <v>51</v>
      </c>
    </row>
    <row r="64" spans="1:15">
      <c r="A64" s="14" t="s">
        <v>12</v>
      </c>
      <c r="B64" s="14" t="s">
        <v>4111</v>
      </c>
      <c r="C64" s="14" t="s">
        <v>4112</v>
      </c>
      <c r="D64" s="14" t="s">
        <v>4210</v>
      </c>
      <c r="E64" s="14">
        <v>63</v>
      </c>
      <c r="F64" s="14" t="s">
        <v>4234</v>
      </c>
      <c r="G64" s="14" t="s">
        <v>4235</v>
      </c>
      <c r="H64" s="14" t="s">
        <v>4236</v>
      </c>
      <c r="I64" s="14" t="s">
        <v>49</v>
      </c>
      <c r="J64" s="11" t="str">
        <f>HYPERLINK("https://www.codechef.com/problems/EVENSPLIT", "https://www.codechef.com/problems/EVENSPLIT")</f>
        <v>https://www.codechef.com/problems/EVENSPLIT</v>
      </c>
      <c r="K64" s="14"/>
      <c r="L64" s="14"/>
      <c r="M64" s="14"/>
      <c r="N64" s="14" t="s">
        <v>50</v>
      </c>
      <c r="O64" s="14" t="s">
        <v>51</v>
      </c>
    </row>
    <row r="65" spans="1:15">
      <c r="A65" s="15" t="s">
        <v>12</v>
      </c>
      <c r="B65" s="15" t="s">
        <v>4111</v>
      </c>
      <c r="C65" s="15" t="s">
        <v>4112</v>
      </c>
      <c r="D65" s="15" t="s">
        <v>4210</v>
      </c>
      <c r="E65" s="15">
        <v>64</v>
      </c>
      <c r="F65" s="15" t="s">
        <v>4237</v>
      </c>
      <c r="G65" s="15" t="s">
        <v>4238</v>
      </c>
      <c r="H65" s="15" t="s">
        <v>2807</v>
      </c>
      <c r="I65" s="15" t="s">
        <v>49</v>
      </c>
      <c r="J65" s="7" t="str">
        <f>HYPERLINK("https://www.codechef.com/problems/COOKMACH", "https://www.codechef.com/problems/COOKMACH")</f>
        <v>https://www.codechef.com/problems/COOKMACH</v>
      </c>
      <c r="K65" s="15"/>
      <c r="L65" s="15"/>
      <c r="M65" s="15"/>
      <c r="N65" s="15" t="s">
        <v>50</v>
      </c>
      <c r="O65" s="15" t="s">
        <v>51</v>
      </c>
    </row>
    <row r="66" spans="1:15">
      <c r="A66" s="14" t="s">
        <v>12</v>
      </c>
      <c r="B66" s="14" t="s">
        <v>4111</v>
      </c>
      <c r="C66" s="14" t="s">
        <v>4112</v>
      </c>
      <c r="D66" s="14" t="s">
        <v>4210</v>
      </c>
      <c r="E66" s="14">
        <v>65</v>
      </c>
      <c r="F66" s="14" t="s">
        <v>4239</v>
      </c>
      <c r="G66" s="14" t="s">
        <v>4240</v>
      </c>
      <c r="H66" s="14" t="s">
        <v>4241</v>
      </c>
      <c r="I66" s="14" t="s">
        <v>49</v>
      </c>
      <c r="J66" s="11" t="str">
        <f>HYPERLINK("https://www.codechef.com/problems/PUSH7PA", "https://www.codechef.com/problems/PUSH7PA")</f>
        <v>https://www.codechef.com/problems/PUSH7PA</v>
      </c>
      <c r="K66" s="14"/>
      <c r="L66" s="14"/>
      <c r="M66" s="14"/>
      <c r="N66" s="14" t="s">
        <v>50</v>
      </c>
      <c r="O66" s="14" t="s">
        <v>51</v>
      </c>
    </row>
    <row r="67" spans="1:15">
      <c r="A67" s="15" t="s">
        <v>12</v>
      </c>
      <c r="B67" s="15" t="s">
        <v>4111</v>
      </c>
      <c r="C67" s="15" t="s">
        <v>4112</v>
      </c>
      <c r="D67" s="15" t="s">
        <v>4210</v>
      </c>
      <c r="E67" s="15">
        <v>66</v>
      </c>
      <c r="F67" s="15" t="s">
        <v>4242</v>
      </c>
      <c r="G67" s="15" t="s">
        <v>4243</v>
      </c>
      <c r="H67" s="15" t="s">
        <v>1025</v>
      </c>
      <c r="I67" s="15" t="s">
        <v>49</v>
      </c>
      <c r="J67" s="7" t="str">
        <f>HYPERLINK("https://www.codechef.com/problems/REVSORT", "https://www.codechef.com/problems/REVSORT")</f>
        <v>https://www.codechef.com/problems/REVSORT</v>
      </c>
      <c r="K67" s="15"/>
      <c r="L67" s="15"/>
      <c r="M67" s="15"/>
      <c r="N67" s="15" t="s">
        <v>50</v>
      </c>
      <c r="O67" s="15" t="s">
        <v>51</v>
      </c>
    </row>
    <row r="68" spans="1:15">
      <c r="A68" s="14" t="s">
        <v>12</v>
      </c>
      <c r="B68" s="14" t="s">
        <v>4244</v>
      </c>
      <c r="C68" s="14" t="s">
        <v>4245</v>
      </c>
      <c r="D68" s="14" t="s">
        <v>4113</v>
      </c>
      <c r="E68" s="14">
        <v>1</v>
      </c>
      <c r="F68" s="14" t="s">
        <v>4246</v>
      </c>
      <c r="G68" s="14" t="s">
        <v>4247</v>
      </c>
      <c r="H68" s="14" t="s">
        <v>4152</v>
      </c>
      <c r="I68" s="14" t="s">
        <v>49</v>
      </c>
      <c r="J68" s="11" t="str">
        <f>HYPERLINK("https://www.codechef.com/problems/MAKEDIV3", "https://www.codechef.com/problems/MAKEDIV3")</f>
        <v>https://www.codechef.com/problems/MAKEDIV3</v>
      </c>
      <c r="K68" s="14"/>
      <c r="L68" s="14"/>
      <c r="M68" s="14"/>
      <c r="N68" s="14" t="s">
        <v>50</v>
      </c>
      <c r="O68" s="14" t="s">
        <v>51</v>
      </c>
    </row>
    <row r="69" spans="1:15">
      <c r="A69" s="15" t="s">
        <v>12</v>
      </c>
      <c r="B69" s="15" t="s">
        <v>4244</v>
      </c>
      <c r="C69" s="15" t="s">
        <v>4245</v>
      </c>
      <c r="D69" s="15" t="s">
        <v>4113</v>
      </c>
      <c r="E69" s="15">
        <v>2</v>
      </c>
      <c r="F69" s="15" t="s">
        <v>4248</v>
      </c>
      <c r="G69" s="15" t="s">
        <v>4249</v>
      </c>
      <c r="H69" s="15" t="s">
        <v>2807</v>
      </c>
      <c r="I69" s="15" t="s">
        <v>49</v>
      </c>
      <c r="J69" s="7" t="str">
        <f>HYPERLINK("https://www.codechef.com/problems/INDIPERM", "https://www.codechef.com/problems/INDIPERM")</f>
        <v>https://www.codechef.com/problems/INDIPERM</v>
      </c>
      <c r="K69" s="15"/>
      <c r="L69" s="15"/>
      <c r="M69" s="15"/>
      <c r="N69" s="15" t="s">
        <v>50</v>
      </c>
      <c r="O69" s="15" t="s">
        <v>51</v>
      </c>
    </row>
    <row r="70" spans="1:15">
      <c r="A70" s="14" t="s">
        <v>12</v>
      </c>
      <c r="B70" s="14" t="s">
        <v>4244</v>
      </c>
      <c r="C70" s="14" t="s">
        <v>4245</v>
      </c>
      <c r="D70" s="14" t="s">
        <v>4113</v>
      </c>
      <c r="E70" s="14">
        <v>3</v>
      </c>
      <c r="F70" s="14" t="s">
        <v>4250</v>
      </c>
      <c r="G70" s="14" t="s">
        <v>4251</v>
      </c>
      <c r="H70" s="14" t="s">
        <v>3085</v>
      </c>
      <c r="I70" s="14" t="s">
        <v>96</v>
      </c>
      <c r="J70" s="11" t="str">
        <f>HYPERLINK("https://www.codechef.com/problems/MINPIZZAS", "https://www.codechef.com/problems/MINPIZZAS")</f>
        <v>https://www.codechef.com/problems/MINPIZZAS</v>
      </c>
      <c r="K70" s="14"/>
      <c r="L70" s="14"/>
      <c r="M70" s="14"/>
      <c r="N70" s="14" t="s">
        <v>50</v>
      </c>
      <c r="O70" s="14" t="s">
        <v>51</v>
      </c>
    </row>
    <row r="71" spans="1:15">
      <c r="A71" s="15" t="s">
        <v>12</v>
      </c>
      <c r="B71" s="15" t="s">
        <v>4244</v>
      </c>
      <c r="C71" s="15" t="s">
        <v>4245</v>
      </c>
      <c r="D71" s="15" t="s">
        <v>4113</v>
      </c>
      <c r="E71" s="15">
        <v>4</v>
      </c>
      <c r="F71" s="15" t="s">
        <v>4147</v>
      </c>
      <c r="G71" s="15" t="s">
        <v>4148</v>
      </c>
      <c r="H71" s="15" t="s">
        <v>4149</v>
      </c>
      <c r="I71" s="15" t="s">
        <v>96</v>
      </c>
      <c r="J71" s="7" t="str">
        <f>HYPERLINK("https://www.codechef.com/problems/MANYSUMS", "https://www.codechef.com/problems/MANYSUMS")</f>
        <v>https://www.codechef.com/problems/MANYSUMS</v>
      </c>
      <c r="K71" s="15"/>
      <c r="L71" s="15"/>
      <c r="M71" s="15"/>
      <c r="N71" s="15" t="s">
        <v>50</v>
      </c>
      <c r="O71" s="15" t="s">
        <v>51</v>
      </c>
    </row>
    <row r="72" spans="1:15">
      <c r="A72" s="14" t="s">
        <v>12</v>
      </c>
      <c r="B72" s="14" t="s">
        <v>4244</v>
      </c>
      <c r="C72" s="14" t="s">
        <v>4245</v>
      </c>
      <c r="D72" s="14" t="s">
        <v>4113</v>
      </c>
      <c r="E72" s="14">
        <v>5</v>
      </c>
      <c r="F72" s="14" t="s">
        <v>4141</v>
      </c>
      <c r="G72" s="14" t="s">
        <v>4142</v>
      </c>
      <c r="H72" s="14" t="s">
        <v>4143</v>
      </c>
      <c r="I72" s="14" t="s">
        <v>49</v>
      </c>
      <c r="J72" s="11" t="str">
        <f>HYPERLINK("https://www.codechef.com/problems/NFS", "https://www.codechef.com/problems/NFS")</f>
        <v>https://www.codechef.com/problems/NFS</v>
      </c>
      <c r="K72" s="14"/>
      <c r="L72" s="14"/>
      <c r="M72" s="14"/>
      <c r="N72" s="14" t="s">
        <v>50</v>
      </c>
      <c r="O72" s="14" t="s">
        <v>51</v>
      </c>
    </row>
    <row r="73" spans="1:15">
      <c r="A73" s="15" t="s">
        <v>12</v>
      </c>
      <c r="B73" s="15" t="s">
        <v>4244</v>
      </c>
      <c r="C73" s="15" t="s">
        <v>4245</v>
      </c>
      <c r="D73" s="15" t="s">
        <v>4113</v>
      </c>
      <c r="E73" s="15">
        <v>6</v>
      </c>
      <c r="F73" s="15" t="s">
        <v>4252</v>
      </c>
      <c r="G73" s="15" t="s">
        <v>4253</v>
      </c>
      <c r="H73" s="15" t="s">
        <v>3013</v>
      </c>
      <c r="I73" s="15" t="s">
        <v>96</v>
      </c>
      <c r="J73" s="7" t="str">
        <f>HYPERLINK("https://www.codechef.com/problems/ALTER", "https://www.codechef.com/problems/ALTER")</f>
        <v>https://www.codechef.com/problems/ALTER</v>
      </c>
      <c r="K73" s="15"/>
      <c r="L73" s="15"/>
      <c r="M73" s="15"/>
      <c r="N73" s="15" t="s">
        <v>50</v>
      </c>
      <c r="O73" s="15" t="s">
        <v>51</v>
      </c>
    </row>
    <row r="74" spans="1:15">
      <c r="A74" s="14" t="s">
        <v>12</v>
      </c>
      <c r="B74" s="14" t="s">
        <v>4244</v>
      </c>
      <c r="C74" s="14" t="s">
        <v>4245</v>
      </c>
      <c r="D74" s="14" t="s">
        <v>4197</v>
      </c>
      <c r="E74" s="14">
        <v>7</v>
      </c>
      <c r="F74" s="14" t="s">
        <v>1044</v>
      </c>
      <c r="G74" s="14" t="s">
        <v>1045</v>
      </c>
      <c r="H74" s="14" t="s">
        <v>1046</v>
      </c>
      <c r="I74" s="14" t="s">
        <v>49</v>
      </c>
      <c r="J74" s="11" t="str">
        <f>HYPERLINK("https://www.codechef.com/problems/TACHSTCK", "https://www.codechef.com/problems/TACHSTCK")</f>
        <v>https://www.codechef.com/problems/TACHSTCK</v>
      </c>
      <c r="K74" s="14"/>
      <c r="L74" s="14"/>
      <c r="M74" s="14"/>
      <c r="N74" s="14" t="s">
        <v>50</v>
      </c>
      <c r="O74" s="14" t="s">
        <v>51</v>
      </c>
    </row>
    <row r="75" spans="1:15">
      <c r="A75" s="15" t="s">
        <v>12</v>
      </c>
      <c r="B75" s="15" t="s">
        <v>4244</v>
      </c>
      <c r="C75" s="15" t="s">
        <v>4245</v>
      </c>
      <c r="D75" s="15" t="s">
        <v>4197</v>
      </c>
      <c r="E75" s="15">
        <v>8</v>
      </c>
      <c r="F75" s="15" t="s">
        <v>4198</v>
      </c>
      <c r="G75" s="15" t="s">
        <v>4199</v>
      </c>
      <c r="H75" s="15" t="s">
        <v>2829</v>
      </c>
      <c r="I75" s="15" t="s">
        <v>49</v>
      </c>
      <c r="J75" s="7" t="str">
        <f>HYPERLINK("https://www.codechef.com/problems/SMPAIR", "https://www.codechef.com/problems/SMPAIR")</f>
        <v>https://www.codechef.com/problems/SMPAIR</v>
      </c>
      <c r="K75" s="15"/>
      <c r="L75" s="15"/>
      <c r="M75" s="15"/>
      <c r="N75" s="15" t="s">
        <v>50</v>
      </c>
      <c r="O75" s="15" t="s">
        <v>51</v>
      </c>
    </row>
    <row r="76" spans="1:15">
      <c r="A76" s="14" t="s">
        <v>12</v>
      </c>
      <c r="B76" s="14" t="s">
        <v>4244</v>
      </c>
      <c r="C76" s="14" t="s">
        <v>4245</v>
      </c>
      <c r="D76" s="14" t="s">
        <v>4197</v>
      </c>
      <c r="E76" s="14">
        <v>9</v>
      </c>
      <c r="F76" s="14" t="s">
        <v>4254</v>
      </c>
      <c r="G76" s="14" t="s">
        <v>4255</v>
      </c>
      <c r="H76" s="14"/>
      <c r="I76" s="14" t="s">
        <v>49</v>
      </c>
      <c r="J76" s="11" t="str">
        <f>HYPERLINK("https://www.codechef.com/problems/SRTCHK", "https://www.codechef.com/problems/SRTCHK")</f>
        <v>https://www.codechef.com/problems/SRTCHK</v>
      </c>
      <c r="K76" s="14"/>
      <c r="L76" s="14"/>
      <c r="M76" s="14"/>
      <c r="N76" s="14" t="s">
        <v>50</v>
      </c>
      <c r="O76" s="14" t="s">
        <v>51</v>
      </c>
    </row>
    <row r="77" spans="1:15">
      <c r="A77" s="15" t="s">
        <v>12</v>
      </c>
      <c r="B77" s="15" t="s">
        <v>4244</v>
      </c>
      <c r="C77" s="15" t="s">
        <v>4245</v>
      </c>
      <c r="D77" s="15" t="s">
        <v>4197</v>
      </c>
      <c r="E77" s="15">
        <v>10</v>
      </c>
      <c r="F77" s="15" t="s">
        <v>4202</v>
      </c>
      <c r="G77" s="15" t="s">
        <v>4203</v>
      </c>
      <c r="H77" s="15" t="s">
        <v>4204</v>
      </c>
      <c r="I77" s="15" t="s">
        <v>49</v>
      </c>
      <c r="J77" s="7" t="str">
        <f>HYPERLINK("https://www.codechef.com/problems/DIV03", "https://www.codechef.com/problems/DIV03")</f>
        <v>https://www.codechef.com/problems/DIV03</v>
      </c>
      <c r="K77" s="15"/>
      <c r="L77" s="15"/>
      <c r="M77" s="15"/>
      <c r="N77" s="15" t="s">
        <v>50</v>
      </c>
      <c r="O77" s="15" t="s">
        <v>51</v>
      </c>
    </row>
    <row r="78" spans="1:15">
      <c r="A78" s="14" t="s">
        <v>12</v>
      </c>
      <c r="B78" s="14" t="s">
        <v>4244</v>
      </c>
      <c r="C78" s="14" t="s">
        <v>4245</v>
      </c>
      <c r="D78" s="14" t="s">
        <v>4197</v>
      </c>
      <c r="E78" s="14">
        <v>11</v>
      </c>
      <c r="F78" s="14" t="s">
        <v>4256</v>
      </c>
      <c r="G78" s="14" t="s">
        <v>4257</v>
      </c>
      <c r="H78" s="14"/>
      <c r="I78" s="14" t="s">
        <v>96</v>
      </c>
      <c r="J78" s="11" t="str">
        <f>HYPERLINK("https://www.codechef.com/problems/CNTSORT", "https://www.codechef.com/problems/CNTSORT")</f>
        <v>https://www.codechef.com/problems/CNTSORT</v>
      </c>
      <c r="K78" s="14"/>
      <c r="L78" s="14"/>
      <c r="M78" s="14"/>
      <c r="N78" s="14" t="s">
        <v>50</v>
      </c>
      <c r="O78" s="14" t="s">
        <v>51</v>
      </c>
    </row>
    <row r="79" spans="1:15">
      <c r="A79" s="15" t="s">
        <v>12</v>
      </c>
      <c r="B79" s="15" t="s">
        <v>4244</v>
      </c>
      <c r="C79" s="15" t="s">
        <v>4245</v>
      </c>
      <c r="D79" s="15" t="s">
        <v>4197</v>
      </c>
      <c r="E79" s="15">
        <v>12</v>
      </c>
      <c r="F79" s="15" t="s">
        <v>4258</v>
      </c>
      <c r="G79" s="15" t="s">
        <v>4259</v>
      </c>
      <c r="H79" s="15" t="s">
        <v>2912</v>
      </c>
      <c r="I79" s="15" t="s">
        <v>96</v>
      </c>
      <c r="J79" s="7" t="str">
        <f>HYPERLINK("https://www.codechef.com/problems/MIXCOLOR", "https://www.codechef.com/problems/MIXCOLOR")</f>
        <v>https://www.codechef.com/problems/MIXCOLOR</v>
      </c>
      <c r="K79" s="15"/>
      <c r="L79" s="15"/>
      <c r="M79" s="15"/>
      <c r="N79" s="15" t="s">
        <v>50</v>
      </c>
      <c r="O79" s="15" t="s">
        <v>51</v>
      </c>
    </row>
    <row r="80" spans="1:15">
      <c r="A80" s="14" t="s">
        <v>12</v>
      </c>
      <c r="B80" s="14" t="s">
        <v>4244</v>
      </c>
      <c r="C80" s="14" t="s">
        <v>4245</v>
      </c>
      <c r="D80" s="14" t="s">
        <v>4197</v>
      </c>
      <c r="E80" s="14">
        <v>13</v>
      </c>
      <c r="F80" s="14" t="s">
        <v>4205</v>
      </c>
      <c r="G80" s="14" t="s">
        <v>4206</v>
      </c>
      <c r="H80" s="14" t="s">
        <v>2836</v>
      </c>
      <c r="I80" s="14" t="s">
        <v>49</v>
      </c>
      <c r="J80" s="11" t="str">
        <f>HYPERLINK("https://www.codechef.com/problems/CM164364", "https://www.codechef.com/problems/CM164364")</f>
        <v>https://www.codechef.com/problems/CM164364</v>
      </c>
      <c r="K80" s="14"/>
      <c r="L80" s="14"/>
      <c r="M80" s="14"/>
      <c r="N80" s="14" t="s">
        <v>50</v>
      </c>
      <c r="O80" s="14" t="s">
        <v>51</v>
      </c>
    </row>
    <row r="81" spans="1:15">
      <c r="A81" s="15" t="s">
        <v>12</v>
      </c>
      <c r="B81" s="15" t="s">
        <v>4244</v>
      </c>
      <c r="C81" s="15" t="s">
        <v>4245</v>
      </c>
      <c r="D81" s="15" t="s">
        <v>4197</v>
      </c>
      <c r="E81" s="15">
        <v>14</v>
      </c>
      <c r="F81" s="15" t="s">
        <v>4260</v>
      </c>
      <c r="G81" s="15" t="s">
        <v>4261</v>
      </c>
      <c r="H81" s="15"/>
      <c r="I81" s="15" t="s">
        <v>96</v>
      </c>
      <c r="J81" s="7" t="str">
        <f>HYPERLINK("https://www.codechef.com/problems/SUBS", "https://www.codechef.com/problems/SUBS")</f>
        <v>https://www.codechef.com/problems/SUBS</v>
      </c>
      <c r="K81" s="15"/>
      <c r="L81" s="15"/>
      <c r="M81" s="15"/>
      <c r="N81" s="15" t="s">
        <v>50</v>
      </c>
      <c r="O81" s="15" t="s">
        <v>51</v>
      </c>
    </row>
    <row r="82" spans="1:15">
      <c r="A82" s="14" t="s">
        <v>12</v>
      </c>
      <c r="B82" s="14" t="s">
        <v>4244</v>
      </c>
      <c r="C82" s="14" t="s">
        <v>4245</v>
      </c>
      <c r="D82" s="14" t="s">
        <v>4197</v>
      </c>
      <c r="E82" s="14">
        <v>15</v>
      </c>
      <c r="F82" s="14" t="s">
        <v>4262</v>
      </c>
      <c r="G82" s="14" t="s">
        <v>4263</v>
      </c>
      <c r="H82" s="14"/>
      <c r="I82" s="14" t="s">
        <v>96</v>
      </c>
      <c r="J82" s="11" t="str">
        <f>HYPERLINK("https://www.codechef.com/problems/PTMSSNG", "https://www.codechef.com/problems/PTMSSNG")</f>
        <v>https://www.codechef.com/problems/PTMSSNG</v>
      </c>
      <c r="K82" s="14"/>
      <c r="L82" s="14"/>
      <c r="M82" s="14"/>
      <c r="N82" s="14" t="s">
        <v>50</v>
      </c>
      <c r="O82" s="14" t="s">
        <v>51</v>
      </c>
    </row>
    <row r="83" spans="1:15">
      <c r="A83" s="15" t="s">
        <v>12</v>
      </c>
      <c r="B83" s="15" t="s">
        <v>4244</v>
      </c>
      <c r="C83" s="15" t="s">
        <v>4245</v>
      </c>
      <c r="D83" s="15" t="s">
        <v>4197</v>
      </c>
      <c r="E83" s="15">
        <v>16</v>
      </c>
      <c r="F83" s="15" t="s">
        <v>4264</v>
      </c>
      <c r="G83" s="15" t="s">
        <v>4265</v>
      </c>
      <c r="H83" s="15"/>
      <c r="I83" s="15" t="s">
        <v>96</v>
      </c>
      <c r="J83" s="7" t="str">
        <f>HYPERLINK("https://www.codechef.com/problems/CNTDIST", "https://www.codechef.com/problems/CNTDIST")</f>
        <v>https://www.codechef.com/problems/CNTDIST</v>
      </c>
      <c r="K83" s="15"/>
      <c r="L83" s="15"/>
      <c r="M83" s="15"/>
      <c r="N83" s="15" t="s">
        <v>50</v>
      </c>
      <c r="O83" s="15" t="s">
        <v>51</v>
      </c>
    </row>
    <row r="84" spans="1:15">
      <c r="A84" s="14" t="s">
        <v>12</v>
      </c>
      <c r="B84" s="14" t="s">
        <v>4244</v>
      </c>
      <c r="C84" s="14" t="s">
        <v>4245</v>
      </c>
      <c r="D84" s="14" t="s">
        <v>4197</v>
      </c>
      <c r="E84" s="14">
        <v>17</v>
      </c>
      <c r="F84" s="14" t="s">
        <v>3329</v>
      </c>
      <c r="G84" s="14" t="s">
        <v>4266</v>
      </c>
      <c r="H84" s="14" t="s">
        <v>584</v>
      </c>
      <c r="I84" s="14" t="s">
        <v>96</v>
      </c>
      <c r="J84" s="11" t="str">
        <f>HYPERLINK("https://www.codechef.com/problems/MEX", "https://www.codechef.com/problems/MEX")</f>
        <v>https://www.codechef.com/problems/MEX</v>
      </c>
      <c r="K84" s="14"/>
      <c r="L84" s="14"/>
      <c r="M84" s="14"/>
      <c r="N84" s="14" t="s">
        <v>50</v>
      </c>
      <c r="O84" s="14" t="s">
        <v>51</v>
      </c>
    </row>
    <row r="85" spans="1:15">
      <c r="A85" s="15" t="s">
        <v>12</v>
      </c>
      <c r="B85" s="15" t="s">
        <v>4244</v>
      </c>
      <c r="C85" s="15" t="s">
        <v>4245</v>
      </c>
      <c r="D85" s="15" t="s">
        <v>4197</v>
      </c>
      <c r="E85" s="15">
        <v>18</v>
      </c>
      <c r="F85" s="15" t="s">
        <v>4267</v>
      </c>
      <c r="G85" s="15" t="s">
        <v>4268</v>
      </c>
      <c r="H85" s="15" t="s">
        <v>343</v>
      </c>
      <c r="I85" s="15" t="s">
        <v>96</v>
      </c>
      <c r="J85" s="7" t="str">
        <f>HYPERLINK("https://www.codechef.com/problems/EQDIFFER", "https://www.codechef.com/problems/EQDIFFER")</f>
        <v>https://www.codechef.com/problems/EQDIFFER</v>
      </c>
      <c r="K85" s="15"/>
      <c r="L85" s="15"/>
      <c r="M85" s="15"/>
      <c r="N85" s="15" t="s">
        <v>50</v>
      </c>
      <c r="O85" s="15" t="s">
        <v>51</v>
      </c>
    </row>
    <row r="86" spans="1:15">
      <c r="A86" s="14" t="s">
        <v>12</v>
      </c>
      <c r="B86" s="14" t="s">
        <v>4244</v>
      </c>
      <c r="C86" s="14" t="s">
        <v>4245</v>
      </c>
      <c r="D86" s="14" t="s">
        <v>4197</v>
      </c>
      <c r="E86" s="14">
        <v>19</v>
      </c>
      <c r="F86" s="14" t="s">
        <v>4269</v>
      </c>
      <c r="G86" s="14" t="s">
        <v>4270</v>
      </c>
      <c r="H86" s="14" t="s">
        <v>3088</v>
      </c>
      <c r="I86" s="14" t="s">
        <v>96</v>
      </c>
      <c r="J86" s="11" t="str">
        <f>HYPERLINK("https://www.codechef.com/problems/JAVELIN", "https://www.codechef.com/problems/JAVELIN")</f>
        <v>https://www.codechef.com/problems/JAVELIN</v>
      </c>
      <c r="K86" s="14"/>
      <c r="L86" s="14"/>
      <c r="M86" s="14"/>
      <c r="N86" s="14" t="s">
        <v>50</v>
      </c>
      <c r="O86" s="14" t="s">
        <v>51</v>
      </c>
    </row>
    <row r="87" spans="1:15">
      <c r="A87" s="15" t="s">
        <v>12</v>
      </c>
      <c r="B87" s="15" t="s">
        <v>4244</v>
      </c>
      <c r="C87" s="15" t="s">
        <v>4245</v>
      </c>
      <c r="D87" s="15" t="s">
        <v>4197</v>
      </c>
      <c r="E87" s="15">
        <v>20</v>
      </c>
      <c r="F87" s="15" t="s">
        <v>299</v>
      </c>
      <c r="G87" s="15" t="s">
        <v>300</v>
      </c>
      <c r="H87" s="15" t="s">
        <v>301</v>
      </c>
      <c r="I87" s="15" t="s">
        <v>96</v>
      </c>
      <c r="J87" s="7" t="str">
        <f>HYPERLINK("https://www.codechef.com/problems/BOOKCHEF", "https://www.codechef.com/problems/BOOKCHEF")</f>
        <v>https://www.codechef.com/problems/BOOKCHEF</v>
      </c>
      <c r="K87" s="15"/>
      <c r="L87" s="15"/>
      <c r="M87" s="15"/>
      <c r="N87" s="15" t="s">
        <v>50</v>
      </c>
      <c r="O87" s="15" t="s">
        <v>51</v>
      </c>
    </row>
    <row r="88" spans="1:15">
      <c r="A88" s="14" t="s">
        <v>12</v>
      </c>
      <c r="B88" s="14" t="s">
        <v>4244</v>
      </c>
      <c r="C88" s="14" t="s">
        <v>4245</v>
      </c>
      <c r="D88" s="14" t="s">
        <v>4197</v>
      </c>
      <c r="E88" s="14">
        <v>21</v>
      </c>
      <c r="F88" s="14" t="s">
        <v>4271</v>
      </c>
      <c r="G88" s="14" t="s">
        <v>4272</v>
      </c>
      <c r="H88" s="14" t="s">
        <v>413</v>
      </c>
      <c r="I88" s="14" t="s">
        <v>96</v>
      </c>
      <c r="J88" s="11" t="str">
        <f>HYPERLINK("https://www.codechef.com/problems/REMONE", "https://www.codechef.com/problems/REMONE")</f>
        <v>https://www.codechef.com/problems/REMONE</v>
      </c>
      <c r="K88" s="14"/>
      <c r="L88" s="14"/>
      <c r="M88" s="14"/>
      <c r="N88" s="14" t="s">
        <v>50</v>
      </c>
      <c r="O88" s="14" t="s">
        <v>51</v>
      </c>
    </row>
    <row r="89" spans="1:15">
      <c r="A89" s="15" t="s">
        <v>12</v>
      </c>
      <c r="B89" s="15" t="s">
        <v>4244</v>
      </c>
      <c r="C89" s="15" t="s">
        <v>4245</v>
      </c>
      <c r="D89" s="15" t="s">
        <v>4197</v>
      </c>
      <c r="E89" s="15">
        <v>22</v>
      </c>
      <c r="F89" s="15" t="s">
        <v>4273</v>
      </c>
      <c r="G89" s="15" t="s">
        <v>4274</v>
      </c>
      <c r="H89" s="15"/>
      <c r="I89" s="15" t="s">
        <v>96</v>
      </c>
      <c r="J89" s="7" t="str">
        <f>HYPERLINK("https://www.codechef.com/problems/PSORT3", "https://www.codechef.com/problems/PSORT3")</f>
        <v>https://www.codechef.com/problems/PSORT3</v>
      </c>
      <c r="K89" s="15"/>
      <c r="L89" s="15"/>
      <c r="M89" s="15"/>
      <c r="N89" s="15" t="s">
        <v>50</v>
      </c>
      <c r="O89" s="15" t="s">
        <v>51</v>
      </c>
    </row>
    <row r="90" spans="1:15">
      <c r="A90" s="14" t="s">
        <v>12</v>
      </c>
      <c r="B90" s="14" t="s">
        <v>4244</v>
      </c>
      <c r="C90" s="14" t="s">
        <v>4245</v>
      </c>
      <c r="D90" s="14" t="s">
        <v>4197</v>
      </c>
      <c r="E90" s="14">
        <v>23</v>
      </c>
      <c r="F90" s="14" t="s">
        <v>4275</v>
      </c>
      <c r="G90" s="14" t="s">
        <v>4276</v>
      </c>
      <c r="H90" s="14"/>
      <c r="I90" s="14" t="s">
        <v>96</v>
      </c>
      <c r="J90" s="11" t="str">
        <f>HYPERLINK("https://www.codechef.com/problems/SWPSRT1", "https://www.codechef.com/problems/SWPSRT1")</f>
        <v>https://www.codechef.com/problems/SWPSRT1</v>
      </c>
      <c r="K90" s="14"/>
      <c r="L90" s="14"/>
      <c r="M90" s="14"/>
      <c r="N90" s="14" t="s">
        <v>50</v>
      </c>
      <c r="O90" s="14" t="s">
        <v>51</v>
      </c>
    </row>
    <row r="91" spans="1:15">
      <c r="A91" s="15" t="s">
        <v>12</v>
      </c>
      <c r="B91" s="15" t="s">
        <v>4244</v>
      </c>
      <c r="C91" s="15" t="s">
        <v>4245</v>
      </c>
      <c r="D91" s="15" t="s">
        <v>4197</v>
      </c>
      <c r="E91" s="15">
        <v>24</v>
      </c>
      <c r="F91" s="15" t="s">
        <v>4277</v>
      </c>
      <c r="G91" s="15" t="s">
        <v>4278</v>
      </c>
      <c r="H91" s="15" t="s">
        <v>1463</v>
      </c>
      <c r="I91" s="15" t="s">
        <v>96</v>
      </c>
      <c r="J91" s="7" t="str">
        <f>HYPERLINK("https://www.codechef.com/problems/CHEFRES", "https://www.codechef.com/problems/CHEFRES")</f>
        <v>https://www.codechef.com/problems/CHEFRES</v>
      </c>
      <c r="K91" s="15"/>
      <c r="L91" s="15"/>
      <c r="M91" s="15"/>
      <c r="N91" s="15" t="s">
        <v>50</v>
      </c>
      <c r="O91" s="15" t="s">
        <v>51</v>
      </c>
    </row>
    <row r="92" spans="1:15">
      <c r="A92" s="14" t="s">
        <v>12</v>
      </c>
      <c r="B92" s="14" t="s">
        <v>4244</v>
      </c>
      <c r="C92" s="14" t="s">
        <v>4245</v>
      </c>
      <c r="D92" s="14" t="s">
        <v>4197</v>
      </c>
      <c r="E92" s="14">
        <v>25</v>
      </c>
      <c r="F92" s="14" t="s">
        <v>4279</v>
      </c>
      <c r="G92" s="14" t="s">
        <v>4280</v>
      </c>
      <c r="H92" s="14"/>
      <c r="I92" s="14" t="s">
        <v>322</v>
      </c>
      <c r="J92" s="11" t="str">
        <f>HYPERLINK("https://www.codechef.com/problems/ADJSRT", "https://www.codechef.com/problems/ADJSRT")</f>
        <v>https://www.codechef.com/problems/ADJSRT</v>
      </c>
      <c r="K92" s="14"/>
      <c r="L92" s="14"/>
      <c r="M92" s="14"/>
      <c r="N92" s="14" t="s">
        <v>50</v>
      </c>
      <c r="O92" s="14" t="s">
        <v>51</v>
      </c>
    </row>
    <row r="93" spans="1:15">
      <c r="A93" s="15" t="s">
        <v>12</v>
      </c>
      <c r="B93" s="15" t="s">
        <v>4244</v>
      </c>
      <c r="C93" s="15" t="s">
        <v>4245</v>
      </c>
      <c r="D93" s="15" t="s">
        <v>4197</v>
      </c>
      <c r="E93" s="15">
        <v>26</v>
      </c>
      <c r="F93" s="15" t="s">
        <v>4281</v>
      </c>
      <c r="G93" s="15" t="s">
        <v>4282</v>
      </c>
      <c r="H93" s="15"/>
      <c r="I93" s="15" t="s">
        <v>322</v>
      </c>
      <c r="J93" s="7" t="str">
        <f>HYPERLINK("https://www.codechef.com/problems/QCKSRT2", "https://www.codechef.com/problems/QCKSRT2")</f>
        <v>https://www.codechef.com/problems/QCKSRT2</v>
      </c>
      <c r="K93" s="15"/>
      <c r="L93" s="15"/>
      <c r="M93" s="15"/>
      <c r="N93" s="15" t="s">
        <v>50</v>
      </c>
      <c r="O93" s="15" t="s">
        <v>51</v>
      </c>
    </row>
    <row r="94" spans="1:15">
      <c r="A94" s="14" t="s">
        <v>12</v>
      </c>
      <c r="B94" s="14" t="s">
        <v>4244</v>
      </c>
      <c r="C94" s="14" t="s">
        <v>4245</v>
      </c>
      <c r="D94" s="14" t="s">
        <v>4283</v>
      </c>
      <c r="E94" s="14">
        <v>27</v>
      </c>
      <c r="F94" s="14" t="s">
        <v>4173</v>
      </c>
      <c r="G94" s="14" t="s">
        <v>4174</v>
      </c>
      <c r="H94" s="14" t="s">
        <v>2953</v>
      </c>
      <c r="I94" s="14" t="s">
        <v>96</v>
      </c>
      <c r="J94" s="11" t="str">
        <f>HYPERLINK("https://www.codechef.com/problems/AVGFLEX", "https://www.codechef.com/problems/AVGFLEX")</f>
        <v>https://www.codechef.com/problems/AVGFLEX</v>
      </c>
      <c r="K94" s="14"/>
      <c r="L94" s="14"/>
      <c r="M94" s="14"/>
      <c r="N94" s="14" t="s">
        <v>50</v>
      </c>
      <c r="O94" s="14" t="s">
        <v>51</v>
      </c>
    </row>
    <row r="95" spans="1:15">
      <c r="A95" s="15" t="s">
        <v>12</v>
      </c>
      <c r="B95" s="15" t="s">
        <v>4244</v>
      </c>
      <c r="C95" s="15" t="s">
        <v>4245</v>
      </c>
      <c r="D95" s="15" t="s">
        <v>4283</v>
      </c>
      <c r="E95" s="15">
        <v>28</v>
      </c>
      <c r="F95" s="15" t="s">
        <v>1069</v>
      </c>
      <c r="G95" s="15" t="s">
        <v>1070</v>
      </c>
      <c r="H95" s="15" t="s">
        <v>1071</v>
      </c>
      <c r="I95" s="15" t="s">
        <v>96</v>
      </c>
      <c r="J95" s="7" t="str">
        <f>HYPERLINK("https://www.codechef.com/problems/MINEAT", "https://www.codechef.com/problems/MINEAT")</f>
        <v>https://www.codechef.com/problems/MINEAT</v>
      </c>
      <c r="K95" s="15"/>
      <c r="L95" s="15"/>
      <c r="M95" s="15"/>
      <c r="N95" s="15" t="s">
        <v>50</v>
      </c>
      <c r="O95" s="15" t="s">
        <v>51</v>
      </c>
    </row>
    <row r="96" spans="1:15">
      <c r="A96" s="14" t="s">
        <v>12</v>
      </c>
      <c r="B96" s="14" t="s">
        <v>4244</v>
      </c>
      <c r="C96" s="14" t="s">
        <v>4245</v>
      </c>
      <c r="D96" s="14" t="s">
        <v>4283</v>
      </c>
      <c r="E96" s="14">
        <v>29</v>
      </c>
      <c r="F96" s="14" t="s">
        <v>4284</v>
      </c>
      <c r="G96" s="14" t="s">
        <v>4285</v>
      </c>
      <c r="H96" s="14" t="s">
        <v>4286</v>
      </c>
      <c r="I96" s="14" t="s">
        <v>96</v>
      </c>
      <c r="J96" s="11" t="str">
        <f>HYPERLINK("https://www.codechef.com/problems/STACKS", "https://www.codechef.com/problems/STACKS")</f>
        <v>https://www.codechef.com/problems/STACKS</v>
      </c>
      <c r="K96" s="14"/>
      <c r="L96" s="14"/>
      <c r="M96" s="14"/>
      <c r="N96" s="14" t="s">
        <v>50</v>
      </c>
      <c r="O96" s="14" t="s">
        <v>51</v>
      </c>
    </row>
    <row r="97" spans="1:15">
      <c r="A97" s="15" t="s">
        <v>12</v>
      </c>
      <c r="B97" s="15" t="s">
        <v>4244</v>
      </c>
      <c r="C97" s="15" t="s">
        <v>4245</v>
      </c>
      <c r="D97" s="15" t="s">
        <v>4283</v>
      </c>
      <c r="E97" s="15">
        <v>30</v>
      </c>
      <c r="F97" s="15" t="s">
        <v>1115</v>
      </c>
      <c r="G97" s="15" t="s">
        <v>1116</v>
      </c>
      <c r="H97" s="15" t="s">
        <v>1117</v>
      </c>
      <c r="I97" s="15" t="s">
        <v>96</v>
      </c>
      <c r="J97" s="7" t="str">
        <f>HYPERLINK("https://www.codechef.com/problems/FORESTGA", "https://www.codechef.com/problems/FORESTGA")</f>
        <v>https://www.codechef.com/problems/FORESTGA</v>
      </c>
      <c r="K97" s="15"/>
      <c r="L97" s="15"/>
      <c r="M97" s="15"/>
      <c r="N97" s="15" t="s">
        <v>50</v>
      </c>
      <c r="O97" s="15" t="s">
        <v>51</v>
      </c>
    </row>
    <row r="98" spans="1:15">
      <c r="A98" s="14" t="s">
        <v>12</v>
      </c>
      <c r="B98" s="14" t="s">
        <v>4244</v>
      </c>
      <c r="C98" s="14" t="s">
        <v>4245</v>
      </c>
      <c r="D98" s="14" t="s">
        <v>4283</v>
      </c>
      <c r="E98" s="14">
        <v>31</v>
      </c>
      <c r="F98" s="14" t="s">
        <v>4287</v>
      </c>
      <c r="G98" s="14" t="s">
        <v>4288</v>
      </c>
      <c r="H98" s="14" t="s">
        <v>3431</v>
      </c>
      <c r="I98" s="14" t="s">
        <v>96</v>
      </c>
      <c r="J98" s="11" t="str">
        <f>HYPERLINK("https://www.codechef.com/problems/SHROUTE", "https://www.codechef.com/problems/SHROUTE")</f>
        <v>https://www.codechef.com/problems/SHROUTE</v>
      </c>
      <c r="K98" s="14"/>
      <c r="L98" s="14"/>
      <c r="M98" s="14"/>
      <c r="N98" s="14" t="s">
        <v>50</v>
      </c>
      <c r="O98" s="14" t="s">
        <v>51</v>
      </c>
    </row>
    <row r="99" spans="1:15">
      <c r="A99" s="15" t="s">
        <v>12</v>
      </c>
      <c r="B99" s="15" t="s">
        <v>4244</v>
      </c>
      <c r="C99" s="15" t="s">
        <v>4245</v>
      </c>
      <c r="D99" s="15" t="s">
        <v>4283</v>
      </c>
      <c r="E99" s="15">
        <v>32</v>
      </c>
      <c r="F99" s="15" t="s">
        <v>1072</v>
      </c>
      <c r="G99" s="15" t="s">
        <v>1073</v>
      </c>
      <c r="H99" s="15" t="s">
        <v>1074</v>
      </c>
      <c r="I99" s="15" t="s">
        <v>96</v>
      </c>
      <c r="J99" s="7" t="str">
        <f>HYPERLINK("https://www.codechef.com/problems/SNAKEEAT", "https://www.codechef.com/problems/SNAKEEAT")</f>
        <v>https://www.codechef.com/problems/SNAKEEAT</v>
      </c>
      <c r="K99" s="15"/>
      <c r="L99" s="15"/>
      <c r="M99" s="15"/>
      <c r="N99" s="15" t="s">
        <v>50</v>
      </c>
      <c r="O99" s="15" t="s">
        <v>51</v>
      </c>
    </row>
    <row r="100" spans="1:15">
      <c r="A100" s="14" t="s">
        <v>12</v>
      </c>
      <c r="B100" s="14" t="s">
        <v>4244</v>
      </c>
      <c r="C100" s="14" t="s">
        <v>4245</v>
      </c>
      <c r="D100" s="14" t="s">
        <v>4283</v>
      </c>
      <c r="E100" s="14">
        <v>33</v>
      </c>
      <c r="F100" s="14" t="s">
        <v>4289</v>
      </c>
      <c r="G100" s="14" t="s">
        <v>4290</v>
      </c>
      <c r="H100" s="14" t="s">
        <v>361</v>
      </c>
      <c r="I100" s="14" t="s">
        <v>96</v>
      </c>
      <c r="J100" s="11" t="str">
        <f>HYPERLINK("https://www.codechef.com/problems/SNTEMPLE", "https://www.codechef.com/problems/SNTEMPLE")</f>
        <v>https://www.codechef.com/problems/SNTEMPLE</v>
      </c>
      <c r="K100" s="14"/>
      <c r="L100" s="14"/>
      <c r="M100" s="14"/>
      <c r="N100" s="14" t="s">
        <v>50</v>
      </c>
      <c r="O100" s="14" t="s">
        <v>51</v>
      </c>
    </row>
    <row r="101" spans="1:15">
      <c r="A101" s="15" t="s">
        <v>12</v>
      </c>
      <c r="B101" s="15" t="s">
        <v>4244</v>
      </c>
      <c r="C101" s="15" t="s">
        <v>4245</v>
      </c>
      <c r="D101" s="15" t="s">
        <v>4283</v>
      </c>
      <c r="E101" s="15">
        <v>34</v>
      </c>
      <c r="F101" s="15" t="s">
        <v>1118</v>
      </c>
      <c r="G101" s="15" t="s">
        <v>1119</v>
      </c>
      <c r="H101" s="15" t="s">
        <v>1120</v>
      </c>
      <c r="I101" s="15" t="s">
        <v>96</v>
      </c>
      <c r="J101" s="7" t="str">
        <f>HYPERLINK("https://www.codechef.com/problems/SQUIRREL", "https://www.codechef.com/problems/SQUIRREL")</f>
        <v>https://www.codechef.com/problems/SQUIRREL</v>
      </c>
      <c r="K101" s="15"/>
      <c r="L101" s="15"/>
      <c r="M101" s="15"/>
      <c r="N101" s="15" t="s">
        <v>50</v>
      </c>
      <c r="O101" s="15" t="s">
        <v>51</v>
      </c>
    </row>
    <row r="102" spans="1:15">
      <c r="A102" s="14" t="s">
        <v>12</v>
      </c>
      <c r="B102" s="14" t="s">
        <v>4244</v>
      </c>
      <c r="C102" s="14" t="s">
        <v>4245</v>
      </c>
      <c r="D102" s="14" t="s">
        <v>4283</v>
      </c>
      <c r="E102" s="14">
        <v>35</v>
      </c>
      <c r="F102" s="14" t="s">
        <v>4291</v>
      </c>
      <c r="G102" s="14" t="s">
        <v>4292</v>
      </c>
      <c r="H102" s="14" t="s">
        <v>3442</v>
      </c>
      <c r="I102" s="14" t="s">
        <v>96</v>
      </c>
      <c r="J102" s="11" t="str">
        <f>HYPERLINK("https://www.codechef.com/problems/MODEQ", "https://www.codechef.com/problems/MODEQ")</f>
        <v>https://www.codechef.com/problems/MODEQ</v>
      </c>
      <c r="K102" s="14"/>
      <c r="L102" s="14"/>
      <c r="M102" s="14"/>
      <c r="N102" s="14" t="s">
        <v>50</v>
      </c>
      <c r="O102" s="14" t="s">
        <v>51</v>
      </c>
    </row>
    <row r="103" spans="1:15">
      <c r="A103" s="15" t="s">
        <v>12</v>
      </c>
      <c r="B103" s="15" t="s">
        <v>4244</v>
      </c>
      <c r="C103" s="15" t="s">
        <v>4245</v>
      </c>
      <c r="D103" s="15" t="s">
        <v>4283</v>
      </c>
      <c r="E103" s="15">
        <v>36</v>
      </c>
      <c r="F103" s="15" t="s">
        <v>1121</v>
      </c>
      <c r="G103" s="15" t="s">
        <v>1122</v>
      </c>
      <c r="H103" s="15" t="s">
        <v>1123</v>
      </c>
      <c r="I103" s="15" t="s">
        <v>96</v>
      </c>
      <c r="J103" s="7" t="str">
        <f>HYPERLINK("https://www.codechef.com/problems/FLUSHOT", "https://www.codechef.com/problems/FLUSHOT")</f>
        <v>https://www.codechef.com/problems/FLUSHOT</v>
      </c>
      <c r="K103" s="15"/>
      <c r="L103" s="15"/>
      <c r="M103" s="15"/>
      <c r="N103" s="15" t="s">
        <v>50</v>
      </c>
      <c r="O103" s="15" t="s">
        <v>51</v>
      </c>
    </row>
    <row r="104" spans="1:15">
      <c r="A104" s="14" t="s">
        <v>12</v>
      </c>
      <c r="B104" s="14" t="s">
        <v>4244</v>
      </c>
      <c r="C104" s="14" t="s">
        <v>4245</v>
      </c>
      <c r="D104" s="14" t="s">
        <v>4293</v>
      </c>
      <c r="E104" s="14">
        <v>37</v>
      </c>
      <c r="F104" s="14" t="s">
        <v>4294</v>
      </c>
      <c r="G104" s="14" t="s">
        <v>4295</v>
      </c>
      <c r="H104" s="14"/>
      <c r="I104" s="14" t="s">
        <v>49</v>
      </c>
      <c r="J104" s="11" t="str">
        <f>HYPERLINK("https://www.codechef.com/problems/SUDBOOKS", "https://www.codechef.com/problems/SUDBOOKS")</f>
        <v>https://www.codechef.com/problems/SUDBOOKS</v>
      </c>
      <c r="K104" s="14"/>
      <c r="L104" s="14"/>
      <c r="M104" s="14"/>
      <c r="N104" s="14" t="s">
        <v>50</v>
      </c>
      <c r="O104" s="14" t="s">
        <v>51</v>
      </c>
    </row>
    <row r="105" spans="1:15">
      <c r="A105" s="15" t="s">
        <v>12</v>
      </c>
      <c r="B105" s="15" t="s">
        <v>4244</v>
      </c>
      <c r="C105" s="15" t="s">
        <v>4245</v>
      </c>
      <c r="D105" s="15" t="s">
        <v>4293</v>
      </c>
      <c r="E105" s="15">
        <v>38</v>
      </c>
      <c r="F105" s="15" t="s">
        <v>4296</v>
      </c>
      <c r="G105" s="15" t="s">
        <v>4297</v>
      </c>
      <c r="H105" s="15" t="s">
        <v>2504</v>
      </c>
      <c r="I105" s="15" t="s">
        <v>49</v>
      </c>
      <c r="J105" s="7" t="str">
        <f>HYPERLINK("https://www.codechef.com/problems/ATTND", "https://www.codechef.com/problems/ATTND")</f>
        <v>https://www.codechef.com/problems/ATTND</v>
      </c>
      <c r="K105" s="15"/>
      <c r="L105" s="15"/>
      <c r="M105" s="15"/>
      <c r="N105" s="15" t="s">
        <v>50</v>
      </c>
      <c r="O105" s="15" t="s">
        <v>51</v>
      </c>
    </row>
    <row r="106" spans="1:15">
      <c r="A106" s="14" t="s">
        <v>12</v>
      </c>
      <c r="B106" s="14" t="s">
        <v>4244</v>
      </c>
      <c r="C106" s="14" t="s">
        <v>4245</v>
      </c>
      <c r="D106" s="14" t="s">
        <v>4293</v>
      </c>
      <c r="E106" s="14">
        <v>39</v>
      </c>
      <c r="F106" s="14" t="s">
        <v>4298</v>
      </c>
      <c r="G106" s="14" t="s">
        <v>4299</v>
      </c>
      <c r="H106" s="14" t="s">
        <v>4300</v>
      </c>
      <c r="I106" s="14" t="s">
        <v>96</v>
      </c>
      <c r="J106" s="11" t="str">
        <f>HYPERLINK("https://www.codechef.com/problems/CHFPLN", "https://www.codechef.com/problems/CHFPLN")</f>
        <v>https://www.codechef.com/problems/CHFPLN</v>
      </c>
      <c r="K106" s="14"/>
      <c r="L106" s="14"/>
      <c r="M106" s="14"/>
      <c r="N106" s="14" t="s">
        <v>50</v>
      </c>
      <c r="O106" s="14" t="s">
        <v>51</v>
      </c>
    </row>
    <row r="107" spans="1:15">
      <c r="A107" s="15" t="s">
        <v>12</v>
      </c>
      <c r="B107" s="15" t="s">
        <v>4244</v>
      </c>
      <c r="C107" s="15" t="s">
        <v>4245</v>
      </c>
      <c r="D107" s="15" t="s">
        <v>4293</v>
      </c>
      <c r="E107" s="15">
        <v>40</v>
      </c>
      <c r="F107" s="15" t="s">
        <v>4301</v>
      </c>
      <c r="G107" s="15" t="s">
        <v>4302</v>
      </c>
      <c r="H107" s="15" t="s">
        <v>2602</v>
      </c>
      <c r="I107" s="15" t="s">
        <v>49</v>
      </c>
      <c r="J107" s="7" t="str">
        <f>HYPERLINK("https://www.codechef.com/problems/VCS", "https://www.codechef.com/problems/VCS")</f>
        <v>https://www.codechef.com/problems/VCS</v>
      </c>
      <c r="K107" s="15"/>
      <c r="L107" s="15"/>
      <c r="M107" s="15"/>
      <c r="N107" s="15" t="s">
        <v>50</v>
      </c>
      <c r="O107" s="15" t="s">
        <v>51</v>
      </c>
    </row>
    <row r="108" spans="1:15">
      <c r="A108" s="14" t="s">
        <v>12</v>
      </c>
      <c r="B108" s="14" t="s">
        <v>4244</v>
      </c>
      <c r="C108" s="14" t="s">
        <v>4245</v>
      </c>
      <c r="D108" s="14" t="s">
        <v>4293</v>
      </c>
      <c r="E108" s="14">
        <v>41</v>
      </c>
      <c r="F108" s="14" t="s">
        <v>4303</v>
      </c>
      <c r="G108" s="14" t="s">
        <v>4304</v>
      </c>
      <c r="H108" s="14" t="s">
        <v>1433</v>
      </c>
      <c r="I108" s="14" t="s">
        <v>96</v>
      </c>
      <c r="J108" s="11" t="str">
        <f>HYPERLINK("https://www.codechef.com/problems/BEX", "https://www.codechef.com/problems/BEX")</f>
        <v>https://www.codechef.com/problems/BEX</v>
      </c>
      <c r="K108" s="14"/>
      <c r="L108" s="14"/>
      <c r="M108" s="14"/>
      <c r="N108" s="14" t="s">
        <v>50</v>
      </c>
      <c r="O108" s="14" t="s">
        <v>51</v>
      </c>
    </row>
    <row r="109" spans="1:15">
      <c r="A109" s="15" t="s">
        <v>12</v>
      </c>
      <c r="B109" s="15" t="s">
        <v>4244</v>
      </c>
      <c r="C109" s="15" t="s">
        <v>4245</v>
      </c>
      <c r="D109" s="15" t="s">
        <v>4293</v>
      </c>
      <c r="E109" s="15">
        <v>42</v>
      </c>
      <c r="F109" s="15" t="s">
        <v>4305</v>
      </c>
      <c r="G109" s="15" t="s">
        <v>4306</v>
      </c>
      <c r="H109" s="15" t="s">
        <v>4307</v>
      </c>
      <c r="I109" s="15" t="s">
        <v>322</v>
      </c>
      <c r="J109" s="7" t="str">
        <f>HYPERLINK("https://www.codechef.com/problems/LOWSUM", "https://www.codechef.com/problems/LOWSUM")</f>
        <v>https://www.codechef.com/problems/LOWSUM</v>
      </c>
      <c r="K109" s="15"/>
      <c r="L109" s="15"/>
      <c r="M109" s="15"/>
      <c r="N109" s="15" t="s">
        <v>50</v>
      </c>
      <c r="O109" s="15" t="s">
        <v>51</v>
      </c>
    </row>
    <row r="110" spans="1:15">
      <c r="A110" s="14" t="s">
        <v>12</v>
      </c>
      <c r="B110" s="14" t="s">
        <v>4244</v>
      </c>
      <c r="C110" s="14" t="s">
        <v>4245</v>
      </c>
      <c r="D110" s="14" t="s">
        <v>4293</v>
      </c>
      <c r="E110" s="14">
        <v>43</v>
      </c>
      <c r="F110" s="14" t="s">
        <v>525</v>
      </c>
      <c r="G110" s="14" t="s">
        <v>526</v>
      </c>
      <c r="H110" s="14" t="s">
        <v>343</v>
      </c>
      <c r="I110" s="14" t="s">
        <v>96</v>
      </c>
      <c r="J110" s="11" t="str">
        <f>HYPERLINK("https://www.codechef.com/problems/IPCTRAIN", "https://www.codechef.com/problems/IPCTRAIN")</f>
        <v>https://www.codechef.com/problems/IPCTRAIN</v>
      </c>
      <c r="K110" s="14"/>
      <c r="L110" s="14"/>
      <c r="M110" s="14"/>
      <c r="N110" s="14" t="s">
        <v>50</v>
      </c>
      <c r="O110" s="14" t="s">
        <v>51</v>
      </c>
    </row>
    <row r="111" spans="1:15">
      <c r="A111" s="15" t="s">
        <v>12</v>
      </c>
      <c r="B111" s="15" t="s">
        <v>4244</v>
      </c>
      <c r="C111" s="15" t="s">
        <v>4245</v>
      </c>
      <c r="D111" s="15" t="s">
        <v>4293</v>
      </c>
      <c r="E111" s="15">
        <v>44</v>
      </c>
      <c r="F111" s="15" t="s">
        <v>4308</v>
      </c>
      <c r="G111" s="15" t="s">
        <v>4309</v>
      </c>
      <c r="H111" s="15" t="s">
        <v>4310</v>
      </c>
      <c r="I111" s="15" t="s">
        <v>322</v>
      </c>
      <c r="J111" s="7" t="str">
        <f>HYPERLINK("https://www.codechef.com/problems/COOK82C", "https://www.codechef.com/problems/COOK82C")</f>
        <v>https://www.codechef.com/problems/COOK82C</v>
      </c>
      <c r="K111" s="15"/>
      <c r="L111" s="15"/>
      <c r="M111" s="15"/>
      <c r="N111" s="15" t="s">
        <v>50</v>
      </c>
      <c r="O111" s="15" t="s">
        <v>51</v>
      </c>
    </row>
    <row r="112" spans="1:15">
      <c r="A112" s="14" t="s">
        <v>12</v>
      </c>
      <c r="B112" s="14" t="s">
        <v>4244</v>
      </c>
      <c r="C112" s="14" t="s">
        <v>4245</v>
      </c>
      <c r="D112" s="14" t="s">
        <v>4293</v>
      </c>
      <c r="E112" s="14">
        <v>45</v>
      </c>
      <c r="F112" s="14" t="s">
        <v>4311</v>
      </c>
      <c r="G112" s="14" t="s">
        <v>4312</v>
      </c>
      <c r="H112" s="14" t="s">
        <v>4313</v>
      </c>
      <c r="I112" s="14" t="s">
        <v>96</v>
      </c>
      <c r="J112" s="11" t="str">
        <f>HYPERLINK("https://www.codechef.com/problems/FEMA2", "https://www.codechef.com/problems/FEMA2")</f>
        <v>https://www.codechef.com/problems/FEMA2</v>
      </c>
      <c r="K112" s="14"/>
      <c r="L112" s="14" t="s">
        <v>4314</v>
      </c>
      <c r="M112" s="14"/>
      <c r="N112" s="14" t="s">
        <v>50</v>
      </c>
      <c r="O112" s="14" t="s">
        <v>51</v>
      </c>
    </row>
    <row r="113" spans="1:15">
      <c r="A113" s="15" t="s">
        <v>12</v>
      </c>
      <c r="B113" s="15" t="s">
        <v>4244</v>
      </c>
      <c r="C113" s="15" t="s">
        <v>4245</v>
      </c>
      <c r="D113" s="15" t="s">
        <v>4293</v>
      </c>
      <c r="E113" s="15">
        <v>46</v>
      </c>
      <c r="F113" s="15" t="s">
        <v>4315</v>
      </c>
      <c r="G113" s="15" t="s">
        <v>4316</v>
      </c>
      <c r="H113" s="15" t="s">
        <v>4317</v>
      </c>
      <c r="I113" s="15" t="s">
        <v>96</v>
      </c>
      <c r="J113" s="7" t="str">
        <f>HYPERLINK("https://www.codechef.com/problems/CHEFTOWN", "https://www.codechef.com/problems/CHEFTOWN")</f>
        <v>https://www.codechef.com/problems/CHEFTOWN</v>
      </c>
      <c r="K113" s="15"/>
      <c r="L113" s="15" t="s">
        <v>4318</v>
      </c>
      <c r="M113" s="15"/>
      <c r="N113" s="15" t="s">
        <v>50</v>
      </c>
      <c r="O113" s="15" t="s">
        <v>51</v>
      </c>
    </row>
    <row r="114" spans="1:15">
      <c r="A114" s="14" t="s">
        <v>12</v>
      </c>
      <c r="B114" s="14" t="s">
        <v>4244</v>
      </c>
      <c r="C114" s="14" t="s">
        <v>4245</v>
      </c>
      <c r="D114" s="14" t="s">
        <v>4319</v>
      </c>
      <c r="E114" s="14">
        <v>47</v>
      </c>
      <c r="F114" s="14" t="s">
        <v>4320</v>
      </c>
      <c r="G114" s="14" t="s">
        <v>4321</v>
      </c>
      <c r="H114" s="14"/>
      <c r="I114" s="14" t="s">
        <v>49</v>
      </c>
      <c r="J114" s="11" t="str">
        <f>HYPERLINK("https://www.codechef.com/problems/ADDI", "https://www.codechef.com/problems/ADDI")</f>
        <v>https://www.codechef.com/problems/ADDI</v>
      </c>
      <c r="K114" s="14"/>
      <c r="L114" s="14"/>
      <c r="M114" s="14"/>
      <c r="N114" s="14" t="s">
        <v>50</v>
      </c>
      <c r="O114" s="14" t="s">
        <v>51</v>
      </c>
    </row>
    <row r="115" spans="1:15">
      <c r="A115" s="15" t="s">
        <v>12</v>
      </c>
      <c r="B115" s="15" t="s">
        <v>4244</v>
      </c>
      <c r="C115" s="15" t="s">
        <v>4245</v>
      </c>
      <c r="D115" s="15" t="s">
        <v>4319</v>
      </c>
      <c r="E115" s="15">
        <v>48</v>
      </c>
      <c r="F115" s="15" t="s">
        <v>4322</v>
      </c>
      <c r="G115" s="15" t="s">
        <v>4323</v>
      </c>
      <c r="H115" s="15"/>
      <c r="I115" s="15" t="s">
        <v>49</v>
      </c>
      <c r="J115" s="7" t="str">
        <f>HYPERLINK("https://www.codechef.com/problems/SELINA", "https://www.codechef.com/problems/SELINA")</f>
        <v>https://www.codechef.com/problems/SELINA</v>
      </c>
      <c r="K115" s="15"/>
      <c r="L115" s="15"/>
      <c r="M115" s="15"/>
      <c r="N115" s="15" t="s">
        <v>50</v>
      </c>
      <c r="O115" s="15" t="s">
        <v>51</v>
      </c>
    </row>
    <row r="116" spans="1:15">
      <c r="A116" s="14" t="s">
        <v>12</v>
      </c>
      <c r="B116" s="14" t="s">
        <v>4244</v>
      </c>
      <c r="C116" s="14" t="s">
        <v>4245</v>
      </c>
      <c r="D116" s="14" t="s">
        <v>4319</v>
      </c>
      <c r="E116" s="14">
        <v>49</v>
      </c>
      <c r="F116" s="14" t="s">
        <v>4324</v>
      </c>
      <c r="G116" s="14" t="s">
        <v>4325</v>
      </c>
      <c r="H116" s="14"/>
      <c r="I116" s="14" t="s">
        <v>322</v>
      </c>
      <c r="J116" s="11" t="str">
        <f>HYPERLINK("https://www.codechef.com/problems/CHFNA", "https://www.codechef.com/problems/CHFNA")</f>
        <v>https://www.codechef.com/problems/CHFNA</v>
      </c>
      <c r="K116" s="14"/>
      <c r="L116" s="14"/>
      <c r="M116" s="14"/>
      <c r="N116" s="14" t="s">
        <v>50</v>
      </c>
      <c r="O116" s="14" t="s">
        <v>51</v>
      </c>
    </row>
    <row r="117" spans="1:15">
      <c r="A117" s="15" t="s">
        <v>12</v>
      </c>
      <c r="B117" s="15" t="s">
        <v>4244</v>
      </c>
      <c r="C117" s="15" t="s">
        <v>4245</v>
      </c>
      <c r="D117" s="15" t="s">
        <v>4319</v>
      </c>
      <c r="E117" s="15">
        <v>50</v>
      </c>
      <c r="F117" s="15" t="s">
        <v>4326</v>
      </c>
      <c r="G117" s="15" t="s">
        <v>4327</v>
      </c>
      <c r="H117" s="15" t="s">
        <v>3175</v>
      </c>
      <c r="I117" s="15" t="s">
        <v>96</v>
      </c>
      <c r="J117" s="7" t="str">
        <f>HYPERLINK("https://www.codechef.com/problems/XORORED", "https://www.codechef.com/problems/XORORED")</f>
        <v>https://www.codechef.com/problems/XORORED</v>
      </c>
      <c r="K117" s="15"/>
      <c r="L117" s="15"/>
      <c r="M117" s="15"/>
      <c r="N117" s="15" t="s">
        <v>50</v>
      </c>
      <c r="O117" s="15" t="s">
        <v>51</v>
      </c>
    </row>
    <row r="118" spans="1:15">
      <c r="A118" s="14" t="s">
        <v>12</v>
      </c>
      <c r="B118" s="14" t="s">
        <v>4244</v>
      </c>
      <c r="C118" s="14" t="s">
        <v>4245</v>
      </c>
      <c r="D118" s="14" t="s">
        <v>4319</v>
      </c>
      <c r="E118" s="14">
        <v>51</v>
      </c>
      <c r="F118" s="14" t="s">
        <v>4328</v>
      </c>
      <c r="G118" s="14" t="s">
        <v>4329</v>
      </c>
      <c r="H118" s="14" t="s">
        <v>4330</v>
      </c>
      <c r="I118" s="14" t="s">
        <v>96</v>
      </c>
      <c r="J118" s="11" t="str">
        <f>HYPERLINK("https://www.codechef.com/problems/MAXDMGE", "https://www.codechef.com/problems/MAXDMGE")</f>
        <v>https://www.codechef.com/problems/MAXDMGE</v>
      </c>
      <c r="K118" s="14"/>
      <c r="L118" s="14"/>
      <c r="M118" s="14"/>
      <c r="N118" s="14" t="s">
        <v>50</v>
      </c>
      <c r="O118" s="14" t="s">
        <v>51</v>
      </c>
    </row>
    <row r="119" spans="1:15">
      <c r="A119" s="15" t="s">
        <v>12</v>
      </c>
      <c r="B119" s="15" t="s">
        <v>4244</v>
      </c>
      <c r="C119" s="15" t="s">
        <v>4245</v>
      </c>
      <c r="D119" s="15" t="s">
        <v>4319</v>
      </c>
      <c r="E119" s="15">
        <v>52</v>
      </c>
      <c r="F119" s="15" t="s">
        <v>4331</v>
      </c>
      <c r="G119" s="15" t="s">
        <v>4332</v>
      </c>
      <c r="H119" s="15" t="s">
        <v>4333</v>
      </c>
      <c r="I119" s="15" t="s">
        <v>96</v>
      </c>
      <c r="J119" s="7" t="str">
        <f>HYPERLINK("https://www.codechef.com/problems/ENGXOR", "https://www.codechef.com/problems/ENGXOR")</f>
        <v>https://www.codechef.com/problems/ENGXOR</v>
      </c>
      <c r="K119" s="15"/>
      <c r="L119" s="15"/>
      <c r="M119" s="15"/>
      <c r="N119" s="15" t="s">
        <v>50</v>
      </c>
      <c r="O119" s="15" t="s">
        <v>51</v>
      </c>
    </row>
    <row r="120" spans="1:15">
      <c r="A120" s="14" t="s">
        <v>12</v>
      </c>
      <c r="B120" s="14" t="s">
        <v>4244</v>
      </c>
      <c r="C120" s="14" t="s">
        <v>4245</v>
      </c>
      <c r="D120" s="14" t="s">
        <v>4319</v>
      </c>
      <c r="E120" s="14">
        <v>53</v>
      </c>
      <c r="F120" s="14" t="s">
        <v>4334</v>
      </c>
      <c r="G120" s="14" t="s">
        <v>4335</v>
      </c>
      <c r="H120" s="14" t="s">
        <v>3525</v>
      </c>
      <c r="I120" s="14" t="s">
        <v>96</v>
      </c>
      <c r="J120" s="11" t="str">
        <f>HYPERLINK("https://www.codechef.com/problems/XXOR", "https://www.codechef.com/problems/XXOR")</f>
        <v>https://www.codechef.com/problems/XXOR</v>
      </c>
      <c r="K120" s="14"/>
      <c r="L120" s="14"/>
      <c r="M120" s="14"/>
      <c r="N120" s="14" t="s">
        <v>50</v>
      </c>
      <c r="O120" s="14" t="s">
        <v>51</v>
      </c>
    </row>
    <row r="121" spans="1:15">
      <c r="A121" s="15" t="s">
        <v>12</v>
      </c>
      <c r="B121" s="15" t="s">
        <v>4244</v>
      </c>
      <c r="C121" s="15" t="s">
        <v>4245</v>
      </c>
      <c r="D121" s="15" t="s">
        <v>4319</v>
      </c>
      <c r="E121" s="15">
        <v>54</v>
      </c>
      <c r="F121" s="15" t="s">
        <v>4336</v>
      </c>
      <c r="G121" s="15" t="s">
        <v>4337</v>
      </c>
      <c r="H121" s="15" t="s">
        <v>4338</v>
      </c>
      <c r="I121" s="15" t="s">
        <v>96</v>
      </c>
      <c r="J121" s="7" t="str">
        <f>HYPERLINK("https://www.codechef.com/problems/XORSUB", "https://www.codechef.com/problems/XORSUB")</f>
        <v>https://www.codechef.com/problems/XORSUB</v>
      </c>
      <c r="K121" s="15"/>
      <c r="L121" s="15"/>
      <c r="M121" s="15"/>
      <c r="N121" s="15" t="s">
        <v>50</v>
      </c>
      <c r="O121" s="15" t="s">
        <v>51</v>
      </c>
    </row>
    <row r="122" spans="1:15">
      <c r="A122" s="14" t="s">
        <v>12</v>
      </c>
      <c r="B122" s="14" t="s">
        <v>4244</v>
      </c>
      <c r="C122" s="14" t="s">
        <v>4245</v>
      </c>
      <c r="D122" s="14" t="s">
        <v>4339</v>
      </c>
      <c r="E122" s="14">
        <v>55</v>
      </c>
      <c r="F122" s="14" t="s">
        <v>582</v>
      </c>
      <c r="G122" s="14" t="s">
        <v>583</v>
      </c>
      <c r="H122" s="14" t="s">
        <v>584</v>
      </c>
      <c r="I122" s="14" t="s">
        <v>96</v>
      </c>
      <c r="J122" s="11" t="str">
        <f>HYPERLINK("https://www.codechef.com/problems/SUBINC", "https://www.codechef.com/problems/SUBINC")</f>
        <v>https://www.codechef.com/problems/SUBINC</v>
      </c>
      <c r="K122" s="14"/>
      <c r="L122" s="14"/>
      <c r="M122" s="14"/>
      <c r="N122" s="14" t="s">
        <v>50</v>
      </c>
      <c r="O122" s="14" t="s">
        <v>51</v>
      </c>
    </row>
    <row r="123" spans="1:15">
      <c r="A123" s="15" t="s">
        <v>12</v>
      </c>
      <c r="B123" s="15" t="s">
        <v>4244</v>
      </c>
      <c r="C123" s="15" t="s">
        <v>4245</v>
      </c>
      <c r="D123" s="15" t="s">
        <v>4339</v>
      </c>
      <c r="E123" s="15">
        <v>56</v>
      </c>
      <c r="F123" s="15" t="s">
        <v>4340</v>
      </c>
      <c r="G123" s="15" t="s">
        <v>4341</v>
      </c>
      <c r="H123" s="15" t="s">
        <v>4342</v>
      </c>
      <c r="I123" s="15" t="s">
        <v>96</v>
      </c>
      <c r="J123" s="7" t="str">
        <f>HYPERLINK("https://www.codechef.com/problems/KPRIME", "https://www.codechef.com/problems/KPRIME")</f>
        <v>https://www.codechef.com/problems/KPRIME</v>
      </c>
      <c r="K123" s="15"/>
      <c r="L123" s="15"/>
      <c r="M123" s="15"/>
      <c r="N123" s="15" t="s">
        <v>50</v>
      </c>
      <c r="O123" s="15" t="s">
        <v>51</v>
      </c>
    </row>
    <row r="124" spans="1:15">
      <c r="A124" s="14" t="s">
        <v>12</v>
      </c>
      <c r="B124" s="14" t="s">
        <v>4244</v>
      </c>
      <c r="C124" s="14" t="s">
        <v>4245</v>
      </c>
      <c r="D124" s="14" t="s">
        <v>4339</v>
      </c>
      <c r="E124" s="14">
        <v>57</v>
      </c>
      <c r="F124" s="14" t="s">
        <v>4343</v>
      </c>
      <c r="G124" s="14" t="s">
        <v>4344</v>
      </c>
      <c r="H124" s="14" t="s">
        <v>682</v>
      </c>
      <c r="I124" s="14" t="s">
        <v>96</v>
      </c>
      <c r="J124" s="11" t="str">
        <f>HYPERLINK("https://www.codechef.com/problems/FROGV", "https://www.codechef.com/problems/FROGV")</f>
        <v>https://www.codechef.com/problems/FROGV</v>
      </c>
      <c r="K124" s="14"/>
      <c r="L124" s="14"/>
      <c r="M124" s="14"/>
      <c r="N124" s="14" t="s">
        <v>50</v>
      </c>
      <c r="O124" s="14" t="s">
        <v>51</v>
      </c>
    </row>
    <row r="125" spans="1:15">
      <c r="A125" s="15" t="s">
        <v>12</v>
      </c>
      <c r="B125" s="15" t="s">
        <v>4244</v>
      </c>
      <c r="C125" s="15" t="s">
        <v>4245</v>
      </c>
      <c r="D125" s="15" t="s">
        <v>4339</v>
      </c>
      <c r="E125" s="15">
        <v>58</v>
      </c>
      <c r="F125" s="15" t="s">
        <v>4345</v>
      </c>
      <c r="G125" s="15" t="s">
        <v>4346</v>
      </c>
      <c r="H125" s="15" t="s">
        <v>4347</v>
      </c>
      <c r="I125" s="15" t="s">
        <v>49</v>
      </c>
      <c r="J125" s="7" t="str">
        <f>HYPERLINK("https://www.codechef.com/problems/LISDIGIT", "https://www.codechef.com/problems/LISDIGIT")</f>
        <v>https://www.codechef.com/problems/LISDIGIT</v>
      </c>
      <c r="K125" s="15"/>
      <c r="L125" s="15"/>
      <c r="M125" s="15"/>
      <c r="N125" s="15" t="s">
        <v>50</v>
      </c>
      <c r="O125" s="15" t="s">
        <v>51</v>
      </c>
    </row>
    <row r="126" spans="1:15">
      <c r="A126" s="14" t="s">
        <v>12</v>
      </c>
      <c r="B126" s="14" t="s">
        <v>4244</v>
      </c>
      <c r="C126" s="14" t="s">
        <v>4245</v>
      </c>
      <c r="D126" s="14" t="s">
        <v>4339</v>
      </c>
      <c r="E126" s="14">
        <v>59</v>
      </c>
      <c r="F126" s="14" t="s">
        <v>4348</v>
      </c>
      <c r="G126" s="14" t="s">
        <v>4349</v>
      </c>
      <c r="H126" s="14" t="s">
        <v>4350</v>
      </c>
      <c r="I126" s="14" t="s">
        <v>96</v>
      </c>
      <c r="J126" s="11" t="str">
        <f>HYPERLINK("https://www.codechef.com/problems/GDSUB", "https://www.codechef.com/problems/GDSUB")</f>
        <v>https://www.codechef.com/problems/GDSUB</v>
      </c>
      <c r="K126" s="14"/>
      <c r="L126" s="14"/>
      <c r="M126" s="14"/>
      <c r="N126" s="14" t="s">
        <v>50</v>
      </c>
      <c r="O126" s="14" t="s">
        <v>51</v>
      </c>
    </row>
    <row r="127" spans="1:15">
      <c r="A127" s="15" t="s">
        <v>12</v>
      </c>
      <c r="B127" s="15" t="s">
        <v>4244</v>
      </c>
      <c r="C127" s="15" t="s">
        <v>4245</v>
      </c>
      <c r="D127" s="15" t="s">
        <v>4339</v>
      </c>
      <c r="E127" s="15">
        <v>60</v>
      </c>
      <c r="F127" s="15" t="s">
        <v>1163</v>
      </c>
      <c r="G127" s="15" t="s">
        <v>1164</v>
      </c>
      <c r="H127" s="15" t="s">
        <v>1165</v>
      </c>
      <c r="I127" s="15" t="s">
        <v>96</v>
      </c>
      <c r="J127" s="7" t="str">
        <f>HYPERLINK("https://www.codechef.com/problems/E1", "https://www.codechef.com/problems/E1")</f>
        <v>https://www.codechef.com/problems/E1</v>
      </c>
      <c r="K127" s="15"/>
      <c r="L127" s="15"/>
      <c r="M127" s="15"/>
      <c r="N127" s="15" t="s">
        <v>50</v>
      </c>
      <c r="O127" s="15" t="s">
        <v>51</v>
      </c>
    </row>
    <row r="128" spans="1:15">
      <c r="A128" s="14" t="s">
        <v>12</v>
      </c>
      <c r="B128" s="14" t="s">
        <v>4244</v>
      </c>
      <c r="C128" s="14" t="s">
        <v>4245</v>
      </c>
      <c r="D128" s="14" t="s">
        <v>4339</v>
      </c>
      <c r="E128" s="14">
        <v>61</v>
      </c>
      <c r="F128" s="14" t="s">
        <v>1140</v>
      </c>
      <c r="G128" s="14" t="s">
        <v>1141</v>
      </c>
      <c r="H128" s="14" t="s">
        <v>406</v>
      </c>
      <c r="I128" s="14" t="s">
        <v>96</v>
      </c>
      <c r="J128" s="11" t="str">
        <f>HYPERLINK("https://www.codechef.com/problems/MGCRNK", "https://www.codechef.com/problems/MGCRNK")</f>
        <v>https://www.codechef.com/problems/MGCRNK</v>
      </c>
      <c r="K128" s="14"/>
      <c r="L128" s="14"/>
      <c r="M128" s="14"/>
      <c r="N128" s="14" t="s">
        <v>50</v>
      </c>
      <c r="O128" s="14" t="s">
        <v>51</v>
      </c>
    </row>
    <row r="129" spans="1:15">
      <c r="A129" s="15" t="s">
        <v>12</v>
      </c>
      <c r="B129" s="15" t="s">
        <v>4244</v>
      </c>
      <c r="C129" s="15" t="s">
        <v>4245</v>
      </c>
      <c r="D129" s="15" t="s">
        <v>4339</v>
      </c>
      <c r="E129" s="15">
        <v>62</v>
      </c>
      <c r="F129" s="15" t="s">
        <v>4351</v>
      </c>
      <c r="G129" s="15" t="s">
        <v>4352</v>
      </c>
      <c r="H129" s="15" t="s">
        <v>4353</v>
      </c>
      <c r="I129" s="15" t="s">
        <v>96</v>
      </c>
      <c r="J129" s="7" t="str">
        <f>HYPERLINK("https://www.codechef.com/problems/GRGUY", "https://www.codechef.com/problems/GRGUY")</f>
        <v>https://www.codechef.com/problems/GRGUY</v>
      </c>
      <c r="K129" s="15"/>
      <c r="L129" s="15"/>
      <c r="M129" s="15"/>
      <c r="N129" s="15" t="s">
        <v>50</v>
      </c>
      <c r="O129" s="15" t="s">
        <v>51</v>
      </c>
    </row>
    <row r="130" spans="1:15">
      <c r="A130" s="14" t="s">
        <v>12</v>
      </c>
      <c r="B130" s="14" t="s">
        <v>4244</v>
      </c>
      <c r="C130" s="14" t="s">
        <v>4245</v>
      </c>
      <c r="D130" s="14" t="s">
        <v>4339</v>
      </c>
      <c r="E130" s="14">
        <v>63</v>
      </c>
      <c r="F130" s="14" t="s">
        <v>4354</v>
      </c>
      <c r="G130" s="14" t="s">
        <v>4355</v>
      </c>
      <c r="H130" s="14" t="s">
        <v>4356</v>
      </c>
      <c r="I130" s="14" t="s">
        <v>96</v>
      </c>
      <c r="J130" s="11" t="str">
        <f>HYPERLINK("https://www.codechef.com/problems/CHEFWED", "https://www.codechef.com/problems/CHEFWED")</f>
        <v>https://www.codechef.com/problems/CHEFWED</v>
      </c>
      <c r="K130" s="14"/>
      <c r="L130" s="14" t="s">
        <v>4357</v>
      </c>
      <c r="M130" s="14"/>
      <c r="N130" s="14" t="s">
        <v>50</v>
      </c>
      <c r="O130" s="14" t="s">
        <v>51</v>
      </c>
    </row>
    <row r="131" spans="1:15">
      <c r="A131" s="15" t="s">
        <v>12</v>
      </c>
      <c r="B131" s="15" t="s">
        <v>4244</v>
      </c>
      <c r="C131" s="15" t="s">
        <v>4245</v>
      </c>
      <c r="D131" s="15" t="s">
        <v>4339</v>
      </c>
      <c r="E131" s="15">
        <v>64</v>
      </c>
      <c r="F131" s="15" t="s">
        <v>4358</v>
      </c>
      <c r="G131" s="15" t="s">
        <v>4359</v>
      </c>
      <c r="H131" s="15" t="s">
        <v>4360</v>
      </c>
      <c r="I131" s="15" t="s">
        <v>96</v>
      </c>
      <c r="J131" s="7" t="str">
        <f>HYPERLINK("https://www.codechef.com/problems/WSTRING", "https://www.codechef.com/problems/WSTRING")</f>
        <v>https://www.codechef.com/problems/WSTRING</v>
      </c>
      <c r="K131" s="15"/>
      <c r="L131" s="15"/>
      <c r="M131" s="15"/>
      <c r="N131" s="15" t="s">
        <v>50</v>
      </c>
      <c r="O131" s="15" t="s">
        <v>51</v>
      </c>
    </row>
    <row r="132" spans="1:15">
      <c r="A132" s="14" t="s">
        <v>12</v>
      </c>
      <c r="B132" s="14" t="s">
        <v>4244</v>
      </c>
      <c r="C132" s="14" t="s">
        <v>4245</v>
      </c>
      <c r="D132" s="14" t="s">
        <v>4339</v>
      </c>
      <c r="E132" s="14">
        <v>65</v>
      </c>
      <c r="F132" s="14" t="s">
        <v>1173</v>
      </c>
      <c r="G132" s="14" t="s">
        <v>1174</v>
      </c>
      <c r="H132" s="14" t="s">
        <v>1175</v>
      </c>
      <c r="I132" s="14" t="s">
        <v>96</v>
      </c>
      <c r="J132" s="11" t="str">
        <f>HYPERLINK("https://www.codechef.com/problems/DISHDIS", "https://www.codechef.com/problems/DISHDIS")</f>
        <v>https://www.codechef.com/problems/DISHDIS</v>
      </c>
      <c r="K132" s="14"/>
      <c r="L132" s="14"/>
      <c r="M132" s="14"/>
      <c r="N132" s="14" t="s">
        <v>50</v>
      </c>
      <c r="O132" s="14" t="s">
        <v>51</v>
      </c>
    </row>
    <row r="133" spans="1:15">
      <c r="A133" s="15" t="s">
        <v>12</v>
      </c>
      <c r="B133" s="15" t="s">
        <v>4244</v>
      </c>
      <c r="C133" s="15" t="s">
        <v>4245</v>
      </c>
      <c r="D133" s="15" t="s">
        <v>4339</v>
      </c>
      <c r="E133" s="15">
        <v>66</v>
      </c>
      <c r="F133" s="15" t="s">
        <v>775</v>
      </c>
      <c r="G133" s="15" t="s">
        <v>1162</v>
      </c>
      <c r="H133" s="15" t="s">
        <v>777</v>
      </c>
      <c r="I133" s="15" t="s">
        <v>96</v>
      </c>
      <c r="J133" s="7" t="str">
        <f>HYPERLINK("https://www.codechef.com/problems/MAXCROSS", "https://www.codechef.com/problems/MAXCROSS")</f>
        <v>https://www.codechef.com/problems/MAXCROSS</v>
      </c>
      <c r="K133" s="15"/>
      <c r="L133" s="15"/>
      <c r="M133" s="15"/>
      <c r="N133" s="15" t="s">
        <v>50</v>
      </c>
      <c r="O133" s="15" t="s">
        <v>51</v>
      </c>
    </row>
    <row r="134" spans="1:15">
      <c r="A134" s="14" t="s">
        <v>12</v>
      </c>
      <c r="B134" s="14" t="s">
        <v>4244</v>
      </c>
      <c r="C134" s="14" t="s">
        <v>4245</v>
      </c>
      <c r="D134" s="14" t="s">
        <v>4361</v>
      </c>
      <c r="E134" s="14">
        <v>67</v>
      </c>
      <c r="F134" s="14" t="s">
        <v>4250</v>
      </c>
      <c r="G134" s="14" t="s">
        <v>4251</v>
      </c>
      <c r="H134" s="14" t="s">
        <v>3085</v>
      </c>
      <c r="I134" s="14" t="s">
        <v>96</v>
      </c>
      <c r="J134" s="11" t="str">
        <f>HYPERLINK("https://www.codechef.com/problems/MINPIZZAS", "https://www.codechef.com/problems/MINPIZZAS")</f>
        <v>https://www.codechef.com/problems/MINPIZZAS</v>
      </c>
      <c r="K134" s="14"/>
      <c r="L134" s="14"/>
      <c r="M134" s="14"/>
      <c r="N134" s="14" t="s">
        <v>50</v>
      </c>
      <c r="O134" s="14" t="s">
        <v>51</v>
      </c>
    </row>
    <row r="135" spans="1:15">
      <c r="A135" s="15" t="s">
        <v>12</v>
      </c>
      <c r="B135" s="15" t="s">
        <v>4244</v>
      </c>
      <c r="C135" s="15" t="s">
        <v>4245</v>
      </c>
      <c r="D135" s="15" t="s">
        <v>4361</v>
      </c>
      <c r="E135" s="15">
        <v>68</v>
      </c>
      <c r="F135" s="15" t="s">
        <v>4362</v>
      </c>
      <c r="G135" s="15" t="s">
        <v>4363</v>
      </c>
      <c r="H135" s="15" t="s">
        <v>4364</v>
      </c>
      <c r="I135" s="15" t="s">
        <v>96</v>
      </c>
      <c r="J135" s="7" t="str">
        <f>HYPERLINK("https://www.codechef.com/problems/CHFGCD", "https://www.codechef.com/problems/CHFGCD")</f>
        <v>https://www.codechef.com/problems/CHFGCD</v>
      </c>
      <c r="K135" s="15"/>
      <c r="L135" s="15"/>
      <c r="M135" s="15"/>
      <c r="N135" s="15" t="s">
        <v>50</v>
      </c>
      <c r="O135" s="15" t="s">
        <v>51</v>
      </c>
    </row>
    <row r="136" spans="1:15">
      <c r="A136" s="14" t="s">
        <v>12</v>
      </c>
      <c r="B136" s="14" t="s">
        <v>4244</v>
      </c>
      <c r="C136" s="14" t="s">
        <v>4245</v>
      </c>
      <c r="D136" s="14" t="s">
        <v>4361</v>
      </c>
      <c r="E136" s="14">
        <v>69</v>
      </c>
      <c r="F136" s="14" t="s">
        <v>4365</v>
      </c>
      <c r="G136" s="14" t="s">
        <v>4366</v>
      </c>
      <c r="H136" s="14" t="s">
        <v>4367</v>
      </c>
      <c r="I136" s="14" t="s">
        <v>49</v>
      </c>
      <c r="J136" s="11" t="str">
        <f>HYPERLINK("https://www.codechef.com/problems/RESQ", "https://www.codechef.com/problems/RESQ")</f>
        <v>https://www.codechef.com/problems/RESQ</v>
      </c>
      <c r="K136" s="14"/>
      <c r="L136" s="14"/>
      <c r="M136" s="14"/>
      <c r="N136" s="14" t="s">
        <v>50</v>
      </c>
      <c r="O136" s="14" t="s">
        <v>51</v>
      </c>
    </row>
    <row r="137" spans="1:15">
      <c r="A137" s="15" t="s">
        <v>12</v>
      </c>
      <c r="B137" s="15" t="s">
        <v>4244</v>
      </c>
      <c r="C137" s="15" t="s">
        <v>4245</v>
      </c>
      <c r="D137" s="15" t="s">
        <v>4361</v>
      </c>
      <c r="E137" s="15">
        <v>70</v>
      </c>
      <c r="F137" s="15" t="s">
        <v>4252</v>
      </c>
      <c r="G137" s="15" t="s">
        <v>4253</v>
      </c>
      <c r="H137" s="15" t="s">
        <v>3013</v>
      </c>
      <c r="I137" s="15" t="s">
        <v>96</v>
      </c>
      <c r="J137" s="7" t="str">
        <f>HYPERLINK("https://www.codechef.com/problems/ALTER", "https://www.codechef.com/problems/ALTER")</f>
        <v>https://www.codechef.com/problems/ALTER</v>
      </c>
      <c r="K137" s="15"/>
      <c r="L137" s="15"/>
      <c r="M137" s="15"/>
      <c r="N137" s="15" t="s">
        <v>50</v>
      </c>
      <c r="O137" s="15" t="s">
        <v>51</v>
      </c>
    </row>
    <row r="138" spans="1:15">
      <c r="A138" s="14" t="s">
        <v>12</v>
      </c>
      <c r="B138" s="14" t="s">
        <v>4244</v>
      </c>
      <c r="C138" s="14" t="s">
        <v>4245</v>
      </c>
      <c r="D138" s="14" t="s">
        <v>4361</v>
      </c>
      <c r="E138" s="14">
        <v>71</v>
      </c>
      <c r="F138" s="14" t="s">
        <v>4368</v>
      </c>
      <c r="G138" s="14" t="s">
        <v>4369</v>
      </c>
      <c r="H138" s="14" t="s">
        <v>4227</v>
      </c>
      <c r="I138" s="14" t="s">
        <v>49</v>
      </c>
      <c r="J138" s="11" t="str">
        <f>HYPERLINK("https://www.codechef.com/problems/HMAPPY2", "https://www.codechef.com/problems/HMAPPY2")</f>
        <v>https://www.codechef.com/problems/HMAPPY2</v>
      </c>
      <c r="K138" s="14"/>
      <c r="L138" s="14"/>
      <c r="M138" s="14"/>
      <c r="N138" s="14" t="s">
        <v>50</v>
      </c>
      <c r="O138" s="14" t="s">
        <v>51</v>
      </c>
    </row>
    <row r="139" spans="1:15">
      <c r="A139" s="15" t="s">
        <v>12</v>
      </c>
      <c r="B139" s="15" t="s">
        <v>4244</v>
      </c>
      <c r="C139" s="15" t="s">
        <v>4245</v>
      </c>
      <c r="D139" s="15" t="s">
        <v>4361</v>
      </c>
      <c r="E139" s="15">
        <v>72</v>
      </c>
      <c r="F139" s="15" t="s">
        <v>4370</v>
      </c>
      <c r="G139" s="15" t="s">
        <v>4371</v>
      </c>
      <c r="H139" s="15" t="s">
        <v>4372</v>
      </c>
      <c r="I139" s="15" t="s">
        <v>49</v>
      </c>
      <c r="J139" s="7" t="str">
        <f>HYPERLINK("https://www.codechef.com/problems/CHEFKEY", "https://www.codechef.com/problems/CHEFKEY")</f>
        <v>https://www.codechef.com/problems/CHEFKEY</v>
      </c>
      <c r="K139" s="15"/>
      <c r="L139" s="15"/>
      <c r="M139" s="15"/>
      <c r="N139" s="15" t="s">
        <v>50</v>
      </c>
      <c r="O139" s="15" t="s">
        <v>51</v>
      </c>
    </row>
    <row r="140" spans="1:15">
      <c r="A140" s="14" t="s">
        <v>12</v>
      </c>
      <c r="B140" s="14" t="s">
        <v>4244</v>
      </c>
      <c r="C140" s="14" t="s">
        <v>4245</v>
      </c>
      <c r="D140" s="14" t="s">
        <v>4361</v>
      </c>
      <c r="E140" s="14">
        <v>73</v>
      </c>
      <c r="F140" s="14" t="s">
        <v>4207</v>
      </c>
      <c r="G140" s="14" t="s">
        <v>4208</v>
      </c>
      <c r="H140" s="14" t="s">
        <v>180</v>
      </c>
      <c r="I140" s="14" t="s">
        <v>49</v>
      </c>
      <c r="J140" s="11" t="str">
        <f>HYPERLINK("https://www.codechef.com/problems/LINCHESS", "https://www.codechef.com/problems/LINCHESS")</f>
        <v>https://www.codechef.com/problems/LINCHESS</v>
      </c>
      <c r="K140" s="14"/>
      <c r="L140" s="14" t="s">
        <v>4209</v>
      </c>
      <c r="M140" s="14"/>
      <c r="N140" s="14" t="s">
        <v>50</v>
      </c>
      <c r="O140" s="14" t="s">
        <v>51</v>
      </c>
    </row>
    <row r="141" spans="1:15">
      <c r="A141" s="15" t="s">
        <v>12</v>
      </c>
      <c r="B141" s="15" t="s">
        <v>4244</v>
      </c>
      <c r="C141" s="15" t="s">
        <v>4245</v>
      </c>
      <c r="D141" s="15" t="s">
        <v>4361</v>
      </c>
      <c r="E141" s="15">
        <v>74</v>
      </c>
      <c r="F141" s="15" t="s">
        <v>4373</v>
      </c>
      <c r="G141" s="15" t="s">
        <v>4374</v>
      </c>
      <c r="H141" s="15" t="s">
        <v>2972</v>
      </c>
      <c r="I141" s="15" t="s">
        <v>96</v>
      </c>
      <c r="J141" s="7" t="str">
        <f>HYPERLINK("https://www.codechef.com/problems/GCDOPS", "https://www.codechef.com/problems/GCDOPS")</f>
        <v>https://www.codechef.com/problems/GCDOPS</v>
      </c>
      <c r="K141" s="15"/>
      <c r="L141" s="15" t="s">
        <v>4375</v>
      </c>
      <c r="M141" s="15"/>
      <c r="N141" s="15" t="s">
        <v>50</v>
      </c>
      <c r="O141" s="15" t="s">
        <v>51</v>
      </c>
    </row>
    <row r="142" spans="1:15">
      <c r="A142" s="14" t="s">
        <v>12</v>
      </c>
      <c r="B142" s="14" t="s">
        <v>4244</v>
      </c>
      <c r="C142" s="14" t="s">
        <v>4245</v>
      </c>
      <c r="D142" s="14" t="s">
        <v>4361</v>
      </c>
      <c r="E142" s="14">
        <v>75</v>
      </c>
      <c r="F142" s="14" t="s">
        <v>4376</v>
      </c>
      <c r="G142" s="14" t="s">
        <v>4377</v>
      </c>
      <c r="H142" s="14" t="s">
        <v>4378</v>
      </c>
      <c r="I142" s="14" t="s">
        <v>96</v>
      </c>
      <c r="J142" s="11" t="str">
        <f>HYPERLINK("https://www.codechef.com/problems/GCDQ", "https://www.codechef.com/problems/GCDQ")</f>
        <v>https://www.codechef.com/problems/GCDQ</v>
      </c>
      <c r="K142" s="14"/>
      <c r="L142" s="14"/>
      <c r="M142" s="14"/>
      <c r="N142" s="14" t="s">
        <v>50</v>
      </c>
      <c r="O142" s="14" t="s">
        <v>51</v>
      </c>
    </row>
    <row r="143" spans="1:15">
      <c r="A143" s="15" t="s">
        <v>12</v>
      </c>
      <c r="B143" s="15" t="s">
        <v>4244</v>
      </c>
      <c r="C143" s="15" t="s">
        <v>4245</v>
      </c>
      <c r="D143" s="15" t="s">
        <v>4361</v>
      </c>
      <c r="E143" s="15">
        <v>76</v>
      </c>
      <c r="F143" s="15" t="s">
        <v>4379</v>
      </c>
      <c r="G143" s="15" t="s">
        <v>4380</v>
      </c>
      <c r="H143" s="15" t="s">
        <v>4381</v>
      </c>
      <c r="I143" s="15" t="s">
        <v>96</v>
      </c>
      <c r="J143" s="7" t="str">
        <f>HYPERLINK("https://www.codechef.com/problems/PRETNUM", "https://www.codechef.com/problems/PRETNUM")</f>
        <v>https://www.codechef.com/problems/PRETNUM</v>
      </c>
      <c r="K143" s="15"/>
      <c r="L143" s="15"/>
      <c r="M143" s="15"/>
      <c r="N143" s="15" t="s">
        <v>50</v>
      </c>
      <c r="O143" s="15" t="s">
        <v>51</v>
      </c>
    </row>
    <row r="144" spans="1:15">
      <c r="A144" s="14" t="s">
        <v>12</v>
      </c>
      <c r="B144" s="14" t="s">
        <v>4244</v>
      </c>
      <c r="C144" s="14" t="s">
        <v>4245</v>
      </c>
      <c r="D144" s="14" t="s">
        <v>4210</v>
      </c>
      <c r="E144" s="14">
        <v>77</v>
      </c>
      <c r="F144" s="14" t="s">
        <v>4382</v>
      </c>
      <c r="G144" s="14" t="s">
        <v>4383</v>
      </c>
      <c r="H144" s="14" t="s">
        <v>2897</v>
      </c>
      <c r="I144" s="14" t="s">
        <v>96</v>
      </c>
      <c r="J144" s="11" t="str">
        <f>HYPERLINK("https://www.codechef.com/problems/GUESS", "https://www.codechef.com/problems/GUESS")</f>
        <v>https://www.codechef.com/problems/GUESS</v>
      </c>
      <c r="K144" s="14"/>
      <c r="L144" s="14"/>
      <c r="M144" s="14"/>
      <c r="N144" s="14" t="s">
        <v>50</v>
      </c>
      <c r="O144" s="14" t="s">
        <v>51</v>
      </c>
    </row>
    <row r="145" spans="1:15">
      <c r="A145" s="15" t="s">
        <v>12</v>
      </c>
      <c r="B145" s="15" t="s">
        <v>4244</v>
      </c>
      <c r="C145" s="15" t="s">
        <v>4245</v>
      </c>
      <c r="D145" s="15" t="s">
        <v>4210</v>
      </c>
      <c r="E145" s="15">
        <v>78</v>
      </c>
      <c r="F145" s="15" t="s">
        <v>4258</v>
      </c>
      <c r="G145" s="15" t="s">
        <v>4259</v>
      </c>
      <c r="H145" s="15" t="s">
        <v>2912</v>
      </c>
      <c r="I145" s="15" t="s">
        <v>96</v>
      </c>
      <c r="J145" s="7" t="str">
        <f>HYPERLINK("https://www.codechef.com/problems/MIXCOLOR", "https://www.codechef.com/problems/MIXCOLOR")</f>
        <v>https://www.codechef.com/problems/MIXCOLOR</v>
      </c>
      <c r="K145" s="15"/>
      <c r="L145" s="15"/>
      <c r="M145" s="15"/>
      <c r="N145" s="15" t="s">
        <v>50</v>
      </c>
      <c r="O145" s="15" t="s">
        <v>51</v>
      </c>
    </row>
    <row r="146" spans="1:15">
      <c r="A146" s="14" t="s">
        <v>12</v>
      </c>
      <c r="B146" s="14" t="s">
        <v>4244</v>
      </c>
      <c r="C146" s="14" t="s">
        <v>4245</v>
      </c>
      <c r="D146" s="14" t="s">
        <v>4210</v>
      </c>
      <c r="E146" s="14">
        <v>79</v>
      </c>
      <c r="F146" s="14" t="s">
        <v>4384</v>
      </c>
      <c r="G146" s="14" t="s">
        <v>4385</v>
      </c>
      <c r="H146" s="14" t="s">
        <v>2957</v>
      </c>
      <c r="I146" s="14" t="s">
        <v>96</v>
      </c>
      <c r="J146" s="11" t="str">
        <f>HYPERLINK("https://www.codechef.com/problems/FILL01", "https://www.codechef.com/problems/FILL01")</f>
        <v>https://www.codechef.com/problems/FILL01</v>
      </c>
      <c r="K146" s="14"/>
      <c r="L146" s="14"/>
      <c r="M146" s="14"/>
      <c r="N146" s="14" t="s">
        <v>50</v>
      </c>
      <c r="O146" s="14" t="s">
        <v>51</v>
      </c>
    </row>
    <row r="147" spans="1:15">
      <c r="A147" s="15" t="s">
        <v>12</v>
      </c>
      <c r="B147" s="15" t="s">
        <v>4244</v>
      </c>
      <c r="C147" s="15" t="s">
        <v>4245</v>
      </c>
      <c r="D147" s="15" t="s">
        <v>4210</v>
      </c>
      <c r="E147" s="15">
        <v>80</v>
      </c>
      <c r="F147" s="15" t="s">
        <v>4386</v>
      </c>
      <c r="G147" s="15" t="s">
        <v>4387</v>
      </c>
      <c r="H147" s="15" t="s">
        <v>2926</v>
      </c>
      <c r="I147" s="15" t="s">
        <v>96</v>
      </c>
      <c r="J147" s="7" t="str">
        <f>HYPERLINK("https://www.codechef.com/problems/NODRUGS", "https://www.codechef.com/problems/NODRUGS")</f>
        <v>https://www.codechef.com/problems/NODRUGS</v>
      </c>
      <c r="K147" s="15"/>
      <c r="L147" s="15"/>
      <c r="M147" s="15"/>
      <c r="N147" s="15" t="s">
        <v>50</v>
      </c>
      <c r="O147" s="15" t="s">
        <v>51</v>
      </c>
    </row>
    <row r="148" spans="1:15">
      <c r="A148" s="14" t="s">
        <v>12</v>
      </c>
      <c r="B148" s="14" t="s">
        <v>4244</v>
      </c>
      <c r="C148" s="14" t="s">
        <v>4245</v>
      </c>
      <c r="D148" s="14" t="s">
        <v>4210</v>
      </c>
      <c r="E148" s="14">
        <v>81</v>
      </c>
      <c r="F148" s="14" t="s">
        <v>4388</v>
      </c>
      <c r="G148" s="14" t="s">
        <v>4389</v>
      </c>
      <c r="H148" s="14" t="s">
        <v>2949</v>
      </c>
      <c r="I148" s="14" t="s">
        <v>96</v>
      </c>
      <c r="J148" s="11" t="str">
        <f>HYPERLINK("https://www.codechef.com/problems/WTCH", "https://www.codechef.com/problems/WTCH")</f>
        <v>https://www.codechef.com/problems/WTCH</v>
      </c>
      <c r="K148" s="14"/>
      <c r="L148" s="14"/>
      <c r="M148" s="14"/>
      <c r="N148" s="14" t="s">
        <v>50</v>
      </c>
      <c r="O148" s="14" t="s">
        <v>51</v>
      </c>
    </row>
    <row r="149" spans="1:15">
      <c r="A149" s="15" t="s">
        <v>12</v>
      </c>
      <c r="B149" s="15" t="s">
        <v>4244</v>
      </c>
      <c r="C149" s="15" t="s">
        <v>4245</v>
      </c>
      <c r="D149" s="15" t="s">
        <v>4210</v>
      </c>
      <c r="E149" s="15">
        <v>82</v>
      </c>
      <c r="F149" s="15" t="s">
        <v>4390</v>
      </c>
      <c r="G149" s="15" t="s">
        <v>4391</v>
      </c>
      <c r="H149" s="15" t="s">
        <v>4392</v>
      </c>
      <c r="I149" s="15" t="s">
        <v>96</v>
      </c>
      <c r="J149" s="7" t="str">
        <f>HYPERLINK("https://www.codechef.com/problems/NPAIRS", "https://www.codechef.com/problems/NPAIRS")</f>
        <v>https://www.codechef.com/problems/NPAIRS</v>
      </c>
      <c r="K149" s="15"/>
      <c r="L149" s="15"/>
      <c r="M149" s="15"/>
      <c r="N149" s="15" t="s">
        <v>50</v>
      </c>
      <c r="O149" s="15" t="s">
        <v>51</v>
      </c>
    </row>
    <row r="150" spans="1:15">
      <c r="A150" s="14" t="s">
        <v>12</v>
      </c>
      <c r="B150" s="14" t="s">
        <v>4244</v>
      </c>
      <c r="C150" s="14" t="s">
        <v>4245</v>
      </c>
      <c r="D150" s="14" t="s">
        <v>4210</v>
      </c>
      <c r="E150" s="14">
        <v>83</v>
      </c>
      <c r="F150" s="14" t="s">
        <v>4393</v>
      </c>
      <c r="G150" s="14" t="s">
        <v>4394</v>
      </c>
      <c r="H150" s="14" t="s">
        <v>4395</v>
      </c>
      <c r="I150" s="14" t="s">
        <v>96</v>
      </c>
      <c r="J150" s="11" t="str">
        <f>HYPERLINK("https://www.codechef.com/problems/CKWLK", "https://www.codechef.com/problems/CKWLK")</f>
        <v>https://www.codechef.com/problems/CKWLK</v>
      </c>
      <c r="K150" s="14"/>
      <c r="L150" s="14"/>
      <c r="M150" s="14"/>
      <c r="N150" s="14" t="s">
        <v>50</v>
      </c>
      <c r="O150" s="14" t="s">
        <v>51</v>
      </c>
    </row>
    <row r="151" spans="1:15">
      <c r="A151" s="15" t="s">
        <v>12</v>
      </c>
      <c r="B151" s="15" t="s">
        <v>4244</v>
      </c>
      <c r="C151" s="15" t="s">
        <v>4245</v>
      </c>
      <c r="D151" s="15" t="s">
        <v>4210</v>
      </c>
      <c r="E151" s="15">
        <v>84</v>
      </c>
      <c r="F151" s="15" t="s">
        <v>4396</v>
      </c>
      <c r="G151" s="15" t="s">
        <v>4397</v>
      </c>
      <c r="H151" s="15" t="s">
        <v>4398</v>
      </c>
      <c r="I151" s="15" t="s">
        <v>96</v>
      </c>
      <c r="J151" s="7" t="str">
        <f>HYPERLINK("https://www.codechef.com/problems/HIGHFREQ", "https://www.codechef.com/problems/HIGHFREQ")</f>
        <v>https://www.codechef.com/problems/HIGHFREQ</v>
      </c>
      <c r="K151" s="15"/>
      <c r="L151" s="15"/>
      <c r="M151" s="15"/>
      <c r="N151" s="15" t="s">
        <v>50</v>
      </c>
      <c r="O151" s="15" t="s">
        <v>51</v>
      </c>
    </row>
    <row r="152" spans="1:15">
      <c r="A152" s="14" t="s">
        <v>12</v>
      </c>
      <c r="B152" s="14" t="s">
        <v>4244</v>
      </c>
      <c r="C152" s="14" t="s">
        <v>4245</v>
      </c>
      <c r="D152" s="14" t="s">
        <v>4210</v>
      </c>
      <c r="E152" s="14">
        <v>85</v>
      </c>
      <c r="F152" s="14" t="s">
        <v>4399</v>
      </c>
      <c r="G152" s="14" t="s">
        <v>4400</v>
      </c>
      <c r="H152" s="14" t="s">
        <v>2966</v>
      </c>
      <c r="I152" s="14" t="s">
        <v>96</v>
      </c>
      <c r="J152" s="11" t="str">
        <f>HYPERLINK("https://www.codechef.com/problems/KMEX", "https://www.codechef.com/problems/KMEX")</f>
        <v>https://www.codechef.com/problems/KMEX</v>
      </c>
      <c r="K152" s="14"/>
      <c r="L152" s="14"/>
      <c r="M152" s="14"/>
      <c r="N152" s="14" t="s">
        <v>50</v>
      </c>
      <c r="O152" s="14" t="s">
        <v>51</v>
      </c>
    </row>
    <row r="153" spans="1:15">
      <c r="A153" s="15" t="s">
        <v>12</v>
      </c>
      <c r="B153" s="15" t="s">
        <v>4244</v>
      </c>
      <c r="C153" s="15" t="s">
        <v>4245</v>
      </c>
      <c r="D153" s="15" t="s">
        <v>4210</v>
      </c>
      <c r="E153" s="15">
        <v>86</v>
      </c>
      <c r="F153" s="15" t="s">
        <v>4401</v>
      </c>
      <c r="G153" s="15" t="s">
        <v>4402</v>
      </c>
      <c r="H153" s="15" t="s">
        <v>1389</v>
      </c>
      <c r="I153" s="15" t="s">
        <v>96</v>
      </c>
      <c r="J153" s="7" t="str">
        <f>HYPERLINK("https://www.codechef.com/problems/SUBPERM", "https://www.codechef.com/problems/SUBPERM")</f>
        <v>https://www.codechef.com/problems/SUBPERM</v>
      </c>
      <c r="K153" s="15"/>
      <c r="L153" s="15"/>
      <c r="M153" s="15"/>
      <c r="N153" s="15" t="s">
        <v>50</v>
      </c>
      <c r="O153" s="15" t="s">
        <v>51</v>
      </c>
    </row>
    <row r="154" spans="1:15">
      <c r="A154" s="14" t="s">
        <v>12</v>
      </c>
      <c r="B154" s="14" t="s">
        <v>4244</v>
      </c>
      <c r="C154" s="14" t="s">
        <v>4245</v>
      </c>
      <c r="D154" s="14" t="s">
        <v>4210</v>
      </c>
      <c r="E154" s="14">
        <v>87</v>
      </c>
      <c r="F154" s="14" t="s">
        <v>3329</v>
      </c>
      <c r="G154" s="14" t="s">
        <v>4266</v>
      </c>
      <c r="H154" s="14" t="s">
        <v>584</v>
      </c>
      <c r="I154" s="14" t="s">
        <v>96</v>
      </c>
      <c r="J154" s="11" t="str">
        <f>HYPERLINK("https://www.codechef.com/problems/MEX", "https://www.codechef.com/problems/MEX")</f>
        <v>https://www.codechef.com/problems/MEX</v>
      </c>
      <c r="K154" s="14"/>
      <c r="L154" s="14"/>
      <c r="M154" s="14"/>
      <c r="N154" s="14" t="s">
        <v>50</v>
      </c>
      <c r="O154" s="14" t="s">
        <v>51</v>
      </c>
    </row>
    <row r="155" spans="1:15">
      <c r="A155" s="15" t="s">
        <v>12</v>
      </c>
      <c r="B155" s="15" t="s">
        <v>4244</v>
      </c>
      <c r="C155" s="15" t="s">
        <v>4245</v>
      </c>
      <c r="D155" s="15" t="s">
        <v>4210</v>
      </c>
      <c r="E155" s="15">
        <v>88</v>
      </c>
      <c r="F155" s="15" t="s">
        <v>4403</v>
      </c>
      <c r="G155" s="15" t="s">
        <v>4404</v>
      </c>
      <c r="H155" s="15" t="s">
        <v>3085</v>
      </c>
      <c r="I155" s="15" t="s">
        <v>96</v>
      </c>
      <c r="J155" s="7" t="str">
        <f>HYPERLINK("https://www.codechef.com/problems/LARGEFAM", "https://www.codechef.com/problems/LARGEFAM")</f>
        <v>https://www.codechef.com/problems/LARGEFAM</v>
      </c>
      <c r="K155" s="15"/>
      <c r="L155" s="15"/>
      <c r="M155" s="15"/>
      <c r="N155" s="15" t="s">
        <v>50</v>
      </c>
      <c r="O155" s="15" t="s">
        <v>51</v>
      </c>
    </row>
    <row r="156" spans="1:15">
      <c r="A156" s="14" t="s">
        <v>12</v>
      </c>
      <c r="B156" s="14" t="s">
        <v>4244</v>
      </c>
      <c r="C156" s="14" t="s">
        <v>4245</v>
      </c>
      <c r="D156" s="14" t="s">
        <v>4210</v>
      </c>
      <c r="E156" s="14">
        <v>89</v>
      </c>
      <c r="F156" s="14" t="s">
        <v>4405</v>
      </c>
      <c r="G156" s="14" t="s">
        <v>4406</v>
      </c>
      <c r="H156" s="14" t="s">
        <v>4407</v>
      </c>
      <c r="I156" s="14" t="s">
        <v>96</v>
      </c>
      <c r="J156" s="11" t="str">
        <f>HYPERLINK("https://www.codechef.com/problems/RECSTI", "https://www.codechef.com/problems/RECSTI")</f>
        <v>https://www.codechef.com/problems/RECSTI</v>
      </c>
      <c r="K156" s="14"/>
      <c r="L156" s="14"/>
      <c r="M156" s="14"/>
      <c r="N156" s="14" t="s">
        <v>50</v>
      </c>
      <c r="O156" s="14" t="s">
        <v>51</v>
      </c>
    </row>
    <row r="157" spans="1:15">
      <c r="A157" s="15" t="s">
        <v>12</v>
      </c>
      <c r="B157" s="15" t="s">
        <v>4244</v>
      </c>
      <c r="C157" s="15" t="s">
        <v>4245</v>
      </c>
      <c r="D157" s="15" t="s">
        <v>4210</v>
      </c>
      <c r="E157" s="15">
        <v>90</v>
      </c>
      <c r="F157" s="15" t="s">
        <v>4408</v>
      </c>
      <c r="G157" s="15" t="s">
        <v>4409</v>
      </c>
      <c r="H157" s="15" t="s">
        <v>4410</v>
      </c>
      <c r="I157" s="15" t="s">
        <v>96</v>
      </c>
      <c r="J157" s="7" t="str">
        <f>HYPERLINK("https://www.codechef.com/problems/INCRDEC", "https://www.codechef.com/problems/INCRDEC")</f>
        <v>https://www.codechef.com/problems/INCRDEC</v>
      </c>
      <c r="K157" s="15"/>
      <c r="L157" s="15"/>
      <c r="M157" s="15"/>
      <c r="N157" s="15" t="s">
        <v>50</v>
      </c>
      <c r="O157" s="15" t="s">
        <v>51</v>
      </c>
    </row>
    <row r="158" spans="1:15">
      <c r="A158" s="14" t="s">
        <v>12</v>
      </c>
      <c r="B158" s="14" t="s">
        <v>4244</v>
      </c>
      <c r="C158" s="14" t="s">
        <v>4245</v>
      </c>
      <c r="D158" s="14" t="s">
        <v>4210</v>
      </c>
      <c r="E158" s="14">
        <v>91</v>
      </c>
      <c r="F158" s="14" t="s">
        <v>4411</v>
      </c>
      <c r="G158" s="14" t="s">
        <v>4412</v>
      </c>
      <c r="H158" s="14" t="s">
        <v>4413</v>
      </c>
      <c r="I158" s="14" t="s">
        <v>96</v>
      </c>
      <c r="J158" s="11" t="str">
        <f>HYPERLINK("https://www.codechef.com/problems/POLYREL", "https://www.codechef.com/problems/POLYREL")</f>
        <v>https://www.codechef.com/problems/POLYREL</v>
      </c>
      <c r="K158" s="14"/>
      <c r="L158" s="14"/>
      <c r="M158" s="14"/>
      <c r="N158" s="14" t="s">
        <v>50</v>
      </c>
      <c r="O158" s="14" t="s">
        <v>51</v>
      </c>
    </row>
    <row r="159" spans="1:15">
      <c r="A159" s="15" t="s">
        <v>12</v>
      </c>
      <c r="B159" s="15" t="s">
        <v>4244</v>
      </c>
      <c r="C159" s="15" t="s">
        <v>4245</v>
      </c>
      <c r="D159" s="15" t="s">
        <v>4210</v>
      </c>
      <c r="E159" s="15">
        <v>92</v>
      </c>
      <c r="F159" s="15" t="s">
        <v>4414</v>
      </c>
      <c r="G159" s="15" t="s">
        <v>4415</v>
      </c>
      <c r="H159" s="15" t="s">
        <v>1022</v>
      </c>
      <c r="I159" s="15" t="s">
        <v>96</v>
      </c>
      <c r="J159" s="7" t="str">
        <f>HYPERLINK("https://www.codechef.com/problems/DENSE", "https://www.codechef.com/problems/DENSE")</f>
        <v>https://www.codechef.com/problems/DENSE</v>
      </c>
      <c r="K159" s="15"/>
      <c r="L159" s="15"/>
      <c r="M159" s="15"/>
      <c r="N159" s="15" t="s">
        <v>50</v>
      </c>
      <c r="O159" s="15" t="s">
        <v>51</v>
      </c>
    </row>
    <row r="160" spans="1:15">
      <c r="A160" s="14" t="s">
        <v>12</v>
      </c>
      <c r="B160" s="14" t="s">
        <v>4244</v>
      </c>
      <c r="C160" s="14" t="s">
        <v>4245</v>
      </c>
      <c r="D160" s="14" t="s">
        <v>4210</v>
      </c>
      <c r="E160" s="14">
        <v>93</v>
      </c>
      <c r="F160" s="14" t="s">
        <v>4416</v>
      </c>
      <c r="G160" s="14" t="s">
        <v>4417</v>
      </c>
      <c r="H160" s="14" t="s">
        <v>4418</v>
      </c>
      <c r="I160" s="14" t="s">
        <v>96</v>
      </c>
      <c r="J160" s="11" t="str">
        <f>HYPERLINK("https://www.codechef.com/problems/MXMEDIAN", "https://www.codechef.com/problems/MXMEDIAN")</f>
        <v>https://www.codechef.com/problems/MXMEDIAN</v>
      </c>
      <c r="K160" s="14"/>
      <c r="L160" s="14"/>
      <c r="M160" s="14"/>
      <c r="N160" s="14" t="s">
        <v>50</v>
      </c>
      <c r="O160" s="14" t="s">
        <v>51</v>
      </c>
    </row>
    <row r="161" spans="1:15">
      <c r="A161" s="15" t="s">
        <v>12</v>
      </c>
      <c r="B161" s="15" t="s">
        <v>4244</v>
      </c>
      <c r="C161" s="15" t="s">
        <v>4245</v>
      </c>
      <c r="D161" s="15" t="s">
        <v>4210</v>
      </c>
      <c r="E161" s="15">
        <v>94</v>
      </c>
      <c r="F161" s="15" t="s">
        <v>4419</v>
      </c>
      <c r="G161" s="15" t="s">
        <v>4420</v>
      </c>
      <c r="H161" s="15" t="s">
        <v>4421</v>
      </c>
      <c r="I161" s="15" t="s">
        <v>96</v>
      </c>
      <c r="J161" s="7" t="str">
        <f>HYPERLINK("https://www.codechef.com/problems/GOODPAIRS", "https://www.codechef.com/problems/GOODPAIRS")</f>
        <v>https://www.codechef.com/problems/GOODPAIRS</v>
      </c>
      <c r="K161" s="15"/>
      <c r="L161" s="15"/>
      <c r="M161" s="15"/>
      <c r="N161" s="15" t="s">
        <v>50</v>
      </c>
      <c r="O161" s="15" t="s">
        <v>51</v>
      </c>
    </row>
    <row r="162" spans="1:15">
      <c r="A162" s="14" t="s">
        <v>12</v>
      </c>
      <c r="B162" s="14" t="s">
        <v>4244</v>
      </c>
      <c r="C162" s="14" t="s">
        <v>4245</v>
      </c>
      <c r="D162" s="14" t="s">
        <v>4210</v>
      </c>
      <c r="E162" s="14">
        <v>95</v>
      </c>
      <c r="F162" s="14" t="s">
        <v>1066</v>
      </c>
      <c r="G162" s="14" t="s">
        <v>1067</v>
      </c>
      <c r="H162" s="14" t="s">
        <v>1068</v>
      </c>
      <c r="I162" s="14" t="s">
        <v>96</v>
      </c>
      <c r="J162" s="11" t="str">
        <f>HYPERLINK("https://www.codechef.com/problems/SHKNUM", "https://www.codechef.com/problems/SHKNUM")</f>
        <v>https://www.codechef.com/problems/SHKNUM</v>
      </c>
      <c r="K162" s="14"/>
      <c r="L162" s="14"/>
      <c r="M162" s="14"/>
      <c r="N162" s="14" t="s">
        <v>50</v>
      </c>
      <c r="O162" s="14" t="s">
        <v>51</v>
      </c>
    </row>
    <row r="163" spans="1:15">
      <c r="A163" s="15" t="s">
        <v>12</v>
      </c>
      <c r="B163" s="15" t="s">
        <v>4244</v>
      </c>
      <c r="C163" s="15" t="s">
        <v>4245</v>
      </c>
      <c r="D163" s="15" t="s">
        <v>4210</v>
      </c>
      <c r="E163" s="15">
        <v>96</v>
      </c>
      <c r="F163" s="15" t="s">
        <v>1029</v>
      </c>
      <c r="G163" s="15" t="s">
        <v>1030</v>
      </c>
      <c r="H163" s="15" t="s">
        <v>650</v>
      </c>
      <c r="I163" s="15" t="s">
        <v>96</v>
      </c>
      <c r="J163" s="7" t="str">
        <f>HYPERLINK("https://www.codechef.com/problems/LISTLIST", "https://www.codechef.com/problems/LISTLIST")</f>
        <v>https://www.codechef.com/problems/LISTLIST</v>
      </c>
      <c r="K163" s="15"/>
      <c r="L163" s="15"/>
      <c r="M163" s="15"/>
      <c r="N163" s="15" t="s">
        <v>50</v>
      </c>
      <c r="O163" s="15" t="s">
        <v>51</v>
      </c>
    </row>
    <row r="164" spans="1:15">
      <c r="A164" s="14" t="s">
        <v>12</v>
      </c>
      <c r="B164" s="14" t="s">
        <v>4422</v>
      </c>
      <c r="C164" s="14" t="s">
        <v>4423</v>
      </c>
      <c r="D164" s="14" t="s">
        <v>4424</v>
      </c>
      <c r="E164" s="14">
        <v>1</v>
      </c>
      <c r="F164" s="14" t="s">
        <v>4425</v>
      </c>
      <c r="G164" s="14" t="s">
        <v>4426</v>
      </c>
      <c r="H164" s="14" t="s">
        <v>4427</v>
      </c>
      <c r="I164" s="14" t="s">
        <v>322</v>
      </c>
      <c r="J164" s="11" t="str">
        <f>HYPERLINK("https://www.codechef.com/problems/RISK", "https://www.codechef.com/problems/RISK")</f>
        <v>https://www.codechef.com/problems/RISK</v>
      </c>
      <c r="K164" s="14"/>
      <c r="L164" s="14"/>
      <c r="M164" s="14"/>
      <c r="N164" s="14" t="s">
        <v>50</v>
      </c>
      <c r="O164" s="14" t="s">
        <v>51</v>
      </c>
    </row>
    <row r="165" spans="1:15">
      <c r="A165" s="15" t="s">
        <v>12</v>
      </c>
      <c r="B165" s="15" t="s">
        <v>4422</v>
      </c>
      <c r="C165" s="15" t="s">
        <v>4423</v>
      </c>
      <c r="D165" s="15" t="s">
        <v>4424</v>
      </c>
      <c r="E165" s="15">
        <v>2</v>
      </c>
      <c r="F165" s="15" t="s">
        <v>4428</v>
      </c>
      <c r="G165" s="15" t="s">
        <v>4429</v>
      </c>
      <c r="H165" s="15" t="s">
        <v>4430</v>
      </c>
      <c r="I165" s="15" t="s">
        <v>96</v>
      </c>
      <c r="J165" s="7" t="str">
        <f>HYPERLINK("https://www.codechef.com/problems/ADAKNG", "https://www.codechef.com/problems/ADAKNG")</f>
        <v>https://www.codechef.com/problems/ADAKNG</v>
      </c>
      <c r="K165" s="15"/>
      <c r="L165" s="15"/>
      <c r="M165" s="15"/>
      <c r="N165" s="15" t="s">
        <v>50</v>
      </c>
      <c r="O165" s="15" t="s">
        <v>51</v>
      </c>
    </row>
    <row r="166" spans="1:15">
      <c r="A166" s="14" t="s">
        <v>12</v>
      </c>
      <c r="B166" s="14" t="s">
        <v>4422</v>
      </c>
      <c r="C166" s="14" t="s">
        <v>4423</v>
      </c>
      <c r="D166" s="14" t="s">
        <v>4424</v>
      </c>
      <c r="E166" s="14">
        <v>3</v>
      </c>
      <c r="F166" s="14" t="s">
        <v>4431</v>
      </c>
      <c r="G166" s="14" t="s">
        <v>4432</v>
      </c>
      <c r="H166" s="14"/>
      <c r="I166" s="14" t="s">
        <v>322</v>
      </c>
      <c r="J166" s="11" t="str">
        <f>HYPERLINK("https://www.codechef.com/problems/SNSOCIAL", "https://www.codechef.com/problems/SNSOCIAL")</f>
        <v>https://www.codechef.com/problems/SNSOCIAL</v>
      </c>
      <c r="K166" s="14"/>
      <c r="L166" s="14"/>
      <c r="M166" s="14"/>
      <c r="N166" s="14" t="s">
        <v>50</v>
      </c>
      <c r="O166" s="14" t="s">
        <v>51</v>
      </c>
    </row>
    <row r="167" spans="1:15">
      <c r="A167" s="15" t="s">
        <v>12</v>
      </c>
      <c r="B167" s="15" t="s">
        <v>4422</v>
      </c>
      <c r="C167" s="15" t="s">
        <v>4423</v>
      </c>
      <c r="D167" s="15" t="s">
        <v>4424</v>
      </c>
      <c r="E167" s="15">
        <v>4</v>
      </c>
      <c r="F167" s="15" t="s">
        <v>4433</v>
      </c>
      <c r="G167" s="15" t="s">
        <v>4434</v>
      </c>
      <c r="H167" s="15"/>
      <c r="I167" s="15" t="s">
        <v>96</v>
      </c>
      <c r="J167" s="7" t="str">
        <f>HYPERLINK("https://www.codechef.com/problems/CFMAR04", "https://www.codechef.com/problems/CFMAR04")</f>
        <v>https://www.codechef.com/problems/CFMAR04</v>
      </c>
      <c r="K167" s="15"/>
      <c r="L167" s="15"/>
      <c r="M167" s="15"/>
      <c r="N167" s="15" t="s">
        <v>50</v>
      </c>
      <c r="O167" s="15" t="s">
        <v>51</v>
      </c>
    </row>
    <row r="168" spans="1:15">
      <c r="A168" s="14" t="s">
        <v>12</v>
      </c>
      <c r="B168" s="14" t="s">
        <v>4422</v>
      </c>
      <c r="C168" s="14" t="s">
        <v>4423</v>
      </c>
      <c r="D168" s="14" t="s">
        <v>4424</v>
      </c>
      <c r="E168" s="14">
        <v>5</v>
      </c>
      <c r="F168" s="14" t="s">
        <v>4435</v>
      </c>
      <c r="G168" s="14" t="s">
        <v>4436</v>
      </c>
      <c r="H168" s="14"/>
      <c r="I168" s="14" t="s">
        <v>322</v>
      </c>
      <c r="J168" s="11" t="str">
        <f>HYPERLINK("https://www.codechef.com/problems/DIAMTREE", "https://www.codechef.com/problems/DIAMTREE")</f>
        <v>https://www.codechef.com/problems/DIAMTREE</v>
      </c>
      <c r="K168" s="14"/>
      <c r="L168" s="14"/>
      <c r="M168" s="14"/>
      <c r="N168" s="14" t="s">
        <v>50</v>
      </c>
      <c r="O168" s="14" t="s">
        <v>51</v>
      </c>
    </row>
    <row r="169" spans="1:15">
      <c r="A169" s="15" t="s">
        <v>12</v>
      </c>
      <c r="B169" s="15" t="s">
        <v>4422</v>
      </c>
      <c r="C169" s="15" t="s">
        <v>4423</v>
      </c>
      <c r="D169" s="15" t="s">
        <v>4424</v>
      </c>
      <c r="E169" s="15">
        <v>6</v>
      </c>
      <c r="F169" s="15" t="s">
        <v>4437</v>
      </c>
      <c r="G169" s="15" t="s">
        <v>4438</v>
      </c>
      <c r="H169" s="15" t="s">
        <v>4439</v>
      </c>
      <c r="I169" s="15" t="s">
        <v>96</v>
      </c>
      <c r="J169" s="7" t="str">
        <f>HYPERLINK("https://www.codechef.com/problems/ROOTTREE", "https://www.codechef.com/problems/ROOTTREE")</f>
        <v>https://www.codechef.com/problems/ROOTTREE</v>
      </c>
      <c r="K169" s="15"/>
      <c r="L169" s="15"/>
      <c r="M169" s="15"/>
      <c r="N169" s="15" t="s">
        <v>50</v>
      </c>
      <c r="O169" s="15" t="s">
        <v>51</v>
      </c>
    </row>
    <row r="170" spans="1:15">
      <c r="A170" s="14" t="s">
        <v>12</v>
      </c>
      <c r="B170" s="14" t="s">
        <v>4422</v>
      </c>
      <c r="C170" s="14" t="s">
        <v>4423</v>
      </c>
      <c r="D170" s="14" t="s">
        <v>4424</v>
      </c>
      <c r="E170" s="14">
        <v>7</v>
      </c>
      <c r="F170" s="14" t="s">
        <v>4440</v>
      </c>
      <c r="G170" s="14" t="s">
        <v>4441</v>
      </c>
      <c r="H170" s="14"/>
      <c r="I170" s="14" t="s">
        <v>322</v>
      </c>
      <c r="J170" s="11" t="str">
        <f>HYPERLINK("https://www.codechef.com/problems/INOI1601", "https://www.codechef.com/problems/INOI1601")</f>
        <v>https://www.codechef.com/problems/INOI1601</v>
      </c>
      <c r="K170" s="14"/>
      <c r="L170" s="14"/>
      <c r="M170" s="14"/>
      <c r="N170" s="14" t="s">
        <v>50</v>
      </c>
      <c r="O170" s="14" t="s">
        <v>51</v>
      </c>
    </row>
    <row r="171" spans="1:15">
      <c r="A171" s="15" t="s">
        <v>12</v>
      </c>
      <c r="B171" s="15" t="s">
        <v>4422</v>
      </c>
      <c r="C171" s="15" t="s">
        <v>4423</v>
      </c>
      <c r="D171" s="15" t="s">
        <v>4424</v>
      </c>
      <c r="E171" s="15">
        <v>8</v>
      </c>
      <c r="F171" s="15" t="s">
        <v>4442</v>
      </c>
      <c r="G171" s="15" t="s">
        <v>4443</v>
      </c>
      <c r="H171" s="15"/>
      <c r="I171" s="15" t="s">
        <v>96</v>
      </c>
      <c r="J171" s="7" t="str">
        <f>HYPERLINK("https://www.codechef.com/problems/DSUBAGS", "https://www.codechef.com/problems/DSUBAGS")</f>
        <v>https://www.codechef.com/problems/DSUBAGS</v>
      </c>
      <c r="K171" s="15"/>
      <c r="L171" s="15"/>
      <c r="M171" s="15"/>
      <c r="N171" s="15" t="s">
        <v>50</v>
      </c>
      <c r="O171" s="15" t="s">
        <v>51</v>
      </c>
    </row>
    <row r="172" spans="1:15">
      <c r="A172" s="14" t="s">
        <v>12</v>
      </c>
      <c r="B172" s="14" t="s">
        <v>4422</v>
      </c>
      <c r="C172" s="14" t="s">
        <v>4423</v>
      </c>
      <c r="D172" s="14" t="s">
        <v>4424</v>
      </c>
      <c r="E172" s="14">
        <v>9</v>
      </c>
      <c r="F172" s="14" t="s">
        <v>4444</v>
      </c>
      <c r="G172" s="14" t="s">
        <v>4445</v>
      </c>
      <c r="H172" s="14"/>
      <c r="I172" s="14" t="s">
        <v>322</v>
      </c>
      <c r="J172" s="11" t="str">
        <f>HYPERLINK("https://www.codechef.com/problems/FAMTREE", "https://www.codechef.com/problems/FAMTREE")</f>
        <v>https://www.codechef.com/problems/FAMTREE</v>
      </c>
      <c r="K172" s="14"/>
      <c r="L172" s="14"/>
      <c r="M172" s="14"/>
      <c r="N172" s="14" t="s">
        <v>50</v>
      </c>
      <c r="O172" s="14" t="s">
        <v>51</v>
      </c>
    </row>
    <row r="173" spans="1:15">
      <c r="A173" s="15" t="s">
        <v>12</v>
      </c>
      <c r="B173" s="15" t="s">
        <v>4422</v>
      </c>
      <c r="C173" s="15" t="s">
        <v>4423</v>
      </c>
      <c r="D173" s="15" t="s">
        <v>4424</v>
      </c>
      <c r="E173" s="15">
        <v>10</v>
      </c>
      <c r="F173" s="15" t="s">
        <v>4446</v>
      </c>
      <c r="G173" s="15" t="s">
        <v>4447</v>
      </c>
      <c r="H173" s="15"/>
      <c r="I173" s="15" t="s">
        <v>96</v>
      </c>
      <c r="J173" s="7" t="str">
        <f>HYPERLINK("https://www.codechef.com/problems/CRIMCH", "https://www.codechef.com/problems/CRIMCH")</f>
        <v>https://www.codechef.com/problems/CRIMCH</v>
      </c>
      <c r="K173" s="15"/>
      <c r="L173" s="15"/>
      <c r="M173" s="15"/>
      <c r="N173" s="15" t="s">
        <v>50</v>
      </c>
      <c r="O173" s="15" t="s">
        <v>51</v>
      </c>
    </row>
    <row r="174" spans="1:15">
      <c r="A174" s="14" t="s">
        <v>12</v>
      </c>
      <c r="B174" s="14" t="s">
        <v>4422</v>
      </c>
      <c r="C174" s="14" t="s">
        <v>4423</v>
      </c>
      <c r="D174" s="14" t="s">
        <v>4424</v>
      </c>
      <c r="E174" s="14">
        <v>11</v>
      </c>
      <c r="F174" s="14" t="s">
        <v>4448</v>
      </c>
      <c r="G174" s="14" t="s">
        <v>4449</v>
      </c>
      <c r="H174" s="14" t="s">
        <v>4450</v>
      </c>
      <c r="I174" s="14" t="s">
        <v>322</v>
      </c>
      <c r="J174" s="11" t="str">
        <f>HYPERLINK("https://www.codechef.com/problems/SUBREM", "https://www.codechef.com/problems/SUBREM")</f>
        <v>https://www.codechef.com/problems/SUBREM</v>
      </c>
      <c r="K174" s="14"/>
      <c r="L174" s="14"/>
      <c r="M174" s="14"/>
      <c r="N174" s="14" t="s">
        <v>50</v>
      </c>
      <c r="O174" s="14" t="s">
        <v>51</v>
      </c>
    </row>
    <row r="175" spans="1:15">
      <c r="A175" s="15" t="s">
        <v>12</v>
      </c>
      <c r="B175" s="15" t="s">
        <v>4422</v>
      </c>
      <c r="C175" s="15" t="s">
        <v>4423</v>
      </c>
      <c r="D175" s="15" t="s">
        <v>4424</v>
      </c>
      <c r="E175" s="15">
        <v>12</v>
      </c>
      <c r="F175" s="15" t="s">
        <v>4451</v>
      </c>
      <c r="G175" s="15" t="s">
        <v>4452</v>
      </c>
      <c r="H175" s="15"/>
      <c r="I175" s="15" t="s">
        <v>322</v>
      </c>
      <c r="J175" s="7" t="str">
        <f>HYPERLINK("https://www.codechef.com/problems/COSTEMP", "https://www.codechef.com/problems/COSTEMP")</f>
        <v>https://www.codechef.com/problems/COSTEMP</v>
      </c>
      <c r="K175" s="15"/>
      <c r="L175" s="15"/>
      <c r="M175" s="15"/>
      <c r="N175" s="15" t="s">
        <v>50</v>
      </c>
      <c r="O175" s="15" t="s">
        <v>51</v>
      </c>
    </row>
    <row r="176" spans="1:15">
      <c r="A176" s="14" t="s">
        <v>12</v>
      </c>
      <c r="B176" s="14" t="s">
        <v>4422</v>
      </c>
      <c r="C176" s="14" t="s">
        <v>4423</v>
      </c>
      <c r="D176" s="14" t="s">
        <v>4424</v>
      </c>
      <c r="E176" s="14">
        <v>13</v>
      </c>
      <c r="F176" s="14" t="s">
        <v>4453</v>
      </c>
      <c r="G176" s="14" t="s">
        <v>4454</v>
      </c>
      <c r="H176" s="14"/>
      <c r="I176" s="14" t="s">
        <v>322</v>
      </c>
      <c r="J176" s="11" t="str">
        <f>HYPERLINK("https://www.codechef.com/problems/TINOI17A", "https://www.codechef.com/problems/TINOI17A")</f>
        <v>https://www.codechef.com/problems/TINOI17A</v>
      </c>
      <c r="K176" s="14"/>
      <c r="L176" s="14"/>
      <c r="M176" s="14"/>
      <c r="N176" s="14" t="s">
        <v>50</v>
      </c>
      <c r="O176" s="14" t="s">
        <v>51</v>
      </c>
    </row>
    <row r="177" spans="1:15">
      <c r="A177" s="15" t="s">
        <v>12</v>
      </c>
      <c r="B177" s="15" t="s">
        <v>4422</v>
      </c>
      <c r="C177" s="15" t="s">
        <v>4423</v>
      </c>
      <c r="D177" s="15" t="s">
        <v>4424</v>
      </c>
      <c r="E177" s="15">
        <v>14</v>
      </c>
      <c r="F177" s="15" t="s">
        <v>4455</v>
      </c>
      <c r="G177" s="15" t="s">
        <v>4456</v>
      </c>
      <c r="H177" s="15" t="s">
        <v>3708</v>
      </c>
      <c r="I177" s="15" t="s">
        <v>96</v>
      </c>
      <c r="J177" s="7" t="str">
        <f>HYPERLINK("https://www.codechef.com/problems/EVEDG", "https://www.codechef.com/problems/EVEDG")</f>
        <v>https://www.codechef.com/problems/EVEDG</v>
      </c>
      <c r="K177" s="15"/>
      <c r="L177" s="15"/>
      <c r="M177" s="15"/>
      <c r="N177" s="15" t="s">
        <v>50</v>
      </c>
      <c r="O177" s="15" t="s">
        <v>51</v>
      </c>
    </row>
    <row r="178" spans="1:15">
      <c r="A178" s="14" t="s">
        <v>12</v>
      </c>
      <c r="B178" s="14" t="s">
        <v>4422</v>
      </c>
      <c r="C178" s="14" t="s">
        <v>4423</v>
      </c>
      <c r="D178" s="14" t="s">
        <v>4424</v>
      </c>
      <c r="E178" s="14">
        <v>15</v>
      </c>
      <c r="F178" s="14" t="s">
        <v>4457</v>
      </c>
      <c r="G178" s="14" t="s">
        <v>4458</v>
      </c>
      <c r="H178" s="14"/>
      <c r="I178" s="14" t="s">
        <v>322</v>
      </c>
      <c r="J178" s="11" t="str">
        <f>HYPERLINK("https://www.codechef.com/problems/SEGDIR", "https://www.codechef.com/problems/SEGDIR")</f>
        <v>https://www.codechef.com/problems/SEGDIR</v>
      </c>
      <c r="K178" s="14"/>
      <c r="L178" s="14"/>
      <c r="M178" s="14"/>
      <c r="N178" s="14" t="s">
        <v>50</v>
      </c>
      <c r="O178" s="14" t="s">
        <v>51</v>
      </c>
    </row>
    <row r="179" spans="1:15">
      <c r="A179" s="15" t="s">
        <v>12</v>
      </c>
      <c r="B179" s="15" t="s">
        <v>4422</v>
      </c>
      <c r="C179" s="15" t="s">
        <v>4423</v>
      </c>
      <c r="D179" s="15" t="s">
        <v>4424</v>
      </c>
      <c r="E179" s="15">
        <v>16</v>
      </c>
      <c r="F179" s="15" t="s">
        <v>4459</v>
      </c>
      <c r="G179" s="15" t="s">
        <v>4460</v>
      </c>
      <c r="H179" s="15" t="s">
        <v>4461</v>
      </c>
      <c r="I179" s="15" t="s">
        <v>322</v>
      </c>
      <c r="J179" s="7" t="str">
        <f>HYPERLINK("https://www.codechef.com/problems/TREEVERS", "https://www.codechef.com/problems/TREEVERS")</f>
        <v>https://www.codechef.com/problems/TREEVERS</v>
      </c>
      <c r="K179" s="15"/>
      <c r="L179" s="15"/>
      <c r="M179" s="15"/>
      <c r="N179" s="15" t="s">
        <v>50</v>
      </c>
      <c r="O179" s="15" t="s">
        <v>51</v>
      </c>
    </row>
    <row r="180" spans="1:15">
      <c r="A180" s="14" t="s">
        <v>12</v>
      </c>
      <c r="B180" s="14" t="s">
        <v>4422</v>
      </c>
      <c r="C180" s="14" t="s">
        <v>4423</v>
      </c>
      <c r="D180" s="14" t="s">
        <v>4424</v>
      </c>
      <c r="E180" s="14">
        <v>17</v>
      </c>
      <c r="F180" s="14" t="s">
        <v>4462</v>
      </c>
      <c r="G180" s="14" t="s">
        <v>4463</v>
      </c>
      <c r="H180" s="14"/>
      <c r="I180" s="14" t="s">
        <v>322</v>
      </c>
      <c r="J180" s="11" t="str">
        <f>HYPERLINK("https://www.codechef.com/problems/ABDTOLL", "https://www.codechef.com/problems/ABDTOLL")</f>
        <v>https://www.codechef.com/problems/ABDTOLL</v>
      </c>
      <c r="K180" s="14"/>
      <c r="L180" s="14"/>
      <c r="M180" s="14"/>
      <c r="N180" s="14" t="s">
        <v>50</v>
      </c>
      <c r="O180" s="14" t="s">
        <v>51</v>
      </c>
    </row>
    <row r="181" spans="1:15">
      <c r="A181" s="15" t="s">
        <v>12</v>
      </c>
      <c r="B181" s="15" t="s">
        <v>4422</v>
      </c>
      <c r="C181" s="15" t="s">
        <v>4423</v>
      </c>
      <c r="D181" s="15" t="s">
        <v>4424</v>
      </c>
      <c r="E181" s="15">
        <v>18</v>
      </c>
      <c r="F181" s="15" t="s">
        <v>4464</v>
      </c>
      <c r="G181" s="15" t="s">
        <v>4465</v>
      </c>
      <c r="H181" s="15" t="s">
        <v>4466</v>
      </c>
      <c r="I181" s="15" t="s">
        <v>322</v>
      </c>
      <c r="J181" s="7" t="str">
        <f>HYPERLINK("https://www.codechef.com/problems/TOURISTS", "https://www.codechef.com/problems/TOURISTS")</f>
        <v>https://www.codechef.com/problems/TOURISTS</v>
      </c>
      <c r="K181" s="15"/>
      <c r="L181" s="15"/>
      <c r="M181" s="15"/>
      <c r="N181" s="15" t="s">
        <v>50</v>
      </c>
      <c r="O181" s="15" t="s">
        <v>51</v>
      </c>
    </row>
    <row r="182" spans="1:15">
      <c r="A182" s="14" t="s">
        <v>12</v>
      </c>
      <c r="B182" s="14" t="s">
        <v>4422</v>
      </c>
      <c r="C182" s="14" t="s">
        <v>4423</v>
      </c>
      <c r="D182" s="14" t="s">
        <v>4424</v>
      </c>
      <c r="E182" s="14">
        <v>19</v>
      </c>
      <c r="F182" s="14" t="s">
        <v>4467</v>
      </c>
      <c r="G182" s="14" t="s">
        <v>4468</v>
      </c>
      <c r="H182" s="14" t="s">
        <v>4469</v>
      </c>
      <c r="I182" s="14" t="s">
        <v>322</v>
      </c>
      <c r="J182" s="11" t="str">
        <f>HYPERLINK("https://www.codechef.com/problems/DINCPATH", "https://www.codechef.com/problems/DINCPATH")</f>
        <v>https://www.codechef.com/problems/DINCPATH</v>
      </c>
      <c r="K182" s="14"/>
      <c r="L182" s="14"/>
      <c r="M182" s="14"/>
      <c r="N182" s="14" t="s">
        <v>50</v>
      </c>
      <c r="O182" s="14" t="s">
        <v>51</v>
      </c>
    </row>
    <row r="183" spans="1:15">
      <c r="A183" s="15" t="s">
        <v>12</v>
      </c>
      <c r="B183" s="15" t="s">
        <v>4422</v>
      </c>
      <c r="C183" s="15" t="s">
        <v>4423</v>
      </c>
      <c r="D183" s="15" t="s">
        <v>4470</v>
      </c>
      <c r="E183" s="15">
        <v>20</v>
      </c>
      <c r="F183" s="15" t="s">
        <v>4471</v>
      </c>
      <c r="G183" s="15" t="s">
        <v>4472</v>
      </c>
      <c r="H183" s="15" t="s">
        <v>4338</v>
      </c>
      <c r="I183" s="15" t="s">
        <v>96</v>
      </c>
      <c r="J183" s="7" t="str">
        <f>HYPERLINK("https://www.codechef.com/problems/REVERSE", "https://www.codechef.com/problems/REVERSE")</f>
        <v>https://www.codechef.com/problems/REVERSE</v>
      </c>
      <c r="K183" s="15"/>
      <c r="L183" s="15"/>
      <c r="M183" s="15"/>
      <c r="N183" s="15" t="s">
        <v>50</v>
      </c>
      <c r="O183" s="15" t="s">
        <v>51</v>
      </c>
    </row>
    <row r="184" spans="1:15">
      <c r="A184" s="14" t="s">
        <v>12</v>
      </c>
      <c r="B184" s="14" t="s">
        <v>4422</v>
      </c>
      <c r="C184" s="14" t="s">
        <v>4423</v>
      </c>
      <c r="D184" s="14" t="s">
        <v>4470</v>
      </c>
      <c r="E184" s="14">
        <v>21</v>
      </c>
      <c r="F184" s="14" t="s">
        <v>4473</v>
      </c>
      <c r="G184" s="14" t="s">
        <v>4474</v>
      </c>
      <c r="H184" s="14" t="s">
        <v>4475</v>
      </c>
      <c r="I184" s="14" t="s">
        <v>96</v>
      </c>
      <c r="J184" s="11" t="str">
        <f>HYPERLINK("https://www.codechef.com/problems/DIGJUMP", "https://www.codechef.com/problems/DIGJUMP")</f>
        <v>https://www.codechef.com/problems/DIGJUMP</v>
      </c>
      <c r="K184" s="14"/>
      <c r="L184" s="14"/>
      <c r="M184" s="14"/>
      <c r="N184" s="14" t="s">
        <v>50</v>
      </c>
      <c r="O184" s="14" t="s">
        <v>51</v>
      </c>
    </row>
    <row r="185" spans="1:15">
      <c r="A185" s="15" t="s">
        <v>12</v>
      </c>
      <c r="B185" s="15" t="s">
        <v>4422</v>
      </c>
      <c r="C185" s="15" t="s">
        <v>4423</v>
      </c>
      <c r="D185" s="15" t="s">
        <v>4470</v>
      </c>
      <c r="E185" s="15">
        <v>22</v>
      </c>
      <c r="F185" s="15" t="s">
        <v>4476</v>
      </c>
      <c r="G185" s="15" t="s">
        <v>4477</v>
      </c>
      <c r="H185" s="15" t="s">
        <v>4478</v>
      </c>
      <c r="I185" s="15" t="s">
        <v>96</v>
      </c>
      <c r="J185" s="7" t="str">
        <f>HYPERLINK("https://www.codechef.com/problems/GALACTIK", "https://www.codechef.com/problems/GALACTIK")</f>
        <v>https://www.codechef.com/problems/GALACTIK</v>
      </c>
      <c r="K185" s="15"/>
      <c r="L185" s="15"/>
      <c r="M185" s="15"/>
      <c r="N185" s="15" t="s">
        <v>50</v>
      </c>
      <c r="O185" s="15" t="s">
        <v>51</v>
      </c>
    </row>
    <row r="186" spans="1:15">
      <c r="A186" s="14" t="s">
        <v>12</v>
      </c>
      <c r="B186" s="14" t="s">
        <v>4422</v>
      </c>
      <c r="C186" s="14" t="s">
        <v>4423</v>
      </c>
      <c r="D186" s="14" t="s">
        <v>4470</v>
      </c>
      <c r="E186" s="14">
        <v>23</v>
      </c>
      <c r="F186" s="14" t="s">
        <v>4479</v>
      </c>
      <c r="G186" s="14" t="s">
        <v>4480</v>
      </c>
      <c r="H186" s="14" t="s">
        <v>4481</v>
      </c>
      <c r="I186" s="14" t="s">
        <v>322</v>
      </c>
      <c r="J186" s="11" t="str">
        <f>HYPERLINK("https://www.codechef.com/problems/CORONA", "https://www.codechef.com/problems/CORONA")</f>
        <v>https://www.codechef.com/problems/CORONA</v>
      </c>
      <c r="K186" s="14"/>
      <c r="L186" s="14"/>
      <c r="M186" s="14"/>
      <c r="N186" s="14" t="s">
        <v>50</v>
      </c>
      <c r="O186" s="14" t="s">
        <v>51</v>
      </c>
    </row>
    <row r="187" spans="1:15">
      <c r="A187" s="15" t="s">
        <v>12</v>
      </c>
      <c r="B187" s="15" t="s">
        <v>4422</v>
      </c>
      <c r="C187" s="15" t="s">
        <v>4423</v>
      </c>
      <c r="D187" s="15" t="s">
        <v>4470</v>
      </c>
      <c r="E187" s="15">
        <v>24</v>
      </c>
      <c r="F187" s="15" t="s">
        <v>4482</v>
      </c>
      <c r="G187" s="15" t="s">
        <v>4483</v>
      </c>
      <c r="H187" s="15"/>
      <c r="I187" s="15" t="s">
        <v>322</v>
      </c>
      <c r="J187" s="7" t="str">
        <f>HYPERLINK("https://www.codechef.com/problems/ARRGRAPH", "https://www.codechef.com/problems/ARRGRAPH")</f>
        <v>https://www.codechef.com/problems/ARRGRAPH</v>
      </c>
      <c r="K187" s="15"/>
      <c r="L187" s="15"/>
      <c r="M187" s="15"/>
      <c r="N187" s="15" t="s">
        <v>50</v>
      </c>
      <c r="O187" s="15" t="s">
        <v>51</v>
      </c>
    </row>
    <row r="188" spans="1:15">
      <c r="A188" s="14" t="s">
        <v>12</v>
      </c>
      <c r="B188" s="14" t="s">
        <v>4422</v>
      </c>
      <c r="C188" s="14" t="s">
        <v>4423</v>
      </c>
      <c r="D188" s="14" t="s">
        <v>4470</v>
      </c>
      <c r="E188" s="14">
        <v>25</v>
      </c>
      <c r="F188" s="14" t="s">
        <v>4484</v>
      </c>
      <c r="G188" s="14" t="s">
        <v>4485</v>
      </c>
      <c r="H188" s="14" t="s">
        <v>4486</v>
      </c>
      <c r="I188" s="14" t="s">
        <v>322</v>
      </c>
      <c r="J188" s="11" t="str">
        <f>HYPERLINK("https://www.codechef.com/problems/PERCAPTA", "https://www.codechef.com/problems/PERCAPTA")</f>
        <v>https://www.codechef.com/problems/PERCAPTA</v>
      </c>
      <c r="K188" s="14"/>
      <c r="L188" s="14"/>
      <c r="M188" s="14"/>
      <c r="N188" s="14" t="s">
        <v>50</v>
      </c>
      <c r="O188" s="14" t="s">
        <v>51</v>
      </c>
    </row>
    <row r="189" spans="1:15">
      <c r="A189" s="15" t="s">
        <v>12</v>
      </c>
      <c r="B189" s="15" t="s">
        <v>4422</v>
      </c>
      <c r="C189" s="15" t="s">
        <v>4423</v>
      </c>
      <c r="D189" s="15" t="s">
        <v>4470</v>
      </c>
      <c r="E189" s="15">
        <v>26</v>
      </c>
      <c r="F189" s="15" t="s">
        <v>4487</v>
      </c>
      <c r="G189" s="15" t="s">
        <v>4488</v>
      </c>
      <c r="H189" s="15"/>
      <c r="I189" s="15" t="s">
        <v>322</v>
      </c>
      <c r="J189" s="7" t="str">
        <f>HYPERLINK("https://www.codechef.com/problems/INSQ15_F", "https://www.codechef.com/problems/INSQ15_F")</f>
        <v>https://www.codechef.com/problems/INSQ15_F</v>
      </c>
      <c r="K189" s="15"/>
      <c r="L189" s="15"/>
      <c r="M189" s="15"/>
      <c r="N189" s="15" t="s">
        <v>50</v>
      </c>
      <c r="O189" s="15" t="s">
        <v>51</v>
      </c>
    </row>
    <row r="190" spans="1:15">
      <c r="A190" s="14" t="s">
        <v>12</v>
      </c>
      <c r="B190" s="14" t="s">
        <v>4422</v>
      </c>
      <c r="C190" s="14" t="s">
        <v>4423</v>
      </c>
      <c r="D190" s="14" t="s">
        <v>4470</v>
      </c>
      <c r="E190" s="14">
        <v>27</v>
      </c>
      <c r="F190" s="14" t="s">
        <v>4489</v>
      </c>
      <c r="G190" s="14" t="s">
        <v>4490</v>
      </c>
      <c r="H190" s="14"/>
      <c r="I190" s="14" t="s">
        <v>322</v>
      </c>
      <c r="J190" s="11" t="str">
        <f>HYPERLINK("https://www.codechef.com/problems/AMR14B", "https://www.codechef.com/problems/AMR14B")</f>
        <v>https://www.codechef.com/problems/AMR14B</v>
      </c>
      <c r="K190" s="14"/>
      <c r="L190" s="14"/>
      <c r="M190" s="14"/>
      <c r="N190" s="14" t="s">
        <v>50</v>
      </c>
      <c r="O190" s="14" t="s">
        <v>51</v>
      </c>
    </row>
    <row r="191" spans="1:15">
      <c r="A191" s="15" t="s">
        <v>12</v>
      </c>
      <c r="B191" s="15" t="s">
        <v>4422</v>
      </c>
      <c r="C191" s="15" t="s">
        <v>4423</v>
      </c>
      <c r="D191" s="15" t="s">
        <v>4491</v>
      </c>
      <c r="E191" s="15">
        <v>28</v>
      </c>
      <c r="F191" s="15" t="s">
        <v>4492</v>
      </c>
      <c r="G191" s="15" t="s">
        <v>4493</v>
      </c>
      <c r="H191" s="15" t="s">
        <v>3175</v>
      </c>
      <c r="I191" s="15" t="s">
        <v>96</v>
      </c>
      <c r="J191" s="7" t="str">
        <f>HYPERLINK("https://www.codechef.com/problems/HDELIVER", "https://www.codechef.com/problems/HDELIVER")</f>
        <v>https://www.codechef.com/problems/HDELIVER</v>
      </c>
      <c r="K191" s="15"/>
      <c r="L191" s="15"/>
      <c r="M191" s="15"/>
      <c r="N191" s="15" t="s">
        <v>50</v>
      </c>
      <c r="O191" s="15" t="s">
        <v>51</v>
      </c>
    </row>
    <row r="192" spans="1:15">
      <c r="A192" s="14" t="s">
        <v>12</v>
      </c>
      <c r="B192" s="14" t="s">
        <v>4422</v>
      </c>
      <c r="C192" s="14" t="s">
        <v>4423</v>
      </c>
      <c r="D192" s="14" t="s">
        <v>4491</v>
      </c>
      <c r="E192" s="14">
        <v>29</v>
      </c>
      <c r="F192" s="14" t="s">
        <v>4494</v>
      </c>
      <c r="G192" s="14" t="s">
        <v>4495</v>
      </c>
      <c r="H192" s="14" t="s">
        <v>2903</v>
      </c>
      <c r="I192" s="14" t="s">
        <v>96</v>
      </c>
      <c r="J192" s="11" t="str">
        <f>HYPERLINK("https://www.codechef.com/problems/BINTREE", "https://www.codechef.com/problems/BINTREE")</f>
        <v>https://www.codechef.com/problems/BINTREE</v>
      </c>
      <c r="K192" s="14"/>
      <c r="L192" s="14"/>
      <c r="M192" s="14"/>
      <c r="N192" s="14" t="s">
        <v>50</v>
      </c>
      <c r="O192" s="14" t="s">
        <v>51</v>
      </c>
    </row>
    <row r="193" spans="1:15">
      <c r="A193" s="15" t="s">
        <v>12</v>
      </c>
      <c r="B193" s="15" t="s">
        <v>4422</v>
      </c>
      <c r="C193" s="15" t="s">
        <v>4423</v>
      </c>
      <c r="D193" s="15" t="s">
        <v>4491</v>
      </c>
      <c r="E193" s="15">
        <v>30</v>
      </c>
      <c r="F193" s="15" t="s">
        <v>4496</v>
      </c>
      <c r="G193" s="15" t="s">
        <v>4497</v>
      </c>
      <c r="H193" s="15" t="s">
        <v>4498</v>
      </c>
      <c r="I193" s="15" t="s">
        <v>96</v>
      </c>
      <c r="J193" s="7" t="str">
        <f>HYPERLINK("https://www.codechef.com/problems/PATHSUMS", "https://www.codechef.com/problems/PATHSUMS")</f>
        <v>https://www.codechef.com/problems/PATHSUMS</v>
      </c>
      <c r="K193" s="15"/>
      <c r="L193" s="15"/>
      <c r="M193" s="15"/>
      <c r="N193" s="15" t="s">
        <v>50</v>
      </c>
      <c r="O193" s="15" t="s">
        <v>51</v>
      </c>
    </row>
    <row r="194" spans="1:15">
      <c r="A194" s="14" t="s">
        <v>12</v>
      </c>
      <c r="B194" s="14" t="s">
        <v>4422</v>
      </c>
      <c r="C194" s="14" t="s">
        <v>4423</v>
      </c>
      <c r="D194" s="14" t="s">
        <v>4491</v>
      </c>
      <c r="E194" s="14">
        <v>31</v>
      </c>
      <c r="F194" s="14" t="s">
        <v>4499</v>
      </c>
      <c r="G194" s="14" t="s">
        <v>4500</v>
      </c>
      <c r="H194" s="14" t="s">
        <v>4501</v>
      </c>
      <c r="I194" s="14" t="s">
        <v>96</v>
      </c>
      <c r="J194" s="11" t="str">
        <f>HYPERLINK("https://www.codechef.com/problems/ICM2006", "https://www.codechef.com/problems/ICM2006")</f>
        <v>https://www.codechef.com/problems/ICM2006</v>
      </c>
      <c r="K194" s="14"/>
      <c r="L194" s="14"/>
      <c r="M194" s="14"/>
      <c r="N194" s="14" t="s">
        <v>50</v>
      </c>
      <c r="O194" s="14" t="s">
        <v>51</v>
      </c>
    </row>
    <row r="195" spans="1:15">
      <c r="A195" s="15" t="s">
        <v>12</v>
      </c>
      <c r="B195" s="15" t="s">
        <v>4422</v>
      </c>
      <c r="C195" s="15" t="s">
        <v>4423</v>
      </c>
      <c r="D195" s="15" t="s">
        <v>4491</v>
      </c>
      <c r="E195" s="15">
        <v>32</v>
      </c>
      <c r="F195" s="15" t="s">
        <v>4502</v>
      </c>
      <c r="G195" s="15" t="s">
        <v>4503</v>
      </c>
      <c r="H195" s="15" t="s">
        <v>4504</v>
      </c>
      <c r="I195" s="15" t="s">
        <v>96</v>
      </c>
      <c r="J195" s="7" t="str">
        <f>HYPERLINK("https://www.codechef.com/problems/OMWG", "https://www.codechef.com/problems/OMWG")</f>
        <v>https://www.codechef.com/problems/OMWG</v>
      </c>
      <c r="K195" s="15"/>
      <c r="L195" s="15"/>
      <c r="M195" s="15"/>
      <c r="N195" s="15" t="s">
        <v>50</v>
      </c>
      <c r="O195" s="15" t="s">
        <v>51</v>
      </c>
    </row>
    <row r="196" spans="1:15">
      <c r="A196" s="14" t="s">
        <v>12</v>
      </c>
      <c r="B196" s="14" t="s">
        <v>4422</v>
      </c>
      <c r="C196" s="14" t="s">
        <v>4423</v>
      </c>
      <c r="D196" s="14" t="s">
        <v>4491</v>
      </c>
      <c r="E196" s="14">
        <v>33</v>
      </c>
      <c r="F196" s="14" t="s">
        <v>4505</v>
      </c>
      <c r="G196" s="14" t="s">
        <v>4506</v>
      </c>
      <c r="H196" s="14" t="s">
        <v>4507</v>
      </c>
      <c r="I196" s="14" t="s">
        <v>96</v>
      </c>
      <c r="J196" s="11" t="str">
        <f>HYPERLINK("https://www.codechef.com/problems/CIELTOMY", "https://www.codechef.com/problems/CIELTOMY")</f>
        <v>https://www.codechef.com/problems/CIELTOMY</v>
      </c>
      <c r="K196" s="14"/>
      <c r="L196" s="14"/>
      <c r="M196" s="14"/>
      <c r="N196" s="14" t="s">
        <v>50</v>
      </c>
      <c r="O196" s="14" t="s">
        <v>51</v>
      </c>
    </row>
    <row r="197" spans="1:15">
      <c r="A197" s="15" t="s">
        <v>12</v>
      </c>
      <c r="B197" s="15" t="s">
        <v>4422</v>
      </c>
      <c r="C197" s="15" t="s">
        <v>4423</v>
      </c>
      <c r="D197" s="15" t="s">
        <v>4491</v>
      </c>
      <c r="E197" s="15">
        <v>34</v>
      </c>
      <c r="F197" s="15" t="s">
        <v>4508</v>
      </c>
      <c r="G197" s="15" t="s">
        <v>4509</v>
      </c>
      <c r="H197" s="15" t="s">
        <v>3643</v>
      </c>
      <c r="I197" s="15" t="s">
        <v>96</v>
      </c>
      <c r="J197" s="7" t="str">
        <f>HYPERLINK("https://www.codechef.com/problems/PETERSEN", "https://www.codechef.com/problems/PETERSEN")</f>
        <v>https://www.codechef.com/problems/PETERSEN</v>
      </c>
      <c r="K197" s="15"/>
      <c r="L197" s="15"/>
      <c r="M197" s="15"/>
      <c r="N197" s="15" t="s">
        <v>50</v>
      </c>
      <c r="O197" s="15" t="s">
        <v>51</v>
      </c>
    </row>
    <row r="198" spans="1:15">
      <c r="A198" s="14" t="s">
        <v>12</v>
      </c>
      <c r="B198" s="14" t="s">
        <v>4422</v>
      </c>
      <c r="C198" s="14" t="s">
        <v>4423</v>
      </c>
      <c r="D198" s="14" t="s">
        <v>4491</v>
      </c>
      <c r="E198" s="14">
        <v>35</v>
      </c>
      <c r="F198" s="14" t="s">
        <v>4510</v>
      </c>
      <c r="G198" s="14" t="s">
        <v>4511</v>
      </c>
      <c r="H198" s="14" t="s">
        <v>3239</v>
      </c>
      <c r="I198" s="14" t="s">
        <v>96</v>
      </c>
      <c r="J198" s="11" t="str">
        <f>HYPERLINK("https://www.codechef.com/problems/TR1", "https://www.codechef.com/problems/TR1")</f>
        <v>https://www.codechef.com/problems/TR1</v>
      </c>
      <c r="K198" s="14"/>
      <c r="L198" s="14"/>
      <c r="M198" s="14"/>
      <c r="N198" s="14" t="s">
        <v>50</v>
      </c>
      <c r="O198" s="14" t="s">
        <v>51</v>
      </c>
    </row>
    <row r="199" spans="1:15">
      <c r="A199" s="15" t="s">
        <v>12</v>
      </c>
      <c r="B199" s="15" t="s">
        <v>4422</v>
      </c>
      <c r="C199" s="15" t="s">
        <v>4423</v>
      </c>
      <c r="D199" s="15" t="s">
        <v>4491</v>
      </c>
      <c r="E199" s="15">
        <v>36</v>
      </c>
      <c r="F199" s="15" t="s">
        <v>4512</v>
      </c>
      <c r="G199" s="15" t="s">
        <v>4513</v>
      </c>
      <c r="H199" s="15" t="s">
        <v>3442</v>
      </c>
      <c r="I199" s="15" t="s">
        <v>96</v>
      </c>
      <c r="J199" s="7" t="str">
        <f>HYPERLINK("https://www.codechef.com/problems/FIRE", "https://www.codechef.com/problems/FIRE")</f>
        <v>https://www.codechef.com/problems/FIRE</v>
      </c>
      <c r="K199" s="15"/>
      <c r="L199" s="15"/>
      <c r="M199" s="15"/>
      <c r="N199" s="15" t="s">
        <v>50</v>
      </c>
      <c r="O199" s="15" t="s">
        <v>51</v>
      </c>
    </row>
    <row r="200" spans="1:15">
      <c r="A200" s="14" t="s">
        <v>12</v>
      </c>
      <c r="B200" s="14" t="s">
        <v>4422</v>
      </c>
      <c r="C200" s="14" t="s">
        <v>4423</v>
      </c>
      <c r="D200" s="14" t="s">
        <v>4491</v>
      </c>
      <c r="E200" s="14">
        <v>37</v>
      </c>
      <c r="F200" s="14" t="s">
        <v>4514</v>
      </c>
      <c r="G200" s="14" t="s">
        <v>4515</v>
      </c>
      <c r="H200" s="14" t="s">
        <v>3591</v>
      </c>
      <c r="I200" s="14" t="s">
        <v>96</v>
      </c>
      <c r="J200" s="11" t="str">
        <f>HYPERLINK("https://www.codechef.com/problems/KINGCON", "https://www.codechef.com/problems/KINGCON")</f>
        <v>https://www.codechef.com/problems/KINGCON</v>
      </c>
      <c r="K200" s="14"/>
      <c r="L200" s="14"/>
      <c r="M200" s="14"/>
      <c r="N200" s="14" t="s">
        <v>50</v>
      </c>
      <c r="O200" s="14" t="s">
        <v>51</v>
      </c>
    </row>
    <row r="201" spans="1:15">
      <c r="A201" s="15" t="s">
        <v>12</v>
      </c>
      <c r="B201" s="15" t="s">
        <v>4422</v>
      </c>
      <c r="C201" s="15" t="s">
        <v>4423</v>
      </c>
      <c r="D201" s="15" t="s">
        <v>4491</v>
      </c>
      <c r="E201" s="15">
        <v>38</v>
      </c>
      <c r="F201" s="15" t="s">
        <v>4516</v>
      </c>
      <c r="G201" s="15" t="s">
        <v>4517</v>
      </c>
      <c r="H201" s="15" t="s">
        <v>3423</v>
      </c>
      <c r="I201" s="15" t="s">
        <v>96</v>
      </c>
      <c r="J201" s="7" t="str">
        <f>HYPERLINK("https://www.codechef.com/problems/TR2", "https://www.codechef.com/problems/TR2")</f>
        <v>https://www.codechef.com/problems/TR2</v>
      </c>
      <c r="K201" s="15"/>
      <c r="L201" s="15"/>
      <c r="M201" s="15"/>
      <c r="N201" s="15" t="s">
        <v>50</v>
      </c>
      <c r="O201" s="15" t="s">
        <v>51</v>
      </c>
    </row>
    <row r="202" spans="1:15">
      <c r="A202" s="14" t="s">
        <v>12</v>
      </c>
      <c r="B202" s="14" t="s">
        <v>4422</v>
      </c>
      <c r="C202" s="14" t="s">
        <v>4423</v>
      </c>
      <c r="D202" s="14" t="s">
        <v>4491</v>
      </c>
      <c r="E202" s="14">
        <v>39</v>
      </c>
      <c r="F202" s="14" t="s">
        <v>4518</v>
      </c>
      <c r="G202" s="14" t="s">
        <v>4519</v>
      </c>
      <c r="H202" s="14" t="s">
        <v>3356</v>
      </c>
      <c r="I202" s="14" t="s">
        <v>96</v>
      </c>
      <c r="J202" s="11" t="str">
        <f>HYPERLINK("https://www.codechef.com/problems/CHEFHACK", "https://www.codechef.com/problems/CHEFHACK")</f>
        <v>https://www.codechef.com/problems/CHEFHACK</v>
      </c>
      <c r="K202" s="14"/>
      <c r="L202" s="14"/>
      <c r="M202" s="14"/>
      <c r="N202" s="14" t="s">
        <v>50</v>
      </c>
      <c r="O202" s="14" t="s">
        <v>51</v>
      </c>
    </row>
    <row r="203" spans="1:15">
      <c r="A203" s="15" t="s">
        <v>12</v>
      </c>
      <c r="B203" s="15" t="s">
        <v>4422</v>
      </c>
      <c r="C203" s="15" t="s">
        <v>4423</v>
      </c>
      <c r="D203" s="15" t="s">
        <v>4491</v>
      </c>
      <c r="E203" s="15">
        <v>40</v>
      </c>
      <c r="F203" s="15" t="s">
        <v>4520</v>
      </c>
      <c r="G203" s="15" t="s">
        <v>4521</v>
      </c>
      <c r="H203" s="15" t="s">
        <v>4522</v>
      </c>
      <c r="I203" s="15" t="s">
        <v>96</v>
      </c>
      <c r="J203" s="7" t="str">
        <f>HYPERLINK("https://www.codechef.com/problems/SPREAD", "https://www.codechef.com/problems/SPREAD")</f>
        <v>https://www.codechef.com/problems/SPREAD</v>
      </c>
      <c r="K203" s="15"/>
      <c r="L203" s="15"/>
      <c r="M203" s="15"/>
      <c r="N203" s="15" t="s">
        <v>50</v>
      </c>
      <c r="O203" s="15" t="s">
        <v>51</v>
      </c>
    </row>
    <row r="204" spans="1:15">
      <c r="A204" s="14" t="s">
        <v>12</v>
      </c>
      <c r="B204" s="14" t="s">
        <v>4422</v>
      </c>
      <c r="C204" s="14" t="s">
        <v>4423</v>
      </c>
      <c r="D204" s="14" t="s">
        <v>4491</v>
      </c>
      <c r="E204" s="14">
        <v>41</v>
      </c>
      <c r="F204" s="14" t="s">
        <v>4523</v>
      </c>
      <c r="G204" s="14" t="s">
        <v>4524</v>
      </c>
      <c r="H204" s="14" t="s">
        <v>589</v>
      </c>
      <c r="I204" s="14" t="s">
        <v>96</v>
      </c>
      <c r="J204" s="11" t="str">
        <f>HYPERLINK("https://www.codechef.com/problems/F3", "https://www.codechef.com/problems/F3")</f>
        <v>https://www.codechef.com/problems/F3</v>
      </c>
      <c r="K204" s="14"/>
      <c r="L204" s="14"/>
      <c r="M204" s="14"/>
      <c r="N204" s="14" t="s">
        <v>50</v>
      </c>
      <c r="O204" s="14" t="s">
        <v>51</v>
      </c>
    </row>
    <row r="205" spans="1:15">
      <c r="A205" s="15" t="s">
        <v>12</v>
      </c>
      <c r="B205" s="15" t="s">
        <v>4422</v>
      </c>
      <c r="C205" s="15" t="s">
        <v>4423</v>
      </c>
      <c r="D205" s="15" t="s">
        <v>4491</v>
      </c>
      <c r="E205" s="15">
        <v>42</v>
      </c>
      <c r="F205" s="15" t="s">
        <v>4525</v>
      </c>
      <c r="G205" s="15" t="s">
        <v>4526</v>
      </c>
      <c r="H205" s="15" t="s">
        <v>3567</v>
      </c>
      <c r="I205" s="15" t="s">
        <v>96</v>
      </c>
      <c r="J205" s="7" t="str">
        <f>HYPERLINK("https://www.codechef.com/problems/RG_01", "https://www.codechef.com/problems/RG_01")</f>
        <v>https://www.codechef.com/problems/RG_01</v>
      </c>
      <c r="K205" s="15"/>
      <c r="L205" s="15"/>
      <c r="M205" s="15"/>
      <c r="N205" s="15" t="s">
        <v>50</v>
      </c>
      <c r="O205" s="15" t="s">
        <v>51</v>
      </c>
    </row>
    <row r="206" spans="1:15">
      <c r="A206" s="14" t="s">
        <v>12</v>
      </c>
      <c r="B206" s="14" t="s">
        <v>4422</v>
      </c>
      <c r="C206" s="14" t="s">
        <v>4423</v>
      </c>
      <c r="D206" s="14" t="s">
        <v>4491</v>
      </c>
      <c r="E206" s="14">
        <v>43</v>
      </c>
      <c r="F206" s="14" t="s">
        <v>4527</v>
      </c>
      <c r="G206" s="14" t="s">
        <v>4528</v>
      </c>
      <c r="H206" s="14" t="s">
        <v>679</v>
      </c>
      <c r="I206" s="14" t="s">
        <v>96</v>
      </c>
      <c r="J206" s="11" t="str">
        <f>HYPERLINK("https://www.codechef.com/problems/CHEFGIFT", "https://www.codechef.com/problems/CHEFGIFT")</f>
        <v>https://www.codechef.com/problems/CHEFGIFT</v>
      </c>
      <c r="K206" s="14"/>
      <c r="L206" s="14"/>
      <c r="M206" s="14"/>
      <c r="N206" s="14" t="s">
        <v>50</v>
      </c>
      <c r="O206" s="14" t="s">
        <v>51</v>
      </c>
    </row>
    <row r="207" spans="1:15">
      <c r="A207" s="15" t="s">
        <v>12</v>
      </c>
      <c r="B207" s="15" t="s">
        <v>4422</v>
      </c>
      <c r="C207" s="15" t="s">
        <v>4423</v>
      </c>
      <c r="D207" s="15" t="s">
        <v>4491</v>
      </c>
      <c r="E207" s="15">
        <v>44</v>
      </c>
      <c r="F207" s="15" t="s">
        <v>4529</v>
      </c>
      <c r="G207" s="15" t="s">
        <v>4530</v>
      </c>
      <c r="H207" s="15" t="s">
        <v>3187</v>
      </c>
      <c r="I207" s="15" t="s">
        <v>96</v>
      </c>
      <c r="J207" s="7" t="str">
        <f>HYPERLINK("https://www.codechef.com/problems/N1", "https://www.codechef.com/problems/N1")</f>
        <v>https://www.codechef.com/problems/N1</v>
      </c>
      <c r="K207" s="15"/>
      <c r="L207" s="15"/>
      <c r="M207" s="15"/>
      <c r="N207" s="15" t="s">
        <v>50</v>
      </c>
      <c r="O207" s="15" t="s">
        <v>51</v>
      </c>
    </row>
    <row r="208" spans="1:15">
      <c r="A208" s="14" t="s">
        <v>12</v>
      </c>
      <c r="B208" s="14" t="s">
        <v>4422</v>
      </c>
      <c r="C208" s="14" t="s">
        <v>4423</v>
      </c>
      <c r="D208" s="14" t="s">
        <v>4491</v>
      </c>
      <c r="E208" s="14">
        <v>45</v>
      </c>
      <c r="F208" s="14" t="s">
        <v>4531</v>
      </c>
      <c r="G208" s="14" t="s">
        <v>4532</v>
      </c>
      <c r="H208" s="14" t="s">
        <v>4533</v>
      </c>
      <c r="I208" s="14" t="s">
        <v>96</v>
      </c>
      <c r="J208" s="11" t="str">
        <f>HYPERLINK("https://www.codechef.com/problems/K3", "https://www.codechef.com/problems/K3")</f>
        <v>https://www.codechef.com/problems/K3</v>
      </c>
      <c r="K208" s="14"/>
      <c r="L208" s="14"/>
      <c r="M208" s="14"/>
      <c r="N208" s="14" t="s">
        <v>50</v>
      </c>
      <c r="O208" s="14" t="s">
        <v>51</v>
      </c>
    </row>
    <row r="209" spans="1:15">
      <c r="A209" s="15" t="s">
        <v>12</v>
      </c>
      <c r="B209" s="15" t="s">
        <v>4422</v>
      </c>
      <c r="C209" s="15" t="s">
        <v>4423</v>
      </c>
      <c r="D209" s="15" t="s">
        <v>4491</v>
      </c>
      <c r="E209" s="15">
        <v>46</v>
      </c>
      <c r="F209" s="15" t="s">
        <v>4534</v>
      </c>
      <c r="G209" s="15" t="s">
        <v>4535</v>
      </c>
      <c r="H209" s="15" t="s">
        <v>3658</v>
      </c>
      <c r="I209" s="15" t="s">
        <v>96</v>
      </c>
      <c r="J209" s="7" t="str">
        <f>HYPERLINK("https://www.codechef.com/problems/M3", "https://www.codechef.com/problems/M3")</f>
        <v>https://www.codechef.com/problems/M3</v>
      </c>
      <c r="K209" s="15"/>
      <c r="L209" s="15"/>
      <c r="M209" s="15"/>
      <c r="N209" s="15" t="s">
        <v>50</v>
      </c>
      <c r="O209" s="15" t="s">
        <v>51</v>
      </c>
    </row>
    <row r="210" spans="1:15">
      <c r="A210" s="14" t="s">
        <v>12</v>
      </c>
      <c r="B210" s="14" t="s">
        <v>4422</v>
      </c>
      <c r="C210" s="14" t="s">
        <v>4423</v>
      </c>
      <c r="D210" s="14" t="s">
        <v>4491</v>
      </c>
      <c r="E210" s="14">
        <v>47</v>
      </c>
      <c r="F210" s="14" t="s">
        <v>4536</v>
      </c>
      <c r="G210" s="14" t="s">
        <v>4537</v>
      </c>
      <c r="H210" s="14" t="s">
        <v>4538</v>
      </c>
      <c r="I210" s="14" t="s">
        <v>96</v>
      </c>
      <c r="J210" s="11" t="str">
        <f>HYPERLINK("https://www.codechef.com/problems/BYTEISLE", "https://www.codechef.com/problems/BYTEISLE")</f>
        <v>https://www.codechef.com/problems/BYTEISLE</v>
      </c>
      <c r="K210" s="14"/>
      <c r="L210" s="14"/>
      <c r="M210" s="14"/>
      <c r="N210" s="14" t="s">
        <v>50</v>
      </c>
      <c r="O210" s="14" t="s">
        <v>51</v>
      </c>
    </row>
    <row r="211" spans="1:15">
      <c r="A211" s="15" t="s">
        <v>12</v>
      </c>
      <c r="B211" s="15" t="s">
        <v>4422</v>
      </c>
      <c r="C211" s="15" t="s">
        <v>4423</v>
      </c>
      <c r="D211" s="15" t="s">
        <v>4539</v>
      </c>
      <c r="E211" s="15">
        <v>48</v>
      </c>
      <c r="F211" s="15" t="s">
        <v>4540</v>
      </c>
      <c r="G211" s="15" t="s">
        <v>4541</v>
      </c>
      <c r="H211" s="15" t="s">
        <v>4360</v>
      </c>
      <c r="I211" s="15" t="s">
        <v>96</v>
      </c>
      <c r="J211" s="7" t="str">
        <f>HYPERLINK("https://www.codechef.com/problems/PTUPLES", "https://www.codechef.com/problems/PTUPLES")</f>
        <v>https://www.codechef.com/problems/PTUPLES</v>
      </c>
      <c r="K211" s="15"/>
      <c r="L211" s="15"/>
      <c r="M211" s="15"/>
      <c r="N211" s="15" t="s">
        <v>50</v>
      </c>
      <c r="O211" s="15" t="s">
        <v>51</v>
      </c>
    </row>
    <row r="212" spans="1:15">
      <c r="A212" s="14" t="s">
        <v>12</v>
      </c>
      <c r="B212" s="14" t="s">
        <v>4422</v>
      </c>
      <c r="C212" s="14" t="s">
        <v>4423</v>
      </c>
      <c r="D212" s="14" t="s">
        <v>4539</v>
      </c>
      <c r="E212" s="14">
        <v>49</v>
      </c>
      <c r="F212" s="14" t="s">
        <v>4542</v>
      </c>
      <c r="G212" s="14" t="s">
        <v>4543</v>
      </c>
      <c r="H212" s="14" t="s">
        <v>4544</v>
      </c>
      <c r="I212" s="14" t="s">
        <v>96</v>
      </c>
      <c r="J212" s="11" t="str">
        <f>HYPERLINK("https://www.codechef.com/problems/ODDDIV", "https://www.codechef.com/problems/ODDDIV")</f>
        <v>https://www.codechef.com/problems/ODDDIV</v>
      </c>
      <c r="K212" s="14"/>
      <c r="L212" s="14"/>
      <c r="M212" s="14"/>
      <c r="N212" s="14" t="s">
        <v>50</v>
      </c>
      <c r="O212" s="14" t="s">
        <v>51</v>
      </c>
    </row>
    <row r="213" spans="1:15">
      <c r="A213" s="15" t="s">
        <v>12</v>
      </c>
      <c r="B213" s="15" t="s">
        <v>4422</v>
      </c>
      <c r="C213" s="15" t="s">
        <v>4423</v>
      </c>
      <c r="D213" s="15" t="s">
        <v>4539</v>
      </c>
      <c r="E213" s="15">
        <v>50</v>
      </c>
      <c r="F213" s="15" t="s">
        <v>4340</v>
      </c>
      <c r="G213" s="15" t="s">
        <v>4341</v>
      </c>
      <c r="H213" s="15" t="s">
        <v>4342</v>
      </c>
      <c r="I213" s="15" t="s">
        <v>96</v>
      </c>
      <c r="J213" s="7" t="str">
        <f>HYPERLINK("https://www.codechef.com/problems/KPRIME", "https://www.codechef.com/problems/KPRIME")</f>
        <v>https://www.codechef.com/problems/KPRIME</v>
      </c>
      <c r="K213" s="15"/>
      <c r="L213" s="15"/>
      <c r="M213" s="15"/>
      <c r="N213" s="15" t="s">
        <v>50</v>
      </c>
      <c r="O213" s="15" t="s">
        <v>51</v>
      </c>
    </row>
    <row r="214" spans="1:15">
      <c r="A214" s="14" t="s">
        <v>12</v>
      </c>
      <c r="B214" s="14" t="s">
        <v>4422</v>
      </c>
      <c r="C214" s="14" t="s">
        <v>4423</v>
      </c>
      <c r="D214" s="14" t="s">
        <v>4539</v>
      </c>
      <c r="E214" s="14">
        <v>51</v>
      </c>
      <c r="F214" s="14" t="s">
        <v>1263</v>
      </c>
      <c r="G214" s="14" t="s">
        <v>1264</v>
      </c>
      <c r="H214" s="14" t="s">
        <v>1265</v>
      </c>
      <c r="I214" s="14" t="s">
        <v>96</v>
      </c>
      <c r="J214" s="11" t="str">
        <f>HYPERLINK("https://www.codechef.com/problems/NUMFACT", "https://www.codechef.com/problems/NUMFACT")</f>
        <v>https://www.codechef.com/problems/NUMFACT</v>
      </c>
      <c r="K214" s="14"/>
      <c r="L214" s="14"/>
      <c r="M214" s="14"/>
      <c r="N214" s="14" t="s">
        <v>50</v>
      </c>
      <c r="O214" s="14" t="s">
        <v>51</v>
      </c>
    </row>
    <row r="215" spans="1:15">
      <c r="A215" s="15" t="s">
        <v>12</v>
      </c>
      <c r="B215" s="15" t="s">
        <v>4422</v>
      </c>
      <c r="C215" s="15" t="s">
        <v>4423</v>
      </c>
      <c r="D215" s="15" t="s">
        <v>4539</v>
      </c>
      <c r="E215" s="15">
        <v>52</v>
      </c>
      <c r="F215" s="15" t="s">
        <v>4545</v>
      </c>
      <c r="G215" s="15" t="s">
        <v>4546</v>
      </c>
      <c r="H215" s="15" t="s">
        <v>3246</v>
      </c>
      <c r="I215" s="15" t="s">
        <v>96</v>
      </c>
      <c r="J215" s="7" t="str">
        <f>HYPERLINK("https://www.codechef.com/problems/SPCTRIPS", "https://www.codechef.com/problems/SPCTRIPS")</f>
        <v>https://www.codechef.com/problems/SPCTRIPS</v>
      </c>
      <c r="K215" s="15"/>
      <c r="L215" s="15"/>
      <c r="M215" s="15"/>
      <c r="N215" s="15" t="s">
        <v>50</v>
      </c>
      <c r="O215" s="15" t="s">
        <v>51</v>
      </c>
    </row>
    <row r="216" spans="1:15">
      <c r="A216" s="14" t="s">
        <v>12</v>
      </c>
      <c r="B216" s="14" t="s">
        <v>4422</v>
      </c>
      <c r="C216" s="14" t="s">
        <v>4423</v>
      </c>
      <c r="D216" s="14" t="s">
        <v>4539</v>
      </c>
      <c r="E216" s="14">
        <v>53</v>
      </c>
      <c r="F216" s="14" t="s">
        <v>4547</v>
      </c>
      <c r="G216" s="14" t="s">
        <v>4548</v>
      </c>
      <c r="H216" s="14" t="s">
        <v>4549</v>
      </c>
      <c r="I216" s="14" t="s">
        <v>96</v>
      </c>
      <c r="J216" s="11" t="str">
        <f>HYPERLINK("https://www.codechef.com/problems/LEVY", "https://www.codechef.com/problems/LEVY")</f>
        <v>https://www.codechef.com/problems/LEVY</v>
      </c>
      <c r="K216" s="14"/>
      <c r="L216" s="14"/>
      <c r="M216" s="14"/>
      <c r="N216" s="14" t="s">
        <v>50</v>
      </c>
      <c r="O216" s="14" t="s">
        <v>51</v>
      </c>
    </row>
    <row r="217" spans="1:15">
      <c r="A217" s="15" t="s">
        <v>12</v>
      </c>
      <c r="B217" s="15" t="s">
        <v>4422</v>
      </c>
      <c r="C217" s="15" t="s">
        <v>4423</v>
      </c>
      <c r="D217" s="15" t="s">
        <v>4539</v>
      </c>
      <c r="E217" s="15">
        <v>54</v>
      </c>
      <c r="F217" s="15" t="s">
        <v>4550</v>
      </c>
      <c r="G217" s="15" t="s">
        <v>4551</v>
      </c>
      <c r="H217" s="15" t="s">
        <v>3436</v>
      </c>
      <c r="I217" s="15" t="s">
        <v>96</v>
      </c>
      <c r="J217" s="7" t="str">
        <f>HYPERLINK("https://www.codechef.com/problems/COOLGUYS", "https://www.codechef.com/problems/COOLGUYS")</f>
        <v>https://www.codechef.com/problems/COOLGUYS</v>
      </c>
      <c r="K217" s="15"/>
      <c r="L217" s="15"/>
      <c r="M217" s="15"/>
      <c r="N217" s="15" t="s">
        <v>50</v>
      </c>
      <c r="O217" s="15" t="s">
        <v>51</v>
      </c>
    </row>
    <row r="218" spans="1:15">
      <c r="A218" s="14" t="s">
        <v>12</v>
      </c>
      <c r="B218" s="14" t="s">
        <v>4422</v>
      </c>
      <c r="C218" s="14" t="s">
        <v>4423</v>
      </c>
      <c r="D218" s="14" t="s">
        <v>4539</v>
      </c>
      <c r="E218" s="14">
        <v>55</v>
      </c>
      <c r="F218" s="14" t="s">
        <v>4291</v>
      </c>
      <c r="G218" s="14" t="s">
        <v>4292</v>
      </c>
      <c r="H218" s="14" t="s">
        <v>3442</v>
      </c>
      <c r="I218" s="14" t="s">
        <v>96</v>
      </c>
      <c r="J218" s="11" t="str">
        <f>HYPERLINK("https://www.codechef.com/problems/MODEQ", "https://www.codechef.com/problems/MODEQ")</f>
        <v>https://www.codechef.com/problems/MODEQ</v>
      </c>
      <c r="K218" s="14"/>
      <c r="L218" s="14"/>
      <c r="M218" s="14"/>
      <c r="N218" s="14" t="s">
        <v>50</v>
      </c>
      <c r="O218" s="14" t="s">
        <v>51</v>
      </c>
    </row>
    <row r="219" spans="1:15">
      <c r="A219" s="15" t="s">
        <v>12</v>
      </c>
      <c r="B219" s="15" t="s">
        <v>4422</v>
      </c>
      <c r="C219" s="15" t="s">
        <v>4423</v>
      </c>
      <c r="D219" s="15" t="s">
        <v>4539</v>
      </c>
      <c r="E219" s="15">
        <v>56</v>
      </c>
      <c r="F219" s="15" t="s">
        <v>4552</v>
      </c>
      <c r="G219" s="15" t="s">
        <v>4553</v>
      </c>
      <c r="H219" s="15" t="s">
        <v>4554</v>
      </c>
      <c r="I219" s="15" t="s">
        <v>96</v>
      </c>
      <c r="J219" s="7" t="str">
        <f>HYPERLINK("https://www.codechef.com/problems/CBALLS", "https://www.codechef.com/problems/CBALLS")</f>
        <v>https://www.codechef.com/problems/CBALLS</v>
      </c>
      <c r="K219" s="15"/>
      <c r="L219" s="15"/>
      <c r="M219" s="15"/>
      <c r="N219" s="15" t="s">
        <v>50</v>
      </c>
      <c r="O219" s="15" t="s">
        <v>51</v>
      </c>
    </row>
    <row r="220" spans="1:15">
      <c r="A220" s="14" t="s">
        <v>12</v>
      </c>
      <c r="B220" s="14" t="s">
        <v>4422</v>
      </c>
      <c r="C220" s="14" t="s">
        <v>4423</v>
      </c>
      <c r="D220" s="14" t="s">
        <v>4539</v>
      </c>
      <c r="E220" s="14">
        <v>57</v>
      </c>
      <c r="F220" s="14" t="s">
        <v>4555</v>
      </c>
      <c r="G220" s="14" t="s">
        <v>4556</v>
      </c>
      <c r="H220" s="14" t="s">
        <v>3498</v>
      </c>
      <c r="I220" s="14" t="s">
        <v>96</v>
      </c>
      <c r="J220" s="11" t="str">
        <f>HYPERLINK("https://www.codechef.com/problems/PRIGAME", "https://www.codechef.com/problems/PRIGAME")</f>
        <v>https://www.codechef.com/problems/PRIGAME</v>
      </c>
      <c r="K220" s="14"/>
      <c r="L220" s="14"/>
      <c r="M220" s="14"/>
      <c r="N220" s="14" t="s">
        <v>50</v>
      </c>
      <c r="O220" s="14" t="s">
        <v>51</v>
      </c>
    </row>
    <row r="221" spans="1:15">
      <c r="A221" s="15" t="s">
        <v>12</v>
      </c>
      <c r="B221" s="15" t="s">
        <v>4422</v>
      </c>
      <c r="C221" s="15" t="s">
        <v>4423</v>
      </c>
      <c r="D221" s="15" t="s">
        <v>4539</v>
      </c>
      <c r="E221" s="15">
        <v>58</v>
      </c>
      <c r="F221" s="15" t="s">
        <v>4379</v>
      </c>
      <c r="G221" s="15" t="s">
        <v>4380</v>
      </c>
      <c r="H221" s="15" t="s">
        <v>4381</v>
      </c>
      <c r="I221" s="15" t="s">
        <v>96</v>
      </c>
      <c r="J221" s="7" t="str">
        <f>HYPERLINK("https://www.codechef.com/problems/PRETNUM", "https://www.codechef.com/problems/PRETNUM")</f>
        <v>https://www.codechef.com/problems/PRETNUM</v>
      </c>
      <c r="K221" s="15"/>
      <c r="L221" s="15"/>
      <c r="M221" s="15"/>
      <c r="N221" s="15" t="s">
        <v>50</v>
      </c>
      <c r="O221" s="15" t="s">
        <v>51</v>
      </c>
    </row>
    <row r="222" spans="1:15">
      <c r="A222" s="14" t="s">
        <v>12</v>
      </c>
      <c r="B222" s="14" t="s">
        <v>4422</v>
      </c>
      <c r="C222" s="14" t="s">
        <v>4423</v>
      </c>
      <c r="D222" s="14" t="s">
        <v>4539</v>
      </c>
      <c r="E222" s="14">
        <v>59</v>
      </c>
      <c r="F222" s="14" t="s">
        <v>4557</v>
      </c>
      <c r="G222" s="14" t="s">
        <v>4558</v>
      </c>
      <c r="H222" s="14" t="s">
        <v>3758</v>
      </c>
      <c r="I222" s="14" t="s">
        <v>322</v>
      </c>
      <c r="J222" s="11" t="str">
        <f>HYPERLINK("https://www.codechef.com/problems/EARTSEQ", "https://www.codechef.com/problems/EARTSEQ")</f>
        <v>https://www.codechef.com/problems/EARTSEQ</v>
      </c>
      <c r="K222" s="14"/>
      <c r="L222" s="14"/>
      <c r="M222" s="14"/>
      <c r="N222" s="14" t="s">
        <v>50</v>
      </c>
      <c r="O222" s="14" t="s">
        <v>51</v>
      </c>
    </row>
    <row r="223" spans="1:15">
      <c r="A223" s="15" t="s">
        <v>12</v>
      </c>
      <c r="B223" s="15" t="s">
        <v>4422</v>
      </c>
      <c r="C223" s="15" t="s">
        <v>4423</v>
      </c>
      <c r="D223" s="15" t="s">
        <v>4539</v>
      </c>
      <c r="E223" s="15">
        <v>60</v>
      </c>
      <c r="F223" s="15" t="s">
        <v>4559</v>
      </c>
      <c r="G223" s="15" t="s">
        <v>4560</v>
      </c>
      <c r="H223" s="15" t="s">
        <v>4561</v>
      </c>
      <c r="I223" s="15" t="s">
        <v>322</v>
      </c>
      <c r="J223" s="7" t="str">
        <f>HYPERLINK("https://www.codechef.com/problems/DESTCELL", "https://www.codechef.com/problems/DESTCELL")</f>
        <v>https://www.codechef.com/problems/DESTCELL</v>
      </c>
      <c r="K223" s="15"/>
      <c r="L223" s="15"/>
      <c r="M223" s="15"/>
      <c r="N223" s="15" t="s">
        <v>50</v>
      </c>
      <c r="O223" s="15" t="s">
        <v>51</v>
      </c>
    </row>
    <row r="224" spans="1:15">
      <c r="A224" s="14" t="s">
        <v>12</v>
      </c>
      <c r="B224" s="14" t="s">
        <v>4422</v>
      </c>
      <c r="C224" s="14" t="s">
        <v>4423</v>
      </c>
      <c r="D224" s="14" t="s">
        <v>4562</v>
      </c>
      <c r="E224" s="14">
        <v>61</v>
      </c>
      <c r="F224" s="14" t="s">
        <v>4563</v>
      </c>
      <c r="G224" s="14" t="s">
        <v>4564</v>
      </c>
      <c r="H224" s="14" t="s">
        <v>4565</v>
      </c>
      <c r="I224" s="14" t="s">
        <v>96</v>
      </c>
      <c r="J224" s="11" t="str">
        <f>HYPERLINK("https://www.codechef.com/problems/PPTEST", "https://www.codechef.com/problems/PPTEST")</f>
        <v>https://www.codechef.com/problems/PPTEST</v>
      </c>
      <c r="K224" s="14"/>
      <c r="L224" s="14"/>
      <c r="M224" s="14"/>
      <c r="N224" s="14" t="s">
        <v>50</v>
      </c>
      <c r="O224" s="14" t="s">
        <v>51</v>
      </c>
    </row>
    <row r="225" spans="1:15">
      <c r="A225" s="15" t="s">
        <v>12</v>
      </c>
      <c r="B225" s="15" t="s">
        <v>4422</v>
      </c>
      <c r="C225" s="15" t="s">
        <v>4423</v>
      </c>
      <c r="D225" s="15" t="s">
        <v>4562</v>
      </c>
      <c r="E225" s="15">
        <v>62</v>
      </c>
      <c r="F225" s="15" t="s">
        <v>4566</v>
      </c>
      <c r="G225" s="15" t="s">
        <v>4567</v>
      </c>
      <c r="H225" s="15"/>
      <c r="I225" s="15" t="s">
        <v>96</v>
      </c>
      <c r="J225" s="7" t="str">
        <f>HYPERLINK("https://www.codechef.com/problems/MARCHA1", "https://www.codechef.com/problems/MARCHA1")</f>
        <v>https://www.codechef.com/problems/MARCHA1</v>
      </c>
      <c r="K225" s="15"/>
      <c r="L225" s="15"/>
      <c r="M225" s="15"/>
      <c r="N225" s="15" t="s">
        <v>50</v>
      </c>
      <c r="O225" s="15" t="s">
        <v>51</v>
      </c>
    </row>
    <row r="226" spans="1:15">
      <c r="A226" s="14" t="s">
        <v>12</v>
      </c>
      <c r="B226" s="14" t="s">
        <v>4422</v>
      </c>
      <c r="C226" s="14" t="s">
        <v>4423</v>
      </c>
      <c r="D226" s="14" t="s">
        <v>4562</v>
      </c>
      <c r="E226" s="14">
        <v>63</v>
      </c>
      <c r="F226" s="14" t="s">
        <v>4568</v>
      </c>
      <c r="G226" s="14" t="s">
        <v>4569</v>
      </c>
      <c r="H226" s="14" t="s">
        <v>3771</v>
      </c>
      <c r="I226" s="14" t="s">
        <v>322</v>
      </c>
      <c r="J226" s="11" t="str">
        <f>HYPERLINK("https://www.codechef.com/problems/MCHEF", "https://www.codechef.com/problems/MCHEF")</f>
        <v>https://www.codechef.com/problems/MCHEF</v>
      </c>
      <c r="K226" s="14"/>
      <c r="L226" s="14"/>
      <c r="M226" s="14"/>
      <c r="N226" s="14" t="s">
        <v>50</v>
      </c>
      <c r="O226" s="14" t="s">
        <v>51</v>
      </c>
    </row>
    <row r="227" spans="1:15">
      <c r="A227" s="15" t="s">
        <v>12</v>
      </c>
      <c r="B227" s="15" t="s">
        <v>4422</v>
      </c>
      <c r="C227" s="15" t="s">
        <v>4423</v>
      </c>
      <c r="D227" s="15" t="s">
        <v>4562</v>
      </c>
      <c r="E227" s="15">
        <v>64</v>
      </c>
      <c r="F227" s="15" t="s">
        <v>4570</v>
      </c>
      <c r="G227" s="15" t="s">
        <v>4571</v>
      </c>
      <c r="H227" s="15" t="s">
        <v>4572</v>
      </c>
      <c r="I227" s="15" t="s">
        <v>322</v>
      </c>
      <c r="J227" s="7" t="str">
        <f>HYPERLINK("https://www.codechef.com/problems/PERMSPL", "https://www.codechef.com/problems/PERMSPL")</f>
        <v>https://www.codechef.com/problems/PERMSPL</v>
      </c>
      <c r="K227" s="15"/>
      <c r="L227" s="15" t="s">
        <v>4573</v>
      </c>
      <c r="M227" s="15"/>
      <c r="N227" s="15" t="s">
        <v>50</v>
      </c>
      <c r="O227" s="15" t="s">
        <v>51</v>
      </c>
    </row>
    <row r="228" spans="1:15">
      <c r="A228" s="14" t="s">
        <v>12</v>
      </c>
      <c r="B228" s="14" t="s">
        <v>4422</v>
      </c>
      <c r="C228" s="14" t="s">
        <v>4423</v>
      </c>
      <c r="D228" s="14" t="s">
        <v>4562</v>
      </c>
      <c r="E228" s="14">
        <v>65</v>
      </c>
      <c r="F228" s="14" t="s">
        <v>4574</v>
      </c>
      <c r="G228" s="14" t="s">
        <v>4575</v>
      </c>
      <c r="H228" s="14" t="s">
        <v>4576</v>
      </c>
      <c r="I228" s="14" t="s">
        <v>322</v>
      </c>
      <c r="J228" s="11" t="str">
        <f>HYPERLINK("https://www.codechef.com/problems/COINPART", "https://www.codechef.com/problems/COINPART")</f>
        <v>https://www.codechef.com/problems/COINPART</v>
      </c>
      <c r="K228" s="14"/>
      <c r="L228" s="14"/>
      <c r="M228" s="14"/>
      <c r="N228" s="14" t="s">
        <v>50</v>
      </c>
      <c r="O228" s="14" t="s">
        <v>51</v>
      </c>
    </row>
    <row r="229" spans="1:15">
      <c r="A229" s="15" t="s">
        <v>12</v>
      </c>
      <c r="B229" s="15" t="s">
        <v>4422</v>
      </c>
      <c r="C229" s="15" t="s">
        <v>4423</v>
      </c>
      <c r="D229" s="15" t="s">
        <v>4562</v>
      </c>
      <c r="E229" s="15">
        <v>66</v>
      </c>
      <c r="F229" s="15" t="s">
        <v>4577</v>
      </c>
      <c r="G229" s="15" t="s">
        <v>4578</v>
      </c>
      <c r="H229" s="15" t="s">
        <v>4579</v>
      </c>
      <c r="I229" s="15" t="s">
        <v>322</v>
      </c>
      <c r="J229" s="7" t="str">
        <f>HYPERLINK("https://www.codechef.com/problems/PEPPERA", "https://www.codechef.com/problems/PEPPERA")</f>
        <v>https://www.codechef.com/problems/PEPPERA</v>
      </c>
      <c r="K229" s="15"/>
      <c r="L229" s="15"/>
      <c r="M229" s="15"/>
      <c r="N229" s="15" t="s">
        <v>50</v>
      </c>
      <c r="O229" s="15" t="s">
        <v>51</v>
      </c>
    </row>
    <row r="230" spans="1:15">
      <c r="A230" s="14" t="s">
        <v>12</v>
      </c>
      <c r="B230" s="14" t="s">
        <v>4422</v>
      </c>
      <c r="C230" s="14" t="s">
        <v>4423</v>
      </c>
      <c r="D230" s="14" t="s">
        <v>4562</v>
      </c>
      <c r="E230" s="14">
        <v>67</v>
      </c>
      <c r="F230" s="14" t="s">
        <v>1999</v>
      </c>
      <c r="G230" s="14" t="s">
        <v>4580</v>
      </c>
      <c r="H230" s="14" t="s">
        <v>4581</v>
      </c>
      <c r="I230" s="14" t="s">
        <v>322</v>
      </c>
      <c r="J230" s="11" t="str">
        <f>HYPERLINK("https://www.codechef.com/problems/BLKJK", "https://www.codechef.com/problems/BLKJK")</f>
        <v>https://www.codechef.com/problems/BLKJK</v>
      </c>
      <c r="K230" s="14"/>
      <c r="L230" s="14" t="s">
        <v>4582</v>
      </c>
      <c r="M230" s="14"/>
      <c r="N230" s="14" t="s">
        <v>50</v>
      </c>
      <c r="O230" s="14" t="s">
        <v>51</v>
      </c>
    </row>
    <row r="231" spans="1:15">
      <c r="A231" s="15" t="s">
        <v>12</v>
      </c>
      <c r="B231" s="15" t="s">
        <v>4422</v>
      </c>
      <c r="C231" s="15" t="s">
        <v>4423</v>
      </c>
      <c r="D231" s="15" t="s">
        <v>4562</v>
      </c>
      <c r="E231" s="15">
        <v>68</v>
      </c>
      <c r="F231" s="15" t="s">
        <v>4583</v>
      </c>
      <c r="G231" s="15" t="s">
        <v>4584</v>
      </c>
      <c r="H231" s="15" t="s">
        <v>4585</v>
      </c>
      <c r="I231" s="15" t="s">
        <v>322</v>
      </c>
      <c r="J231" s="7" t="str">
        <f>HYPERLINK("https://www.codechef.com/problems/MEANMEDI", "https://www.codechef.com/problems/MEANMEDI")</f>
        <v>https://www.codechef.com/problems/MEANMEDI</v>
      </c>
      <c r="K231" s="15"/>
      <c r="L231" s="15"/>
      <c r="M231" s="15"/>
      <c r="N231" s="15" t="s">
        <v>50</v>
      </c>
      <c r="O231" s="15" t="s">
        <v>51</v>
      </c>
    </row>
    <row r="232" spans="1:15">
      <c r="A232" s="14" t="s">
        <v>12</v>
      </c>
      <c r="B232" s="14" t="s">
        <v>4422</v>
      </c>
      <c r="C232" s="14" t="s">
        <v>4423</v>
      </c>
      <c r="D232" s="14" t="s">
        <v>4339</v>
      </c>
      <c r="E232" s="14">
        <v>69</v>
      </c>
      <c r="F232" s="14" t="s">
        <v>582</v>
      </c>
      <c r="G232" s="14" t="s">
        <v>583</v>
      </c>
      <c r="H232" s="14" t="s">
        <v>584</v>
      </c>
      <c r="I232" s="14" t="s">
        <v>96</v>
      </c>
      <c r="J232" s="11" t="str">
        <f>HYPERLINK("https://www.codechef.com/problems/SUBINC", "https://www.codechef.com/problems/SUBINC")</f>
        <v>https://www.codechef.com/problems/SUBINC</v>
      </c>
      <c r="K232" s="14"/>
      <c r="L232" s="14"/>
      <c r="M232" s="14"/>
      <c r="N232" s="14" t="s">
        <v>50</v>
      </c>
      <c r="O232" s="14" t="s">
        <v>51</v>
      </c>
    </row>
    <row r="233" spans="1:15">
      <c r="A233" s="15" t="s">
        <v>12</v>
      </c>
      <c r="B233" s="15" t="s">
        <v>4422</v>
      </c>
      <c r="C233" s="15" t="s">
        <v>4423</v>
      </c>
      <c r="D233" s="15" t="s">
        <v>4339</v>
      </c>
      <c r="E233" s="15">
        <v>70</v>
      </c>
      <c r="F233" s="15" t="s">
        <v>1163</v>
      </c>
      <c r="G233" s="15" t="s">
        <v>1164</v>
      </c>
      <c r="H233" s="15" t="s">
        <v>1165</v>
      </c>
      <c r="I233" s="15" t="s">
        <v>96</v>
      </c>
      <c r="J233" s="7" t="str">
        <f>HYPERLINK("https://www.codechef.com/problems/E1", "https://www.codechef.com/problems/E1")</f>
        <v>https://www.codechef.com/problems/E1</v>
      </c>
      <c r="K233" s="15"/>
      <c r="L233" s="15"/>
      <c r="M233" s="15"/>
      <c r="N233" s="15" t="s">
        <v>50</v>
      </c>
      <c r="O233" s="15" t="s">
        <v>51</v>
      </c>
    </row>
    <row r="234" spans="1:15">
      <c r="A234" s="14" t="s">
        <v>12</v>
      </c>
      <c r="B234" s="14" t="s">
        <v>4422</v>
      </c>
      <c r="C234" s="14" t="s">
        <v>4423</v>
      </c>
      <c r="D234" s="14" t="s">
        <v>4339</v>
      </c>
      <c r="E234" s="14">
        <v>71</v>
      </c>
      <c r="F234" s="14" t="s">
        <v>4343</v>
      </c>
      <c r="G234" s="14" t="s">
        <v>4344</v>
      </c>
      <c r="H234" s="14" t="s">
        <v>682</v>
      </c>
      <c r="I234" s="14" t="s">
        <v>96</v>
      </c>
      <c r="J234" s="11" t="str">
        <f>HYPERLINK("https://www.codechef.com/problems/FROGV", "https://www.codechef.com/problems/FROGV")</f>
        <v>https://www.codechef.com/problems/FROGV</v>
      </c>
      <c r="K234" s="14"/>
      <c r="L234" s="14"/>
      <c r="M234" s="14"/>
      <c r="N234" s="14" t="s">
        <v>50</v>
      </c>
      <c r="O234" s="14" t="s">
        <v>51</v>
      </c>
    </row>
    <row r="235" spans="1:15">
      <c r="A235" s="15" t="s">
        <v>12</v>
      </c>
      <c r="B235" s="15" t="s">
        <v>4422</v>
      </c>
      <c r="C235" s="15" t="s">
        <v>4423</v>
      </c>
      <c r="D235" s="15" t="s">
        <v>4339</v>
      </c>
      <c r="E235" s="15">
        <v>72</v>
      </c>
      <c r="F235" s="15" t="s">
        <v>1173</v>
      </c>
      <c r="G235" s="15" t="s">
        <v>1174</v>
      </c>
      <c r="H235" s="15" t="s">
        <v>1175</v>
      </c>
      <c r="I235" s="15" t="s">
        <v>96</v>
      </c>
      <c r="J235" s="7" t="str">
        <f>HYPERLINK("https://www.codechef.com/problems/DISHDIS", "https://www.codechef.com/problems/DISHDIS")</f>
        <v>https://www.codechef.com/problems/DISHDIS</v>
      </c>
      <c r="K235" s="15"/>
      <c r="L235" s="15"/>
      <c r="M235" s="15"/>
      <c r="N235" s="15" t="s">
        <v>50</v>
      </c>
      <c r="O235" s="15" t="s">
        <v>51</v>
      </c>
    </row>
    <row r="236" spans="1:15">
      <c r="A236" s="14" t="s">
        <v>12</v>
      </c>
      <c r="B236" s="14" t="s">
        <v>4422</v>
      </c>
      <c r="C236" s="14" t="s">
        <v>4423</v>
      </c>
      <c r="D236" s="14" t="s">
        <v>4339</v>
      </c>
      <c r="E236" s="14">
        <v>73</v>
      </c>
      <c r="F236" s="14" t="s">
        <v>615</v>
      </c>
      <c r="G236" s="14" t="s">
        <v>616</v>
      </c>
      <c r="H236" s="14" t="s">
        <v>617</v>
      </c>
      <c r="I236" s="14" t="s">
        <v>96</v>
      </c>
      <c r="J236" s="11" t="str">
        <f>HYPERLINK("https://www.codechef.com/problems/COUNTPAL", "https://www.codechef.com/problems/COUNTPAL")</f>
        <v>https://www.codechef.com/problems/COUNTPAL</v>
      </c>
      <c r="K236" s="14"/>
      <c r="L236" s="14"/>
      <c r="M236" s="14"/>
      <c r="N236" s="14" t="s">
        <v>50</v>
      </c>
      <c r="O236" s="14" t="s">
        <v>51</v>
      </c>
    </row>
    <row r="237" spans="1:15">
      <c r="A237" s="15" t="s">
        <v>12</v>
      </c>
      <c r="B237" s="15" t="s">
        <v>4422</v>
      </c>
      <c r="C237" s="15" t="s">
        <v>4423</v>
      </c>
      <c r="D237" s="15" t="s">
        <v>4339</v>
      </c>
      <c r="E237" s="15">
        <v>74</v>
      </c>
      <c r="F237" s="15" t="s">
        <v>1178</v>
      </c>
      <c r="G237" s="15" t="s">
        <v>1179</v>
      </c>
      <c r="H237" s="15" t="s">
        <v>1180</v>
      </c>
      <c r="I237" s="15" t="s">
        <v>96</v>
      </c>
      <c r="J237" s="7" t="str">
        <f>HYPERLINK("https://www.codechef.com/problems/FCBARCA", "https://www.codechef.com/problems/FCBARCA")</f>
        <v>https://www.codechef.com/problems/FCBARCA</v>
      </c>
      <c r="K237" s="15"/>
      <c r="L237" s="15"/>
      <c r="M237" s="15"/>
      <c r="N237" s="15" t="s">
        <v>50</v>
      </c>
      <c r="O237" s="15" t="s">
        <v>51</v>
      </c>
    </row>
    <row r="238" spans="1:15">
      <c r="A238" s="14" t="s">
        <v>12</v>
      </c>
      <c r="B238" s="14" t="s">
        <v>4422</v>
      </c>
      <c r="C238" s="14" t="s">
        <v>4423</v>
      </c>
      <c r="D238" s="14" t="s">
        <v>4339</v>
      </c>
      <c r="E238" s="14">
        <v>75</v>
      </c>
      <c r="F238" s="14" t="s">
        <v>775</v>
      </c>
      <c r="G238" s="14" t="s">
        <v>1162</v>
      </c>
      <c r="H238" s="14" t="s">
        <v>777</v>
      </c>
      <c r="I238" s="14" t="s">
        <v>96</v>
      </c>
      <c r="J238" s="11" t="str">
        <f>HYPERLINK("https://www.codechef.com/problems/MAXCROSS", "https://www.codechef.com/problems/MAXCROSS")</f>
        <v>https://www.codechef.com/problems/MAXCROSS</v>
      </c>
      <c r="K238" s="14"/>
      <c r="L238" s="14"/>
      <c r="M238" s="14"/>
      <c r="N238" s="14" t="s">
        <v>50</v>
      </c>
      <c r="O238" s="14" t="s">
        <v>51</v>
      </c>
    </row>
    <row r="239" spans="1:15">
      <c r="A239" s="15" t="s">
        <v>12</v>
      </c>
      <c r="B239" s="15" t="s">
        <v>4422</v>
      </c>
      <c r="C239" s="15" t="s">
        <v>4423</v>
      </c>
      <c r="D239" s="15" t="s">
        <v>4339</v>
      </c>
      <c r="E239" s="15">
        <v>76</v>
      </c>
      <c r="F239" s="15" t="s">
        <v>4586</v>
      </c>
      <c r="G239" s="15" t="s">
        <v>4587</v>
      </c>
      <c r="H239" s="15" t="s">
        <v>3280</v>
      </c>
      <c r="I239" s="15" t="s">
        <v>96</v>
      </c>
      <c r="J239" s="7" t="str">
        <f>HYPERLINK("https://www.codechef.com/problems/DBOY", "https://www.codechef.com/problems/DBOY")</f>
        <v>https://www.codechef.com/problems/DBOY</v>
      </c>
      <c r="K239" s="15"/>
      <c r="L239" s="15"/>
      <c r="M239" s="15"/>
      <c r="N239" s="15" t="s">
        <v>50</v>
      </c>
      <c r="O239" s="15" t="s">
        <v>51</v>
      </c>
    </row>
    <row r="240" spans="1:15">
      <c r="A240" s="14" t="s">
        <v>12</v>
      </c>
      <c r="B240" s="14" t="s">
        <v>4422</v>
      </c>
      <c r="C240" s="14" t="s">
        <v>4423</v>
      </c>
      <c r="D240" s="14" t="s">
        <v>4339</v>
      </c>
      <c r="E240" s="14">
        <v>77</v>
      </c>
      <c r="F240" s="14" t="s">
        <v>4588</v>
      </c>
      <c r="G240" s="14" t="s">
        <v>4589</v>
      </c>
      <c r="H240" s="14" t="s">
        <v>706</v>
      </c>
      <c r="I240" s="14" t="s">
        <v>96</v>
      </c>
      <c r="J240" s="11" t="str">
        <f>HYPERLINK("https://www.codechef.com/problems/VK18", "https://www.codechef.com/problems/VK18")</f>
        <v>https://www.codechef.com/problems/VK18</v>
      </c>
      <c r="K240" s="14"/>
      <c r="L240" s="14"/>
      <c r="M240" s="14"/>
      <c r="N240" s="14" t="s">
        <v>50</v>
      </c>
      <c r="O240" s="14" t="s">
        <v>51</v>
      </c>
    </row>
    <row r="241" spans="1:15">
      <c r="A241" s="15" t="s">
        <v>12</v>
      </c>
      <c r="B241" s="15" t="s">
        <v>4422</v>
      </c>
      <c r="C241" s="15" t="s">
        <v>4423</v>
      </c>
      <c r="D241" s="15" t="s">
        <v>4339</v>
      </c>
      <c r="E241" s="15">
        <v>78</v>
      </c>
      <c r="F241" s="15" t="s">
        <v>1118</v>
      </c>
      <c r="G241" s="15" t="s">
        <v>1119</v>
      </c>
      <c r="H241" s="15" t="s">
        <v>1120</v>
      </c>
      <c r="I241" s="15" t="s">
        <v>96</v>
      </c>
      <c r="J241" s="7" t="str">
        <f>HYPERLINK("https://www.codechef.com/problems/SQUIRREL", "https://www.codechef.com/problems/SQUIRREL")</f>
        <v>https://www.codechef.com/problems/SQUIRREL</v>
      </c>
      <c r="K241" s="15"/>
      <c r="L241" s="15"/>
      <c r="M241" s="15"/>
      <c r="N241" s="15" t="s">
        <v>50</v>
      </c>
      <c r="O241" s="15" t="s">
        <v>51</v>
      </c>
    </row>
    <row r="242" spans="1:15">
      <c r="A242" s="14" t="s">
        <v>12</v>
      </c>
      <c r="B242" s="14" t="s">
        <v>4422</v>
      </c>
      <c r="C242" s="14" t="s">
        <v>4423</v>
      </c>
      <c r="D242" s="14" t="s">
        <v>4339</v>
      </c>
      <c r="E242" s="14">
        <v>79</v>
      </c>
      <c r="F242" s="14" t="s">
        <v>4590</v>
      </c>
      <c r="G242" s="14" t="s">
        <v>4591</v>
      </c>
      <c r="H242" s="14" t="s">
        <v>4592</v>
      </c>
      <c r="I242" s="14" t="s">
        <v>322</v>
      </c>
      <c r="J242" s="11" t="str">
        <f>HYPERLINK("https://www.codechef.com/problems/TRIP", "https://www.codechef.com/problems/TRIP")</f>
        <v>https://www.codechef.com/problems/TRIP</v>
      </c>
      <c r="K242" s="14"/>
      <c r="L242" s="14"/>
      <c r="M242" s="14"/>
      <c r="N242" s="14" t="s">
        <v>50</v>
      </c>
      <c r="O242" s="14" t="s">
        <v>51</v>
      </c>
    </row>
    <row r="243" spans="1:15">
      <c r="A243" s="15" t="s">
        <v>12</v>
      </c>
      <c r="B243" s="15" t="s">
        <v>4422</v>
      </c>
      <c r="C243" s="15" t="s">
        <v>4423</v>
      </c>
      <c r="D243" s="15" t="s">
        <v>4339</v>
      </c>
      <c r="E243" s="15">
        <v>80</v>
      </c>
      <c r="F243" s="15" t="s">
        <v>4358</v>
      </c>
      <c r="G243" s="15" t="s">
        <v>4359</v>
      </c>
      <c r="H243" s="15" t="s">
        <v>4360</v>
      </c>
      <c r="I243" s="15" t="s">
        <v>96</v>
      </c>
      <c r="J243" s="7" t="str">
        <f>HYPERLINK("https://www.codechef.com/problems/WSTRING", "https://www.codechef.com/problems/WSTRING")</f>
        <v>https://www.codechef.com/problems/WSTRING</v>
      </c>
      <c r="K243" s="15"/>
      <c r="L243" s="15"/>
      <c r="M243" s="15"/>
      <c r="N243" s="15" t="s">
        <v>50</v>
      </c>
      <c r="O243" s="15" t="s">
        <v>51</v>
      </c>
    </row>
    <row r="244" spans="1:15">
      <c r="A244" s="14" t="s">
        <v>12</v>
      </c>
      <c r="B244" s="14" t="s">
        <v>4422</v>
      </c>
      <c r="C244" s="14" t="s">
        <v>4423</v>
      </c>
      <c r="D244" s="14" t="s">
        <v>4339</v>
      </c>
      <c r="E244" s="14">
        <v>81</v>
      </c>
      <c r="F244" s="14" t="s">
        <v>4593</v>
      </c>
      <c r="G244" s="14" t="s">
        <v>4594</v>
      </c>
      <c r="H244" s="14" t="s">
        <v>3715</v>
      </c>
      <c r="I244" s="14" t="s">
        <v>96</v>
      </c>
      <c r="J244" s="11" t="str">
        <f>HYPERLINK("https://www.codechef.com/problems/STRMRG", "https://www.codechef.com/problems/STRMRG")</f>
        <v>https://www.codechef.com/problems/STRMRG</v>
      </c>
      <c r="K244" s="14"/>
      <c r="L244" s="14"/>
      <c r="M244" s="14"/>
      <c r="N244" s="14" t="s">
        <v>50</v>
      </c>
      <c r="O244" s="14" t="s">
        <v>51</v>
      </c>
    </row>
    <row r="245" spans="1:15">
      <c r="A245" s="15" t="s">
        <v>12</v>
      </c>
      <c r="B245" s="15" t="s">
        <v>4422</v>
      </c>
      <c r="C245" s="15" t="s">
        <v>4423</v>
      </c>
      <c r="D245" s="15" t="s">
        <v>4339</v>
      </c>
      <c r="E245" s="15">
        <v>82</v>
      </c>
      <c r="F245" s="15" t="s">
        <v>4595</v>
      </c>
      <c r="G245" s="15" t="s">
        <v>4596</v>
      </c>
      <c r="H245" s="15" t="s">
        <v>4597</v>
      </c>
      <c r="I245" s="15" t="s">
        <v>96</v>
      </c>
      <c r="J245" s="7" t="str">
        <f>HYPERLINK("https://www.codechef.com/problems/CHGLSTGT", "https://www.codechef.com/problems/CHGLSTGT")</f>
        <v>https://www.codechef.com/problems/CHGLSTGT</v>
      </c>
      <c r="K245" s="15"/>
      <c r="L245" s="15"/>
      <c r="M245" s="15"/>
      <c r="N245" s="15" t="s">
        <v>50</v>
      </c>
      <c r="O245" s="15" t="s">
        <v>51</v>
      </c>
    </row>
    <row r="246" spans="1:15">
      <c r="A246" s="14" t="s">
        <v>12</v>
      </c>
      <c r="B246" s="14" t="s">
        <v>4422</v>
      </c>
      <c r="C246" s="14" t="s">
        <v>4423</v>
      </c>
      <c r="D246" s="14" t="s">
        <v>4339</v>
      </c>
      <c r="E246" s="14">
        <v>83</v>
      </c>
      <c r="F246" s="14" t="s">
        <v>4598</v>
      </c>
      <c r="G246" s="14" t="s">
        <v>4599</v>
      </c>
      <c r="H246" s="14" t="s">
        <v>4600</v>
      </c>
      <c r="I246" s="14" t="s">
        <v>322</v>
      </c>
      <c r="J246" s="11" t="str">
        <f>HYPERLINK("https://www.codechef.com/problems/MATRIX2", "https://www.codechef.com/problems/MATRIX2")</f>
        <v>https://www.codechef.com/problems/MATRIX2</v>
      </c>
      <c r="K246" s="14"/>
      <c r="L246" s="14"/>
      <c r="M246" s="14"/>
      <c r="N246" s="14" t="s">
        <v>50</v>
      </c>
      <c r="O246" s="14" t="s">
        <v>51</v>
      </c>
    </row>
    <row r="247" spans="1:15">
      <c r="A247" s="15" t="s">
        <v>12</v>
      </c>
      <c r="B247" s="15" t="s">
        <v>4422</v>
      </c>
      <c r="C247" s="15" t="s">
        <v>4423</v>
      </c>
      <c r="D247" s="15" t="s">
        <v>4339</v>
      </c>
      <c r="E247" s="15">
        <v>84</v>
      </c>
      <c r="F247" s="15" t="s">
        <v>4601</v>
      </c>
      <c r="G247" s="15" t="s">
        <v>4602</v>
      </c>
      <c r="H247" s="15" t="s">
        <v>3516</v>
      </c>
      <c r="I247" s="15" t="s">
        <v>96</v>
      </c>
      <c r="J247" s="7" t="str">
        <f>HYPERLINK("https://www.codechef.com/problems/DELISH", "https://www.codechef.com/problems/DELISH")</f>
        <v>https://www.codechef.com/problems/DELISH</v>
      </c>
      <c r="K247" s="15"/>
      <c r="L247" s="15" t="s">
        <v>639</v>
      </c>
      <c r="M247" s="15"/>
      <c r="N247" s="15" t="s">
        <v>50</v>
      </c>
      <c r="O247" s="15" t="s">
        <v>51</v>
      </c>
    </row>
    <row r="248" spans="1:15">
      <c r="A248" s="14" t="s">
        <v>12</v>
      </c>
      <c r="B248" s="14" t="s">
        <v>4422</v>
      </c>
      <c r="C248" s="14" t="s">
        <v>4423</v>
      </c>
      <c r="D248" s="14" t="s">
        <v>4339</v>
      </c>
      <c r="E248" s="14">
        <v>85</v>
      </c>
      <c r="F248" s="14" t="s">
        <v>4603</v>
      </c>
      <c r="G248" s="14" t="s">
        <v>4604</v>
      </c>
      <c r="H248" s="14" t="s">
        <v>4605</v>
      </c>
      <c r="I248" s="14" t="s">
        <v>96</v>
      </c>
      <c r="J248" s="11" t="str">
        <f>HYPERLINK("https://www.codechef.com/problems/LEMOUSE", "https://www.codechef.com/problems/LEMOUSE")</f>
        <v>https://www.codechef.com/problems/LEMOUSE</v>
      </c>
      <c r="K248" s="14"/>
      <c r="L248" s="14" t="s">
        <v>639</v>
      </c>
      <c r="M248" s="14"/>
      <c r="N248" s="14" t="s">
        <v>50</v>
      </c>
      <c r="O248" s="14" t="s">
        <v>51</v>
      </c>
    </row>
    <row r="249" spans="1:15">
      <c r="A249" s="15" t="s">
        <v>12</v>
      </c>
      <c r="B249" s="15" t="s">
        <v>4422</v>
      </c>
      <c r="C249" s="15" t="s">
        <v>4423</v>
      </c>
      <c r="D249" s="15" t="s">
        <v>4339</v>
      </c>
      <c r="E249" s="15">
        <v>86</v>
      </c>
      <c r="F249" s="15" t="s">
        <v>4606</v>
      </c>
      <c r="G249" s="15" t="s">
        <v>4607</v>
      </c>
      <c r="H249" s="15" t="s">
        <v>4608</v>
      </c>
      <c r="I249" s="15" t="s">
        <v>322</v>
      </c>
      <c r="J249" s="7" t="str">
        <f>HYPERLINK("https://www.codechef.com/problems/CHSQARR", "https://www.codechef.com/problems/CHSQARR")</f>
        <v>https://www.codechef.com/problems/CHSQARR</v>
      </c>
      <c r="K249" s="15"/>
      <c r="L249" s="15"/>
      <c r="M249" s="15"/>
      <c r="N249" s="15" t="s">
        <v>50</v>
      </c>
      <c r="O249" s="15" t="s">
        <v>51</v>
      </c>
    </row>
    <row r="250" spans="1:15">
      <c r="A250" s="14" t="s">
        <v>12</v>
      </c>
      <c r="B250" s="14" t="s">
        <v>4422</v>
      </c>
      <c r="C250" s="14" t="s">
        <v>4423</v>
      </c>
      <c r="D250" s="14" t="s">
        <v>4339</v>
      </c>
      <c r="E250" s="14">
        <v>87</v>
      </c>
      <c r="F250" s="14" t="s">
        <v>4609</v>
      </c>
      <c r="G250" s="14" t="s">
        <v>4610</v>
      </c>
      <c r="H250" s="14" t="s">
        <v>4611</v>
      </c>
      <c r="I250" s="14" t="s">
        <v>322</v>
      </c>
      <c r="J250" s="11" t="str">
        <f>HYPERLINK("https://www.codechef.com/problems/CHEFTWOS", "https://www.codechef.com/problems/CHEFTWOS")</f>
        <v>https://www.codechef.com/problems/CHEFTWOS</v>
      </c>
      <c r="K250" s="14"/>
      <c r="L250" s="14"/>
      <c r="M250" s="14"/>
      <c r="N250" s="14" t="s">
        <v>50</v>
      </c>
      <c r="O250" s="14" t="s">
        <v>51</v>
      </c>
    </row>
    <row r="251" spans="1:15">
      <c r="A251" s="15" t="s">
        <v>12</v>
      </c>
      <c r="B251" s="15" t="s">
        <v>4422</v>
      </c>
      <c r="C251" s="15" t="s">
        <v>4423</v>
      </c>
      <c r="D251" s="15" t="s">
        <v>4339</v>
      </c>
      <c r="E251" s="15">
        <v>88</v>
      </c>
      <c r="F251" s="15" t="s">
        <v>4612</v>
      </c>
      <c r="G251" s="15" t="s">
        <v>4613</v>
      </c>
      <c r="H251" s="15" t="s">
        <v>3607</v>
      </c>
      <c r="I251" s="15" t="s">
        <v>96</v>
      </c>
      <c r="J251" s="7" t="str">
        <f>HYPERLINK("https://www.codechef.com/problems/PHCUL", "https://www.codechef.com/problems/PHCUL")</f>
        <v>https://www.codechef.com/problems/PHCUL</v>
      </c>
      <c r="K251" s="15"/>
      <c r="L251" s="15"/>
      <c r="M251" s="15"/>
      <c r="N251" s="15" t="s">
        <v>50</v>
      </c>
      <c r="O251" s="15" t="s">
        <v>51</v>
      </c>
    </row>
    <row r="252" spans="1:15">
      <c r="A252" s="14" t="s">
        <v>12</v>
      </c>
      <c r="B252" s="14" t="s">
        <v>4422</v>
      </c>
      <c r="C252" s="14" t="s">
        <v>4423</v>
      </c>
      <c r="D252" s="14" t="s">
        <v>4339</v>
      </c>
      <c r="E252" s="14">
        <v>89</v>
      </c>
      <c r="F252" s="14" t="s">
        <v>4614</v>
      </c>
      <c r="G252" s="14" t="s">
        <v>4615</v>
      </c>
      <c r="H252" s="14" t="s">
        <v>3651</v>
      </c>
      <c r="I252" s="14" t="s">
        <v>96</v>
      </c>
      <c r="J252" s="11" t="str">
        <f>HYPERLINK("https://www.codechef.com/problems/GERMANDE", "https://www.codechef.com/problems/GERMANDE")</f>
        <v>https://www.codechef.com/problems/GERMANDE</v>
      </c>
      <c r="K252" s="14"/>
      <c r="L252" s="14"/>
      <c r="M252" s="14"/>
      <c r="N252" s="14" t="s">
        <v>50</v>
      </c>
      <c r="O252" s="14" t="s">
        <v>51</v>
      </c>
    </row>
    <row r="253" spans="1:15">
      <c r="A253" s="15" t="s">
        <v>12</v>
      </c>
      <c r="B253" s="15" t="s">
        <v>4422</v>
      </c>
      <c r="C253" s="15" t="s">
        <v>4423</v>
      </c>
      <c r="D253" s="15" t="s">
        <v>4339</v>
      </c>
      <c r="E253" s="15">
        <v>90</v>
      </c>
      <c r="F253" s="15" t="s">
        <v>4616</v>
      </c>
      <c r="G253" s="15" t="s">
        <v>4617</v>
      </c>
      <c r="H253" s="15" t="s">
        <v>4350</v>
      </c>
      <c r="I253" s="15" t="s">
        <v>96</v>
      </c>
      <c r="J253" s="7" t="str">
        <f>HYPERLINK("https://www.codechef.com/problems/SEARRAYS", "https://www.codechef.com/problems/SEARRAYS")</f>
        <v>https://www.codechef.com/problems/SEARRAYS</v>
      </c>
      <c r="K253" s="15"/>
      <c r="L253" s="15"/>
      <c r="M253" s="15"/>
      <c r="N253" s="15" t="s">
        <v>50</v>
      </c>
      <c r="O253" s="15" t="s">
        <v>51</v>
      </c>
    </row>
    <row r="254" spans="1:15">
      <c r="A254" s="14" t="s">
        <v>12</v>
      </c>
      <c r="B254" s="14" t="s">
        <v>4422</v>
      </c>
      <c r="C254" s="14" t="s">
        <v>4423</v>
      </c>
      <c r="D254" s="14" t="s">
        <v>4339</v>
      </c>
      <c r="E254" s="14">
        <v>91</v>
      </c>
      <c r="F254" s="14" t="s">
        <v>4618</v>
      </c>
      <c r="G254" s="14" t="s">
        <v>4619</v>
      </c>
      <c r="H254" s="14" t="s">
        <v>4620</v>
      </c>
      <c r="I254" s="14" t="s">
        <v>322</v>
      </c>
      <c r="J254" s="11" t="str">
        <f>HYPERLINK("https://www.codechef.com/problems/TAASEQ", "https://www.codechef.com/problems/TAASEQ")</f>
        <v>https://www.codechef.com/problems/TAASEQ</v>
      </c>
      <c r="K254" s="14"/>
      <c r="L254" s="14"/>
      <c r="M254" s="14"/>
      <c r="N254" s="14" t="s">
        <v>50</v>
      </c>
      <c r="O254" s="14" t="s">
        <v>51</v>
      </c>
    </row>
    <row r="255" spans="1:15">
      <c r="A255" s="15" t="s">
        <v>12</v>
      </c>
      <c r="B255" s="15" t="s">
        <v>4422</v>
      </c>
      <c r="C255" s="15" t="s">
        <v>4423</v>
      </c>
      <c r="D255" s="15" t="s">
        <v>4339</v>
      </c>
      <c r="E255" s="15">
        <v>92</v>
      </c>
      <c r="F255" s="15" t="s">
        <v>4621</v>
      </c>
      <c r="G255" s="15" t="s">
        <v>4622</v>
      </c>
      <c r="H255" s="15" t="s">
        <v>3796</v>
      </c>
      <c r="I255" s="15" t="s">
        <v>322</v>
      </c>
      <c r="J255" s="7" t="str">
        <f>HYPERLINK("https://www.codechef.com/problems/KIRLAB", "https://www.codechef.com/problems/KIRLAB")</f>
        <v>https://www.codechef.com/problems/KIRLAB</v>
      </c>
      <c r="K255" s="15"/>
      <c r="L255" s="15"/>
      <c r="M255" s="15"/>
      <c r="N255" s="15" t="s">
        <v>50</v>
      </c>
      <c r="O255" s="15" t="s">
        <v>51</v>
      </c>
    </row>
    <row r="256" spans="1:15">
      <c r="A256" s="14" t="s">
        <v>12</v>
      </c>
      <c r="B256" s="14" t="s">
        <v>4422</v>
      </c>
      <c r="C256" s="14" t="s">
        <v>4423</v>
      </c>
      <c r="D256" s="14" t="s">
        <v>4339</v>
      </c>
      <c r="E256" s="14">
        <v>93</v>
      </c>
      <c r="F256" s="14" t="s">
        <v>4623</v>
      </c>
      <c r="G256" s="14" t="s">
        <v>4624</v>
      </c>
      <c r="H256" s="14" t="s">
        <v>4625</v>
      </c>
      <c r="I256" s="14" t="s">
        <v>322</v>
      </c>
      <c r="J256" s="11" t="str">
        <f>HYPERLINK("https://www.codechef.com/problems/CHEFOFR", "https://www.codechef.com/problems/CHEFOFR")</f>
        <v>https://www.codechef.com/problems/CHEFOFR</v>
      </c>
      <c r="K256" s="14"/>
      <c r="L256" s="14"/>
      <c r="M256" s="14"/>
      <c r="N256" s="14" t="s">
        <v>50</v>
      </c>
      <c r="O256" s="14" t="s">
        <v>51</v>
      </c>
    </row>
    <row r="257" spans="1:15">
      <c r="A257" s="15" t="s">
        <v>12</v>
      </c>
      <c r="B257" s="15" t="s">
        <v>4422</v>
      </c>
      <c r="C257" s="15" t="s">
        <v>4423</v>
      </c>
      <c r="D257" s="15" t="s">
        <v>4339</v>
      </c>
      <c r="E257" s="15">
        <v>94</v>
      </c>
      <c r="F257" s="15" t="s">
        <v>4626</v>
      </c>
      <c r="G257" s="15" t="s">
        <v>4627</v>
      </c>
      <c r="H257" s="15" t="s">
        <v>3353</v>
      </c>
      <c r="I257" s="15" t="s">
        <v>96</v>
      </c>
      <c r="J257" s="7" t="str">
        <f>HYPERLINK("https://www.codechef.com/problems/N3", "https://www.codechef.com/problems/N3")</f>
        <v>https://www.codechef.com/problems/N3</v>
      </c>
      <c r="K257" s="15"/>
      <c r="L257" s="15"/>
      <c r="M257" s="15"/>
      <c r="N257" s="15" t="s">
        <v>50</v>
      </c>
      <c r="O257" s="15" t="s">
        <v>51</v>
      </c>
    </row>
    <row r="258" spans="1:15">
      <c r="A258" s="14" t="s">
        <v>12</v>
      </c>
      <c r="B258" s="14" t="s">
        <v>4422</v>
      </c>
      <c r="C258" s="14" t="s">
        <v>4423</v>
      </c>
      <c r="D258" s="14" t="s">
        <v>4339</v>
      </c>
      <c r="E258" s="14">
        <v>95</v>
      </c>
      <c r="F258" s="14" t="s">
        <v>4628</v>
      </c>
      <c r="G258" s="14" t="s">
        <v>4629</v>
      </c>
      <c r="H258" s="14" t="s">
        <v>4630</v>
      </c>
      <c r="I258" s="14" t="s">
        <v>96</v>
      </c>
      <c r="J258" s="11" t="str">
        <f>HYPERLINK("https://www.codechef.com/problems/AEHASH", "https://www.codechef.com/problems/AEHASH")</f>
        <v>https://www.codechef.com/problems/AEHASH</v>
      </c>
      <c r="K258" s="14"/>
      <c r="L258" s="14"/>
      <c r="M258" s="14"/>
      <c r="N258" s="14" t="s">
        <v>50</v>
      </c>
      <c r="O258" s="14" t="s">
        <v>51</v>
      </c>
    </row>
    <row r="259" spans="1:15">
      <c r="A259" s="15" t="s">
        <v>12</v>
      </c>
      <c r="B259" s="15" t="s">
        <v>4422</v>
      </c>
      <c r="C259" s="15" t="s">
        <v>4423</v>
      </c>
      <c r="D259" s="15" t="s">
        <v>4339</v>
      </c>
      <c r="E259" s="15">
        <v>96</v>
      </c>
      <c r="F259" s="15" t="s">
        <v>4631</v>
      </c>
      <c r="G259" s="15" t="s">
        <v>4632</v>
      </c>
      <c r="H259" s="15" t="s">
        <v>4633</v>
      </c>
      <c r="I259" s="15" t="s">
        <v>96</v>
      </c>
      <c r="J259" s="7" t="str">
        <f>HYPERLINK("https://www.codechef.com/problems/F2", "https://www.codechef.com/problems/F2")</f>
        <v>https://www.codechef.com/problems/F2</v>
      </c>
      <c r="K259" s="15"/>
      <c r="L259" s="15"/>
      <c r="M259" s="15"/>
      <c r="N259" s="15" t="s">
        <v>50</v>
      </c>
      <c r="O259" s="15" t="s">
        <v>51</v>
      </c>
    </row>
    <row r="260" spans="1:15">
      <c r="A260" s="14" t="s">
        <v>12</v>
      </c>
      <c r="B260" s="14" t="s">
        <v>4422</v>
      </c>
      <c r="C260" s="14" t="s">
        <v>4423</v>
      </c>
      <c r="D260" s="14" t="s">
        <v>4339</v>
      </c>
      <c r="E260" s="14">
        <v>97</v>
      </c>
      <c r="F260" s="14" t="s">
        <v>4634</v>
      </c>
      <c r="G260" s="14" t="s">
        <v>4635</v>
      </c>
      <c r="H260" s="14" t="s">
        <v>4636</v>
      </c>
      <c r="I260" s="14" t="s">
        <v>96</v>
      </c>
      <c r="J260" s="11" t="str">
        <f>HYPERLINK("https://www.codechef.com/problems/LUCKY3", "https://www.codechef.com/problems/LUCKY3")</f>
        <v>https://www.codechef.com/problems/LUCKY3</v>
      </c>
      <c r="K260" s="14"/>
      <c r="L260" s="14"/>
      <c r="M260" s="14"/>
      <c r="N260" s="14" t="s">
        <v>50</v>
      </c>
      <c r="O260" s="14" t="s">
        <v>51</v>
      </c>
    </row>
    <row r="261" spans="1:15">
      <c r="A261" s="15" t="s">
        <v>12</v>
      </c>
      <c r="B261" s="15" t="s">
        <v>4422</v>
      </c>
      <c r="C261" s="15" t="s">
        <v>4423</v>
      </c>
      <c r="D261" s="15" t="s">
        <v>4339</v>
      </c>
      <c r="E261" s="15">
        <v>98</v>
      </c>
      <c r="F261" s="15" t="s">
        <v>4637</v>
      </c>
      <c r="G261" s="15" t="s">
        <v>4638</v>
      </c>
      <c r="H261" s="15" t="s">
        <v>3718</v>
      </c>
      <c r="I261" s="15" t="s">
        <v>96</v>
      </c>
      <c r="J261" s="7" t="str">
        <f>HYPERLINK("https://www.codechef.com/problems/RDF", "https://www.codechef.com/problems/RDF")</f>
        <v>https://www.codechef.com/problems/RDF</v>
      </c>
      <c r="K261" s="15"/>
      <c r="L261" s="15"/>
      <c r="M261" s="15"/>
      <c r="N261" s="15" t="s">
        <v>50</v>
      </c>
      <c r="O261" s="15" t="s">
        <v>51</v>
      </c>
    </row>
    <row r="262" spans="1:15">
      <c r="A262" s="14" t="s">
        <v>12</v>
      </c>
      <c r="B262" s="14" t="s">
        <v>4422</v>
      </c>
      <c r="C262" s="14" t="s">
        <v>4423</v>
      </c>
      <c r="D262" s="14" t="s">
        <v>4339</v>
      </c>
      <c r="E262" s="14">
        <v>99</v>
      </c>
      <c r="F262" s="14" t="s">
        <v>4639</v>
      </c>
      <c r="G262" s="14" t="s">
        <v>4640</v>
      </c>
      <c r="H262" s="14" t="s">
        <v>4641</v>
      </c>
      <c r="I262" s="14" t="s">
        <v>322</v>
      </c>
      <c r="J262" s="11" t="str">
        <f>HYPERLINK("https://www.codechef.com/problems/MEDIAN", "https://www.codechef.com/problems/MEDIAN")</f>
        <v>https://www.codechef.com/problems/MEDIAN</v>
      </c>
      <c r="K262" s="14"/>
      <c r="L262" s="14"/>
      <c r="M262" s="14"/>
      <c r="N262" s="14" t="s">
        <v>50</v>
      </c>
      <c r="O262" s="14" t="s">
        <v>51</v>
      </c>
    </row>
    <row r="263" spans="1:15">
      <c r="A263" s="15" t="s">
        <v>12</v>
      </c>
      <c r="B263" s="15" t="s">
        <v>4422</v>
      </c>
      <c r="C263" s="15" t="s">
        <v>4423</v>
      </c>
      <c r="D263" s="15" t="s">
        <v>4339</v>
      </c>
      <c r="E263" s="15">
        <v>100</v>
      </c>
      <c r="F263" s="15" t="s">
        <v>4642</v>
      </c>
      <c r="G263" s="15" t="s">
        <v>4643</v>
      </c>
      <c r="H263" s="15" t="s">
        <v>4644</v>
      </c>
      <c r="I263" s="15" t="s">
        <v>322</v>
      </c>
      <c r="J263" s="7" t="str">
        <f>HYPERLINK("https://www.codechef.com/problems/WORLDCUP", "https://www.codechef.com/problems/WORLDCUP")</f>
        <v>https://www.codechef.com/problems/WORLDCUP</v>
      </c>
      <c r="K263" s="15"/>
      <c r="L263" s="15"/>
      <c r="M263" s="15"/>
      <c r="N263" s="15" t="s">
        <v>50</v>
      </c>
      <c r="O263" s="15" t="s">
        <v>51</v>
      </c>
    </row>
    <row r="264" spans="1:15">
      <c r="A264" s="14" t="s">
        <v>12</v>
      </c>
      <c r="B264" s="14" t="s">
        <v>4422</v>
      </c>
      <c r="C264" s="14" t="s">
        <v>4423</v>
      </c>
      <c r="D264" s="14" t="s">
        <v>4339</v>
      </c>
      <c r="E264" s="14">
        <v>101</v>
      </c>
      <c r="F264" s="14" t="s">
        <v>4645</v>
      </c>
      <c r="G264" s="14" t="s">
        <v>4646</v>
      </c>
      <c r="H264" s="14" t="s">
        <v>4647</v>
      </c>
      <c r="I264" s="14" t="s">
        <v>322</v>
      </c>
      <c r="J264" s="11" t="str">
        <f>HYPERLINK("https://www.codechef.com/problems/RRPLAYER", "https://www.codechef.com/problems/RRPLAYER")</f>
        <v>https://www.codechef.com/problems/RRPLAYER</v>
      </c>
      <c r="K264" s="14"/>
      <c r="L264" s="14"/>
      <c r="M264" s="14"/>
      <c r="N264" s="14" t="s">
        <v>50</v>
      </c>
      <c r="O264" s="14" t="s">
        <v>51</v>
      </c>
    </row>
    <row r="265" spans="1:15">
      <c r="A265" s="15" t="s">
        <v>12</v>
      </c>
      <c r="B265" s="15" t="s">
        <v>4422</v>
      </c>
      <c r="C265" s="15" t="s">
        <v>4423</v>
      </c>
      <c r="D265" s="15" t="s">
        <v>4339</v>
      </c>
      <c r="E265" s="15">
        <v>102</v>
      </c>
      <c r="F265" s="15" t="s">
        <v>4648</v>
      </c>
      <c r="G265" s="15" t="s">
        <v>4649</v>
      </c>
      <c r="H265" s="15" t="s">
        <v>4650</v>
      </c>
      <c r="I265" s="15" t="s">
        <v>322</v>
      </c>
      <c r="J265" s="7" t="str">
        <f>HYPERLINK("https://www.codechef.com/problems/ODDBIN", "https://www.codechef.com/problems/ODDBIN")</f>
        <v>https://www.codechef.com/problems/ODDBIN</v>
      </c>
      <c r="K265" s="15"/>
      <c r="L265" s="15"/>
      <c r="M265" s="15"/>
      <c r="N265" s="15" t="s">
        <v>50</v>
      </c>
      <c r="O265" s="15" t="s">
        <v>51</v>
      </c>
    </row>
    <row r="266" spans="1:15">
      <c r="A266" s="14" t="s">
        <v>12</v>
      </c>
      <c r="B266" s="14" t="s">
        <v>4422</v>
      </c>
      <c r="C266" s="14" t="s">
        <v>4423</v>
      </c>
      <c r="D266" s="14" t="s">
        <v>4651</v>
      </c>
      <c r="E266" s="14">
        <v>103</v>
      </c>
      <c r="F266" s="14" t="s">
        <v>4652</v>
      </c>
      <c r="G266" s="14" t="s">
        <v>4653</v>
      </c>
      <c r="H266" s="14" t="s">
        <v>3578</v>
      </c>
      <c r="I266" s="14" t="s">
        <v>96</v>
      </c>
      <c r="J266" s="11" t="str">
        <f>HYPERLINK("https://www.codechef.com/problems/WOUT", "https://www.codechef.com/problems/WOUT")</f>
        <v>https://www.codechef.com/problems/WOUT</v>
      </c>
      <c r="K266" s="14"/>
      <c r="L266" s="14"/>
      <c r="M266" s="14"/>
      <c r="N266" s="14" t="s">
        <v>50</v>
      </c>
      <c r="O266" s="14" t="s">
        <v>51</v>
      </c>
    </row>
    <row r="267" spans="1:15">
      <c r="A267" s="15" t="s">
        <v>12</v>
      </c>
      <c r="B267" s="15" t="s">
        <v>4422</v>
      </c>
      <c r="C267" s="15" t="s">
        <v>4423</v>
      </c>
      <c r="D267" s="15" t="s">
        <v>4651</v>
      </c>
      <c r="E267" s="15">
        <v>104</v>
      </c>
      <c r="F267" s="15" t="s">
        <v>4654</v>
      </c>
      <c r="G267" s="15" t="s">
        <v>4655</v>
      </c>
      <c r="H267" s="15" t="s">
        <v>4656</v>
      </c>
      <c r="I267" s="15" t="s">
        <v>322</v>
      </c>
      <c r="J267" s="7" t="str">
        <f>HYPERLINK("https://www.codechef.com/problems/CHFQUEUE", "https://www.codechef.com/problems/CHFQUEUE")</f>
        <v>https://www.codechef.com/problems/CHFQUEUE</v>
      </c>
      <c r="K267" s="15"/>
      <c r="L267" s="15"/>
      <c r="M267" s="15"/>
      <c r="N267" s="15" t="s">
        <v>50</v>
      </c>
      <c r="O267" s="15" t="s">
        <v>51</v>
      </c>
    </row>
    <row r="268" spans="1:15">
      <c r="A268" s="14" t="s">
        <v>12</v>
      </c>
      <c r="B268" s="14" t="s">
        <v>4422</v>
      </c>
      <c r="C268" s="14" t="s">
        <v>4423</v>
      </c>
      <c r="D268" s="14" t="s">
        <v>4651</v>
      </c>
      <c r="E268" s="14">
        <v>105</v>
      </c>
      <c r="F268" s="14" t="s">
        <v>4657</v>
      </c>
      <c r="G268" s="14" t="s">
        <v>4658</v>
      </c>
      <c r="H268" s="14" t="s">
        <v>4659</v>
      </c>
      <c r="I268" s="14" t="s">
        <v>96</v>
      </c>
      <c r="J268" s="11" t="str">
        <f>HYPERLINK("https://www.codechef.com/problems/HMAPPY1", "https://www.codechef.com/problems/HMAPPY1")</f>
        <v>https://www.codechef.com/problems/HMAPPY1</v>
      </c>
      <c r="K268" s="14"/>
      <c r="L268" s="14"/>
      <c r="M268" s="14"/>
      <c r="N268" s="14" t="s">
        <v>50</v>
      </c>
      <c r="O268" s="14" t="s">
        <v>51</v>
      </c>
    </row>
    <row r="269" spans="1:15">
      <c r="A269" s="15" t="s">
        <v>12</v>
      </c>
      <c r="B269" s="15" t="s">
        <v>4422</v>
      </c>
      <c r="C269" s="15" t="s">
        <v>4423</v>
      </c>
      <c r="D269" s="15" t="s">
        <v>4651</v>
      </c>
      <c r="E269" s="15">
        <v>106</v>
      </c>
      <c r="F269" s="15" t="s">
        <v>1482</v>
      </c>
      <c r="G269" s="15" t="s">
        <v>1483</v>
      </c>
      <c r="H269" s="15" t="s">
        <v>1484</v>
      </c>
      <c r="I269" s="15" t="s">
        <v>96</v>
      </c>
      <c r="J269" s="7" t="str">
        <f>HYPERLINK("https://www.codechef.com/problems/STRQ", "https://www.codechef.com/problems/STRQ")</f>
        <v>https://www.codechef.com/problems/STRQ</v>
      </c>
      <c r="K269" s="15"/>
      <c r="L269" s="15"/>
      <c r="M269" s="15"/>
      <c r="N269" s="15" t="s">
        <v>50</v>
      </c>
      <c r="O269" s="15" t="s">
        <v>51</v>
      </c>
    </row>
    <row r="270" spans="1:15">
      <c r="A270" s="14" t="s">
        <v>12</v>
      </c>
      <c r="B270" s="14" t="s">
        <v>4422</v>
      </c>
      <c r="C270" s="14" t="s">
        <v>4423</v>
      </c>
      <c r="D270" s="14" t="s">
        <v>4651</v>
      </c>
      <c r="E270" s="14">
        <v>107</v>
      </c>
      <c r="F270" s="14" t="s">
        <v>1479</v>
      </c>
      <c r="G270" s="14" t="s">
        <v>1480</v>
      </c>
      <c r="H270" s="14" t="s">
        <v>1481</v>
      </c>
      <c r="I270" s="14" t="s">
        <v>96</v>
      </c>
      <c r="J270" s="11" t="str">
        <f>HYPERLINK("https://www.codechef.com/problems/SEACO", "https://www.codechef.com/problems/SEACO")</f>
        <v>https://www.codechef.com/problems/SEACO</v>
      </c>
      <c r="K270" s="14"/>
      <c r="L270" s="14"/>
      <c r="M270" s="14"/>
      <c r="N270" s="14" t="s">
        <v>50</v>
      </c>
      <c r="O270" s="14" t="s">
        <v>51</v>
      </c>
    </row>
    <row r="271" spans="1:15">
      <c r="A271" s="15" t="s">
        <v>12</v>
      </c>
      <c r="B271" s="15" t="s">
        <v>4422</v>
      </c>
      <c r="C271" s="15" t="s">
        <v>4423</v>
      </c>
      <c r="D271" s="15" t="s">
        <v>4651</v>
      </c>
      <c r="E271" s="15">
        <v>108</v>
      </c>
      <c r="F271" s="15" t="s">
        <v>4660</v>
      </c>
      <c r="G271" s="15" t="s">
        <v>4661</v>
      </c>
      <c r="H271" s="15" t="s">
        <v>3662</v>
      </c>
      <c r="I271" s="15" t="s">
        <v>96</v>
      </c>
      <c r="J271" s="7" t="str">
        <f>HYPERLINK("https://www.codechef.com/problems/CHEFSUBA", "https://www.codechef.com/problems/CHEFSUBA")</f>
        <v>https://www.codechef.com/problems/CHEFSUBA</v>
      </c>
      <c r="K271" s="15"/>
      <c r="L271" s="15"/>
      <c r="M271" s="15"/>
      <c r="N271" s="15" t="s">
        <v>50</v>
      </c>
      <c r="O271" s="15" t="s">
        <v>51</v>
      </c>
    </row>
    <row r="272" spans="1:15">
      <c r="A272" s="14" t="s">
        <v>12</v>
      </c>
      <c r="B272" s="14" t="s">
        <v>4422</v>
      </c>
      <c r="C272" s="14" t="s">
        <v>4423</v>
      </c>
      <c r="D272" s="14" t="s">
        <v>4651</v>
      </c>
      <c r="E272" s="14">
        <v>109</v>
      </c>
      <c r="F272" s="14" t="s">
        <v>4662</v>
      </c>
      <c r="G272" s="14" t="s">
        <v>4663</v>
      </c>
      <c r="H272" s="14" t="s">
        <v>4664</v>
      </c>
      <c r="I272" s="14" t="s">
        <v>322</v>
      </c>
      <c r="J272" s="11" t="str">
        <f>HYPERLINK("https://www.codechef.com/problems/CSUBQ", "https://www.codechef.com/problems/CSUBQ")</f>
        <v>https://www.codechef.com/problems/CSUBQ</v>
      </c>
      <c r="K272" s="14"/>
      <c r="L272" s="14"/>
      <c r="M272" s="14"/>
      <c r="N272" s="14" t="s">
        <v>50</v>
      </c>
      <c r="O272" s="14" t="s">
        <v>51</v>
      </c>
    </row>
    <row r="273" spans="1:15">
      <c r="A273" s="15" t="s">
        <v>12</v>
      </c>
      <c r="B273" s="15" t="s">
        <v>4422</v>
      </c>
      <c r="C273" s="15" t="s">
        <v>4423</v>
      </c>
      <c r="D273" s="15" t="s">
        <v>4665</v>
      </c>
      <c r="E273" s="15">
        <v>110</v>
      </c>
      <c r="F273" s="15" t="s">
        <v>4666</v>
      </c>
      <c r="G273" s="15" t="s">
        <v>4667</v>
      </c>
      <c r="H273" s="15" t="s">
        <v>361</v>
      </c>
      <c r="I273" s="15" t="s">
        <v>96</v>
      </c>
      <c r="J273" s="7" t="str">
        <f>HYPERLINK("https://www.codechef.com/problems/NEWREST", "https://www.codechef.com/problems/NEWREST")</f>
        <v>https://www.codechef.com/problems/NEWREST</v>
      </c>
      <c r="K273" s="15"/>
      <c r="L273" s="15"/>
      <c r="M273" s="15"/>
      <c r="N273" s="15" t="s">
        <v>50</v>
      </c>
      <c r="O273" s="15" t="s">
        <v>51</v>
      </c>
    </row>
    <row r="274" spans="1:15">
      <c r="A274" s="14" t="s">
        <v>12</v>
      </c>
      <c r="B274" s="14" t="s">
        <v>4422</v>
      </c>
      <c r="C274" s="14" t="s">
        <v>4423</v>
      </c>
      <c r="D274" s="14" t="s">
        <v>4665</v>
      </c>
      <c r="E274" s="14">
        <v>111</v>
      </c>
      <c r="F274" s="14" t="s">
        <v>4668</v>
      </c>
      <c r="G274" s="14" t="s">
        <v>4669</v>
      </c>
      <c r="H274" s="14" t="s">
        <v>4670</v>
      </c>
      <c r="I274" s="14" t="s">
        <v>322</v>
      </c>
      <c r="J274" s="11" t="str">
        <f>HYPERLINK("https://www.codechef.com/problems/CHEFWD", "https://www.codechef.com/problems/CHEFWD")</f>
        <v>https://www.codechef.com/problems/CHEFWD</v>
      </c>
      <c r="K274" s="14"/>
      <c r="L274" s="14" t="s">
        <v>4671</v>
      </c>
      <c r="M274" s="14"/>
      <c r="N274" s="14" t="s">
        <v>50</v>
      </c>
      <c r="O274" s="14" t="s">
        <v>51</v>
      </c>
    </row>
    <row r="275" spans="1:15">
      <c r="A275" s="15" t="s">
        <v>12</v>
      </c>
      <c r="B275" s="15" t="s">
        <v>4422</v>
      </c>
      <c r="C275" s="15" t="s">
        <v>4423</v>
      </c>
      <c r="D275" s="15" t="s">
        <v>4665</v>
      </c>
      <c r="E275" s="15">
        <v>112</v>
      </c>
      <c r="F275" s="15" t="s">
        <v>4672</v>
      </c>
      <c r="G275" s="15" t="s">
        <v>4673</v>
      </c>
      <c r="H275" s="15" t="s">
        <v>4674</v>
      </c>
      <c r="I275" s="15" t="s">
        <v>322</v>
      </c>
      <c r="J275" s="7" t="str">
        <f>HYPERLINK("https://www.codechef.com/problems/OLYMPIC", "https://www.codechef.com/problems/OLYMPIC")</f>
        <v>https://www.codechef.com/problems/OLYMPIC</v>
      </c>
      <c r="K275" s="15"/>
      <c r="L275" s="15"/>
      <c r="M275" s="15"/>
      <c r="N275" s="15" t="s">
        <v>50</v>
      </c>
      <c r="O275" s="15" t="s">
        <v>51</v>
      </c>
    </row>
    <row r="276" spans="1:15">
      <c r="A276" s="14" t="s">
        <v>12</v>
      </c>
      <c r="B276" s="14" t="s">
        <v>4422</v>
      </c>
      <c r="C276" s="14" t="s">
        <v>4423</v>
      </c>
      <c r="D276" s="14" t="s">
        <v>4665</v>
      </c>
      <c r="E276" s="14">
        <v>113</v>
      </c>
      <c r="F276" s="14" t="s">
        <v>4675</v>
      </c>
      <c r="G276" s="14" t="s">
        <v>4676</v>
      </c>
      <c r="H276" s="14" t="s">
        <v>4677</v>
      </c>
      <c r="I276" s="14" t="s">
        <v>96</v>
      </c>
      <c r="J276" s="11" t="str">
        <f>HYPERLINK("https://www.codechef.com/problems/CNTWAYS", "https://www.codechef.com/problems/CNTWAYS")</f>
        <v>https://www.codechef.com/problems/CNTWAYS</v>
      </c>
      <c r="K276" s="14"/>
      <c r="L276" s="14"/>
      <c r="M276" s="14"/>
      <c r="N276" s="14" t="s">
        <v>50</v>
      </c>
      <c r="O276" s="14" t="s">
        <v>51</v>
      </c>
    </row>
    <row r="277" spans="1:15">
      <c r="A277" s="15" t="s">
        <v>12</v>
      </c>
      <c r="B277" s="15" t="s">
        <v>4422</v>
      </c>
      <c r="C277" s="15" t="s">
        <v>4423</v>
      </c>
      <c r="D277" s="15" t="s">
        <v>4665</v>
      </c>
      <c r="E277" s="15">
        <v>114</v>
      </c>
      <c r="F277" s="15" t="s">
        <v>4678</v>
      </c>
      <c r="G277" s="15" t="s">
        <v>4679</v>
      </c>
      <c r="H277" s="15"/>
      <c r="I277" s="15" t="s">
        <v>322</v>
      </c>
      <c r="J277" s="7" t="str">
        <f>HYPERLINK("https://www.codechef.com/problems/ADIMAT", "https://www.codechef.com/problems/ADIMAT")</f>
        <v>https://www.codechef.com/problems/ADIMAT</v>
      </c>
      <c r="K277" s="15"/>
      <c r="L277" s="15"/>
      <c r="M277" s="15"/>
      <c r="N277" s="15" t="s">
        <v>50</v>
      </c>
      <c r="O277" s="15" t="s">
        <v>51</v>
      </c>
    </row>
    <row r="278" spans="1:15">
      <c r="A278" s="14" t="s">
        <v>12</v>
      </c>
      <c r="B278" s="14" t="s">
        <v>4422</v>
      </c>
      <c r="C278" s="14" t="s">
        <v>4423</v>
      </c>
      <c r="D278" s="14" t="s">
        <v>4665</v>
      </c>
      <c r="E278" s="14">
        <v>115</v>
      </c>
      <c r="F278" s="14" t="s">
        <v>4680</v>
      </c>
      <c r="G278" s="14" t="s">
        <v>4681</v>
      </c>
      <c r="H278" s="14"/>
      <c r="I278" s="14" t="s">
        <v>322</v>
      </c>
      <c r="J278" s="11" t="str">
        <f>HYPERLINK("https://www.codechef.com/problems/INFDIV", "https://www.codechef.com/problems/INFDIV")</f>
        <v>https://www.codechef.com/problems/INFDIV</v>
      </c>
      <c r="K278" s="14"/>
      <c r="L278" s="14"/>
      <c r="M278" s="14"/>
      <c r="N278" s="14" t="s">
        <v>50</v>
      </c>
      <c r="O278" s="14" t="s">
        <v>51</v>
      </c>
    </row>
    <row r="279" spans="1:15">
      <c r="A279" s="15" t="s">
        <v>12</v>
      </c>
      <c r="B279" s="15" t="s">
        <v>4422</v>
      </c>
      <c r="C279" s="15" t="s">
        <v>4423</v>
      </c>
      <c r="D279" s="15" t="s">
        <v>4665</v>
      </c>
      <c r="E279" s="15">
        <v>116</v>
      </c>
      <c r="F279" s="15" t="s">
        <v>4682</v>
      </c>
      <c r="G279" s="15" t="s">
        <v>4683</v>
      </c>
      <c r="H279" s="15" t="s">
        <v>4684</v>
      </c>
      <c r="I279" s="15" t="s">
        <v>322</v>
      </c>
      <c r="J279" s="7" t="str">
        <f>HYPERLINK("https://www.codechef.com/problems/PTREE", "https://www.codechef.com/problems/PTREE")</f>
        <v>https://www.codechef.com/problems/PTREE</v>
      </c>
      <c r="K279" s="15"/>
      <c r="L279" s="15"/>
      <c r="M279" s="15"/>
      <c r="N279" s="15" t="s">
        <v>50</v>
      </c>
      <c r="O279" s="15" t="s">
        <v>51</v>
      </c>
    </row>
    <row r="280" spans="1:15">
      <c r="A280" s="14" t="s">
        <v>12</v>
      </c>
      <c r="B280" s="14" t="s">
        <v>4422</v>
      </c>
      <c r="C280" s="14" t="s">
        <v>4423</v>
      </c>
      <c r="D280" s="14" t="s">
        <v>4665</v>
      </c>
      <c r="E280" s="14">
        <v>117</v>
      </c>
      <c r="F280" s="14" t="s">
        <v>4685</v>
      </c>
      <c r="G280" s="14" t="s">
        <v>4686</v>
      </c>
      <c r="H280" s="14" t="s">
        <v>4687</v>
      </c>
      <c r="I280" s="14" t="s">
        <v>322</v>
      </c>
      <c r="J280" s="11" t="str">
        <f>HYPERLINK("https://www.codechef.com/problems/TREDEG", "https://www.codechef.com/problems/TREDEG")</f>
        <v>https://www.codechef.com/problems/TREDEG</v>
      </c>
      <c r="K280" s="14"/>
      <c r="L280" s="14"/>
      <c r="M280" s="14"/>
      <c r="N280" s="14" t="s">
        <v>50</v>
      </c>
      <c r="O280" s="14" t="s">
        <v>51</v>
      </c>
    </row>
    <row r="281" spans="1:15">
      <c r="A281" s="15" t="s">
        <v>12</v>
      </c>
      <c r="B281" s="15" t="s">
        <v>4422</v>
      </c>
      <c r="C281" s="15" t="s">
        <v>4423</v>
      </c>
      <c r="D281" s="15" t="s">
        <v>4665</v>
      </c>
      <c r="E281" s="15">
        <v>118</v>
      </c>
      <c r="F281" s="15" t="s">
        <v>4688</v>
      </c>
      <c r="G281" s="15" t="s">
        <v>4689</v>
      </c>
      <c r="H281" s="15"/>
      <c r="I281" s="15" t="s">
        <v>322</v>
      </c>
      <c r="J281" s="7" t="str">
        <f>HYPERLINK("https://www.codechef.com/problems/MOBCNT", "https://www.codechef.com/problems/MOBCNT")</f>
        <v>https://www.codechef.com/problems/MOBCNT</v>
      </c>
      <c r="K281" s="15"/>
      <c r="L281" s="15"/>
      <c r="M281" s="15"/>
      <c r="N281" s="15" t="s">
        <v>50</v>
      </c>
      <c r="O281" s="15" t="s">
        <v>51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dimension ref="A1:O1368"/>
  <sheetViews>
    <sheetView workbookViewId="0"/>
  </sheetViews>
  <sheetFormatPr defaultRowHeight="14.5"/>
  <cols>
    <col min="1" max="1" width="22" customWidth="1"/>
    <col min="2" max="2" width="41" customWidth="1"/>
    <col min="3" max="3" width="224" customWidth="1"/>
    <col min="4" max="4" width="110" customWidth="1"/>
    <col min="5" max="5" width="16" customWidth="1"/>
    <col min="6" max="6" width="55" customWidth="1"/>
    <col min="7" max="7" width="15" customWidth="1"/>
    <col min="8" max="8" width="20" customWidth="1"/>
    <col min="9" max="9" width="19" customWidth="1"/>
    <col min="10" max="10" width="15" customWidth="1"/>
    <col min="11" max="11" width="17" customWidth="1"/>
    <col min="12" max="12" width="41" customWidth="1"/>
    <col min="13"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13</v>
      </c>
      <c r="B2" s="14" t="s">
        <v>4690</v>
      </c>
      <c r="C2" s="14" t="s">
        <v>4691</v>
      </c>
      <c r="D2" s="14" t="s">
        <v>4692</v>
      </c>
      <c r="E2" s="14">
        <v>1</v>
      </c>
      <c r="F2" s="14" t="s">
        <v>4693</v>
      </c>
      <c r="G2" s="14" t="s">
        <v>4694</v>
      </c>
      <c r="H2" s="14"/>
      <c r="I2" s="14" t="s">
        <v>49</v>
      </c>
      <c r="J2" s="11" t="str">
        <f>HYPERLINK("https://www.codechef.com/problems/PYMCQ01", "https://www.codechef.com/problems/PYMCQ01")</f>
        <v>https://www.codechef.com/problems/PYMCQ01</v>
      </c>
      <c r="K2" s="14"/>
      <c r="L2" s="14"/>
      <c r="M2" s="14"/>
      <c r="N2" s="14" t="s">
        <v>50</v>
      </c>
      <c r="O2" s="14" t="s">
        <v>51</v>
      </c>
    </row>
    <row r="3" spans="1:15">
      <c r="A3" s="15" t="s">
        <v>13</v>
      </c>
      <c r="B3" s="15" t="s">
        <v>4690</v>
      </c>
      <c r="C3" s="15" t="s">
        <v>4691</v>
      </c>
      <c r="D3" s="15" t="s">
        <v>4692</v>
      </c>
      <c r="E3" s="15">
        <v>2</v>
      </c>
      <c r="F3" s="15" t="s">
        <v>4695</v>
      </c>
      <c r="G3" s="15" t="s">
        <v>4696</v>
      </c>
      <c r="H3" s="15"/>
      <c r="I3" s="15" t="s">
        <v>49</v>
      </c>
      <c r="J3" s="7" t="str">
        <f>HYPERLINK("https://www.codechef.com/problems/PYMCQ02", "https://www.codechef.com/problems/PYMCQ02")</f>
        <v>https://www.codechef.com/problems/PYMCQ02</v>
      </c>
      <c r="K3" s="15"/>
      <c r="L3" s="15"/>
      <c r="M3" s="15"/>
      <c r="N3" s="15" t="s">
        <v>50</v>
      </c>
      <c r="O3" s="15" t="s">
        <v>51</v>
      </c>
    </row>
    <row r="4" spans="1:15">
      <c r="A4" s="14" t="s">
        <v>13</v>
      </c>
      <c r="B4" s="14" t="s">
        <v>4690</v>
      </c>
      <c r="C4" s="14" t="s">
        <v>4691</v>
      </c>
      <c r="D4" s="14" t="s">
        <v>4692</v>
      </c>
      <c r="E4" s="14">
        <v>3</v>
      </c>
      <c r="F4" s="14" t="s">
        <v>3925</v>
      </c>
      <c r="G4" s="14" t="s">
        <v>4697</v>
      </c>
      <c r="H4" s="14"/>
      <c r="I4" s="14" t="s">
        <v>49</v>
      </c>
      <c r="J4" s="11" t="str">
        <f>HYPERLINK("https://www.codechef.com/problems/PYMCQ03", "https://www.codechef.com/problems/PYMCQ03")</f>
        <v>https://www.codechef.com/problems/PYMCQ03</v>
      </c>
      <c r="K4" s="14"/>
      <c r="L4" s="14"/>
      <c r="M4" s="14"/>
      <c r="N4" s="14" t="s">
        <v>50</v>
      </c>
      <c r="O4" s="14" t="s">
        <v>51</v>
      </c>
    </row>
    <row r="5" spans="1:15">
      <c r="A5" s="15" t="s">
        <v>13</v>
      </c>
      <c r="B5" s="15" t="s">
        <v>4690</v>
      </c>
      <c r="C5" s="15" t="s">
        <v>4691</v>
      </c>
      <c r="D5" s="15" t="s">
        <v>4692</v>
      </c>
      <c r="E5" s="15">
        <v>4</v>
      </c>
      <c r="F5" s="15" t="s">
        <v>4698</v>
      </c>
      <c r="G5" s="15" t="s">
        <v>4699</v>
      </c>
      <c r="H5" s="15"/>
      <c r="I5" s="15" t="s">
        <v>49</v>
      </c>
      <c r="J5" s="7" t="str">
        <f>HYPERLINK("https://www.codechef.com/problems/PYMCQ04", "https://www.codechef.com/problems/PYMCQ04")</f>
        <v>https://www.codechef.com/problems/PYMCQ04</v>
      </c>
      <c r="K5" s="15"/>
      <c r="L5" s="15"/>
      <c r="M5" s="15"/>
      <c r="N5" s="15" t="s">
        <v>50</v>
      </c>
      <c r="O5" s="15" t="s">
        <v>51</v>
      </c>
    </row>
    <row r="6" spans="1:15">
      <c r="A6" s="14" t="s">
        <v>13</v>
      </c>
      <c r="B6" s="14" t="s">
        <v>4690</v>
      </c>
      <c r="C6" s="14" t="s">
        <v>4691</v>
      </c>
      <c r="D6" s="14" t="s">
        <v>4692</v>
      </c>
      <c r="E6" s="14">
        <v>5</v>
      </c>
      <c r="F6" s="14" t="s">
        <v>4700</v>
      </c>
      <c r="G6" s="14" t="s">
        <v>4701</v>
      </c>
      <c r="H6" s="14"/>
      <c r="I6" s="14" t="s">
        <v>49</v>
      </c>
      <c r="J6" s="11" t="str">
        <f>HYPERLINK("https://www.codechef.com/problems/PYMCQ05", "https://www.codechef.com/problems/PYMCQ05")</f>
        <v>https://www.codechef.com/problems/PYMCQ05</v>
      </c>
      <c r="K6" s="14"/>
      <c r="L6" s="14"/>
      <c r="M6" s="14"/>
      <c r="N6" s="14" t="s">
        <v>50</v>
      </c>
      <c r="O6" s="14" t="s">
        <v>51</v>
      </c>
    </row>
    <row r="7" spans="1:15">
      <c r="A7" s="15" t="s">
        <v>13</v>
      </c>
      <c r="B7" s="15" t="s">
        <v>4690</v>
      </c>
      <c r="C7" s="15" t="s">
        <v>4691</v>
      </c>
      <c r="D7" s="15" t="s">
        <v>4692</v>
      </c>
      <c r="E7" s="15">
        <v>6</v>
      </c>
      <c r="F7" s="15" t="s">
        <v>4702</v>
      </c>
      <c r="G7" s="15" t="s">
        <v>4703</v>
      </c>
      <c r="H7" s="15"/>
      <c r="I7" s="15" t="s">
        <v>49</v>
      </c>
      <c r="J7" s="7" t="str">
        <f>HYPERLINK("https://www.codechef.com/problems/PYMCQ06", "https://www.codechef.com/problems/PYMCQ06")</f>
        <v>https://www.codechef.com/problems/PYMCQ06</v>
      </c>
      <c r="K7" s="15"/>
      <c r="L7" s="15"/>
      <c r="M7" s="15"/>
      <c r="N7" s="15" t="s">
        <v>50</v>
      </c>
      <c r="O7" s="15" t="s">
        <v>51</v>
      </c>
    </row>
    <row r="8" spans="1:15">
      <c r="A8" s="14" t="s">
        <v>13</v>
      </c>
      <c r="B8" s="14" t="s">
        <v>4690</v>
      </c>
      <c r="C8" s="14" t="s">
        <v>4691</v>
      </c>
      <c r="D8" s="14" t="s">
        <v>4692</v>
      </c>
      <c r="E8" s="14">
        <v>7</v>
      </c>
      <c r="F8" s="14" t="s">
        <v>4704</v>
      </c>
      <c r="G8" s="14" t="s">
        <v>4705</v>
      </c>
      <c r="H8" s="14"/>
      <c r="I8" s="14" t="s">
        <v>49</v>
      </c>
      <c r="J8" s="11" t="str">
        <f>HYPERLINK("https://www.codechef.com/problems/PYMCQ07", "https://www.codechef.com/problems/PYMCQ07")</f>
        <v>https://www.codechef.com/problems/PYMCQ07</v>
      </c>
      <c r="K8" s="14"/>
      <c r="L8" s="14"/>
      <c r="M8" s="14"/>
      <c r="N8" s="14" t="s">
        <v>50</v>
      </c>
      <c r="O8" s="14" t="s">
        <v>51</v>
      </c>
    </row>
    <row r="9" spans="1:15">
      <c r="A9" s="15" t="s">
        <v>13</v>
      </c>
      <c r="B9" s="15" t="s">
        <v>4690</v>
      </c>
      <c r="C9" s="15" t="s">
        <v>4691</v>
      </c>
      <c r="D9" s="15" t="s">
        <v>4692</v>
      </c>
      <c r="E9" s="15">
        <v>8</v>
      </c>
      <c r="F9" s="15" t="s">
        <v>4706</v>
      </c>
      <c r="G9" s="15" t="s">
        <v>4707</v>
      </c>
      <c r="H9" s="15"/>
      <c r="I9" s="15" t="s">
        <v>49</v>
      </c>
      <c r="J9" s="7" t="str">
        <f>HYPERLINK("https://www.codechef.com/problems/PYMCQ08", "https://www.codechef.com/problems/PYMCQ08")</f>
        <v>https://www.codechef.com/problems/PYMCQ08</v>
      </c>
      <c r="K9" s="15"/>
      <c r="L9" s="15"/>
      <c r="M9" s="15"/>
      <c r="N9" s="15" t="s">
        <v>50</v>
      </c>
      <c r="O9" s="15" t="s">
        <v>51</v>
      </c>
    </row>
    <row r="10" spans="1:15">
      <c r="A10" s="14" t="s">
        <v>13</v>
      </c>
      <c r="B10" s="14" t="s">
        <v>4690</v>
      </c>
      <c r="C10" s="14" t="s">
        <v>4691</v>
      </c>
      <c r="D10" s="14" t="s">
        <v>4692</v>
      </c>
      <c r="E10" s="14">
        <v>9</v>
      </c>
      <c r="F10" s="14" t="s">
        <v>4708</v>
      </c>
      <c r="G10" s="14" t="s">
        <v>4709</v>
      </c>
      <c r="H10" s="14"/>
      <c r="I10" s="14" t="s">
        <v>49</v>
      </c>
      <c r="J10" s="11" t="str">
        <f>HYPERLINK("https://www.codechef.com/problems/PYMCQ09", "https://www.codechef.com/problems/PYMCQ09")</f>
        <v>https://www.codechef.com/problems/PYMCQ09</v>
      </c>
      <c r="K10" s="14"/>
      <c r="L10" s="14"/>
      <c r="M10" s="14"/>
      <c r="N10" s="14" t="s">
        <v>50</v>
      </c>
      <c r="O10" s="14" t="s">
        <v>51</v>
      </c>
    </row>
    <row r="11" spans="1:15">
      <c r="A11" s="15" t="s">
        <v>13</v>
      </c>
      <c r="B11" s="15" t="s">
        <v>4690</v>
      </c>
      <c r="C11" s="15" t="s">
        <v>4691</v>
      </c>
      <c r="D11" s="15" t="s">
        <v>4692</v>
      </c>
      <c r="E11" s="15">
        <v>10</v>
      </c>
      <c r="F11" s="15" t="s">
        <v>4710</v>
      </c>
      <c r="G11" s="15" t="s">
        <v>4711</v>
      </c>
      <c r="H11" s="15"/>
      <c r="I11" s="15" t="s">
        <v>49</v>
      </c>
      <c r="J11" s="7" t="str">
        <f>HYPERLINK("https://www.codechef.com/problems/PYMCQ10", "https://www.codechef.com/problems/PYMCQ10")</f>
        <v>https://www.codechef.com/problems/PYMCQ10</v>
      </c>
      <c r="K11" s="15"/>
      <c r="L11" s="15"/>
      <c r="M11" s="15"/>
      <c r="N11" s="15" t="s">
        <v>50</v>
      </c>
      <c r="O11" s="15" t="s">
        <v>51</v>
      </c>
    </row>
    <row r="12" spans="1:15">
      <c r="A12" s="14" t="s">
        <v>13</v>
      </c>
      <c r="B12" s="14" t="s">
        <v>4690</v>
      </c>
      <c r="C12" s="14" t="s">
        <v>4691</v>
      </c>
      <c r="D12" s="14" t="s">
        <v>4712</v>
      </c>
      <c r="E12" s="14">
        <v>11</v>
      </c>
      <c r="F12" s="14" t="s">
        <v>4713</v>
      </c>
      <c r="G12" s="14" t="s">
        <v>4714</v>
      </c>
      <c r="H12" s="14"/>
      <c r="I12" s="14" t="s">
        <v>49</v>
      </c>
      <c r="J12" s="11" t="str">
        <f>HYPERLINK("https://www.codechef.com/problems/PYMCQ11", "https://www.codechef.com/problems/PYMCQ11")</f>
        <v>https://www.codechef.com/problems/PYMCQ11</v>
      </c>
      <c r="K12" s="14"/>
      <c r="L12" s="14"/>
      <c r="M12" s="14"/>
      <c r="N12" s="14" t="s">
        <v>50</v>
      </c>
      <c r="O12" s="14" t="s">
        <v>51</v>
      </c>
    </row>
    <row r="13" spans="1:15">
      <c r="A13" s="15" t="s">
        <v>13</v>
      </c>
      <c r="B13" s="15" t="s">
        <v>4690</v>
      </c>
      <c r="C13" s="15" t="s">
        <v>4691</v>
      </c>
      <c r="D13" s="15" t="s">
        <v>4712</v>
      </c>
      <c r="E13" s="15">
        <v>12</v>
      </c>
      <c r="F13" s="15" t="s">
        <v>4715</v>
      </c>
      <c r="G13" s="15" t="s">
        <v>4716</v>
      </c>
      <c r="H13" s="15"/>
      <c r="I13" s="15" t="s">
        <v>49</v>
      </c>
      <c r="J13" s="7" t="str">
        <f>HYPERLINK("https://www.codechef.com/problems/PYMCQ12", "https://www.codechef.com/problems/PYMCQ12")</f>
        <v>https://www.codechef.com/problems/PYMCQ12</v>
      </c>
      <c r="K13" s="15"/>
      <c r="L13" s="15"/>
      <c r="M13" s="15"/>
      <c r="N13" s="15" t="s">
        <v>50</v>
      </c>
      <c r="O13" s="15" t="s">
        <v>51</v>
      </c>
    </row>
    <row r="14" spans="1:15">
      <c r="A14" s="14" t="s">
        <v>13</v>
      </c>
      <c r="B14" s="14" t="s">
        <v>4690</v>
      </c>
      <c r="C14" s="14" t="s">
        <v>4691</v>
      </c>
      <c r="D14" s="14" t="s">
        <v>4712</v>
      </c>
      <c r="E14" s="14">
        <v>13</v>
      </c>
      <c r="F14" s="14" t="s">
        <v>4717</v>
      </c>
      <c r="G14" s="14" t="s">
        <v>4718</v>
      </c>
      <c r="H14" s="14"/>
      <c r="I14" s="14" t="s">
        <v>49</v>
      </c>
      <c r="J14" s="11" t="str">
        <f>HYPERLINK("https://www.codechef.com/problems/PYMCQ13", "https://www.codechef.com/problems/PYMCQ13")</f>
        <v>https://www.codechef.com/problems/PYMCQ13</v>
      </c>
      <c r="K14" s="14"/>
      <c r="L14" s="14"/>
      <c r="M14" s="14"/>
      <c r="N14" s="14" t="s">
        <v>50</v>
      </c>
      <c r="O14" s="14" t="s">
        <v>51</v>
      </c>
    </row>
    <row r="15" spans="1:15">
      <c r="A15" s="15" t="s">
        <v>13</v>
      </c>
      <c r="B15" s="15" t="s">
        <v>4690</v>
      </c>
      <c r="C15" s="15" t="s">
        <v>4691</v>
      </c>
      <c r="D15" s="15" t="s">
        <v>4712</v>
      </c>
      <c r="E15" s="15">
        <v>14</v>
      </c>
      <c r="F15" s="15" t="s">
        <v>4719</v>
      </c>
      <c r="G15" s="15" t="s">
        <v>4720</v>
      </c>
      <c r="H15" s="15"/>
      <c r="I15" s="15" t="s">
        <v>49</v>
      </c>
      <c r="J15" s="7" t="str">
        <f>HYPERLINK("https://www.codechef.com/problems/PYMCQ14", "https://www.codechef.com/problems/PYMCQ14")</f>
        <v>https://www.codechef.com/problems/PYMCQ14</v>
      </c>
      <c r="K15" s="15"/>
      <c r="L15" s="15"/>
      <c r="M15" s="15"/>
      <c r="N15" s="15" t="s">
        <v>50</v>
      </c>
      <c r="O15" s="15" t="s">
        <v>51</v>
      </c>
    </row>
    <row r="16" spans="1:15">
      <c r="A16" s="14" t="s">
        <v>13</v>
      </c>
      <c r="B16" s="14" t="s">
        <v>4690</v>
      </c>
      <c r="C16" s="14" t="s">
        <v>4691</v>
      </c>
      <c r="D16" s="14" t="s">
        <v>4712</v>
      </c>
      <c r="E16" s="14">
        <v>15</v>
      </c>
      <c r="F16" s="14" t="s">
        <v>4721</v>
      </c>
      <c r="G16" s="14" t="s">
        <v>4722</v>
      </c>
      <c r="H16" s="14"/>
      <c r="I16" s="14" t="s">
        <v>49</v>
      </c>
      <c r="J16" s="11" t="str">
        <f>HYPERLINK("https://www.codechef.com/problems/PYMCQ15", "https://www.codechef.com/problems/PYMCQ15")</f>
        <v>https://www.codechef.com/problems/PYMCQ15</v>
      </c>
      <c r="K16" s="14"/>
      <c r="L16" s="14"/>
      <c r="M16" s="14"/>
      <c r="N16" s="14" t="s">
        <v>50</v>
      </c>
      <c r="O16" s="14" t="s">
        <v>51</v>
      </c>
    </row>
    <row r="17" spans="1:15">
      <c r="A17" s="15" t="s">
        <v>13</v>
      </c>
      <c r="B17" s="15" t="s">
        <v>4690</v>
      </c>
      <c r="C17" s="15" t="s">
        <v>4691</v>
      </c>
      <c r="D17" s="15" t="s">
        <v>4712</v>
      </c>
      <c r="E17" s="15">
        <v>16</v>
      </c>
      <c r="F17" s="15" t="s">
        <v>4723</v>
      </c>
      <c r="G17" s="15" t="s">
        <v>4724</v>
      </c>
      <c r="H17" s="15"/>
      <c r="I17" s="15" t="s">
        <v>49</v>
      </c>
      <c r="J17" s="7" t="str">
        <f>HYPERLINK("https://www.codechef.com/problems/PYMCQ16", "https://www.codechef.com/problems/PYMCQ16")</f>
        <v>https://www.codechef.com/problems/PYMCQ16</v>
      </c>
      <c r="K17" s="15"/>
      <c r="L17" s="15"/>
      <c r="M17" s="15"/>
      <c r="N17" s="15" t="s">
        <v>50</v>
      </c>
      <c r="O17" s="15" t="s">
        <v>51</v>
      </c>
    </row>
    <row r="18" spans="1:15">
      <c r="A18" s="14" t="s">
        <v>13</v>
      </c>
      <c r="B18" s="14" t="s">
        <v>4690</v>
      </c>
      <c r="C18" s="14" t="s">
        <v>4691</v>
      </c>
      <c r="D18" s="14" t="s">
        <v>4712</v>
      </c>
      <c r="E18" s="14">
        <v>17</v>
      </c>
      <c r="F18" s="14" t="s">
        <v>4725</v>
      </c>
      <c r="G18" s="14" t="s">
        <v>4726</v>
      </c>
      <c r="H18" s="14"/>
      <c r="I18" s="14" t="s">
        <v>49</v>
      </c>
      <c r="J18" s="11" t="str">
        <f>HYPERLINK("https://www.codechef.com/problems/PYMCQ17", "https://www.codechef.com/problems/PYMCQ17")</f>
        <v>https://www.codechef.com/problems/PYMCQ17</v>
      </c>
      <c r="K18" s="14"/>
      <c r="L18" s="14"/>
      <c r="M18" s="14"/>
      <c r="N18" s="14" t="s">
        <v>50</v>
      </c>
      <c r="O18" s="14" t="s">
        <v>51</v>
      </c>
    </row>
    <row r="19" spans="1:15">
      <c r="A19" s="15" t="s">
        <v>13</v>
      </c>
      <c r="B19" s="15" t="s">
        <v>4690</v>
      </c>
      <c r="C19" s="15" t="s">
        <v>4691</v>
      </c>
      <c r="D19" s="15" t="s">
        <v>4712</v>
      </c>
      <c r="E19" s="15">
        <v>18</v>
      </c>
      <c r="F19" s="15" t="s">
        <v>4727</v>
      </c>
      <c r="G19" s="15" t="s">
        <v>4728</v>
      </c>
      <c r="H19" s="15"/>
      <c r="I19" s="15" t="s">
        <v>49</v>
      </c>
      <c r="J19" s="7" t="str">
        <f>HYPERLINK("https://www.codechef.com/problems/PYMCQ18", "https://www.codechef.com/problems/PYMCQ18")</f>
        <v>https://www.codechef.com/problems/PYMCQ18</v>
      </c>
      <c r="K19" s="15"/>
      <c r="L19" s="15"/>
      <c r="M19" s="15"/>
      <c r="N19" s="15" t="s">
        <v>50</v>
      </c>
      <c r="O19" s="15" t="s">
        <v>51</v>
      </c>
    </row>
    <row r="20" spans="1:15">
      <c r="A20" s="14" t="s">
        <v>13</v>
      </c>
      <c r="B20" s="14" t="s">
        <v>4690</v>
      </c>
      <c r="C20" s="14" t="s">
        <v>4691</v>
      </c>
      <c r="D20" s="14" t="s">
        <v>4712</v>
      </c>
      <c r="E20" s="14">
        <v>19</v>
      </c>
      <c r="F20" s="14" t="s">
        <v>4729</v>
      </c>
      <c r="G20" s="14" t="s">
        <v>4730</v>
      </c>
      <c r="H20" s="14"/>
      <c r="I20" s="14" t="s">
        <v>49</v>
      </c>
      <c r="J20" s="11" t="str">
        <f>HYPERLINK("https://www.codechef.com/problems/PYMCQ19", "https://www.codechef.com/problems/PYMCQ19")</f>
        <v>https://www.codechef.com/problems/PYMCQ19</v>
      </c>
      <c r="K20" s="14"/>
      <c r="L20" s="14"/>
      <c r="M20" s="14"/>
      <c r="N20" s="14" t="s">
        <v>50</v>
      </c>
      <c r="O20" s="14" t="s">
        <v>51</v>
      </c>
    </row>
    <row r="21" spans="1:15">
      <c r="A21" s="15" t="s">
        <v>13</v>
      </c>
      <c r="B21" s="15" t="s">
        <v>4690</v>
      </c>
      <c r="C21" s="15" t="s">
        <v>4691</v>
      </c>
      <c r="D21" s="15" t="s">
        <v>4712</v>
      </c>
      <c r="E21" s="15">
        <v>20</v>
      </c>
      <c r="F21" s="15" t="s">
        <v>4731</v>
      </c>
      <c r="G21" s="15" t="s">
        <v>4732</v>
      </c>
      <c r="H21" s="15"/>
      <c r="I21" s="15" t="s">
        <v>49</v>
      </c>
      <c r="J21" s="7" t="str">
        <f>HYPERLINK("https://www.codechef.com/problems/PYMCQ20", "https://www.codechef.com/problems/PYMCQ20")</f>
        <v>https://www.codechef.com/problems/PYMCQ20</v>
      </c>
      <c r="K21" s="15"/>
      <c r="L21" s="15"/>
      <c r="M21" s="15"/>
      <c r="N21" s="15" t="s">
        <v>50</v>
      </c>
      <c r="O21" s="15" t="s">
        <v>51</v>
      </c>
    </row>
    <row r="22" spans="1:15">
      <c r="A22" s="14" t="s">
        <v>13</v>
      </c>
      <c r="B22" s="14" t="s">
        <v>4690</v>
      </c>
      <c r="C22" s="14" t="s">
        <v>4691</v>
      </c>
      <c r="D22" s="14" t="s">
        <v>4733</v>
      </c>
      <c r="E22" s="14">
        <v>21</v>
      </c>
      <c r="F22" s="14" t="s">
        <v>4734</v>
      </c>
      <c r="G22" s="14" t="s">
        <v>4735</v>
      </c>
      <c r="H22" s="14"/>
      <c r="I22" s="14" t="s">
        <v>49</v>
      </c>
      <c r="J22" s="11" t="str">
        <f>HYPERLINK("https://www.codechef.com/problems/PYMCQ21", "https://www.codechef.com/problems/PYMCQ21")</f>
        <v>https://www.codechef.com/problems/PYMCQ21</v>
      </c>
      <c r="K22" s="14"/>
      <c r="L22" s="14"/>
      <c r="M22" s="14"/>
      <c r="N22" s="14" t="s">
        <v>50</v>
      </c>
      <c r="O22" s="14" t="s">
        <v>51</v>
      </c>
    </row>
    <row r="23" spans="1:15">
      <c r="A23" s="15" t="s">
        <v>13</v>
      </c>
      <c r="B23" s="15" t="s">
        <v>4690</v>
      </c>
      <c r="C23" s="15" t="s">
        <v>4691</v>
      </c>
      <c r="D23" s="15" t="s">
        <v>4733</v>
      </c>
      <c r="E23" s="15">
        <v>22</v>
      </c>
      <c r="F23" s="15" t="s">
        <v>4736</v>
      </c>
      <c r="G23" s="15" t="s">
        <v>4737</v>
      </c>
      <c r="H23" s="15"/>
      <c r="I23" s="15" t="s">
        <v>49</v>
      </c>
      <c r="J23" s="7" t="str">
        <f>HYPERLINK("https://www.codechef.com/problems/PYMCQ22", "https://www.codechef.com/problems/PYMCQ22")</f>
        <v>https://www.codechef.com/problems/PYMCQ22</v>
      </c>
      <c r="K23" s="15"/>
      <c r="L23" s="15"/>
      <c r="M23" s="15"/>
      <c r="N23" s="15" t="s">
        <v>50</v>
      </c>
      <c r="O23" s="15" t="s">
        <v>51</v>
      </c>
    </row>
    <row r="24" spans="1:15">
      <c r="A24" s="14" t="s">
        <v>13</v>
      </c>
      <c r="B24" s="14" t="s">
        <v>4690</v>
      </c>
      <c r="C24" s="14" t="s">
        <v>4691</v>
      </c>
      <c r="D24" s="14" t="s">
        <v>4733</v>
      </c>
      <c r="E24" s="14">
        <v>23</v>
      </c>
      <c r="F24" s="14" t="s">
        <v>4738</v>
      </c>
      <c r="G24" s="14" t="s">
        <v>4739</v>
      </c>
      <c r="H24" s="14"/>
      <c r="I24" s="14" t="s">
        <v>49</v>
      </c>
      <c r="J24" s="11" t="str">
        <f>HYPERLINK("https://www.codechef.com/problems/PYMCQ23", "https://www.codechef.com/problems/PYMCQ23")</f>
        <v>https://www.codechef.com/problems/PYMCQ23</v>
      </c>
      <c r="K24" s="14"/>
      <c r="L24" s="14"/>
      <c r="M24" s="14"/>
      <c r="N24" s="14" t="s">
        <v>50</v>
      </c>
      <c r="O24" s="14" t="s">
        <v>51</v>
      </c>
    </row>
    <row r="25" spans="1:15">
      <c r="A25" s="15" t="s">
        <v>13</v>
      </c>
      <c r="B25" s="15" t="s">
        <v>4690</v>
      </c>
      <c r="C25" s="15" t="s">
        <v>4691</v>
      </c>
      <c r="D25" s="15" t="s">
        <v>4733</v>
      </c>
      <c r="E25" s="15">
        <v>24</v>
      </c>
      <c r="F25" s="15" t="s">
        <v>4740</v>
      </c>
      <c r="G25" s="15" t="s">
        <v>4741</v>
      </c>
      <c r="H25" s="15"/>
      <c r="I25" s="15" t="s">
        <v>49</v>
      </c>
      <c r="J25" s="7" t="str">
        <f>HYPERLINK("https://www.codechef.com/problems/PYMCQ24", "https://www.codechef.com/problems/PYMCQ24")</f>
        <v>https://www.codechef.com/problems/PYMCQ24</v>
      </c>
      <c r="K25" s="15"/>
      <c r="L25" s="15"/>
      <c r="M25" s="15"/>
      <c r="N25" s="15" t="s">
        <v>50</v>
      </c>
      <c r="O25" s="15" t="s">
        <v>51</v>
      </c>
    </row>
    <row r="26" spans="1:15">
      <c r="A26" s="14" t="s">
        <v>13</v>
      </c>
      <c r="B26" s="14" t="s">
        <v>4690</v>
      </c>
      <c r="C26" s="14" t="s">
        <v>4691</v>
      </c>
      <c r="D26" s="14" t="s">
        <v>4733</v>
      </c>
      <c r="E26" s="14">
        <v>25</v>
      </c>
      <c r="F26" s="14" t="s">
        <v>4742</v>
      </c>
      <c r="G26" s="14" t="s">
        <v>4743</v>
      </c>
      <c r="H26" s="14"/>
      <c r="I26" s="14" t="s">
        <v>49</v>
      </c>
      <c r="J26" s="11" t="str">
        <f>HYPERLINK("https://www.codechef.com/problems/PYMCQ25", "https://www.codechef.com/problems/PYMCQ25")</f>
        <v>https://www.codechef.com/problems/PYMCQ25</v>
      </c>
      <c r="K26" s="14"/>
      <c r="L26" s="14"/>
      <c r="M26" s="14"/>
      <c r="N26" s="14" t="s">
        <v>50</v>
      </c>
      <c r="O26" s="14" t="s">
        <v>51</v>
      </c>
    </row>
    <row r="27" spans="1:15">
      <c r="A27" s="15" t="s">
        <v>13</v>
      </c>
      <c r="B27" s="15" t="s">
        <v>4690</v>
      </c>
      <c r="C27" s="15" t="s">
        <v>4691</v>
      </c>
      <c r="D27" s="15" t="s">
        <v>4733</v>
      </c>
      <c r="E27" s="15">
        <v>26</v>
      </c>
      <c r="F27" s="15" t="s">
        <v>4744</v>
      </c>
      <c r="G27" s="15" t="s">
        <v>4745</v>
      </c>
      <c r="H27" s="15"/>
      <c r="I27" s="15" t="s">
        <v>49</v>
      </c>
      <c r="J27" s="7" t="str">
        <f>HYPERLINK("https://www.codechef.com/problems/PYMCQ26", "https://www.codechef.com/problems/PYMCQ26")</f>
        <v>https://www.codechef.com/problems/PYMCQ26</v>
      </c>
      <c r="K27" s="15"/>
      <c r="L27" s="15"/>
      <c r="M27" s="15"/>
      <c r="N27" s="15" t="s">
        <v>50</v>
      </c>
      <c r="O27" s="15" t="s">
        <v>51</v>
      </c>
    </row>
    <row r="28" spans="1:15">
      <c r="A28" s="14" t="s">
        <v>13</v>
      </c>
      <c r="B28" s="14" t="s">
        <v>4690</v>
      </c>
      <c r="C28" s="14" t="s">
        <v>4691</v>
      </c>
      <c r="D28" s="14" t="s">
        <v>4733</v>
      </c>
      <c r="E28" s="14">
        <v>27</v>
      </c>
      <c r="F28" s="14" t="s">
        <v>4746</v>
      </c>
      <c r="G28" s="14" t="s">
        <v>4747</v>
      </c>
      <c r="H28" s="14"/>
      <c r="I28" s="14" t="s">
        <v>49</v>
      </c>
      <c r="J28" s="11" t="str">
        <f>HYPERLINK("https://www.codechef.com/problems/PYMCQ27", "https://www.codechef.com/problems/PYMCQ27")</f>
        <v>https://www.codechef.com/problems/PYMCQ27</v>
      </c>
      <c r="K28" s="14"/>
      <c r="L28" s="14"/>
      <c r="M28" s="14"/>
      <c r="N28" s="14" t="s">
        <v>50</v>
      </c>
      <c r="O28" s="14" t="s">
        <v>51</v>
      </c>
    </row>
    <row r="29" spans="1:15">
      <c r="A29" s="15" t="s">
        <v>13</v>
      </c>
      <c r="B29" s="15" t="s">
        <v>4690</v>
      </c>
      <c r="C29" s="15" t="s">
        <v>4691</v>
      </c>
      <c r="D29" s="15" t="s">
        <v>4733</v>
      </c>
      <c r="E29" s="15">
        <v>28</v>
      </c>
      <c r="F29" s="15" t="s">
        <v>4748</v>
      </c>
      <c r="G29" s="15" t="s">
        <v>4749</v>
      </c>
      <c r="H29" s="15"/>
      <c r="I29" s="15" t="s">
        <v>49</v>
      </c>
      <c r="J29" s="7" t="str">
        <f>HYPERLINK("https://www.codechef.com/problems/PYMCQ28", "https://www.codechef.com/problems/PYMCQ28")</f>
        <v>https://www.codechef.com/problems/PYMCQ28</v>
      </c>
      <c r="K29" s="15"/>
      <c r="L29" s="15"/>
      <c r="M29" s="15"/>
      <c r="N29" s="15" t="s">
        <v>50</v>
      </c>
      <c r="O29" s="15" t="s">
        <v>51</v>
      </c>
    </row>
    <row r="30" spans="1:15">
      <c r="A30" s="14" t="s">
        <v>13</v>
      </c>
      <c r="B30" s="14" t="s">
        <v>4690</v>
      </c>
      <c r="C30" s="14" t="s">
        <v>4691</v>
      </c>
      <c r="D30" s="14" t="s">
        <v>4733</v>
      </c>
      <c r="E30" s="14">
        <v>29</v>
      </c>
      <c r="F30" s="14" t="s">
        <v>4708</v>
      </c>
      <c r="G30" s="14" t="s">
        <v>4750</v>
      </c>
      <c r="H30" s="14"/>
      <c r="I30" s="14" t="s">
        <v>49</v>
      </c>
      <c r="J30" s="11" t="str">
        <f>HYPERLINK("https://www.codechef.com/problems/PYMCQ29", "https://www.codechef.com/problems/PYMCQ29")</f>
        <v>https://www.codechef.com/problems/PYMCQ29</v>
      </c>
      <c r="K30" s="14"/>
      <c r="L30" s="14"/>
      <c r="M30" s="14"/>
      <c r="N30" s="14" t="s">
        <v>50</v>
      </c>
      <c r="O30" s="14" t="s">
        <v>51</v>
      </c>
    </row>
    <row r="31" spans="1:15">
      <c r="A31" s="15" t="s">
        <v>13</v>
      </c>
      <c r="B31" s="15" t="s">
        <v>4690</v>
      </c>
      <c r="C31" s="15" t="s">
        <v>4691</v>
      </c>
      <c r="D31" s="15" t="s">
        <v>4733</v>
      </c>
      <c r="E31" s="15">
        <v>30</v>
      </c>
      <c r="F31" s="15" t="s">
        <v>4751</v>
      </c>
      <c r="G31" s="15" t="s">
        <v>4752</v>
      </c>
      <c r="H31" s="15"/>
      <c r="I31" s="15" t="s">
        <v>49</v>
      </c>
      <c r="J31" s="7" t="str">
        <f>HYPERLINK("https://www.codechef.com/problems/PYMCQ30", "https://www.codechef.com/problems/PYMCQ30")</f>
        <v>https://www.codechef.com/problems/PYMCQ30</v>
      </c>
      <c r="K31" s="15"/>
      <c r="L31" s="15"/>
      <c r="M31" s="15"/>
      <c r="N31" s="15" t="s">
        <v>50</v>
      </c>
      <c r="O31" s="15" t="s">
        <v>51</v>
      </c>
    </row>
    <row r="32" spans="1:15">
      <c r="A32" s="14" t="s">
        <v>13</v>
      </c>
      <c r="B32" s="14" t="s">
        <v>4690</v>
      </c>
      <c r="C32" s="14" t="s">
        <v>4691</v>
      </c>
      <c r="D32" s="14" t="s">
        <v>4753</v>
      </c>
      <c r="E32" s="14">
        <v>31</v>
      </c>
      <c r="F32" s="14" t="s">
        <v>4754</v>
      </c>
      <c r="G32" s="14" t="s">
        <v>4755</v>
      </c>
      <c r="H32" s="14"/>
      <c r="I32" s="14" t="s">
        <v>49</v>
      </c>
      <c r="J32" s="11" t="str">
        <f>HYPERLINK("https://www.codechef.com/problems/PYMCQ31", "https://www.codechef.com/problems/PYMCQ31")</f>
        <v>https://www.codechef.com/problems/PYMCQ31</v>
      </c>
      <c r="K32" s="14"/>
      <c r="L32" s="14"/>
      <c r="M32" s="14"/>
      <c r="N32" s="14" t="s">
        <v>50</v>
      </c>
      <c r="O32" s="14" t="s">
        <v>51</v>
      </c>
    </row>
    <row r="33" spans="1:15">
      <c r="A33" s="15" t="s">
        <v>13</v>
      </c>
      <c r="B33" s="15" t="s">
        <v>4690</v>
      </c>
      <c r="C33" s="15" t="s">
        <v>4691</v>
      </c>
      <c r="D33" s="15" t="s">
        <v>4753</v>
      </c>
      <c r="E33" s="15">
        <v>32</v>
      </c>
      <c r="F33" s="15" t="s">
        <v>4756</v>
      </c>
      <c r="G33" s="15" t="s">
        <v>4757</v>
      </c>
      <c r="H33" s="15"/>
      <c r="I33" s="15" t="s">
        <v>49</v>
      </c>
      <c r="J33" s="7" t="str">
        <f>HYPERLINK("https://www.codechef.com/problems/PYMCQ32", "https://www.codechef.com/problems/PYMCQ32")</f>
        <v>https://www.codechef.com/problems/PYMCQ32</v>
      </c>
      <c r="K33" s="15"/>
      <c r="L33" s="15"/>
      <c r="M33" s="15"/>
      <c r="N33" s="15" t="s">
        <v>50</v>
      </c>
      <c r="O33" s="15" t="s">
        <v>51</v>
      </c>
    </row>
    <row r="34" spans="1:15">
      <c r="A34" s="14" t="s">
        <v>13</v>
      </c>
      <c r="B34" s="14" t="s">
        <v>4690</v>
      </c>
      <c r="C34" s="14" t="s">
        <v>4691</v>
      </c>
      <c r="D34" s="14" t="s">
        <v>4753</v>
      </c>
      <c r="E34" s="14">
        <v>33</v>
      </c>
      <c r="F34" s="14" t="s">
        <v>4758</v>
      </c>
      <c r="G34" s="14" t="s">
        <v>4759</v>
      </c>
      <c r="H34" s="14"/>
      <c r="I34" s="14" t="s">
        <v>49</v>
      </c>
      <c r="J34" s="11" t="str">
        <f>HYPERLINK("https://www.codechef.com/problems/PYMCQ33", "https://www.codechef.com/problems/PYMCQ33")</f>
        <v>https://www.codechef.com/problems/PYMCQ33</v>
      </c>
      <c r="K34" s="14"/>
      <c r="L34" s="14"/>
      <c r="M34" s="14"/>
      <c r="N34" s="14" t="s">
        <v>50</v>
      </c>
      <c r="O34" s="14" t="s">
        <v>51</v>
      </c>
    </row>
    <row r="35" spans="1:15">
      <c r="A35" s="15" t="s">
        <v>13</v>
      </c>
      <c r="B35" s="15" t="s">
        <v>4690</v>
      </c>
      <c r="C35" s="15" t="s">
        <v>4691</v>
      </c>
      <c r="D35" s="15" t="s">
        <v>4753</v>
      </c>
      <c r="E35" s="15">
        <v>34</v>
      </c>
      <c r="F35" s="15" t="s">
        <v>4760</v>
      </c>
      <c r="G35" s="15" t="s">
        <v>4761</v>
      </c>
      <c r="H35" s="15"/>
      <c r="I35" s="15" t="s">
        <v>49</v>
      </c>
      <c r="J35" s="7" t="str">
        <f>HYPERLINK("https://www.codechef.com/problems/PYMCQ34", "https://www.codechef.com/problems/PYMCQ34")</f>
        <v>https://www.codechef.com/problems/PYMCQ34</v>
      </c>
      <c r="K35" s="15"/>
      <c r="L35" s="15"/>
      <c r="M35" s="15"/>
      <c r="N35" s="15" t="s">
        <v>50</v>
      </c>
      <c r="O35" s="15" t="s">
        <v>51</v>
      </c>
    </row>
    <row r="36" spans="1:15">
      <c r="A36" s="14" t="s">
        <v>13</v>
      </c>
      <c r="B36" s="14" t="s">
        <v>4690</v>
      </c>
      <c r="C36" s="14" t="s">
        <v>4691</v>
      </c>
      <c r="D36" s="14" t="s">
        <v>4753</v>
      </c>
      <c r="E36" s="14">
        <v>35</v>
      </c>
      <c r="F36" s="14" t="s">
        <v>4762</v>
      </c>
      <c r="G36" s="14" t="s">
        <v>4763</v>
      </c>
      <c r="H36" s="14"/>
      <c r="I36" s="14" t="s">
        <v>96</v>
      </c>
      <c r="J36" s="11" t="str">
        <f>HYPERLINK("https://www.codechef.com/problems/PYMCQ35", "https://www.codechef.com/problems/PYMCQ35")</f>
        <v>https://www.codechef.com/problems/PYMCQ35</v>
      </c>
      <c r="K36" s="14"/>
      <c r="L36" s="14"/>
      <c r="M36" s="14"/>
      <c r="N36" s="14" t="s">
        <v>50</v>
      </c>
      <c r="O36" s="14" t="s">
        <v>51</v>
      </c>
    </row>
    <row r="37" spans="1:15">
      <c r="A37" s="15" t="s">
        <v>13</v>
      </c>
      <c r="B37" s="15" t="s">
        <v>4690</v>
      </c>
      <c r="C37" s="15" t="s">
        <v>4691</v>
      </c>
      <c r="D37" s="15" t="s">
        <v>4753</v>
      </c>
      <c r="E37" s="15">
        <v>36</v>
      </c>
      <c r="F37" s="15" t="s">
        <v>4764</v>
      </c>
      <c r="G37" s="15" t="s">
        <v>4765</v>
      </c>
      <c r="H37" s="15"/>
      <c r="I37" s="15" t="s">
        <v>49</v>
      </c>
      <c r="J37" s="7" t="str">
        <f>HYPERLINK("https://www.codechef.com/problems/PYMCQ36", "https://www.codechef.com/problems/PYMCQ36")</f>
        <v>https://www.codechef.com/problems/PYMCQ36</v>
      </c>
      <c r="K37" s="15"/>
      <c r="L37" s="15"/>
      <c r="M37" s="15"/>
      <c r="N37" s="15" t="s">
        <v>50</v>
      </c>
      <c r="O37" s="15" t="s">
        <v>51</v>
      </c>
    </row>
    <row r="38" spans="1:15">
      <c r="A38" s="14" t="s">
        <v>13</v>
      </c>
      <c r="B38" s="14" t="s">
        <v>4690</v>
      </c>
      <c r="C38" s="14" t="s">
        <v>4691</v>
      </c>
      <c r="D38" s="14" t="s">
        <v>4753</v>
      </c>
      <c r="E38" s="14">
        <v>37</v>
      </c>
      <c r="F38" s="14" t="s">
        <v>4766</v>
      </c>
      <c r="G38" s="14" t="s">
        <v>4767</v>
      </c>
      <c r="H38" s="14"/>
      <c r="I38" s="14" t="s">
        <v>49</v>
      </c>
      <c r="J38" s="11" t="str">
        <f>HYPERLINK("https://www.codechef.com/problems/PYMCQ37", "https://www.codechef.com/problems/PYMCQ37")</f>
        <v>https://www.codechef.com/problems/PYMCQ37</v>
      </c>
      <c r="K38" s="14"/>
      <c r="L38" s="14"/>
      <c r="M38" s="14"/>
      <c r="N38" s="14" t="s">
        <v>50</v>
      </c>
      <c r="O38" s="14" t="s">
        <v>51</v>
      </c>
    </row>
    <row r="39" spans="1:15">
      <c r="A39" s="15" t="s">
        <v>13</v>
      </c>
      <c r="B39" s="15" t="s">
        <v>4690</v>
      </c>
      <c r="C39" s="15" t="s">
        <v>4691</v>
      </c>
      <c r="D39" s="15" t="s">
        <v>4753</v>
      </c>
      <c r="E39" s="15">
        <v>38</v>
      </c>
      <c r="F39" s="15" t="s">
        <v>4768</v>
      </c>
      <c r="G39" s="15" t="s">
        <v>4769</v>
      </c>
      <c r="H39" s="15"/>
      <c r="I39" s="15" t="s">
        <v>49</v>
      </c>
      <c r="J39" s="7" t="str">
        <f>HYPERLINK("https://www.codechef.com/problems/PYMCQ38", "https://www.codechef.com/problems/PYMCQ38")</f>
        <v>https://www.codechef.com/problems/PYMCQ38</v>
      </c>
      <c r="K39" s="15"/>
      <c r="L39" s="15"/>
      <c r="M39" s="15"/>
      <c r="N39" s="15" t="s">
        <v>50</v>
      </c>
      <c r="O39" s="15" t="s">
        <v>51</v>
      </c>
    </row>
    <row r="40" spans="1:15">
      <c r="A40" s="14" t="s">
        <v>13</v>
      </c>
      <c r="B40" s="14" t="s">
        <v>4690</v>
      </c>
      <c r="C40" s="14" t="s">
        <v>4691</v>
      </c>
      <c r="D40" s="14" t="s">
        <v>4753</v>
      </c>
      <c r="E40" s="14">
        <v>39</v>
      </c>
      <c r="F40" s="14" t="s">
        <v>4770</v>
      </c>
      <c r="G40" s="14" t="s">
        <v>4771</v>
      </c>
      <c r="H40" s="14"/>
      <c r="I40" s="14" t="s">
        <v>49</v>
      </c>
      <c r="J40" s="11" t="str">
        <f>HYPERLINK("https://www.codechef.com/problems/PYMCQ39", "https://www.codechef.com/problems/PYMCQ39")</f>
        <v>https://www.codechef.com/problems/PYMCQ39</v>
      </c>
      <c r="K40" s="14"/>
      <c r="L40" s="14"/>
      <c r="M40" s="14"/>
      <c r="N40" s="14" t="s">
        <v>50</v>
      </c>
      <c r="O40" s="14" t="s">
        <v>51</v>
      </c>
    </row>
    <row r="41" spans="1:15">
      <c r="A41" s="15" t="s">
        <v>13</v>
      </c>
      <c r="B41" s="15" t="s">
        <v>4690</v>
      </c>
      <c r="C41" s="15" t="s">
        <v>4691</v>
      </c>
      <c r="D41" s="15" t="s">
        <v>4753</v>
      </c>
      <c r="E41" s="15">
        <v>40</v>
      </c>
      <c r="F41" s="15" t="s">
        <v>4772</v>
      </c>
      <c r="G41" s="15" t="s">
        <v>4773</v>
      </c>
      <c r="H41" s="15"/>
      <c r="I41" s="15" t="s">
        <v>49</v>
      </c>
      <c r="J41" s="7" t="str">
        <f>HYPERLINK("https://www.codechef.com/problems/PYMCQ40", "https://www.codechef.com/problems/PYMCQ40")</f>
        <v>https://www.codechef.com/problems/PYMCQ40</v>
      </c>
      <c r="K41" s="15"/>
      <c r="L41" s="15"/>
      <c r="M41" s="15"/>
      <c r="N41" s="15" t="s">
        <v>50</v>
      </c>
      <c r="O41" s="15" t="s">
        <v>51</v>
      </c>
    </row>
    <row r="42" spans="1:15">
      <c r="A42" s="14" t="s">
        <v>13</v>
      </c>
      <c r="B42" s="14" t="s">
        <v>4690</v>
      </c>
      <c r="C42" s="14" t="s">
        <v>4691</v>
      </c>
      <c r="D42" s="14" t="s">
        <v>4774</v>
      </c>
      <c r="E42" s="14">
        <v>41</v>
      </c>
      <c r="F42" s="14" t="s">
        <v>4775</v>
      </c>
      <c r="G42" s="14" t="s">
        <v>4776</v>
      </c>
      <c r="H42" s="14"/>
      <c r="I42" s="14" t="s">
        <v>49</v>
      </c>
      <c r="J42" s="11" t="str">
        <f>HYPERLINK("https://www.codechef.com/problems/PYMCQ41", "https://www.codechef.com/problems/PYMCQ41")</f>
        <v>https://www.codechef.com/problems/PYMCQ41</v>
      </c>
      <c r="K42" s="14"/>
      <c r="L42" s="14"/>
      <c r="M42" s="14"/>
      <c r="N42" s="14" t="s">
        <v>50</v>
      </c>
      <c r="O42" s="14" t="s">
        <v>51</v>
      </c>
    </row>
    <row r="43" spans="1:15">
      <c r="A43" s="15" t="s">
        <v>13</v>
      </c>
      <c r="B43" s="15" t="s">
        <v>4690</v>
      </c>
      <c r="C43" s="15" t="s">
        <v>4691</v>
      </c>
      <c r="D43" s="15" t="s">
        <v>4774</v>
      </c>
      <c r="E43" s="15">
        <v>42</v>
      </c>
      <c r="F43" s="15" t="s">
        <v>4777</v>
      </c>
      <c r="G43" s="15" t="s">
        <v>4778</v>
      </c>
      <c r="H43" s="15"/>
      <c r="I43" s="15" t="s">
        <v>49</v>
      </c>
      <c r="J43" s="7" t="str">
        <f>HYPERLINK("https://www.codechef.com/problems/PYMCQ42", "https://www.codechef.com/problems/PYMCQ42")</f>
        <v>https://www.codechef.com/problems/PYMCQ42</v>
      </c>
      <c r="K43" s="15"/>
      <c r="L43" s="15"/>
      <c r="M43" s="15"/>
      <c r="N43" s="15" t="s">
        <v>50</v>
      </c>
      <c r="O43" s="15" t="s">
        <v>51</v>
      </c>
    </row>
    <row r="44" spans="1:15">
      <c r="A44" s="14" t="s">
        <v>13</v>
      </c>
      <c r="B44" s="14" t="s">
        <v>4690</v>
      </c>
      <c r="C44" s="14" t="s">
        <v>4691</v>
      </c>
      <c r="D44" s="14" t="s">
        <v>4774</v>
      </c>
      <c r="E44" s="14">
        <v>43</v>
      </c>
      <c r="F44" s="14" t="s">
        <v>4779</v>
      </c>
      <c r="G44" s="14" t="s">
        <v>4780</v>
      </c>
      <c r="H44" s="14"/>
      <c r="I44" s="14" t="s">
        <v>49</v>
      </c>
      <c r="J44" s="11" t="str">
        <f>HYPERLINK("https://www.codechef.com/problems/PYMCQ44", "https://www.codechef.com/problems/PYMCQ44")</f>
        <v>https://www.codechef.com/problems/PYMCQ44</v>
      </c>
      <c r="K44" s="14"/>
      <c r="L44" s="14"/>
      <c r="M44" s="14"/>
      <c r="N44" s="14" t="s">
        <v>50</v>
      </c>
      <c r="O44" s="14" t="s">
        <v>51</v>
      </c>
    </row>
    <row r="45" spans="1:15">
      <c r="A45" s="15" t="s">
        <v>13</v>
      </c>
      <c r="B45" s="15" t="s">
        <v>4690</v>
      </c>
      <c r="C45" s="15" t="s">
        <v>4691</v>
      </c>
      <c r="D45" s="15" t="s">
        <v>4774</v>
      </c>
      <c r="E45" s="15">
        <v>44</v>
      </c>
      <c r="F45" s="15" t="s">
        <v>4781</v>
      </c>
      <c r="G45" s="15" t="s">
        <v>4782</v>
      </c>
      <c r="H45" s="15"/>
      <c r="I45" s="15" t="s">
        <v>49</v>
      </c>
      <c r="J45" s="7" t="str">
        <f>HYPERLINK("https://www.codechef.com/problems/PYMCQ45", "https://www.codechef.com/problems/PYMCQ45")</f>
        <v>https://www.codechef.com/problems/PYMCQ45</v>
      </c>
      <c r="K45" s="15"/>
      <c r="L45" s="15"/>
      <c r="M45" s="15"/>
      <c r="N45" s="15" t="s">
        <v>50</v>
      </c>
      <c r="O45" s="15" t="s">
        <v>51</v>
      </c>
    </row>
    <row r="46" spans="1:15">
      <c r="A46" s="14" t="s">
        <v>13</v>
      </c>
      <c r="B46" s="14" t="s">
        <v>4690</v>
      </c>
      <c r="C46" s="14" t="s">
        <v>4691</v>
      </c>
      <c r="D46" s="14" t="s">
        <v>4774</v>
      </c>
      <c r="E46" s="14">
        <v>45</v>
      </c>
      <c r="F46" s="14" t="s">
        <v>4783</v>
      </c>
      <c r="G46" s="14" t="s">
        <v>4784</v>
      </c>
      <c r="H46" s="14"/>
      <c r="I46" s="14" t="s">
        <v>49</v>
      </c>
      <c r="J46" s="11" t="str">
        <f>HYPERLINK("https://www.codechef.com/problems/PYMCQ46", "https://www.codechef.com/problems/PYMCQ46")</f>
        <v>https://www.codechef.com/problems/PYMCQ46</v>
      </c>
      <c r="K46" s="14"/>
      <c r="L46" s="14"/>
      <c r="M46" s="14"/>
      <c r="N46" s="14" t="s">
        <v>50</v>
      </c>
      <c r="O46" s="14" t="s">
        <v>51</v>
      </c>
    </row>
    <row r="47" spans="1:15">
      <c r="A47" s="15" t="s">
        <v>13</v>
      </c>
      <c r="B47" s="15" t="s">
        <v>4690</v>
      </c>
      <c r="C47" s="15" t="s">
        <v>4691</v>
      </c>
      <c r="D47" s="15" t="s">
        <v>4774</v>
      </c>
      <c r="E47" s="15">
        <v>46</v>
      </c>
      <c r="F47" s="15" t="s">
        <v>4785</v>
      </c>
      <c r="G47" s="15" t="s">
        <v>4786</v>
      </c>
      <c r="H47" s="15"/>
      <c r="I47" s="15" t="s">
        <v>49</v>
      </c>
      <c r="J47" s="7" t="str">
        <f>HYPERLINK("https://www.codechef.com/problems/PYMCQ47", "https://www.codechef.com/problems/PYMCQ47")</f>
        <v>https://www.codechef.com/problems/PYMCQ47</v>
      </c>
      <c r="K47" s="15"/>
      <c r="L47" s="15"/>
      <c r="M47" s="15"/>
      <c r="N47" s="15" t="s">
        <v>50</v>
      </c>
      <c r="O47" s="15" t="s">
        <v>51</v>
      </c>
    </row>
    <row r="48" spans="1:15">
      <c r="A48" s="14" t="s">
        <v>13</v>
      </c>
      <c r="B48" s="14" t="s">
        <v>4690</v>
      </c>
      <c r="C48" s="14" t="s">
        <v>4691</v>
      </c>
      <c r="D48" s="14" t="s">
        <v>4774</v>
      </c>
      <c r="E48" s="14">
        <v>47</v>
      </c>
      <c r="F48" s="14" t="s">
        <v>4787</v>
      </c>
      <c r="G48" s="14" t="s">
        <v>4788</v>
      </c>
      <c r="H48" s="14"/>
      <c r="I48" s="14" t="s">
        <v>96</v>
      </c>
      <c r="J48" s="11" t="str">
        <f>HYPERLINK("https://www.codechef.com/problems/PYMCQ48", "https://www.codechef.com/problems/PYMCQ48")</f>
        <v>https://www.codechef.com/problems/PYMCQ48</v>
      </c>
      <c r="K48" s="14"/>
      <c r="L48" s="14"/>
      <c r="M48" s="14"/>
      <c r="N48" s="14" t="s">
        <v>50</v>
      </c>
      <c r="O48" s="14" t="s">
        <v>51</v>
      </c>
    </row>
    <row r="49" spans="1:15">
      <c r="A49" s="15" t="s">
        <v>13</v>
      </c>
      <c r="B49" s="15" t="s">
        <v>4690</v>
      </c>
      <c r="C49" s="15" t="s">
        <v>4691</v>
      </c>
      <c r="D49" s="15" t="s">
        <v>4774</v>
      </c>
      <c r="E49" s="15">
        <v>48</v>
      </c>
      <c r="F49" s="15" t="s">
        <v>4789</v>
      </c>
      <c r="G49" s="15" t="s">
        <v>4790</v>
      </c>
      <c r="H49" s="15"/>
      <c r="I49" s="15" t="s">
        <v>49</v>
      </c>
      <c r="J49" s="7" t="str">
        <f>HYPERLINK("https://www.codechef.com/problems/PYMCQ49", "https://www.codechef.com/problems/PYMCQ49")</f>
        <v>https://www.codechef.com/problems/PYMCQ49</v>
      </c>
      <c r="K49" s="15"/>
      <c r="L49" s="15"/>
      <c r="M49" s="15"/>
      <c r="N49" s="15" t="s">
        <v>50</v>
      </c>
      <c r="O49" s="15" t="s">
        <v>51</v>
      </c>
    </row>
    <row r="50" spans="1:15">
      <c r="A50" s="14" t="s">
        <v>13</v>
      </c>
      <c r="B50" s="14" t="s">
        <v>4690</v>
      </c>
      <c r="C50" s="14" t="s">
        <v>4691</v>
      </c>
      <c r="D50" s="14" t="s">
        <v>4774</v>
      </c>
      <c r="E50" s="14">
        <v>49</v>
      </c>
      <c r="F50" s="14" t="s">
        <v>4791</v>
      </c>
      <c r="G50" s="14" t="s">
        <v>4792</v>
      </c>
      <c r="H50" s="14"/>
      <c r="I50" s="14" t="s">
        <v>49</v>
      </c>
      <c r="J50" s="11" t="str">
        <f>HYPERLINK("https://www.codechef.com/problems/PYMCQ50", "https://www.codechef.com/problems/PYMCQ50")</f>
        <v>https://www.codechef.com/problems/PYMCQ50</v>
      </c>
      <c r="K50" s="14"/>
      <c r="L50" s="14"/>
      <c r="M50" s="14"/>
      <c r="N50" s="14" t="s">
        <v>50</v>
      </c>
      <c r="O50" s="14" t="s">
        <v>51</v>
      </c>
    </row>
    <row r="51" spans="1:15">
      <c r="A51" s="15" t="s">
        <v>13</v>
      </c>
      <c r="B51" s="15" t="s">
        <v>4690</v>
      </c>
      <c r="C51" s="15" t="s">
        <v>4691</v>
      </c>
      <c r="D51" s="15" t="s">
        <v>4793</v>
      </c>
      <c r="E51" s="15">
        <v>50</v>
      </c>
      <c r="F51" s="15" t="s">
        <v>4794</v>
      </c>
      <c r="G51" s="15" t="s">
        <v>4795</v>
      </c>
      <c r="H51" s="15"/>
      <c r="I51" s="15" t="s">
        <v>49</v>
      </c>
      <c r="J51" s="7" t="str">
        <f>HYPERLINK("https://www.codechef.com/problems/PYMCQ51", "https://www.codechef.com/problems/PYMCQ51")</f>
        <v>https://www.codechef.com/problems/PYMCQ51</v>
      </c>
      <c r="K51" s="15"/>
      <c r="L51" s="15"/>
      <c r="M51" s="15"/>
      <c r="N51" s="15" t="s">
        <v>50</v>
      </c>
      <c r="O51" s="15" t="s">
        <v>51</v>
      </c>
    </row>
    <row r="52" spans="1:15">
      <c r="A52" s="14" t="s">
        <v>13</v>
      </c>
      <c r="B52" s="14" t="s">
        <v>4690</v>
      </c>
      <c r="C52" s="14" t="s">
        <v>4691</v>
      </c>
      <c r="D52" s="14" t="s">
        <v>4793</v>
      </c>
      <c r="E52" s="14">
        <v>51</v>
      </c>
      <c r="F52" s="14" t="s">
        <v>4796</v>
      </c>
      <c r="G52" s="14" t="s">
        <v>4797</v>
      </c>
      <c r="H52" s="14"/>
      <c r="I52" s="14" t="s">
        <v>49</v>
      </c>
      <c r="J52" s="11" t="str">
        <f>HYPERLINK("https://www.codechef.com/problems/PYMCQ52", "https://www.codechef.com/problems/PYMCQ52")</f>
        <v>https://www.codechef.com/problems/PYMCQ52</v>
      </c>
      <c r="K52" s="14"/>
      <c r="L52" s="14"/>
      <c r="M52" s="14"/>
      <c r="N52" s="14" t="s">
        <v>50</v>
      </c>
      <c r="O52" s="14" t="s">
        <v>51</v>
      </c>
    </row>
    <row r="53" spans="1:15">
      <c r="A53" s="15" t="s">
        <v>13</v>
      </c>
      <c r="B53" s="15" t="s">
        <v>4690</v>
      </c>
      <c r="C53" s="15" t="s">
        <v>4691</v>
      </c>
      <c r="D53" s="15" t="s">
        <v>4793</v>
      </c>
      <c r="E53" s="15">
        <v>52</v>
      </c>
      <c r="F53" s="15" t="s">
        <v>4798</v>
      </c>
      <c r="G53" s="15" t="s">
        <v>4799</v>
      </c>
      <c r="H53" s="15"/>
      <c r="I53" s="15" t="s">
        <v>49</v>
      </c>
      <c r="J53" s="7" t="str">
        <f>HYPERLINK("https://www.codechef.com/problems/PYMCQ53", "https://www.codechef.com/problems/PYMCQ53")</f>
        <v>https://www.codechef.com/problems/PYMCQ53</v>
      </c>
      <c r="K53" s="15"/>
      <c r="L53" s="15"/>
      <c r="M53" s="15"/>
      <c r="N53" s="15" t="s">
        <v>50</v>
      </c>
      <c r="O53" s="15" t="s">
        <v>51</v>
      </c>
    </row>
    <row r="54" spans="1:15">
      <c r="A54" s="14" t="s">
        <v>13</v>
      </c>
      <c r="B54" s="14" t="s">
        <v>4690</v>
      </c>
      <c r="C54" s="14" t="s">
        <v>4691</v>
      </c>
      <c r="D54" s="14" t="s">
        <v>4793</v>
      </c>
      <c r="E54" s="14">
        <v>53</v>
      </c>
      <c r="F54" s="14" t="s">
        <v>4800</v>
      </c>
      <c r="G54" s="14" t="s">
        <v>4801</v>
      </c>
      <c r="H54" s="14"/>
      <c r="I54" s="14" t="s">
        <v>49</v>
      </c>
      <c r="J54" s="11" t="str">
        <f>HYPERLINK("https://www.codechef.com/problems/PYMCQ54", "https://www.codechef.com/problems/PYMCQ54")</f>
        <v>https://www.codechef.com/problems/PYMCQ54</v>
      </c>
      <c r="K54" s="14"/>
      <c r="L54" s="14"/>
      <c r="M54" s="14"/>
      <c r="N54" s="14" t="s">
        <v>50</v>
      </c>
      <c r="O54" s="14" t="s">
        <v>51</v>
      </c>
    </row>
    <row r="55" spans="1:15">
      <c r="A55" s="15" t="s">
        <v>13</v>
      </c>
      <c r="B55" s="15" t="s">
        <v>4690</v>
      </c>
      <c r="C55" s="15" t="s">
        <v>4691</v>
      </c>
      <c r="D55" s="15" t="s">
        <v>4793</v>
      </c>
      <c r="E55" s="15">
        <v>54</v>
      </c>
      <c r="F55" s="15" t="s">
        <v>4802</v>
      </c>
      <c r="G55" s="15" t="s">
        <v>4803</v>
      </c>
      <c r="H55" s="15"/>
      <c r="I55" s="15" t="s">
        <v>49</v>
      </c>
      <c r="J55" s="7" t="str">
        <f>HYPERLINK("https://www.codechef.com/problems/PYMCQ55", "https://www.codechef.com/problems/PYMCQ55")</f>
        <v>https://www.codechef.com/problems/PYMCQ55</v>
      </c>
      <c r="K55" s="15"/>
      <c r="L55" s="15"/>
      <c r="M55" s="15"/>
      <c r="N55" s="15" t="s">
        <v>50</v>
      </c>
      <c r="O55" s="15" t="s">
        <v>51</v>
      </c>
    </row>
    <row r="56" spans="1:15">
      <c r="A56" s="14" t="s">
        <v>13</v>
      </c>
      <c r="B56" s="14" t="s">
        <v>4690</v>
      </c>
      <c r="C56" s="14" t="s">
        <v>4691</v>
      </c>
      <c r="D56" s="14" t="s">
        <v>4793</v>
      </c>
      <c r="E56" s="14">
        <v>55</v>
      </c>
      <c r="F56" s="14" t="s">
        <v>4804</v>
      </c>
      <c r="G56" s="14" t="s">
        <v>4805</v>
      </c>
      <c r="H56" s="14"/>
      <c r="I56" s="14" t="s">
        <v>49</v>
      </c>
      <c r="J56" s="11" t="str">
        <f>HYPERLINK("https://www.codechef.com/problems/PYMCQ56", "https://www.codechef.com/problems/PYMCQ56")</f>
        <v>https://www.codechef.com/problems/PYMCQ56</v>
      </c>
      <c r="K56" s="14"/>
      <c r="L56" s="14"/>
      <c r="M56" s="14"/>
      <c r="N56" s="14" t="s">
        <v>50</v>
      </c>
      <c r="O56" s="14" t="s">
        <v>51</v>
      </c>
    </row>
    <row r="57" spans="1:15">
      <c r="A57" s="15" t="s">
        <v>13</v>
      </c>
      <c r="B57" s="15" t="s">
        <v>4690</v>
      </c>
      <c r="C57" s="15" t="s">
        <v>4691</v>
      </c>
      <c r="D57" s="15" t="s">
        <v>4793</v>
      </c>
      <c r="E57" s="15">
        <v>56</v>
      </c>
      <c r="F57" s="15" t="s">
        <v>4806</v>
      </c>
      <c r="G57" s="15" t="s">
        <v>4807</v>
      </c>
      <c r="H57" s="15"/>
      <c r="I57" s="15" t="s">
        <v>49</v>
      </c>
      <c r="J57" s="7" t="str">
        <f>HYPERLINK("https://www.codechef.com/problems/PYMCQ57", "https://www.codechef.com/problems/PYMCQ57")</f>
        <v>https://www.codechef.com/problems/PYMCQ57</v>
      </c>
      <c r="K57" s="15"/>
      <c r="L57" s="15"/>
      <c r="M57" s="15"/>
      <c r="N57" s="15" t="s">
        <v>50</v>
      </c>
      <c r="O57" s="15" t="s">
        <v>51</v>
      </c>
    </row>
    <row r="58" spans="1:15">
      <c r="A58" s="14" t="s">
        <v>13</v>
      </c>
      <c r="B58" s="14" t="s">
        <v>4690</v>
      </c>
      <c r="C58" s="14" t="s">
        <v>4691</v>
      </c>
      <c r="D58" s="14" t="s">
        <v>4793</v>
      </c>
      <c r="E58" s="14">
        <v>57</v>
      </c>
      <c r="F58" s="14" t="s">
        <v>4808</v>
      </c>
      <c r="G58" s="14" t="s">
        <v>4809</v>
      </c>
      <c r="H58" s="14"/>
      <c r="I58" s="14" t="s">
        <v>49</v>
      </c>
      <c r="J58" s="11" t="str">
        <f>HYPERLINK("https://www.codechef.com/problems/PYMCQ58", "https://www.codechef.com/problems/PYMCQ58")</f>
        <v>https://www.codechef.com/problems/PYMCQ58</v>
      </c>
      <c r="K58" s="14"/>
      <c r="L58" s="14"/>
      <c r="M58" s="14"/>
      <c r="N58" s="14" t="s">
        <v>50</v>
      </c>
      <c r="O58" s="14" t="s">
        <v>51</v>
      </c>
    </row>
    <row r="59" spans="1:15">
      <c r="A59" s="15" t="s">
        <v>13</v>
      </c>
      <c r="B59" s="15" t="s">
        <v>4690</v>
      </c>
      <c r="C59" s="15" t="s">
        <v>4691</v>
      </c>
      <c r="D59" s="15" t="s">
        <v>4793</v>
      </c>
      <c r="E59" s="15">
        <v>58</v>
      </c>
      <c r="F59" s="15" t="s">
        <v>4810</v>
      </c>
      <c r="G59" s="15" t="s">
        <v>4811</v>
      </c>
      <c r="H59" s="15"/>
      <c r="I59" s="15" t="s">
        <v>49</v>
      </c>
      <c r="J59" s="7" t="str">
        <f>HYPERLINK("https://www.codechef.com/problems/PYMCQ59", "https://www.codechef.com/problems/PYMCQ59")</f>
        <v>https://www.codechef.com/problems/PYMCQ59</v>
      </c>
      <c r="K59" s="15"/>
      <c r="L59" s="15"/>
      <c r="M59" s="15"/>
      <c r="N59" s="15" t="s">
        <v>50</v>
      </c>
      <c r="O59" s="15" t="s">
        <v>51</v>
      </c>
    </row>
    <row r="60" spans="1:15">
      <c r="A60" s="14" t="s">
        <v>13</v>
      </c>
      <c r="B60" s="14" t="s">
        <v>4690</v>
      </c>
      <c r="C60" s="14" t="s">
        <v>4691</v>
      </c>
      <c r="D60" s="14" t="s">
        <v>4793</v>
      </c>
      <c r="E60" s="14">
        <v>59</v>
      </c>
      <c r="F60" s="14" t="s">
        <v>4812</v>
      </c>
      <c r="G60" s="14" t="s">
        <v>4813</v>
      </c>
      <c r="H60" s="14"/>
      <c r="I60" s="14" t="s">
        <v>49</v>
      </c>
      <c r="J60" s="11" t="str">
        <f>HYPERLINK("https://www.codechef.com/problems/PYMCQ60", "https://www.codechef.com/problems/PYMCQ60")</f>
        <v>https://www.codechef.com/problems/PYMCQ60</v>
      </c>
      <c r="K60" s="14"/>
      <c r="L60" s="14"/>
      <c r="M60" s="14"/>
      <c r="N60" s="14" t="s">
        <v>50</v>
      </c>
      <c r="O60" s="14" t="s">
        <v>51</v>
      </c>
    </row>
    <row r="61" spans="1:15">
      <c r="A61" s="15" t="s">
        <v>13</v>
      </c>
      <c r="B61" s="15" t="s">
        <v>4690</v>
      </c>
      <c r="C61" s="15" t="s">
        <v>4691</v>
      </c>
      <c r="D61" s="15" t="s">
        <v>4814</v>
      </c>
      <c r="E61" s="15">
        <v>60</v>
      </c>
      <c r="F61" s="15" t="s">
        <v>4815</v>
      </c>
      <c r="G61" s="15" t="s">
        <v>4816</v>
      </c>
      <c r="H61" s="15"/>
      <c r="I61" s="15" t="s">
        <v>49</v>
      </c>
      <c r="J61" s="7" t="str">
        <f>HYPERLINK("https://www.codechef.com/problems/PYMCQ61", "https://www.codechef.com/problems/PYMCQ61")</f>
        <v>https://www.codechef.com/problems/PYMCQ61</v>
      </c>
      <c r="K61" s="15"/>
      <c r="L61" s="15"/>
      <c r="M61" s="15"/>
      <c r="N61" s="15" t="s">
        <v>50</v>
      </c>
      <c r="O61" s="15" t="s">
        <v>51</v>
      </c>
    </row>
    <row r="62" spans="1:15">
      <c r="A62" s="14" t="s">
        <v>13</v>
      </c>
      <c r="B62" s="14" t="s">
        <v>4690</v>
      </c>
      <c r="C62" s="14" t="s">
        <v>4691</v>
      </c>
      <c r="D62" s="14" t="s">
        <v>4814</v>
      </c>
      <c r="E62" s="14">
        <v>61</v>
      </c>
      <c r="F62" s="14" t="s">
        <v>4817</v>
      </c>
      <c r="G62" s="14" t="s">
        <v>4818</v>
      </c>
      <c r="H62" s="14"/>
      <c r="I62" s="14" t="s">
        <v>49</v>
      </c>
      <c r="J62" s="11" t="str">
        <f>HYPERLINK("https://www.codechef.com/problems/PYMCQ62", "https://www.codechef.com/problems/PYMCQ62")</f>
        <v>https://www.codechef.com/problems/PYMCQ62</v>
      </c>
      <c r="K62" s="14"/>
      <c r="L62" s="14"/>
      <c r="M62" s="14"/>
      <c r="N62" s="14" t="s">
        <v>50</v>
      </c>
      <c r="O62" s="14" t="s">
        <v>51</v>
      </c>
    </row>
    <row r="63" spans="1:15">
      <c r="A63" s="15" t="s">
        <v>13</v>
      </c>
      <c r="B63" s="15" t="s">
        <v>4690</v>
      </c>
      <c r="C63" s="15" t="s">
        <v>4691</v>
      </c>
      <c r="D63" s="15" t="s">
        <v>4814</v>
      </c>
      <c r="E63" s="15">
        <v>62</v>
      </c>
      <c r="F63" s="15" t="s">
        <v>4819</v>
      </c>
      <c r="G63" s="15" t="s">
        <v>4820</v>
      </c>
      <c r="H63" s="15"/>
      <c r="I63" s="15" t="s">
        <v>49</v>
      </c>
      <c r="J63" s="7" t="str">
        <f>HYPERLINK("https://www.codechef.com/problems/PYMCQ63", "https://www.codechef.com/problems/PYMCQ63")</f>
        <v>https://www.codechef.com/problems/PYMCQ63</v>
      </c>
      <c r="K63" s="15"/>
      <c r="L63" s="15"/>
      <c r="M63" s="15"/>
      <c r="N63" s="15" t="s">
        <v>50</v>
      </c>
      <c r="O63" s="15" t="s">
        <v>51</v>
      </c>
    </row>
    <row r="64" spans="1:15">
      <c r="A64" s="14" t="s">
        <v>13</v>
      </c>
      <c r="B64" s="14" t="s">
        <v>4690</v>
      </c>
      <c r="C64" s="14" t="s">
        <v>4691</v>
      </c>
      <c r="D64" s="14" t="s">
        <v>4814</v>
      </c>
      <c r="E64" s="14">
        <v>63</v>
      </c>
      <c r="F64" s="14" t="s">
        <v>4821</v>
      </c>
      <c r="G64" s="14" t="s">
        <v>4822</v>
      </c>
      <c r="H64" s="14"/>
      <c r="I64" s="14" t="s">
        <v>49</v>
      </c>
      <c r="J64" s="11" t="str">
        <f>HYPERLINK("https://www.codechef.com/problems/PYMCQ64", "https://www.codechef.com/problems/PYMCQ64")</f>
        <v>https://www.codechef.com/problems/PYMCQ64</v>
      </c>
      <c r="K64" s="14"/>
      <c r="L64" s="14"/>
      <c r="M64" s="14"/>
      <c r="N64" s="14" t="s">
        <v>50</v>
      </c>
      <c r="O64" s="14" t="s">
        <v>51</v>
      </c>
    </row>
    <row r="65" spans="1:15">
      <c r="A65" s="15" t="s">
        <v>13</v>
      </c>
      <c r="B65" s="15" t="s">
        <v>4690</v>
      </c>
      <c r="C65" s="15" t="s">
        <v>4691</v>
      </c>
      <c r="D65" s="15" t="s">
        <v>4814</v>
      </c>
      <c r="E65" s="15">
        <v>64</v>
      </c>
      <c r="F65" s="15" t="s">
        <v>4823</v>
      </c>
      <c r="G65" s="15" t="s">
        <v>4824</v>
      </c>
      <c r="H65" s="15"/>
      <c r="I65" s="15" t="s">
        <v>49</v>
      </c>
      <c r="J65" s="7" t="str">
        <f>HYPERLINK("https://www.codechef.com/problems/PYMCQ65", "https://www.codechef.com/problems/PYMCQ65")</f>
        <v>https://www.codechef.com/problems/PYMCQ65</v>
      </c>
      <c r="K65" s="15"/>
      <c r="L65" s="15"/>
      <c r="M65" s="15"/>
      <c r="N65" s="15" t="s">
        <v>50</v>
      </c>
      <c r="O65" s="15" t="s">
        <v>51</v>
      </c>
    </row>
    <row r="66" spans="1:15">
      <c r="A66" s="14" t="s">
        <v>13</v>
      </c>
      <c r="B66" s="14" t="s">
        <v>4690</v>
      </c>
      <c r="C66" s="14" t="s">
        <v>4691</v>
      </c>
      <c r="D66" s="14" t="s">
        <v>4814</v>
      </c>
      <c r="E66" s="14">
        <v>65</v>
      </c>
      <c r="F66" s="14" t="s">
        <v>4825</v>
      </c>
      <c r="G66" s="14" t="s">
        <v>4826</v>
      </c>
      <c r="H66" s="14"/>
      <c r="I66" s="14" t="s">
        <v>49</v>
      </c>
      <c r="J66" s="11" t="str">
        <f>HYPERLINK("https://www.codechef.com/problems/PYMCQ66", "https://www.codechef.com/problems/PYMCQ66")</f>
        <v>https://www.codechef.com/problems/PYMCQ66</v>
      </c>
      <c r="K66" s="14"/>
      <c r="L66" s="14"/>
      <c r="M66" s="14"/>
      <c r="N66" s="14" t="s">
        <v>50</v>
      </c>
      <c r="O66" s="14" t="s">
        <v>51</v>
      </c>
    </row>
    <row r="67" spans="1:15">
      <c r="A67" s="15" t="s">
        <v>13</v>
      </c>
      <c r="B67" s="15" t="s">
        <v>4690</v>
      </c>
      <c r="C67" s="15" t="s">
        <v>4691</v>
      </c>
      <c r="D67" s="15" t="s">
        <v>4814</v>
      </c>
      <c r="E67" s="15">
        <v>66</v>
      </c>
      <c r="F67" s="15" t="s">
        <v>4827</v>
      </c>
      <c r="G67" s="15" t="s">
        <v>4828</v>
      </c>
      <c r="H67" s="15"/>
      <c r="I67" s="15" t="s">
        <v>49</v>
      </c>
      <c r="J67" s="7" t="str">
        <f>HYPERLINK("https://www.codechef.com/problems/PYMCQ67", "https://www.codechef.com/problems/PYMCQ67")</f>
        <v>https://www.codechef.com/problems/PYMCQ67</v>
      </c>
      <c r="K67" s="15"/>
      <c r="L67" s="15"/>
      <c r="M67" s="15"/>
      <c r="N67" s="15" t="s">
        <v>50</v>
      </c>
      <c r="O67" s="15" t="s">
        <v>51</v>
      </c>
    </row>
    <row r="68" spans="1:15">
      <c r="A68" s="14" t="s">
        <v>13</v>
      </c>
      <c r="B68" s="14" t="s">
        <v>4690</v>
      </c>
      <c r="C68" s="14" t="s">
        <v>4691</v>
      </c>
      <c r="D68" s="14" t="s">
        <v>4814</v>
      </c>
      <c r="E68" s="14">
        <v>67</v>
      </c>
      <c r="F68" s="14" t="s">
        <v>4829</v>
      </c>
      <c r="G68" s="14" t="s">
        <v>4830</v>
      </c>
      <c r="H68" s="14"/>
      <c r="I68" s="14" t="s">
        <v>96</v>
      </c>
      <c r="J68" s="11" t="str">
        <f>HYPERLINK("https://www.codechef.com/problems/PYMCQ68", "https://www.codechef.com/problems/PYMCQ68")</f>
        <v>https://www.codechef.com/problems/PYMCQ68</v>
      </c>
      <c r="K68" s="14"/>
      <c r="L68" s="14"/>
      <c r="M68" s="14"/>
      <c r="N68" s="14" t="s">
        <v>50</v>
      </c>
      <c r="O68" s="14" t="s">
        <v>51</v>
      </c>
    </row>
    <row r="69" spans="1:15">
      <c r="A69" s="15" t="s">
        <v>13</v>
      </c>
      <c r="B69" s="15" t="s">
        <v>4690</v>
      </c>
      <c r="C69" s="15" t="s">
        <v>4691</v>
      </c>
      <c r="D69" s="15" t="s">
        <v>4814</v>
      </c>
      <c r="E69" s="15">
        <v>68</v>
      </c>
      <c r="F69" s="15" t="s">
        <v>4831</v>
      </c>
      <c r="G69" s="15" t="s">
        <v>4832</v>
      </c>
      <c r="H69" s="15"/>
      <c r="I69" s="15" t="s">
        <v>96</v>
      </c>
      <c r="J69" s="7" t="str">
        <f>HYPERLINK("https://www.codechef.com/problems/PYMCQ69", "https://www.codechef.com/problems/PYMCQ69")</f>
        <v>https://www.codechef.com/problems/PYMCQ69</v>
      </c>
      <c r="K69" s="15"/>
      <c r="L69" s="15"/>
      <c r="M69" s="15"/>
      <c r="N69" s="15" t="s">
        <v>50</v>
      </c>
      <c r="O69" s="15" t="s">
        <v>51</v>
      </c>
    </row>
    <row r="70" spans="1:15">
      <c r="A70" s="14" t="s">
        <v>13</v>
      </c>
      <c r="B70" s="14" t="s">
        <v>4690</v>
      </c>
      <c r="C70" s="14" t="s">
        <v>4691</v>
      </c>
      <c r="D70" s="14" t="s">
        <v>4814</v>
      </c>
      <c r="E70" s="14">
        <v>69</v>
      </c>
      <c r="F70" s="14" t="s">
        <v>4833</v>
      </c>
      <c r="G70" s="14" t="s">
        <v>4834</v>
      </c>
      <c r="H70" s="14"/>
      <c r="I70" s="14" t="s">
        <v>96</v>
      </c>
      <c r="J70" s="11" t="str">
        <f>HYPERLINK("https://www.codechef.com/problems/PYMCQ70", "https://www.codechef.com/problems/PYMCQ70")</f>
        <v>https://www.codechef.com/problems/PYMCQ70</v>
      </c>
      <c r="K70" s="14"/>
      <c r="L70" s="14"/>
      <c r="M70" s="14"/>
      <c r="N70" s="14" t="s">
        <v>50</v>
      </c>
      <c r="O70" s="14" t="s">
        <v>51</v>
      </c>
    </row>
    <row r="71" spans="1:15">
      <c r="A71" s="15" t="s">
        <v>13</v>
      </c>
      <c r="B71" s="15" t="s">
        <v>4690</v>
      </c>
      <c r="C71" s="15" t="s">
        <v>4691</v>
      </c>
      <c r="D71" s="15" t="s">
        <v>4835</v>
      </c>
      <c r="E71" s="15">
        <v>70</v>
      </c>
      <c r="F71" s="15" t="s">
        <v>4836</v>
      </c>
      <c r="G71" s="15" t="s">
        <v>4837</v>
      </c>
      <c r="H71" s="15"/>
      <c r="I71" s="15" t="s">
        <v>49</v>
      </c>
      <c r="J71" s="7" t="str">
        <f>HYPERLINK("https://www.codechef.com/problems/PYMCQ71", "https://www.codechef.com/problems/PYMCQ71")</f>
        <v>https://www.codechef.com/problems/PYMCQ71</v>
      </c>
      <c r="K71" s="15"/>
      <c r="L71" s="15"/>
      <c r="M71" s="15"/>
      <c r="N71" s="15" t="s">
        <v>50</v>
      </c>
      <c r="O71" s="15" t="s">
        <v>51</v>
      </c>
    </row>
    <row r="72" spans="1:15">
      <c r="A72" s="14" t="s">
        <v>13</v>
      </c>
      <c r="B72" s="14" t="s">
        <v>4690</v>
      </c>
      <c r="C72" s="14" t="s">
        <v>4691</v>
      </c>
      <c r="D72" s="14" t="s">
        <v>4835</v>
      </c>
      <c r="E72" s="14">
        <v>71</v>
      </c>
      <c r="F72" s="14" t="s">
        <v>4838</v>
      </c>
      <c r="G72" s="14" t="s">
        <v>4839</v>
      </c>
      <c r="H72" s="14"/>
      <c r="I72" s="14" t="s">
        <v>49</v>
      </c>
      <c r="J72" s="11" t="str">
        <f>HYPERLINK("https://www.codechef.com/problems/PYMCQ72", "https://www.codechef.com/problems/PYMCQ72")</f>
        <v>https://www.codechef.com/problems/PYMCQ72</v>
      </c>
      <c r="K72" s="14"/>
      <c r="L72" s="14"/>
      <c r="M72" s="14"/>
      <c r="N72" s="14" t="s">
        <v>50</v>
      </c>
      <c r="O72" s="14" t="s">
        <v>51</v>
      </c>
    </row>
    <row r="73" spans="1:15">
      <c r="A73" s="15" t="s">
        <v>13</v>
      </c>
      <c r="B73" s="15" t="s">
        <v>4690</v>
      </c>
      <c r="C73" s="15" t="s">
        <v>4691</v>
      </c>
      <c r="D73" s="15" t="s">
        <v>4835</v>
      </c>
      <c r="E73" s="15">
        <v>72</v>
      </c>
      <c r="F73" s="15" t="s">
        <v>4840</v>
      </c>
      <c r="G73" s="15" t="s">
        <v>4841</v>
      </c>
      <c r="H73" s="15"/>
      <c r="I73" s="15" t="s">
        <v>49</v>
      </c>
      <c r="J73" s="7" t="str">
        <f>HYPERLINK("https://www.codechef.com/problems/PYMCQ73", "https://www.codechef.com/problems/PYMCQ73")</f>
        <v>https://www.codechef.com/problems/PYMCQ73</v>
      </c>
      <c r="K73" s="15"/>
      <c r="L73" s="15"/>
      <c r="M73" s="15"/>
      <c r="N73" s="15" t="s">
        <v>50</v>
      </c>
      <c r="O73" s="15" t="s">
        <v>51</v>
      </c>
    </row>
    <row r="74" spans="1:15">
      <c r="A74" s="14" t="s">
        <v>13</v>
      </c>
      <c r="B74" s="14" t="s">
        <v>4690</v>
      </c>
      <c r="C74" s="14" t="s">
        <v>4691</v>
      </c>
      <c r="D74" s="14" t="s">
        <v>4835</v>
      </c>
      <c r="E74" s="14">
        <v>73</v>
      </c>
      <c r="F74" s="14" t="s">
        <v>4842</v>
      </c>
      <c r="G74" s="14" t="s">
        <v>4843</v>
      </c>
      <c r="H74" s="14"/>
      <c r="I74" s="14" t="s">
        <v>49</v>
      </c>
      <c r="J74" s="11" t="str">
        <f>HYPERLINK("https://www.codechef.com/problems/PYMCQ74", "https://www.codechef.com/problems/PYMCQ74")</f>
        <v>https://www.codechef.com/problems/PYMCQ74</v>
      </c>
      <c r="K74" s="14"/>
      <c r="L74" s="14"/>
      <c r="M74" s="14"/>
      <c r="N74" s="14" t="s">
        <v>50</v>
      </c>
      <c r="O74" s="14" t="s">
        <v>51</v>
      </c>
    </row>
    <row r="75" spans="1:15">
      <c r="A75" s="15" t="s">
        <v>13</v>
      </c>
      <c r="B75" s="15" t="s">
        <v>4690</v>
      </c>
      <c r="C75" s="15" t="s">
        <v>4691</v>
      </c>
      <c r="D75" s="15" t="s">
        <v>4835</v>
      </c>
      <c r="E75" s="15">
        <v>74</v>
      </c>
      <c r="F75" s="15" t="s">
        <v>4844</v>
      </c>
      <c r="G75" s="15" t="s">
        <v>4845</v>
      </c>
      <c r="H75" s="15"/>
      <c r="I75" s="15" t="s">
        <v>49</v>
      </c>
      <c r="J75" s="7" t="str">
        <f>HYPERLINK("https://www.codechef.com/problems/PYMCQ75", "https://www.codechef.com/problems/PYMCQ75")</f>
        <v>https://www.codechef.com/problems/PYMCQ75</v>
      </c>
      <c r="K75" s="15"/>
      <c r="L75" s="15"/>
      <c r="M75" s="15"/>
      <c r="N75" s="15" t="s">
        <v>50</v>
      </c>
      <c r="O75" s="15" t="s">
        <v>51</v>
      </c>
    </row>
    <row r="76" spans="1:15">
      <c r="A76" s="14" t="s">
        <v>13</v>
      </c>
      <c r="B76" s="14" t="s">
        <v>4690</v>
      </c>
      <c r="C76" s="14" t="s">
        <v>4691</v>
      </c>
      <c r="D76" s="14" t="s">
        <v>4835</v>
      </c>
      <c r="E76" s="14">
        <v>75</v>
      </c>
      <c r="F76" s="14" t="s">
        <v>4846</v>
      </c>
      <c r="G76" s="14" t="s">
        <v>4847</v>
      </c>
      <c r="H76" s="14"/>
      <c r="I76" s="14" t="s">
        <v>49</v>
      </c>
      <c r="J76" s="11" t="str">
        <f>HYPERLINK("https://www.codechef.com/problems/PYMCQ76", "https://www.codechef.com/problems/PYMCQ76")</f>
        <v>https://www.codechef.com/problems/PYMCQ76</v>
      </c>
      <c r="K76" s="14"/>
      <c r="L76" s="14"/>
      <c r="M76" s="14"/>
      <c r="N76" s="14" t="s">
        <v>50</v>
      </c>
      <c r="O76" s="14" t="s">
        <v>51</v>
      </c>
    </row>
    <row r="77" spans="1:15">
      <c r="A77" s="15" t="s">
        <v>13</v>
      </c>
      <c r="B77" s="15" t="s">
        <v>4690</v>
      </c>
      <c r="C77" s="15" t="s">
        <v>4691</v>
      </c>
      <c r="D77" s="15" t="s">
        <v>4835</v>
      </c>
      <c r="E77" s="15">
        <v>76</v>
      </c>
      <c r="F77" s="15" t="s">
        <v>4848</v>
      </c>
      <c r="G77" s="15" t="s">
        <v>4849</v>
      </c>
      <c r="H77" s="15"/>
      <c r="I77" s="15" t="s">
        <v>49</v>
      </c>
      <c r="J77" s="7" t="str">
        <f>HYPERLINK("https://www.codechef.com/problems/PYMCQ77", "https://www.codechef.com/problems/PYMCQ77")</f>
        <v>https://www.codechef.com/problems/PYMCQ77</v>
      </c>
      <c r="K77" s="15"/>
      <c r="L77" s="15"/>
      <c r="M77" s="15"/>
      <c r="N77" s="15" t="s">
        <v>50</v>
      </c>
      <c r="O77" s="15" t="s">
        <v>51</v>
      </c>
    </row>
    <row r="78" spans="1:15">
      <c r="A78" s="14" t="s">
        <v>13</v>
      </c>
      <c r="B78" s="14" t="s">
        <v>4690</v>
      </c>
      <c r="C78" s="14" t="s">
        <v>4691</v>
      </c>
      <c r="D78" s="14" t="s">
        <v>4835</v>
      </c>
      <c r="E78" s="14">
        <v>77</v>
      </c>
      <c r="F78" s="14" t="s">
        <v>4850</v>
      </c>
      <c r="G78" s="14" t="s">
        <v>4851</v>
      </c>
      <c r="H78" s="14"/>
      <c r="I78" s="14" t="s">
        <v>49</v>
      </c>
      <c r="J78" s="11" t="str">
        <f>HYPERLINK("https://www.codechef.com/problems/PYMCQ78", "https://www.codechef.com/problems/PYMCQ78")</f>
        <v>https://www.codechef.com/problems/PYMCQ78</v>
      </c>
      <c r="K78" s="14"/>
      <c r="L78" s="14"/>
      <c r="M78" s="14"/>
      <c r="N78" s="14" t="s">
        <v>50</v>
      </c>
      <c r="O78" s="14" t="s">
        <v>51</v>
      </c>
    </row>
    <row r="79" spans="1:15">
      <c r="A79" s="15" t="s">
        <v>13</v>
      </c>
      <c r="B79" s="15" t="s">
        <v>4690</v>
      </c>
      <c r="C79" s="15" t="s">
        <v>4691</v>
      </c>
      <c r="D79" s="15" t="s">
        <v>4835</v>
      </c>
      <c r="E79" s="15">
        <v>78</v>
      </c>
      <c r="F79" s="15" t="s">
        <v>4852</v>
      </c>
      <c r="G79" s="15" t="s">
        <v>4853</v>
      </c>
      <c r="H79" s="15"/>
      <c r="I79" s="15" t="s">
        <v>96</v>
      </c>
      <c r="J79" s="7" t="str">
        <f>HYPERLINK("https://www.codechef.com/problems/PYMCQ79", "https://www.codechef.com/problems/PYMCQ79")</f>
        <v>https://www.codechef.com/problems/PYMCQ79</v>
      </c>
      <c r="K79" s="15"/>
      <c r="L79" s="15"/>
      <c r="M79" s="15"/>
      <c r="N79" s="15" t="s">
        <v>50</v>
      </c>
      <c r="O79" s="15" t="s">
        <v>51</v>
      </c>
    </row>
    <row r="80" spans="1:15">
      <c r="A80" s="14" t="s">
        <v>13</v>
      </c>
      <c r="B80" s="14" t="s">
        <v>4690</v>
      </c>
      <c r="C80" s="14" t="s">
        <v>4691</v>
      </c>
      <c r="D80" s="14" t="s">
        <v>4835</v>
      </c>
      <c r="E80" s="14">
        <v>79</v>
      </c>
      <c r="F80" s="14" t="s">
        <v>4854</v>
      </c>
      <c r="G80" s="14" t="s">
        <v>4855</v>
      </c>
      <c r="H80" s="14"/>
      <c r="I80" s="14" t="s">
        <v>49</v>
      </c>
      <c r="J80" s="11" t="str">
        <f>HYPERLINK("https://www.codechef.com/problems/PYMCQ80", "https://www.codechef.com/problems/PYMCQ80")</f>
        <v>https://www.codechef.com/problems/PYMCQ80</v>
      </c>
      <c r="K80" s="14"/>
      <c r="L80" s="14"/>
      <c r="M80" s="14"/>
      <c r="N80" s="14" t="s">
        <v>50</v>
      </c>
      <c r="O80" s="14" t="s">
        <v>51</v>
      </c>
    </row>
    <row r="81" spans="1:15">
      <c r="A81" s="15" t="s">
        <v>13</v>
      </c>
      <c r="B81" s="15" t="s">
        <v>4690</v>
      </c>
      <c r="C81" s="15" t="s">
        <v>4691</v>
      </c>
      <c r="D81" s="15" t="s">
        <v>4856</v>
      </c>
      <c r="E81" s="15">
        <v>80</v>
      </c>
      <c r="F81" s="15" t="s">
        <v>4857</v>
      </c>
      <c r="G81" s="15" t="s">
        <v>4858</v>
      </c>
      <c r="H81" s="15"/>
      <c r="I81" s="15" t="s">
        <v>49</v>
      </c>
      <c r="J81" s="7" t="str">
        <f>HYPERLINK("https://www.codechef.com/problems/PYMCQ89", "https://www.codechef.com/problems/PYMCQ89")</f>
        <v>https://www.codechef.com/problems/PYMCQ89</v>
      </c>
      <c r="K81" s="15"/>
      <c r="L81" s="15"/>
      <c r="M81" s="15"/>
      <c r="N81" s="15" t="s">
        <v>50</v>
      </c>
      <c r="O81" s="15" t="s">
        <v>51</v>
      </c>
    </row>
    <row r="82" spans="1:15">
      <c r="A82" s="14" t="s">
        <v>13</v>
      </c>
      <c r="B82" s="14" t="s">
        <v>4690</v>
      </c>
      <c r="C82" s="14" t="s">
        <v>4691</v>
      </c>
      <c r="D82" s="14" t="s">
        <v>4856</v>
      </c>
      <c r="E82" s="14">
        <v>81</v>
      </c>
      <c r="F82" s="14" t="s">
        <v>4859</v>
      </c>
      <c r="G82" s="14" t="s">
        <v>4860</v>
      </c>
      <c r="H82" s="14"/>
      <c r="I82" s="14" t="s">
        <v>49</v>
      </c>
      <c r="J82" s="11" t="str">
        <f>HYPERLINK("https://www.codechef.com/problems/PYMCQ90", "https://www.codechef.com/problems/PYMCQ90")</f>
        <v>https://www.codechef.com/problems/PYMCQ90</v>
      </c>
      <c r="K82" s="14"/>
      <c r="L82" s="14"/>
      <c r="M82" s="14"/>
      <c r="N82" s="14" t="s">
        <v>50</v>
      </c>
      <c r="O82" s="14" t="s">
        <v>51</v>
      </c>
    </row>
    <row r="83" spans="1:15">
      <c r="A83" s="15" t="s">
        <v>13</v>
      </c>
      <c r="B83" s="15" t="s">
        <v>4690</v>
      </c>
      <c r="C83" s="15" t="s">
        <v>4691</v>
      </c>
      <c r="D83" s="15" t="s">
        <v>4856</v>
      </c>
      <c r="E83" s="15">
        <v>82</v>
      </c>
      <c r="F83" s="15" t="s">
        <v>4861</v>
      </c>
      <c r="G83" s="15" t="s">
        <v>4862</v>
      </c>
      <c r="H83" s="15"/>
      <c r="I83" s="15" t="s">
        <v>49</v>
      </c>
      <c r="J83" s="7" t="str">
        <f>HYPERLINK("https://www.codechef.com/problems/PYMCQ91", "https://www.codechef.com/problems/PYMCQ91")</f>
        <v>https://www.codechef.com/problems/PYMCQ91</v>
      </c>
      <c r="K83" s="15"/>
      <c r="L83" s="15"/>
      <c r="M83" s="15"/>
      <c r="N83" s="15" t="s">
        <v>50</v>
      </c>
      <c r="O83" s="15" t="s">
        <v>51</v>
      </c>
    </row>
    <row r="84" spans="1:15">
      <c r="A84" s="14" t="s">
        <v>13</v>
      </c>
      <c r="B84" s="14" t="s">
        <v>4690</v>
      </c>
      <c r="C84" s="14" t="s">
        <v>4691</v>
      </c>
      <c r="D84" s="14" t="s">
        <v>4856</v>
      </c>
      <c r="E84" s="14">
        <v>83</v>
      </c>
      <c r="F84" s="14" t="s">
        <v>4863</v>
      </c>
      <c r="G84" s="14" t="s">
        <v>4864</v>
      </c>
      <c r="H84" s="14"/>
      <c r="I84" s="14" t="s">
        <v>49</v>
      </c>
      <c r="J84" s="11" t="str">
        <f>HYPERLINK("https://www.codechef.com/problems/PYMCQ92", "https://www.codechef.com/problems/PYMCQ92")</f>
        <v>https://www.codechef.com/problems/PYMCQ92</v>
      </c>
      <c r="K84" s="14"/>
      <c r="L84" s="14"/>
      <c r="M84" s="14"/>
      <c r="N84" s="14" t="s">
        <v>50</v>
      </c>
      <c r="O84" s="14" t="s">
        <v>51</v>
      </c>
    </row>
    <row r="85" spans="1:15">
      <c r="A85" s="15" t="s">
        <v>13</v>
      </c>
      <c r="B85" s="15" t="s">
        <v>4690</v>
      </c>
      <c r="C85" s="15" t="s">
        <v>4691</v>
      </c>
      <c r="D85" s="15" t="s">
        <v>4856</v>
      </c>
      <c r="E85" s="15">
        <v>84</v>
      </c>
      <c r="F85" s="15" t="s">
        <v>4865</v>
      </c>
      <c r="G85" s="15" t="s">
        <v>4866</v>
      </c>
      <c r="H85" s="15"/>
      <c r="I85" s="15" t="s">
        <v>49</v>
      </c>
      <c r="J85" s="7" t="str">
        <f>HYPERLINK("https://www.codechef.com/problems/PYMCQ93", "https://www.codechef.com/problems/PYMCQ93")</f>
        <v>https://www.codechef.com/problems/PYMCQ93</v>
      </c>
      <c r="K85" s="15"/>
      <c r="L85" s="15"/>
      <c r="M85" s="15"/>
      <c r="N85" s="15" t="s">
        <v>50</v>
      </c>
      <c r="O85" s="15" t="s">
        <v>51</v>
      </c>
    </row>
    <row r="86" spans="1:15">
      <c r="A86" s="14" t="s">
        <v>13</v>
      </c>
      <c r="B86" s="14" t="s">
        <v>4690</v>
      </c>
      <c r="C86" s="14" t="s">
        <v>4691</v>
      </c>
      <c r="D86" s="14" t="s">
        <v>4856</v>
      </c>
      <c r="E86" s="14">
        <v>85</v>
      </c>
      <c r="F86" s="14" t="s">
        <v>4867</v>
      </c>
      <c r="G86" s="14" t="s">
        <v>4868</v>
      </c>
      <c r="H86" s="14"/>
      <c r="I86" s="14" t="s">
        <v>49</v>
      </c>
      <c r="J86" s="11" t="str">
        <f>HYPERLINK("https://www.codechef.com/problems/PYMCQ94", "https://www.codechef.com/problems/PYMCQ94")</f>
        <v>https://www.codechef.com/problems/PYMCQ94</v>
      </c>
      <c r="K86" s="14"/>
      <c r="L86" s="14"/>
      <c r="M86" s="14"/>
      <c r="N86" s="14" t="s">
        <v>50</v>
      </c>
      <c r="O86" s="14" t="s">
        <v>51</v>
      </c>
    </row>
    <row r="87" spans="1:15">
      <c r="A87" s="15" t="s">
        <v>13</v>
      </c>
      <c r="B87" s="15" t="s">
        <v>4690</v>
      </c>
      <c r="C87" s="15" t="s">
        <v>4691</v>
      </c>
      <c r="D87" s="15" t="s">
        <v>4856</v>
      </c>
      <c r="E87" s="15">
        <v>86</v>
      </c>
      <c r="F87" s="15" t="s">
        <v>4869</v>
      </c>
      <c r="G87" s="15" t="s">
        <v>4870</v>
      </c>
      <c r="H87" s="15"/>
      <c r="I87" s="15" t="s">
        <v>49</v>
      </c>
      <c r="J87" s="7" t="str">
        <f>HYPERLINK("https://www.codechef.com/problems/PYMCQ95", "https://www.codechef.com/problems/PYMCQ95")</f>
        <v>https://www.codechef.com/problems/PYMCQ95</v>
      </c>
      <c r="K87" s="15"/>
      <c r="L87" s="15"/>
      <c r="M87" s="15"/>
      <c r="N87" s="15" t="s">
        <v>50</v>
      </c>
      <c r="O87" s="15" t="s">
        <v>51</v>
      </c>
    </row>
    <row r="88" spans="1:15">
      <c r="A88" s="14" t="s">
        <v>13</v>
      </c>
      <c r="B88" s="14" t="s">
        <v>4690</v>
      </c>
      <c r="C88" s="14" t="s">
        <v>4691</v>
      </c>
      <c r="D88" s="14" t="s">
        <v>4856</v>
      </c>
      <c r="E88" s="14">
        <v>87</v>
      </c>
      <c r="F88" s="14" t="s">
        <v>4871</v>
      </c>
      <c r="G88" s="14" t="s">
        <v>4872</v>
      </c>
      <c r="H88" s="14"/>
      <c r="I88" s="14" t="s">
        <v>49</v>
      </c>
      <c r="J88" s="11" t="str">
        <f>HYPERLINK("https://www.codechef.com/problems/PYMCQ96", "https://www.codechef.com/problems/PYMCQ96")</f>
        <v>https://www.codechef.com/problems/PYMCQ96</v>
      </c>
      <c r="K88" s="14"/>
      <c r="L88" s="14"/>
      <c r="M88" s="14"/>
      <c r="N88" s="14" t="s">
        <v>50</v>
      </c>
      <c r="O88" s="14" t="s">
        <v>51</v>
      </c>
    </row>
    <row r="89" spans="1:15">
      <c r="A89" s="15" t="s">
        <v>13</v>
      </c>
      <c r="B89" s="15" t="s">
        <v>4690</v>
      </c>
      <c r="C89" s="15" t="s">
        <v>4691</v>
      </c>
      <c r="D89" s="15" t="s">
        <v>4856</v>
      </c>
      <c r="E89" s="15">
        <v>88</v>
      </c>
      <c r="F89" s="15" t="s">
        <v>4873</v>
      </c>
      <c r="G89" s="15" t="s">
        <v>4874</v>
      </c>
      <c r="H89" s="15"/>
      <c r="I89" s="15" t="s">
        <v>96</v>
      </c>
      <c r="J89" s="7" t="str">
        <f>HYPERLINK("https://www.codechef.com/problems/PYMCQ97", "https://www.codechef.com/problems/PYMCQ97")</f>
        <v>https://www.codechef.com/problems/PYMCQ97</v>
      </c>
      <c r="K89" s="15"/>
      <c r="L89" s="15"/>
      <c r="M89" s="15"/>
      <c r="N89" s="15" t="s">
        <v>50</v>
      </c>
      <c r="O89" s="15" t="s">
        <v>51</v>
      </c>
    </row>
    <row r="90" spans="1:15">
      <c r="A90" s="14" t="s">
        <v>13</v>
      </c>
      <c r="B90" s="14" t="s">
        <v>4690</v>
      </c>
      <c r="C90" s="14" t="s">
        <v>4691</v>
      </c>
      <c r="D90" s="14" t="s">
        <v>4875</v>
      </c>
      <c r="E90" s="14">
        <v>89</v>
      </c>
      <c r="F90" s="14" t="s">
        <v>4876</v>
      </c>
      <c r="G90" s="14" t="s">
        <v>4877</v>
      </c>
      <c r="H90" s="14"/>
      <c r="I90" s="14" t="s">
        <v>49</v>
      </c>
      <c r="J90" s="11" t="str">
        <f>HYPERLINK("https://www.codechef.com/problems/PYMCQ99", "https://www.codechef.com/problems/PYMCQ99")</f>
        <v>https://www.codechef.com/problems/PYMCQ99</v>
      </c>
      <c r="K90" s="14"/>
      <c r="L90" s="14"/>
      <c r="M90" s="14"/>
      <c r="N90" s="14" t="s">
        <v>50</v>
      </c>
      <c r="O90" s="14" t="s">
        <v>51</v>
      </c>
    </row>
    <row r="91" spans="1:15">
      <c r="A91" s="15" t="s">
        <v>13</v>
      </c>
      <c r="B91" s="15" t="s">
        <v>4690</v>
      </c>
      <c r="C91" s="15" t="s">
        <v>4691</v>
      </c>
      <c r="D91" s="15" t="s">
        <v>4875</v>
      </c>
      <c r="E91" s="15">
        <v>90</v>
      </c>
      <c r="F91" s="15" t="s">
        <v>4878</v>
      </c>
      <c r="G91" s="15" t="s">
        <v>4879</v>
      </c>
      <c r="H91" s="15"/>
      <c r="I91" s="15" t="s">
        <v>49</v>
      </c>
      <c r="J91" s="7" t="str">
        <f>HYPERLINK("https://www.codechef.com/problems/PYMCQ100", "https://www.codechef.com/problems/PYMCQ100")</f>
        <v>https://www.codechef.com/problems/PYMCQ100</v>
      </c>
      <c r="K91" s="15"/>
      <c r="L91" s="15"/>
      <c r="M91" s="15"/>
      <c r="N91" s="15" t="s">
        <v>50</v>
      </c>
      <c r="O91" s="15" t="s">
        <v>51</v>
      </c>
    </row>
    <row r="92" spans="1:15">
      <c r="A92" s="14" t="s">
        <v>13</v>
      </c>
      <c r="B92" s="14" t="s">
        <v>4690</v>
      </c>
      <c r="C92" s="14" t="s">
        <v>4691</v>
      </c>
      <c r="D92" s="14" t="s">
        <v>4875</v>
      </c>
      <c r="E92" s="14">
        <v>91</v>
      </c>
      <c r="F92" s="14" t="s">
        <v>4880</v>
      </c>
      <c r="G92" s="14" t="s">
        <v>4881</v>
      </c>
      <c r="H92" s="14"/>
      <c r="I92" s="14" t="s">
        <v>49</v>
      </c>
      <c r="J92" s="11" t="str">
        <f>HYPERLINK("https://www.codechef.com/problems/PYMCQ101", "https://www.codechef.com/problems/PYMCQ101")</f>
        <v>https://www.codechef.com/problems/PYMCQ101</v>
      </c>
      <c r="K92" s="14"/>
      <c r="L92" s="14"/>
      <c r="M92" s="14"/>
      <c r="N92" s="14" t="s">
        <v>50</v>
      </c>
      <c r="O92" s="14" t="s">
        <v>51</v>
      </c>
    </row>
    <row r="93" spans="1:15">
      <c r="A93" s="15" t="s">
        <v>13</v>
      </c>
      <c r="B93" s="15" t="s">
        <v>4690</v>
      </c>
      <c r="C93" s="15" t="s">
        <v>4691</v>
      </c>
      <c r="D93" s="15" t="s">
        <v>4875</v>
      </c>
      <c r="E93" s="15">
        <v>92</v>
      </c>
      <c r="F93" s="15" t="s">
        <v>4882</v>
      </c>
      <c r="G93" s="15" t="s">
        <v>4883</v>
      </c>
      <c r="H93" s="15"/>
      <c r="I93" s="15" t="s">
        <v>49</v>
      </c>
      <c r="J93" s="7" t="str">
        <f>HYPERLINK("https://www.codechef.com/problems/PYMCQ102", "https://www.codechef.com/problems/PYMCQ102")</f>
        <v>https://www.codechef.com/problems/PYMCQ102</v>
      </c>
      <c r="K93" s="15"/>
      <c r="L93" s="15"/>
      <c r="M93" s="15"/>
      <c r="N93" s="15" t="s">
        <v>50</v>
      </c>
      <c r="O93" s="15" t="s">
        <v>51</v>
      </c>
    </row>
    <row r="94" spans="1:15">
      <c r="A94" s="14" t="s">
        <v>13</v>
      </c>
      <c r="B94" s="14" t="s">
        <v>4690</v>
      </c>
      <c r="C94" s="14" t="s">
        <v>4691</v>
      </c>
      <c r="D94" s="14" t="s">
        <v>4875</v>
      </c>
      <c r="E94" s="14">
        <v>93</v>
      </c>
      <c r="F94" s="14" t="s">
        <v>4884</v>
      </c>
      <c r="G94" s="14" t="s">
        <v>4885</v>
      </c>
      <c r="H94" s="14"/>
      <c r="I94" s="14" t="s">
        <v>49</v>
      </c>
      <c r="J94" s="11" t="str">
        <f>HYPERLINK("https://www.codechef.com/problems/PYMCQ103", "https://www.codechef.com/problems/PYMCQ103")</f>
        <v>https://www.codechef.com/problems/PYMCQ103</v>
      </c>
      <c r="K94" s="14"/>
      <c r="L94" s="14"/>
      <c r="M94" s="14"/>
      <c r="N94" s="14" t="s">
        <v>50</v>
      </c>
      <c r="O94" s="14" t="s">
        <v>51</v>
      </c>
    </row>
    <row r="95" spans="1:15">
      <c r="A95" s="15" t="s">
        <v>13</v>
      </c>
      <c r="B95" s="15" t="s">
        <v>4690</v>
      </c>
      <c r="C95" s="15" t="s">
        <v>4691</v>
      </c>
      <c r="D95" s="15" t="s">
        <v>4875</v>
      </c>
      <c r="E95" s="15">
        <v>94</v>
      </c>
      <c r="F95" s="15" t="s">
        <v>4886</v>
      </c>
      <c r="G95" s="15" t="s">
        <v>4887</v>
      </c>
      <c r="H95" s="15"/>
      <c r="I95" s="15" t="s">
        <v>49</v>
      </c>
      <c r="J95" s="7" t="str">
        <f>HYPERLINK("https://www.codechef.com/problems/PYMCQ104", "https://www.codechef.com/problems/PYMCQ104")</f>
        <v>https://www.codechef.com/problems/PYMCQ104</v>
      </c>
      <c r="K95" s="15"/>
      <c r="L95" s="15"/>
      <c r="M95" s="15"/>
      <c r="N95" s="15" t="s">
        <v>50</v>
      </c>
      <c r="O95" s="15" t="s">
        <v>51</v>
      </c>
    </row>
    <row r="96" spans="1:15">
      <c r="A96" s="14" t="s">
        <v>13</v>
      </c>
      <c r="B96" s="14" t="s">
        <v>4690</v>
      </c>
      <c r="C96" s="14" t="s">
        <v>4691</v>
      </c>
      <c r="D96" s="14" t="s">
        <v>4875</v>
      </c>
      <c r="E96" s="14">
        <v>95</v>
      </c>
      <c r="F96" s="14" t="s">
        <v>4888</v>
      </c>
      <c r="G96" s="14" t="s">
        <v>4889</v>
      </c>
      <c r="H96" s="14"/>
      <c r="I96" s="14" t="s">
        <v>49</v>
      </c>
      <c r="J96" s="11" t="str">
        <f>HYPERLINK("https://www.codechef.com/problems/PYMCQ105", "https://www.codechef.com/problems/PYMCQ105")</f>
        <v>https://www.codechef.com/problems/PYMCQ105</v>
      </c>
      <c r="K96" s="14"/>
      <c r="L96" s="14"/>
      <c r="M96" s="14"/>
      <c r="N96" s="14" t="s">
        <v>50</v>
      </c>
      <c r="O96" s="14" t="s">
        <v>51</v>
      </c>
    </row>
    <row r="97" spans="1:15">
      <c r="A97" s="15" t="s">
        <v>13</v>
      </c>
      <c r="B97" s="15" t="s">
        <v>4690</v>
      </c>
      <c r="C97" s="15" t="s">
        <v>4691</v>
      </c>
      <c r="D97" s="15" t="s">
        <v>4875</v>
      </c>
      <c r="E97" s="15">
        <v>96</v>
      </c>
      <c r="F97" s="15" t="s">
        <v>4890</v>
      </c>
      <c r="G97" s="15" t="s">
        <v>4891</v>
      </c>
      <c r="H97" s="15"/>
      <c r="I97" s="15" t="s">
        <v>49</v>
      </c>
      <c r="J97" s="7" t="str">
        <f>HYPERLINK("https://www.codechef.com/problems/PYMCQ106", "https://www.codechef.com/problems/PYMCQ106")</f>
        <v>https://www.codechef.com/problems/PYMCQ106</v>
      </c>
      <c r="K97" s="15"/>
      <c r="L97" s="15"/>
      <c r="M97" s="15"/>
      <c r="N97" s="15" t="s">
        <v>50</v>
      </c>
      <c r="O97" s="15" t="s">
        <v>51</v>
      </c>
    </row>
    <row r="98" spans="1:15">
      <c r="A98" s="14" t="s">
        <v>13</v>
      </c>
      <c r="B98" s="14" t="s">
        <v>4690</v>
      </c>
      <c r="C98" s="14" t="s">
        <v>4691</v>
      </c>
      <c r="D98" s="14" t="s">
        <v>4875</v>
      </c>
      <c r="E98" s="14">
        <v>97</v>
      </c>
      <c r="F98" s="14" t="s">
        <v>4892</v>
      </c>
      <c r="G98" s="14" t="s">
        <v>4893</v>
      </c>
      <c r="H98" s="14"/>
      <c r="I98" s="14" t="s">
        <v>49</v>
      </c>
      <c r="J98" s="11" t="str">
        <f>HYPERLINK("https://www.codechef.com/problems/PYMCQ107", "https://www.codechef.com/problems/PYMCQ107")</f>
        <v>https://www.codechef.com/problems/PYMCQ107</v>
      </c>
      <c r="K98" s="14"/>
      <c r="L98" s="14"/>
      <c r="M98" s="14"/>
      <c r="N98" s="14" t="s">
        <v>50</v>
      </c>
      <c r="O98" s="14" t="s">
        <v>51</v>
      </c>
    </row>
    <row r="99" spans="1:15">
      <c r="A99" s="15" t="s">
        <v>13</v>
      </c>
      <c r="B99" s="15" t="s">
        <v>4690</v>
      </c>
      <c r="C99" s="15" t="s">
        <v>4691</v>
      </c>
      <c r="D99" s="15" t="s">
        <v>4875</v>
      </c>
      <c r="E99" s="15">
        <v>98</v>
      </c>
      <c r="F99" s="15" t="s">
        <v>4894</v>
      </c>
      <c r="G99" s="15" t="s">
        <v>4895</v>
      </c>
      <c r="H99" s="15"/>
      <c r="I99" s="15" t="s">
        <v>96</v>
      </c>
      <c r="J99" s="7" t="str">
        <f>HYPERLINK("https://www.codechef.com/problems/PYMCQ108", "https://www.codechef.com/problems/PYMCQ108")</f>
        <v>https://www.codechef.com/problems/PYMCQ108</v>
      </c>
      <c r="K99" s="15"/>
      <c r="L99" s="15"/>
      <c r="M99" s="15"/>
      <c r="N99" s="15" t="s">
        <v>50</v>
      </c>
      <c r="O99" s="15" t="s">
        <v>51</v>
      </c>
    </row>
    <row r="100" spans="1:15">
      <c r="A100" s="14" t="s">
        <v>13</v>
      </c>
      <c r="B100" s="14" t="s">
        <v>4690</v>
      </c>
      <c r="C100" s="14" t="s">
        <v>4691</v>
      </c>
      <c r="D100" s="14" t="s">
        <v>4896</v>
      </c>
      <c r="E100" s="14">
        <v>99</v>
      </c>
      <c r="F100" s="14" t="s">
        <v>4897</v>
      </c>
      <c r="G100" s="14" t="s">
        <v>4898</v>
      </c>
      <c r="H100" s="14"/>
      <c r="I100" s="14" t="s">
        <v>49</v>
      </c>
      <c r="J100" s="11" t="str">
        <f>HYPERLINK("https://www.codechef.com/problems/PYMCQ109", "https://www.codechef.com/problems/PYMCQ109")</f>
        <v>https://www.codechef.com/problems/PYMCQ109</v>
      </c>
      <c r="K100" s="14"/>
      <c r="L100" s="14"/>
      <c r="M100" s="14"/>
      <c r="N100" s="14" t="s">
        <v>50</v>
      </c>
      <c r="O100" s="14" t="s">
        <v>51</v>
      </c>
    </row>
    <row r="101" spans="1:15">
      <c r="A101" s="15" t="s">
        <v>13</v>
      </c>
      <c r="B101" s="15" t="s">
        <v>4690</v>
      </c>
      <c r="C101" s="15" t="s">
        <v>4691</v>
      </c>
      <c r="D101" s="15" t="s">
        <v>4896</v>
      </c>
      <c r="E101" s="15">
        <v>100</v>
      </c>
      <c r="F101" s="15" t="s">
        <v>4899</v>
      </c>
      <c r="G101" s="15" t="s">
        <v>4900</v>
      </c>
      <c r="H101" s="15"/>
      <c r="I101" s="15" t="s">
        <v>49</v>
      </c>
      <c r="J101" s="7" t="str">
        <f>HYPERLINK("https://www.codechef.com/problems/PYMCQ110", "https://www.codechef.com/problems/PYMCQ110")</f>
        <v>https://www.codechef.com/problems/PYMCQ110</v>
      </c>
      <c r="K101" s="15"/>
      <c r="L101" s="15"/>
      <c r="M101" s="15"/>
      <c r="N101" s="15" t="s">
        <v>50</v>
      </c>
      <c r="O101" s="15" t="s">
        <v>51</v>
      </c>
    </row>
    <row r="102" spans="1:15">
      <c r="A102" s="14" t="s">
        <v>13</v>
      </c>
      <c r="B102" s="14" t="s">
        <v>4690</v>
      </c>
      <c r="C102" s="14" t="s">
        <v>4691</v>
      </c>
      <c r="D102" s="14" t="s">
        <v>4896</v>
      </c>
      <c r="E102" s="14">
        <v>101</v>
      </c>
      <c r="F102" s="14" t="s">
        <v>4901</v>
      </c>
      <c r="G102" s="14" t="s">
        <v>4902</v>
      </c>
      <c r="H102" s="14"/>
      <c r="I102" s="14" t="s">
        <v>49</v>
      </c>
      <c r="J102" s="11" t="str">
        <f>HYPERLINK("https://www.codechef.com/problems/PYMCQ111", "https://www.codechef.com/problems/PYMCQ111")</f>
        <v>https://www.codechef.com/problems/PYMCQ111</v>
      </c>
      <c r="K102" s="14"/>
      <c r="L102" s="14"/>
      <c r="M102" s="14"/>
      <c r="N102" s="14" t="s">
        <v>50</v>
      </c>
      <c r="O102" s="14" t="s">
        <v>51</v>
      </c>
    </row>
    <row r="103" spans="1:15">
      <c r="A103" s="15" t="s">
        <v>13</v>
      </c>
      <c r="B103" s="15" t="s">
        <v>4690</v>
      </c>
      <c r="C103" s="15" t="s">
        <v>4691</v>
      </c>
      <c r="D103" s="15" t="s">
        <v>4896</v>
      </c>
      <c r="E103" s="15">
        <v>102</v>
      </c>
      <c r="F103" s="15" t="s">
        <v>4903</v>
      </c>
      <c r="G103" s="15" t="s">
        <v>4904</v>
      </c>
      <c r="H103" s="15"/>
      <c r="I103" s="15" t="s">
        <v>49</v>
      </c>
      <c r="J103" s="7" t="str">
        <f>HYPERLINK("https://www.codechef.com/problems/PYMCQ112", "https://www.codechef.com/problems/PYMCQ112")</f>
        <v>https://www.codechef.com/problems/PYMCQ112</v>
      </c>
      <c r="K103" s="15"/>
      <c r="L103" s="15"/>
      <c r="M103" s="15"/>
      <c r="N103" s="15" t="s">
        <v>50</v>
      </c>
      <c r="O103" s="15" t="s">
        <v>51</v>
      </c>
    </row>
    <row r="104" spans="1:15">
      <c r="A104" s="14" t="s">
        <v>13</v>
      </c>
      <c r="B104" s="14" t="s">
        <v>4690</v>
      </c>
      <c r="C104" s="14" t="s">
        <v>4691</v>
      </c>
      <c r="D104" s="14" t="s">
        <v>4896</v>
      </c>
      <c r="E104" s="14">
        <v>103</v>
      </c>
      <c r="F104" s="14" t="s">
        <v>4905</v>
      </c>
      <c r="G104" s="14" t="s">
        <v>4906</v>
      </c>
      <c r="H104" s="14"/>
      <c r="I104" s="14" t="s">
        <v>49</v>
      </c>
      <c r="J104" s="11" t="str">
        <f>HYPERLINK("https://www.codechef.com/problems/PYMCQ113", "https://www.codechef.com/problems/PYMCQ113")</f>
        <v>https://www.codechef.com/problems/PYMCQ113</v>
      </c>
      <c r="K104" s="14"/>
      <c r="L104" s="14"/>
      <c r="M104" s="14"/>
      <c r="N104" s="14" t="s">
        <v>50</v>
      </c>
      <c r="O104" s="14" t="s">
        <v>51</v>
      </c>
    </row>
    <row r="105" spans="1:15">
      <c r="A105" s="15" t="s">
        <v>13</v>
      </c>
      <c r="B105" s="15" t="s">
        <v>4690</v>
      </c>
      <c r="C105" s="15" t="s">
        <v>4691</v>
      </c>
      <c r="D105" s="15" t="s">
        <v>4896</v>
      </c>
      <c r="E105" s="15">
        <v>104</v>
      </c>
      <c r="F105" s="15" t="s">
        <v>4907</v>
      </c>
      <c r="G105" s="15" t="s">
        <v>4908</v>
      </c>
      <c r="H105" s="15"/>
      <c r="I105" s="15" t="s">
        <v>49</v>
      </c>
      <c r="J105" s="7" t="str">
        <f>HYPERLINK("https://www.codechef.com/problems/PYMCQ114", "https://www.codechef.com/problems/PYMCQ114")</f>
        <v>https://www.codechef.com/problems/PYMCQ114</v>
      </c>
      <c r="K105" s="15"/>
      <c r="L105" s="15"/>
      <c r="M105" s="15"/>
      <c r="N105" s="15" t="s">
        <v>50</v>
      </c>
      <c r="O105" s="15" t="s">
        <v>51</v>
      </c>
    </row>
    <row r="106" spans="1:15">
      <c r="A106" s="14" t="s">
        <v>13</v>
      </c>
      <c r="B106" s="14" t="s">
        <v>4690</v>
      </c>
      <c r="C106" s="14" t="s">
        <v>4691</v>
      </c>
      <c r="D106" s="14" t="s">
        <v>4896</v>
      </c>
      <c r="E106" s="14">
        <v>105</v>
      </c>
      <c r="F106" s="14" t="s">
        <v>4909</v>
      </c>
      <c r="G106" s="14" t="s">
        <v>4910</v>
      </c>
      <c r="H106" s="14"/>
      <c r="I106" s="14" t="s">
        <v>49</v>
      </c>
      <c r="J106" s="11" t="str">
        <f>HYPERLINK("https://www.codechef.com/problems/PYMCQ115", "https://www.codechef.com/problems/PYMCQ115")</f>
        <v>https://www.codechef.com/problems/PYMCQ115</v>
      </c>
      <c r="K106" s="14"/>
      <c r="L106" s="14"/>
      <c r="M106" s="14"/>
      <c r="N106" s="14" t="s">
        <v>50</v>
      </c>
      <c r="O106" s="14" t="s">
        <v>51</v>
      </c>
    </row>
    <row r="107" spans="1:15">
      <c r="A107" s="15" t="s">
        <v>13</v>
      </c>
      <c r="B107" s="15" t="s">
        <v>4690</v>
      </c>
      <c r="C107" s="15" t="s">
        <v>4691</v>
      </c>
      <c r="D107" s="15" t="s">
        <v>4896</v>
      </c>
      <c r="E107" s="15">
        <v>106</v>
      </c>
      <c r="F107" s="15" t="s">
        <v>4911</v>
      </c>
      <c r="G107" s="15" t="s">
        <v>4912</v>
      </c>
      <c r="H107" s="15"/>
      <c r="I107" s="15" t="s">
        <v>49</v>
      </c>
      <c r="J107" s="7" t="str">
        <f>HYPERLINK("https://www.codechef.com/problems/PYMCQ116", "https://www.codechef.com/problems/PYMCQ116")</f>
        <v>https://www.codechef.com/problems/PYMCQ116</v>
      </c>
      <c r="K107" s="15"/>
      <c r="L107" s="15"/>
      <c r="M107" s="15"/>
      <c r="N107" s="15" t="s">
        <v>50</v>
      </c>
      <c r="O107" s="15" t="s">
        <v>51</v>
      </c>
    </row>
    <row r="108" spans="1:15">
      <c r="A108" s="14" t="s">
        <v>13</v>
      </c>
      <c r="B108" s="14" t="s">
        <v>4690</v>
      </c>
      <c r="C108" s="14" t="s">
        <v>4691</v>
      </c>
      <c r="D108" s="14" t="s">
        <v>4896</v>
      </c>
      <c r="E108" s="14">
        <v>107</v>
      </c>
      <c r="F108" s="14" t="s">
        <v>4913</v>
      </c>
      <c r="G108" s="14" t="s">
        <v>4914</v>
      </c>
      <c r="H108" s="14"/>
      <c r="I108" s="14" t="s">
        <v>49</v>
      </c>
      <c r="J108" s="11" t="str">
        <f>HYPERLINK("https://www.codechef.com/problems/PYMCQ117", "https://www.codechef.com/problems/PYMCQ117")</f>
        <v>https://www.codechef.com/problems/PYMCQ117</v>
      </c>
      <c r="K108" s="14"/>
      <c r="L108" s="14"/>
      <c r="M108" s="14"/>
      <c r="N108" s="14" t="s">
        <v>50</v>
      </c>
      <c r="O108" s="14" t="s">
        <v>51</v>
      </c>
    </row>
    <row r="109" spans="1:15">
      <c r="A109" s="15" t="s">
        <v>13</v>
      </c>
      <c r="B109" s="15" t="s">
        <v>4690</v>
      </c>
      <c r="C109" s="15" t="s">
        <v>4691</v>
      </c>
      <c r="D109" s="15" t="s">
        <v>4896</v>
      </c>
      <c r="E109" s="15">
        <v>108</v>
      </c>
      <c r="F109" s="15" t="s">
        <v>4915</v>
      </c>
      <c r="G109" s="15" t="s">
        <v>4916</v>
      </c>
      <c r="H109" s="15"/>
      <c r="I109" s="15" t="s">
        <v>49</v>
      </c>
      <c r="J109" s="7" t="str">
        <f>HYPERLINK("https://www.codechef.com/problems/PYMCQ118", "https://www.codechef.com/problems/PYMCQ118")</f>
        <v>https://www.codechef.com/problems/PYMCQ118</v>
      </c>
      <c r="K109" s="15"/>
      <c r="L109" s="15"/>
      <c r="M109" s="15"/>
      <c r="N109" s="15" t="s">
        <v>50</v>
      </c>
      <c r="O109" s="15" t="s">
        <v>51</v>
      </c>
    </row>
    <row r="110" spans="1:15">
      <c r="A110" s="14" t="s">
        <v>13</v>
      </c>
      <c r="B110" s="14" t="s">
        <v>4690</v>
      </c>
      <c r="C110" s="14" t="s">
        <v>4691</v>
      </c>
      <c r="D110" s="14" t="s">
        <v>4917</v>
      </c>
      <c r="E110" s="14">
        <v>109</v>
      </c>
      <c r="F110" s="14" t="s">
        <v>4918</v>
      </c>
      <c r="G110" s="14" t="s">
        <v>4919</v>
      </c>
      <c r="H110" s="14"/>
      <c r="I110" s="14" t="s">
        <v>49</v>
      </c>
      <c r="J110" s="11" t="str">
        <f>HYPERLINK("https://www.codechef.com/problems/PYMCQ119", "https://www.codechef.com/problems/PYMCQ119")</f>
        <v>https://www.codechef.com/problems/PYMCQ119</v>
      </c>
      <c r="K110" s="14"/>
      <c r="L110" s="14"/>
      <c r="M110" s="14"/>
      <c r="N110" s="14" t="s">
        <v>50</v>
      </c>
      <c r="O110" s="14" t="s">
        <v>51</v>
      </c>
    </row>
    <row r="111" spans="1:15">
      <c r="A111" s="15" t="s">
        <v>13</v>
      </c>
      <c r="B111" s="15" t="s">
        <v>4690</v>
      </c>
      <c r="C111" s="15" t="s">
        <v>4691</v>
      </c>
      <c r="D111" s="15" t="s">
        <v>4917</v>
      </c>
      <c r="E111" s="15">
        <v>110</v>
      </c>
      <c r="F111" s="15" t="s">
        <v>4920</v>
      </c>
      <c r="G111" s="15" t="s">
        <v>4921</v>
      </c>
      <c r="H111" s="15"/>
      <c r="I111" s="15" t="s">
        <v>49</v>
      </c>
      <c r="J111" s="7" t="str">
        <f>HYPERLINK("https://www.codechef.com/problems/PYMCQ120", "https://www.codechef.com/problems/PYMCQ120")</f>
        <v>https://www.codechef.com/problems/PYMCQ120</v>
      </c>
      <c r="K111" s="15"/>
      <c r="L111" s="15"/>
      <c r="M111" s="15"/>
      <c r="N111" s="15" t="s">
        <v>50</v>
      </c>
      <c r="O111" s="15" t="s">
        <v>51</v>
      </c>
    </row>
    <row r="112" spans="1:15">
      <c r="A112" s="14" t="s">
        <v>13</v>
      </c>
      <c r="B112" s="14" t="s">
        <v>4690</v>
      </c>
      <c r="C112" s="14" t="s">
        <v>4691</v>
      </c>
      <c r="D112" s="14" t="s">
        <v>4917</v>
      </c>
      <c r="E112" s="14">
        <v>111</v>
      </c>
      <c r="F112" s="14" t="s">
        <v>4922</v>
      </c>
      <c r="G112" s="14" t="s">
        <v>4923</v>
      </c>
      <c r="H112" s="14"/>
      <c r="I112" s="14" t="s">
        <v>49</v>
      </c>
      <c r="J112" s="11" t="str">
        <f>HYPERLINK("https://www.codechef.com/problems/PYMCQ121", "https://www.codechef.com/problems/PYMCQ121")</f>
        <v>https://www.codechef.com/problems/PYMCQ121</v>
      </c>
      <c r="K112" s="14"/>
      <c r="L112" s="14"/>
      <c r="M112" s="14"/>
      <c r="N112" s="14" t="s">
        <v>50</v>
      </c>
      <c r="O112" s="14" t="s">
        <v>51</v>
      </c>
    </row>
    <row r="113" spans="1:15">
      <c r="A113" s="15" t="s">
        <v>13</v>
      </c>
      <c r="B113" s="15" t="s">
        <v>4690</v>
      </c>
      <c r="C113" s="15" t="s">
        <v>4691</v>
      </c>
      <c r="D113" s="15" t="s">
        <v>4917</v>
      </c>
      <c r="E113" s="15">
        <v>112</v>
      </c>
      <c r="F113" s="15" t="s">
        <v>4924</v>
      </c>
      <c r="G113" s="15" t="s">
        <v>4925</v>
      </c>
      <c r="H113" s="15"/>
      <c r="I113" s="15" t="s">
        <v>49</v>
      </c>
      <c r="J113" s="7" t="str">
        <f>HYPERLINK("https://www.codechef.com/problems/PYMCQ122", "https://www.codechef.com/problems/PYMCQ122")</f>
        <v>https://www.codechef.com/problems/PYMCQ122</v>
      </c>
      <c r="K113" s="15"/>
      <c r="L113" s="15"/>
      <c r="M113" s="15"/>
      <c r="N113" s="15" t="s">
        <v>50</v>
      </c>
      <c r="O113" s="15" t="s">
        <v>51</v>
      </c>
    </row>
    <row r="114" spans="1:15">
      <c r="A114" s="14" t="s">
        <v>13</v>
      </c>
      <c r="B114" s="14" t="s">
        <v>4690</v>
      </c>
      <c r="C114" s="14" t="s">
        <v>4691</v>
      </c>
      <c r="D114" s="14" t="s">
        <v>4917</v>
      </c>
      <c r="E114" s="14">
        <v>113</v>
      </c>
      <c r="F114" s="14" t="s">
        <v>4926</v>
      </c>
      <c r="G114" s="14" t="s">
        <v>4927</v>
      </c>
      <c r="H114" s="14"/>
      <c r="I114" s="14" t="s">
        <v>49</v>
      </c>
      <c r="J114" s="11" t="str">
        <f>HYPERLINK("https://www.codechef.com/problems/PYMCQ123", "https://www.codechef.com/problems/PYMCQ123")</f>
        <v>https://www.codechef.com/problems/PYMCQ123</v>
      </c>
      <c r="K114" s="14"/>
      <c r="L114" s="14"/>
      <c r="M114" s="14"/>
      <c r="N114" s="14" t="s">
        <v>50</v>
      </c>
      <c r="O114" s="14" t="s">
        <v>51</v>
      </c>
    </row>
    <row r="115" spans="1:15">
      <c r="A115" s="15" t="s">
        <v>13</v>
      </c>
      <c r="B115" s="15" t="s">
        <v>4690</v>
      </c>
      <c r="C115" s="15" t="s">
        <v>4691</v>
      </c>
      <c r="D115" s="15" t="s">
        <v>4917</v>
      </c>
      <c r="E115" s="15">
        <v>114</v>
      </c>
      <c r="F115" s="15" t="s">
        <v>4928</v>
      </c>
      <c r="G115" s="15" t="s">
        <v>4929</v>
      </c>
      <c r="H115" s="15"/>
      <c r="I115" s="15" t="s">
        <v>49</v>
      </c>
      <c r="J115" s="7" t="str">
        <f>HYPERLINK("https://www.codechef.com/problems/PYMCQ124", "https://www.codechef.com/problems/PYMCQ124")</f>
        <v>https://www.codechef.com/problems/PYMCQ124</v>
      </c>
      <c r="K115" s="15"/>
      <c r="L115" s="15"/>
      <c r="M115" s="15"/>
      <c r="N115" s="15" t="s">
        <v>50</v>
      </c>
      <c r="O115" s="15" t="s">
        <v>51</v>
      </c>
    </row>
    <row r="116" spans="1:15">
      <c r="A116" s="14" t="s">
        <v>13</v>
      </c>
      <c r="B116" s="14" t="s">
        <v>4690</v>
      </c>
      <c r="C116" s="14" t="s">
        <v>4691</v>
      </c>
      <c r="D116" s="14" t="s">
        <v>4917</v>
      </c>
      <c r="E116" s="14">
        <v>115</v>
      </c>
      <c r="F116" s="14" t="s">
        <v>4930</v>
      </c>
      <c r="G116" s="14" t="s">
        <v>4931</v>
      </c>
      <c r="H116" s="14"/>
      <c r="I116" s="14" t="s">
        <v>49</v>
      </c>
      <c r="J116" s="11" t="str">
        <f>HYPERLINK("https://www.codechef.com/problems/PYMCQ125", "https://www.codechef.com/problems/PYMCQ125")</f>
        <v>https://www.codechef.com/problems/PYMCQ125</v>
      </c>
      <c r="K116" s="14"/>
      <c r="L116" s="14"/>
      <c r="M116" s="14"/>
      <c r="N116" s="14" t="s">
        <v>50</v>
      </c>
      <c r="O116" s="14" t="s">
        <v>51</v>
      </c>
    </row>
    <row r="117" spans="1:15">
      <c r="A117" s="15" t="s">
        <v>13</v>
      </c>
      <c r="B117" s="15" t="s">
        <v>4690</v>
      </c>
      <c r="C117" s="15" t="s">
        <v>4691</v>
      </c>
      <c r="D117" s="15" t="s">
        <v>4917</v>
      </c>
      <c r="E117" s="15">
        <v>116</v>
      </c>
      <c r="F117" s="15" t="s">
        <v>4932</v>
      </c>
      <c r="G117" s="15" t="s">
        <v>4933</v>
      </c>
      <c r="H117" s="15"/>
      <c r="I117" s="15" t="s">
        <v>49</v>
      </c>
      <c r="J117" s="7" t="str">
        <f>HYPERLINK("https://www.codechef.com/problems/PYMCQ126", "https://www.codechef.com/problems/PYMCQ126")</f>
        <v>https://www.codechef.com/problems/PYMCQ126</v>
      </c>
      <c r="K117" s="15"/>
      <c r="L117" s="15"/>
      <c r="M117" s="15"/>
      <c r="N117" s="15" t="s">
        <v>50</v>
      </c>
      <c r="O117" s="15" t="s">
        <v>51</v>
      </c>
    </row>
    <row r="118" spans="1:15">
      <c r="A118" s="14" t="s">
        <v>13</v>
      </c>
      <c r="B118" s="14" t="s">
        <v>4690</v>
      </c>
      <c r="C118" s="14" t="s">
        <v>4691</v>
      </c>
      <c r="D118" s="14" t="s">
        <v>4917</v>
      </c>
      <c r="E118" s="14">
        <v>117</v>
      </c>
      <c r="F118" s="14" t="s">
        <v>4934</v>
      </c>
      <c r="G118" s="14" t="s">
        <v>4935</v>
      </c>
      <c r="H118" s="14"/>
      <c r="I118" s="14" t="s">
        <v>49</v>
      </c>
      <c r="J118" s="11" t="str">
        <f>HYPERLINK("https://www.codechef.com/problems/PYMCQ127", "https://www.codechef.com/problems/PYMCQ127")</f>
        <v>https://www.codechef.com/problems/PYMCQ127</v>
      </c>
      <c r="K118" s="14"/>
      <c r="L118" s="14"/>
      <c r="M118" s="14"/>
      <c r="N118" s="14" t="s">
        <v>50</v>
      </c>
      <c r="O118" s="14" t="s">
        <v>51</v>
      </c>
    </row>
    <row r="119" spans="1:15">
      <c r="A119" s="15" t="s">
        <v>13</v>
      </c>
      <c r="B119" s="15" t="s">
        <v>4690</v>
      </c>
      <c r="C119" s="15" t="s">
        <v>4691</v>
      </c>
      <c r="D119" s="15" t="s">
        <v>4917</v>
      </c>
      <c r="E119" s="15">
        <v>118</v>
      </c>
      <c r="F119" s="15" t="s">
        <v>4936</v>
      </c>
      <c r="G119" s="15" t="s">
        <v>4937</v>
      </c>
      <c r="H119" s="15"/>
      <c r="I119" s="15" t="s">
        <v>49</v>
      </c>
      <c r="J119" s="7" t="str">
        <f>HYPERLINK("https://www.codechef.com/problems/PYMCQ128", "https://www.codechef.com/problems/PYMCQ128")</f>
        <v>https://www.codechef.com/problems/PYMCQ128</v>
      </c>
      <c r="K119" s="15"/>
      <c r="L119" s="15"/>
      <c r="M119" s="15"/>
      <c r="N119" s="15" t="s">
        <v>50</v>
      </c>
      <c r="O119" s="15" t="s">
        <v>51</v>
      </c>
    </row>
    <row r="120" spans="1:15">
      <c r="A120" s="14" t="s">
        <v>13</v>
      </c>
      <c r="B120" s="14" t="s">
        <v>4938</v>
      </c>
      <c r="C120" s="14" t="s">
        <v>4939</v>
      </c>
      <c r="D120" s="14" t="s">
        <v>4940</v>
      </c>
      <c r="E120" s="14">
        <v>1</v>
      </c>
      <c r="F120" s="14" t="s">
        <v>4941</v>
      </c>
      <c r="G120" s="14" t="s">
        <v>4942</v>
      </c>
      <c r="H120" s="14"/>
      <c r="I120" s="14" t="s">
        <v>49</v>
      </c>
      <c r="J120" s="11" t="str">
        <f>HYPERLINK("https://www.codechef.com/problems/JAVAMCQ01", "https://www.codechef.com/problems/JAVAMCQ01")</f>
        <v>https://www.codechef.com/problems/JAVAMCQ01</v>
      </c>
      <c r="K120" s="14"/>
      <c r="L120" s="14"/>
      <c r="M120" s="14"/>
      <c r="N120" s="14" t="s">
        <v>50</v>
      </c>
      <c r="O120" s="14" t="s">
        <v>51</v>
      </c>
    </row>
    <row r="121" spans="1:15">
      <c r="A121" s="15" t="s">
        <v>13</v>
      </c>
      <c r="B121" s="15" t="s">
        <v>4938</v>
      </c>
      <c r="C121" s="15" t="s">
        <v>4939</v>
      </c>
      <c r="D121" s="15" t="s">
        <v>4940</v>
      </c>
      <c r="E121" s="15">
        <v>2</v>
      </c>
      <c r="F121" s="15" t="s">
        <v>4943</v>
      </c>
      <c r="G121" s="15" t="s">
        <v>4944</v>
      </c>
      <c r="H121" s="15"/>
      <c r="I121" s="15" t="s">
        <v>49</v>
      </c>
      <c r="J121" s="7" t="str">
        <f>HYPERLINK("https://www.codechef.com/problems/JAVAMCQ02", "https://www.codechef.com/problems/JAVAMCQ02")</f>
        <v>https://www.codechef.com/problems/JAVAMCQ02</v>
      </c>
      <c r="K121" s="15"/>
      <c r="L121" s="15"/>
      <c r="M121" s="15"/>
      <c r="N121" s="15" t="s">
        <v>50</v>
      </c>
      <c r="O121" s="15" t="s">
        <v>51</v>
      </c>
    </row>
    <row r="122" spans="1:15">
      <c r="A122" s="14" t="s">
        <v>13</v>
      </c>
      <c r="B122" s="14" t="s">
        <v>4938</v>
      </c>
      <c r="C122" s="14" t="s">
        <v>4939</v>
      </c>
      <c r="D122" s="14" t="s">
        <v>4940</v>
      </c>
      <c r="E122" s="14">
        <v>3</v>
      </c>
      <c r="F122" s="14" t="s">
        <v>4945</v>
      </c>
      <c r="G122" s="14" t="s">
        <v>4946</v>
      </c>
      <c r="H122" s="14"/>
      <c r="I122" s="14" t="s">
        <v>49</v>
      </c>
      <c r="J122" s="11" t="str">
        <f>HYPERLINK("https://www.codechef.com/problems/JAVAMCQ03", "https://www.codechef.com/problems/JAVAMCQ03")</f>
        <v>https://www.codechef.com/problems/JAVAMCQ03</v>
      </c>
      <c r="K122" s="14"/>
      <c r="L122" s="14"/>
      <c r="M122" s="14"/>
      <c r="N122" s="14" t="s">
        <v>50</v>
      </c>
      <c r="O122" s="14" t="s">
        <v>51</v>
      </c>
    </row>
    <row r="123" spans="1:15">
      <c r="A123" s="15" t="s">
        <v>13</v>
      </c>
      <c r="B123" s="15" t="s">
        <v>4938</v>
      </c>
      <c r="C123" s="15" t="s">
        <v>4939</v>
      </c>
      <c r="D123" s="15" t="s">
        <v>4940</v>
      </c>
      <c r="E123" s="15">
        <v>4</v>
      </c>
      <c r="F123" s="15" t="s">
        <v>4947</v>
      </c>
      <c r="G123" s="15" t="s">
        <v>4948</v>
      </c>
      <c r="H123" s="15"/>
      <c r="I123" s="15" t="s">
        <v>49</v>
      </c>
      <c r="J123" s="7" t="str">
        <f>HYPERLINK("https://www.codechef.com/problems/JAVAMCQ04", "https://www.codechef.com/problems/JAVAMCQ04")</f>
        <v>https://www.codechef.com/problems/JAVAMCQ04</v>
      </c>
      <c r="K123" s="15"/>
      <c r="L123" s="15"/>
      <c r="M123" s="15"/>
      <c r="N123" s="15" t="s">
        <v>50</v>
      </c>
      <c r="O123" s="15" t="s">
        <v>51</v>
      </c>
    </row>
    <row r="124" spans="1:15">
      <c r="A124" s="14" t="s">
        <v>13</v>
      </c>
      <c r="B124" s="14" t="s">
        <v>4938</v>
      </c>
      <c r="C124" s="14" t="s">
        <v>4939</v>
      </c>
      <c r="D124" s="14" t="s">
        <v>4940</v>
      </c>
      <c r="E124" s="14">
        <v>5</v>
      </c>
      <c r="F124" s="14" t="s">
        <v>4949</v>
      </c>
      <c r="G124" s="14" t="s">
        <v>4950</v>
      </c>
      <c r="H124" s="14"/>
      <c r="I124" s="14" t="s">
        <v>49</v>
      </c>
      <c r="J124" s="11" t="str">
        <f>HYPERLINK("https://www.codechef.com/problems/JAVAMCQ05", "https://www.codechef.com/problems/JAVAMCQ05")</f>
        <v>https://www.codechef.com/problems/JAVAMCQ05</v>
      </c>
      <c r="K124" s="14"/>
      <c r="L124" s="14"/>
      <c r="M124" s="14"/>
      <c r="N124" s="14" t="s">
        <v>50</v>
      </c>
      <c r="O124" s="14" t="s">
        <v>51</v>
      </c>
    </row>
    <row r="125" spans="1:15">
      <c r="A125" s="15" t="s">
        <v>13</v>
      </c>
      <c r="B125" s="15" t="s">
        <v>4938</v>
      </c>
      <c r="C125" s="15" t="s">
        <v>4939</v>
      </c>
      <c r="D125" s="15" t="s">
        <v>4940</v>
      </c>
      <c r="E125" s="15">
        <v>6</v>
      </c>
      <c r="F125" s="15" t="s">
        <v>4702</v>
      </c>
      <c r="G125" s="15" t="s">
        <v>4951</v>
      </c>
      <c r="H125" s="15"/>
      <c r="I125" s="15" t="s">
        <v>49</v>
      </c>
      <c r="J125" s="7" t="str">
        <f>HYPERLINK("https://www.codechef.com/problems/JAVAMCQ06", "https://www.codechef.com/problems/JAVAMCQ06")</f>
        <v>https://www.codechef.com/problems/JAVAMCQ06</v>
      </c>
      <c r="K125" s="15"/>
      <c r="L125" s="15"/>
      <c r="M125" s="15"/>
      <c r="N125" s="15" t="s">
        <v>50</v>
      </c>
      <c r="O125" s="15" t="s">
        <v>51</v>
      </c>
    </row>
    <row r="126" spans="1:15">
      <c r="A126" s="14" t="s">
        <v>13</v>
      </c>
      <c r="B126" s="14" t="s">
        <v>4938</v>
      </c>
      <c r="C126" s="14" t="s">
        <v>4939</v>
      </c>
      <c r="D126" s="14" t="s">
        <v>4940</v>
      </c>
      <c r="E126" s="14">
        <v>7</v>
      </c>
      <c r="F126" s="14" t="s">
        <v>4952</v>
      </c>
      <c r="G126" s="14" t="s">
        <v>4953</v>
      </c>
      <c r="H126" s="14"/>
      <c r="I126" s="14" t="s">
        <v>96</v>
      </c>
      <c r="J126" s="11" t="str">
        <f>HYPERLINK("https://www.codechef.com/problems/JAVAMCQ07", "https://www.codechef.com/problems/JAVAMCQ07")</f>
        <v>https://www.codechef.com/problems/JAVAMCQ07</v>
      </c>
      <c r="K126" s="14"/>
      <c r="L126" s="14"/>
      <c r="M126" s="14"/>
      <c r="N126" s="14" t="s">
        <v>50</v>
      </c>
      <c r="O126" s="14" t="s">
        <v>51</v>
      </c>
    </row>
    <row r="127" spans="1:15">
      <c r="A127" s="15" t="s">
        <v>13</v>
      </c>
      <c r="B127" s="15" t="s">
        <v>4938</v>
      </c>
      <c r="C127" s="15" t="s">
        <v>4939</v>
      </c>
      <c r="D127" s="15" t="s">
        <v>4940</v>
      </c>
      <c r="E127" s="15">
        <v>8</v>
      </c>
      <c r="F127" s="15" t="s">
        <v>4954</v>
      </c>
      <c r="G127" s="15" t="s">
        <v>4955</v>
      </c>
      <c r="H127" s="15"/>
      <c r="I127" s="15" t="s">
        <v>96</v>
      </c>
      <c r="J127" s="7" t="str">
        <f>HYPERLINK("https://www.codechef.com/problems/JAVAMCQ08", "https://www.codechef.com/problems/JAVAMCQ08")</f>
        <v>https://www.codechef.com/problems/JAVAMCQ08</v>
      </c>
      <c r="K127" s="15"/>
      <c r="L127" s="15"/>
      <c r="M127" s="15"/>
      <c r="N127" s="15" t="s">
        <v>50</v>
      </c>
      <c r="O127" s="15" t="s">
        <v>51</v>
      </c>
    </row>
    <row r="128" spans="1:15">
      <c r="A128" s="14" t="s">
        <v>13</v>
      </c>
      <c r="B128" s="14" t="s">
        <v>4938</v>
      </c>
      <c r="C128" s="14" t="s">
        <v>4939</v>
      </c>
      <c r="D128" s="14" t="s">
        <v>4940</v>
      </c>
      <c r="E128" s="14">
        <v>9</v>
      </c>
      <c r="F128" s="14" t="s">
        <v>4956</v>
      </c>
      <c r="G128" s="14" t="s">
        <v>4957</v>
      </c>
      <c r="H128" s="14"/>
      <c r="I128" s="14" t="s">
        <v>49</v>
      </c>
      <c r="J128" s="11" t="str">
        <f>HYPERLINK("https://www.codechef.com/problems/JAVAMCQ09", "https://www.codechef.com/problems/JAVAMCQ09")</f>
        <v>https://www.codechef.com/problems/JAVAMCQ09</v>
      </c>
      <c r="K128" s="14"/>
      <c r="L128" s="14"/>
      <c r="M128" s="14"/>
      <c r="N128" s="14" t="s">
        <v>50</v>
      </c>
      <c r="O128" s="14" t="s">
        <v>51</v>
      </c>
    </row>
    <row r="129" spans="1:15">
      <c r="A129" s="15" t="s">
        <v>13</v>
      </c>
      <c r="B129" s="15" t="s">
        <v>4938</v>
      </c>
      <c r="C129" s="15" t="s">
        <v>4939</v>
      </c>
      <c r="D129" s="15" t="s">
        <v>4940</v>
      </c>
      <c r="E129" s="15">
        <v>10</v>
      </c>
      <c r="F129" s="15" t="s">
        <v>4958</v>
      </c>
      <c r="G129" s="15" t="s">
        <v>4959</v>
      </c>
      <c r="H129" s="15"/>
      <c r="I129" s="15" t="s">
        <v>49</v>
      </c>
      <c r="J129" s="7" t="str">
        <f>HYPERLINK("https://www.codechef.com/problems/JAVAMCQ10", "https://www.codechef.com/problems/JAVAMCQ10")</f>
        <v>https://www.codechef.com/problems/JAVAMCQ10</v>
      </c>
      <c r="K129" s="15"/>
      <c r="L129" s="15"/>
      <c r="M129" s="15"/>
      <c r="N129" s="15" t="s">
        <v>50</v>
      </c>
      <c r="O129" s="15" t="s">
        <v>51</v>
      </c>
    </row>
    <row r="130" spans="1:15">
      <c r="A130" s="14" t="s">
        <v>13</v>
      </c>
      <c r="B130" s="14" t="s">
        <v>4938</v>
      </c>
      <c r="C130" s="14" t="s">
        <v>4939</v>
      </c>
      <c r="D130" s="14" t="s">
        <v>4960</v>
      </c>
      <c r="E130" s="14">
        <v>11</v>
      </c>
      <c r="F130" s="14" t="s">
        <v>4961</v>
      </c>
      <c r="G130" s="14" t="s">
        <v>4962</v>
      </c>
      <c r="H130" s="14"/>
      <c r="I130" s="14" t="s">
        <v>49</v>
      </c>
      <c r="J130" s="11" t="str">
        <f>HYPERLINK("https://www.codechef.com/problems/JAVAMCQ11", "https://www.codechef.com/problems/JAVAMCQ11")</f>
        <v>https://www.codechef.com/problems/JAVAMCQ11</v>
      </c>
      <c r="K130" s="14"/>
      <c r="L130" s="14"/>
      <c r="M130" s="14"/>
      <c r="N130" s="14" t="s">
        <v>50</v>
      </c>
      <c r="O130" s="14" t="s">
        <v>51</v>
      </c>
    </row>
    <row r="131" spans="1:15">
      <c r="A131" s="15" t="s">
        <v>13</v>
      </c>
      <c r="B131" s="15" t="s">
        <v>4938</v>
      </c>
      <c r="C131" s="15" t="s">
        <v>4939</v>
      </c>
      <c r="D131" s="15" t="s">
        <v>4960</v>
      </c>
      <c r="E131" s="15">
        <v>12</v>
      </c>
      <c r="F131" s="15" t="s">
        <v>4963</v>
      </c>
      <c r="G131" s="15" t="s">
        <v>4964</v>
      </c>
      <c r="H131" s="15"/>
      <c r="I131" s="15" t="s">
        <v>49</v>
      </c>
      <c r="J131" s="7" t="str">
        <f>HYPERLINK("https://www.codechef.com/problems/JAVAMCQ12", "https://www.codechef.com/problems/JAVAMCQ12")</f>
        <v>https://www.codechef.com/problems/JAVAMCQ12</v>
      </c>
      <c r="K131" s="15"/>
      <c r="L131" s="15"/>
      <c r="M131" s="15"/>
      <c r="N131" s="15" t="s">
        <v>50</v>
      </c>
      <c r="O131" s="15" t="s">
        <v>51</v>
      </c>
    </row>
    <row r="132" spans="1:15">
      <c r="A132" s="14" t="s">
        <v>13</v>
      </c>
      <c r="B132" s="14" t="s">
        <v>4938</v>
      </c>
      <c r="C132" s="14" t="s">
        <v>4939</v>
      </c>
      <c r="D132" s="14" t="s">
        <v>4960</v>
      </c>
      <c r="E132" s="14">
        <v>13</v>
      </c>
      <c r="F132" s="14" t="s">
        <v>4965</v>
      </c>
      <c r="G132" s="14" t="s">
        <v>4966</v>
      </c>
      <c r="H132" s="14"/>
      <c r="I132" s="14" t="s">
        <v>49</v>
      </c>
      <c r="J132" s="11" t="str">
        <f>HYPERLINK("https://www.codechef.com/problems/JAVAMCQ13", "https://www.codechef.com/problems/JAVAMCQ13")</f>
        <v>https://www.codechef.com/problems/JAVAMCQ13</v>
      </c>
      <c r="K132" s="14"/>
      <c r="L132" s="14"/>
      <c r="M132" s="14"/>
      <c r="N132" s="14" t="s">
        <v>50</v>
      </c>
      <c r="O132" s="14" t="s">
        <v>51</v>
      </c>
    </row>
    <row r="133" spans="1:15">
      <c r="A133" s="15" t="s">
        <v>13</v>
      </c>
      <c r="B133" s="15" t="s">
        <v>4938</v>
      </c>
      <c r="C133" s="15" t="s">
        <v>4939</v>
      </c>
      <c r="D133" s="15" t="s">
        <v>4960</v>
      </c>
      <c r="E133" s="15">
        <v>14</v>
      </c>
      <c r="F133" s="15" t="s">
        <v>4967</v>
      </c>
      <c r="G133" s="15" t="s">
        <v>4968</v>
      </c>
      <c r="H133" s="15"/>
      <c r="I133" s="15" t="s">
        <v>49</v>
      </c>
      <c r="J133" s="7" t="str">
        <f>HYPERLINK("https://www.codechef.com/problems/JAVAMCQ14", "https://www.codechef.com/problems/JAVAMCQ14")</f>
        <v>https://www.codechef.com/problems/JAVAMCQ14</v>
      </c>
      <c r="K133" s="15"/>
      <c r="L133" s="15"/>
      <c r="M133" s="15"/>
      <c r="N133" s="15" t="s">
        <v>50</v>
      </c>
      <c r="O133" s="15" t="s">
        <v>51</v>
      </c>
    </row>
    <row r="134" spans="1:15">
      <c r="A134" s="14" t="s">
        <v>13</v>
      </c>
      <c r="B134" s="14" t="s">
        <v>4938</v>
      </c>
      <c r="C134" s="14" t="s">
        <v>4939</v>
      </c>
      <c r="D134" s="14" t="s">
        <v>4960</v>
      </c>
      <c r="E134" s="14">
        <v>15</v>
      </c>
      <c r="F134" s="14" t="s">
        <v>4969</v>
      </c>
      <c r="G134" s="14" t="s">
        <v>4970</v>
      </c>
      <c r="H134" s="14"/>
      <c r="I134" s="14" t="s">
        <v>49</v>
      </c>
      <c r="J134" s="11" t="str">
        <f>HYPERLINK("https://www.codechef.com/problems/JAVAMCQ15", "https://www.codechef.com/problems/JAVAMCQ15")</f>
        <v>https://www.codechef.com/problems/JAVAMCQ15</v>
      </c>
      <c r="K134" s="14"/>
      <c r="L134" s="14"/>
      <c r="M134" s="14"/>
      <c r="N134" s="14" t="s">
        <v>50</v>
      </c>
      <c r="O134" s="14" t="s">
        <v>51</v>
      </c>
    </row>
    <row r="135" spans="1:15">
      <c r="A135" s="15" t="s">
        <v>13</v>
      </c>
      <c r="B135" s="15" t="s">
        <v>4938</v>
      </c>
      <c r="C135" s="15" t="s">
        <v>4939</v>
      </c>
      <c r="D135" s="15" t="s">
        <v>4960</v>
      </c>
      <c r="E135" s="15">
        <v>16</v>
      </c>
      <c r="F135" s="15" t="s">
        <v>4971</v>
      </c>
      <c r="G135" s="15" t="s">
        <v>4972</v>
      </c>
      <c r="H135" s="15"/>
      <c r="I135" s="15" t="s">
        <v>49</v>
      </c>
      <c r="J135" s="7" t="str">
        <f>HYPERLINK("https://www.codechef.com/problems/JAVAMCQ16", "https://www.codechef.com/problems/JAVAMCQ16")</f>
        <v>https://www.codechef.com/problems/JAVAMCQ16</v>
      </c>
      <c r="K135" s="15"/>
      <c r="L135" s="15"/>
      <c r="M135" s="15"/>
      <c r="N135" s="15" t="s">
        <v>50</v>
      </c>
      <c r="O135" s="15" t="s">
        <v>51</v>
      </c>
    </row>
    <row r="136" spans="1:15">
      <c r="A136" s="14" t="s">
        <v>13</v>
      </c>
      <c r="B136" s="14" t="s">
        <v>4938</v>
      </c>
      <c r="C136" s="14" t="s">
        <v>4939</v>
      </c>
      <c r="D136" s="14" t="s">
        <v>4960</v>
      </c>
      <c r="E136" s="14">
        <v>17</v>
      </c>
      <c r="F136" s="14" t="s">
        <v>4973</v>
      </c>
      <c r="G136" s="14" t="s">
        <v>4974</v>
      </c>
      <c r="H136" s="14"/>
      <c r="I136" s="14" t="s">
        <v>49</v>
      </c>
      <c r="J136" s="11" t="str">
        <f>HYPERLINK("https://www.codechef.com/problems/JAVAMCQ17", "https://www.codechef.com/problems/JAVAMCQ17")</f>
        <v>https://www.codechef.com/problems/JAVAMCQ17</v>
      </c>
      <c r="K136" s="14"/>
      <c r="L136" s="14"/>
      <c r="M136" s="14"/>
      <c r="N136" s="14" t="s">
        <v>50</v>
      </c>
      <c r="O136" s="14" t="s">
        <v>51</v>
      </c>
    </row>
    <row r="137" spans="1:15">
      <c r="A137" s="15" t="s">
        <v>13</v>
      </c>
      <c r="B137" s="15" t="s">
        <v>4938</v>
      </c>
      <c r="C137" s="15" t="s">
        <v>4939</v>
      </c>
      <c r="D137" s="15" t="s">
        <v>4960</v>
      </c>
      <c r="E137" s="15">
        <v>18</v>
      </c>
      <c r="F137" s="15" t="s">
        <v>4975</v>
      </c>
      <c r="G137" s="15" t="s">
        <v>4976</v>
      </c>
      <c r="H137" s="15"/>
      <c r="I137" s="15" t="s">
        <v>49</v>
      </c>
      <c r="J137" s="7" t="str">
        <f>HYPERLINK("https://www.codechef.com/problems/JAVAMCQ18", "https://www.codechef.com/problems/JAVAMCQ18")</f>
        <v>https://www.codechef.com/problems/JAVAMCQ18</v>
      </c>
      <c r="K137" s="15"/>
      <c r="L137" s="15"/>
      <c r="M137" s="15"/>
      <c r="N137" s="15" t="s">
        <v>50</v>
      </c>
      <c r="O137" s="15" t="s">
        <v>51</v>
      </c>
    </row>
    <row r="138" spans="1:15">
      <c r="A138" s="14" t="s">
        <v>13</v>
      </c>
      <c r="B138" s="14" t="s">
        <v>4938</v>
      </c>
      <c r="C138" s="14" t="s">
        <v>4939</v>
      </c>
      <c r="D138" s="14" t="s">
        <v>4960</v>
      </c>
      <c r="E138" s="14">
        <v>19</v>
      </c>
      <c r="F138" s="14" t="s">
        <v>4977</v>
      </c>
      <c r="G138" s="14" t="s">
        <v>4978</v>
      </c>
      <c r="H138" s="14"/>
      <c r="I138" s="14" t="s">
        <v>49</v>
      </c>
      <c r="J138" s="11" t="str">
        <f>HYPERLINK("https://www.codechef.com/problems/JAVAMCQ19", "https://www.codechef.com/problems/JAVAMCQ19")</f>
        <v>https://www.codechef.com/problems/JAVAMCQ19</v>
      </c>
      <c r="K138" s="14"/>
      <c r="L138" s="14"/>
      <c r="M138" s="14"/>
      <c r="N138" s="14" t="s">
        <v>50</v>
      </c>
      <c r="O138" s="14" t="s">
        <v>51</v>
      </c>
    </row>
    <row r="139" spans="1:15">
      <c r="A139" s="15" t="s">
        <v>13</v>
      </c>
      <c r="B139" s="15" t="s">
        <v>4938</v>
      </c>
      <c r="C139" s="15" t="s">
        <v>4939</v>
      </c>
      <c r="D139" s="15" t="s">
        <v>4960</v>
      </c>
      <c r="E139" s="15">
        <v>20</v>
      </c>
      <c r="F139" s="15" t="s">
        <v>4979</v>
      </c>
      <c r="G139" s="15" t="s">
        <v>4980</v>
      </c>
      <c r="H139" s="15"/>
      <c r="I139" s="15" t="s">
        <v>49</v>
      </c>
      <c r="J139" s="7" t="str">
        <f>HYPERLINK("https://www.codechef.com/problems/JAVAMCQ20", "https://www.codechef.com/problems/JAVAMCQ20")</f>
        <v>https://www.codechef.com/problems/JAVAMCQ20</v>
      </c>
      <c r="K139" s="15"/>
      <c r="L139" s="15"/>
      <c r="M139" s="15"/>
      <c r="N139" s="15" t="s">
        <v>50</v>
      </c>
      <c r="O139" s="15" t="s">
        <v>51</v>
      </c>
    </row>
    <row r="140" spans="1:15">
      <c r="A140" s="14" t="s">
        <v>13</v>
      </c>
      <c r="B140" s="14" t="s">
        <v>4938</v>
      </c>
      <c r="C140" s="14" t="s">
        <v>4939</v>
      </c>
      <c r="D140" s="14" t="s">
        <v>4981</v>
      </c>
      <c r="E140" s="14">
        <v>21</v>
      </c>
      <c r="F140" s="14" t="s">
        <v>4982</v>
      </c>
      <c r="G140" s="14" t="s">
        <v>4983</v>
      </c>
      <c r="H140" s="14"/>
      <c r="I140" s="14" t="s">
        <v>49</v>
      </c>
      <c r="J140" s="11" t="str">
        <f>HYPERLINK("https://www.codechef.com/problems/JAVAMCQ21", "https://www.codechef.com/problems/JAVAMCQ21")</f>
        <v>https://www.codechef.com/problems/JAVAMCQ21</v>
      </c>
      <c r="K140" s="14"/>
      <c r="L140" s="14"/>
      <c r="M140" s="14"/>
      <c r="N140" s="14" t="s">
        <v>50</v>
      </c>
      <c r="O140" s="14" t="s">
        <v>51</v>
      </c>
    </row>
    <row r="141" spans="1:15">
      <c r="A141" s="15" t="s">
        <v>13</v>
      </c>
      <c r="B141" s="15" t="s">
        <v>4938</v>
      </c>
      <c r="C141" s="15" t="s">
        <v>4939</v>
      </c>
      <c r="D141" s="15" t="s">
        <v>4981</v>
      </c>
      <c r="E141" s="15">
        <v>22</v>
      </c>
      <c r="F141" s="15" t="s">
        <v>4984</v>
      </c>
      <c r="G141" s="15" t="s">
        <v>4985</v>
      </c>
      <c r="H141" s="15"/>
      <c r="I141" s="15" t="s">
        <v>49</v>
      </c>
      <c r="J141" s="7" t="str">
        <f>HYPERLINK("https://www.codechef.com/problems/JAVAMCQ22", "https://www.codechef.com/problems/JAVAMCQ22")</f>
        <v>https://www.codechef.com/problems/JAVAMCQ22</v>
      </c>
      <c r="K141" s="15"/>
      <c r="L141" s="15"/>
      <c r="M141" s="15"/>
      <c r="N141" s="15" t="s">
        <v>50</v>
      </c>
      <c r="O141" s="15" t="s">
        <v>51</v>
      </c>
    </row>
    <row r="142" spans="1:15">
      <c r="A142" s="14" t="s">
        <v>13</v>
      </c>
      <c r="B142" s="14" t="s">
        <v>4938</v>
      </c>
      <c r="C142" s="14" t="s">
        <v>4939</v>
      </c>
      <c r="D142" s="14" t="s">
        <v>4981</v>
      </c>
      <c r="E142" s="14">
        <v>23</v>
      </c>
      <c r="F142" s="14" t="s">
        <v>4986</v>
      </c>
      <c r="G142" s="14" t="s">
        <v>4987</v>
      </c>
      <c r="H142" s="14"/>
      <c r="I142" s="14" t="s">
        <v>49</v>
      </c>
      <c r="J142" s="11" t="str">
        <f>HYPERLINK("https://www.codechef.com/problems/JAVAMCQ23", "https://www.codechef.com/problems/JAVAMCQ23")</f>
        <v>https://www.codechef.com/problems/JAVAMCQ23</v>
      </c>
      <c r="K142" s="14"/>
      <c r="L142" s="14"/>
      <c r="M142" s="14"/>
      <c r="N142" s="14" t="s">
        <v>50</v>
      </c>
      <c r="O142" s="14" t="s">
        <v>51</v>
      </c>
    </row>
    <row r="143" spans="1:15">
      <c r="A143" s="15" t="s">
        <v>13</v>
      </c>
      <c r="B143" s="15" t="s">
        <v>4938</v>
      </c>
      <c r="C143" s="15" t="s">
        <v>4939</v>
      </c>
      <c r="D143" s="15" t="s">
        <v>4981</v>
      </c>
      <c r="E143" s="15">
        <v>24</v>
      </c>
      <c r="F143" s="15" t="s">
        <v>4988</v>
      </c>
      <c r="G143" s="15" t="s">
        <v>4989</v>
      </c>
      <c r="H143" s="15"/>
      <c r="I143" s="15" t="s">
        <v>49</v>
      </c>
      <c r="J143" s="7" t="str">
        <f>HYPERLINK("https://www.codechef.com/problems/JAVAMCQ24", "https://www.codechef.com/problems/JAVAMCQ24")</f>
        <v>https://www.codechef.com/problems/JAVAMCQ24</v>
      </c>
      <c r="K143" s="15"/>
      <c r="L143" s="15"/>
      <c r="M143" s="15"/>
      <c r="N143" s="15" t="s">
        <v>50</v>
      </c>
      <c r="O143" s="15" t="s">
        <v>51</v>
      </c>
    </row>
    <row r="144" spans="1:15">
      <c r="A144" s="14" t="s">
        <v>13</v>
      </c>
      <c r="B144" s="14" t="s">
        <v>4938</v>
      </c>
      <c r="C144" s="14" t="s">
        <v>4939</v>
      </c>
      <c r="D144" s="14" t="s">
        <v>4981</v>
      </c>
      <c r="E144" s="14">
        <v>25</v>
      </c>
      <c r="F144" s="14" t="s">
        <v>4990</v>
      </c>
      <c r="G144" s="14" t="s">
        <v>4991</v>
      </c>
      <c r="H144" s="14"/>
      <c r="I144" s="14" t="s">
        <v>49</v>
      </c>
      <c r="J144" s="11" t="str">
        <f>HYPERLINK("https://www.codechef.com/problems/JAVAMCQ25", "https://www.codechef.com/problems/JAVAMCQ25")</f>
        <v>https://www.codechef.com/problems/JAVAMCQ25</v>
      </c>
      <c r="K144" s="14"/>
      <c r="L144" s="14"/>
      <c r="M144" s="14"/>
      <c r="N144" s="14" t="s">
        <v>50</v>
      </c>
      <c r="O144" s="14" t="s">
        <v>51</v>
      </c>
    </row>
    <row r="145" spans="1:15">
      <c r="A145" s="15" t="s">
        <v>13</v>
      </c>
      <c r="B145" s="15" t="s">
        <v>4938</v>
      </c>
      <c r="C145" s="15" t="s">
        <v>4939</v>
      </c>
      <c r="D145" s="15" t="s">
        <v>4981</v>
      </c>
      <c r="E145" s="15">
        <v>26</v>
      </c>
      <c r="F145" s="15" t="s">
        <v>4992</v>
      </c>
      <c r="G145" s="15" t="s">
        <v>4993</v>
      </c>
      <c r="H145" s="15"/>
      <c r="I145" s="15" t="s">
        <v>49</v>
      </c>
      <c r="J145" s="7" t="str">
        <f>HYPERLINK("https://www.codechef.com/problems/JAVAMCQ26", "https://www.codechef.com/problems/JAVAMCQ26")</f>
        <v>https://www.codechef.com/problems/JAVAMCQ26</v>
      </c>
      <c r="K145" s="15"/>
      <c r="L145" s="15"/>
      <c r="M145" s="15"/>
      <c r="N145" s="15" t="s">
        <v>50</v>
      </c>
      <c r="O145" s="15" t="s">
        <v>51</v>
      </c>
    </row>
    <row r="146" spans="1:15">
      <c r="A146" s="14" t="s">
        <v>13</v>
      </c>
      <c r="B146" s="14" t="s">
        <v>4938</v>
      </c>
      <c r="C146" s="14" t="s">
        <v>4939</v>
      </c>
      <c r="D146" s="14" t="s">
        <v>4981</v>
      </c>
      <c r="E146" s="14">
        <v>27</v>
      </c>
      <c r="F146" s="14" t="s">
        <v>4994</v>
      </c>
      <c r="G146" s="14" t="s">
        <v>4995</v>
      </c>
      <c r="H146" s="14"/>
      <c r="I146" s="14" t="s">
        <v>49</v>
      </c>
      <c r="J146" s="11" t="str">
        <f>HYPERLINK("https://www.codechef.com/problems/JAVAMCQ27", "https://www.codechef.com/problems/JAVAMCQ27")</f>
        <v>https://www.codechef.com/problems/JAVAMCQ27</v>
      </c>
      <c r="K146" s="14"/>
      <c r="L146" s="14"/>
      <c r="M146" s="14"/>
      <c r="N146" s="14" t="s">
        <v>50</v>
      </c>
      <c r="O146" s="14" t="s">
        <v>51</v>
      </c>
    </row>
    <row r="147" spans="1:15">
      <c r="A147" s="15" t="s">
        <v>13</v>
      </c>
      <c r="B147" s="15" t="s">
        <v>4938</v>
      </c>
      <c r="C147" s="15" t="s">
        <v>4939</v>
      </c>
      <c r="D147" s="15" t="s">
        <v>4981</v>
      </c>
      <c r="E147" s="15">
        <v>28</v>
      </c>
      <c r="F147" s="15" t="s">
        <v>4996</v>
      </c>
      <c r="G147" s="15" t="s">
        <v>4997</v>
      </c>
      <c r="H147" s="15"/>
      <c r="I147" s="15" t="s">
        <v>49</v>
      </c>
      <c r="J147" s="7" t="str">
        <f>HYPERLINK("https://www.codechef.com/problems/JAVAMCQ28", "https://www.codechef.com/problems/JAVAMCQ28")</f>
        <v>https://www.codechef.com/problems/JAVAMCQ28</v>
      </c>
      <c r="K147" s="15"/>
      <c r="L147" s="15"/>
      <c r="M147" s="15"/>
      <c r="N147" s="15" t="s">
        <v>50</v>
      </c>
      <c r="O147" s="15" t="s">
        <v>51</v>
      </c>
    </row>
    <row r="148" spans="1:15">
      <c r="A148" s="14" t="s">
        <v>13</v>
      </c>
      <c r="B148" s="14" t="s">
        <v>4938</v>
      </c>
      <c r="C148" s="14" t="s">
        <v>4939</v>
      </c>
      <c r="D148" s="14" t="s">
        <v>4981</v>
      </c>
      <c r="E148" s="14">
        <v>29</v>
      </c>
      <c r="F148" s="14" t="s">
        <v>4998</v>
      </c>
      <c r="G148" s="14" t="s">
        <v>4999</v>
      </c>
      <c r="H148" s="14"/>
      <c r="I148" s="14" t="s">
        <v>49</v>
      </c>
      <c r="J148" s="11" t="str">
        <f>HYPERLINK("https://www.codechef.com/problems/JAVAMCQ29", "https://www.codechef.com/problems/JAVAMCQ29")</f>
        <v>https://www.codechef.com/problems/JAVAMCQ29</v>
      </c>
      <c r="K148" s="14"/>
      <c r="L148" s="14"/>
      <c r="M148" s="14"/>
      <c r="N148" s="14" t="s">
        <v>50</v>
      </c>
      <c r="O148" s="14" t="s">
        <v>51</v>
      </c>
    </row>
    <row r="149" spans="1:15">
      <c r="A149" s="15" t="s">
        <v>13</v>
      </c>
      <c r="B149" s="15" t="s">
        <v>4938</v>
      </c>
      <c r="C149" s="15" t="s">
        <v>4939</v>
      </c>
      <c r="D149" s="15" t="s">
        <v>4981</v>
      </c>
      <c r="E149" s="15">
        <v>30</v>
      </c>
      <c r="F149" s="15" t="s">
        <v>5000</v>
      </c>
      <c r="G149" s="15" t="s">
        <v>5001</v>
      </c>
      <c r="H149" s="15"/>
      <c r="I149" s="15" t="s">
        <v>49</v>
      </c>
      <c r="J149" s="7" t="str">
        <f>HYPERLINK("https://www.codechef.com/problems/JAVAMCQ30", "https://www.codechef.com/problems/JAVAMCQ30")</f>
        <v>https://www.codechef.com/problems/JAVAMCQ30</v>
      </c>
      <c r="K149" s="15"/>
      <c r="L149" s="15"/>
      <c r="M149" s="15"/>
      <c r="N149" s="15" t="s">
        <v>50</v>
      </c>
      <c r="O149" s="15" t="s">
        <v>51</v>
      </c>
    </row>
    <row r="150" spans="1:15">
      <c r="A150" s="14" t="s">
        <v>13</v>
      </c>
      <c r="B150" s="14" t="s">
        <v>4938</v>
      </c>
      <c r="C150" s="14" t="s">
        <v>4939</v>
      </c>
      <c r="D150" s="14" t="s">
        <v>5002</v>
      </c>
      <c r="E150" s="14">
        <v>31</v>
      </c>
      <c r="F150" s="14" t="s">
        <v>4708</v>
      </c>
      <c r="G150" s="14" t="s">
        <v>5003</v>
      </c>
      <c r="H150" s="14"/>
      <c r="I150" s="14" t="s">
        <v>49</v>
      </c>
      <c r="J150" s="11" t="str">
        <f>HYPERLINK("https://www.codechef.com/problems/JAVAMCQ31", "https://www.codechef.com/problems/JAVAMCQ31")</f>
        <v>https://www.codechef.com/problems/JAVAMCQ31</v>
      </c>
      <c r="K150" s="14"/>
      <c r="L150" s="14"/>
      <c r="M150" s="14"/>
      <c r="N150" s="14" t="s">
        <v>50</v>
      </c>
      <c r="O150" s="14" t="s">
        <v>51</v>
      </c>
    </row>
    <row r="151" spans="1:15">
      <c r="A151" s="15" t="s">
        <v>13</v>
      </c>
      <c r="B151" s="15" t="s">
        <v>4938</v>
      </c>
      <c r="C151" s="15" t="s">
        <v>4939</v>
      </c>
      <c r="D151" s="15" t="s">
        <v>5002</v>
      </c>
      <c r="E151" s="15">
        <v>32</v>
      </c>
      <c r="F151" s="15" t="s">
        <v>5004</v>
      </c>
      <c r="G151" s="15" t="s">
        <v>5005</v>
      </c>
      <c r="H151" s="15"/>
      <c r="I151" s="15" t="s">
        <v>49</v>
      </c>
      <c r="J151" s="7" t="str">
        <f>HYPERLINK("https://www.codechef.com/problems/JAVAMCQ32", "https://www.codechef.com/problems/JAVAMCQ32")</f>
        <v>https://www.codechef.com/problems/JAVAMCQ32</v>
      </c>
      <c r="K151" s="15"/>
      <c r="L151" s="15"/>
      <c r="M151" s="15"/>
      <c r="N151" s="15" t="s">
        <v>50</v>
      </c>
      <c r="O151" s="15" t="s">
        <v>51</v>
      </c>
    </row>
    <row r="152" spans="1:15">
      <c r="A152" s="14" t="s">
        <v>13</v>
      </c>
      <c r="B152" s="14" t="s">
        <v>4938</v>
      </c>
      <c r="C152" s="14" t="s">
        <v>4939</v>
      </c>
      <c r="D152" s="14" t="s">
        <v>5002</v>
      </c>
      <c r="E152" s="14">
        <v>33</v>
      </c>
      <c r="F152" s="14" t="s">
        <v>5006</v>
      </c>
      <c r="G152" s="14" t="s">
        <v>5007</v>
      </c>
      <c r="H152" s="14"/>
      <c r="I152" s="14" t="s">
        <v>49</v>
      </c>
      <c r="J152" s="11" t="str">
        <f>HYPERLINK("https://www.codechef.com/problems/JAVAMCQ33", "https://www.codechef.com/problems/JAVAMCQ33")</f>
        <v>https://www.codechef.com/problems/JAVAMCQ33</v>
      </c>
      <c r="K152" s="14"/>
      <c r="L152" s="14"/>
      <c r="M152" s="14"/>
      <c r="N152" s="14" t="s">
        <v>50</v>
      </c>
      <c r="O152" s="14" t="s">
        <v>51</v>
      </c>
    </row>
    <row r="153" spans="1:15">
      <c r="A153" s="15" t="s">
        <v>13</v>
      </c>
      <c r="B153" s="15" t="s">
        <v>4938</v>
      </c>
      <c r="C153" s="15" t="s">
        <v>4939</v>
      </c>
      <c r="D153" s="15" t="s">
        <v>5002</v>
      </c>
      <c r="E153" s="15">
        <v>34</v>
      </c>
      <c r="F153" s="15" t="s">
        <v>5008</v>
      </c>
      <c r="G153" s="15" t="s">
        <v>5009</v>
      </c>
      <c r="H153" s="15"/>
      <c r="I153" s="15" t="s">
        <v>96</v>
      </c>
      <c r="J153" s="7" t="str">
        <f>HYPERLINK("https://www.codechef.com/problems/JAVAMCQ34", "https://www.codechef.com/problems/JAVAMCQ34")</f>
        <v>https://www.codechef.com/problems/JAVAMCQ34</v>
      </c>
      <c r="K153" s="15"/>
      <c r="L153" s="15"/>
      <c r="M153" s="15"/>
      <c r="N153" s="15" t="s">
        <v>50</v>
      </c>
      <c r="O153" s="15" t="s">
        <v>51</v>
      </c>
    </row>
    <row r="154" spans="1:15">
      <c r="A154" s="14" t="s">
        <v>13</v>
      </c>
      <c r="B154" s="14" t="s">
        <v>4938</v>
      </c>
      <c r="C154" s="14" t="s">
        <v>4939</v>
      </c>
      <c r="D154" s="14" t="s">
        <v>5002</v>
      </c>
      <c r="E154" s="14">
        <v>35</v>
      </c>
      <c r="F154" s="14" t="s">
        <v>5010</v>
      </c>
      <c r="G154" s="14" t="s">
        <v>5011</v>
      </c>
      <c r="H154" s="14"/>
      <c r="I154" s="14" t="s">
        <v>49</v>
      </c>
      <c r="J154" s="11" t="str">
        <f>HYPERLINK("https://www.codechef.com/problems/JAVAMCQ35", "https://www.codechef.com/problems/JAVAMCQ35")</f>
        <v>https://www.codechef.com/problems/JAVAMCQ35</v>
      </c>
      <c r="K154" s="14"/>
      <c r="L154" s="14"/>
      <c r="M154" s="14"/>
      <c r="N154" s="14" t="s">
        <v>50</v>
      </c>
      <c r="O154" s="14" t="s">
        <v>51</v>
      </c>
    </row>
    <row r="155" spans="1:15">
      <c r="A155" s="15" t="s">
        <v>13</v>
      </c>
      <c r="B155" s="15" t="s">
        <v>4938</v>
      </c>
      <c r="C155" s="15" t="s">
        <v>4939</v>
      </c>
      <c r="D155" s="15" t="s">
        <v>5002</v>
      </c>
      <c r="E155" s="15">
        <v>36</v>
      </c>
      <c r="F155" s="15" t="s">
        <v>4702</v>
      </c>
      <c r="G155" s="15" t="s">
        <v>5012</v>
      </c>
      <c r="H155" s="15"/>
      <c r="I155" s="15" t="s">
        <v>49</v>
      </c>
      <c r="J155" s="7" t="str">
        <f>HYPERLINK("https://www.codechef.com/problems/JAVAMCQ36", "https://www.codechef.com/problems/JAVAMCQ36")</f>
        <v>https://www.codechef.com/problems/JAVAMCQ36</v>
      </c>
      <c r="K155" s="15"/>
      <c r="L155" s="15"/>
      <c r="M155" s="15"/>
      <c r="N155" s="15" t="s">
        <v>50</v>
      </c>
      <c r="O155" s="15" t="s">
        <v>51</v>
      </c>
    </row>
    <row r="156" spans="1:15">
      <c r="A156" s="14" t="s">
        <v>13</v>
      </c>
      <c r="B156" s="14" t="s">
        <v>4938</v>
      </c>
      <c r="C156" s="14" t="s">
        <v>4939</v>
      </c>
      <c r="D156" s="14" t="s">
        <v>5002</v>
      </c>
      <c r="E156" s="14">
        <v>37</v>
      </c>
      <c r="F156" s="14" t="s">
        <v>5013</v>
      </c>
      <c r="G156" s="14" t="s">
        <v>5014</v>
      </c>
      <c r="H156" s="14"/>
      <c r="I156" s="14" t="s">
        <v>49</v>
      </c>
      <c r="J156" s="11" t="str">
        <f>HYPERLINK("https://www.codechef.com/problems/JAVAMCQ37", "https://www.codechef.com/problems/JAVAMCQ37")</f>
        <v>https://www.codechef.com/problems/JAVAMCQ37</v>
      </c>
      <c r="K156" s="14"/>
      <c r="L156" s="14"/>
      <c r="M156" s="14"/>
      <c r="N156" s="14" t="s">
        <v>50</v>
      </c>
      <c r="O156" s="14" t="s">
        <v>51</v>
      </c>
    </row>
    <row r="157" spans="1:15">
      <c r="A157" s="15" t="s">
        <v>13</v>
      </c>
      <c r="B157" s="15" t="s">
        <v>4938</v>
      </c>
      <c r="C157" s="15" t="s">
        <v>4939</v>
      </c>
      <c r="D157" s="15" t="s">
        <v>5002</v>
      </c>
      <c r="E157" s="15">
        <v>38</v>
      </c>
      <c r="F157" s="15" t="s">
        <v>5015</v>
      </c>
      <c r="G157" s="15" t="s">
        <v>5016</v>
      </c>
      <c r="H157" s="15"/>
      <c r="I157" s="15" t="s">
        <v>49</v>
      </c>
      <c r="J157" s="7" t="str">
        <f>HYPERLINK("https://www.codechef.com/problems/JAVAMCQ38", "https://www.codechef.com/problems/JAVAMCQ38")</f>
        <v>https://www.codechef.com/problems/JAVAMCQ38</v>
      </c>
      <c r="K157" s="15"/>
      <c r="L157" s="15"/>
      <c r="M157" s="15"/>
      <c r="N157" s="15" t="s">
        <v>50</v>
      </c>
      <c r="O157" s="15" t="s">
        <v>51</v>
      </c>
    </row>
    <row r="158" spans="1:15">
      <c r="A158" s="14" t="s">
        <v>13</v>
      </c>
      <c r="B158" s="14" t="s">
        <v>4938</v>
      </c>
      <c r="C158" s="14" t="s">
        <v>4939</v>
      </c>
      <c r="D158" s="14" t="s">
        <v>5002</v>
      </c>
      <c r="E158" s="14">
        <v>39</v>
      </c>
      <c r="F158" s="14" t="s">
        <v>5017</v>
      </c>
      <c r="G158" s="14" t="s">
        <v>5018</v>
      </c>
      <c r="H158" s="14"/>
      <c r="I158" s="14" t="s">
        <v>96</v>
      </c>
      <c r="J158" s="11" t="str">
        <f>HYPERLINK("https://www.codechef.com/problems/JAVAMCQ39", "https://www.codechef.com/problems/JAVAMCQ39")</f>
        <v>https://www.codechef.com/problems/JAVAMCQ39</v>
      </c>
      <c r="K158" s="14"/>
      <c r="L158" s="14"/>
      <c r="M158" s="14"/>
      <c r="N158" s="14" t="s">
        <v>50</v>
      </c>
      <c r="O158" s="14" t="s">
        <v>51</v>
      </c>
    </row>
    <row r="159" spans="1:15">
      <c r="A159" s="15" t="s">
        <v>13</v>
      </c>
      <c r="B159" s="15" t="s">
        <v>4938</v>
      </c>
      <c r="C159" s="15" t="s">
        <v>4939</v>
      </c>
      <c r="D159" s="15" t="s">
        <v>5002</v>
      </c>
      <c r="E159" s="15">
        <v>40</v>
      </c>
      <c r="F159" s="15" t="s">
        <v>5019</v>
      </c>
      <c r="G159" s="15" t="s">
        <v>5020</v>
      </c>
      <c r="H159" s="15"/>
      <c r="I159" s="15" t="s">
        <v>49</v>
      </c>
      <c r="J159" s="7" t="str">
        <f>HYPERLINK("https://www.codechef.com/problems/JAVAMCQ40", "https://www.codechef.com/problems/JAVAMCQ40")</f>
        <v>https://www.codechef.com/problems/JAVAMCQ40</v>
      </c>
      <c r="K159" s="15"/>
      <c r="L159" s="15"/>
      <c r="M159" s="15"/>
      <c r="N159" s="15" t="s">
        <v>50</v>
      </c>
      <c r="O159" s="15" t="s">
        <v>51</v>
      </c>
    </row>
    <row r="160" spans="1:15">
      <c r="A160" s="14" t="s">
        <v>13</v>
      </c>
      <c r="B160" s="14" t="s">
        <v>4938</v>
      </c>
      <c r="C160" s="14" t="s">
        <v>4939</v>
      </c>
      <c r="D160" s="14" t="s">
        <v>5021</v>
      </c>
      <c r="E160" s="14">
        <v>41</v>
      </c>
      <c r="F160" s="14" t="s">
        <v>5022</v>
      </c>
      <c r="G160" s="14" t="s">
        <v>5023</v>
      </c>
      <c r="H160" s="14"/>
      <c r="I160" s="14" t="s">
        <v>49</v>
      </c>
      <c r="J160" s="11" t="str">
        <f>HYPERLINK("https://www.codechef.com/problems/JAVAMCQ41", "https://www.codechef.com/problems/JAVAMCQ41")</f>
        <v>https://www.codechef.com/problems/JAVAMCQ41</v>
      </c>
      <c r="K160" s="14"/>
      <c r="L160" s="14"/>
      <c r="M160" s="14"/>
      <c r="N160" s="14" t="s">
        <v>50</v>
      </c>
      <c r="O160" s="14" t="s">
        <v>51</v>
      </c>
    </row>
    <row r="161" spans="1:15">
      <c r="A161" s="15" t="s">
        <v>13</v>
      </c>
      <c r="B161" s="15" t="s">
        <v>4938</v>
      </c>
      <c r="C161" s="15" t="s">
        <v>4939</v>
      </c>
      <c r="D161" s="15" t="s">
        <v>5021</v>
      </c>
      <c r="E161" s="15">
        <v>42</v>
      </c>
      <c r="F161" s="15" t="s">
        <v>5024</v>
      </c>
      <c r="G161" s="15" t="s">
        <v>5025</v>
      </c>
      <c r="H161" s="15"/>
      <c r="I161" s="15" t="s">
        <v>49</v>
      </c>
      <c r="J161" s="7" t="str">
        <f>HYPERLINK("https://www.codechef.com/problems/JAVAMCQ42", "https://www.codechef.com/problems/JAVAMCQ42")</f>
        <v>https://www.codechef.com/problems/JAVAMCQ42</v>
      </c>
      <c r="K161" s="15"/>
      <c r="L161" s="15"/>
      <c r="M161" s="15"/>
      <c r="N161" s="15" t="s">
        <v>50</v>
      </c>
      <c r="O161" s="15" t="s">
        <v>51</v>
      </c>
    </row>
    <row r="162" spans="1:15">
      <c r="A162" s="14" t="s">
        <v>13</v>
      </c>
      <c r="B162" s="14" t="s">
        <v>4938</v>
      </c>
      <c r="C162" s="14" t="s">
        <v>4939</v>
      </c>
      <c r="D162" s="14" t="s">
        <v>5021</v>
      </c>
      <c r="E162" s="14">
        <v>43</v>
      </c>
      <c r="F162" s="14" t="s">
        <v>5026</v>
      </c>
      <c r="G162" s="14" t="s">
        <v>5027</v>
      </c>
      <c r="H162" s="14"/>
      <c r="I162" s="14" t="s">
        <v>49</v>
      </c>
      <c r="J162" s="11" t="str">
        <f>HYPERLINK("https://www.codechef.com/problems/JAVAMCQ43", "https://www.codechef.com/problems/JAVAMCQ43")</f>
        <v>https://www.codechef.com/problems/JAVAMCQ43</v>
      </c>
      <c r="K162" s="14"/>
      <c r="L162" s="14"/>
      <c r="M162" s="14"/>
      <c r="N162" s="14" t="s">
        <v>50</v>
      </c>
      <c r="O162" s="14" t="s">
        <v>51</v>
      </c>
    </row>
    <row r="163" spans="1:15">
      <c r="A163" s="15" t="s">
        <v>13</v>
      </c>
      <c r="B163" s="15" t="s">
        <v>4938</v>
      </c>
      <c r="C163" s="15" t="s">
        <v>4939</v>
      </c>
      <c r="D163" s="15" t="s">
        <v>5021</v>
      </c>
      <c r="E163" s="15">
        <v>44</v>
      </c>
      <c r="F163" s="15" t="s">
        <v>5028</v>
      </c>
      <c r="G163" s="15" t="s">
        <v>5029</v>
      </c>
      <c r="H163" s="15"/>
      <c r="I163" s="15" t="s">
        <v>49</v>
      </c>
      <c r="J163" s="7" t="str">
        <f>HYPERLINK("https://www.codechef.com/problems/JAVAMCQ44", "https://www.codechef.com/problems/JAVAMCQ44")</f>
        <v>https://www.codechef.com/problems/JAVAMCQ44</v>
      </c>
      <c r="K163" s="15"/>
      <c r="L163" s="15"/>
      <c r="M163" s="15"/>
      <c r="N163" s="15" t="s">
        <v>50</v>
      </c>
      <c r="O163" s="15" t="s">
        <v>51</v>
      </c>
    </row>
    <row r="164" spans="1:15">
      <c r="A164" s="14" t="s">
        <v>13</v>
      </c>
      <c r="B164" s="14" t="s">
        <v>4938</v>
      </c>
      <c r="C164" s="14" t="s">
        <v>4939</v>
      </c>
      <c r="D164" s="14" t="s">
        <v>5021</v>
      </c>
      <c r="E164" s="14">
        <v>45</v>
      </c>
      <c r="F164" s="14" t="s">
        <v>5030</v>
      </c>
      <c r="G164" s="14" t="s">
        <v>5031</v>
      </c>
      <c r="H164" s="14"/>
      <c r="I164" s="14" t="s">
        <v>49</v>
      </c>
      <c r="J164" s="11" t="str">
        <f>HYPERLINK("https://www.codechef.com/problems/JAVAMCQ45", "https://www.codechef.com/problems/JAVAMCQ45")</f>
        <v>https://www.codechef.com/problems/JAVAMCQ45</v>
      </c>
      <c r="K164" s="14"/>
      <c r="L164" s="14"/>
      <c r="M164" s="14"/>
      <c r="N164" s="14" t="s">
        <v>50</v>
      </c>
      <c r="O164" s="14" t="s">
        <v>51</v>
      </c>
    </row>
    <row r="165" spans="1:15">
      <c r="A165" s="15" t="s">
        <v>13</v>
      </c>
      <c r="B165" s="15" t="s">
        <v>4938</v>
      </c>
      <c r="C165" s="15" t="s">
        <v>4939</v>
      </c>
      <c r="D165" s="15" t="s">
        <v>5021</v>
      </c>
      <c r="E165" s="15">
        <v>46</v>
      </c>
      <c r="F165" s="15" t="s">
        <v>5032</v>
      </c>
      <c r="G165" s="15" t="s">
        <v>5033</v>
      </c>
      <c r="H165" s="15"/>
      <c r="I165" s="15" t="s">
        <v>49</v>
      </c>
      <c r="J165" s="7" t="str">
        <f>HYPERLINK("https://www.codechef.com/problems/JAVAMCQ46", "https://www.codechef.com/problems/JAVAMCQ46")</f>
        <v>https://www.codechef.com/problems/JAVAMCQ46</v>
      </c>
      <c r="K165" s="15"/>
      <c r="L165" s="15"/>
      <c r="M165" s="15"/>
      <c r="N165" s="15" t="s">
        <v>50</v>
      </c>
      <c r="O165" s="15" t="s">
        <v>51</v>
      </c>
    </row>
    <row r="166" spans="1:15">
      <c r="A166" s="14" t="s">
        <v>13</v>
      </c>
      <c r="B166" s="14" t="s">
        <v>4938</v>
      </c>
      <c r="C166" s="14" t="s">
        <v>4939</v>
      </c>
      <c r="D166" s="14" t="s">
        <v>5021</v>
      </c>
      <c r="E166" s="14">
        <v>47</v>
      </c>
      <c r="F166" s="14" t="s">
        <v>5034</v>
      </c>
      <c r="G166" s="14" t="s">
        <v>5035</v>
      </c>
      <c r="H166" s="14"/>
      <c r="I166" s="14" t="s">
        <v>49</v>
      </c>
      <c r="J166" s="11" t="str">
        <f>HYPERLINK("https://www.codechef.com/problems/JAVAMCQ47", "https://www.codechef.com/problems/JAVAMCQ47")</f>
        <v>https://www.codechef.com/problems/JAVAMCQ47</v>
      </c>
      <c r="K166" s="14"/>
      <c r="L166" s="14"/>
      <c r="M166" s="14"/>
      <c r="N166" s="14" t="s">
        <v>50</v>
      </c>
      <c r="O166" s="14" t="s">
        <v>51</v>
      </c>
    </row>
    <row r="167" spans="1:15">
      <c r="A167" s="15" t="s">
        <v>13</v>
      </c>
      <c r="B167" s="15" t="s">
        <v>4938</v>
      </c>
      <c r="C167" s="15" t="s">
        <v>4939</v>
      </c>
      <c r="D167" s="15" t="s">
        <v>5021</v>
      </c>
      <c r="E167" s="15">
        <v>48</v>
      </c>
      <c r="F167" s="15" t="s">
        <v>5036</v>
      </c>
      <c r="G167" s="15" t="s">
        <v>5037</v>
      </c>
      <c r="H167" s="15"/>
      <c r="I167" s="15" t="s">
        <v>49</v>
      </c>
      <c r="J167" s="7" t="str">
        <f>HYPERLINK("https://www.codechef.com/problems/JAVAMCQ48", "https://www.codechef.com/problems/JAVAMCQ48")</f>
        <v>https://www.codechef.com/problems/JAVAMCQ48</v>
      </c>
      <c r="K167" s="15"/>
      <c r="L167" s="15"/>
      <c r="M167" s="15"/>
      <c r="N167" s="15" t="s">
        <v>50</v>
      </c>
      <c r="O167" s="15" t="s">
        <v>51</v>
      </c>
    </row>
    <row r="168" spans="1:15">
      <c r="A168" s="14" t="s">
        <v>13</v>
      </c>
      <c r="B168" s="14" t="s">
        <v>4938</v>
      </c>
      <c r="C168" s="14" t="s">
        <v>4939</v>
      </c>
      <c r="D168" s="14" t="s">
        <v>5021</v>
      </c>
      <c r="E168" s="14">
        <v>49</v>
      </c>
      <c r="F168" s="14" t="s">
        <v>5038</v>
      </c>
      <c r="G168" s="14" t="s">
        <v>5039</v>
      </c>
      <c r="H168" s="14"/>
      <c r="I168" s="14" t="s">
        <v>49</v>
      </c>
      <c r="J168" s="11" t="str">
        <f>HYPERLINK("https://www.codechef.com/problems/JAVAMCQ49", "https://www.codechef.com/problems/JAVAMCQ49")</f>
        <v>https://www.codechef.com/problems/JAVAMCQ49</v>
      </c>
      <c r="K168" s="14"/>
      <c r="L168" s="14"/>
      <c r="M168" s="14"/>
      <c r="N168" s="14" t="s">
        <v>50</v>
      </c>
      <c r="O168" s="14" t="s">
        <v>51</v>
      </c>
    </row>
    <row r="169" spans="1:15">
      <c r="A169" s="15" t="s">
        <v>13</v>
      </c>
      <c r="B169" s="15" t="s">
        <v>4938</v>
      </c>
      <c r="C169" s="15" t="s">
        <v>4939</v>
      </c>
      <c r="D169" s="15" t="s">
        <v>5021</v>
      </c>
      <c r="E169" s="15">
        <v>50</v>
      </c>
      <c r="F169" s="15" t="s">
        <v>5040</v>
      </c>
      <c r="G169" s="15" t="s">
        <v>5041</v>
      </c>
      <c r="H169" s="15"/>
      <c r="I169" s="15" t="s">
        <v>49</v>
      </c>
      <c r="J169" s="7" t="str">
        <f>HYPERLINK("https://www.codechef.com/problems/JAVAMCQ50", "https://www.codechef.com/problems/JAVAMCQ50")</f>
        <v>https://www.codechef.com/problems/JAVAMCQ50</v>
      </c>
      <c r="K169" s="15"/>
      <c r="L169" s="15"/>
      <c r="M169" s="15"/>
      <c r="N169" s="15" t="s">
        <v>50</v>
      </c>
      <c r="O169" s="15" t="s">
        <v>51</v>
      </c>
    </row>
    <row r="170" spans="1:15">
      <c r="A170" s="14" t="s">
        <v>13</v>
      </c>
      <c r="B170" s="14" t="s">
        <v>4938</v>
      </c>
      <c r="C170" s="14" t="s">
        <v>4939</v>
      </c>
      <c r="D170" s="14" t="s">
        <v>5042</v>
      </c>
      <c r="E170" s="14">
        <v>51</v>
      </c>
      <c r="F170" s="14" t="s">
        <v>5043</v>
      </c>
      <c r="G170" s="14" t="s">
        <v>5044</v>
      </c>
      <c r="H170" s="14"/>
      <c r="I170" s="14" t="s">
        <v>49</v>
      </c>
      <c r="J170" s="11" t="str">
        <f>HYPERLINK("https://www.codechef.com/problems/JAVAMCQ52", "https://www.codechef.com/problems/JAVAMCQ52")</f>
        <v>https://www.codechef.com/problems/JAVAMCQ52</v>
      </c>
      <c r="K170" s="14"/>
      <c r="L170" s="14"/>
      <c r="M170" s="14"/>
      <c r="N170" s="14" t="s">
        <v>50</v>
      </c>
      <c r="O170" s="14" t="s">
        <v>51</v>
      </c>
    </row>
    <row r="171" spans="1:15">
      <c r="A171" s="15" t="s">
        <v>13</v>
      </c>
      <c r="B171" s="15" t="s">
        <v>4938</v>
      </c>
      <c r="C171" s="15" t="s">
        <v>4939</v>
      </c>
      <c r="D171" s="15" t="s">
        <v>5042</v>
      </c>
      <c r="E171" s="15">
        <v>52</v>
      </c>
      <c r="F171" s="15" t="s">
        <v>5045</v>
      </c>
      <c r="G171" s="15" t="s">
        <v>5046</v>
      </c>
      <c r="H171" s="15"/>
      <c r="I171" s="15" t="s">
        <v>96</v>
      </c>
      <c r="J171" s="7" t="str">
        <f>HYPERLINK("https://www.codechef.com/problems/JAVAMCQ53", "https://www.codechef.com/problems/JAVAMCQ53")</f>
        <v>https://www.codechef.com/problems/JAVAMCQ53</v>
      </c>
      <c r="K171" s="15"/>
      <c r="L171" s="15"/>
      <c r="M171" s="15"/>
      <c r="N171" s="15" t="s">
        <v>50</v>
      </c>
      <c r="O171" s="15" t="s">
        <v>51</v>
      </c>
    </row>
    <row r="172" spans="1:15">
      <c r="A172" s="14" t="s">
        <v>13</v>
      </c>
      <c r="B172" s="14" t="s">
        <v>4938</v>
      </c>
      <c r="C172" s="14" t="s">
        <v>4939</v>
      </c>
      <c r="D172" s="14" t="s">
        <v>5042</v>
      </c>
      <c r="E172" s="14">
        <v>53</v>
      </c>
      <c r="F172" s="14" t="s">
        <v>5047</v>
      </c>
      <c r="G172" s="14" t="s">
        <v>5048</v>
      </c>
      <c r="H172" s="14"/>
      <c r="I172" s="14" t="s">
        <v>96</v>
      </c>
      <c r="J172" s="11" t="str">
        <f>HYPERLINK("https://www.codechef.com/problems/JAVAMCQ54", "https://www.codechef.com/problems/JAVAMCQ54")</f>
        <v>https://www.codechef.com/problems/JAVAMCQ54</v>
      </c>
      <c r="K172" s="14"/>
      <c r="L172" s="14"/>
      <c r="M172" s="14"/>
      <c r="N172" s="14" t="s">
        <v>50</v>
      </c>
      <c r="O172" s="14" t="s">
        <v>51</v>
      </c>
    </row>
    <row r="173" spans="1:15">
      <c r="A173" s="15" t="s">
        <v>13</v>
      </c>
      <c r="B173" s="15" t="s">
        <v>4938</v>
      </c>
      <c r="C173" s="15" t="s">
        <v>4939</v>
      </c>
      <c r="D173" s="15" t="s">
        <v>5042</v>
      </c>
      <c r="E173" s="15">
        <v>54</v>
      </c>
      <c r="F173" s="15" t="s">
        <v>4888</v>
      </c>
      <c r="G173" s="15" t="s">
        <v>5049</v>
      </c>
      <c r="H173" s="15"/>
      <c r="I173" s="15" t="s">
        <v>49</v>
      </c>
      <c r="J173" s="7" t="str">
        <f>HYPERLINK("https://www.codechef.com/problems/JAVAMCQ55", "https://www.codechef.com/problems/JAVAMCQ55")</f>
        <v>https://www.codechef.com/problems/JAVAMCQ55</v>
      </c>
      <c r="K173" s="15"/>
      <c r="L173" s="15"/>
      <c r="M173" s="15"/>
      <c r="N173" s="15" t="s">
        <v>50</v>
      </c>
      <c r="O173" s="15" t="s">
        <v>51</v>
      </c>
    </row>
    <row r="174" spans="1:15">
      <c r="A174" s="14" t="s">
        <v>13</v>
      </c>
      <c r="B174" s="14" t="s">
        <v>4938</v>
      </c>
      <c r="C174" s="14" t="s">
        <v>4939</v>
      </c>
      <c r="D174" s="14" t="s">
        <v>5042</v>
      </c>
      <c r="E174" s="14">
        <v>55</v>
      </c>
      <c r="F174" s="14" t="s">
        <v>5050</v>
      </c>
      <c r="G174" s="14" t="s">
        <v>5051</v>
      </c>
      <c r="H174" s="14"/>
      <c r="I174" s="14" t="s">
        <v>49</v>
      </c>
      <c r="J174" s="11" t="str">
        <f>HYPERLINK("https://www.codechef.com/problems/JAVAMCQ57", "https://www.codechef.com/problems/JAVAMCQ57")</f>
        <v>https://www.codechef.com/problems/JAVAMCQ57</v>
      </c>
      <c r="K174" s="14"/>
      <c r="L174" s="14"/>
      <c r="M174" s="14"/>
      <c r="N174" s="14" t="s">
        <v>50</v>
      </c>
      <c r="O174" s="14" t="s">
        <v>51</v>
      </c>
    </row>
    <row r="175" spans="1:15">
      <c r="A175" s="15" t="s">
        <v>13</v>
      </c>
      <c r="B175" s="15" t="s">
        <v>4938</v>
      </c>
      <c r="C175" s="15" t="s">
        <v>4939</v>
      </c>
      <c r="D175" s="15" t="s">
        <v>5042</v>
      </c>
      <c r="E175" s="15">
        <v>56</v>
      </c>
      <c r="F175" s="15" t="s">
        <v>5052</v>
      </c>
      <c r="G175" s="15" t="s">
        <v>5053</v>
      </c>
      <c r="H175" s="15"/>
      <c r="I175" s="15" t="s">
        <v>96</v>
      </c>
      <c r="J175" s="7" t="str">
        <f>HYPERLINK("https://www.codechef.com/problems/JAVAMCQ58", "https://www.codechef.com/problems/JAVAMCQ58")</f>
        <v>https://www.codechef.com/problems/JAVAMCQ58</v>
      </c>
      <c r="K175" s="15"/>
      <c r="L175" s="15"/>
      <c r="M175" s="15"/>
      <c r="N175" s="15" t="s">
        <v>50</v>
      </c>
      <c r="O175" s="15" t="s">
        <v>51</v>
      </c>
    </row>
    <row r="176" spans="1:15">
      <c r="A176" s="14" t="s">
        <v>13</v>
      </c>
      <c r="B176" s="14" t="s">
        <v>4938</v>
      </c>
      <c r="C176" s="14" t="s">
        <v>4939</v>
      </c>
      <c r="D176" s="14" t="s">
        <v>5042</v>
      </c>
      <c r="E176" s="14">
        <v>57</v>
      </c>
      <c r="F176" s="14" t="s">
        <v>5054</v>
      </c>
      <c r="G176" s="14" t="s">
        <v>5055</v>
      </c>
      <c r="H176" s="14"/>
      <c r="I176" s="14" t="s">
        <v>49</v>
      </c>
      <c r="J176" s="11" t="str">
        <f>HYPERLINK("https://www.codechef.com/problems/JAVAMCQ59", "https://www.codechef.com/problems/JAVAMCQ59")</f>
        <v>https://www.codechef.com/problems/JAVAMCQ59</v>
      </c>
      <c r="K176" s="14"/>
      <c r="L176" s="14"/>
      <c r="M176" s="14"/>
      <c r="N176" s="14" t="s">
        <v>50</v>
      </c>
      <c r="O176" s="14" t="s">
        <v>51</v>
      </c>
    </row>
    <row r="177" spans="1:15">
      <c r="A177" s="15" t="s">
        <v>13</v>
      </c>
      <c r="B177" s="15" t="s">
        <v>4938</v>
      </c>
      <c r="C177" s="15" t="s">
        <v>4939</v>
      </c>
      <c r="D177" s="15" t="s">
        <v>5042</v>
      </c>
      <c r="E177" s="15">
        <v>58</v>
      </c>
      <c r="F177" s="15" t="s">
        <v>5056</v>
      </c>
      <c r="G177" s="15" t="s">
        <v>5057</v>
      </c>
      <c r="H177" s="15"/>
      <c r="I177" s="15" t="s">
        <v>96</v>
      </c>
      <c r="J177" s="7" t="str">
        <f>HYPERLINK("https://www.codechef.com/problems/JAVAMCQ60", "https://www.codechef.com/problems/JAVAMCQ60")</f>
        <v>https://www.codechef.com/problems/JAVAMCQ60</v>
      </c>
      <c r="K177" s="15"/>
      <c r="L177" s="15"/>
      <c r="M177" s="15"/>
      <c r="N177" s="15" t="s">
        <v>50</v>
      </c>
      <c r="O177" s="15" t="s">
        <v>51</v>
      </c>
    </row>
    <row r="178" spans="1:15">
      <c r="A178" s="14" t="s">
        <v>13</v>
      </c>
      <c r="B178" s="14" t="s">
        <v>4938</v>
      </c>
      <c r="C178" s="14" t="s">
        <v>4939</v>
      </c>
      <c r="D178" s="14" t="s">
        <v>5058</v>
      </c>
      <c r="E178" s="14">
        <v>59</v>
      </c>
      <c r="F178" s="14" t="s">
        <v>5059</v>
      </c>
      <c r="G178" s="14" t="s">
        <v>5060</v>
      </c>
      <c r="H178" s="14"/>
      <c r="I178" s="14" t="s">
        <v>49</v>
      </c>
      <c r="J178" s="11" t="str">
        <f>HYPERLINK("https://www.codechef.com/problems/JAVAMCQ62", "https://www.codechef.com/problems/JAVAMCQ62")</f>
        <v>https://www.codechef.com/problems/JAVAMCQ62</v>
      </c>
      <c r="K178" s="14"/>
      <c r="L178" s="14"/>
      <c r="M178" s="14"/>
      <c r="N178" s="14" t="s">
        <v>50</v>
      </c>
      <c r="O178" s="14" t="s">
        <v>51</v>
      </c>
    </row>
    <row r="179" spans="1:15">
      <c r="A179" s="15" t="s">
        <v>13</v>
      </c>
      <c r="B179" s="15" t="s">
        <v>4938</v>
      </c>
      <c r="C179" s="15" t="s">
        <v>4939</v>
      </c>
      <c r="D179" s="15" t="s">
        <v>5058</v>
      </c>
      <c r="E179" s="15">
        <v>60</v>
      </c>
      <c r="F179" s="15" t="s">
        <v>5061</v>
      </c>
      <c r="G179" s="15" t="s">
        <v>5062</v>
      </c>
      <c r="H179" s="15"/>
      <c r="I179" s="15" t="s">
        <v>49</v>
      </c>
      <c r="J179" s="7" t="str">
        <f>HYPERLINK("https://www.codechef.com/problems/JAVAMCQ63", "https://www.codechef.com/problems/JAVAMCQ63")</f>
        <v>https://www.codechef.com/problems/JAVAMCQ63</v>
      </c>
      <c r="K179" s="15"/>
      <c r="L179" s="15"/>
      <c r="M179" s="15"/>
      <c r="N179" s="15" t="s">
        <v>50</v>
      </c>
      <c r="O179" s="15" t="s">
        <v>51</v>
      </c>
    </row>
    <row r="180" spans="1:15">
      <c r="A180" s="14" t="s">
        <v>13</v>
      </c>
      <c r="B180" s="14" t="s">
        <v>4938</v>
      </c>
      <c r="C180" s="14" t="s">
        <v>4939</v>
      </c>
      <c r="D180" s="14" t="s">
        <v>5058</v>
      </c>
      <c r="E180" s="14">
        <v>61</v>
      </c>
      <c r="F180" s="14" t="s">
        <v>4888</v>
      </c>
      <c r="G180" s="14" t="s">
        <v>5063</v>
      </c>
      <c r="H180" s="14"/>
      <c r="I180" s="14" t="s">
        <v>49</v>
      </c>
      <c r="J180" s="11" t="str">
        <f>HYPERLINK("https://www.codechef.com/problems/JAVAMCQ64", "https://www.codechef.com/problems/JAVAMCQ64")</f>
        <v>https://www.codechef.com/problems/JAVAMCQ64</v>
      </c>
      <c r="K180" s="14"/>
      <c r="L180" s="14"/>
      <c r="M180" s="14"/>
      <c r="N180" s="14" t="s">
        <v>50</v>
      </c>
      <c r="O180" s="14" t="s">
        <v>51</v>
      </c>
    </row>
    <row r="181" spans="1:15">
      <c r="A181" s="15" t="s">
        <v>13</v>
      </c>
      <c r="B181" s="15" t="s">
        <v>4938</v>
      </c>
      <c r="C181" s="15" t="s">
        <v>4939</v>
      </c>
      <c r="D181" s="15" t="s">
        <v>5058</v>
      </c>
      <c r="E181" s="15">
        <v>62</v>
      </c>
      <c r="F181" s="15" t="s">
        <v>5064</v>
      </c>
      <c r="G181" s="15" t="s">
        <v>5065</v>
      </c>
      <c r="H181" s="15"/>
      <c r="I181" s="15" t="s">
        <v>49</v>
      </c>
      <c r="J181" s="7" t="str">
        <f>HYPERLINK("https://www.codechef.com/problems/JAVAMCQ65", "https://www.codechef.com/problems/JAVAMCQ65")</f>
        <v>https://www.codechef.com/problems/JAVAMCQ65</v>
      </c>
      <c r="K181" s="15"/>
      <c r="L181" s="15"/>
      <c r="M181" s="15"/>
      <c r="N181" s="15" t="s">
        <v>50</v>
      </c>
      <c r="O181" s="15" t="s">
        <v>51</v>
      </c>
    </row>
    <row r="182" spans="1:15">
      <c r="A182" s="14" t="s">
        <v>13</v>
      </c>
      <c r="B182" s="14" t="s">
        <v>4938</v>
      </c>
      <c r="C182" s="14" t="s">
        <v>4939</v>
      </c>
      <c r="D182" s="14" t="s">
        <v>5058</v>
      </c>
      <c r="E182" s="14">
        <v>63</v>
      </c>
      <c r="F182" s="14" t="s">
        <v>5066</v>
      </c>
      <c r="G182" s="14" t="s">
        <v>5067</v>
      </c>
      <c r="H182" s="14"/>
      <c r="I182" s="14" t="s">
        <v>49</v>
      </c>
      <c r="J182" s="11" t="str">
        <f>HYPERLINK("https://www.codechef.com/problems/JAVAMCQ66", "https://www.codechef.com/problems/JAVAMCQ66")</f>
        <v>https://www.codechef.com/problems/JAVAMCQ66</v>
      </c>
      <c r="K182" s="14"/>
      <c r="L182" s="14"/>
      <c r="M182" s="14"/>
      <c r="N182" s="14" t="s">
        <v>50</v>
      </c>
      <c r="O182" s="14" t="s">
        <v>51</v>
      </c>
    </row>
    <row r="183" spans="1:15">
      <c r="A183" s="15" t="s">
        <v>13</v>
      </c>
      <c r="B183" s="15" t="s">
        <v>4938</v>
      </c>
      <c r="C183" s="15" t="s">
        <v>4939</v>
      </c>
      <c r="D183" s="15" t="s">
        <v>5058</v>
      </c>
      <c r="E183" s="15">
        <v>64</v>
      </c>
      <c r="F183" s="15" t="s">
        <v>5068</v>
      </c>
      <c r="G183" s="15" t="s">
        <v>5069</v>
      </c>
      <c r="H183" s="15"/>
      <c r="I183" s="15" t="s">
        <v>96</v>
      </c>
      <c r="J183" s="7" t="str">
        <f>HYPERLINK("https://www.codechef.com/problems/JAVAMCQ67", "https://www.codechef.com/problems/JAVAMCQ67")</f>
        <v>https://www.codechef.com/problems/JAVAMCQ67</v>
      </c>
      <c r="K183" s="15"/>
      <c r="L183" s="15"/>
      <c r="M183" s="15"/>
      <c r="N183" s="15" t="s">
        <v>50</v>
      </c>
      <c r="O183" s="15" t="s">
        <v>51</v>
      </c>
    </row>
    <row r="184" spans="1:15">
      <c r="A184" s="14" t="s">
        <v>13</v>
      </c>
      <c r="B184" s="14" t="s">
        <v>4938</v>
      </c>
      <c r="C184" s="14" t="s">
        <v>4939</v>
      </c>
      <c r="D184" s="14" t="s">
        <v>5058</v>
      </c>
      <c r="E184" s="14">
        <v>65</v>
      </c>
      <c r="F184" s="14" t="s">
        <v>5070</v>
      </c>
      <c r="G184" s="14" t="s">
        <v>5071</v>
      </c>
      <c r="H184" s="14"/>
      <c r="I184" s="14" t="s">
        <v>49</v>
      </c>
      <c r="J184" s="11" t="str">
        <f>HYPERLINK("https://www.codechef.com/problems/JAVAMCQ68", "https://www.codechef.com/problems/JAVAMCQ68")</f>
        <v>https://www.codechef.com/problems/JAVAMCQ68</v>
      </c>
      <c r="K184" s="14"/>
      <c r="L184" s="14"/>
      <c r="M184" s="14"/>
      <c r="N184" s="14" t="s">
        <v>50</v>
      </c>
      <c r="O184" s="14" t="s">
        <v>51</v>
      </c>
    </row>
    <row r="185" spans="1:15">
      <c r="A185" s="15" t="s">
        <v>13</v>
      </c>
      <c r="B185" s="15" t="s">
        <v>4938</v>
      </c>
      <c r="C185" s="15" t="s">
        <v>4939</v>
      </c>
      <c r="D185" s="15" t="s">
        <v>5058</v>
      </c>
      <c r="E185" s="15">
        <v>66</v>
      </c>
      <c r="F185" s="15" t="s">
        <v>5072</v>
      </c>
      <c r="G185" s="15" t="s">
        <v>5073</v>
      </c>
      <c r="H185" s="15"/>
      <c r="I185" s="15" t="s">
        <v>49</v>
      </c>
      <c r="J185" s="7" t="str">
        <f>HYPERLINK("https://www.codechef.com/problems/JAVAMCQ69", "https://www.codechef.com/problems/JAVAMCQ69")</f>
        <v>https://www.codechef.com/problems/JAVAMCQ69</v>
      </c>
      <c r="K185" s="15"/>
      <c r="L185" s="15"/>
      <c r="M185" s="15"/>
      <c r="N185" s="15" t="s">
        <v>50</v>
      </c>
      <c r="O185" s="15" t="s">
        <v>51</v>
      </c>
    </row>
    <row r="186" spans="1:15">
      <c r="A186" s="14" t="s">
        <v>13</v>
      </c>
      <c r="B186" s="14" t="s">
        <v>4938</v>
      </c>
      <c r="C186" s="14" t="s">
        <v>4939</v>
      </c>
      <c r="D186" s="14" t="s">
        <v>5058</v>
      </c>
      <c r="E186" s="14">
        <v>67</v>
      </c>
      <c r="F186" s="14" t="s">
        <v>5074</v>
      </c>
      <c r="G186" s="14" t="s">
        <v>5075</v>
      </c>
      <c r="H186" s="14"/>
      <c r="I186" s="14" t="s">
        <v>49</v>
      </c>
      <c r="J186" s="11" t="str">
        <f>HYPERLINK("https://www.codechef.com/problems/JAVAMCQ70", "https://www.codechef.com/problems/JAVAMCQ70")</f>
        <v>https://www.codechef.com/problems/JAVAMCQ70</v>
      </c>
      <c r="K186" s="14"/>
      <c r="L186" s="14"/>
      <c r="M186" s="14"/>
      <c r="N186" s="14" t="s">
        <v>50</v>
      </c>
      <c r="O186" s="14" t="s">
        <v>51</v>
      </c>
    </row>
    <row r="187" spans="1:15">
      <c r="A187" s="15" t="s">
        <v>13</v>
      </c>
      <c r="B187" s="15" t="s">
        <v>4938</v>
      </c>
      <c r="C187" s="15" t="s">
        <v>4939</v>
      </c>
      <c r="D187" s="15" t="s">
        <v>4835</v>
      </c>
      <c r="E187" s="15">
        <v>68</v>
      </c>
      <c r="F187" s="15" t="s">
        <v>4846</v>
      </c>
      <c r="G187" s="15" t="s">
        <v>5076</v>
      </c>
      <c r="H187" s="15"/>
      <c r="I187" s="15" t="s">
        <v>49</v>
      </c>
      <c r="J187" s="7" t="str">
        <f>HYPERLINK("https://www.codechef.com/problems/JAVAMCQ71", "https://www.codechef.com/problems/JAVAMCQ71")</f>
        <v>https://www.codechef.com/problems/JAVAMCQ71</v>
      </c>
      <c r="K187" s="15"/>
      <c r="L187" s="15"/>
      <c r="M187" s="15"/>
      <c r="N187" s="15" t="s">
        <v>50</v>
      </c>
      <c r="O187" s="15" t="s">
        <v>51</v>
      </c>
    </row>
    <row r="188" spans="1:15">
      <c r="A188" s="14" t="s">
        <v>13</v>
      </c>
      <c r="B188" s="14" t="s">
        <v>4938</v>
      </c>
      <c r="C188" s="14" t="s">
        <v>4939</v>
      </c>
      <c r="D188" s="14" t="s">
        <v>4835</v>
      </c>
      <c r="E188" s="14">
        <v>69</v>
      </c>
      <c r="F188" s="14" t="s">
        <v>5077</v>
      </c>
      <c r="G188" s="14" t="s">
        <v>5078</v>
      </c>
      <c r="H188" s="14"/>
      <c r="I188" s="14" t="s">
        <v>49</v>
      </c>
      <c r="J188" s="11" t="str">
        <f>HYPERLINK("https://www.codechef.com/problems/JAVAMCQ72", "https://www.codechef.com/problems/JAVAMCQ72")</f>
        <v>https://www.codechef.com/problems/JAVAMCQ72</v>
      </c>
      <c r="K188" s="14"/>
      <c r="L188" s="14"/>
      <c r="M188" s="14"/>
      <c r="N188" s="14" t="s">
        <v>50</v>
      </c>
      <c r="O188" s="14" t="s">
        <v>51</v>
      </c>
    </row>
    <row r="189" spans="1:15">
      <c r="A189" s="15" t="s">
        <v>13</v>
      </c>
      <c r="B189" s="15" t="s">
        <v>4938</v>
      </c>
      <c r="C189" s="15" t="s">
        <v>4939</v>
      </c>
      <c r="D189" s="15" t="s">
        <v>4835</v>
      </c>
      <c r="E189" s="15">
        <v>70</v>
      </c>
      <c r="F189" s="15" t="s">
        <v>5079</v>
      </c>
      <c r="G189" s="15" t="s">
        <v>5080</v>
      </c>
      <c r="H189" s="15"/>
      <c r="I189" s="15" t="s">
        <v>49</v>
      </c>
      <c r="J189" s="7" t="str">
        <f>HYPERLINK("https://www.codechef.com/problems/JAVAMCQ73", "https://www.codechef.com/problems/JAVAMCQ73")</f>
        <v>https://www.codechef.com/problems/JAVAMCQ73</v>
      </c>
      <c r="K189" s="15"/>
      <c r="L189" s="15"/>
      <c r="M189" s="15"/>
      <c r="N189" s="15" t="s">
        <v>50</v>
      </c>
      <c r="O189" s="15" t="s">
        <v>51</v>
      </c>
    </row>
    <row r="190" spans="1:15">
      <c r="A190" s="14" t="s">
        <v>13</v>
      </c>
      <c r="B190" s="14" t="s">
        <v>4938</v>
      </c>
      <c r="C190" s="14" t="s">
        <v>4939</v>
      </c>
      <c r="D190" s="14" t="s">
        <v>4835</v>
      </c>
      <c r="E190" s="14">
        <v>71</v>
      </c>
      <c r="F190" s="14" t="s">
        <v>5081</v>
      </c>
      <c r="G190" s="14" t="s">
        <v>5082</v>
      </c>
      <c r="H190" s="14"/>
      <c r="I190" s="14" t="s">
        <v>49</v>
      </c>
      <c r="J190" s="11" t="str">
        <f>HYPERLINK("https://www.codechef.com/problems/JAVAMCQ74", "https://www.codechef.com/problems/JAVAMCQ74")</f>
        <v>https://www.codechef.com/problems/JAVAMCQ74</v>
      </c>
      <c r="K190" s="14"/>
      <c r="L190" s="14"/>
      <c r="M190" s="14"/>
      <c r="N190" s="14" t="s">
        <v>50</v>
      </c>
      <c r="O190" s="14" t="s">
        <v>51</v>
      </c>
    </row>
    <row r="191" spans="1:15">
      <c r="A191" s="15" t="s">
        <v>13</v>
      </c>
      <c r="B191" s="15" t="s">
        <v>4938</v>
      </c>
      <c r="C191" s="15" t="s">
        <v>4939</v>
      </c>
      <c r="D191" s="15" t="s">
        <v>4835</v>
      </c>
      <c r="E191" s="15">
        <v>72</v>
      </c>
      <c r="F191" s="15" t="s">
        <v>5083</v>
      </c>
      <c r="G191" s="15" t="s">
        <v>5084</v>
      </c>
      <c r="H191" s="15"/>
      <c r="I191" s="15" t="s">
        <v>49</v>
      </c>
      <c r="J191" s="7" t="str">
        <f>HYPERLINK("https://www.codechef.com/problems/JAVAMCQ75", "https://www.codechef.com/problems/JAVAMCQ75")</f>
        <v>https://www.codechef.com/problems/JAVAMCQ75</v>
      </c>
      <c r="K191" s="15"/>
      <c r="L191" s="15"/>
      <c r="M191" s="15"/>
      <c r="N191" s="15" t="s">
        <v>50</v>
      </c>
      <c r="O191" s="15" t="s">
        <v>51</v>
      </c>
    </row>
    <row r="192" spans="1:15">
      <c r="A192" s="14" t="s">
        <v>13</v>
      </c>
      <c r="B192" s="14" t="s">
        <v>4938</v>
      </c>
      <c r="C192" s="14" t="s">
        <v>4939</v>
      </c>
      <c r="D192" s="14" t="s">
        <v>4835</v>
      </c>
      <c r="E192" s="14">
        <v>73</v>
      </c>
      <c r="F192" s="14" t="s">
        <v>4842</v>
      </c>
      <c r="G192" s="14" t="s">
        <v>5085</v>
      </c>
      <c r="H192" s="14"/>
      <c r="I192" s="14" t="s">
        <v>49</v>
      </c>
      <c r="J192" s="11" t="str">
        <f>HYPERLINK("https://www.codechef.com/problems/JAVAMCQ76", "https://www.codechef.com/problems/JAVAMCQ76")</f>
        <v>https://www.codechef.com/problems/JAVAMCQ76</v>
      </c>
      <c r="K192" s="14"/>
      <c r="L192" s="14"/>
      <c r="M192" s="14"/>
      <c r="N192" s="14" t="s">
        <v>50</v>
      </c>
      <c r="O192" s="14" t="s">
        <v>51</v>
      </c>
    </row>
    <row r="193" spans="1:15">
      <c r="A193" s="15" t="s">
        <v>13</v>
      </c>
      <c r="B193" s="15" t="s">
        <v>4938</v>
      </c>
      <c r="C193" s="15" t="s">
        <v>4939</v>
      </c>
      <c r="D193" s="15" t="s">
        <v>4835</v>
      </c>
      <c r="E193" s="15">
        <v>74</v>
      </c>
      <c r="F193" s="15" t="s">
        <v>5086</v>
      </c>
      <c r="G193" s="15" t="s">
        <v>5087</v>
      </c>
      <c r="H193" s="15"/>
      <c r="I193" s="15" t="s">
        <v>49</v>
      </c>
      <c r="J193" s="7" t="str">
        <f>HYPERLINK("https://www.codechef.com/problems/JAVAMCQ77", "https://www.codechef.com/problems/JAVAMCQ77")</f>
        <v>https://www.codechef.com/problems/JAVAMCQ77</v>
      </c>
      <c r="K193" s="15"/>
      <c r="L193" s="15"/>
      <c r="M193" s="15"/>
      <c r="N193" s="15" t="s">
        <v>50</v>
      </c>
      <c r="O193" s="15" t="s">
        <v>51</v>
      </c>
    </row>
    <row r="194" spans="1:15">
      <c r="A194" s="14" t="s">
        <v>13</v>
      </c>
      <c r="B194" s="14" t="s">
        <v>4938</v>
      </c>
      <c r="C194" s="14" t="s">
        <v>4939</v>
      </c>
      <c r="D194" s="14" t="s">
        <v>4835</v>
      </c>
      <c r="E194" s="14">
        <v>75</v>
      </c>
      <c r="F194" s="14" t="s">
        <v>5088</v>
      </c>
      <c r="G194" s="14" t="s">
        <v>5089</v>
      </c>
      <c r="H194" s="14"/>
      <c r="I194" s="14" t="s">
        <v>49</v>
      </c>
      <c r="J194" s="11" t="str">
        <f>HYPERLINK("https://www.codechef.com/problems/JAVAMCQ78", "https://www.codechef.com/problems/JAVAMCQ78")</f>
        <v>https://www.codechef.com/problems/JAVAMCQ78</v>
      </c>
      <c r="K194" s="14"/>
      <c r="L194" s="14"/>
      <c r="M194" s="14"/>
      <c r="N194" s="14" t="s">
        <v>50</v>
      </c>
      <c r="O194" s="14" t="s">
        <v>51</v>
      </c>
    </row>
    <row r="195" spans="1:15">
      <c r="A195" s="15" t="s">
        <v>13</v>
      </c>
      <c r="B195" s="15" t="s">
        <v>4938</v>
      </c>
      <c r="C195" s="15" t="s">
        <v>4939</v>
      </c>
      <c r="D195" s="15" t="s">
        <v>4835</v>
      </c>
      <c r="E195" s="15">
        <v>76</v>
      </c>
      <c r="F195" s="15" t="s">
        <v>5090</v>
      </c>
      <c r="G195" s="15" t="s">
        <v>5091</v>
      </c>
      <c r="H195" s="15"/>
      <c r="I195" s="15" t="s">
        <v>49</v>
      </c>
      <c r="J195" s="7" t="str">
        <f>HYPERLINK("https://www.codechef.com/problems/JAVAMCQ80", "https://www.codechef.com/problems/JAVAMCQ80")</f>
        <v>https://www.codechef.com/problems/JAVAMCQ80</v>
      </c>
      <c r="K195" s="15"/>
      <c r="L195" s="15"/>
      <c r="M195" s="15"/>
      <c r="N195" s="15" t="s">
        <v>50</v>
      </c>
      <c r="O195" s="15" t="s">
        <v>51</v>
      </c>
    </row>
    <row r="196" spans="1:15">
      <c r="A196" s="14" t="s">
        <v>13</v>
      </c>
      <c r="B196" s="14" t="s">
        <v>4938</v>
      </c>
      <c r="C196" s="14" t="s">
        <v>4939</v>
      </c>
      <c r="D196" s="14" t="s">
        <v>5092</v>
      </c>
      <c r="E196" s="14">
        <v>77</v>
      </c>
      <c r="F196" s="14" t="s">
        <v>5093</v>
      </c>
      <c r="G196" s="14" t="s">
        <v>5094</v>
      </c>
      <c r="H196" s="14"/>
      <c r="I196" s="14" t="s">
        <v>49</v>
      </c>
      <c r="J196" s="11" t="str">
        <f>HYPERLINK("https://www.codechef.com/problems/JAVAMCQ81", "https://www.codechef.com/problems/JAVAMCQ81")</f>
        <v>https://www.codechef.com/problems/JAVAMCQ81</v>
      </c>
      <c r="K196" s="14"/>
      <c r="L196" s="14"/>
      <c r="M196" s="14"/>
      <c r="N196" s="14" t="s">
        <v>50</v>
      </c>
      <c r="O196" s="14" t="s">
        <v>51</v>
      </c>
    </row>
    <row r="197" spans="1:15">
      <c r="A197" s="15" t="s">
        <v>13</v>
      </c>
      <c r="B197" s="15" t="s">
        <v>4938</v>
      </c>
      <c r="C197" s="15" t="s">
        <v>4939</v>
      </c>
      <c r="D197" s="15" t="s">
        <v>5092</v>
      </c>
      <c r="E197" s="15">
        <v>78</v>
      </c>
      <c r="F197" s="15" t="s">
        <v>5095</v>
      </c>
      <c r="G197" s="15" t="s">
        <v>5096</v>
      </c>
      <c r="H197" s="15"/>
      <c r="I197" s="15" t="s">
        <v>49</v>
      </c>
      <c r="J197" s="7" t="str">
        <f>HYPERLINK("https://www.codechef.com/problems/JAVAMCQ82", "https://www.codechef.com/problems/JAVAMCQ82")</f>
        <v>https://www.codechef.com/problems/JAVAMCQ82</v>
      </c>
      <c r="K197" s="15"/>
      <c r="L197" s="15"/>
      <c r="M197" s="15"/>
      <c r="N197" s="15" t="s">
        <v>50</v>
      </c>
      <c r="O197" s="15" t="s">
        <v>51</v>
      </c>
    </row>
    <row r="198" spans="1:15">
      <c r="A198" s="14" t="s">
        <v>13</v>
      </c>
      <c r="B198" s="14" t="s">
        <v>4938</v>
      </c>
      <c r="C198" s="14" t="s">
        <v>4939</v>
      </c>
      <c r="D198" s="14" t="s">
        <v>5092</v>
      </c>
      <c r="E198" s="14">
        <v>79</v>
      </c>
      <c r="F198" s="14" t="s">
        <v>5097</v>
      </c>
      <c r="G198" s="14" t="s">
        <v>5098</v>
      </c>
      <c r="H198" s="14"/>
      <c r="I198" s="14" t="s">
        <v>49</v>
      </c>
      <c r="J198" s="11" t="str">
        <f>HYPERLINK("https://www.codechef.com/problems/JAVAMCQ83", "https://www.codechef.com/problems/JAVAMCQ83")</f>
        <v>https://www.codechef.com/problems/JAVAMCQ83</v>
      </c>
      <c r="K198" s="14"/>
      <c r="L198" s="14"/>
      <c r="M198" s="14"/>
      <c r="N198" s="14" t="s">
        <v>50</v>
      </c>
      <c r="O198" s="14" t="s">
        <v>51</v>
      </c>
    </row>
    <row r="199" spans="1:15">
      <c r="A199" s="15" t="s">
        <v>13</v>
      </c>
      <c r="B199" s="15" t="s">
        <v>4938</v>
      </c>
      <c r="C199" s="15" t="s">
        <v>4939</v>
      </c>
      <c r="D199" s="15" t="s">
        <v>5092</v>
      </c>
      <c r="E199" s="15">
        <v>80</v>
      </c>
      <c r="F199" s="15" t="s">
        <v>5099</v>
      </c>
      <c r="G199" s="15" t="s">
        <v>5100</v>
      </c>
      <c r="H199" s="15"/>
      <c r="I199" s="15" t="s">
        <v>49</v>
      </c>
      <c r="J199" s="7" t="str">
        <f>HYPERLINK("https://www.codechef.com/problems/JAVAMCQ84", "https://www.codechef.com/problems/JAVAMCQ84")</f>
        <v>https://www.codechef.com/problems/JAVAMCQ84</v>
      </c>
      <c r="K199" s="15"/>
      <c r="L199" s="15"/>
      <c r="M199" s="15"/>
      <c r="N199" s="15" t="s">
        <v>50</v>
      </c>
      <c r="O199" s="15" t="s">
        <v>51</v>
      </c>
    </row>
    <row r="200" spans="1:15">
      <c r="A200" s="14" t="s">
        <v>13</v>
      </c>
      <c r="B200" s="14" t="s">
        <v>4938</v>
      </c>
      <c r="C200" s="14" t="s">
        <v>4939</v>
      </c>
      <c r="D200" s="14" t="s">
        <v>5092</v>
      </c>
      <c r="E200" s="14">
        <v>81</v>
      </c>
      <c r="F200" s="14" t="s">
        <v>5101</v>
      </c>
      <c r="G200" s="14" t="s">
        <v>5102</v>
      </c>
      <c r="H200" s="14"/>
      <c r="I200" s="14" t="s">
        <v>49</v>
      </c>
      <c r="J200" s="11" t="str">
        <f>HYPERLINK("https://www.codechef.com/problems/JAVAMCQ85", "https://www.codechef.com/problems/JAVAMCQ85")</f>
        <v>https://www.codechef.com/problems/JAVAMCQ85</v>
      </c>
      <c r="K200" s="14"/>
      <c r="L200" s="14"/>
      <c r="M200" s="14"/>
      <c r="N200" s="14" t="s">
        <v>50</v>
      </c>
      <c r="O200" s="14" t="s">
        <v>51</v>
      </c>
    </row>
    <row r="201" spans="1:15">
      <c r="A201" s="15" t="s">
        <v>13</v>
      </c>
      <c r="B201" s="15" t="s">
        <v>4938</v>
      </c>
      <c r="C201" s="15" t="s">
        <v>4939</v>
      </c>
      <c r="D201" s="15" t="s">
        <v>5092</v>
      </c>
      <c r="E201" s="15">
        <v>82</v>
      </c>
      <c r="F201" s="15" t="s">
        <v>5103</v>
      </c>
      <c r="G201" s="15" t="s">
        <v>5104</v>
      </c>
      <c r="H201" s="15"/>
      <c r="I201" s="15" t="s">
        <v>49</v>
      </c>
      <c r="J201" s="7" t="str">
        <f>HYPERLINK("https://www.codechef.com/problems/JAVAMCQ86", "https://www.codechef.com/problems/JAVAMCQ86")</f>
        <v>https://www.codechef.com/problems/JAVAMCQ86</v>
      </c>
      <c r="K201" s="15"/>
      <c r="L201" s="15"/>
      <c r="M201" s="15"/>
      <c r="N201" s="15" t="s">
        <v>50</v>
      </c>
      <c r="O201" s="15" t="s">
        <v>51</v>
      </c>
    </row>
    <row r="202" spans="1:15">
      <c r="A202" s="14" t="s">
        <v>13</v>
      </c>
      <c r="B202" s="14" t="s">
        <v>4938</v>
      </c>
      <c r="C202" s="14" t="s">
        <v>4939</v>
      </c>
      <c r="D202" s="14" t="s">
        <v>5092</v>
      </c>
      <c r="E202" s="14">
        <v>83</v>
      </c>
      <c r="F202" s="14" t="s">
        <v>5105</v>
      </c>
      <c r="G202" s="14" t="s">
        <v>5106</v>
      </c>
      <c r="H202" s="14"/>
      <c r="I202" s="14" t="s">
        <v>96</v>
      </c>
      <c r="J202" s="11" t="str">
        <f>HYPERLINK("https://www.codechef.com/problems/JAVAMCQ87", "https://www.codechef.com/problems/JAVAMCQ87")</f>
        <v>https://www.codechef.com/problems/JAVAMCQ87</v>
      </c>
      <c r="K202" s="14"/>
      <c r="L202" s="14"/>
      <c r="M202" s="14"/>
      <c r="N202" s="14" t="s">
        <v>50</v>
      </c>
      <c r="O202" s="14" t="s">
        <v>51</v>
      </c>
    </row>
    <row r="203" spans="1:15">
      <c r="A203" s="15" t="s">
        <v>13</v>
      </c>
      <c r="B203" s="15" t="s">
        <v>4938</v>
      </c>
      <c r="C203" s="15" t="s">
        <v>4939</v>
      </c>
      <c r="D203" s="15" t="s">
        <v>5092</v>
      </c>
      <c r="E203" s="15">
        <v>84</v>
      </c>
      <c r="F203" s="15" t="s">
        <v>5107</v>
      </c>
      <c r="G203" s="15" t="s">
        <v>5108</v>
      </c>
      <c r="H203" s="15"/>
      <c r="I203" s="15" t="s">
        <v>49</v>
      </c>
      <c r="J203" s="7" t="str">
        <f>HYPERLINK("https://www.codechef.com/problems/JAVAMCQ88", "https://www.codechef.com/problems/JAVAMCQ88")</f>
        <v>https://www.codechef.com/problems/JAVAMCQ88</v>
      </c>
      <c r="K203" s="15"/>
      <c r="L203" s="15"/>
      <c r="M203" s="15"/>
      <c r="N203" s="15" t="s">
        <v>50</v>
      </c>
      <c r="O203" s="15" t="s">
        <v>51</v>
      </c>
    </row>
    <row r="204" spans="1:15">
      <c r="A204" s="14" t="s">
        <v>13</v>
      </c>
      <c r="B204" s="14" t="s">
        <v>4938</v>
      </c>
      <c r="C204" s="14" t="s">
        <v>4939</v>
      </c>
      <c r="D204" s="14" t="s">
        <v>5092</v>
      </c>
      <c r="E204" s="14">
        <v>85</v>
      </c>
      <c r="F204" s="14" t="s">
        <v>5109</v>
      </c>
      <c r="G204" s="14" t="s">
        <v>5110</v>
      </c>
      <c r="H204" s="14"/>
      <c r="I204" s="14" t="s">
        <v>49</v>
      </c>
      <c r="J204" s="11" t="str">
        <f>HYPERLINK("https://www.codechef.com/problems/JAVAMCQ89", "https://www.codechef.com/problems/JAVAMCQ89")</f>
        <v>https://www.codechef.com/problems/JAVAMCQ89</v>
      </c>
      <c r="K204" s="14"/>
      <c r="L204" s="14"/>
      <c r="M204" s="14"/>
      <c r="N204" s="14" t="s">
        <v>50</v>
      </c>
      <c r="O204" s="14" t="s">
        <v>51</v>
      </c>
    </row>
    <row r="205" spans="1:15">
      <c r="A205" s="15" t="s">
        <v>13</v>
      </c>
      <c r="B205" s="15" t="s">
        <v>4938</v>
      </c>
      <c r="C205" s="15" t="s">
        <v>4939</v>
      </c>
      <c r="D205" s="15" t="s">
        <v>5092</v>
      </c>
      <c r="E205" s="15">
        <v>86</v>
      </c>
      <c r="F205" s="15" t="s">
        <v>5111</v>
      </c>
      <c r="G205" s="15" t="s">
        <v>5112</v>
      </c>
      <c r="H205" s="15"/>
      <c r="I205" s="15" t="s">
        <v>96</v>
      </c>
      <c r="J205" s="7" t="str">
        <f>HYPERLINK("https://www.codechef.com/problems/JAVAMCQ90", "https://www.codechef.com/problems/JAVAMCQ90")</f>
        <v>https://www.codechef.com/problems/JAVAMCQ90</v>
      </c>
      <c r="K205" s="15"/>
      <c r="L205" s="15"/>
      <c r="M205" s="15"/>
      <c r="N205" s="15" t="s">
        <v>50</v>
      </c>
      <c r="O205" s="15" t="s">
        <v>51</v>
      </c>
    </row>
    <row r="206" spans="1:15">
      <c r="A206" s="14" t="s">
        <v>13</v>
      </c>
      <c r="B206" s="14" t="s">
        <v>4938</v>
      </c>
      <c r="C206" s="14" t="s">
        <v>4939</v>
      </c>
      <c r="D206" s="14" t="s">
        <v>5113</v>
      </c>
      <c r="E206" s="14">
        <v>87</v>
      </c>
      <c r="F206" s="14" t="s">
        <v>5114</v>
      </c>
      <c r="G206" s="14" t="s">
        <v>5115</v>
      </c>
      <c r="H206" s="14"/>
      <c r="I206" s="14" t="s">
        <v>49</v>
      </c>
      <c r="J206" s="11" t="str">
        <f>HYPERLINK("https://www.codechef.com/problems/JAVAMCQ91", "https://www.codechef.com/problems/JAVAMCQ91")</f>
        <v>https://www.codechef.com/problems/JAVAMCQ91</v>
      </c>
      <c r="K206" s="14"/>
      <c r="L206" s="14"/>
      <c r="M206" s="14"/>
      <c r="N206" s="14" t="s">
        <v>50</v>
      </c>
      <c r="O206" s="14" t="s">
        <v>51</v>
      </c>
    </row>
    <row r="207" spans="1:15">
      <c r="A207" s="15" t="s">
        <v>13</v>
      </c>
      <c r="B207" s="15" t="s">
        <v>4938</v>
      </c>
      <c r="C207" s="15" t="s">
        <v>4939</v>
      </c>
      <c r="D207" s="15" t="s">
        <v>5113</v>
      </c>
      <c r="E207" s="15">
        <v>88</v>
      </c>
      <c r="F207" s="15" t="s">
        <v>5116</v>
      </c>
      <c r="G207" s="15" t="s">
        <v>5117</v>
      </c>
      <c r="H207" s="15"/>
      <c r="I207" s="15" t="s">
        <v>49</v>
      </c>
      <c r="J207" s="7" t="str">
        <f>HYPERLINK("https://www.codechef.com/problems/JAVAMCQ92", "https://www.codechef.com/problems/JAVAMCQ92")</f>
        <v>https://www.codechef.com/problems/JAVAMCQ92</v>
      </c>
      <c r="K207" s="15"/>
      <c r="L207" s="15"/>
      <c r="M207" s="15"/>
      <c r="N207" s="15" t="s">
        <v>50</v>
      </c>
      <c r="O207" s="15" t="s">
        <v>51</v>
      </c>
    </row>
    <row r="208" spans="1:15">
      <c r="A208" s="14" t="s">
        <v>13</v>
      </c>
      <c r="B208" s="14" t="s">
        <v>4938</v>
      </c>
      <c r="C208" s="14" t="s">
        <v>4939</v>
      </c>
      <c r="D208" s="14" t="s">
        <v>5113</v>
      </c>
      <c r="E208" s="14">
        <v>89</v>
      </c>
      <c r="F208" s="14" t="s">
        <v>5118</v>
      </c>
      <c r="G208" s="14" t="s">
        <v>5119</v>
      </c>
      <c r="H208" s="14"/>
      <c r="I208" s="14" t="s">
        <v>49</v>
      </c>
      <c r="J208" s="11" t="str">
        <f>HYPERLINK("https://www.codechef.com/problems/JAVAMCQ93", "https://www.codechef.com/problems/JAVAMCQ93")</f>
        <v>https://www.codechef.com/problems/JAVAMCQ93</v>
      </c>
      <c r="K208" s="14"/>
      <c r="L208" s="14"/>
      <c r="M208" s="14"/>
      <c r="N208" s="14" t="s">
        <v>50</v>
      </c>
      <c r="O208" s="14" t="s">
        <v>51</v>
      </c>
    </row>
    <row r="209" spans="1:15">
      <c r="A209" s="15" t="s">
        <v>13</v>
      </c>
      <c r="B209" s="15" t="s">
        <v>4938</v>
      </c>
      <c r="C209" s="15" t="s">
        <v>4939</v>
      </c>
      <c r="D209" s="15" t="s">
        <v>5113</v>
      </c>
      <c r="E209" s="15">
        <v>90</v>
      </c>
      <c r="F209" s="15" t="s">
        <v>5120</v>
      </c>
      <c r="G209" s="15" t="s">
        <v>5121</v>
      </c>
      <c r="H209" s="15"/>
      <c r="I209" s="15" t="s">
        <v>49</v>
      </c>
      <c r="J209" s="7" t="str">
        <f>HYPERLINK("https://www.codechef.com/problems/JAVAMCQ94", "https://www.codechef.com/problems/JAVAMCQ94")</f>
        <v>https://www.codechef.com/problems/JAVAMCQ94</v>
      </c>
      <c r="K209" s="15"/>
      <c r="L209" s="15"/>
      <c r="M209" s="15"/>
      <c r="N209" s="15" t="s">
        <v>50</v>
      </c>
      <c r="O209" s="15" t="s">
        <v>51</v>
      </c>
    </row>
    <row r="210" spans="1:15">
      <c r="A210" s="14" t="s">
        <v>13</v>
      </c>
      <c r="B210" s="14" t="s">
        <v>4938</v>
      </c>
      <c r="C210" s="14" t="s">
        <v>4939</v>
      </c>
      <c r="D210" s="14" t="s">
        <v>5113</v>
      </c>
      <c r="E210" s="14">
        <v>91</v>
      </c>
      <c r="F210" s="14" t="s">
        <v>5122</v>
      </c>
      <c r="G210" s="14" t="s">
        <v>5123</v>
      </c>
      <c r="H210" s="14"/>
      <c r="I210" s="14" t="s">
        <v>49</v>
      </c>
      <c r="J210" s="11" t="str">
        <f>HYPERLINK("https://www.codechef.com/problems/JAVAMCQ95", "https://www.codechef.com/problems/JAVAMCQ95")</f>
        <v>https://www.codechef.com/problems/JAVAMCQ95</v>
      </c>
      <c r="K210" s="14"/>
      <c r="L210" s="14"/>
      <c r="M210" s="14"/>
      <c r="N210" s="14" t="s">
        <v>50</v>
      </c>
      <c r="O210" s="14" t="s">
        <v>51</v>
      </c>
    </row>
    <row r="211" spans="1:15">
      <c r="A211" s="15" t="s">
        <v>13</v>
      </c>
      <c r="B211" s="15" t="s">
        <v>4938</v>
      </c>
      <c r="C211" s="15" t="s">
        <v>4939</v>
      </c>
      <c r="D211" s="15" t="s">
        <v>5113</v>
      </c>
      <c r="E211" s="15">
        <v>92</v>
      </c>
      <c r="F211" s="15" t="s">
        <v>5124</v>
      </c>
      <c r="G211" s="15" t="s">
        <v>5125</v>
      </c>
      <c r="H211" s="15"/>
      <c r="I211" s="15" t="s">
        <v>96</v>
      </c>
      <c r="J211" s="7" t="str">
        <f>HYPERLINK("https://www.codechef.com/problems/JAVAMCQ96", "https://www.codechef.com/problems/JAVAMCQ96")</f>
        <v>https://www.codechef.com/problems/JAVAMCQ96</v>
      </c>
      <c r="K211" s="15"/>
      <c r="L211" s="15"/>
      <c r="M211" s="15"/>
      <c r="N211" s="15" t="s">
        <v>50</v>
      </c>
      <c r="O211" s="15" t="s">
        <v>51</v>
      </c>
    </row>
    <row r="212" spans="1:15">
      <c r="A212" s="14" t="s">
        <v>13</v>
      </c>
      <c r="B212" s="14" t="s">
        <v>4938</v>
      </c>
      <c r="C212" s="14" t="s">
        <v>4939</v>
      </c>
      <c r="D212" s="14" t="s">
        <v>5113</v>
      </c>
      <c r="E212" s="14">
        <v>93</v>
      </c>
      <c r="F212" s="14" t="s">
        <v>5126</v>
      </c>
      <c r="G212" s="14" t="s">
        <v>5127</v>
      </c>
      <c r="H212" s="14"/>
      <c r="I212" s="14" t="s">
        <v>49</v>
      </c>
      <c r="J212" s="11" t="str">
        <f>HYPERLINK("https://www.codechef.com/problems/JAVAMCQ97", "https://www.codechef.com/problems/JAVAMCQ97")</f>
        <v>https://www.codechef.com/problems/JAVAMCQ97</v>
      </c>
      <c r="K212" s="14"/>
      <c r="L212" s="14"/>
      <c r="M212" s="14"/>
      <c r="N212" s="14" t="s">
        <v>50</v>
      </c>
      <c r="O212" s="14" t="s">
        <v>51</v>
      </c>
    </row>
    <row r="213" spans="1:15">
      <c r="A213" s="15" t="s">
        <v>13</v>
      </c>
      <c r="B213" s="15" t="s">
        <v>4938</v>
      </c>
      <c r="C213" s="15" t="s">
        <v>4939</v>
      </c>
      <c r="D213" s="15" t="s">
        <v>5113</v>
      </c>
      <c r="E213" s="15">
        <v>94</v>
      </c>
      <c r="F213" s="15" t="s">
        <v>5128</v>
      </c>
      <c r="G213" s="15" t="s">
        <v>5129</v>
      </c>
      <c r="H213" s="15"/>
      <c r="I213" s="15" t="s">
        <v>49</v>
      </c>
      <c r="J213" s="7" t="str">
        <f>HYPERLINK("https://www.codechef.com/problems/JAVAMCQ98", "https://www.codechef.com/problems/JAVAMCQ98")</f>
        <v>https://www.codechef.com/problems/JAVAMCQ98</v>
      </c>
      <c r="K213" s="15"/>
      <c r="L213" s="15"/>
      <c r="M213" s="15"/>
      <c r="N213" s="15" t="s">
        <v>50</v>
      </c>
      <c r="O213" s="15" t="s">
        <v>51</v>
      </c>
    </row>
    <row r="214" spans="1:15">
      <c r="A214" s="14" t="s">
        <v>13</v>
      </c>
      <c r="B214" s="14" t="s">
        <v>4938</v>
      </c>
      <c r="C214" s="14" t="s">
        <v>4939</v>
      </c>
      <c r="D214" s="14" t="s">
        <v>5113</v>
      </c>
      <c r="E214" s="14">
        <v>95</v>
      </c>
      <c r="F214" s="14" t="s">
        <v>5130</v>
      </c>
      <c r="G214" s="14" t="s">
        <v>5131</v>
      </c>
      <c r="H214" s="14"/>
      <c r="I214" s="14" t="s">
        <v>49</v>
      </c>
      <c r="J214" s="11" t="str">
        <f>HYPERLINK("https://www.codechef.com/problems/JAVAMCQ99", "https://www.codechef.com/problems/JAVAMCQ99")</f>
        <v>https://www.codechef.com/problems/JAVAMCQ99</v>
      </c>
      <c r="K214" s="14"/>
      <c r="L214" s="14"/>
      <c r="M214" s="14"/>
      <c r="N214" s="14" t="s">
        <v>50</v>
      </c>
      <c r="O214" s="14" t="s">
        <v>51</v>
      </c>
    </row>
    <row r="215" spans="1:15">
      <c r="A215" s="15" t="s">
        <v>13</v>
      </c>
      <c r="B215" s="15" t="s">
        <v>4938</v>
      </c>
      <c r="C215" s="15" t="s">
        <v>4939</v>
      </c>
      <c r="D215" s="15" t="s">
        <v>5113</v>
      </c>
      <c r="E215" s="15">
        <v>96</v>
      </c>
      <c r="F215" s="15" t="s">
        <v>5132</v>
      </c>
      <c r="G215" s="15" t="s">
        <v>5133</v>
      </c>
      <c r="H215" s="15"/>
      <c r="I215" s="15" t="s">
        <v>49</v>
      </c>
      <c r="J215" s="7" t="str">
        <f>HYPERLINK("https://www.codechef.com/problems/JAVAMCQ100", "https://www.codechef.com/problems/JAVAMCQ100")</f>
        <v>https://www.codechef.com/problems/JAVAMCQ100</v>
      </c>
      <c r="K215" s="15"/>
      <c r="L215" s="15"/>
      <c r="M215" s="15"/>
      <c r="N215" s="15" t="s">
        <v>50</v>
      </c>
      <c r="O215" s="15" t="s">
        <v>51</v>
      </c>
    </row>
    <row r="216" spans="1:15">
      <c r="A216" s="14" t="s">
        <v>13</v>
      </c>
      <c r="B216" s="14" t="s">
        <v>4938</v>
      </c>
      <c r="C216" s="14" t="s">
        <v>4939</v>
      </c>
      <c r="D216" s="14" t="s">
        <v>5134</v>
      </c>
      <c r="E216" s="14">
        <v>97</v>
      </c>
      <c r="F216" s="14" t="s">
        <v>5135</v>
      </c>
      <c r="G216" s="14" t="s">
        <v>5136</v>
      </c>
      <c r="H216" s="14"/>
      <c r="I216" s="14" t="s">
        <v>49</v>
      </c>
      <c r="J216" s="11" t="str">
        <f>HYPERLINK("https://www.codechef.com/problems/JAVAMCQ101", "https://www.codechef.com/problems/JAVAMCQ101")</f>
        <v>https://www.codechef.com/problems/JAVAMCQ101</v>
      </c>
      <c r="K216" s="14"/>
      <c r="L216" s="14"/>
      <c r="M216" s="14"/>
      <c r="N216" s="14" t="s">
        <v>50</v>
      </c>
      <c r="O216" s="14" t="s">
        <v>51</v>
      </c>
    </row>
    <row r="217" spans="1:15">
      <c r="A217" s="15" t="s">
        <v>13</v>
      </c>
      <c r="B217" s="15" t="s">
        <v>4938</v>
      </c>
      <c r="C217" s="15" t="s">
        <v>4939</v>
      </c>
      <c r="D217" s="15" t="s">
        <v>5134</v>
      </c>
      <c r="E217" s="15">
        <v>98</v>
      </c>
      <c r="F217" s="15" t="s">
        <v>5137</v>
      </c>
      <c r="G217" s="15" t="s">
        <v>5138</v>
      </c>
      <c r="H217" s="15"/>
      <c r="I217" s="15" t="s">
        <v>49</v>
      </c>
      <c r="J217" s="7" t="str">
        <f>HYPERLINK("https://www.codechef.com/problems/JAVAMCQ102", "https://www.codechef.com/problems/JAVAMCQ102")</f>
        <v>https://www.codechef.com/problems/JAVAMCQ102</v>
      </c>
      <c r="K217" s="15"/>
      <c r="L217" s="15"/>
      <c r="M217" s="15"/>
      <c r="N217" s="15" t="s">
        <v>50</v>
      </c>
      <c r="O217" s="15" t="s">
        <v>51</v>
      </c>
    </row>
    <row r="218" spans="1:15">
      <c r="A218" s="14" t="s">
        <v>13</v>
      </c>
      <c r="B218" s="14" t="s">
        <v>4938</v>
      </c>
      <c r="C218" s="14" t="s">
        <v>4939</v>
      </c>
      <c r="D218" s="14" t="s">
        <v>5134</v>
      </c>
      <c r="E218" s="14">
        <v>99</v>
      </c>
      <c r="F218" s="14" t="s">
        <v>5139</v>
      </c>
      <c r="G218" s="14" t="s">
        <v>5140</v>
      </c>
      <c r="H218" s="14"/>
      <c r="I218" s="14" t="s">
        <v>96</v>
      </c>
      <c r="J218" s="11" t="str">
        <f>HYPERLINK("https://www.codechef.com/problems/JAVAMCQ103", "https://www.codechef.com/problems/JAVAMCQ103")</f>
        <v>https://www.codechef.com/problems/JAVAMCQ103</v>
      </c>
      <c r="K218" s="14"/>
      <c r="L218" s="14"/>
      <c r="M218" s="14"/>
      <c r="N218" s="14" t="s">
        <v>50</v>
      </c>
      <c r="O218" s="14" t="s">
        <v>51</v>
      </c>
    </row>
    <row r="219" spans="1:15">
      <c r="A219" s="15" t="s">
        <v>13</v>
      </c>
      <c r="B219" s="15" t="s">
        <v>4938</v>
      </c>
      <c r="C219" s="15" t="s">
        <v>4939</v>
      </c>
      <c r="D219" s="15" t="s">
        <v>5134</v>
      </c>
      <c r="E219" s="15">
        <v>100</v>
      </c>
      <c r="F219" s="15" t="s">
        <v>5141</v>
      </c>
      <c r="G219" s="15" t="s">
        <v>5142</v>
      </c>
      <c r="H219" s="15"/>
      <c r="I219" s="15" t="s">
        <v>96</v>
      </c>
      <c r="J219" s="7" t="str">
        <f>HYPERLINK("https://www.codechef.com/problems/JAVAMCQ104", "https://www.codechef.com/problems/JAVAMCQ104")</f>
        <v>https://www.codechef.com/problems/JAVAMCQ104</v>
      </c>
      <c r="K219" s="15"/>
      <c r="L219" s="15"/>
      <c r="M219" s="15"/>
      <c r="N219" s="15" t="s">
        <v>50</v>
      </c>
      <c r="O219" s="15" t="s">
        <v>51</v>
      </c>
    </row>
    <row r="220" spans="1:15">
      <c r="A220" s="14" t="s">
        <v>13</v>
      </c>
      <c r="B220" s="14" t="s">
        <v>4938</v>
      </c>
      <c r="C220" s="14" t="s">
        <v>4939</v>
      </c>
      <c r="D220" s="14" t="s">
        <v>5134</v>
      </c>
      <c r="E220" s="14">
        <v>101</v>
      </c>
      <c r="F220" s="14" t="s">
        <v>5143</v>
      </c>
      <c r="G220" s="14" t="s">
        <v>5144</v>
      </c>
      <c r="H220" s="14"/>
      <c r="I220" s="14" t="s">
        <v>49</v>
      </c>
      <c r="J220" s="11" t="str">
        <f>HYPERLINK("https://www.codechef.com/problems/JAVAMCQ105", "https://www.codechef.com/problems/JAVAMCQ105")</f>
        <v>https://www.codechef.com/problems/JAVAMCQ105</v>
      </c>
      <c r="K220" s="14"/>
      <c r="L220" s="14"/>
      <c r="M220" s="14"/>
      <c r="N220" s="14" t="s">
        <v>50</v>
      </c>
      <c r="O220" s="14" t="s">
        <v>51</v>
      </c>
    </row>
    <row r="221" spans="1:15">
      <c r="A221" s="15" t="s">
        <v>13</v>
      </c>
      <c r="B221" s="15" t="s">
        <v>4938</v>
      </c>
      <c r="C221" s="15" t="s">
        <v>4939</v>
      </c>
      <c r="D221" s="15" t="s">
        <v>5134</v>
      </c>
      <c r="E221" s="15">
        <v>102</v>
      </c>
      <c r="F221" s="15" t="s">
        <v>5145</v>
      </c>
      <c r="G221" s="15" t="s">
        <v>5146</v>
      </c>
      <c r="H221" s="15"/>
      <c r="I221" s="15" t="s">
        <v>49</v>
      </c>
      <c r="J221" s="7" t="str">
        <f>HYPERLINK("https://www.codechef.com/problems/JAVAMCQ106", "https://www.codechef.com/problems/JAVAMCQ106")</f>
        <v>https://www.codechef.com/problems/JAVAMCQ106</v>
      </c>
      <c r="K221" s="15"/>
      <c r="L221" s="15"/>
      <c r="M221" s="15"/>
      <c r="N221" s="15" t="s">
        <v>50</v>
      </c>
      <c r="O221" s="15" t="s">
        <v>51</v>
      </c>
    </row>
    <row r="222" spans="1:15">
      <c r="A222" s="14" t="s">
        <v>13</v>
      </c>
      <c r="B222" s="14" t="s">
        <v>4938</v>
      </c>
      <c r="C222" s="14" t="s">
        <v>4939</v>
      </c>
      <c r="D222" s="14" t="s">
        <v>5134</v>
      </c>
      <c r="E222" s="14">
        <v>103</v>
      </c>
      <c r="F222" s="14" t="s">
        <v>5147</v>
      </c>
      <c r="G222" s="14" t="s">
        <v>5148</v>
      </c>
      <c r="H222" s="14"/>
      <c r="I222" s="14" t="s">
        <v>96</v>
      </c>
      <c r="J222" s="11" t="str">
        <f>HYPERLINK("https://www.codechef.com/problems/JAVAMCQ107", "https://www.codechef.com/problems/JAVAMCQ107")</f>
        <v>https://www.codechef.com/problems/JAVAMCQ107</v>
      </c>
      <c r="K222" s="14"/>
      <c r="L222" s="14"/>
      <c r="M222" s="14"/>
      <c r="N222" s="14" t="s">
        <v>50</v>
      </c>
      <c r="O222" s="14" t="s">
        <v>51</v>
      </c>
    </row>
    <row r="223" spans="1:15">
      <c r="A223" s="15" t="s">
        <v>13</v>
      </c>
      <c r="B223" s="15" t="s">
        <v>4938</v>
      </c>
      <c r="C223" s="15" t="s">
        <v>4939</v>
      </c>
      <c r="D223" s="15" t="s">
        <v>5134</v>
      </c>
      <c r="E223" s="15">
        <v>104</v>
      </c>
      <c r="F223" s="15" t="s">
        <v>5149</v>
      </c>
      <c r="G223" s="15" t="s">
        <v>5150</v>
      </c>
      <c r="H223" s="15"/>
      <c r="I223" s="15" t="s">
        <v>49</v>
      </c>
      <c r="J223" s="7" t="str">
        <f>HYPERLINK("https://www.codechef.com/problems/JAVAMCQ108", "https://www.codechef.com/problems/JAVAMCQ108")</f>
        <v>https://www.codechef.com/problems/JAVAMCQ108</v>
      </c>
      <c r="K223" s="15"/>
      <c r="L223" s="15"/>
      <c r="M223" s="15"/>
      <c r="N223" s="15" t="s">
        <v>50</v>
      </c>
      <c r="O223" s="15" t="s">
        <v>51</v>
      </c>
    </row>
    <row r="224" spans="1:15">
      <c r="A224" s="14" t="s">
        <v>13</v>
      </c>
      <c r="B224" s="14" t="s">
        <v>4938</v>
      </c>
      <c r="C224" s="14" t="s">
        <v>4939</v>
      </c>
      <c r="D224" s="14" t="s">
        <v>5134</v>
      </c>
      <c r="E224" s="14">
        <v>105</v>
      </c>
      <c r="F224" s="14" t="s">
        <v>5151</v>
      </c>
      <c r="G224" s="14" t="s">
        <v>5152</v>
      </c>
      <c r="H224" s="14"/>
      <c r="I224" s="14" t="s">
        <v>49</v>
      </c>
      <c r="J224" s="11" t="str">
        <f>HYPERLINK("https://www.codechef.com/problems/JAVAMCQ109", "https://www.codechef.com/problems/JAVAMCQ109")</f>
        <v>https://www.codechef.com/problems/JAVAMCQ109</v>
      </c>
      <c r="K224" s="14"/>
      <c r="L224" s="14"/>
      <c r="M224" s="14"/>
      <c r="N224" s="14" t="s">
        <v>50</v>
      </c>
      <c r="O224" s="14" t="s">
        <v>51</v>
      </c>
    </row>
    <row r="225" spans="1:15">
      <c r="A225" s="15" t="s">
        <v>13</v>
      </c>
      <c r="B225" s="15" t="s">
        <v>4938</v>
      </c>
      <c r="C225" s="15" t="s">
        <v>4939</v>
      </c>
      <c r="D225" s="15" t="s">
        <v>5134</v>
      </c>
      <c r="E225" s="15">
        <v>106</v>
      </c>
      <c r="F225" s="15" t="s">
        <v>5153</v>
      </c>
      <c r="G225" s="15" t="s">
        <v>5154</v>
      </c>
      <c r="H225" s="15"/>
      <c r="I225" s="15" t="s">
        <v>49</v>
      </c>
      <c r="J225" s="7" t="str">
        <f>HYPERLINK("https://www.codechef.com/problems/JAVAMCQ110", "https://www.codechef.com/problems/JAVAMCQ110")</f>
        <v>https://www.codechef.com/problems/JAVAMCQ110</v>
      </c>
      <c r="K225" s="15"/>
      <c r="L225" s="15"/>
      <c r="M225" s="15"/>
      <c r="N225" s="15" t="s">
        <v>50</v>
      </c>
      <c r="O225" s="15" t="s">
        <v>51</v>
      </c>
    </row>
    <row r="226" spans="1:15">
      <c r="A226" s="14" t="s">
        <v>13</v>
      </c>
      <c r="B226" s="14" t="s">
        <v>4938</v>
      </c>
      <c r="C226" s="14" t="s">
        <v>4939</v>
      </c>
      <c r="D226" s="14" t="s">
        <v>5155</v>
      </c>
      <c r="E226" s="14">
        <v>107</v>
      </c>
      <c r="F226" s="14" t="s">
        <v>5156</v>
      </c>
      <c r="G226" s="14" t="s">
        <v>5157</v>
      </c>
      <c r="H226" s="14"/>
      <c r="I226" s="14" t="s">
        <v>49</v>
      </c>
      <c r="J226" s="11" t="str">
        <f>HYPERLINK("https://www.codechef.com/problems/JAVAMCQ111", "https://www.codechef.com/problems/JAVAMCQ111")</f>
        <v>https://www.codechef.com/problems/JAVAMCQ111</v>
      </c>
      <c r="K226" s="14"/>
      <c r="L226" s="14"/>
      <c r="M226" s="14"/>
      <c r="N226" s="14" t="s">
        <v>50</v>
      </c>
      <c r="O226" s="14" t="s">
        <v>51</v>
      </c>
    </row>
    <row r="227" spans="1:15">
      <c r="A227" s="15" t="s">
        <v>13</v>
      </c>
      <c r="B227" s="15" t="s">
        <v>4938</v>
      </c>
      <c r="C227" s="15" t="s">
        <v>4939</v>
      </c>
      <c r="D227" s="15" t="s">
        <v>5155</v>
      </c>
      <c r="E227" s="15">
        <v>108</v>
      </c>
      <c r="F227" s="15" t="s">
        <v>5158</v>
      </c>
      <c r="G227" s="15" t="s">
        <v>5159</v>
      </c>
      <c r="H227" s="15"/>
      <c r="I227" s="15" t="s">
        <v>49</v>
      </c>
      <c r="J227" s="7" t="str">
        <f>HYPERLINK("https://www.codechef.com/problems/JAVAMCQ112", "https://www.codechef.com/problems/JAVAMCQ112")</f>
        <v>https://www.codechef.com/problems/JAVAMCQ112</v>
      </c>
      <c r="K227" s="15"/>
      <c r="L227" s="15"/>
      <c r="M227" s="15"/>
      <c r="N227" s="15" t="s">
        <v>50</v>
      </c>
      <c r="O227" s="15" t="s">
        <v>51</v>
      </c>
    </row>
    <row r="228" spans="1:15">
      <c r="A228" s="14" t="s">
        <v>13</v>
      </c>
      <c r="B228" s="14" t="s">
        <v>4938</v>
      </c>
      <c r="C228" s="14" t="s">
        <v>4939</v>
      </c>
      <c r="D228" s="14" t="s">
        <v>5155</v>
      </c>
      <c r="E228" s="14">
        <v>109</v>
      </c>
      <c r="F228" s="14" t="s">
        <v>5160</v>
      </c>
      <c r="G228" s="14" t="s">
        <v>5161</v>
      </c>
      <c r="H228" s="14"/>
      <c r="I228" s="14" t="s">
        <v>96</v>
      </c>
      <c r="J228" s="11" t="str">
        <f>HYPERLINK("https://www.codechef.com/problems/JAVAMCQ113", "https://www.codechef.com/problems/JAVAMCQ113")</f>
        <v>https://www.codechef.com/problems/JAVAMCQ113</v>
      </c>
      <c r="K228" s="14"/>
      <c r="L228" s="14"/>
      <c r="M228" s="14"/>
      <c r="N228" s="14" t="s">
        <v>50</v>
      </c>
      <c r="O228" s="14" t="s">
        <v>51</v>
      </c>
    </row>
    <row r="229" spans="1:15">
      <c r="A229" s="15" t="s">
        <v>13</v>
      </c>
      <c r="B229" s="15" t="s">
        <v>4938</v>
      </c>
      <c r="C229" s="15" t="s">
        <v>4939</v>
      </c>
      <c r="D229" s="15" t="s">
        <v>5155</v>
      </c>
      <c r="E229" s="15">
        <v>110</v>
      </c>
      <c r="F229" s="15" t="s">
        <v>5162</v>
      </c>
      <c r="G229" s="15" t="s">
        <v>5163</v>
      </c>
      <c r="H229" s="15"/>
      <c r="I229" s="15" t="s">
        <v>49</v>
      </c>
      <c r="J229" s="7" t="str">
        <f>HYPERLINK("https://www.codechef.com/problems/JAVAMCQ114", "https://www.codechef.com/problems/JAVAMCQ114")</f>
        <v>https://www.codechef.com/problems/JAVAMCQ114</v>
      </c>
      <c r="K229" s="15"/>
      <c r="L229" s="15"/>
      <c r="M229" s="15"/>
      <c r="N229" s="15" t="s">
        <v>50</v>
      </c>
      <c r="O229" s="15" t="s">
        <v>51</v>
      </c>
    </row>
    <row r="230" spans="1:15">
      <c r="A230" s="14" t="s">
        <v>13</v>
      </c>
      <c r="B230" s="14" t="s">
        <v>4938</v>
      </c>
      <c r="C230" s="14" t="s">
        <v>4939</v>
      </c>
      <c r="D230" s="14" t="s">
        <v>5155</v>
      </c>
      <c r="E230" s="14">
        <v>111</v>
      </c>
      <c r="F230" s="14" t="s">
        <v>5164</v>
      </c>
      <c r="G230" s="14" t="s">
        <v>5165</v>
      </c>
      <c r="H230" s="14"/>
      <c r="I230" s="14" t="s">
        <v>96</v>
      </c>
      <c r="J230" s="11" t="str">
        <f>HYPERLINK("https://www.codechef.com/problems/JAVAMCQ115", "https://www.codechef.com/problems/JAVAMCQ115")</f>
        <v>https://www.codechef.com/problems/JAVAMCQ115</v>
      </c>
      <c r="K230" s="14"/>
      <c r="L230" s="14"/>
      <c r="M230" s="14"/>
      <c r="N230" s="14" t="s">
        <v>50</v>
      </c>
      <c r="O230" s="14" t="s">
        <v>51</v>
      </c>
    </row>
    <row r="231" spans="1:15">
      <c r="A231" s="15" t="s">
        <v>13</v>
      </c>
      <c r="B231" s="15" t="s">
        <v>4938</v>
      </c>
      <c r="C231" s="15" t="s">
        <v>4939</v>
      </c>
      <c r="D231" s="15" t="s">
        <v>5155</v>
      </c>
      <c r="E231" s="15">
        <v>112</v>
      </c>
      <c r="F231" s="15" t="s">
        <v>5166</v>
      </c>
      <c r="G231" s="15" t="s">
        <v>5167</v>
      </c>
      <c r="H231" s="15"/>
      <c r="I231" s="15" t="s">
        <v>96</v>
      </c>
      <c r="J231" s="7" t="str">
        <f>HYPERLINK("https://www.codechef.com/problems/JAVAMCQ116", "https://www.codechef.com/problems/JAVAMCQ116")</f>
        <v>https://www.codechef.com/problems/JAVAMCQ116</v>
      </c>
      <c r="K231" s="15"/>
      <c r="L231" s="15"/>
      <c r="M231" s="15"/>
      <c r="N231" s="15" t="s">
        <v>50</v>
      </c>
      <c r="O231" s="15" t="s">
        <v>51</v>
      </c>
    </row>
    <row r="232" spans="1:15">
      <c r="A232" s="14" t="s">
        <v>13</v>
      </c>
      <c r="B232" s="14" t="s">
        <v>4938</v>
      </c>
      <c r="C232" s="14" t="s">
        <v>4939</v>
      </c>
      <c r="D232" s="14" t="s">
        <v>5155</v>
      </c>
      <c r="E232" s="14">
        <v>113</v>
      </c>
      <c r="F232" s="14" t="s">
        <v>5168</v>
      </c>
      <c r="G232" s="14" t="s">
        <v>5169</v>
      </c>
      <c r="H232" s="14"/>
      <c r="I232" s="14" t="s">
        <v>96</v>
      </c>
      <c r="J232" s="11" t="str">
        <f>HYPERLINK("https://www.codechef.com/problems/JAVAMCQ117", "https://www.codechef.com/problems/JAVAMCQ117")</f>
        <v>https://www.codechef.com/problems/JAVAMCQ117</v>
      </c>
      <c r="K232" s="14"/>
      <c r="L232" s="14"/>
      <c r="M232" s="14"/>
      <c r="N232" s="14" t="s">
        <v>50</v>
      </c>
      <c r="O232" s="14" t="s">
        <v>51</v>
      </c>
    </row>
    <row r="233" spans="1:15">
      <c r="A233" s="15" t="s">
        <v>13</v>
      </c>
      <c r="B233" s="15" t="s">
        <v>4938</v>
      </c>
      <c r="C233" s="15" t="s">
        <v>4939</v>
      </c>
      <c r="D233" s="15" t="s">
        <v>5155</v>
      </c>
      <c r="E233" s="15">
        <v>114</v>
      </c>
      <c r="F233" s="15" t="s">
        <v>5170</v>
      </c>
      <c r="G233" s="15" t="s">
        <v>5171</v>
      </c>
      <c r="H233" s="15"/>
      <c r="I233" s="15" t="s">
        <v>49</v>
      </c>
      <c r="J233" s="7" t="str">
        <f>HYPERLINK("https://www.codechef.com/problems/JAVAMCQ118", "https://www.codechef.com/problems/JAVAMCQ118")</f>
        <v>https://www.codechef.com/problems/JAVAMCQ118</v>
      </c>
      <c r="K233" s="15"/>
      <c r="L233" s="15"/>
      <c r="M233" s="15"/>
      <c r="N233" s="15" t="s">
        <v>50</v>
      </c>
      <c r="O233" s="15" t="s">
        <v>51</v>
      </c>
    </row>
    <row r="234" spans="1:15">
      <c r="A234" s="14" t="s">
        <v>13</v>
      </c>
      <c r="B234" s="14" t="s">
        <v>4938</v>
      </c>
      <c r="C234" s="14" t="s">
        <v>4939</v>
      </c>
      <c r="D234" s="14" t="s">
        <v>5155</v>
      </c>
      <c r="E234" s="14">
        <v>115</v>
      </c>
      <c r="F234" s="14" t="s">
        <v>5172</v>
      </c>
      <c r="G234" s="14" t="s">
        <v>5173</v>
      </c>
      <c r="H234" s="14"/>
      <c r="I234" s="14" t="s">
        <v>49</v>
      </c>
      <c r="J234" s="11" t="str">
        <f>HYPERLINK("https://www.codechef.com/problems/JAVAMCQ119", "https://www.codechef.com/problems/JAVAMCQ119")</f>
        <v>https://www.codechef.com/problems/JAVAMCQ119</v>
      </c>
      <c r="K234" s="14"/>
      <c r="L234" s="14"/>
      <c r="M234" s="14"/>
      <c r="N234" s="14" t="s">
        <v>50</v>
      </c>
      <c r="O234" s="14" t="s">
        <v>51</v>
      </c>
    </row>
    <row r="235" spans="1:15">
      <c r="A235" s="15" t="s">
        <v>13</v>
      </c>
      <c r="B235" s="15" t="s">
        <v>4938</v>
      </c>
      <c r="C235" s="15" t="s">
        <v>4939</v>
      </c>
      <c r="D235" s="15" t="s">
        <v>5155</v>
      </c>
      <c r="E235" s="15">
        <v>116</v>
      </c>
      <c r="F235" s="15" t="s">
        <v>5174</v>
      </c>
      <c r="G235" s="15" t="s">
        <v>5175</v>
      </c>
      <c r="H235" s="15"/>
      <c r="I235" s="15" t="s">
        <v>96</v>
      </c>
      <c r="J235" s="7" t="str">
        <f>HYPERLINK("https://www.codechef.com/problems/JAVAMCQ120", "https://www.codechef.com/problems/JAVAMCQ120")</f>
        <v>https://www.codechef.com/problems/JAVAMCQ120</v>
      </c>
      <c r="K235" s="15"/>
      <c r="L235" s="15"/>
      <c r="M235" s="15"/>
      <c r="N235" s="15" t="s">
        <v>50</v>
      </c>
      <c r="O235" s="15" t="s">
        <v>51</v>
      </c>
    </row>
    <row r="236" spans="1:15">
      <c r="A236" s="14" t="s">
        <v>13</v>
      </c>
      <c r="B236" s="14" t="s">
        <v>4938</v>
      </c>
      <c r="C236" s="14" t="s">
        <v>4939</v>
      </c>
      <c r="D236" s="14" t="s">
        <v>5176</v>
      </c>
      <c r="E236" s="14">
        <v>117</v>
      </c>
      <c r="F236" s="14" t="s">
        <v>5177</v>
      </c>
      <c r="G236" s="14" t="s">
        <v>5178</v>
      </c>
      <c r="H236" s="14"/>
      <c r="I236" s="14" t="s">
        <v>49</v>
      </c>
      <c r="J236" s="11" t="str">
        <f>HYPERLINK("https://www.codechef.com/problems/JAVAMCQ121", "https://www.codechef.com/problems/JAVAMCQ121")</f>
        <v>https://www.codechef.com/problems/JAVAMCQ121</v>
      </c>
      <c r="K236" s="14"/>
      <c r="L236" s="14"/>
      <c r="M236" s="14"/>
      <c r="N236" s="14" t="s">
        <v>50</v>
      </c>
      <c r="O236" s="14" t="s">
        <v>51</v>
      </c>
    </row>
    <row r="237" spans="1:15">
      <c r="A237" s="15" t="s">
        <v>13</v>
      </c>
      <c r="B237" s="15" t="s">
        <v>4938</v>
      </c>
      <c r="C237" s="15" t="s">
        <v>4939</v>
      </c>
      <c r="D237" s="15" t="s">
        <v>5176</v>
      </c>
      <c r="E237" s="15">
        <v>118</v>
      </c>
      <c r="F237" s="15" t="s">
        <v>5179</v>
      </c>
      <c r="G237" s="15" t="s">
        <v>5180</v>
      </c>
      <c r="H237" s="15"/>
      <c r="I237" s="15" t="s">
        <v>49</v>
      </c>
      <c r="J237" s="7" t="str">
        <f>HYPERLINK("https://www.codechef.com/problems/JAVAMCQ122", "https://www.codechef.com/problems/JAVAMCQ122")</f>
        <v>https://www.codechef.com/problems/JAVAMCQ122</v>
      </c>
      <c r="K237" s="15"/>
      <c r="L237" s="15"/>
      <c r="M237" s="15"/>
      <c r="N237" s="15" t="s">
        <v>50</v>
      </c>
      <c r="O237" s="15" t="s">
        <v>51</v>
      </c>
    </row>
    <row r="238" spans="1:15">
      <c r="A238" s="14" t="s">
        <v>13</v>
      </c>
      <c r="B238" s="14" t="s">
        <v>4938</v>
      </c>
      <c r="C238" s="14" t="s">
        <v>4939</v>
      </c>
      <c r="D238" s="14" t="s">
        <v>5176</v>
      </c>
      <c r="E238" s="14">
        <v>119</v>
      </c>
      <c r="F238" s="14" t="s">
        <v>5181</v>
      </c>
      <c r="G238" s="14" t="s">
        <v>5182</v>
      </c>
      <c r="H238" s="14"/>
      <c r="I238" s="14" t="s">
        <v>96</v>
      </c>
      <c r="J238" s="11" t="str">
        <f>HYPERLINK("https://www.codechef.com/problems/JAVAMCQ123", "https://www.codechef.com/problems/JAVAMCQ123")</f>
        <v>https://www.codechef.com/problems/JAVAMCQ123</v>
      </c>
      <c r="K238" s="14"/>
      <c r="L238" s="14"/>
      <c r="M238" s="14"/>
      <c r="N238" s="14" t="s">
        <v>50</v>
      </c>
      <c r="O238" s="14" t="s">
        <v>51</v>
      </c>
    </row>
    <row r="239" spans="1:15">
      <c r="A239" s="15" t="s">
        <v>13</v>
      </c>
      <c r="B239" s="15" t="s">
        <v>4938</v>
      </c>
      <c r="C239" s="15" t="s">
        <v>4939</v>
      </c>
      <c r="D239" s="15" t="s">
        <v>5176</v>
      </c>
      <c r="E239" s="15">
        <v>120</v>
      </c>
      <c r="F239" s="15" t="s">
        <v>5183</v>
      </c>
      <c r="G239" s="15" t="s">
        <v>5184</v>
      </c>
      <c r="H239" s="15"/>
      <c r="I239" s="15" t="s">
        <v>49</v>
      </c>
      <c r="J239" s="7" t="str">
        <f>HYPERLINK("https://www.codechef.com/problems/JAVAMCQ124", "https://www.codechef.com/problems/JAVAMCQ124")</f>
        <v>https://www.codechef.com/problems/JAVAMCQ124</v>
      </c>
      <c r="K239" s="15"/>
      <c r="L239" s="15"/>
      <c r="M239" s="15"/>
      <c r="N239" s="15" t="s">
        <v>50</v>
      </c>
      <c r="O239" s="15" t="s">
        <v>51</v>
      </c>
    </row>
    <row r="240" spans="1:15">
      <c r="A240" s="14" t="s">
        <v>13</v>
      </c>
      <c r="B240" s="14" t="s">
        <v>4938</v>
      </c>
      <c r="C240" s="14" t="s">
        <v>4939</v>
      </c>
      <c r="D240" s="14" t="s">
        <v>5176</v>
      </c>
      <c r="E240" s="14">
        <v>121</v>
      </c>
      <c r="F240" s="14" t="s">
        <v>5185</v>
      </c>
      <c r="G240" s="14" t="s">
        <v>5186</v>
      </c>
      <c r="H240" s="14"/>
      <c r="I240" s="14" t="s">
        <v>49</v>
      </c>
      <c r="J240" s="11" t="str">
        <f>HYPERLINK("https://www.codechef.com/problems/JAVAMCQ125", "https://www.codechef.com/problems/JAVAMCQ125")</f>
        <v>https://www.codechef.com/problems/JAVAMCQ125</v>
      </c>
      <c r="K240" s="14"/>
      <c r="L240" s="14"/>
      <c r="M240" s="14"/>
      <c r="N240" s="14" t="s">
        <v>50</v>
      </c>
      <c r="O240" s="14" t="s">
        <v>51</v>
      </c>
    </row>
    <row r="241" spans="1:15">
      <c r="A241" s="15" t="s">
        <v>13</v>
      </c>
      <c r="B241" s="15" t="s">
        <v>4938</v>
      </c>
      <c r="C241" s="15" t="s">
        <v>4939</v>
      </c>
      <c r="D241" s="15" t="s">
        <v>5176</v>
      </c>
      <c r="E241" s="15">
        <v>122</v>
      </c>
      <c r="F241" s="15" t="s">
        <v>5187</v>
      </c>
      <c r="G241" s="15" t="s">
        <v>5188</v>
      </c>
      <c r="H241" s="15"/>
      <c r="I241" s="15" t="s">
        <v>96</v>
      </c>
      <c r="J241" s="7" t="str">
        <f>HYPERLINK("https://www.codechef.com/problems/JAVAMCQ126", "https://www.codechef.com/problems/JAVAMCQ126")</f>
        <v>https://www.codechef.com/problems/JAVAMCQ126</v>
      </c>
      <c r="K241" s="15"/>
      <c r="L241" s="15"/>
      <c r="M241" s="15"/>
      <c r="N241" s="15" t="s">
        <v>50</v>
      </c>
      <c r="O241" s="15" t="s">
        <v>51</v>
      </c>
    </row>
    <row r="242" spans="1:15">
      <c r="A242" s="14" t="s">
        <v>13</v>
      </c>
      <c r="B242" s="14" t="s">
        <v>4938</v>
      </c>
      <c r="C242" s="14" t="s">
        <v>4939</v>
      </c>
      <c r="D242" s="14" t="s">
        <v>5176</v>
      </c>
      <c r="E242" s="14">
        <v>123</v>
      </c>
      <c r="F242" s="14" t="s">
        <v>5189</v>
      </c>
      <c r="G242" s="14" t="s">
        <v>5190</v>
      </c>
      <c r="H242" s="14"/>
      <c r="I242" s="14" t="s">
        <v>49</v>
      </c>
      <c r="J242" s="11" t="str">
        <f>HYPERLINK("https://www.codechef.com/problems/JAVAMCQ127", "https://www.codechef.com/problems/JAVAMCQ127")</f>
        <v>https://www.codechef.com/problems/JAVAMCQ127</v>
      </c>
      <c r="K242" s="14"/>
      <c r="L242" s="14"/>
      <c r="M242" s="14"/>
      <c r="N242" s="14" t="s">
        <v>50</v>
      </c>
      <c r="O242" s="14" t="s">
        <v>51</v>
      </c>
    </row>
    <row r="243" spans="1:15">
      <c r="A243" s="15" t="s">
        <v>13</v>
      </c>
      <c r="B243" s="15" t="s">
        <v>4938</v>
      </c>
      <c r="C243" s="15" t="s">
        <v>4939</v>
      </c>
      <c r="D243" s="15" t="s">
        <v>5176</v>
      </c>
      <c r="E243" s="15">
        <v>124</v>
      </c>
      <c r="F243" s="15" t="s">
        <v>5191</v>
      </c>
      <c r="G243" s="15" t="s">
        <v>5192</v>
      </c>
      <c r="H243" s="15"/>
      <c r="I243" s="15" t="s">
        <v>49</v>
      </c>
      <c r="J243" s="7" t="str">
        <f>HYPERLINK("https://www.codechef.com/problems/JAVAMCQ128", "https://www.codechef.com/problems/JAVAMCQ128")</f>
        <v>https://www.codechef.com/problems/JAVAMCQ128</v>
      </c>
      <c r="K243" s="15"/>
      <c r="L243" s="15"/>
      <c r="M243" s="15"/>
      <c r="N243" s="15" t="s">
        <v>50</v>
      </c>
      <c r="O243" s="15" t="s">
        <v>51</v>
      </c>
    </row>
    <row r="244" spans="1:15">
      <c r="A244" s="14" t="s">
        <v>13</v>
      </c>
      <c r="B244" s="14" t="s">
        <v>4938</v>
      </c>
      <c r="C244" s="14" t="s">
        <v>4939</v>
      </c>
      <c r="D244" s="14" t="s">
        <v>5176</v>
      </c>
      <c r="E244" s="14">
        <v>125</v>
      </c>
      <c r="F244" s="14" t="s">
        <v>5193</v>
      </c>
      <c r="G244" s="14" t="s">
        <v>5194</v>
      </c>
      <c r="H244" s="14"/>
      <c r="I244" s="14" t="s">
        <v>49</v>
      </c>
      <c r="J244" s="11" t="str">
        <f>HYPERLINK("https://www.codechef.com/problems/JAVAMCQ129", "https://www.codechef.com/problems/JAVAMCQ129")</f>
        <v>https://www.codechef.com/problems/JAVAMCQ129</v>
      </c>
      <c r="K244" s="14"/>
      <c r="L244" s="14"/>
      <c r="M244" s="14"/>
      <c r="N244" s="14" t="s">
        <v>50</v>
      </c>
      <c r="O244" s="14" t="s">
        <v>51</v>
      </c>
    </row>
    <row r="245" spans="1:15">
      <c r="A245" s="15" t="s">
        <v>13</v>
      </c>
      <c r="B245" s="15" t="s">
        <v>4938</v>
      </c>
      <c r="C245" s="15" t="s">
        <v>4939</v>
      </c>
      <c r="D245" s="15" t="s">
        <v>5176</v>
      </c>
      <c r="E245" s="15">
        <v>126</v>
      </c>
      <c r="F245" s="15" t="s">
        <v>5195</v>
      </c>
      <c r="G245" s="15" t="s">
        <v>5196</v>
      </c>
      <c r="H245" s="15"/>
      <c r="I245" s="15" t="s">
        <v>49</v>
      </c>
      <c r="J245" s="7" t="str">
        <f>HYPERLINK("https://www.codechef.com/problems/JAVAMCQ130", "https://www.codechef.com/problems/JAVAMCQ130")</f>
        <v>https://www.codechef.com/problems/JAVAMCQ130</v>
      </c>
      <c r="K245" s="15"/>
      <c r="L245" s="15"/>
      <c r="M245" s="15"/>
      <c r="N245" s="15" t="s">
        <v>50</v>
      </c>
      <c r="O245" s="15" t="s">
        <v>51</v>
      </c>
    </row>
    <row r="246" spans="1:15">
      <c r="A246" s="14" t="s">
        <v>13</v>
      </c>
      <c r="B246" s="14" t="s">
        <v>4938</v>
      </c>
      <c r="C246" s="14" t="s">
        <v>4939</v>
      </c>
      <c r="D246" s="14" t="s">
        <v>5197</v>
      </c>
      <c r="E246" s="14">
        <v>127</v>
      </c>
      <c r="F246" s="14" t="s">
        <v>5198</v>
      </c>
      <c r="G246" s="14" t="s">
        <v>5199</v>
      </c>
      <c r="H246" s="14"/>
      <c r="I246" s="14" t="s">
        <v>49</v>
      </c>
      <c r="J246" s="11" t="str">
        <f>HYPERLINK("https://www.codechef.com/problems/JAVAMCQ131", "https://www.codechef.com/problems/JAVAMCQ131")</f>
        <v>https://www.codechef.com/problems/JAVAMCQ131</v>
      </c>
      <c r="K246" s="14"/>
      <c r="L246" s="14"/>
      <c r="M246" s="14"/>
      <c r="N246" s="14" t="s">
        <v>50</v>
      </c>
      <c r="O246" s="14" t="s">
        <v>51</v>
      </c>
    </row>
    <row r="247" spans="1:15">
      <c r="A247" s="15" t="s">
        <v>13</v>
      </c>
      <c r="B247" s="15" t="s">
        <v>4938</v>
      </c>
      <c r="C247" s="15" t="s">
        <v>4939</v>
      </c>
      <c r="D247" s="15" t="s">
        <v>5197</v>
      </c>
      <c r="E247" s="15">
        <v>128</v>
      </c>
      <c r="F247" s="15" t="s">
        <v>5200</v>
      </c>
      <c r="G247" s="15" t="s">
        <v>5201</v>
      </c>
      <c r="H247" s="15"/>
      <c r="I247" s="15" t="s">
        <v>49</v>
      </c>
      <c r="J247" s="7" t="str">
        <f>HYPERLINK("https://www.codechef.com/problems/JAVAMCQ132", "https://www.codechef.com/problems/JAVAMCQ132")</f>
        <v>https://www.codechef.com/problems/JAVAMCQ132</v>
      </c>
      <c r="K247" s="15"/>
      <c r="L247" s="15"/>
      <c r="M247" s="15"/>
      <c r="N247" s="15" t="s">
        <v>50</v>
      </c>
      <c r="O247" s="15" t="s">
        <v>51</v>
      </c>
    </row>
    <row r="248" spans="1:15">
      <c r="A248" s="14" t="s">
        <v>13</v>
      </c>
      <c r="B248" s="14" t="s">
        <v>4938</v>
      </c>
      <c r="C248" s="14" t="s">
        <v>4939</v>
      </c>
      <c r="D248" s="14" t="s">
        <v>5197</v>
      </c>
      <c r="E248" s="14">
        <v>129</v>
      </c>
      <c r="F248" s="14" t="s">
        <v>5202</v>
      </c>
      <c r="G248" s="14" t="s">
        <v>5203</v>
      </c>
      <c r="H248" s="14"/>
      <c r="I248" s="14" t="s">
        <v>49</v>
      </c>
      <c r="J248" s="11" t="str">
        <f>HYPERLINK("https://www.codechef.com/problems/JAVAMCQ133", "https://www.codechef.com/problems/JAVAMCQ133")</f>
        <v>https://www.codechef.com/problems/JAVAMCQ133</v>
      </c>
      <c r="K248" s="14"/>
      <c r="L248" s="14"/>
      <c r="M248" s="14"/>
      <c r="N248" s="14" t="s">
        <v>50</v>
      </c>
      <c r="O248" s="14" t="s">
        <v>51</v>
      </c>
    </row>
    <row r="249" spans="1:15">
      <c r="A249" s="15" t="s">
        <v>13</v>
      </c>
      <c r="B249" s="15" t="s">
        <v>4938</v>
      </c>
      <c r="C249" s="15" t="s">
        <v>4939</v>
      </c>
      <c r="D249" s="15" t="s">
        <v>5197</v>
      </c>
      <c r="E249" s="15">
        <v>130</v>
      </c>
      <c r="F249" s="15" t="s">
        <v>5204</v>
      </c>
      <c r="G249" s="15" t="s">
        <v>5205</v>
      </c>
      <c r="H249" s="15"/>
      <c r="I249" s="15" t="s">
        <v>49</v>
      </c>
      <c r="J249" s="7" t="str">
        <f>HYPERLINK("https://www.codechef.com/problems/JAVAMCQ134", "https://www.codechef.com/problems/JAVAMCQ134")</f>
        <v>https://www.codechef.com/problems/JAVAMCQ134</v>
      </c>
      <c r="K249" s="15"/>
      <c r="L249" s="15"/>
      <c r="M249" s="15"/>
      <c r="N249" s="15" t="s">
        <v>50</v>
      </c>
      <c r="O249" s="15" t="s">
        <v>51</v>
      </c>
    </row>
    <row r="250" spans="1:15">
      <c r="A250" s="14" t="s">
        <v>13</v>
      </c>
      <c r="B250" s="14" t="s">
        <v>4938</v>
      </c>
      <c r="C250" s="14" t="s">
        <v>4939</v>
      </c>
      <c r="D250" s="14" t="s">
        <v>5197</v>
      </c>
      <c r="E250" s="14">
        <v>131</v>
      </c>
      <c r="F250" s="14" t="s">
        <v>5206</v>
      </c>
      <c r="G250" s="14" t="s">
        <v>5207</v>
      </c>
      <c r="H250" s="14"/>
      <c r="I250" s="14" t="s">
        <v>49</v>
      </c>
      <c r="J250" s="11" t="str">
        <f>HYPERLINK("https://www.codechef.com/problems/JAVAMCQ135", "https://www.codechef.com/problems/JAVAMCQ135")</f>
        <v>https://www.codechef.com/problems/JAVAMCQ135</v>
      </c>
      <c r="K250" s="14"/>
      <c r="L250" s="14"/>
      <c r="M250" s="14"/>
      <c r="N250" s="14" t="s">
        <v>50</v>
      </c>
      <c r="O250" s="14" t="s">
        <v>51</v>
      </c>
    </row>
    <row r="251" spans="1:15">
      <c r="A251" s="15" t="s">
        <v>13</v>
      </c>
      <c r="B251" s="15" t="s">
        <v>4938</v>
      </c>
      <c r="C251" s="15" t="s">
        <v>4939</v>
      </c>
      <c r="D251" s="15" t="s">
        <v>5197</v>
      </c>
      <c r="E251" s="15">
        <v>132</v>
      </c>
      <c r="F251" s="15" t="s">
        <v>5208</v>
      </c>
      <c r="G251" s="15" t="s">
        <v>5209</v>
      </c>
      <c r="H251" s="15"/>
      <c r="I251" s="15" t="s">
        <v>96</v>
      </c>
      <c r="J251" s="7" t="str">
        <f>HYPERLINK("https://www.codechef.com/problems/JAVAMCQ136", "https://www.codechef.com/problems/JAVAMCQ136")</f>
        <v>https://www.codechef.com/problems/JAVAMCQ136</v>
      </c>
      <c r="K251" s="15"/>
      <c r="L251" s="15"/>
      <c r="M251" s="15"/>
      <c r="N251" s="15" t="s">
        <v>50</v>
      </c>
      <c r="O251" s="15" t="s">
        <v>51</v>
      </c>
    </row>
    <row r="252" spans="1:15">
      <c r="A252" s="14" t="s">
        <v>13</v>
      </c>
      <c r="B252" s="14" t="s">
        <v>4938</v>
      </c>
      <c r="C252" s="14" t="s">
        <v>4939</v>
      </c>
      <c r="D252" s="14" t="s">
        <v>5197</v>
      </c>
      <c r="E252" s="14">
        <v>133</v>
      </c>
      <c r="F252" s="14" t="s">
        <v>5210</v>
      </c>
      <c r="G252" s="14" t="s">
        <v>5211</v>
      </c>
      <c r="H252" s="14"/>
      <c r="I252" s="14" t="s">
        <v>49</v>
      </c>
      <c r="J252" s="11" t="str">
        <f>HYPERLINK("https://www.codechef.com/problems/JAVAMCQ137", "https://www.codechef.com/problems/JAVAMCQ137")</f>
        <v>https://www.codechef.com/problems/JAVAMCQ137</v>
      </c>
      <c r="K252" s="14"/>
      <c r="L252" s="14"/>
      <c r="M252" s="14"/>
      <c r="N252" s="14" t="s">
        <v>50</v>
      </c>
      <c r="O252" s="14" t="s">
        <v>51</v>
      </c>
    </row>
    <row r="253" spans="1:15">
      <c r="A253" s="15" t="s">
        <v>13</v>
      </c>
      <c r="B253" s="15" t="s">
        <v>4938</v>
      </c>
      <c r="C253" s="15" t="s">
        <v>4939</v>
      </c>
      <c r="D253" s="15" t="s">
        <v>5197</v>
      </c>
      <c r="E253" s="15">
        <v>134</v>
      </c>
      <c r="F253" s="15" t="s">
        <v>5212</v>
      </c>
      <c r="G253" s="15" t="s">
        <v>5213</v>
      </c>
      <c r="H253" s="15"/>
      <c r="I253" s="15" t="s">
        <v>49</v>
      </c>
      <c r="J253" s="7" t="str">
        <f>HYPERLINK("https://www.codechef.com/problems/JAVAMCQ138", "https://www.codechef.com/problems/JAVAMCQ138")</f>
        <v>https://www.codechef.com/problems/JAVAMCQ138</v>
      </c>
      <c r="K253" s="15"/>
      <c r="L253" s="15"/>
      <c r="M253" s="15"/>
      <c r="N253" s="15" t="s">
        <v>50</v>
      </c>
      <c r="O253" s="15" t="s">
        <v>51</v>
      </c>
    </row>
    <row r="254" spans="1:15">
      <c r="A254" s="14" t="s">
        <v>13</v>
      </c>
      <c r="B254" s="14" t="s">
        <v>4938</v>
      </c>
      <c r="C254" s="14" t="s">
        <v>4939</v>
      </c>
      <c r="D254" s="14" t="s">
        <v>5197</v>
      </c>
      <c r="E254" s="14">
        <v>135</v>
      </c>
      <c r="F254" s="14" t="s">
        <v>5214</v>
      </c>
      <c r="G254" s="14" t="s">
        <v>5215</v>
      </c>
      <c r="H254" s="14"/>
      <c r="I254" s="14" t="s">
        <v>96</v>
      </c>
      <c r="J254" s="11" t="str">
        <f>HYPERLINK("https://www.codechef.com/problems/JAVAMCQ139", "https://www.codechef.com/problems/JAVAMCQ139")</f>
        <v>https://www.codechef.com/problems/JAVAMCQ139</v>
      </c>
      <c r="K254" s="14"/>
      <c r="L254" s="14"/>
      <c r="M254" s="14"/>
      <c r="N254" s="14" t="s">
        <v>50</v>
      </c>
      <c r="O254" s="14" t="s">
        <v>51</v>
      </c>
    </row>
    <row r="255" spans="1:15">
      <c r="A255" s="15" t="s">
        <v>13</v>
      </c>
      <c r="B255" s="15" t="s">
        <v>4938</v>
      </c>
      <c r="C255" s="15" t="s">
        <v>4939</v>
      </c>
      <c r="D255" s="15" t="s">
        <v>5197</v>
      </c>
      <c r="E255" s="15">
        <v>136</v>
      </c>
      <c r="F255" s="15" t="s">
        <v>5216</v>
      </c>
      <c r="G255" s="15" t="s">
        <v>5217</v>
      </c>
      <c r="H255" s="15"/>
      <c r="I255" s="15" t="s">
        <v>49</v>
      </c>
      <c r="J255" s="7" t="str">
        <f>HYPERLINK("https://www.codechef.com/problems/JAVAMCQ140", "https://www.codechef.com/problems/JAVAMCQ140")</f>
        <v>https://www.codechef.com/problems/JAVAMCQ140</v>
      </c>
      <c r="K255" s="15"/>
      <c r="L255" s="15"/>
      <c r="M255" s="15"/>
      <c r="N255" s="15" t="s">
        <v>50</v>
      </c>
      <c r="O255" s="15" t="s">
        <v>51</v>
      </c>
    </row>
    <row r="256" spans="1:15">
      <c r="A256" s="14" t="s">
        <v>13</v>
      </c>
      <c r="B256" s="14" t="s">
        <v>4938</v>
      </c>
      <c r="C256" s="14" t="s">
        <v>4939</v>
      </c>
      <c r="D256" s="14" t="s">
        <v>5218</v>
      </c>
      <c r="E256" s="14">
        <v>137</v>
      </c>
      <c r="F256" s="14" t="s">
        <v>5219</v>
      </c>
      <c r="G256" s="14" t="s">
        <v>5220</v>
      </c>
      <c r="H256" s="14"/>
      <c r="I256" s="14" t="s">
        <v>49</v>
      </c>
      <c r="J256" s="11" t="str">
        <f>HYPERLINK("https://www.codechef.com/problems/JAVAMCQ141", "https://www.codechef.com/problems/JAVAMCQ141")</f>
        <v>https://www.codechef.com/problems/JAVAMCQ141</v>
      </c>
      <c r="K256" s="14"/>
      <c r="L256" s="14"/>
      <c r="M256" s="14"/>
      <c r="N256" s="14" t="s">
        <v>50</v>
      </c>
      <c r="O256" s="14" t="s">
        <v>51</v>
      </c>
    </row>
    <row r="257" spans="1:15">
      <c r="A257" s="15" t="s">
        <v>13</v>
      </c>
      <c r="B257" s="15" t="s">
        <v>4938</v>
      </c>
      <c r="C257" s="15" t="s">
        <v>4939</v>
      </c>
      <c r="D257" s="15" t="s">
        <v>5218</v>
      </c>
      <c r="E257" s="15">
        <v>138</v>
      </c>
      <c r="F257" s="15" t="s">
        <v>5221</v>
      </c>
      <c r="G257" s="15" t="s">
        <v>5222</v>
      </c>
      <c r="H257" s="15"/>
      <c r="I257" s="15" t="s">
        <v>49</v>
      </c>
      <c r="J257" s="7" t="str">
        <f>HYPERLINK("https://www.codechef.com/problems/JAVAMCQ142", "https://www.codechef.com/problems/JAVAMCQ142")</f>
        <v>https://www.codechef.com/problems/JAVAMCQ142</v>
      </c>
      <c r="K257" s="15"/>
      <c r="L257" s="15"/>
      <c r="M257" s="15"/>
      <c r="N257" s="15" t="s">
        <v>50</v>
      </c>
      <c r="O257" s="15" t="s">
        <v>51</v>
      </c>
    </row>
    <row r="258" spans="1:15">
      <c r="A258" s="14" t="s">
        <v>13</v>
      </c>
      <c r="B258" s="14" t="s">
        <v>4938</v>
      </c>
      <c r="C258" s="14" t="s">
        <v>4939</v>
      </c>
      <c r="D258" s="14" t="s">
        <v>5218</v>
      </c>
      <c r="E258" s="14">
        <v>139</v>
      </c>
      <c r="F258" s="14" t="s">
        <v>5223</v>
      </c>
      <c r="G258" s="14" t="s">
        <v>5224</v>
      </c>
      <c r="H258" s="14"/>
      <c r="I258" s="14" t="s">
        <v>49</v>
      </c>
      <c r="J258" s="11" t="str">
        <f>HYPERLINK("https://www.codechef.com/problems/JAVAMCQ143", "https://www.codechef.com/problems/JAVAMCQ143")</f>
        <v>https://www.codechef.com/problems/JAVAMCQ143</v>
      </c>
      <c r="K258" s="14"/>
      <c r="L258" s="14"/>
      <c r="M258" s="14"/>
      <c r="N258" s="14" t="s">
        <v>50</v>
      </c>
      <c r="O258" s="14" t="s">
        <v>51</v>
      </c>
    </row>
    <row r="259" spans="1:15">
      <c r="A259" s="15" t="s">
        <v>13</v>
      </c>
      <c r="B259" s="15" t="s">
        <v>4938</v>
      </c>
      <c r="C259" s="15" t="s">
        <v>4939</v>
      </c>
      <c r="D259" s="15" t="s">
        <v>5218</v>
      </c>
      <c r="E259" s="15">
        <v>140</v>
      </c>
      <c r="F259" s="15" t="s">
        <v>5225</v>
      </c>
      <c r="G259" s="15" t="s">
        <v>5226</v>
      </c>
      <c r="H259" s="15"/>
      <c r="I259" s="15" t="s">
        <v>49</v>
      </c>
      <c r="J259" s="7" t="str">
        <f>HYPERLINK("https://www.codechef.com/problems/JAVAMCQ144", "https://www.codechef.com/problems/JAVAMCQ144")</f>
        <v>https://www.codechef.com/problems/JAVAMCQ144</v>
      </c>
      <c r="K259" s="15"/>
      <c r="L259" s="15"/>
      <c r="M259" s="15"/>
      <c r="N259" s="15" t="s">
        <v>50</v>
      </c>
      <c r="O259" s="15" t="s">
        <v>51</v>
      </c>
    </row>
    <row r="260" spans="1:15">
      <c r="A260" s="14" t="s">
        <v>13</v>
      </c>
      <c r="B260" s="14" t="s">
        <v>4938</v>
      </c>
      <c r="C260" s="14" t="s">
        <v>4939</v>
      </c>
      <c r="D260" s="14" t="s">
        <v>5218</v>
      </c>
      <c r="E260" s="14">
        <v>141</v>
      </c>
      <c r="F260" s="14" t="s">
        <v>5227</v>
      </c>
      <c r="G260" s="14" t="s">
        <v>5228</v>
      </c>
      <c r="H260" s="14"/>
      <c r="I260" s="14" t="s">
        <v>49</v>
      </c>
      <c r="J260" s="11" t="str">
        <f>HYPERLINK("https://www.codechef.com/problems/JAVAMCQ145", "https://www.codechef.com/problems/JAVAMCQ145")</f>
        <v>https://www.codechef.com/problems/JAVAMCQ145</v>
      </c>
      <c r="K260" s="14"/>
      <c r="L260" s="14"/>
      <c r="M260" s="14"/>
      <c r="N260" s="14" t="s">
        <v>50</v>
      </c>
      <c r="O260" s="14" t="s">
        <v>51</v>
      </c>
    </row>
    <row r="261" spans="1:15">
      <c r="A261" s="15" t="s">
        <v>13</v>
      </c>
      <c r="B261" s="15" t="s">
        <v>4938</v>
      </c>
      <c r="C261" s="15" t="s">
        <v>4939</v>
      </c>
      <c r="D261" s="15" t="s">
        <v>5218</v>
      </c>
      <c r="E261" s="15">
        <v>142</v>
      </c>
      <c r="F261" s="15" t="s">
        <v>5229</v>
      </c>
      <c r="G261" s="15" t="s">
        <v>5230</v>
      </c>
      <c r="H261" s="15"/>
      <c r="I261" s="15" t="s">
        <v>49</v>
      </c>
      <c r="J261" s="7" t="str">
        <f>HYPERLINK("https://www.codechef.com/problems/JAVAMCQ146", "https://www.codechef.com/problems/JAVAMCQ146")</f>
        <v>https://www.codechef.com/problems/JAVAMCQ146</v>
      </c>
      <c r="K261" s="15"/>
      <c r="L261" s="15"/>
      <c r="M261" s="15"/>
      <c r="N261" s="15" t="s">
        <v>50</v>
      </c>
      <c r="O261" s="15" t="s">
        <v>51</v>
      </c>
    </row>
    <row r="262" spans="1:15">
      <c r="A262" s="14" t="s">
        <v>13</v>
      </c>
      <c r="B262" s="14" t="s">
        <v>4938</v>
      </c>
      <c r="C262" s="14" t="s">
        <v>4939</v>
      </c>
      <c r="D262" s="14" t="s">
        <v>5218</v>
      </c>
      <c r="E262" s="14">
        <v>143</v>
      </c>
      <c r="F262" s="14" t="s">
        <v>5231</v>
      </c>
      <c r="G262" s="14" t="s">
        <v>5232</v>
      </c>
      <c r="H262" s="14"/>
      <c r="I262" s="14" t="s">
        <v>96</v>
      </c>
      <c r="J262" s="11" t="str">
        <f>HYPERLINK("https://www.codechef.com/problems/JAVAMCQ147", "https://www.codechef.com/problems/JAVAMCQ147")</f>
        <v>https://www.codechef.com/problems/JAVAMCQ147</v>
      </c>
      <c r="K262" s="14"/>
      <c r="L262" s="14"/>
      <c r="M262" s="14"/>
      <c r="N262" s="14" t="s">
        <v>50</v>
      </c>
      <c r="O262" s="14" t="s">
        <v>51</v>
      </c>
    </row>
    <row r="263" spans="1:15">
      <c r="A263" s="15" t="s">
        <v>13</v>
      </c>
      <c r="B263" s="15" t="s">
        <v>4938</v>
      </c>
      <c r="C263" s="15" t="s">
        <v>4939</v>
      </c>
      <c r="D263" s="15" t="s">
        <v>5218</v>
      </c>
      <c r="E263" s="15">
        <v>144</v>
      </c>
      <c r="F263" s="15" t="s">
        <v>5233</v>
      </c>
      <c r="G263" s="15" t="s">
        <v>5234</v>
      </c>
      <c r="H263" s="15"/>
      <c r="I263" s="15" t="s">
        <v>49</v>
      </c>
      <c r="J263" s="7" t="str">
        <f>HYPERLINK("https://www.codechef.com/problems/JAVAMCQ148", "https://www.codechef.com/problems/JAVAMCQ148")</f>
        <v>https://www.codechef.com/problems/JAVAMCQ148</v>
      </c>
      <c r="K263" s="15"/>
      <c r="L263" s="15"/>
      <c r="M263" s="15"/>
      <c r="N263" s="15" t="s">
        <v>50</v>
      </c>
      <c r="O263" s="15" t="s">
        <v>51</v>
      </c>
    </row>
    <row r="264" spans="1:15">
      <c r="A264" s="14" t="s">
        <v>13</v>
      </c>
      <c r="B264" s="14" t="s">
        <v>4938</v>
      </c>
      <c r="C264" s="14" t="s">
        <v>4939</v>
      </c>
      <c r="D264" s="14" t="s">
        <v>5218</v>
      </c>
      <c r="E264" s="14">
        <v>145</v>
      </c>
      <c r="F264" s="14" t="s">
        <v>5235</v>
      </c>
      <c r="G264" s="14" t="s">
        <v>5236</v>
      </c>
      <c r="H264" s="14"/>
      <c r="I264" s="14" t="s">
        <v>49</v>
      </c>
      <c r="J264" s="11" t="str">
        <f>HYPERLINK("https://www.codechef.com/problems/JAVAMCQ149", "https://www.codechef.com/problems/JAVAMCQ149")</f>
        <v>https://www.codechef.com/problems/JAVAMCQ149</v>
      </c>
      <c r="K264" s="14"/>
      <c r="L264" s="14"/>
      <c r="M264" s="14"/>
      <c r="N264" s="14" t="s">
        <v>50</v>
      </c>
      <c r="O264" s="14" t="s">
        <v>51</v>
      </c>
    </row>
    <row r="265" spans="1:15">
      <c r="A265" s="15" t="s">
        <v>13</v>
      </c>
      <c r="B265" s="15" t="s">
        <v>4938</v>
      </c>
      <c r="C265" s="15" t="s">
        <v>4939</v>
      </c>
      <c r="D265" s="15" t="s">
        <v>5218</v>
      </c>
      <c r="E265" s="15">
        <v>146</v>
      </c>
      <c r="F265" s="15" t="s">
        <v>5237</v>
      </c>
      <c r="G265" s="15" t="s">
        <v>5238</v>
      </c>
      <c r="H265" s="15"/>
      <c r="I265" s="15" t="s">
        <v>49</v>
      </c>
      <c r="J265" s="7" t="str">
        <f>HYPERLINK("https://www.codechef.com/problems/JAVAMCQ150", "https://www.codechef.com/problems/JAVAMCQ150")</f>
        <v>https://www.codechef.com/problems/JAVAMCQ150</v>
      </c>
      <c r="K265" s="15"/>
      <c r="L265" s="15"/>
      <c r="M265" s="15"/>
      <c r="N265" s="15" t="s">
        <v>50</v>
      </c>
      <c r="O265" s="15" t="s">
        <v>51</v>
      </c>
    </row>
    <row r="266" spans="1:15">
      <c r="A266" s="14" t="s">
        <v>13</v>
      </c>
      <c r="B266" s="14" t="s">
        <v>5239</v>
      </c>
      <c r="C266" s="14" t="s">
        <v>5240</v>
      </c>
      <c r="D266" s="14" t="s">
        <v>5241</v>
      </c>
      <c r="E266" s="14">
        <v>1</v>
      </c>
      <c r="F266" s="14" t="s">
        <v>5242</v>
      </c>
      <c r="G266" s="14" t="s">
        <v>5243</v>
      </c>
      <c r="H266" s="14"/>
      <c r="I266" s="14" t="s">
        <v>49</v>
      </c>
      <c r="J266" s="11" t="str">
        <f>HYPERLINK("https://www.codechef.com/problems/CPPMCQ01", "https://www.codechef.com/problems/CPPMCQ01")</f>
        <v>https://www.codechef.com/problems/CPPMCQ01</v>
      </c>
      <c r="K266" s="14"/>
      <c r="L266" s="14"/>
      <c r="M266" s="14"/>
      <c r="N266" s="14" t="s">
        <v>50</v>
      </c>
      <c r="O266" s="14" t="s">
        <v>51</v>
      </c>
    </row>
    <row r="267" spans="1:15">
      <c r="A267" s="15" t="s">
        <v>13</v>
      </c>
      <c r="B267" s="15" t="s">
        <v>5239</v>
      </c>
      <c r="C267" s="15" t="s">
        <v>5240</v>
      </c>
      <c r="D267" s="15" t="s">
        <v>5241</v>
      </c>
      <c r="E267" s="15">
        <v>2</v>
      </c>
      <c r="F267" s="15" t="s">
        <v>4945</v>
      </c>
      <c r="G267" s="15" t="s">
        <v>5244</v>
      </c>
      <c r="H267" s="15"/>
      <c r="I267" s="15" t="s">
        <v>49</v>
      </c>
      <c r="J267" s="7" t="str">
        <f>HYPERLINK("https://www.codechef.com/problems/CPPMCQ02", "https://www.codechef.com/problems/CPPMCQ02")</f>
        <v>https://www.codechef.com/problems/CPPMCQ02</v>
      </c>
      <c r="K267" s="15"/>
      <c r="L267" s="15"/>
      <c r="M267" s="15"/>
      <c r="N267" s="15" t="s">
        <v>50</v>
      </c>
      <c r="O267" s="15" t="s">
        <v>51</v>
      </c>
    </row>
    <row r="268" spans="1:15">
      <c r="A268" s="14" t="s">
        <v>13</v>
      </c>
      <c r="B268" s="14" t="s">
        <v>5239</v>
      </c>
      <c r="C268" s="14" t="s">
        <v>5240</v>
      </c>
      <c r="D268" s="14" t="s">
        <v>5241</v>
      </c>
      <c r="E268" s="14">
        <v>3</v>
      </c>
      <c r="F268" s="14" t="s">
        <v>5245</v>
      </c>
      <c r="G268" s="14" t="s">
        <v>5246</v>
      </c>
      <c r="H268" s="14"/>
      <c r="I268" s="14" t="s">
        <v>49</v>
      </c>
      <c r="J268" s="11" t="str">
        <f>HYPERLINK("https://www.codechef.com/problems/CPPMCQ03", "https://www.codechef.com/problems/CPPMCQ03")</f>
        <v>https://www.codechef.com/problems/CPPMCQ03</v>
      </c>
      <c r="K268" s="14"/>
      <c r="L268" s="14"/>
      <c r="M268" s="14"/>
      <c r="N268" s="14" t="s">
        <v>50</v>
      </c>
      <c r="O268" s="14" t="s">
        <v>51</v>
      </c>
    </row>
    <row r="269" spans="1:15">
      <c r="A269" s="15" t="s">
        <v>13</v>
      </c>
      <c r="B269" s="15" t="s">
        <v>5239</v>
      </c>
      <c r="C269" s="15" t="s">
        <v>5240</v>
      </c>
      <c r="D269" s="15" t="s">
        <v>5241</v>
      </c>
      <c r="E269" s="15">
        <v>4</v>
      </c>
      <c r="F269" s="15" t="s">
        <v>5247</v>
      </c>
      <c r="G269" s="15" t="s">
        <v>5248</v>
      </c>
      <c r="H269" s="15"/>
      <c r="I269" s="15" t="s">
        <v>49</v>
      </c>
      <c r="J269" s="7" t="str">
        <f>HYPERLINK("https://www.codechef.com/problems/CPPMCQ04", "https://www.codechef.com/problems/CPPMCQ04")</f>
        <v>https://www.codechef.com/problems/CPPMCQ04</v>
      </c>
      <c r="K269" s="15"/>
      <c r="L269" s="15"/>
      <c r="M269" s="15"/>
      <c r="N269" s="15" t="s">
        <v>50</v>
      </c>
      <c r="O269" s="15" t="s">
        <v>51</v>
      </c>
    </row>
    <row r="270" spans="1:15">
      <c r="A270" s="14" t="s">
        <v>13</v>
      </c>
      <c r="B270" s="14" t="s">
        <v>5239</v>
      </c>
      <c r="C270" s="14" t="s">
        <v>5240</v>
      </c>
      <c r="D270" s="14" t="s">
        <v>5241</v>
      </c>
      <c r="E270" s="14">
        <v>5</v>
      </c>
      <c r="F270" s="14" t="s">
        <v>5249</v>
      </c>
      <c r="G270" s="14" t="s">
        <v>5250</v>
      </c>
      <c r="H270" s="14"/>
      <c r="I270" s="14" t="s">
        <v>49</v>
      </c>
      <c r="J270" s="11" t="str">
        <f>HYPERLINK("https://www.codechef.com/problems/CPPMCQ05", "https://www.codechef.com/problems/CPPMCQ05")</f>
        <v>https://www.codechef.com/problems/CPPMCQ05</v>
      </c>
      <c r="K270" s="14"/>
      <c r="L270" s="14"/>
      <c r="M270" s="14"/>
      <c r="N270" s="14" t="s">
        <v>50</v>
      </c>
      <c r="O270" s="14" t="s">
        <v>51</v>
      </c>
    </row>
    <row r="271" spans="1:15">
      <c r="A271" s="15" t="s">
        <v>13</v>
      </c>
      <c r="B271" s="15" t="s">
        <v>5239</v>
      </c>
      <c r="C271" s="15" t="s">
        <v>5240</v>
      </c>
      <c r="D271" s="15" t="s">
        <v>5241</v>
      </c>
      <c r="E271" s="15">
        <v>6</v>
      </c>
      <c r="F271" s="15" t="s">
        <v>5251</v>
      </c>
      <c r="G271" s="15" t="s">
        <v>5252</v>
      </c>
      <c r="H271" s="15"/>
      <c r="I271" s="15" t="s">
        <v>49</v>
      </c>
      <c r="J271" s="7" t="str">
        <f>HYPERLINK("https://www.codechef.com/problems/CPPMCQ06", "https://www.codechef.com/problems/CPPMCQ06")</f>
        <v>https://www.codechef.com/problems/CPPMCQ06</v>
      </c>
      <c r="K271" s="15"/>
      <c r="L271" s="15"/>
      <c r="M271" s="15"/>
      <c r="N271" s="15" t="s">
        <v>50</v>
      </c>
      <c r="O271" s="15" t="s">
        <v>51</v>
      </c>
    </row>
    <row r="272" spans="1:15">
      <c r="A272" s="14" t="s">
        <v>13</v>
      </c>
      <c r="B272" s="14" t="s">
        <v>5239</v>
      </c>
      <c r="C272" s="14" t="s">
        <v>5240</v>
      </c>
      <c r="D272" s="14" t="s">
        <v>5241</v>
      </c>
      <c r="E272" s="14">
        <v>7</v>
      </c>
      <c r="F272" s="14" t="s">
        <v>5253</v>
      </c>
      <c r="G272" s="14" t="s">
        <v>5254</v>
      </c>
      <c r="H272" s="14"/>
      <c r="I272" s="14" t="s">
        <v>49</v>
      </c>
      <c r="J272" s="11" t="str">
        <f>HYPERLINK("https://www.codechef.com/problems/CPPMCQ07", "https://www.codechef.com/problems/CPPMCQ07")</f>
        <v>https://www.codechef.com/problems/CPPMCQ07</v>
      </c>
      <c r="K272" s="14"/>
      <c r="L272" s="14"/>
      <c r="M272" s="14"/>
      <c r="N272" s="14" t="s">
        <v>50</v>
      </c>
      <c r="O272" s="14" t="s">
        <v>51</v>
      </c>
    </row>
    <row r="273" spans="1:15">
      <c r="A273" s="15" t="s">
        <v>13</v>
      </c>
      <c r="B273" s="15" t="s">
        <v>5239</v>
      </c>
      <c r="C273" s="15" t="s">
        <v>5240</v>
      </c>
      <c r="D273" s="15" t="s">
        <v>5241</v>
      </c>
      <c r="E273" s="15">
        <v>8</v>
      </c>
      <c r="F273" s="15" t="s">
        <v>5255</v>
      </c>
      <c r="G273" s="15" t="s">
        <v>5256</v>
      </c>
      <c r="H273" s="15"/>
      <c r="I273" s="15" t="s">
        <v>49</v>
      </c>
      <c r="J273" s="7" t="str">
        <f>HYPERLINK("https://www.codechef.com/problems/CPPMCQ08", "https://www.codechef.com/problems/CPPMCQ08")</f>
        <v>https://www.codechef.com/problems/CPPMCQ08</v>
      </c>
      <c r="K273" s="15"/>
      <c r="L273" s="15"/>
      <c r="M273" s="15"/>
      <c r="N273" s="15" t="s">
        <v>50</v>
      </c>
      <c r="O273" s="15" t="s">
        <v>51</v>
      </c>
    </row>
    <row r="274" spans="1:15">
      <c r="A274" s="14" t="s">
        <v>13</v>
      </c>
      <c r="B274" s="14" t="s">
        <v>5239</v>
      </c>
      <c r="C274" s="14" t="s">
        <v>5240</v>
      </c>
      <c r="D274" s="14" t="s">
        <v>5241</v>
      </c>
      <c r="E274" s="14">
        <v>9</v>
      </c>
      <c r="F274" s="14" t="s">
        <v>5257</v>
      </c>
      <c r="G274" s="14" t="s">
        <v>5258</v>
      </c>
      <c r="H274" s="14"/>
      <c r="I274" s="14" t="s">
        <v>49</v>
      </c>
      <c r="J274" s="11" t="str">
        <f>HYPERLINK("https://www.codechef.com/problems/CPPMCQ09", "https://www.codechef.com/problems/CPPMCQ09")</f>
        <v>https://www.codechef.com/problems/CPPMCQ09</v>
      </c>
      <c r="K274" s="14"/>
      <c r="L274" s="14"/>
      <c r="M274" s="14"/>
      <c r="N274" s="14" t="s">
        <v>50</v>
      </c>
      <c r="O274" s="14" t="s">
        <v>51</v>
      </c>
    </row>
    <row r="275" spans="1:15">
      <c r="A275" s="15" t="s">
        <v>13</v>
      </c>
      <c r="B275" s="15" t="s">
        <v>5239</v>
      </c>
      <c r="C275" s="15" t="s">
        <v>5240</v>
      </c>
      <c r="D275" s="15" t="s">
        <v>5241</v>
      </c>
      <c r="E275" s="15">
        <v>10</v>
      </c>
      <c r="F275" s="15" t="s">
        <v>4979</v>
      </c>
      <c r="G275" s="15" t="s">
        <v>5259</v>
      </c>
      <c r="H275" s="15"/>
      <c r="I275" s="15" t="s">
        <v>49</v>
      </c>
      <c r="J275" s="7" t="str">
        <f>HYPERLINK("https://www.codechef.com/problems/CPPMCQ10", "https://www.codechef.com/problems/CPPMCQ10")</f>
        <v>https://www.codechef.com/problems/CPPMCQ10</v>
      </c>
      <c r="K275" s="15"/>
      <c r="L275" s="15"/>
      <c r="M275" s="15"/>
      <c r="N275" s="15" t="s">
        <v>50</v>
      </c>
      <c r="O275" s="15" t="s">
        <v>51</v>
      </c>
    </row>
    <row r="276" spans="1:15">
      <c r="A276" s="14" t="s">
        <v>13</v>
      </c>
      <c r="B276" s="14" t="s">
        <v>5239</v>
      </c>
      <c r="C276" s="14" t="s">
        <v>5240</v>
      </c>
      <c r="D276" s="14" t="s">
        <v>5260</v>
      </c>
      <c r="E276" s="14">
        <v>11</v>
      </c>
      <c r="F276" s="14" t="s">
        <v>4876</v>
      </c>
      <c r="G276" s="14" t="s">
        <v>5261</v>
      </c>
      <c r="H276" s="14"/>
      <c r="I276" s="14" t="s">
        <v>49</v>
      </c>
      <c r="J276" s="11" t="str">
        <f>HYPERLINK("https://www.codechef.com/problems/CPPMCQ11", "https://www.codechef.com/problems/CPPMCQ11")</f>
        <v>https://www.codechef.com/problems/CPPMCQ11</v>
      </c>
      <c r="K276" s="14"/>
      <c r="L276" s="14"/>
      <c r="M276" s="14"/>
      <c r="N276" s="14" t="s">
        <v>50</v>
      </c>
      <c r="O276" s="14" t="s">
        <v>51</v>
      </c>
    </row>
    <row r="277" spans="1:15">
      <c r="A277" s="15" t="s">
        <v>13</v>
      </c>
      <c r="B277" s="15" t="s">
        <v>5239</v>
      </c>
      <c r="C277" s="15" t="s">
        <v>5240</v>
      </c>
      <c r="D277" s="15" t="s">
        <v>5260</v>
      </c>
      <c r="E277" s="15">
        <v>12</v>
      </c>
      <c r="F277" s="15" t="s">
        <v>4878</v>
      </c>
      <c r="G277" s="15" t="s">
        <v>5262</v>
      </c>
      <c r="H277" s="15"/>
      <c r="I277" s="15" t="s">
        <v>49</v>
      </c>
      <c r="J277" s="7" t="str">
        <f>HYPERLINK("https://www.codechef.com/problems/CPPMCQ12", "https://www.codechef.com/problems/CPPMCQ12")</f>
        <v>https://www.codechef.com/problems/CPPMCQ12</v>
      </c>
      <c r="K277" s="15"/>
      <c r="L277" s="15"/>
      <c r="M277" s="15"/>
      <c r="N277" s="15" t="s">
        <v>50</v>
      </c>
      <c r="O277" s="15" t="s">
        <v>51</v>
      </c>
    </row>
    <row r="278" spans="1:15">
      <c r="A278" s="14" t="s">
        <v>13</v>
      </c>
      <c r="B278" s="14" t="s">
        <v>5239</v>
      </c>
      <c r="C278" s="14" t="s">
        <v>5240</v>
      </c>
      <c r="D278" s="14" t="s">
        <v>5260</v>
      </c>
      <c r="E278" s="14">
        <v>13</v>
      </c>
      <c r="F278" s="14" t="s">
        <v>5263</v>
      </c>
      <c r="G278" s="14" t="s">
        <v>5264</v>
      </c>
      <c r="H278" s="14"/>
      <c r="I278" s="14" t="s">
        <v>49</v>
      </c>
      <c r="J278" s="11" t="str">
        <f>HYPERLINK("https://www.codechef.com/problems/CPPMCQ13", "https://www.codechef.com/problems/CPPMCQ13")</f>
        <v>https://www.codechef.com/problems/CPPMCQ13</v>
      </c>
      <c r="K278" s="14"/>
      <c r="L278" s="14"/>
      <c r="M278" s="14"/>
      <c r="N278" s="14" t="s">
        <v>50</v>
      </c>
      <c r="O278" s="14" t="s">
        <v>51</v>
      </c>
    </row>
    <row r="279" spans="1:15">
      <c r="A279" s="15" t="s">
        <v>13</v>
      </c>
      <c r="B279" s="15" t="s">
        <v>5239</v>
      </c>
      <c r="C279" s="15" t="s">
        <v>5240</v>
      </c>
      <c r="D279" s="15" t="s">
        <v>5260</v>
      </c>
      <c r="E279" s="15">
        <v>14</v>
      </c>
      <c r="F279" s="15" t="s">
        <v>4880</v>
      </c>
      <c r="G279" s="15" t="s">
        <v>5265</v>
      </c>
      <c r="H279" s="15"/>
      <c r="I279" s="15" t="s">
        <v>49</v>
      </c>
      <c r="J279" s="7" t="str">
        <f>HYPERLINK("https://www.codechef.com/problems/CPPMCQ14", "https://www.codechef.com/problems/CPPMCQ14")</f>
        <v>https://www.codechef.com/problems/CPPMCQ14</v>
      </c>
      <c r="K279" s="15"/>
      <c r="L279" s="15"/>
      <c r="M279" s="15"/>
      <c r="N279" s="15" t="s">
        <v>50</v>
      </c>
      <c r="O279" s="15" t="s">
        <v>51</v>
      </c>
    </row>
    <row r="280" spans="1:15">
      <c r="A280" s="14" t="s">
        <v>13</v>
      </c>
      <c r="B280" s="14" t="s">
        <v>5239</v>
      </c>
      <c r="C280" s="14" t="s">
        <v>5240</v>
      </c>
      <c r="D280" s="14" t="s">
        <v>5260</v>
      </c>
      <c r="E280" s="14">
        <v>15</v>
      </c>
      <c r="F280" s="14" t="s">
        <v>5266</v>
      </c>
      <c r="G280" s="14" t="s">
        <v>5267</v>
      </c>
      <c r="H280" s="14"/>
      <c r="I280" s="14" t="s">
        <v>49</v>
      </c>
      <c r="J280" s="11" t="str">
        <f>HYPERLINK("https://www.codechef.com/problems/CPPMCQ15", "https://www.codechef.com/problems/CPPMCQ15")</f>
        <v>https://www.codechef.com/problems/CPPMCQ15</v>
      </c>
      <c r="K280" s="14"/>
      <c r="L280" s="14"/>
      <c r="M280" s="14"/>
      <c r="N280" s="14" t="s">
        <v>50</v>
      </c>
      <c r="O280" s="14" t="s">
        <v>51</v>
      </c>
    </row>
    <row r="281" spans="1:15">
      <c r="A281" s="15" t="s">
        <v>13</v>
      </c>
      <c r="B281" s="15" t="s">
        <v>5239</v>
      </c>
      <c r="C281" s="15" t="s">
        <v>5240</v>
      </c>
      <c r="D281" s="15" t="s">
        <v>5260</v>
      </c>
      <c r="E281" s="15">
        <v>16</v>
      </c>
      <c r="F281" s="15" t="s">
        <v>5268</v>
      </c>
      <c r="G281" s="15" t="s">
        <v>5269</v>
      </c>
      <c r="H281" s="15"/>
      <c r="I281" s="15" t="s">
        <v>49</v>
      </c>
      <c r="J281" s="7" t="str">
        <f>HYPERLINK("https://www.codechef.com/problems/CPPMCQ16", "https://www.codechef.com/problems/CPPMCQ16")</f>
        <v>https://www.codechef.com/problems/CPPMCQ16</v>
      </c>
      <c r="K281" s="15"/>
      <c r="L281" s="15"/>
      <c r="M281" s="15"/>
      <c r="N281" s="15" t="s">
        <v>50</v>
      </c>
      <c r="O281" s="15" t="s">
        <v>51</v>
      </c>
    </row>
    <row r="282" spans="1:15">
      <c r="A282" s="14" t="s">
        <v>13</v>
      </c>
      <c r="B282" s="14" t="s">
        <v>5239</v>
      </c>
      <c r="C282" s="14" t="s">
        <v>5240</v>
      </c>
      <c r="D282" s="14" t="s">
        <v>5260</v>
      </c>
      <c r="E282" s="14">
        <v>17</v>
      </c>
      <c r="F282" s="14" t="s">
        <v>5270</v>
      </c>
      <c r="G282" s="14" t="s">
        <v>5271</v>
      </c>
      <c r="H282" s="14"/>
      <c r="I282" s="14" t="s">
        <v>49</v>
      </c>
      <c r="J282" s="11" t="str">
        <f>HYPERLINK("https://www.codechef.com/problems/CPPMCQ17", "https://www.codechef.com/problems/CPPMCQ17")</f>
        <v>https://www.codechef.com/problems/CPPMCQ17</v>
      </c>
      <c r="K282" s="14"/>
      <c r="L282" s="14"/>
      <c r="M282" s="14"/>
      <c r="N282" s="14" t="s">
        <v>50</v>
      </c>
      <c r="O282" s="14" t="s">
        <v>51</v>
      </c>
    </row>
    <row r="283" spans="1:15">
      <c r="A283" s="15" t="s">
        <v>13</v>
      </c>
      <c r="B283" s="15" t="s">
        <v>5239</v>
      </c>
      <c r="C283" s="15" t="s">
        <v>5240</v>
      </c>
      <c r="D283" s="15" t="s">
        <v>5260</v>
      </c>
      <c r="E283" s="15">
        <v>18</v>
      </c>
      <c r="F283" s="15" t="s">
        <v>5074</v>
      </c>
      <c r="G283" s="15" t="s">
        <v>5272</v>
      </c>
      <c r="H283" s="15"/>
      <c r="I283" s="15" t="s">
        <v>96</v>
      </c>
      <c r="J283" s="7" t="str">
        <f>HYPERLINK("https://www.codechef.com/problems/CPPMCQ18", "https://www.codechef.com/problems/CPPMCQ18")</f>
        <v>https://www.codechef.com/problems/CPPMCQ18</v>
      </c>
      <c r="K283" s="15"/>
      <c r="L283" s="15"/>
      <c r="M283" s="15"/>
      <c r="N283" s="15" t="s">
        <v>50</v>
      </c>
      <c r="O283" s="15" t="s">
        <v>51</v>
      </c>
    </row>
    <row r="284" spans="1:15">
      <c r="A284" s="14" t="s">
        <v>13</v>
      </c>
      <c r="B284" s="14" t="s">
        <v>5239</v>
      </c>
      <c r="C284" s="14" t="s">
        <v>5240</v>
      </c>
      <c r="D284" s="14" t="s">
        <v>5260</v>
      </c>
      <c r="E284" s="14">
        <v>19</v>
      </c>
      <c r="F284" s="14" t="s">
        <v>5045</v>
      </c>
      <c r="G284" s="14" t="s">
        <v>5273</v>
      </c>
      <c r="H284" s="14"/>
      <c r="I284" s="14" t="s">
        <v>49</v>
      </c>
      <c r="J284" s="11" t="str">
        <f>HYPERLINK("https://www.codechef.com/problems/CPPMCQ19", "https://www.codechef.com/problems/CPPMCQ19")</f>
        <v>https://www.codechef.com/problems/CPPMCQ19</v>
      </c>
      <c r="K284" s="14"/>
      <c r="L284" s="14"/>
      <c r="M284" s="14"/>
      <c r="N284" s="14" t="s">
        <v>50</v>
      </c>
      <c r="O284" s="14" t="s">
        <v>51</v>
      </c>
    </row>
    <row r="285" spans="1:15">
      <c r="A285" s="15" t="s">
        <v>13</v>
      </c>
      <c r="B285" s="15" t="s">
        <v>5239</v>
      </c>
      <c r="C285" s="15" t="s">
        <v>5240</v>
      </c>
      <c r="D285" s="15" t="s">
        <v>5260</v>
      </c>
      <c r="E285" s="15">
        <v>20</v>
      </c>
      <c r="F285" s="15" t="s">
        <v>5274</v>
      </c>
      <c r="G285" s="15" t="s">
        <v>5275</v>
      </c>
      <c r="H285" s="15"/>
      <c r="I285" s="15" t="s">
        <v>49</v>
      </c>
      <c r="J285" s="7" t="str">
        <f>HYPERLINK("https://www.codechef.com/problems/CPPMCQ20", "https://www.codechef.com/problems/CPPMCQ20")</f>
        <v>https://www.codechef.com/problems/CPPMCQ20</v>
      </c>
      <c r="K285" s="15"/>
      <c r="L285" s="15"/>
      <c r="M285" s="15"/>
      <c r="N285" s="15" t="s">
        <v>50</v>
      </c>
      <c r="O285" s="15" t="s">
        <v>51</v>
      </c>
    </row>
    <row r="286" spans="1:15">
      <c r="A286" s="14" t="s">
        <v>13</v>
      </c>
      <c r="B286" s="14" t="s">
        <v>5239</v>
      </c>
      <c r="C286" s="14" t="s">
        <v>5240</v>
      </c>
      <c r="D286" s="14" t="s">
        <v>5276</v>
      </c>
      <c r="E286" s="14">
        <v>21</v>
      </c>
      <c r="F286" s="14" t="s">
        <v>5277</v>
      </c>
      <c r="G286" s="14" t="s">
        <v>5278</v>
      </c>
      <c r="H286" s="14"/>
      <c r="I286" s="14" t="s">
        <v>49</v>
      </c>
      <c r="J286" s="11" t="str">
        <f>HYPERLINK("https://www.codechef.com/problems/CPPMCQ21", "https://www.codechef.com/problems/CPPMCQ21")</f>
        <v>https://www.codechef.com/problems/CPPMCQ21</v>
      </c>
      <c r="K286" s="14"/>
      <c r="L286" s="14"/>
      <c r="M286" s="14"/>
      <c r="N286" s="14" t="s">
        <v>50</v>
      </c>
      <c r="O286" s="14" t="s">
        <v>51</v>
      </c>
    </row>
    <row r="287" spans="1:15">
      <c r="A287" s="15" t="s">
        <v>13</v>
      </c>
      <c r="B287" s="15" t="s">
        <v>5239</v>
      </c>
      <c r="C287" s="15" t="s">
        <v>5240</v>
      </c>
      <c r="D287" s="15" t="s">
        <v>5276</v>
      </c>
      <c r="E287" s="15">
        <v>22</v>
      </c>
      <c r="F287" s="15" t="s">
        <v>5279</v>
      </c>
      <c r="G287" s="15" t="s">
        <v>5280</v>
      </c>
      <c r="H287" s="15"/>
      <c r="I287" s="15" t="s">
        <v>49</v>
      </c>
      <c r="J287" s="7" t="str">
        <f>HYPERLINK("https://www.codechef.com/problems/CPPMCQ22", "https://www.codechef.com/problems/CPPMCQ22")</f>
        <v>https://www.codechef.com/problems/CPPMCQ22</v>
      </c>
      <c r="K287" s="15"/>
      <c r="L287" s="15"/>
      <c r="M287" s="15"/>
      <c r="N287" s="15" t="s">
        <v>50</v>
      </c>
      <c r="O287" s="15" t="s">
        <v>51</v>
      </c>
    </row>
    <row r="288" spans="1:15">
      <c r="A288" s="14" t="s">
        <v>13</v>
      </c>
      <c r="B288" s="14" t="s">
        <v>5239</v>
      </c>
      <c r="C288" s="14" t="s">
        <v>5240</v>
      </c>
      <c r="D288" s="14" t="s">
        <v>5276</v>
      </c>
      <c r="E288" s="14">
        <v>23</v>
      </c>
      <c r="F288" s="14" t="s">
        <v>5281</v>
      </c>
      <c r="G288" s="14" t="s">
        <v>5282</v>
      </c>
      <c r="H288" s="14"/>
      <c r="I288" s="14" t="s">
        <v>49</v>
      </c>
      <c r="J288" s="11" t="str">
        <f>HYPERLINK("https://www.codechef.com/problems/CPPMCQ23", "https://www.codechef.com/problems/CPPMCQ23")</f>
        <v>https://www.codechef.com/problems/CPPMCQ23</v>
      </c>
      <c r="K288" s="14"/>
      <c r="L288" s="14"/>
      <c r="M288" s="14"/>
      <c r="N288" s="14" t="s">
        <v>50</v>
      </c>
      <c r="O288" s="14" t="s">
        <v>51</v>
      </c>
    </row>
    <row r="289" spans="1:15">
      <c r="A289" s="15" t="s">
        <v>13</v>
      </c>
      <c r="B289" s="15" t="s">
        <v>5239</v>
      </c>
      <c r="C289" s="15" t="s">
        <v>5240</v>
      </c>
      <c r="D289" s="15" t="s">
        <v>5276</v>
      </c>
      <c r="E289" s="15">
        <v>24</v>
      </c>
      <c r="F289" s="15" t="s">
        <v>5283</v>
      </c>
      <c r="G289" s="15" t="s">
        <v>5284</v>
      </c>
      <c r="H289" s="15"/>
      <c r="I289" s="15" t="s">
        <v>49</v>
      </c>
      <c r="J289" s="7" t="str">
        <f>HYPERLINK("https://www.codechef.com/problems/CPPMCQ24", "https://www.codechef.com/problems/CPPMCQ24")</f>
        <v>https://www.codechef.com/problems/CPPMCQ24</v>
      </c>
      <c r="K289" s="15"/>
      <c r="L289" s="15"/>
      <c r="M289" s="15"/>
      <c r="N289" s="15" t="s">
        <v>50</v>
      </c>
      <c r="O289" s="15" t="s">
        <v>51</v>
      </c>
    </row>
    <row r="290" spans="1:15">
      <c r="A290" s="14" t="s">
        <v>13</v>
      </c>
      <c r="B290" s="14" t="s">
        <v>5239</v>
      </c>
      <c r="C290" s="14" t="s">
        <v>5240</v>
      </c>
      <c r="D290" s="14" t="s">
        <v>5276</v>
      </c>
      <c r="E290" s="14">
        <v>25</v>
      </c>
      <c r="F290" s="14" t="s">
        <v>5285</v>
      </c>
      <c r="G290" s="14" t="s">
        <v>5286</v>
      </c>
      <c r="H290" s="14"/>
      <c r="I290" s="14" t="s">
        <v>49</v>
      </c>
      <c r="J290" s="11" t="str">
        <f>HYPERLINK("https://www.codechef.com/problems/CPPMCQ25", "https://www.codechef.com/problems/CPPMCQ25")</f>
        <v>https://www.codechef.com/problems/CPPMCQ25</v>
      </c>
      <c r="K290" s="14"/>
      <c r="L290" s="14"/>
      <c r="M290" s="14"/>
      <c r="N290" s="14" t="s">
        <v>50</v>
      </c>
      <c r="O290" s="14" t="s">
        <v>51</v>
      </c>
    </row>
    <row r="291" spans="1:15">
      <c r="A291" s="15" t="s">
        <v>13</v>
      </c>
      <c r="B291" s="15" t="s">
        <v>5239</v>
      </c>
      <c r="C291" s="15" t="s">
        <v>5240</v>
      </c>
      <c r="D291" s="15" t="s">
        <v>5276</v>
      </c>
      <c r="E291" s="15">
        <v>26</v>
      </c>
      <c r="F291" s="15" t="s">
        <v>5287</v>
      </c>
      <c r="G291" s="15" t="s">
        <v>5288</v>
      </c>
      <c r="H291" s="15"/>
      <c r="I291" s="15" t="s">
        <v>49</v>
      </c>
      <c r="J291" s="7" t="str">
        <f>HYPERLINK("https://www.codechef.com/problems/CPPMCQ26", "https://www.codechef.com/problems/CPPMCQ26")</f>
        <v>https://www.codechef.com/problems/CPPMCQ26</v>
      </c>
      <c r="K291" s="15"/>
      <c r="L291" s="15"/>
      <c r="M291" s="15"/>
      <c r="N291" s="15" t="s">
        <v>50</v>
      </c>
      <c r="O291" s="15" t="s">
        <v>51</v>
      </c>
    </row>
    <row r="292" spans="1:15">
      <c r="A292" s="14" t="s">
        <v>13</v>
      </c>
      <c r="B292" s="14" t="s">
        <v>5239</v>
      </c>
      <c r="C292" s="14" t="s">
        <v>5240</v>
      </c>
      <c r="D292" s="14" t="s">
        <v>5276</v>
      </c>
      <c r="E292" s="14">
        <v>27</v>
      </c>
      <c r="F292" s="14" t="s">
        <v>5289</v>
      </c>
      <c r="G292" s="14" t="s">
        <v>5290</v>
      </c>
      <c r="H292" s="14"/>
      <c r="I292" s="14" t="s">
        <v>49</v>
      </c>
      <c r="J292" s="11" t="str">
        <f>HYPERLINK("https://www.codechef.com/problems/CPPMCQ27", "https://www.codechef.com/problems/CPPMCQ27")</f>
        <v>https://www.codechef.com/problems/CPPMCQ27</v>
      </c>
      <c r="K292" s="14"/>
      <c r="L292" s="14"/>
      <c r="M292" s="14"/>
      <c r="N292" s="14" t="s">
        <v>50</v>
      </c>
      <c r="O292" s="14" t="s">
        <v>51</v>
      </c>
    </row>
    <row r="293" spans="1:15">
      <c r="A293" s="15" t="s">
        <v>13</v>
      </c>
      <c r="B293" s="15" t="s">
        <v>5239</v>
      </c>
      <c r="C293" s="15" t="s">
        <v>5240</v>
      </c>
      <c r="D293" s="15" t="s">
        <v>5276</v>
      </c>
      <c r="E293" s="15">
        <v>28</v>
      </c>
      <c r="F293" s="15" t="s">
        <v>5291</v>
      </c>
      <c r="G293" s="15" t="s">
        <v>5292</v>
      </c>
      <c r="H293" s="15"/>
      <c r="I293" s="15" t="s">
        <v>96</v>
      </c>
      <c r="J293" s="7" t="str">
        <f>HYPERLINK("https://www.codechef.com/problems/CPPMCQ28", "https://www.codechef.com/problems/CPPMCQ28")</f>
        <v>https://www.codechef.com/problems/CPPMCQ28</v>
      </c>
      <c r="K293" s="15"/>
      <c r="L293" s="15"/>
      <c r="M293" s="15"/>
      <c r="N293" s="15" t="s">
        <v>50</v>
      </c>
      <c r="O293" s="15" t="s">
        <v>51</v>
      </c>
    </row>
    <row r="294" spans="1:15">
      <c r="A294" s="14" t="s">
        <v>13</v>
      </c>
      <c r="B294" s="14" t="s">
        <v>5239</v>
      </c>
      <c r="C294" s="14" t="s">
        <v>5240</v>
      </c>
      <c r="D294" s="14" t="s">
        <v>5276</v>
      </c>
      <c r="E294" s="14">
        <v>29</v>
      </c>
      <c r="F294" s="14" t="s">
        <v>5293</v>
      </c>
      <c r="G294" s="14" t="s">
        <v>5294</v>
      </c>
      <c r="H294" s="14"/>
      <c r="I294" s="14" t="s">
        <v>96</v>
      </c>
      <c r="J294" s="11" t="str">
        <f>HYPERLINK("https://www.codechef.com/problems/CPPMCQ29", "https://www.codechef.com/problems/CPPMCQ29")</f>
        <v>https://www.codechef.com/problems/CPPMCQ29</v>
      </c>
      <c r="K294" s="14"/>
      <c r="L294" s="14"/>
      <c r="M294" s="14"/>
      <c r="N294" s="14" t="s">
        <v>50</v>
      </c>
      <c r="O294" s="14" t="s">
        <v>51</v>
      </c>
    </row>
    <row r="295" spans="1:15">
      <c r="A295" s="15" t="s">
        <v>13</v>
      </c>
      <c r="B295" s="15" t="s">
        <v>5239</v>
      </c>
      <c r="C295" s="15" t="s">
        <v>5240</v>
      </c>
      <c r="D295" s="15" t="s">
        <v>5276</v>
      </c>
      <c r="E295" s="15">
        <v>30</v>
      </c>
      <c r="F295" s="15" t="s">
        <v>5295</v>
      </c>
      <c r="G295" s="15" t="s">
        <v>5296</v>
      </c>
      <c r="H295" s="15"/>
      <c r="I295" s="15" t="s">
        <v>49</v>
      </c>
      <c r="J295" s="7" t="str">
        <f>HYPERLINK("https://www.codechef.com/problems/CPPMCQ30", "https://www.codechef.com/problems/CPPMCQ30")</f>
        <v>https://www.codechef.com/problems/CPPMCQ30</v>
      </c>
      <c r="K295" s="15"/>
      <c r="L295" s="15"/>
      <c r="M295" s="15"/>
      <c r="N295" s="15" t="s">
        <v>50</v>
      </c>
      <c r="O295" s="15" t="s">
        <v>51</v>
      </c>
    </row>
    <row r="296" spans="1:15">
      <c r="A296" s="14" t="s">
        <v>13</v>
      </c>
      <c r="B296" s="14" t="s">
        <v>5239</v>
      </c>
      <c r="C296" s="14" t="s">
        <v>5240</v>
      </c>
      <c r="D296" s="14" t="s">
        <v>5297</v>
      </c>
      <c r="E296" s="14">
        <v>31</v>
      </c>
      <c r="F296" s="14" t="s">
        <v>5298</v>
      </c>
      <c r="G296" s="14" t="s">
        <v>5299</v>
      </c>
      <c r="H296" s="14"/>
      <c r="I296" s="14" t="s">
        <v>49</v>
      </c>
      <c r="J296" s="11" t="str">
        <f>HYPERLINK("https://www.codechef.com/problems/CPPMCQ31", "https://www.codechef.com/problems/CPPMCQ31")</f>
        <v>https://www.codechef.com/problems/CPPMCQ31</v>
      </c>
      <c r="K296" s="14"/>
      <c r="L296" s="14"/>
      <c r="M296" s="14"/>
      <c r="N296" s="14" t="s">
        <v>50</v>
      </c>
      <c r="O296" s="14" t="s">
        <v>51</v>
      </c>
    </row>
    <row r="297" spans="1:15">
      <c r="A297" s="15" t="s">
        <v>13</v>
      </c>
      <c r="B297" s="15" t="s">
        <v>5239</v>
      </c>
      <c r="C297" s="15" t="s">
        <v>5240</v>
      </c>
      <c r="D297" s="15" t="s">
        <v>5297</v>
      </c>
      <c r="E297" s="15">
        <v>32</v>
      </c>
      <c r="F297" s="15" t="s">
        <v>5300</v>
      </c>
      <c r="G297" s="15" t="s">
        <v>5301</v>
      </c>
      <c r="H297" s="15"/>
      <c r="I297" s="15" t="s">
        <v>49</v>
      </c>
      <c r="J297" s="7" t="str">
        <f>HYPERLINK("https://www.codechef.com/problems/CPPMCQ32", "https://www.codechef.com/problems/CPPMCQ32")</f>
        <v>https://www.codechef.com/problems/CPPMCQ32</v>
      </c>
      <c r="K297" s="15"/>
      <c r="L297" s="15"/>
      <c r="M297" s="15"/>
      <c r="N297" s="15" t="s">
        <v>50</v>
      </c>
      <c r="O297" s="15" t="s">
        <v>51</v>
      </c>
    </row>
    <row r="298" spans="1:15">
      <c r="A298" s="14" t="s">
        <v>13</v>
      </c>
      <c r="B298" s="14" t="s">
        <v>5239</v>
      </c>
      <c r="C298" s="14" t="s">
        <v>5240</v>
      </c>
      <c r="D298" s="14" t="s">
        <v>5297</v>
      </c>
      <c r="E298" s="14">
        <v>33</v>
      </c>
      <c r="F298" s="14" t="s">
        <v>5302</v>
      </c>
      <c r="G298" s="14" t="s">
        <v>5303</v>
      </c>
      <c r="H298" s="14"/>
      <c r="I298" s="14" t="s">
        <v>49</v>
      </c>
      <c r="J298" s="11" t="str">
        <f>HYPERLINK("https://www.codechef.com/problems/CPPMCQ33", "https://www.codechef.com/problems/CPPMCQ33")</f>
        <v>https://www.codechef.com/problems/CPPMCQ33</v>
      </c>
      <c r="K298" s="14"/>
      <c r="L298" s="14"/>
      <c r="M298" s="14"/>
      <c r="N298" s="14" t="s">
        <v>50</v>
      </c>
      <c r="O298" s="14" t="s">
        <v>51</v>
      </c>
    </row>
    <row r="299" spans="1:15">
      <c r="A299" s="15" t="s">
        <v>13</v>
      </c>
      <c r="B299" s="15" t="s">
        <v>5239</v>
      </c>
      <c r="C299" s="15" t="s">
        <v>5240</v>
      </c>
      <c r="D299" s="15" t="s">
        <v>5297</v>
      </c>
      <c r="E299" s="15">
        <v>34</v>
      </c>
      <c r="F299" s="15" t="s">
        <v>5304</v>
      </c>
      <c r="G299" s="15" t="s">
        <v>5305</v>
      </c>
      <c r="H299" s="15"/>
      <c r="I299" s="15" t="s">
        <v>49</v>
      </c>
      <c r="J299" s="7" t="str">
        <f>HYPERLINK("https://www.codechef.com/problems/CPPMCQ34", "https://www.codechef.com/problems/CPPMCQ34")</f>
        <v>https://www.codechef.com/problems/CPPMCQ34</v>
      </c>
      <c r="K299" s="15"/>
      <c r="L299" s="15"/>
      <c r="M299" s="15"/>
      <c r="N299" s="15" t="s">
        <v>50</v>
      </c>
      <c r="O299" s="15" t="s">
        <v>51</v>
      </c>
    </row>
    <row r="300" spans="1:15">
      <c r="A300" s="14" t="s">
        <v>13</v>
      </c>
      <c r="B300" s="14" t="s">
        <v>5239</v>
      </c>
      <c r="C300" s="14" t="s">
        <v>5240</v>
      </c>
      <c r="D300" s="14" t="s">
        <v>5297</v>
      </c>
      <c r="E300" s="14">
        <v>35</v>
      </c>
      <c r="F300" s="14" t="s">
        <v>5088</v>
      </c>
      <c r="G300" s="14" t="s">
        <v>5306</v>
      </c>
      <c r="H300" s="14"/>
      <c r="I300" s="14" t="s">
        <v>49</v>
      </c>
      <c r="J300" s="11" t="str">
        <f>HYPERLINK("https://www.codechef.com/problems/CPPMCQ35", "https://www.codechef.com/problems/CPPMCQ35")</f>
        <v>https://www.codechef.com/problems/CPPMCQ35</v>
      </c>
      <c r="K300" s="14"/>
      <c r="L300" s="14"/>
      <c r="M300" s="14"/>
      <c r="N300" s="14" t="s">
        <v>50</v>
      </c>
      <c r="O300" s="14" t="s">
        <v>51</v>
      </c>
    </row>
    <row r="301" spans="1:15">
      <c r="A301" s="15" t="s">
        <v>13</v>
      </c>
      <c r="B301" s="15" t="s">
        <v>5239</v>
      </c>
      <c r="C301" s="15" t="s">
        <v>5240</v>
      </c>
      <c r="D301" s="15" t="s">
        <v>5297</v>
      </c>
      <c r="E301" s="15">
        <v>36</v>
      </c>
      <c r="F301" s="15" t="s">
        <v>5079</v>
      </c>
      <c r="G301" s="15" t="s">
        <v>5307</v>
      </c>
      <c r="H301" s="15"/>
      <c r="I301" s="15" t="s">
        <v>49</v>
      </c>
      <c r="J301" s="7" t="str">
        <f>HYPERLINK("https://www.codechef.com/problems/CPPMCQ36", "https://www.codechef.com/problems/CPPMCQ36")</f>
        <v>https://www.codechef.com/problems/CPPMCQ36</v>
      </c>
      <c r="K301" s="15"/>
      <c r="L301" s="15"/>
      <c r="M301" s="15"/>
      <c r="N301" s="15" t="s">
        <v>50</v>
      </c>
      <c r="O301" s="15" t="s">
        <v>51</v>
      </c>
    </row>
    <row r="302" spans="1:15">
      <c r="A302" s="14" t="s">
        <v>13</v>
      </c>
      <c r="B302" s="14" t="s">
        <v>5239</v>
      </c>
      <c r="C302" s="14" t="s">
        <v>5240</v>
      </c>
      <c r="D302" s="14" t="s">
        <v>5297</v>
      </c>
      <c r="E302" s="14">
        <v>37</v>
      </c>
      <c r="F302" s="14" t="s">
        <v>5308</v>
      </c>
      <c r="G302" s="14" t="s">
        <v>5309</v>
      </c>
      <c r="H302" s="14"/>
      <c r="I302" s="14" t="s">
        <v>96</v>
      </c>
      <c r="J302" s="11" t="str">
        <f>HYPERLINK("https://www.codechef.com/problems/CPPMCQ37", "https://www.codechef.com/problems/CPPMCQ37")</f>
        <v>https://www.codechef.com/problems/CPPMCQ37</v>
      </c>
      <c r="K302" s="14"/>
      <c r="L302" s="14"/>
      <c r="M302" s="14"/>
      <c r="N302" s="14" t="s">
        <v>50</v>
      </c>
      <c r="O302" s="14" t="s">
        <v>51</v>
      </c>
    </row>
    <row r="303" spans="1:15">
      <c r="A303" s="15" t="s">
        <v>13</v>
      </c>
      <c r="B303" s="15" t="s">
        <v>5239</v>
      </c>
      <c r="C303" s="15" t="s">
        <v>5240</v>
      </c>
      <c r="D303" s="15" t="s">
        <v>5297</v>
      </c>
      <c r="E303" s="15">
        <v>38</v>
      </c>
      <c r="F303" s="15" t="s">
        <v>5310</v>
      </c>
      <c r="G303" s="15" t="s">
        <v>5311</v>
      </c>
      <c r="H303" s="15"/>
      <c r="I303" s="15" t="s">
        <v>49</v>
      </c>
      <c r="J303" s="7" t="str">
        <f>HYPERLINK("https://www.codechef.com/problems/CPPMCQ38", "https://www.codechef.com/problems/CPPMCQ38")</f>
        <v>https://www.codechef.com/problems/CPPMCQ38</v>
      </c>
      <c r="K303" s="15"/>
      <c r="L303" s="15"/>
      <c r="M303" s="15"/>
      <c r="N303" s="15" t="s">
        <v>50</v>
      </c>
      <c r="O303" s="15" t="s">
        <v>51</v>
      </c>
    </row>
    <row r="304" spans="1:15">
      <c r="A304" s="14" t="s">
        <v>13</v>
      </c>
      <c r="B304" s="14" t="s">
        <v>5239</v>
      </c>
      <c r="C304" s="14" t="s">
        <v>5240</v>
      </c>
      <c r="D304" s="14" t="s">
        <v>5297</v>
      </c>
      <c r="E304" s="14">
        <v>39</v>
      </c>
      <c r="F304" s="14" t="s">
        <v>5312</v>
      </c>
      <c r="G304" s="14" t="s">
        <v>5313</v>
      </c>
      <c r="H304" s="14"/>
      <c r="I304" s="14" t="s">
        <v>96</v>
      </c>
      <c r="J304" s="11" t="str">
        <f>HYPERLINK("https://www.codechef.com/problems/CPPMCQ39", "https://www.codechef.com/problems/CPPMCQ39")</f>
        <v>https://www.codechef.com/problems/CPPMCQ39</v>
      </c>
      <c r="K304" s="14"/>
      <c r="L304" s="14"/>
      <c r="M304" s="14"/>
      <c r="N304" s="14" t="s">
        <v>50</v>
      </c>
      <c r="O304" s="14" t="s">
        <v>51</v>
      </c>
    </row>
    <row r="305" spans="1:15">
      <c r="A305" s="15" t="s">
        <v>13</v>
      </c>
      <c r="B305" s="15" t="s">
        <v>5239</v>
      </c>
      <c r="C305" s="15" t="s">
        <v>5240</v>
      </c>
      <c r="D305" s="15" t="s">
        <v>5297</v>
      </c>
      <c r="E305" s="15">
        <v>40</v>
      </c>
      <c r="F305" s="15" t="s">
        <v>5314</v>
      </c>
      <c r="G305" s="15" t="s">
        <v>5315</v>
      </c>
      <c r="H305" s="15"/>
      <c r="I305" s="15" t="s">
        <v>96</v>
      </c>
      <c r="J305" s="7" t="str">
        <f>HYPERLINK("https://www.codechef.com/problems/CPPMCQ40", "https://www.codechef.com/problems/CPPMCQ40")</f>
        <v>https://www.codechef.com/problems/CPPMCQ40</v>
      </c>
      <c r="K305" s="15"/>
      <c r="L305" s="15"/>
      <c r="M305" s="15"/>
      <c r="N305" s="15" t="s">
        <v>50</v>
      </c>
      <c r="O305" s="15" t="s">
        <v>51</v>
      </c>
    </row>
    <row r="306" spans="1:15">
      <c r="A306" s="14" t="s">
        <v>13</v>
      </c>
      <c r="B306" s="14" t="s">
        <v>5239</v>
      </c>
      <c r="C306" s="14" t="s">
        <v>5240</v>
      </c>
      <c r="D306" s="14" t="s">
        <v>5316</v>
      </c>
      <c r="E306" s="14">
        <v>41</v>
      </c>
      <c r="F306" s="14" t="s">
        <v>5317</v>
      </c>
      <c r="G306" s="14" t="s">
        <v>5318</v>
      </c>
      <c r="H306" s="14"/>
      <c r="I306" s="14" t="s">
        <v>49</v>
      </c>
      <c r="J306" s="11" t="str">
        <f>HYPERLINK("https://www.codechef.com/problems/CPPMCQ41", "https://www.codechef.com/problems/CPPMCQ41")</f>
        <v>https://www.codechef.com/problems/CPPMCQ41</v>
      </c>
      <c r="K306" s="14"/>
      <c r="L306" s="14"/>
      <c r="M306" s="14"/>
      <c r="N306" s="14" t="s">
        <v>50</v>
      </c>
      <c r="O306" s="14" t="s">
        <v>51</v>
      </c>
    </row>
    <row r="307" spans="1:15">
      <c r="A307" s="15" t="s">
        <v>13</v>
      </c>
      <c r="B307" s="15" t="s">
        <v>5239</v>
      </c>
      <c r="C307" s="15" t="s">
        <v>5240</v>
      </c>
      <c r="D307" s="15" t="s">
        <v>5316</v>
      </c>
      <c r="E307" s="15">
        <v>42</v>
      </c>
      <c r="F307" s="15" t="s">
        <v>5319</v>
      </c>
      <c r="G307" s="15" t="s">
        <v>5320</v>
      </c>
      <c r="H307" s="15"/>
      <c r="I307" s="15" t="s">
        <v>49</v>
      </c>
      <c r="J307" s="7" t="str">
        <f>HYPERLINK("https://www.codechef.com/problems/CPPMCQ42", "https://www.codechef.com/problems/CPPMCQ42")</f>
        <v>https://www.codechef.com/problems/CPPMCQ42</v>
      </c>
      <c r="K307" s="15"/>
      <c r="L307" s="15"/>
      <c r="M307" s="15"/>
      <c r="N307" s="15" t="s">
        <v>50</v>
      </c>
      <c r="O307" s="15" t="s">
        <v>51</v>
      </c>
    </row>
    <row r="308" spans="1:15">
      <c r="A308" s="14" t="s">
        <v>13</v>
      </c>
      <c r="B308" s="14" t="s">
        <v>5239</v>
      </c>
      <c r="C308" s="14" t="s">
        <v>5240</v>
      </c>
      <c r="D308" s="14" t="s">
        <v>5316</v>
      </c>
      <c r="E308" s="14">
        <v>43</v>
      </c>
      <c r="F308" s="14" t="s">
        <v>5321</v>
      </c>
      <c r="G308" s="14" t="s">
        <v>5322</v>
      </c>
      <c r="H308" s="14"/>
      <c r="I308" s="14" t="s">
        <v>49</v>
      </c>
      <c r="J308" s="11" t="str">
        <f>HYPERLINK("https://www.codechef.com/problems/CPPMCQ43", "https://www.codechef.com/problems/CPPMCQ43")</f>
        <v>https://www.codechef.com/problems/CPPMCQ43</v>
      </c>
      <c r="K308" s="14"/>
      <c r="L308" s="14"/>
      <c r="M308" s="14"/>
      <c r="N308" s="14" t="s">
        <v>50</v>
      </c>
      <c r="O308" s="14" t="s">
        <v>51</v>
      </c>
    </row>
    <row r="309" spans="1:15">
      <c r="A309" s="15" t="s">
        <v>13</v>
      </c>
      <c r="B309" s="15" t="s">
        <v>5239</v>
      </c>
      <c r="C309" s="15" t="s">
        <v>5240</v>
      </c>
      <c r="D309" s="15" t="s">
        <v>5316</v>
      </c>
      <c r="E309" s="15">
        <v>44</v>
      </c>
      <c r="F309" s="15" t="s">
        <v>5323</v>
      </c>
      <c r="G309" s="15" t="s">
        <v>5324</v>
      </c>
      <c r="H309" s="15"/>
      <c r="I309" s="15" t="s">
        <v>49</v>
      </c>
      <c r="J309" s="7" t="str">
        <f>HYPERLINK("https://www.codechef.com/problems/CPPMCQ44", "https://www.codechef.com/problems/CPPMCQ44")</f>
        <v>https://www.codechef.com/problems/CPPMCQ44</v>
      </c>
      <c r="K309" s="15"/>
      <c r="L309" s="15"/>
      <c r="M309" s="15"/>
      <c r="N309" s="15" t="s">
        <v>50</v>
      </c>
      <c r="O309" s="15" t="s">
        <v>51</v>
      </c>
    </row>
    <row r="310" spans="1:15">
      <c r="A310" s="14" t="s">
        <v>13</v>
      </c>
      <c r="B310" s="14" t="s">
        <v>5239</v>
      </c>
      <c r="C310" s="14" t="s">
        <v>5240</v>
      </c>
      <c r="D310" s="14" t="s">
        <v>5316</v>
      </c>
      <c r="E310" s="14">
        <v>45</v>
      </c>
      <c r="F310" s="14" t="s">
        <v>5325</v>
      </c>
      <c r="G310" s="14" t="s">
        <v>5326</v>
      </c>
      <c r="H310" s="14"/>
      <c r="I310" s="14" t="s">
        <v>49</v>
      </c>
      <c r="J310" s="11" t="str">
        <f>HYPERLINK("https://www.codechef.com/problems/CPPMCQ45", "https://www.codechef.com/problems/CPPMCQ45")</f>
        <v>https://www.codechef.com/problems/CPPMCQ45</v>
      </c>
      <c r="K310" s="14"/>
      <c r="L310" s="14"/>
      <c r="M310" s="14"/>
      <c r="N310" s="14" t="s">
        <v>50</v>
      </c>
      <c r="O310" s="14" t="s">
        <v>51</v>
      </c>
    </row>
    <row r="311" spans="1:15">
      <c r="A311" s="15" t="s">
        <v>13</v>
      </c>
      <c r="B311" s="15" t="s">
        <v>5239</v>
      </c>
      <c r="C311" s="15" t="s">
        <v>5240</v>
      </c>
      <c r="D311" s="15" t="s">
        <v>5316</v>
      </c>
      <c r="E311" s="15">
        <v>46</v>
      </c>
      <c r="F311" s="15" t="s">
        <v>5327</v>
      </c>
      <c r="G311" s="15" t="s">
        <v>5328</v>
      </c>
      <c r="H311" s="15"/>
      <c r="I311" s="15" t="s">
        <v>49</v>
      </c>
      <c r="J311" s="7" t="str">
        <f>HYPERLINK("https://www.codechef.com/problems/CPPMCQ46", "https://www.codechef.com/problems/CPPMCQ46")</f>
        <v>https://www.codechef.com/problems/CPPMCQ46</v>
      </c>
      <c r="K311" s="15"/>
      <c r="L311" s="15"/>
      <c r="M311" s="15"/>
      <c r="N311" s="15" t="s">
        <v>50</v>
      </c>
      <c r="O311" s="15" t="s">
        <v>51</v>
      </c>
    </row>
    <row r="312" spans="1:15">
      <c r="A312" s="14" t="s">
        <v>13</v>
      </c>
      <c r="B312" s="14" t="s">
        <v>5239</v>
      </c>
      <c r="C312" s="14" t="s">
        <v>5240</v>
      </c>
      <c r="D312" s="14" t="s">
        <v>5316</v>
      </c>
      <c r="E312" s="14">
        <v>47</v>
      </c>
      <c r="F312" s="14" t="s">
        <v>5329</v>
      </c>
      <c r="G312" s="14" t="s">
        <v>5330</v>
      </c>
      <c r="H312" s="14"/>
      <c r="I312" s="14" t="s">
        <v>49</v>
      </c>
      <c r="J312" s="11" t="str">
        <f>HYPERLINK("https://www.codechef.com/problems/CPPMCQ47", "https://www.codechef.com/problems/CPPMCQ47")</f>
        <v>https://www.codechef.com/problems/CPPMCQ47</v>
      </c>
      <c r="K312" s="14"/>
      <c r="L312" s="14"/>
      <c r="M312" s="14"/>
      <c r="N312" s="14" t="s">
        <v>50</v>
      </c>
      <c r="O312" s="14" t="s">
        <v>51</v>
      </c>
    </row>
    <row r="313" spans="1:15">
      <c r="A313" s="15" t="s">
        <v>13</v>
      </c>
      <c r="B313" s="15" t="s">
        <v>5239</v>
      </c>
      <c r="C313" s="15" t="s">
        <v>5240</v>
      </c>
      <c r="D313" s="15" t="s">
        <v>5316</v>
      </c>
      <c r="E313" s="15">
        <v>48</v>
      </c>
      <c r="F313" s="15" t="s">
        <v>4804</v>
      </c>
      <c r="G313" s="15" t="s">
        <v>5331</v>
      </c>
      <c r="H313" s="15"/>
      <c r="I313" s="15" t="s">
        <v>49</v>
      </c>
      <c r="J313" s="7" t="str">
        <f>HYPERLINK("https://www.codechef.com/problems/CPPMCQ48", "https://www.codechef.com/problems/CPPMCQ48")</f>
        <v>https://www.codechef.com/problems/CPPMCQ48</v>
      </c>
      <c r="K313" s="15"/>
      <c r="L313" s="15"/>
      <c r="M313" s="15"/>
      <c r="N313" s="15" t="s">
        <v>50</v>
      </c>
      <c r="O313" s="15" t="s">
        <v>51</v>
      </c>
    </row>
    <row r="314" spans="1:15">
      <c r="A314" s="14" t="s">
        <v>13</v>
      </c>
      <c r="B314" s="14" t="s">
        <v>5239</v>
      </c>
      <c r="C314" s="14" t="s">
        <v>5240</v>
      </c>
      <c r="D314" s="14" t="s">
        <v>5316</v>
      </c>
      <c r="E314" s="14">
        <v>49</v>
      </c>
      <c r="F314" s="14" t="s">
        <v>5332</v>
      </c>
      <c r="G314" s="14" t="s">
        <v>5333</v>
      </c>
      <c r="H314" s="14"/>
      <c r="I314" s="14" t="s">
        <v>49</v>
      </c>
      <c r="J314" s="11" t="str">
        <f>HYPERLINK("https://www.codechef.com/problems/CPPMCQ49", "https://www.codechef.com/problems/CPPMCQ49")</f>
        <v>https://www.codechef.com/problems/CPPMCQ49</v>
      </c>
      <c r="K314" s="14"/>
      <c r="L314" s="14"/>
      <c r="M314" s="14"/>
      <c r="N314" s="14" t="s">
        <v>50</v>
      </c>
      <c r="O314" s="14" t="s">
        <v>51</v>
      </c>
    </row>
    <row r="315" spans="1:15">
      <c r="A315" s="15" t="s">
        <v>13</v>
      </c>
      <c r="B315" s="15" t="s">
        <v>5239</v>
      </c>
      <c r="C315" s="15" t="s">
        <v>5240</v>
      </c>
      <c r="D315" s="15" t="s">
        <v>5316</v>
      </c>
      <c r="E315" s="15">
        <v>50</v>
      </c>
      <c r="F315" s="15" t="s">
        <v>5334</v>
      </c>
      <c r="G315" s="15" t="s">
        <v>5335</v>
      </c>
      <c r="H315" s="15"/>
      <c r="I315" s="15" t="s">
        <v>49</v>
      </c>
      <c r="J315" s="7" t="str">
        <f>HYPERLINK("https://www.codechef.com/problems/CPPMCQ50", "https://www.codechef.com/problems/CPPMCQ50")</f>
        <v>https://www.codechef.com/problems/CPPMCQ50</v>
      </c>
      <c r="K315" s="15"/>
      <c r="L315" s="15"/>
      <c r="M315" s="15"/>
      <c r="N315" s="15" t="s">
        <v>50</v>
      </c>
      <c r="O315" s="15" t="s">
        <v>51</v>
      </c>
    </row>
    <row r="316" spans="1:15">
      <c r="A316" s="14" t="s">
        <v>13</v>
      </c>
      <c r="B316" s="14" t="s">
        <v>5239</v>
      </c>
      <c r="C316" s="14" t="s">
        <v>5240</v>
      </c>
      <c r="D316" s="14" t="s">
        <v>5336</v>
      </c>
      <c r="E316" s="14">
        <v>51</v>
      </c>
      <c r="F316" s="14" t="s">
        <v>5337</v>
      </c>
      <c r="G316" s="14" t="s">
        <v>5338</v>
      </c>
      <c r="H316" s="14"/>
      <c r="I316" s="14" t="s">
        <v>49</v>
      </c>
      <c r="J316" s="11" t="str">
        <f>HYPERLINK("https://www.codechef.com/problems/CPPMCQ51", "https://www.codechef.com/problems/CPPMCQ51")</f>
        <v>https://www.codechef.com/problems/CPPMCQ51</v>
      </c>
      <c r="K316" s="14"/>
      <c r="L316" s="14"/>
      <c r="M316" s="14"/>
      <c r="N316" s="14" t="s">
        <v>50</v>
      </c>
      <c r="O316" s="14" t="s">
        <v>51</v>
      </c>
    </row>
    <row r="317" spans="1:15">
      <c r="A317" s="15" t="s">
        <v>13</v>
      </c>
      <c r="B317" s="15" t="s">
        <v>5239</v>
      </c>
      <c r="C317" s="15" t="s">
        <v>5240</v>
      </c>
      <c r="D317" s="15" t="s">
        <v>5336</v>
      </c>
      <c r="E317" s="15">
        <v>52</v>
      </c>
      <c r="F317" s="15" t="s">
        <v>5339</v>
      </c>
      <c r="G317" s="15" t="s">
        <v>5340</v>
      </c>
      <c r="H317" s="15"/>
      <c r="I317" s="15" t="s">
        <v>49</v>
      </c>
      <c r="J317" s="7" t="str">
        <f>HYPERLINK("https://www.codechef.com/problems/CPPMCQ52", "https://www.codechef.com/problems/CPPMCQ52")</f>
        <v>https://www.codechef.com/problems/CPPMCQ52</v>
      </c>
      <c r="K317" s="15"/>
      <c r="L317" s="15"/>
      <c r="M317" s="15"/>
      <c r="N317" s="15" t="s">
        <v>50</v>
      </c>
      <c r="O317" s="15" t="s">
        <v>51</v>
      </c>
    </row>
    <row r="318" spans="1:15">
      <c r="A318" s="14" t="s">
        <v>13</v>
      </c>
      <c r="B318" s="14" t="s">
        <v>5239</v>
      </c>
      <c r="C318" s="14" t="s">
        <v>5240</v>
      </c>
      <c r="D318" s="14" t="s">
        <v>5336</v>
      </c>
      <c r="E318" s="14">
        <v>53</v>
      </c>
      <c r="F318" s="14" t="s">
        <v>5341</v>
      </c>
      <c r="G318" s="14" t="s">
        <v>5342</v>
      </c>
      <c r="H318" s="14"/>
      <c r="I318" s="14" t="s">
        <v>49</v>
      </c>
      <c r="J318" s="11" t="str">
        <f>HYPERLINK("https://www.codechef.com/problems/CPPMCQ53", "https://www.codechef.com/problems/CPPMCQ53")</f>
        <v>https://www.codechef.com/problems/CPPMCQ53</v>
      </c>
      <c r="K318" s="14"/>
      <c r="L318" s="14"/>
      <c r="M318" s="14"/>
      <c r="N318" s="14" t="s">
        <v>50</v>
      </c>
      <c r="O318" s="14" t="s">
        <v>51</v>
      </c>
    </row>
    <row r="319" spans="1:15">
      <c r="A319" s="15" t="s">
        <v>13</v>
      </c>
      <c r="B319" s="15" t="s">
        <v>5239</v>
      </c>
      <c r="C319" s="15" t="s">
        <v>5240</v>
      </c>
      <c r="D319" s="15" t="s">
        <v>5336</v>
      </c>
      <c r="E319" s="15">
        <v>54</v>
      </c>
      <c r="F319" s="15" t="s">
        <v>5343</v>
      </c>
      <c r="G319" s="15" t="s">
        <v>5344</v>
      </c>
      <c r="H319" s="15"/>
      <c r="I319" s="15" t="s">
        <v>49</v>
      </c>
      <c r="J319" s="7" t="str">
        <f>HYPERLINK("https://www.codechef.com/problems/CPPMCQ54", "https://www.codechef.com/problems/CPPMCQ54")</f>
        <v>https://www.codechef.com/problems/CPPMCQ54</v>
      </c>
      <c r="K319" s="15"/>
      <c r="L319" s="15"/>
      <c r="M319" s="15"/>
      <c r="N319" s="15" t="s">
        <v>50</v>
      </c>
      <c r="O319" s="15" t="s">
        <v>51</v>
      </c>
    </row>
    <row r="320" spans="1:15">
      <c r="A320" s="14" t="s">
        <v>13</v>
      </c>
      <c r="B320" s="14" t="s">
        <v>5239</v>
      </c>
      <c r="C320" s="14" t="s">
        <v>5240</v>
      </c>
      <c r="D320" s="14" t="s">
        <v>5336</v>
      </c>
      <c r="E320" s="14">
        <v>55</v>
      </c>
      <c r="F320" s="14" t="s">
        <v>5345</v>
      </c>
      <c r="G320" s="14" t="s">
        <v>5346</v>
      </c>
      <c r="H320" s="14"/>
      <c r="I320" s="14" t="s">
        <v>49</v>
      </c>
      <c r="J320" s="11" t="str">
        <f>HYPERLINK("https://www.codechef.com/problems/CPPMCQ55", "https://www.codechef.com/problems/CPPMCQ55")</f>
        <v>https://www.codechef.com/problems/CPPMCQ55</v>
      </c>
      <c r="K320" s="14"/>
      <c r="L320" s="14"/>
      <c r="M320" s="14"/>
      <c r="N320" s="14" t="s">
        <v>50</v>
      </c>
      <c r="O320" s="14" t="s">
        <v>51</v>
      </c>
    </row>
    <row r="321" spans="1:15">
      <c r="A321" s="15" t="s">
        <v>13</v>
      </c>
      <c r="B321" s="15" t="s">
        <v>5239</v>
      </c>
      <c r="C321" s="15" t="s">
        <v>5240</v>
      </c>
      <c r="D321" s="15" t="s">
        <v>5336</v>
      </c>
      <c r="E321" s="15">
        <v>56</v>
      </c>
      <c r="F321" s="15" t="s">
        <v>5347</v>
      </c>
      <c r="G321" s="15" t="s">
        <v>5348</v>
      </c>
      <c r="H321" s="15"/>
      <c r="I321" s="15" t="s">
        <v>49</v>
      </c>
      <c r="J321" s="7" t="str">
        <f>HYPERLINK("https://www.codechef.com/problems/CPPMCQ56", "https://www.codechef.com/problems/CPPMCQ56")</f>
        <v>https://www.codechef.com/problems/CPPMCQ56</v>
      </c>
      <c r="K321" s="15"/>
      <c r="L321" s="15"/>
      <c r="M321" s="15"/>
      <c r="N321" s="15" t="s">
        <v>50</v>
      </c>
      <c r="O321" s="15" t="s">
        <v>51</v>
      </c>
    </row>
    <row r="322" spans="1:15">
      <c r="A322" s="14" t="s">
        <v>13</v>
      </c>
      <c r="B322" s="14" t="s">
        <v>5239</v>
      </c>
      <c r="C322" s="14" t="s">
        <v>5240</v>
      </c>
      <c r="D322" s="14" t="s">
        <v>5336</v>
      </c>
      <c r="E322" s="14">
        <v>57</v>
      </c>
      <c r="F322" s="14" t="s">
        <v>5349</v>
      </c>
      <c r="G322" s="14" t="s">
        <v>5350</v>
      </c>
      <c r="H322" s="14"/>
      <c r="I322" s="14" t="s">
        <v>49</v>
      </c>
      <c r="J322" s="11" t="str">
        <f>HYPERLINK("https://www.codechef.com/problems/CPPMCQ57", "https://www.codechef.com/problems/CPPMCQ57")</f>
        <v>https://www.codechef.com/problems/CPPMCQ57</v>
      </c>
      <c r="K322" s="14"/>
      <c r="L322" s="14"/>
      <c r="M322" s="14"/>
      <c r="N322" s="14" t="s">
        <v>50</v>
      </c>
      <c r="O322" s="14" t="s">
        <v>51</v>
      </c>
    </row>
    <row r="323" spans="1:15">
      <c r="A323" s="15" t="s">
        <v>13</v>
      </c>
      <c r="B323" s="15" t="s">
        <v>5239</v>
      </c>
      <c r="C323" s="15" t="s">
        <v>5240</v>
      </c>
      <c r="D323" s="15" t="s">
        <v>5336</v>
      </c>
      <c r="E323" s="15">
        <v>58</v>
      </c>
      <c r="F323" s="15" t="s">
        <v>5351</v>
      </c>
      <c r="G323" s="15" t="s">
        <v>5352</v>
      </c>
      <c r="H323" s="15"/>
      <c r="I323" s="15" t="s">
        <v>96</v>
      </c>
      <c r="J323" s="7" t="str">
        <f>HYPERLINK("https://www.codechef.com/problems/CPPMCQ58", "https://www.codechef.com/problems/CPPMCQ58")</f>
        <v>https://www.codechef.com/problems/CPPMCQ58</v>
      </c>
      <c r="K323" s="15"/>
      <c r="L323" s="15"/>
      <c r="M323" s="15"/>
      <c r="N323" s="15" t="s">
        <v>50</v>
      </c>
      <c r="O323" s="15" t="s">
        <v>51</v>
      </c>
    </row>
    <row r="324" spans="1:15">
      <c r="A324" s="14" t="s">
        <v>13</v>
      </c>
      <c r="B324" s="14" t="s">
        <v>5239</v>
      </c>
      <c r="C324" s="14" t="s">
        <v>5240</v>
      </c>
      <c r="D324" s="14" t="s">
        <v>5336</v>
      </c>
      <c r="E324" s="14">
        <v>59</v>
      </c>
      <c r="F324" s="14" t="s">
        <v>5353</v>
      </c>
      <c r="G324" s="14" t="s">
        <v>5354</v>
      </c>
      <c r="H324" s="14"/>
      <c r="I324" s="14" t="s">
        <v>49</v>
      </c>
      <c r="J324" s="11" t="str">
        <f>HYPERLINK("https://www.codechef.com/problems/CPPMCQ59", "https://www.codechef.com/problems/CPPMCQ59")</f>
        <v>https://www.codechef.com/problems/CPPMCQ59</v>
      </c>
      <c r="K324" s="14"/>
      <c r="L324" s="14"/>
      <c r="M324" s="14"/>
      <c r="N324" s="14" t="s">
        <v>50</v>
      </c>
      <c r="O324" s="14" t="s">
        <v>51</v>
      </c>
    </row>
    <row r="325" spans="1:15">
      <c r="A325" s="15" t="s">
        <v>13</v>
      </c>
      <c r="B325" s="15" t="s">
        <v>5239</v>
      </c>
      <c r="C325" s="15" t="s">
        <v>5240</v>
      </c>
      <c r="D325" s="15" t="s">
        <v>5336</v>
      </c>
      <c r="E325" s="15">
        <v>60</v>
      </c>
      <c r="F325" s="15" t="s">
        <v>5355</v>
      </c>
      <c r="G325" s="15" t="s">
        <v>5356</v>
      </c>
      <c r="H325" s="15"/>
      <c r="I325" s="15" t="s">
        <v>49</v>
      </c>
      <c r="J325" s="7" t="str">
        <f>HYPERLINK("https://www.codechef.com/problems/CPPMCQ60", "https://www.codechef.com/problems/CPPMCQ60")</f>
        <v>https://www.codechef.com/problems/CPPMCQ60</v>
      </c>
      <c r="K325" s="15"/>
      <c r="L325" s="15"/>
      <c r="M325" s="15"/>
      <c r="N325" s="15" t="s">
        <v>50</v>
      </c>
      <c r="O325" s="15" t="s">
        <v>51</v>
      </c>
    </row>
    <row r="326" spans="1:15">
      <c r="A326" s="14" t="s">
        <v>13</v>
      </c>
      <c r="B326" s="14" t="s">
        <v>5239</v>
      </c>
      <c r="C326" s="14" t="s">
        <v>5240</v>
      </c>
      <c r="D326" s="14" t="s">
        <v>5357</v>
      </c>
      <c r="E326" s="14">
        <v>61</v>
      </c>
      <c r="F326" s="14" t="s">
        <v>5358</v>
      </c>
      <c r="G326" s="14" t="s">
        <v>5359</v>
      </c>
      <c r="H326" s="14"/>
      <c r="I326" s="14" t="s">
        <v>49</v>
      </c>
      <c r="J326" s="11" t="str">
        <f>HYPERLINK("https://www.codechef.com/problems/CPPMCQ61", "https://www.codechef.com/problems/CPPMCQ61")</f>
        <v>https://www.codechef.com/problems/CPPMCQ61</v>
      </c>
      <c r="K326" s="14"/>
      <c r="L326" s="14"/>
      <c r="M326" s="14"/>
      <c r="N326" s="14" t="s">
        <v>50</v>
      </c>
      <c r="O326" s="14" t="s">
        <v>51</v>
      </c>
    </row>
    <row r="327" spans="1:15">
      <c r="A327" s="15" t="s">
        <v>13</v>
      </c>
      <c r="B327" s="15" t="s">
        <v>5239</v>
      </c>
      <c r="C327" s="15" t="s">
        <v>5240</v>
      </c>
      <c r="D327" s="15" t="s">
        <v>5357</v>
      </c>
      <c r="E327" s="15">
        <v>62</v>
      </c>
      <c r="F327" s="15" t="s">
        <v>5360</v>
      </c>
      <c r="G327" s="15" t="s">
        <v>5361</v>
      </c>
      <c r="H327" s="15"/>
      <c r="I327" s="15" t="s">
        <v>49</v>
      </c>
      <c r="J327" s="7" t="str">
        <f>HYPERLINK("https://www.codechef.com/problems/CPPMCQ62", "https://www.codechef.com/problems/CPPMCQ62")</f>
        <v>https://www.codechef.com/problems/CPPMCQ62</v>
      </c>
      <c r="K327" s="15"/>
      <c r="L327" s="15"/>
      <c r="M327" s="15"/>
      <c r="N327" s="15" t="s">
        <v>50</v>
      </c>
      <c r="O327" s="15" t="s">
        <v>51</v>
      </c>
    </row>
    <row r="328" spans="1:15">
      <c r="A328" s="14" t="s">
        <v>13</v>
      </c>
      <c r="B328" s="14" t="s">
        <v>5239</v>
      </c>
      <c r="C328" s="14" t="s">
        <v>5240</v>
      </c>
      <c r="D328" s="14" t="s">
        <v>5357</v>
      </c>
      <c r="E328" s="14">
        <v>63</v>
      </c>
      <c r="F328" s="14" t="s">
        <v>5362</v>
      </c>
      <c r="G328" s="14" t="s">
        <v>5363</v>
      </c>
      <c r="H328" s="14"/>
      <c r="I328" s="14" t="s">
        <v>96</v>
      </c>
      <c r="J328" s="11" t="str">
        <f>HYPERLINK("https://www.codechef.com/problems/CPPMCQ63", "https://www.codechef.com/problems/CPPMCQ63")</f>
        <v>https://www.codechef.com/problems/CPPMCQ63</v>
      </c>
      <c r="K328" s="14"/>
      <c r="L328" s="14"/>
      <c r="M328" s="14"/>
      <c r="N328" s="14" t="s">
        <v>50</v>
      </c>
      <c r="O328" s="14" t="s">
        <v>51</v>
      </c>
    </row>
    <row r="329" spans="1:15">
      <c r="A329" s="15" t="s">
        <v>13</v>
      </c>
      <c r="B329" s="15" t="s">
        <v>5239</v>
      </c>
      <c r="C329" s="15" t="s">
        <v>5240</v>
      </c>
      <c r="D329" s="15" t="s">
        <v>5357</v>
      </c>
      <c r="E329" s="15">
        <v>64</v>
      </c>
      <c r="F329" s="15" t="s">
        <v>5364</v>
      </c>
      <c r="G329" s="15" t="s">
        <v>5365</v>
      </c>
      <c r="H329" s="15"/>
      <c r="I329" s="15" t="s">
        <v>49</v>
      </c>
      <c r="J329" s="7" t="str">
        <f>HYPERLINK("https://www.codechef.com/problems/CPPMCQ64", "https://www.codechef.com/problems/CPPMCQ64")</f>
        <v>https://www.codechef.com/problems/CPPMCQ64</v>
      </c>
      <c r="K329" s="15"/>
      <c r="L329" s="15"/>
      <c r="M329" s="15"/>
      <c r="N329" s="15" t="s">
        <v>50</v>
      </c>
      <c r="O329" s="15" t="s">
        <v>51</v>
      </c>
    </row>
    <row r="330" spans="1:15">
      <c r="A330" s="14" t="s">
        <v>13</v>
      </c>
      <c r="B330" s="14" t="s">
        <v>5239</v>
      </c>
      <c r="C330" s="14" t="s">
        <v>5240</v>
      </c>
      <c r="D330" s="14" t="s">
        <v>5357</v>
      </c>
      <c r="E330" s="14">
        <v>65</v>
      </c>
      <c r="F330" s="14" t="s">
        <v>5366</v>
      </c>
      <c r="G330" s="14" t="s">
        <v>5367</v>
      </c>
      <c r="H330" s="14"/>
      <c r="I330" s="14" t="s">
        <v>49</v>
      </c>
      <c r="J330" s="11" t="str">
        <f>HYPERLINK("https://www.codechef.com/problems/CPPMCQ65", "https://www.codechef.com/problems/CPPMCQ65")</f>
        <v>https://www.codechef.com/problems/CPPMCQ65</v>
      </c>
      <c r="K330" s="14"/>
      <c r="L330" s="14"/>
      <c r="M330" s="14"/>
      <c r="N330" s="14" t="s">
        <v>50</v>
      </c>
      <c r="O330" s="14" t="s">
        <v>51</v>
      </c>
    </row>
    <row r="331" spans="1:15">
      <c r="A331" s="15" t="s">
        <v>13</v>
      </c>
      <c r="B331" s="15" t="s">
        <v>5239</v>
      </c>
      <c r="C331" s="15" t="s">
        <v>5240</v>
      </c>
      <c r="D331" s="15" t="s">
        <v>5357</v>
      </c>
      <c r="E331" s="15">
        <v>66</v>
      </c>
      <c r="F331" s="15" t="s">
        <v>5368</v>
      </c>
      <c r="G331" s="15" t="s">
        <v>5369</v>
      </c>
      <c r="H331" s="15"/>
      <c r="I331" s="15" t="s">
        <v>49</v>
      </c>
      <c r="J331" s="7" t="str">
        <f>HYPERLINK("https://www.codechef.com/problems/CPPMCQ66", "https://www.codechef.com/problems/CPPMCQ66")</f>
        <v>https://www.codechef.com/problems/CPPMCQ66</v>
      </c>
      <c r="K331" s="15"/>
      <c r="L331" s="15"/>
      <c r="M331" s="15"/>
      <c r="N331" s="15" t="s">
        <v>50</v>
      </c>
      <c r="O331" s="15" t="s">
        <v>51</v>
      </c>
    </row>
    <row r="332" spans="1:15">
      <c r="A332" s="14" t="s">
        <v>13</v>
      </c>
      <c r="B332" s="14" t="s">
        <v>5239</v>
      </c>
      <c r="C332" s="14" t="s">
        <v>5240</v>
      </c>
      <c r="D332" s="14" t="s">
        <v>5357</v>
      </c>
      <c r="E332" s="14">
        <v>67</v>
      </c>
      <c r="F332" s="14" t="s">
        <v>5370</v>
      </c>
      <c r="G332" s="14" t="s">
        <v>5371</v>
      </c>
      <c r="H332" s="14"/>
      <c r="I332" s="14" t="s">
        <v>49</v>
      </c>
      <c r="J332" s="11" t="str">
        <f>HYPERLINK("https://www.codechef.com/problems/CPPMCQ67", "https://www.codechef.com/problems/CPPMCQ67")</f>
        <v>https://www.codechef.com/problems/CPPMCQ67</v>
      </c>
      <c r="K332" s="14"/>
      <c r="L332" s="14"/>
      <c r="M332" s="14"/>
      <c r="N332" s="14" t="s">
        <v>50</v>
      </c>
      <c r="O332" s="14" t="s">
        <v>51</v>
      </c>
    </row>
    <row r="333" spans="1:15">
      <c r="A333" s="15" t="s">
        <v>13</v>
      </c>
      <c r="B333" s="15" t="s">
        <v>5239</v>
      </c>
      <c r="C333" s="15" t="s">
        <v>5240</v>
      </c>
      <c r="D333" s="15" t="s">
        <v>5357</v>
      </c>
      <c r="E333" s="15">
        <v>68</v>
      </c>
      <c r="F333" s="15" t="s">
        <v>5372</v>
      </c>
      <c r="G333" s="15" t="s">
        <v>5373</v>
      </c>
      <c r="H333" s="15"/>
      <c r="I333" s="15" t="s">
        <v>96</v>
      </c>
      <c r="J333" s="7" t="str">
        <f>HYPERLINK("https://www.codechef.com/problems/CPPMCQ68", "https://www.codechef.com/problems/CPPMCQ68")</f>
        <v>https://www.codechef.com/problems/CPPMCQ68</v>
      </c>
      <c r="K333" s="15"/>
      <c r="L333" s="15"/>
      <c r="M333" s="15"/>
      <c r="N333" s="15" t="s">
        <v>50</v>
      </c>
      <c r="O333" s="15" t="s">
        <v>51</v>
      </c>
    </row>
    <row r="334" spans="1:15">
      <c r="A334" s="14" t="s">
        <v>13</v>
      </c>
      <c r="B334" s="14" t="s">
        <v>5239</v>
      </c>
      <c r="C334" s="14" t="s">
        <v>5240</v>
      </c>
      <c r="D334" s="14" t="s">
        <v>5357</v>
      </c>
      <c r="E334" s="14">
        <v>69</v>
      </c>
      <c r="F334" s="14" t="s">
        <v>5374</v>
      </c>
      <c r="G334" s="14" t="s">
        <v>5375</v>
      </c>
      <c r="H334" s="14"/>
      <c r="I334" s="14" t="s">
        <v>49</v>
      </c>
      <c r="J334" s="11" t="str">
        <f>HYPERLINK("https://www.codechef.com/problems/CPPMCQ69", "https://www.codechef.com/problems/CPPMCQ69")</f>
        <v>https://www.codechef.com/problems/CPPMCQ69</v>
      </c>
      <c r="K334" s="14"/>
      <c r="L334" s="14"/>
      <c r="M334" s="14"/>
      <c r="N334" s="14" t="s">
        <v>50</v>
      </c>
      <c r="O334" s="14" t="s">
        <v>51</v>
      </c>
    </row>
    <row r="335" spans="1:15">
      <c r="A335" s="15" t="s">
        <v>13</v>
      </c>
      <c r="B335" s="15" t="s">
        <v>5239</v>
      </c>
      <c r="C335" s="15" t="s">
        <v>5240</v>
      </c>
      <c r="D335" s="15" t="s">
        <v>5357</v>
      </c>
      <c r="E335" s="15">
        <v>70</v>
      </c>
      <c r="F335" s="15" t="s">
        <v>5376</v>
      </c>
      <c r="G335" s="15" t="s">
        <v>5377</v>
      </c>
      <c r="H335" s="15"/>
      <c r="I335" s="15" t="s">
        <v>49</v>
      </c>
      <c r="J335" s="7" t="str">
        <f>HYPERLINK("https://www.codechef.com/problems/CPPMCQ70", "https://www.codechef.com/problems/CPPMCQ70")</f>
        <v>https://www.codechef.com/problems/CPPMCQ70</v>
      </c>
      <c r="K335" s="15"/>
      <c r="L335" s="15"/>
      <c r="M335" s="15"/>
      <c r="N335" s="15" t="s">
        <v>50</v>
      </c>
      <c r="O335" s="15" t="s">
        <v>51</v>
      </c>
    </row>
    <row r="336" spans="1:15">
      <c r="A336" s="14" t="s">
        <v>13</v>
      </c>
      <c r="B336" s="14" t="s">
        <v>5239</v>
      </c>
      <c r="C336" s="14" t="s">
        <v>5240</v>
      </c>
      <c r="D336" s="14" t="s">
        <v>5378</v>
      </c>
      <c r="E336" s="14">
        <v>71</v>
      </c>
      <c r="F336" s="14" t="s">
        <v>5379</v>
      </c>
      <c r="G336" s="14" t="s">
        <v>5380</v>
      </c>
      <c r="H336" s="14"/>
      <c r="I336" s="14" t="s">
        <v>49</v>
      </c>
      <c r="J336" s="11" t="str">
        <f>HYPERLINK("https://www.codechef.com/problems/CPPMCQ71", "https://www.codechef.com/problems/CPPMCQ71")</f>
        <v>https://www.codechef.com/problems/CPPMCQ71</v>
      </c>
      <c r="K336" s="14"/>
      <c r="L336" s="14"/>
      <c r="M336" s="14"/>
      <c r="N336" s="14" t="s">
        <v>50</v>
      </c>
      <c r="O336" s="14" t="s">
        <v>51</v>
      </c>
    </row>
    <row r="337" spans="1:15">
      <c r="A337" s="15" t="s">
        <v>13</v>
      </c>
      <c r="B337" s="15" t="s">
        <v>5239</v>
      </c>
      <c r="C337" s="15" t="s">
        <v>5240</v>
      </c>
      <c r="D337" s="15" t="s">
        <v>5378</v>
      </c>
      <c r="E337" s="15">
        <v>72</v>
      </c>
      <c r="F337" s="15" t="s">
        <v>5381</v>
      </c>
      <c r="G337" s="15" t="s">
        <v>5382</v>
      </c>
      <c r="H337" s="15"/>
      <c r="I337" s="15" t="s">
        <v>49</v>
      </c>
      <c r="J337" s="7" t="str">
        <f>HYPERLINK("https://www.codechef.com/problems/CPPMCQ72", "https://www.codechef.com/problems/CPPMCQ72")</f>
        <v>https://www.codechef.com/problems/CPPMCQ72</v>
      </c>
      <c r="K337" s="15"/>
      <c r="L337" s="15"/>
      <c r="M337" s="15"/>
      <c r="N337" s="15" t="s">
        <v>50</v>
      </c>
      <c r="O337" s="15" t="s">
        <v>51</v>
      </c>
    </row>
    <row r="338" spans="1:15">
      <c r="A338" s="14" t="s">
        <v>13</v>
      </c>
      <c r="B338" s="14" t="s">
        <v>5239</v>
      </c>
      <c r="C338" s="14" t="s">
        <v>5240</v>
      </c>
      <c r="D338" s="14" t="s">
        <v>5378</v>
      </c>
      <c r="E338" s="14">
        <v>73</v>
      </c>
      <c r="F338" s="14" t="s">
        <v>5383</v>
      </c>
      <c r="G338" s="14" t="s">
        <v>5384</v>
      </c>
      <c r="H338" s="14"/>
      <c r="I338" s="14" t="s">
        <v>49</v>
      </c>
      <c r="J338" s="11" t="str">
        <f>HYPERLINK("https://www.codechef.com/problems/CPPMCQ73", "https://www.codechef.com/problems/CPPMCQ73")</f>
        <v>https://www.codechef.com/problems/CPPMCQ73</v>
      </c>
      <c r="K338" s="14"/>
      <c r="L338" s="14"/>
      <c r="M338" s="14"/>
      <c r="N338" s="14" t="s">
        <v>50</v>
      </c>
      <c r="O338" s="14" t="s">
        <v>51</v>
      </c>
    </row>
    <row r="339" spans="1:15">
      <c r="A339" s="15" t="s">
        <v>13</v>
      </c>
      <c r="B339" s="15" t="s">
        <v>5239</v>
      </c>
      <c r="C339" s="15" t="s">
        <v>5240</v>
      </c>
      <c r="D339" s="15" t="s">
        <v>5378</v>
      </c>
      <c r="E339" s="15">
        <v>74</v>
      </c>
      <c r="F339" s="15" t="s">
        <v>5385</v>
      </c>
      <c r="G339" s="15" t="s">
        <v>5386</v>
      </c>
      <c r="H339" s="15"/>
      <c r="I339" s="15" t="s">
        <v>49</v>
      </c>
      <c r="J339" s="7" t="str">
        <f>HYPERLINK("https://www.codechef.com/problems/CPPMCQ74", "https://www.codechef.com/problems/CPPMCQ74")</f>
        <v>https://www.codechef.com/problems/CPPMCQ74</v>
      </c>
      <c r="K339" s="15"/>
      <c r="L339" s="15"/>
      <c r="M339" s="15"/>
      <c r="N339" s="15" t="s">
        <v>50</v>
      </c>
      <c r="O339" s="15" t="s">
        <v>51</v>
      </c>
    </row>
    <row r="340" spans="1:15">
      <c r="A340" s="14" t="s">
        <v>13</v>
      </c>
      <c r="B340" s="14" t="s">
        <v>5239</v>
      </c>
      <c r="C340" s="14" t="s">
        <v>5240</v>
      </c>
      <c r="D340" s="14" t="s">
        <v>5378</v>
      </c>
      <c r="E340" s="14">
        <v>75</v>
      </c>
      <c r="F340" s="14" t="s">
        <v>5387</v>
      </c>
      <c r="G340" s="14" t="s">
        <v>5388</v>
      </c>
      <c r="H340" s="14"/>
      <c r="I340" s="14" t="s">
        <v>96</v>
      </c>
      <c r="J340" s="11" t="str">
        <f>HYPERLINK("https://www.codechef.com/problems/CPPMCQ75", "https://www.codechef.com/problems/CPPMCQ75")</f>
        <v>https://www.codechef.com/problems/CPPMCQ75</v>
      </c>
      <c r="K340" s="14"/>
      <c r="L340" s="14"/>
      <c r="M340" s="14"/>
      <c r="N340" s="14" t="s">
        <v>50</v>
      </c>
      <c r="O340" s="14" t="s">
        <v>51</v>
      </c>
    </row>
    <row r="341" spans="1:15">
      <c r="A341" s="15" t="s">
        <v>13</v>
      </c>
      <c r="B341" s="15" t="s">
        <v>5239</v>
      </c>
      <c r="C341" s="15" t="s">
        <v>5240</v>
      </c>
      <c r="D341" s="15" t="s">
        <v>5378</v>
      </c>
      <c r="E341" s="15">
        <v>76</v>
      </c>
      <c r="F341" s="15" t="s">
        <v>5389</v>
      </c>
      <c r="G341" s="15" t="s">
        <v>5390</v>
      </c>
      <c r="H341" s="15"/>
      <c r="I341" s="15" t="s">
        <v>49</v>
      </c>
      <c r="J341" s="7" t="str">
        <f>HYPERLINK("https://www.codechef.com/problems/CPPMCQ76", "https://www.codechef.com/problems/CPPMCQ76")</f>
        <v>https://www.codechef.com/problems/CPPMCQ76</v>
      </c>
      <c r="K341" s="15"/>
      <c r="L341" s="15"/>
      <c r="M341" s="15"/>
      <c r="N341" s="15" t="s">
        <v>50</v>
      </c>
      <c r="O341" s="15" t="s">
        <v>51</v>
      </c>
    </row>
    <row r="342" spans="1:15">
      <c r="A342" s="14" t="s">
        <v>13</v>
      </c>
      <c r="B342" s="14" t="s">
        <v>5239</v>
      </c>
      <c r="C342" s="14" t="s">
        <v>5240</v>
      </c>
      <c r="D342" s="14" t="s">
        <v>5378</v>
      </c>
      <c r="E342" s="14">
        <v>77</v>
      </c>
      <c r="F342" s="14" t="s">
        <v>5391</v>
      </c>
      <c r="G342" s="14" t="s">
        <v>5392</v>
      </c>
      <c r="H342" s="14"/>
      <c r="I342" s="14" t="s">
        <v>49</v>
      </c>
      <c r="J342" s="11" t="str">
        <f>HYPERLINK("https://www.codechef.com/problems/CPPMCQ77", "https://www.codechef.com/problems/CPPMCQ77")</f>
        <v>https://www.codechef.com/problems/CPPMCQ77</v>
      </c>
      <c r="K342" s="14"/>
      <c r="L342" s="14"/>
      <c r="M342" s="14"/>
      <c r="N342" s="14" t="s">
        <v>50</v>
      </c>
      <c r="O342" s="14" t="s">
        <v>51</v>
      </c>
    </row>
    <row r="343" spans="1:15">
      <c r="A343" s="15" t="s">
        <v>13</v>
      </c>
      <c r="B343" s="15" t="s">
        <v>5239</v>
      </c>
      <c r="C343" s="15" t="s">
        <v>5240</v>
      </c>
      <c r="D343" s="15" t="s">
        <v>5378</v>
      </c>
      <c r="E343" s="15">
        <v>78</v>
      </c>
      <c r="F343" s="15" t="s">
        <v>5393</v>
      </c>
      <c r="G343" s="15" t="s">
        <v>5394</v>
      </c>
      <c r="H343" s="15"/>
      <c r="I343" s="15" t="s">
        <v>96</v>
      </c>
      <c r="J343" s="7" t="str">
        <f>HYPERLINK("https://www.codechef.com/problems/CPPMCQ78", "https://www.codechef.com/problems/CPPMCQ78")</f>
        <v>https://www.codechef.com/problems/CPPMCQ78</v>
      </c>
      <c r="K343" s="15"/>
      <c r="L343" s="15"/>
      <c r="M343" s="15"/>
      <c r="N343" s="15" t="s">
        <v>50</v>
      </c>
      <c r="O343" s="15" t="s">
        <v>51</v>
      </c>
    </row>
    <row r="344" spans="1:15">
      <c r="A344" s="14" t="s">
        <v>13</v>
      </c>
      <c r="B344" s="14" t="s">
        <v>5239</v>
      </c>
      <c r="C344" s="14" t="s">
        <v>5240</v>
      </c>
      <c r="D344" s="14" t="s">
        <v>5378</v>
      </c>
      <c r="E344" s="14">
        <v>79</v>
      </c>
      <c r="F344" s="14" t="s">
        <v>5395</v>
      </c>
      <c r="G344" s="14" t="s">
        <v>5396</v>
      </c>
      <c r="H344" s="14"/>
      <c r="I344" s="14" t="s">
        <v>49</v>
      </c>
      <c r="J344" s="11" t="str">
        <f>HYPERLINK("https://www.codechef.com/problems/CPPMCQ79", "https://www.codechef.com/problems/CPPMCQ79")</f>
        <v>https://www.codechef.com/problems/CPPMCQ79</v>
      </c>
      <c r="K344" s="14"/>
      <c r="L344" s="14"/>
      <c r="M344" s="14"/>
      <c r="N344" s="14" t="s">
        <v>50</v>
      </c>
      <c r="O344" s="14" t="s">
        <v>51</v>
      </c>
    </row>
    <row r="345" spans="1:15">
      <c r="A345" s="15" t="s">
        <v>13</v>
      </c>
      <c r="B345" s="15" t="s">
        <v>5239</v>
      </c>
      <c r="C345" s="15" t="s">
        <v>5240</v>
      </c>
      <c r="D345" s="15" t="s">
        <v>5378</v>
      </c>
      <c r="E345" s="15">
        <v>80</v>
      </c>
      <c r="F345" s="15" t="s">
        <v>5397</v>
      </c>
      <c r="G345" s="15" t="s">
        <v>5398</v>
      </c>
      <c r="H345" s="15"/>
      <c r="I345" s="15" t="s">
        <v>49</v>
      </c>
      <c r="J345" s="7" t="str">
        <f>HYPERLINK("https://www.codechef.com/problems/CPPMCQ80", "https://www.codechef.com/problems/CPPMCQ80")</f>
        <v>https://www.codechef.com/problems/CPPMCQ80</v>
      </c>
      <c r="K345" s="15"/>
      <c r="L345" s="15"/>
      <c r="M345" s="15"/>
      <c r="N345" s="15" t="s">
        <v>50</v>
      </c>
      <c r="O345" s="15" t="s">
        <v>51</v>
      </c>
    </row>
    <row r="346" spans="1:15">
      <c r="A346" s="14" t="s">
        <v>13</v>
      </c>
      <c r="B346" s="14" t="s">
        <v>5239</v>
      </c>
      <c r="C346" s="14" t="s">
        <v>5240</v>
      </c>
      <c r="D346" s="14" t="s">
        <v>5399</v>
      </c>
      <c r="E346" s="14">
        <v>81</v>
      </c>
      <c r="F346" s="14" t="s">
        <v>5400</v>
      </c>
      <c r="G346" s="14" t="s">
        <v>5401</v>
      </c>
      <c r="H346" s="14"/>
      <c r="I346" s="14" t="s">
        <v>49</v>
      </c>
      <c r="J346" s="11" t="str">
        <f>HYPERLINK("https://www.codechef.com/problems/CPPMCQ81", "https://www.codechef.com/problems/CPPMCQ81")</f>
        <v>https://www.codechef.com/problems/CPPMCQ81</v>
      </c>
      <c r="K346" s="14"/>
      <c r="L346" s="14"/>
      <c r="M346" s="14"/>
      <c r="N346" s="14" t="s">
        <v>50</v>
      </c>
      <c r="O346" s="14" t="s">
        <v>51</v>
      </c>
    </row>
    <row r="347" spans="1:15">
      <c r="A347" s="15" t="s">
        <v>13</v>
      </c>
      <c r="B347" s="15" t="s">
        <v>5239</v>
      </c>
      <c r="C347" s="15" t="s">
        <v>5240</v>
      </c>
      <c r="D347" s="15" t="s">
        <v>5399</v>
      </c>
      <c r="E347" s="15">
        <v>82</v>
      </c>
      <c r="F347" s="15" t="s">
        <v>5402</v>
      </c>
      <c r="G347" s="15" t="s">
        <v>5403</v>
      </c>
      <c r="H347" s="15"/>
      <c r="I347" s="15" t="s">
        <v>49</v>
      </c>
      <c r="J347" s="7" t="str">
        <f>HYPERLINK("https://www.codechef.com/problems/CPPMCQ82", "https://www.codechef.com/problems/CPPMCQ82")</f>
        <v>https://www.codechef.com/problems/CPPMCQ82</v>
      </c>
      <c r="K347" s="15"/>
      <c r="L347" s="15"/>
      <c r="M347" s="15"/>
      <c r="N347" s="15" t="s">
        <v>50</v>
      </c>
      <c r="O347" s="15" t="s">
        <v>51</v>
      </c>
    </row>
    <row r="348" spans="1:15">
      <c r="A348" s="14" t="s">
        <v>13</v>
      </c>
      <c r="B348" s="14" t="s">
        <v>5239</v>
      </c>
      <c r="C348" s="14" t="s">
        <v>5240</v>
      </c>
      <c r="D348" s="14" t="s">
        <v>5399</v>
      </c>
      <c r="E348" s="14">
        <v>83</v>
      </c>
      <c r="F348" s="14" t="s">
        <v>5404</v>
      </c>
      <c r="G348" s="14" t="s">
        <v>5405</v>
      </c>
      <c r="H348" s="14"/>
      <c r="I348" s="14" t="s">
        <v>49</v>
      </c>
      <c r="J348" s="11" t="str">
        <f>HYPERLINK("https://www.codechef.com/problems/CPPMCQ83", "https://www.codechef.com/problems/CPPMCQ83")</f>
        <v>https://www.codechef.com/problems/CPPMCQ83</v>
      </c>
      <c r="K348" s="14"/>
      <c r="L348" s="14"/>
      <c r="M348" s="14"/>
      <c r="N348" s="14" t="s">
        <v>50</v>
      </c>
      <c r="O348" s="14" t="s">
        <v>51</v>
      </c>
    </row>
    <row r="349" spans="1:15">
      <c r="A349" s="15" t="s">
        <v>13</v>
      </c>
      <c r="B349" s="15" t="s">
        <v>5239</v>
      </c>
      <c r="C349" s="15" t="s">
        <v>5240</v>
      </c>
      <c r="D349" s="15" t="s">
        <v>5399</v>
      </c>
      <c r="E349" s="15">
        <v>84</v>
      </c>
      <c r="F349" s="15" t="s">
        <v>5406</v>
      </c>
      <c r="G349" s="15" t="s">
        <v>5407</v>
      </c>
      <c r="H349" s="15"/>
      <c r="I349" s="15" t="s">
        <v>96</v>
      </c>
      <c r="J349" s="7" t="str">
        <f>HYPERLINK("https://www.codechef.com/problems/CPPMCQ84", "https://www.codechef.com/problems/CPPMCQ84")</f>
        <v>https://www.codechef.com/problems/CPPMCQ84</v>
      </c>
      <c r="K349" s="15"/>
      <c r="L349" s="15"/>
      <c r="M349" s="15"/>
      <c r="N349" s="15" t="s">
        <v>50</v>
      </c>
      <c r="O349" s="15" t="s">
        <v>51</v>
      </c>
    </row>
    <row r="350" spans="1:15">
      <c r="A350" s="14" t="s">
        <v>13</v>
      </c>
      <c r="B350" s="14" t="s">
        <v>5239</v>
      </c>
      <c r="C350" s="14" t="s">
        <v>5240</v>
      </c>
      <c r="D350" s="14" t="s">
        <v>5399</v>
      </c>
      <c r="E350" s="14">
        <v>85</v>
      </c>
      <c r="F350" s="14" t="s">
        <v>5043</v>
      </c>
      <c r="G350" s="14" t="s">
        <v>5408</v>
      </c>
      <c r="H350" s="14"/>
      <c r="I350" s="14" t="s">
        <v>49</v>
      </c>
      <c r="J350" s="11" t="str">
        <f>HYPERLINK("https://www.codechef.com/problems/CPPMCQ85", "https://www.codechef.com/problems/CPPMCQ85")</f>
        <v>https://www.codechef.com/problems/CPPMCQ85</v>
      </c>
      <c r="K350" s="14"/>
      <c r="L350" s="14"/>
      <c r="M350" s="14"/>
      <c r="N350" s="14" t="s">
        <v>50</v>
      </c>
      <c r="O350" s="14" t="s">
        <v>51</v>
      </c>
    </row>
    <row r="351" spans="1:15">
      <c r="A351" s="15" t="s">
        <v>13</v>
      </c>
      <c r="B351" s="15" t="s">
        <v>5239</v>
      </c>
      <c r="C351" s="15" t="s">
        <v>5240</v>
      </c>
      <c r="D351" s="15" t="s">
        <v>5399</v>
      </c>
      <c r="E351" s="15">
        <v>86</v>
      </c>
      <c r="F351" s="15" t="s">
        <v>5409</v>
      </c>
      <c r="G351" s="15" t="s">
        <v>5410</v>
      </c>
      <c r="H351" s="15"/>
      <c r="I351" s="15" t="s">
        <v>322</v>
      </c>
      <c r="J351" s="7" t="str">
        <f>HYPERLINK("https://www.codechef.com/problems/CPPMCQ86", "https://www.codechef.com/problems/CPPMCQ86")</f>
        <v>https://www.codechef.com/problems/CPPMCQ86</v>
      </c>
      <c r="K351" s="15"/>
      <c r="L351" s="15"/>
      <c r="M351" s="15"/>
      <c r="N351" s="15" t="s">
        <v>50</v>
      </c>
      <c r="O351" s="15" t="s">
        <v>51</v>
      </c>
    </row>
    <row r="352" spans="1:15">
      <c r="A352" s="14" t="s">
        <v>13</v>
      </c>
      <c r="B352" s="14" t="s">
        <v>5239</v>
      </c>
      <c r="C352" s="14" t="s">
        <v>5240</v>
      </c>
      <c r="D352" s="14" t="s">
        <v>5399</v>
      </c>
      <c r="E352" s="14">
        <v>87</v>
      </c>
      <c r="F352" s="14" t="s">
        <v>5411</v>
      </c>
      <c r="G352" s="14" t="s">
        <v>5412</v>
      </c>
      <c r="H352" s="14"/>
      <c r="I352" s="14" t="s">
        <v>49</v>
      </c>
      <c r="J352" s="11" t="str">
        <f>HYPERLINK("https://www.codechef.com/problems/CPPMCQ87", "https://www.codechef.com/problems/CPPMCQ87")</f>
        <v>https://www.codechef.com/problems/CPPMCQ87</v>
      </c>
      <c r="K352" s="14"/>
      <c r="L352" s="14"/>
      <c r="M352" s="14"/>
      <c r="N352" s="14" t="s">
        <v>50</v>
      </c>
      <c r="O352" s="14" t="s">
        <v>51</v>
      </c>
    </row>
    <row r="353" spans="1:15">
      <c r="A353" s="15" t="s">
        <v>13</v>
      </c>
      <c r="B353" s="15" t="s">
        <v>5239</v>
      </c>
      <c r="C353" s="15" t="s">
        <v>5240</v>
      </c>
      <c r="D353" s="15" t="s">
        <v>5399</v>
      </c>
      <c r="E353" s="15">
        <v>88</v>
      </c>
      <c r="F353" s="15" t="s">
        <v>5413</v>
      </c>
      <c r="G353" s="15" t="s">
        <v>5414</v>
      </c>
      <c r="H353" s="15"/>
      <c r="I353" s="15" t="s">
        <v>49</v>
      </c>
      <c r="J353" s="7" t="str">
        <f>HYPERLINK("https://www.codechef.com/problems/CPPMCQ88", "https://www.codechef.com/problems/CPPMCQ88")</f>
        <v>https://www.codechef.com/problems/CPPMCQ88</v>
      </c>
      <c r="K353" s="15"/>
      <c r="L353" s="15"/>
      <c r="M353" s="15"/>
      <c r="N353" s="15" t="s">
        <v>50</v>
      </c>
      <c r="O353" s="15" t="s">
        <v>51</v>
      </c>
    </row>
    <row r="354" spans="1:15">
      <c r="A354" s="14" t="s">
        <v>13</v>
      </c>
      <c r="B354" s="14" t="s">
        <v>5239</v>
      </c>
      <c r="C354" s="14" t="s">
        <v>5240</v>
      </c>
      <c r="D354" s="14" t="s">
        <v>5399</v>
      </c>
      <c r="E354" s="14">
        <v>89</v>
      </c>
      <c r="F354" s="14" t="s">
        <v>5415</v>
      </c>
      <c r="G354" s="14" t="s">
        <v>5416</v>
      </c>
      <c r="H354" s="14"/>
      <c r="I354" s="14" t="s">
        <v>322</v>
      </c>
      <c r="J354" s="11" t="str">
        <f>HYPERLINK("https://www.codechef.com/problems/CPPMCQ89", "https://www.codechef.com/problems/CPPMCQ89")</f>
        <v>https://www.codechef.com/problems/CPPMCQ89</v>
      </c>
      <c r="K354" s="14"/>
      <c r="L354" s="14"/>
      <c r="M354" s="14"/>
      <c r="N354" s="14" t="s">
        <v>50</v>
      </c>
      <c r="O354" s="14" t="s">
        <v>51</v>
      </c>
    </row>
    <row r="355" spans="1:15">
      <c r="A355" s="15" t="s">
        <v>13</v>
      </c>
      <c r="B355" s="15" t="s">
        <v>5239</v>
      </c>
      <c r="C355" s="15" t="s">
        <v>5240</v>
      </c>
      <c r="D355" s="15" t="s">
        <v>5399</v>
      </c>
      <c r="E355" s="15">
        <v>90</v>
      </c>
      <c r="F355" s="15" t="s">
        <v>5417</v>
      </c>
      <c r="G355" s="15" t="s">
        <v>5418</v>
      </c>
      <c r="H355" s="15"/>
      <c r="I355" s="15" t="s">
        <v>96</v>
      </c>
      <c r="J355" s="7" t="str">
        <f>HYPERLINK("https://www.codechef.com/problems/CPPMCQ90", "https://www.codechef.com/problems/CPPMCQ90")</f>
        <v>https://www.codechef.com/problems/CPPMCQ90</v>
      </c>
      <c r="K355" s="15"/>
      <c r="L355" s="15"/>
      <c r="M355" s="15"/>
      <c r="N355" s="15" t="s">
        <v>50</v>
      </c>
      <c r="O355" s="15" t="s">
        <v>51</v>
      </c>
    </row>
    <row r="356" spans="1:15">
      <c r="A356" s="14" t="s">
        <v>13</v>
      </c>
      <c r="B356" s="14" t="s">
        <v>5239</v>
      </c>
      <c r="C356" s="14" t="s">
        <v>5240</v>
      </c>
      <c r="D356" s="14" t="s">
        <v>5419</v>
      </c>
      <c r="E356" s="14">
        <v>91</v>
      </c>
      <c r="F356" s="14" t="s">
        <v>5420</v>
      </c>
      <c r="G356" s="14" t="s">
        <v>5421</v>
      </c>
      <c r="H356" s="14"/>
      <c r="I356" s="14" t="s">
        <v>49</v>
      </c>
      <c r="J356" s="11" t="str">
        <f>HYPERLINK("https://www.codechef.com/problems/CPPMCQ91", "https://www.codechef.com/problems/CPPMCQ91")</f>
        <v>https://www.codechef.com/problems/CPPMCQ91</v>
      </c>
      <c r="K356" s="14"/>
      <c r="L356" s="14"/>
      <c r="M356" s="14"/>
      <c r="N356" s="14" t="s">
        <v>50</v>
      </c>
      <c r="O356" s="14" t="s">
        <v>51</v>
      </c>
    </row>
    <row r="357" spans="1:15">
      <c r="A357" s="15" t="s">
        <v>13</v>
      </c>
      <c r="B357" s="15" t="s">
        <v>5239</v>
      </c>
      <c r="C357" s="15" t="s">
        <v>5240</v>
      </c>
      <c r="D357" s="15" t="s">
        <v>5419</v>
      </c>
      <c r="E357" s="15">
        <v>92</v>
      </c>
      <c r="F357" s="15" t="s">
        <v>5422</v>
      </c>
      <c r="G357" s="15" t="s">
        <v>5423</v>
      </c>
      <c r="H357" s="15"/>
      <c r="I357" s="15" t="s">
        <v>49</v>
      </c>
      <c r="J357" s="7" t="str">
        <f>HYPERLINK("https://www.codechef.com/problems/CPPMCQ92", "https://www.codechef.com/problems/CPPMCQ92")</f>
        <v>https://www.codechef.com/problems/CPPMCQ92</v>
      </c>
      <c r="K357" s="15"/>
      <c r="L357" s="15"/>
      <c r="M357" s="15"/>
      <c r="N357" s="15" t="s">
        <v>50</v>
      </c>
      <c r="O357" s="15" t="s">
        <v>51</v>
      </c>
    </row>
    <row r="358" spans="1:15">
      <c r="A358" s="14" t="s">
        <v>13</v>
      </c>
      <c r="B358" s="14" t="s">
        <v>5239</v>
      </c>
      <c r="C358" s="14" t="s">
        <v>5240</v>
      </c>
      <c r="D358" s="14" t="s">
        <v>5419</v>
      </c>
      <c r="E358" s="14">
        <v>93</v>
      </c>
      <c r="F358" s="14" t="s">
        <v>5424</v>
      </c>
      <c r="G358" s="14" t="s">
        <v>5425</v>
      </c>
      <c r="H358" s="14"/>
      <c r="I358" s="14" t="s">
        <v>49</v>
      </c>
      <c r="J358" s="11" t="str">
        <f>HYPERLINK("https://www.codechef.com/problems/CPPMCQ93", "https://www.codechef.com/problems/CPPMCQ93")</f>
        <v>https://www.codechef.com/problems/CPPMCQ93</v>
      </c>
      <c r="K358" s="14"/>
      <c r="L358" s="14"/>
      <c r="M358" s="14"/>
      <c r="N358" s="14" t="s">
        <v>50</v>
      </c>
      <c r="O358" s="14" t="s">
        <v>51</v>
      </c>
    </row>
    <row r="359" spans="1:15">
      <c r="A359" s="15" t="s">
        <v>13</v>
      </c>
      <c r="B359" s="15" t="s">
        <v>5239</v>
      </c>
      <c r="C359" s="15" t="s">
        <v>5240</v>
      </c>
      <c r="D359" s="15" t="s">
        <v>5419</v>
      </c>
      <c r="E359" s="15">
        <v>94</v>
      </c>
      <c r="F359" s="15" t="s">
        <v>5426</v>
      </c>
      <c r="G359" s="15" t="s">
        <v>5427</v>
      </c>
      <c r="H359" s="15"/>
      <c r="I359" s="15" t="s">
        <v>322</v>
      </c>
      <c r="J359" s="7" t="str">
        <f>HYPERLINK("https://www.codechef.com/problems/CPPMCQ94", "https://www.codechef.com/problems/CPPMCQ94")</f>
        <v>https://www.codechef.com/problems/CPPMCQ94</v>
      </c>
      <c r="K359" s="15"/>
      <c r="L359" s="15"/>
      <c r="M359" s="15"/>
      <c r="N359" s="15" t="s">
        <v>50</v>
      </c>
      <c r="O359" s="15" t="s">
        <v>51</v>
      </c>
    </row>
    <row r="360" spans="1:15">
      <c r="A360" s="14" t="s">
        <v>13</v>
      </c>
      <c r="B360" s="14" t="s">
        <v>5239</v>
      </c>
      <c r="C360" s="14" t="s">
        <v>5240</v>
      </c>
      <c r="D360" s="14" t="s">
        <v>5419</v>
      </c>
      <c r="E360" s="14">
        <v>95</v>
      </c>
      <c r="F360" s="14" t="s">
        <v>5428</v>
      </c>
      <c r="G360" s="14" t="s">
        <v>5429</v>
      </c>
      <c r="H360" s="14"/>
      <c r="I360" s="14" t="s">
        <v>322</v>
      </c>
      <c r="J360" s="11" t="str">
        <f>HYPERLINK("https://www.codechef.com/problems/CPPMCQ95", "https://www.codechef.com/problems/CPPMCQ95")</f>
        <v>https://www.codechef.com/problems/CPPMCQ95</v>
      </c>
      <c r="K360" s="14"/>
      <c r="L360" s="14"/>
      <c r="M360" s="14"/>
      <c r="N360" s="14" t="s">
        <v>50</v>
      </c>
      <c r="O360" s="14" t="s">
        <v>51</v>
      </c>
    </row>
    <row r="361" spans="1:15">
      <c r="A361" s="15" t="s">
        <v>13</v>
      </c>
      <c r="B361" s="15" t="s">
        <v>5239</v>
      </c>
      <c r="C361" s="15" t="s">
        <v>5240</v>
      </c>
      <c r="D361" s="15" t="s">
        <v>5419</v>
      </c>
      <c r="E361" s="15">
        <v>96</v>
      </c>
      <c r="F361" s="15" t="s">
        <v>5430</v>
      </c>
      <c r="G361" s="15" t="s">
        <v>5431</v>
      </c>
      <c r="H361" s="15"/>
      <c r="I361" s="15" t="s">
        <v>96</v>
      </c>
      <c r="J361" s="7" t="str">
        <f>HYPERLINK("https://www.codechef.com/problems/CPPMCQ96", "https://www.codechef.com/problems/CPPMCQ96")</f>
        <v>https://www.codechef.com/problems/CPPMCQ96</v>
      </c>
      <c r="K361" s="15"/>
      <c r="L361" s="15"/>
      <c r="M361" s="15"/>
      <c r="N361" s="15" t="s">
        <v>50</v>
      </c>
      <c r="O361" s="15" t="s">
        <v>51</v>
      </c>
    </row>
    <row r="362" spans="1:15">
      <c r="A362" s="14" t="s">
        <v>13</v>
      </c>
      <c r="B362" s="14" t="s">
        <v>5239</v>
      </c>
      <c r="C362" s="14" t="s">
        <v>5240</v>
      </c>
      <c r="D362" s="14" t="s">
        <v>5419</v>
      </c>
      <c r="E362" s="14">
        <v>97</v>
      </c>
      <c r="F362" s="14" t="s">
        <v>5432</v>
      </c>
      <c r="G362" s="14" t="s">
        <v>5433</v>
      </c>
      <c r="H362" s="14"/>
      <c r="I362" s="14" t="s">
        <v>322</v>
      </c>
      <c r="J362" s="11" t="str">
        <f>HYPERLINK("https://www.codechef.com/problems/CPPMCQ97", "https://www.codechef.com/problems/CPPMCQ97")</f>
        <v>https://www.codechef.com/problems/CPPMCQ97</v>
      </c>
      <c r="K362" s="14"/>
      <c r="L362" s="14"/>
      <c r="M362" s="14"/>
      <c r="N362" s="14" t="s">
        <v>50</v>
      </c>
      <c r="O362" s="14" t="s">
        <v>51</v>
      </c>
    </row>
    <row r="363" spans="1:15">
      <c r="A363" s="15" t="s">
        <v>13</v>
      </c>
      <c r="B363" s="15" t="s">
        <v>5239</v>
      </c>
      <c r="C363" s="15" t="s">
        <v>5240</v>
      </c>
      <c r="D363" s="15" t="s">
        <v>5419</v>
      </c>
      <c r="E363" s="15">
        <v>98</v>
      </c>
      <c r="F363" s="15" t="s">
        <v>5434</v>
      </c>
      <c r="G363" s="15" t="s">
        <v>5435</v>
      </c>
      <c r="H363" s="15"/>
      <c r="I363" s="15" t="s">
        <v>322</v>
      </c>
      <c r="J363" s="7" t="str">
        <f>HYPERLINK("https://www.codechef.com/problems/CPPMCQ98", "https://www.codechef.com/problems/CPPMCQ98")</f>
        <v>https://www.codechef.com/problems/CPPMCQ98</v>
      </c>
      <c r="K363" s="15"/>
      <c r="L363" s="15"/>
      <c r="M363" s="15"/>
      <c r="N363" s="15" t="s">
        <v>50</v>
      </c>
      <c r="O363" s="15" t="s">
        <v>51</v>
      </c>
    </row>
    <row r="364" spans="1:15">
      <c r="A364" s="14" t="s">
        <v>13</v>
      </c>
      <c r="B364" s="14" t="s">
        <v>5239</v>
      </c>
      <c r="C364" s="14" t="s">
        <v>5240</v>
      </c>
      <c r="D364" s="14" t="s">
        <v>5419</v>
      </c>
      <c r="E364" s="14">
        <v>99</v>
      </c>
      <c r="F364" s="14" t="s">
        <v>5436</v>
      </c>
      <c r="G364" s="14" t="s">
        <v>5437</v>
      </c>
      <c r="H364" s="14"/>
      <c r="I364" s="14" t="s">
        <v>96</v>
      </c>
      <c r="J364" s="11" t="str">
        <f>HYPERLINK("https://www.codechef.com/problems/CPPMCQ99", "https://www.codechef.com/problems/CPPMCQ99")</f>
        <v>https://www.codechef.com/problems/CPPMCQ99</v>
      </c>
      <c r="K364" s="14"/>
      <c r="L364" s="14"/>
      <c r="M364" s="14"/>
      <c r="N364" s="14" t="s">
        <v>50</v>
      </c>
      <c r="O364" s="14" t="s">
        <v>51</v>
      </c>
    </row>
    <row r="365" spans="1:15">
      <c r="A365" s="15" t="s">
        <v>13</v>
      </c>
      <c r="B365" s="15" t="s">
        <v>5239</v>
      </c>
      <c r="C365" s="15" t="s">
        <v>5240</v>
      </c>
      <c r="D365" s="15" t="s">
        <v>5419</v>
      </c>
      <c r="E365" s="15">
        <v>100</v>
      </c>
      <c r="F365" s="15" t="s">
        <v>5438</v>
      </c>
      <c r="G365" s="15" t="s">
        <v>5439</v>
      </c>
      <c r="H365" s="15"/>
      <c r="I365" s="15" t="s">
        <v>96</v>
      </c>
      <c r="J365" s="7" t="str">
        <f>HYPERLINK("https://www.codechef.com/problems/CPPMCQ100", "https://www.codechef.com/problems/CPPMCQ100")</f>
        <v>https://www.codechef.com/problems/CPPMCQ100</v>
      </c>
      <c r="K365" s="15"/>
      <c r="L365" s="15"/>
      <c r="M365" s="15"/>
      <c r="N365" s="15" t="s">
        <v>50</v>
      </c>
      <c r="O365" s="15" t="s">
        <v>51</v>
      </c>
    </row>
    <row r="366" spans="1:15">
      <c r="A366" s="14" t="s">
        <v>13</v>
      </c>
      <c r="B366" s="14" t="s">
        <v>5239</v>
      </c>
      <c r="C366" s="14" t="s">
        <v>5240</v>
      </c>
      <c r="D366" s="14" t="s">
        <v>5440</v>
      </c>
      <c r="E366" s="14">
        <v>101</v>
      </c>
      <c r="F366" s="14" t="s">
        <v>5441</v>
      </c>
      <c r="G366" s="14" t="s">
        <v>5442</v>
      </c>
      <c r="H366" s="14"/>
      <c r="I366" s="14" t="s">
        <v>49</v>
      </c>
      <c r="J366" s="11" t="str">
        <f>HYPERLINK("https://www.codechef.com/problems/CPPMCQ101", "https://www.codechef.com/problems/CPPMCQ101")</f>
        <v>https://www.codechef.com/problems/CPPMCQ101</v>
      </c>
      <c r="K366" s="14"/>
      <c r="L366" s="14"/>
      <c r="M366" s="14"/>
      <c r="N366" s="14" t="s">
        <v>50</v>
      </c>
      <c r="O366" s="14" t="s">
        <v>51</v>
      </c>
    </row>
    <row r="367" spans="1:15">
      <c r="A367" s="15" t="s">
        <v>13</v>
      </c>
      <c r="B367" s="15" t="s">
        <v>5239</v>
      </c>
      <c r="C367" s="15" t="s">
        <v>5240</v>
      </c>
      <c r="D367" s="15" t="s">
        <v>5440</v>
      </c>
      <c r="E367" s="15">
        <v>102</v>
      </c>
      <c r="F367" s="15" t="s">
        <v>5443</v>
      </c>
      <c r="G367" s="15" t="s">
        <v>5444</v>
      </c>
      <c r="H367" s="15"/>
      <c r="I367" s="15" t="s">
        <v>96</v>
      </c>
      <c r="J367" s="7" t="str">
        <f>HYPERLINK("https://www.codechef.com/problems/CPPMCQ102", "https://www.codechef.com/problems/CPPMCQ102")</f>
        <v>https://www.codechef.com/problems/CPPMCQ102</v>
      </c>
      <c r="K367" s="15"/>
      <c r="L367" s="15"/>
      <c r="M367" s="15"/>
      <c r="N367" s="15" t="s">
        <v>50</v>
      </c>
      <c r="O367" s="15" t="s">
        <v>51</v>
      </c>
    </row>
    <row r="368" spans="1:15">
      <c r="A368" s="14" t="s">
        <v>13</v>
      </c>
      <c r="B368" s="14" t="s">
        <v>5239</v>
      </c>
      <c r="C368" s="14" t="s">
        <v>5240</v>
      </c>
      <c r="D368" s="14" t="s">
        <v>5440</v>
      </c>
      <c r="E368" s="14">
        <v>103</v>
      </c>
      <c r="F368" s="14" t="s">
        <v>5445</v>
      </c>
      <c r="G368" s="14" t="s">
        <v>5446</v>
      </c>
      <c r="H368" s="14"/>
      <c r="I368" s="14" t="s">
        <v>96</v>
      </c>
      <c r="J368" s="11" t="str">
        <f>HYPERLINK("https://www.codechef.com/problems/CPPMCQ103", "https://www.codechef.com/problems/CPPMCQ103")</f>
        <v>https://www.codechef.com/problems/CPPMCQ103</v>
      </c>
      <c r="K368" s="14"/>
      <c r="L368" s="14"/>
      <c r="M368" s="14"/>
      <c r="N368" s="14" t="s">
        <v>50</v>
      </c>
      <c r="O368" s="14" t="s">
        <v>51</v>
      </c>
    </row>
    <row r="369" spans="1:15">
      <c r="A369" s="15" t="s">
        <v>13</v>
      </c>
      <c r="B369" s="15" t="s">
        <v>5239</v>
      </c>
      <c r="C369" s="15" t="s">
        <v>5240</v>
      </c>
      <c r="D369" s="15" t="s">
        <v>5440</v>
      </c>
      <c r="E369" s="15">
        <v>104</v>
      </c>
      <c r="F369" s="15" t="s">
        <v>5447</v>
      </c>
      <c r="G369" s="15" t="s">
        <v>5448</v>
      </c>
      <c r="H369" s="15"/>
      <c r="I369" s="15" t="s">
        <v>96</v>
      </c>
      <c r="J369" s="7" t="str">
        <f>HYPERLINK("https://www.codechef.com/problems/CPPMCQ104", "https://www.codechef.com/problems/CPPMCQ104")</f>
        <v>https://www.codechef.com/problems/CPPMCQ104</v>
      </c>
      <c r="K369" s="15"/>
      <c r="L369" s="15"/>
      <c r="M369" s="15"/>
      <c r="N369" s="15" t="s">
        <v>50</v>
      </c>
      <c r="O369" s="15" t="s">
        <v>51</v>
      </c>
    </row>
    <row r="370" spans="1:15">
      <c r="A370" s="14" t="s">
        <v>13</v>
      </c>
      <c r="B370" s="14" t="s">
        <v>5239</v>
      </c>
      <c r="C370" s="14" t="s">
        <v>5240</v>
      </c>
      <c r="D370" s="14" t="s">
        <v>5440</v>
      </c>
      <c r="E370" s="14">
        <v>105</v>
      </c>
      <c r="F370" s="14" t="s">
        <v>5449</v>
      </c>
      <c r="G370" s="14" t="s">
        <v>5450</v>
      </c>
      <c r="H370" s="14"/>
      <c r="I370" s="14" t="s">
        <v>96</v>
      </c>
      <c r="J370" s="11" t="str">
        <f>HYPERLINK("https://www.codechef.com/problems/CPPMCQ105", "https://www.codechef.com/problems/CPPMCQ105")</f>
        <v>https://www.codechef.com/problems/CPPMCQ105</v>
      </c>
      <c r="K370" s="14"/>
      <c r="L370" s="14"/>
      <c r="M370" s="14"/>
      <c r="N370" s="14" t="s">
        <v>50</v>
      </c>
      <c r="O370" s="14" t="s">
        <v>51</v>
      </c>
    </row>
    <row r="371" spans="1:15">
      <c r="A371" s="15" t="s">
        <v>13</v>
      </c>
      <c r="B371" s="15" t="s">
        <v>5239</v>
      </c>
      <c r="C371" s="15" t="s">
        <v>5240</v>
      </c>
      <c r="D371" s="15" t="s">
        <v>5440</v>
      </c>
      <c r="E371" s="15">
        <v>106</v>
      </c>
      <c r="F371" s="15" t="s">
        <v>5451</v>
      </c>
      <c r="G371" s="15" t="s">
        <v>5452</v>
      </c>
      <c r="H371" s="15"/>
      <c r="I371" s="15" t="s">
        <v>96</v>
      </c>
      <c r="J371" s="7" t="str">
        <f>HYPERLINK("https://www.codechef.com/problems/CPPMCQ106", "https://www.codechef.com/problems/CPPMCQ106")</f>
        <v>https://www.codechef.com/problems/CPPMCQ106</v>
      </c>
      <c r="K371" s="15"/>
      <c r="L371" s="15"/>
      <c r="M371" s="15"/>
      <c r="N371" s="15" t="s">
        <v>50</v>
      </c>
      <c r="O371" s="15" t="s">
        <v>51</v>
      </c>
    </row>
    <row r="372" spans="1:15">
      <c r="A372" s="14" t="s">
        <v>13</v>
      </c>
      <c r="B372" s="14" t="s">
        <v>5239</v>
      </c>
      <c r="C372" s="14" t="s">
        <v>5240</v>
      </c>
      <c r="D372" s="14" t="s">
        <v>5440</v>
      </c>
      <c r="E372" s="14">
        <v>107</v>
      </c>
      <c r="F372" s="14" t="s">
        <v>5453</v>
      </c>
      <c r="G372" s="14" t="s">
        <v>5454</v>
      </c>
      <c r="H372" s="14"/>
      <c r="I372" s="14" t="s">
        <v>96</v>
      </c>
      <c r="J372" s="11" t="str">
        <f>HYPERLINK("https://www.codechef.com/problems/CPPMCQ107", "https://www.codechef.com/problems/CPPMCQ107")</f>
        <v>https://www.codechef.com/problems/CPPMCQ107</v>
      </c>
      <c r="K372" s="14"/>
      <c r="L372" s="14"/>
      <c r="M372" s="14"/>
      <c r="N372" s="14" t="s">
        <v>50</v>
      </c>
      <c r="O372" s="14" t="s">
        <v>51</v>
      </c>
    </row>
    <row r="373" spans="1:15">
      <c r="A373" s="15" t="s">
        <v>13</v>
      </c>
      <c r="B373" s="15" t="s">
        <v>5239</v>
      </c>
      <c r="C373" s="15" t="s">
        <v>5240</v>
      </c>
      <c r="D373" s="15" t="s">
        <v>5440</v>
      </c>
      <c r="E373" s="15">
        <v>108</v>
      </c>
      <c r="F373" s="15" t="s">
        <v>5455</v>
      </c>
      <c r="G373" s="15" t="s">
        <v>5456</v>
      </c>
      <c r="H373" s="15"/>
      <c r="I373" s="15" t="s">
        <v>96</v>
      </c>
      <c r="J373" s="7" t="str">
        <f>HYPERLINK("https://www.codechef.com/problems/CPPMCQ108", "https://www.codechef.com/problems/CPPMCQ108")</f>
        <v>https://www.codechef.com/problems/CPPMCQ108</v>
      </c>
      <c r="K373" s="15"/>
      <c r="L373" s="15"/>
      <c r="M373" s="15"/>
      <c r="N373" s="15" t="s">
        <v>50</v>
      </c>
      <c r="O373" s="15" t="s">
        <v>51</v>
      </c>
    </row>
    <row r="374" spans="1:15">
      <c r="A374" s="14" t="s">
        <v>13</v>
      </c>
      <c r="B374" s="14" t="s">
        <v>5239</v>
      </c>
      <c r="C374" s="14" t="s">
        <v>5240</v>
      </c>
      <c r="D374" s="14" t="s">
        <v>5440</v>
      </c>
      <c r="E374" s="14">
        <v>109</v>
      </c>
      <c r="F374" s="14" t="s">
        <v>5457</v>
      </c>
      <c r="G374" s="14" t="s">
        <v>5458</v>
      </c>
      <c r="H374" s="14"/>
      <c r="I374" s="14" t="s">
        <v>96</v>
      </c>
      <c r="J374" s="11" t="str">
        <f>HYPERLINK("https://www.codechef.com/problems/CPPMCQ109", "https://www.codechef.com/problems/CPPMCQ109")</f>
        <v>https://www.codechef.com/problems/CPPMCQ109</v>
      </c>
      <c r="K374" s="14"/>
      <c r="L374" s="14"/>
      <c r="M374" s="14"/>
      <c r="N374" s="14" t="s">
        <v>50</v>
      </c>
      <c r="O374" s="14" t="s">
        <v>51</v>
      </c>
    </row>
    <row r="375" spans="1:15">
      <c r="A375" s="15" t="s">
        <v>13</v>
      </c>
      <c r="B375" s="15" t="s">
        <v>5239</v>
      </c>
      <c r="C375" s="15" t="s">
        <v>5240</v>
      </c>
      <c r="D375" s="15" t="s">
        <v>5440</v>
      </c>
      <c r="E375" s="15">
        <v>110</v>
      </c>
      <c r="F375" s="15" t="s">
        <v>5459</v>
      </c>
      <c r="G375" s="15" t="s">
        <v>5460</v>
      </c>
      <c r="H375" s="15"/>
      <c r="I375" s="15" t="s">
        <v>49</v>
      </c>
      <c r="J375" s="7" t="str">
        <f>HYPERLINK("https://www.codechef.com/problems/CPPMCQ110", "https://www.codechef.com/problems/CPPMCQ110")</f>
        <v>https://www.codechef.com/problems/CPPMCQ110</v>
      </c>
      <c r="K375" s="15"/>
      <c r="L375" s="15"/>
      <c r="M375" s="15"/>
      <c r="N375" s="15" t="s">
        <v>50</v>
      </c>
      <c r="O375" s="15" t="s">
        <v>51</v>
      </c>
    </row>
    <row r="376" spans="1:15">
      <c r="A376" s="14" t="s">
        <v>13</v>
      </c>
      <c r="B376" s="14" t="s">
        <v>5239</v>
      </c>
      <c r="C376" s="14" t="s">
        <v>5240</v>
      </c>
      <c r="D376" s="14" t="s">
        <v>5461</v>
      </c>
      <c r="E376" s="14">
        <v>111</v>
      </c>
      <c r="F376" s="14" t="s">
        <v>5462</v>
      </c>
      <c r="G376" s="14" t="s">
        <v>5463</v>
      </c>
      <c r="H376" s="14"/>
      <c r="I376" s="14" t="s">
        <v>49</v>
      </c>
      <c r="J376" s="11" t="str">
        <f>HYPERLINK("https://www.codechef.com/problems/CPPMCQ111", "https://www.codechef.com/problems/CPPMCQ111")</f>
        <v>https://www.codechef.com/problems/CPPMCQ111</v>
      </c>
      <c r="K376" s="14"/>
      <c r="L376" s="14"/>
      <c r="M376" s="14"/>
      <c r="N376" s="14" t="s">
        <v>50</v>
      </c>
      <c r="O376" s="14" t="s">
        <v>51</v>
      </c>
    </row>
    <row r="377" spans="1:15">
      <c r="A377" s="15" t="s">
        <v>13</v>
      </c>
      <c r="B377" s="15" t="s">
        <v>5239</v>
      </c>
      <c r="C377" s="15" t="s">
        <v>5240</v>
      </c>
      <c r="D377" s="15" t="s">
        <v>5461</v>
      </c>
      <c r="E377" s="15">
        <v>112</v>
      </c>
      <c r="F377" s="15" t="s">
        <v>5464</v>
      </c>
      <c r="G377" s="15" t="s">
        <v>5465</v>
      </c>
      <c r="H377" s="15"/>
      <c r="I377" s="15" t="s">
        <v>49</v>
      </c>
      <c r="J377" s="7" t="str">
        <f>HYPERLINK("https://www.codechef.com/problems/CPPMCQ112", "https://www.codechef.com/problems/CPPMCQ112")</f>
        <v>https://www.codechef.com/problems/CPPMCQ112</v>
      </c>
      <c r="K377" s="15"/>
      <c r="L377" s="15"/>
      <c r="M377" s="15"/>
      <c r="N377" s="15" t="s">
        <v>50</v>
      </c>
      <c r="O377" s="15" t="s">
        <v>51</v>
      </c>
    </row>
    <row r="378" spans="1:15">
      <c r="A378" s="14" t="s">
        <v>13</v>
      </c>
      <c r="B378" s="14" t="s">
        <v>5239</v>
      </c>
      <c r="C378" s="14" t="s">
        <v>5240</v>
      </c>
      <c r="D378" s="14" t="s">
        <v>5461</v>
      </c>
      <c r="E378" s="14">
        <v>113</v>
      </c>
      <c r="F378" s="14" t="s">
        <v>5466</v>
      </c>
      <c r="G378" s="14" t="s">
        <v>5467</v>
      </c>
      <c r="H378" s="14"/>
      <c r="I378" s="14" t="s">
        <v>49</v>
      </c>
      <c r="J378" s="11" t="str">
        <f>HYPERLINK("https://www.codechef.com/problems/CPPMCQ113", "https://www.codechef.com/problems/CPPMCQ113")</f>
        <v>https://www.codechef.com/problems/CPPMCQ113</v>
      </c>
      <c r="K378" s="14"/>
      <c r="L378" s="14"/>
      <c r="M378" s="14"/>
      <c r="N378" s="14" t="s">
        <v>50</v>
      </c>
      <c r="O378" s="14" t="s">
        <v>51</v>
      </c>
    </row>
    <row r="379" spans="1:15">
      <c r="A379" s="15" t="s">
        <v>13</v>
      </c>
      <c r="B379" s="15" t="s">
        <v>5239</v>
      </c>
      <c r="C379" s="15" t="s">
        <v>5240</v>
      </c>
      <c r="D379" s="15" t="s">
        <v>5461</v>
      </c>
      <c r="E379" s="15">
        <v>114</v>
      </c>
      <c r="F379" s="15" t="s">
        <v>5468</v>
      </c>
      <c r="G379" s="15" t="s">
        <v>5469</v>
      </c>
      <c r="H379" s="15"/>
      <c r="I379" s="15" t="s">
        <v>49</v>
      </c>
      <c r="J379" s="7" t="str">
        <f>HYPERLINK("https://www.codechef.com/problems/CPPMCQ114", "https://www.codechef.com/problems/CPPMCQ114")</f>
        <v>https://www.codechef.com/problems/CPPMCQ114</v>
      </c>
      <c r="K379" s="15"/>
      <c r="L379" s="15"/>
      <c r="M379" s="15"/>
      <c r="N379" s="15" t="s">
        <v>50</v>
      </c>
      <c r="O379" s="15" t="s">
        <v>51</v>
      </c>
    </row>
    <row r="380" spans="1:15">
      <c r="A380" s="14" t="s">
        <v>13</v>
      </c>
      <c r="B380" s="14" t="s">
        <v>5239</v>
      </c>
      <c r="C380" s="14" t="s">
        <v>5240</v>
      </c>
      <c r="D380" s="14" t="s">
        <v>5461</v>
      </c>
      <c r="E380" s="14">
        <v>115</v>
      </c>
      <c r="F380" s="14" t="s">
        <v>5470</v>
      </c>
      <c r="G380" s="14" t="s">
        <v>5471</v>
      </c>
      <c r="H380" s="14"/>
      <c r="I380" s="14" t="s">
        <v>49</v>
      </c>
      <c r="J380" s="11" t="str">
        <f>HYPERLINK("https://www.codechef.com/problems/CPPMCQ115", "https://www.codechef.com/problems/CPPMCQ115")</f>
        <v>https://www.codechef.com/problems/CPPMCQ115</v>
      </c>
      <c r="K380" s="14"/>
      <c r="L380" s="14"/>
      <c r="M380" s="14"/>
      <c r="N380" s="14" t="s">
        <v>50</v>
      </c>
      <c r="O380" s="14" t="s">
        <v>51</v>
      </c>
    </row>
    <row r="381" spans="1:15">
      <c r="A381" s="15" t="s">
        <v>13</v>
      </c>
      <c r="B381" s="15" t="s">
        <v>5239</v>
      </c>
      <c r="C381" s="15" t="s">
        <v>5240</v>
      </c>
      <c r="D381" s="15" t="s">
        <v>5461</v>
      </c>
      <c r="E381" s="15">
        <v>116</v>
      </c>
      <c r="F381" s="15" t="s">
        <v>5472</v>
      </c>
      <c r="G381" s="15" t="s">
        <v>5473</v>
      </c>
      <c r="H381" s="15"/>
      <c r="I381" s="15" t="s">
        <v>49</v>
      </c>
      <c r="J381" s="7" t="str">
        <f>HYPERLINK("https://www.codechef.com/problems/CPPMCQ116", "https://www.codechef.com/problems/CPPMCQ116")</f>
        <v>https://www.codechef.com/problems/CPPMCQ116</v>
      </c>
      <c r="K381" s="15"/>
      <c r="L381" s="15"/>
      <c r="M381" s="15"/>
      <c r="N381" s="15" t="s">
        <v>50</v>
      </c>
      <c r="O381" s="15" t="s">
        <v>51</v>
      </c>
    </row>
    <row r="382" spans="1:15">
      <c r="A382" s="14" t="s">
        <v>13</v>
      </c>
      <c r="B382" s="14" t="s">
        <v>5239</v>
      </c>
      <c r="C382" s="14" t="s">
        <v>5240</v>
      </c>
      <c r="D382" s="14" t="s">
        <v>5461</v>
      </c>
      <c r="E382" s="14">
        <v>117</v>
      </c>
      <c r="F382" s="14" t="s">
        <v>5474</v>
      </c>
      <c r="G382" s="14" t="s">
        <v>5475</v>
      </c>
      <c r="H382" s="14"/>
      <c r="I382" s="14" t="s">
        <v>49</v>
      </c>
      <c r="J382" s="11" t="str">
        <f>HYPERLINK("https://www.codechef.com/problems/CPPMCQ117", "https://www.codechef.com/problems/CPPMCQ117")</f>
        <v>https://www.codechef.com/problems/CPPMCQ117</v>
      </c>
      <c r="K382" s="14"/>
      <c r="L382" s="14"/>
      <c r="M382" s="14"/>
      <c r="N382" s="14" t="s">
        <v>50</v>
      </c>
      <c r="O382" s="14" t="s">
        <v>51</v>
      </c>
    </row>
    <row r="383" spans="1:15">
      <c r="A383" s="15" t="s">
        <v>13</v>
      </c>
      <c r="B383" s="15" t="s">
        <v>5239</v>
      </c>
      <c r="C383" s="15" t="s">
        <v>5240</v>
      </c>
      <c r="D383" s="15" t="s">
        <v>5461</v>
      </c>
      <c r="E383" s="15">
        <v>118</v>
      </c>
      <c r="F383" s="15" t="s">
        <v>5476</v>
      </c>
      <c r="G383" s="15" t="s">
        <v>5477</v>
      </c>
      <c r="H383" s="15"/>
      <c r="I383" s="15" t="s">
        <v>322</v>
      </c>
      <c r="J383" s="7" t="str">
        <f>HYPERLINK("https://www.codechef.com/problems/CPPMCQ118", "https://www.codechef.com/problems/CPPMCQ118")</f>
        <v>https://www.codechef.com/problems/CPPMCQ118</v>
      </c>
      <c r="K383" s="15"/>
      <c r="L383" s="15"/>
      <c r="M383" s="15"/>
      <c r="N383" s="15" t="s">
        <v>50</v>
      </c>
      <c r="O383" s="15" t="s">
        <v>51</v>
      </c>
    </row>
    <row r="384" spans="1:15">
      <c r="A384" s="14" t="s">
        <v>13</v>
      </c>
      <c r="B384" s="14" t="s">
        <v>5239</v>
      </c>
      <c r="C384" s="14" t="s">
        <v>5240</v>
      </c>
      <c r="D384" s="14" t="s">
        <v>5461</v>
      </c>
      <c r="E384" s="14">
        <v>119</v>
      </c>
      <c r="F384" s="14" t="s">
        <v>5478</v>
      </c>
      <c r="G384" s="14" t="s">
        <v>5479</v>
      </c>
      <c r="H384" s="14"/>
      <c r="I384" s="14" t="s">
        <v>96</v>
      </c>
      <c r="J384" s="11" t="str">
        <f>HYPERLINK("https://www.codechef.com/problems/CPPMCQ119", "https://www.codechef.com/problems/CPPMCQ119")</f>
        <v>https://www.codechef.com/problems/CPPMCQ119</v>
      </c>
      <c r="K384" s="14"/>
      <c r="L384" s="14"/>
      <c r="M384" s="14"/>
      <c r="N384" s="14" t="s">
        <v>50</v>
      </c>
      <c r="O384" s="14" t="s">
        <v>51</v>
      </c>
    </row>
    <row r="385" spans="1:15">
      <c r="A385" s="15" t="s">
        <v>13</v>
      </c>
      <c r="B385" s="15" t="s">
        <v>5239</v>
      </c>
      <c r="C385" s="15" t="s">
        <v>5240</v>
      </c>
      <c r="D385" s="15" t="s">
        <v>5461</v>
      </c>
      <c r="E385" s="15">
        <v>120</v>
      </c>
      <c r="F385" s="15" t="s">
        <v>5480</v>
      </c>
      <c r="G385" s="15" t="s">
        <v>5481</v>
      </c>
      <c r="H385" s="15"/>
      <c r="I385" s="15" t="s">
        <v>96</v>
      </c>
      <c r="J385" s="7" t="str">
        <f>HYPERLINK("https://www.codechef.com/problems/CPPMCQ120", "https://www.codechef.com/problems/CPPMCQ120")</f>
        <v>https://www.codechef.com/problems/CPPMCQ120</v>
      </c>
      <c r="K385" s="15"/>
      <c r="L385" s="15"/>
      <c r="M385" s="15"/>
      <c r="N385" s="15" t="s">
        <v>50</v>
      </c>
      <c r="O385" s="15" t="s">
        <v>51</v>
      </c>
    </row>
    <row r="386" spans="1:15">
      <c r="A386" s="14" t="s">
        <v>13</v>
      </c>
      <c r="B386" s="14" t="s">
        <v>5482</v>
      </c>
      <c r="C386" s="14" t="s">
        <v>5483</v>
      </c>
      <c r="D386" s="14" t="s">
        <v>5484</v>
      </c>
      <c r="E386" s="14">
        <v>1</v>
      </c>
      <c r="F386" s="14" t="s">
        <v>5485</v>
      </c>
      <c r="G386" s="14" t="s">
        <v>5486</v>
      </c>
      <c r="H386" s="14"/>
      <c r="I386" s="14" t="s">
        <v>49</v>
      </c>
      <c r="J386" s="11" t="str">
        <f>HYPERLINK("https://www.codechef.com/problems/SQLMCQ01", "https://www.codechef.com/problems/SQLMCQ01")</f>
        <v>https://www.codechef.com/problems/SQLMCQ01</v>
      </c>
      <c r="K386" s="14"/>
      <c r="L386" s="14"/>
      <c r="M386" s="14"/>
      <c r="N386" s="14" t="s">
        <v>50</v>
      </c>
      <c r="O386" s="14" t="s">
        <v>51</v>
      </c>
    </row>
    <row r="387" spans="1:15">
      <c r="A387" s="15" t="s">
        <v>13</v>
      </c>
      <c r="B387" s="15" t="s">
        <v>5482</v>
      </c>
      <c r="C387" s="15" t="s">
        <v>5483</v>
      </c>
      <c r="D387" s="15" t="s">
        <v>5484</v>
      </c>
      <c r="E387" s="15">
        <v>2</v>
      </c>
      <c r="F387" s="15" t="s">
        <v>5487</v>
      </c>
      <c r="G387" s="15" t="s">
        <v>5488</v>
      </c>
      <c r="H387" s="15"/>
      <c r="I387" s="15" t="s">
        <v>49</v>
      </c>
      <c r="J387" s="7" t="str">
        <f>HYPERLINK("https://www.codechef.com/problems/SQLMCQ02", "https://www.codechef.com/problems/SQLMCQ02")</f>
        <v>https://www.codechef.com/problems/SQLMCQ02</v>
      </c>
      <c r="K387" s="15"/>
      <c r="L387" s="15"/>
      <c r="M387" s="15"/>
      <c r="N387" s="15" t="s">
        <v>50</v>
      </c>
      <c r="O387" s="15" t="s">
        <v>51</v>
      </c>
    </row>
    <row r="388" spans="1:15">
      <c r="A388" s="14" t="s">
        <v>13</v>
      </c>
      <c r="B388" s="14" t="s">
        <v>5482</v>
      </c>
      <c r="C388" s="14" t="s">
        <v>5483</v>
      </c>
      <c r="D388" s="14" t="s">
        <v>5484</v>
      </c>
      <c r="E388" s="14">
        <v>3</v>
      </c>
      <c r="F388" s="14" t="s">
        <v>5489</v>
      </c>
      <c r="G388" s="14" t="s">
        <v>5490</v>
      </c>
      <c r="H388" s="14"/>
      <c r="I388" s="14" t="s">
        <v>49</v>
      </c>
      <c r="J388" s="11" t="str">
        <f>HYPERLINK("https://www.codechef.com/problems/SQLMCQ03", "https://www.codechef.com/problems/SQLMCQ03")</f>
        <v>https://www.codechef.com/problems/SQLMCQ03</v>
      </c>
      <c r="K388" s="14"/>
      <c r="L388" s="14"/>
      <c r="M388" s="14"/>
      <c r="N388" s="14" t="s">
        <v>50</v>
      </c>
      <c r="O388" s="14" t="s">
        <v>51</v>
      </c>
    </row>
    <row r="389" spans="1:15">
      <c r="A389" s="15" t="s">
        <v>13</v>
      </c>
      <c r="B389" s="15" t="s">
        <v>5482</v>
      </c>
      <c r="C389" s="15" t="s">
        <v>5483</v>
      </c>
      <c r="D389" s="15" t="s">
        <v>5484</v>
      </c>
      <c r="E389" s="15">
        <v>4</v>
      </c>
      <c r="F389" s="15" t="s">
        <v>3937</v>
      </c>
      <c r="G389" s="15" t="s">
        <v>5491</v>
      </c>
      <c r="H389" s="15"/>
      <c r="I389" s="15" t="s">
        <v>49</v>
      </c>
      <c r="J389" s="7" t="str">
        <f>HYPERLINK("https://www.codechef.com/problems/SQLMCQ04", "https://www.codechef.com/problems/SQLMCQ04")</f>
        <v>https://www.codechef.com/problems/SQLMCQ04</v>
      </c>
      <c r="K389" s="15"/>
      <c r="L389" s="15"/>
      <c r="M389" s="15"/>
      <c r="N389" s="15" t="s">
        <v>50</v>
      </c>
      <c r="O389" s="15" t="s">
        <v>51</v>
      </c>
    </row>
    <row r="390" spans="1:15">
      <c r="A390" s="14" t="s">
        <v>13</v>
      </c>
      <c r="B390" s="14" t="s">
        <v>5482</v>
      </c>
      <c r="C390" s="14" t="s">
        <v>5483</v>
      </c>
      <c r="D390" s="14" t="s">
        <v>5484</v>
      </c>
      <c r="E390" s="14">
        <v>5</v>
      </c>
      <c r="F390" s="14" t="s">
        <v>5492</v>
      </c>
      <c r="G390" s="14" t="s">
        <v>5493</v>
      </c>
      <c r="H390" s="14"/>
      <c r="I390" s="14" t="s">
        <v>49</v>
      </c>
      <c r="J390" s="11" t="str">
        <f>HYPERLINK("https://www.codechef.com/problems/SQLMCQ05", "https://www.codechef.com/problems/SQLMCQ05")</f>
        <v>https://www.codechef.com/problems/SQLMCQ05</v>
      </c>
      <c r="K390" s="14"/>
      <c r="L390" s="14"/>
      <c r="M390" s="14"/>
      <c r="N390" s="14" t="s">
        <v>50</v>
      </c>
      <c r="O390" s="14" t="s">
        <v>51</v>
      </c>
    </row>
    <row r="391" spans="1:15">
      <c r="A391" s="15" t="s">
        <v>13</v>
      </c>
      <c r="B391" s="15" t="s">
        <v>5482</v>
      </c>
      <c r="C391" s="15" t="s">
        <v>5483</v>
      </c>
      <c r="D391" s="15" t="s">
        <v>5494</v>
      </c>
      <c r="E391" s="15">
        <v>6</v>
      </c>
      <c r="F391" s="15" t="s">
        <v>5495</v>
      </c>
      <c r="G391" s="15" t="s">
        <v>5496</v>
      </c>
      <c r="H391" s="15"/>
      <c r="I391" s="15" t="s">
        <v>49</v>
      </c>
      <c r="J391" s="7" t="str">
        <f>HYPERLINK("https://www.codechef.com/problems/SQLMCQ06", "https://www.codechef.com/problems/SQLMCQ06")</f>
        <v>https://www.codechef.com/problems/SQLMCQ06</v>
      </c>
      <c r="K391" s="15"/>
      <c r="L391" s="15"/>
      <c r="M391" s="15"/>
      <c r="N391" s="15" t="s">
        <v>50</v>
      </c>
      <c r="O391" s="15" t="s">
        <v>51</v>
      </c>
    </row>
    <row r="392" spans="1:15">
      <c r="A392" s="14" t="s">
        <v>13</v>
      </c>
      <c r="B392" s="14" t="s">
        <v>5482</v>
      </c>
      <c r="C392" s="14" t="s">
        <v>5483</v>
      </c>
      <c r="D392" s="14" t="s">
        <v>5494</v>
      </c>
      <c r="E392" s="14">
        <v>7</v>
      </c>
      <c r="F392" s="14" t="s">
        <v>5485</v>
      </c>
      <c r="G392" s="14" t="s">
        <v>5497</v>
      </c>
      <c r="H392" s="14"/>
      <c r="I392" s="14" t="s">
        <v>49</v>
      </c>
      <c r="J392" s="11" t="str">
        <f>HYPERLINK("https://www.codechef.com/problems/SQLMCQ07", "https://www.codechef.com/problems/SQLMCQ07")</f>
        <v>https://www.codechef.com/problems/SQLMCQ07</v>
      </c>
      <c r="K392" s="14"/>
      <c r="L392" s="14"/>
      <c r="M392" s="14"/>
      <c r="N392" s="14" t="s">
        <v>50</v>
      </c>
      <c r="O392" s="14" t="s">
        <v>51</v>
      </c>
    </row>
    <row r="393" spans="1:15">
      <c r="A393" s="15" t="s">
        <v>13</v>
      </c>
      <c r="B393" s="15" t="s">
        <v>5482</v>
      </c>
      <c r="C393" s="15" t="s">
        <v>5483</v>
      </c>
      <c r="D393" s="15" t="s">
        <v>5494</v>
      </c>
      <c r="E393" s="15">
        <v>8</v>
      </c>
      <c r="F393" s="15" t="s">
        <v>5498</v>
      </c>
      <c r="G393" s="15" t="s">
        <v>5499</v>
      </c>
      <c r="H393" s="15"/>
      <c r="I393" s="15" t="s">
        <v>49</v>
      </c>
      <c r="J393" s="7" t="str">
        <f>HYPERLINK("https://www.codechef.com/problems/SQLMCQ08", "https://www.codechef.com/problems/SQLMCQ08")</f>
        <v>https://www.codechef.com/problems/SQLMCQ08</v>
      </c>
      <c r="K393" s="15"/>
      <c r="L393" s="15"/>
      <c r="M393" s="15"/>
      <c r="N393" s="15" t="s">
        <v>50</v>
      </c>
      <c r="O393" s="15" t="s">
        <v>51</v>
      </c>
    </row>
    <row r="394" spans="1:15">
      <c r="A394" s="14" t="s">
        <v>13</v>
      </c>
      <c r="B394" s="14" t="s">
        <v>5482</v>
      </c>
      <c r="C394" s="14" t="s">
        <v>5483</v>
      </c>
      <c r="D394" s="14" t="s">
        <v>5494</v>
      </c>
      <c r="E394" s="14">
        <v>9</v>
      </c>
      <c r="F394" s="14" t="s">
        <v>5500</v>
      </c>
      <c r="G394" s="14" t="s">
        <v>5501</v>
      </c>
      <c r="H394" s="14"/>
      <c r="I394" s="14" t="s">
        <v>96</v>
      </c>
      <c r="J394" s="11" t="str">
        <f>HYPERLINK("https://www.codechef.com/problems/SQLMCQ09", "https://www.codechef.com/problems/SQLMCQ09")</f>
        <v>https://www.codechef.com/problems/SQLMCQ09</v>
      </c>
      <c r="K394" s="14"/>
      <c r="L394" s="14"/>
      <c r="M394" s="14"/>
      <c r="N394" s="14" t="s">
        <v>50</v>
      </c>
      <c r="O394" s="14" t="s">
        <v>51</v>
      </c>
    </row>
    <row r="395" spans="1:15">
      <c r="A395" s="15" t="s">
        <v>13</v>
      </c>
      <c r="B395" s="15" t="s">
        <v>5482</v>
      </c>
      <c r="C395" s="15" t="s">
        <v>5483</v>
      </c>
      <c r="D395" s="15" t="s">
        <v>5494</v>
      </c>
      <c r="E395" s="15">
        <v>10</v>
      </c>
      <c r="F395" s="15" t="s">
        <v>5502</v>
      </c>
      <c r="G395" s="15" t="s">
        <v>5503</v>
      </c>
      <c r="H395" s="15"/>
      <c r="I395" s="15" t="s">
        <v>49</v>
      </c>
      <c r="J395" s="7" t="str">
        <f>HYPERLINK("https://www.codechef.com/problems/SQLMCQ10", "https://www.codechef.com/problems/SQLMCQ10")</f>
        <v>https://www.codechef.com/problems/SQLMCQ10</v>
      </c>
      <c r="K395" s="15"/>
      <c r="L395" s="15"/>
      <c r="M395" s="15"/>
      <c r="N395" s="15" t="s">
        <v>50</v>
      </c>
      <c r="O395" s="15" t="s">
        <v>51</v>
      </c>
    </row>
    <row r="396" spans="1:15">
      <c r="A396" s="14" t="s">
        <v>13</v>
      </c>
      <c r="B396" s="14" t="s">
        <v>5482</v>
      </c>
      <c r="C396" s="14" t="s">
        <v>5483</v>
      </c>
      <c r="D396" s="14" t="s">
        <v>5504</v>
      </c>
      <c r="E396" s="14">
        <v>11</v>
      </c>
      <c r="F396" s="14" t="s">
        <v>5505</v>
      </c>
      <c r="G396" s="14" t="s">
        <v>5506</v>
      </c>
      <c r="H396" s="14"/>
      <c r="I396" s="14" t="s">
        <v>49</v>
      </c>
      <c r="J396" s="11" t="str">
        <f>HYPERLINK("https://www.codechef.com/problems/SQLMCQ11", "https://www.codechef.com/problems/SQLMCQ11")</f>
        <v>https://www.codechef.com/problems/SQLMCQ11</v>
      </c>
      <c r="K396" s="14"/>
      <c r="L396" s="14"/>
      <c r="M396" s="14"/>
      <c r="N396" s="14" t="s">
        <v>50</v>
      </c>
      <c r="O396" s="14" t="s">
        <v>51</v>
      </c>
    </row>
    <row r="397" spans="1:15">
      <c r="A397" s="15" t="s">
        <v>13</v>
      </c>
      <c r="B397" s="15" t="s">
        <v>5482</v>
      </c>
      <c r="C397" s="15" t="s">
        <v>5483</v>
      </c>
      <c r="D397" s="15" t="s">
        <v>5504</v>
      </c>
      <c r="E397" s="15">
        <v>12</v>
      </c>
      <c r="F397" s="15" t="s">
        <v>3937</v>
      </c>
      <c r="G397" s="15" t="s">
        <v>5507</v>
      </c>
      <c r="H397" s="15"/>
      <c r="I397" s="15" t="s">
        <v>49</v>
      </c>
      <c r="J397" s="7" t="str">
        <f>HYPERLINK("https://www.codechef.com/problems/SQLMCQ12", "https://www.codechef.com/problems/SQLMCQ12")</f>
        <v>https://www.codechef.com/problems/SQLMCQ12</v>
      </c>
      <c r="K397" s="15"/>
      <c r="L397" s="15"/>
      <c r="M397" s="15"/>
      <c r="N397" s="15" t="s">
        <v>50</v>
      </c>
      <c r="O397" s="15" t="s">
        <v>51</v>
      </c>
    </row>
    <row r="398" spans="1:15">
      <c r="A398" s="14" t="s">
        <v>13</v>
      </c>
      <c r="B398" s="14" t="s">
        <v>5482</v>
      </c>
      <c r="C398" s="14" t="s">
        <v>5483</v>
      </c>
      <c r="D398" s="14" t="s">
        <v>5504</v>
      </c>
      <c r="E398" s="14">
        <v>13</v>
      </c>
      <c r="F398" s="14" t="s">
        <v>5508</v>
      </c>
      <c r="G398" s="14" t="s">
        <v>5509</v>
      </c>
      <c r="H398" s="14"/>
      <c r="I398" s="14" t="s">
        <v>49</v>
      </c>
      <c r="J398" s="11" t="str">
        <f>HYPERLINK("https://www.codechef.com/problems/SQLMCQ13", "https://www.codechef.com/problems/SQLMCQ13")</f>
        <v>https://www.codechef.com/problems/SQLMCQ13</v>
      </c>
      <c r="K398" s="14"/>
      <c r="L398" s="14"/>
      <c r="M398" s="14"/>
      <c r="N398" s="14" t="s">
        <v>50</v>
      </c>
      <c r="O398" s="14" t="s">
        <v>51</v>
      </c>
    </row>
    <row r="399" spans="1:15">
      <c r="A399" s="15" t="s">
        <v>13</v>
      </c>
      <c r="B399" s="15" t="s">
        <v>5482</v>
      </c>
      <c r="C399" s="15" t="s">
        <v>5483</v>
      </c>
      <c r="D399" s="15" t="s">
        <v>5504</v>
      </c>
      <c r="E399" s="15">
        <v>14</v>
      </c>
      <c r="F399" s="15" t="s">
        <v>5510</v>
      </c>
      <c r="G399" s="15" t="s">
        <v>5511</v>
      </c>
      <c r="H399" s="15"/>
      <c r="I399" s="15" t="s">
        <v>49</v>
      </c>
      <c r="J399" s="7" t="str">
        <f>HYPERLINK("https://www.codechef.com/problems/SQLMCQ14", "https://www.codechef.com/problems/SQLMCQ14")</f>
        <v>https://www.codechef.com/problems/SQLMCQ14</v>
      </c>
      <c r="K399" s="15"/>
      <c r="L399" s="15"/>
      <c r="M399" s="15"/>
      <c r="N399" s="15" t="s">
        <v>50</v>
      </c>
      <c r="O399" s="15" t="s">
        <v>51</v>
      </c>
    </row>
    <row r="400" spans="1:15">
      <c r="A400" s="14" t="s">
        <v>13</v>
      </c>
      <c r="B400" s="14" t="s">
        <v>5482</v>
      </c>
      <c r="C400" s="14" t="s">
        <v>5483</v>
      </c>
      <c r="D400" s="14" t="s">
        <v>5504</v>
      </c>
      <c r="E400" s="14">
        <v>15</v>
      </c>
      <c r="F400" s="14" t="s">
        <v>5512</v>
      </c>
      <c r="G400" s="14" t="s">
        <v>5513</v>
      </c>
      <c r="H400" s="14"/>
      <c r="I400" s="14" t="s">
        <v>96</v>
      </c>
      <c r="J400" s="11" t="str">
        <f>HYPERLINK("https://www.codechef.com/problems/SQLMCQ15", "https://www.codechef.com/problems/SQLMCQ15")</f>
        <v>https://www.codechef.com/problems/SQLMCQ15</v>
      </c>
      <c r="K400" s="14"/>
      <c r="L400" s="14"/>
      <c r="M400" s="14"/>
      <c r="N400" s="14" t="s">
        <v>50</v>
      </c>
      <c r="O400" s="14" t="s">
        <v>51</v>
      </c>
    </row>
    <row r="401" spans="1:15">
      <c r="A401" s="15" t="s">
        <v>13</v>
      </c>
      <c r="B401" s="15" t="s">
        <v>5482</v>
      </c>
      <c r="C401" s="15" t="s">
        <v>5483</v>
      </c>
      <c r="D401" s="15" t="s">
        <v>5514</v>
      </c>
      <c r="E401" s="15">
        <v>16</v>
      </c>
      <c r="F401" s="15" t="s">
        <v>5515</v>
      </c>
      <c r="G401" s="15" t="s">
        <v>5516</v>
      </c>
      <c r="H401" s="15"/>
      <c r="I401" s="15" t="s">
        <v>49</v>
      </c>
      <c r="J401" s="7" t="str">
        <f>HYPERLINK("https://www.codechef.com/problems/SQLMCQ16", "https://www.codechef.com/problems/SQLMCQ16")</f>
        <v>https://www.codechef.com/problems/SQLMCQ16</v>
      </c>
      <c r="K401" s="15"/>
      <c r="L401" s="15"/>
      <c r="M401" s="15"/>
      <c r="N401" s="15" t="s">
        <v>50</v>
      </c>
      <c r="O401" s="15" t="s">
        <v>51</v>
      </c>
    </row>
    <row r="402" spans="1:15">
      <c r="A402" s="14" t="s">
        <v>13</v>
      </c>
      <c r="B402" s="14" t="s">
        <v>5482</v>
      </c>
      <c r="C402" s="14" t="s">
        <v>5483</v>
      </c>
      <c r="D402" s="14" t="s">
        <v>5514</v>
      </c>
      <c r="E402" s="14">
        <v>17</v>
      </c>
      <c r="F402" s="14" t="s">
        <v>5517</v>
      </c>
      <c r="G402" s="14" t="s">
        <v>5518</v>
      </c>
      <c r="H402" s="14"/>
      <c r="I402" s="14" t="s">
        <v>49</v>
      </c>
      <c r="J402" s="11" t="str">
        <f>HYPERLINK("https://www.codechef.com/problems/SQLMCQ17", "https://www.codechef.com/problems/SQLMCQ17")</f>
        <v>https://www.codechef.com/problems/SQLMCQ17</v>
      </c>
      <c r="K402" s="14"/>
      <c r="L402" s="14"/>
      <c r="M402" s="14"/>
      <c r="N402" s="14" t="s">
        <v>50</v>
      </c>
      <c r="O402" s="14" t="s">
        <v>51</v>
      </c>
    </row>
    <row r="403" spans="1:15">
      <c r="A403" s="15" t="s">
        <v>13</v>
      </c>
      <c r="B403" s="15" t="s">
        <v>5482</v>
      </c>
      <c r="C403" s="15" t="s">
        <v>5483</v>
      </c>
      <c r="D403" s="15" t="s">
        <v>5514</v>
      </c>
      <c r="E403" s="15">
        <v>18</v>
      </c>
      <c r="F403" s="15" t="s">
        <v>5519</v>
      </c>
      <c r="G403" s="15" t="s">
        <v>5520</v>
      </c>
      <c r="H403" s="15"/>
      <c r="I403" s="15" t="s">
        <v>49</v>
      </c>
      <c r="J403" s="7" t="str">
        <f>HYPERLINK("https://www.codechef.com/problems/SQLMCQ18", "https://www.codechef.com/problems/SQLMCQ18")</f>
        <v>https://www.codechef.com/problems/SQLMCQ18</v>
      </c>
      <c r="K403" s="15"/>
      <c r="L403" s="15"/>
      <c r="M403" s="15"/>
      <c r="N403" s="15" t="s">
        <v>50</v>
      </c>
      <c r="O403" s="15" t="s">
        <v>51</v>
      </c>
    </row>
    <row r="404" spans="1:15">
      <c r="A404" s="14" t="s">
        <v>13</v>
      </c>
      <c r="B404" s="14" t="s">
        <v>5482</v>
      </c>
      <c r="C404" s="14" t="s">
        <v>5483</v>
      </c>
      <c r="D404" s="14" t="s">
        <v>5514</v>
      </c>
      <c r="E404" s="14">
        <v>19</v>
      </c>
      <c r="F404" s="14" t="s">
        <v>5521</v>
      </c>
      <c r="G404" s="14" t="s">
        <v>5522</v>
      </c>
      <c r="H404" s="14"/>
      <c r="I404" s="14" t="s">
        <v>96</v>
      </c>
      <c r="J404" s="11" t="str">
        <f>HYPERLINK("https://www.codechef.com/problems/SQLMCQ19", "https://www.codechef.com/problems/SQLMCQ19")</f>
        <v>https://www.codechef.com/problems/SQLMCQ19</v>
      </c>
      <c r="K404" s="14"/>
      <c r="L404" s="14"/>
      <c r="M404" s="14"/>
      <c r="N404" s="14" t="s">
        <v>50</v>
      </c>
      <c r="O404" s="14" t="s">
        <v>51</v>
      </c>
    </row>
    <row r="405" spans="1:15">
      <c r="A405" s="15" t="s">
        <v>13</v>
      </c>
      <c r="B405" s="15" t="s">
        <v>5482</v>
      </c>
      <c r="C405" s="15" t="s">
        <v>5483</v>
      </c>
      <c r="D405" s="15" t="s">
        <v>5514</v>
      </c>
      <c r="E405" s="15">
        <v>20</v>
      </c>
      <c r="F405" s="15" t="s">
        <v>5523</v>
      </c>
      <c r="G405" s="15" t="s">
        <v>5524</v>
      </c>
      <c r="H405" s="15"/>
      <c r="I405" s="15" t="s">
        <v>96</v>
      </c>
      <c r="J405" s="7" t="str">
        <f>HYPERLINK("https://www.codechef.com/problems/SQLMCQ20", "https://www.codechef.com/problems/SQLMCQ20")</f>
        <v>https://www.codechef.com/problems/SQLMCQ20</v>
      </c>
      <c r="K405" s="15"/>
      <c r="L405" s="15"/>
      <c r="M405" s="15"/>
      <c r="N405" s="15" t="s">
        <v>50</v>
      </c>
      <c r="O405" s="15" t="s">
        <v>51</v>
      </c>
    </row>
    <row r="406" spans="1:15">
      <c r="A406" s="14" t="s">
        <v>13</v>
      </c>
      <c r="B406" s="14" t="s">
        <v>5482</v>
      </c>
      <c r="C406" s="14" t="s">
        <v>5483</v>
      </c>
      <c r="D406" s="14" t="s">
        <v>5525</v>
      </c>
      <c r="E406" s="14">
        <v>21</v>
      </c>
      <c r="F406" s="14" t="s">
        <v>5526</v>
      </c>
      <c r="G406" s="14" t="s">
        <v>5527</v>
      </c>
      <c r="H406" s="14"/>
      <c r="I406" s="14" t="s">
        <v>49</v>
      </c>
      <c r="J406" s="11" t="str">
        <f>HYPERLINK("https://www.codechef.com/problems/SQLMCQ21", "https://www.codechef.com/problems/SQLMCQ21")</f>
        <v>https://www.codechef.com/problems/SQLMCQ21</v>
      </c>
      <c r="K406" s="14"/>
      <c r="L406" s="14"/>
      <c r="M406" s="14"/>
      <c r="N406" s="14" t="s">
        <v>50</v>
      </c>
      <c r="O406" s="14" t="s">
        <v>51</v>
      </c>
    </row>
    <row r="407" spans="1:15">
      <c r="A407" s="15" t="s">
        <v>13</v>
      </c>
      <c r="B407" s="15" t="s">
        <v>5482</v>
      </c>
      <c r="C407" s="15" t="s">
        <v>5483</v>
      </c>
      <c r="D407" s="15" t="s">
        <v>5525</v>
      </c>
      <c r="E407" s="15">
        <v>22</v>
      </c>
      <c r="F407" s="15" t="s">
        <v>5528</v>
      </c>
      <c r="G407" s="15" t="s">
        <v>5529</v>
      </c>
      <c r="H407" s="15"/>
      <c r="I407" s="15" t="s">
        <v>49</v>
      </c>
      <c r="J407" s="7" t="str">
        <f>HYPERLINK("https://www.codechef.com/problems/SQLMCQ22", "https://www.codechef.com/problems/SQLMCQ22")</f>
        <v>https://www.codechef.com/problems/SQLMCQ22</v>
      </c>
      <c r="K407" s="15"/>
      <c r="L407" s="15"/>
      <c r="M407" s="15"/>
      <c r="N407" s="15" t="s">
        <v>50</v>
      </c>
      <c r="O407" s="15" t="s">
        <v>51</v>
      </c>
    </row>
    <row r="408" spans="1:15">
      <c r="A408" s="14" t="s">
        <v>13</v>
      </c>
      <c r="B408" s="14" t="s">
        <v>5482</v>
      </c>
      <c r="C408" s="14" t="s">
        <v>5483</v>
      </c>
      <c r="D408" s="14" t="s">
        <v>5525</v>
      </c>
      <c r="E408" s="14">
        <v>23</v>
      </c>
      <c r="F408" s="14" t="s">
        <v>5530</v>
      </c>
      <c r="G408" s="14" t="s">
        <v>5531</v>
      </c>
      <c r="H408" s="14"/>
      <c r="I408" s="14" t="s">
        <v>96</v>
      </c>
      <c r="J408" s="11" t="str">
        <f>HYPERLINK("https://www.codechef.com/problems/SQLMCQ23", "https://www.codechef.com/problems/SQLMCQ23")</f>
        <v>https://www.codechef.com/problems/SQLMCQ23</v>
      </c>
      <c r="K408" s="14"/>
      <c r="L408" s="14"/>
      <c r="M408" s="14"/>
      <c r="N408" s="14" t="s">
        <v>50</v>
      </c>
      <c r="O408" s="14" t="s">
        <v>51</v>
      </c>
    </row>
    <row r="409" spans="1:15">
      <c r="A409" s="15" t="s">
        <v>13</v>
      </c>
      <c r="B409" s="15" t="s">
        <v>5482</v>
      </c>
      <c r="C409" s="15" t="s">
        <v>5483</v>
      </c>
      <c r="D409" s="15" t="s">
        <v>5525</v>
      </c>
      <c r="E409" s="15">
        <v>24</v>
      </c>
      <c r="F409" s="15" t="s">
        <v>5532</v>
      </c>
      <c r="G409" s="15" t="s">
        <v>5533</v>
      </c>
      <c r="H409" s="15"/>
      <c r="I409" s="15" t="s">
        <v>96</v>
      </c>
      <c r="J409" s="7" t="str">
        <f>HYPERLINK("https://www.codechef.com/problems/SQLMCQ24", "https://www.codechef.com/problems/SQLMCQ24")</f>
        <v>https://www.codechef.com/problems/SQLMCQ24</v>
      </c>
      <c r="K409" s="15"/>
      <c r="L409" s="15"/>
      <c r="M409" s="15"/>
      <c r="N409" s="15" t="s">
        <v>50</v>
      </c>
      <c r="O409" s="15" t="s">
        <v>51</v>
      </c>
    </row>
    <row r="410" spans="1:15">
      <c r="A410" s="14" t="s">
        <v>13</v>
      </c>
      <c r="B410" s="14" t="s">
        <v>5482</v>
      </c>
      <c r="C410" s="14" t="s">
        <v>5483</v>
      </c>
      <c r="D410" s="14" t="s">
        <v>5525</v>
      </c>
      <c r="E410" s="14">
        <v>25</v>
      </c>
      <c r="F410" s="14" t="s">
        <v>5534</v>
      </c>
      <c r="G410" s="14" t="s">
        <v>5535</v>
      </c>
      <c r="H410" s="14"/>
      <c r="I410" s="14" t="s">
        <v>96</v>
      </c>
      <c r="J410" s="11" t="str">
        <f>HYPERLINK("https://www.codechef.com/problems/SQLMCQ25", "https://www.codechef.com/problems/SQLMCQ25")</f>
        <v>https://www.codechef.com/problems/SQLMCQ25</v>
      </c>
      <c r="K410" s="14"/>
      <c r="L410" s="14"/>
      <c r="M410" s="14"/>
      <c r="N410" s="14" t="s">
        <v>50</v>
      </c>
      <c r="O410" s="14" t="s">
        <v>51</v>
      </c>
    </row>
    <row r="411" spans="1:15">
      <c r="A411" s="15" t="s">
        <v>13</v>
      </c>
      <c r="B411" s="15" t="s">
        <v>5482</v>
      </c>
      <c r="C411" s="15" t="s">
        <v>5483</v>
      </c>
      <c r="D411" s="15" t="s">
        <v>5536</v>
      </c>
      <c r="E411" s="15">
        <v>26</v>
      </c>
      <c r="F411" s="15" t="s">
        <v>4760</v>
      </c>
      <c r="G411" s="15" t="s">
        <v>5537</v>
      </c>
      <c r="H411" s="15"/>
      <c r="I411" s="15" t="s">
        <v>49</v>
      </c>
      <c r="J411" s="7" t="str">
        <f>HYPERLINK("https://www.codechef.com/problems/SQLMCQ26", "https://www.codechef.com/problems/SQLMCQ26")</f>
        <v>https://www.codechef.com/problems/SQLMCQ26</v>
      </c>
      <c r="K411" s="15"/>
      <c r="L411" s="15"/>
      <c r="M411" s="15"/>
      <c r="N411" s="15" t="s">
        <v>50</v>
      </c>
      <c r="O411" s="15" t="s">
        <v>51</v>
      </c>
    </row>
    <row r="412" spans="1:15">
      <c r="A412" s="14" t="s">
        <v>13</v>
      </c>
      <c r="B412" s="14" t="s">
        <v>5482</v>
      </c>
      <c r="C412" s="14" t="s">
        <v>5483</v>
      </c>
      <c r="D412" s="14" t="s">
        <v>5536</v>
      </c>
      <c r="E412" s="14">
        <v>27</v>
      </c>
      <c r="F412" s="14" t="s">
        <v>5530</v>
      </c>
      <c r="G412" s="14" t="s">
        <v>5538</v>
      </c>
      <c r="H412" s="14"/>
      <c r="I412" s="14" t="s">
        <v>49</v>
      </c>
      <c r="J412" s="11" t="str">
        <f>HYPERLINK("https://www.codechef.com/problems/SQLMCQ27", "https://www.codechef.com/problems/SQLMCQ27")</f>
        <v>https://www.codechef.com/problems/SQLMCQ27</v>
      </c>
      <c r="K412" s="14"/>
      <c r="L412" s="14"/>
      <c r="M412" s="14"/>
      <c r="N412" s="14" t="s">
        <v>50</v>
      </c>
      <c r="O412" s="14" t="s">
        <v>51</v>
      </c>
    </row>
    <row r="413" spans="1:15">
      <c r="A413" s="15" t="s">
        <v>13</v>
      </c>
      <c r="B413" s="15" t="s">
        <v>5482</v>
      </c>
      <c r="C413" s="15" t="s">
        <v>5483</v>
      </c>
      <c r="D413" s="15" t="s">
        <v>5536</v>
      </c>
      <c r="E413" s="15">
        <v>28</v>
      </c>
      <c r="F413" s="15" t="s">
        <v>5539</v>
      </c>
      <c r="G413" s="15" t="s">
        <v>5540</v>
      </c>
      <c r="H413" s="15"/>
      <c r="I413" s="15" t="s">
        <v>49</v>
      </c>
      <c r="J413" s="7" t="str">
        <f>HYPERLINK("https://www.codechef.com/problems/SQLMCQ28", "https://www.codechef.com/problems/SQLMCQ28")</f>
        <v>https://www.codechef.com/problems/SQLMCQ28</v>
      </c>
      <c r="K413" s="15"/>
      <c r="L413" s="15"/>
      <c r="M413" s="15"/>
      <c r="N413" s="15" t="s">
        <v>50</v>
      </c>
      <c r="O413" s="15" t="s">
        <v>51</v>
      </c>
    </row>
    <row r="414" spans="1:15">
      <c r="A414" s="14" t="s">
        <v>13</v>
      </c>
      <c r="B414" s="14" t="s">
        <v>5482</v>
      </c>
      <c r="C414" s="14" t="s">
        <v>5483</v>
      </c>
      <c r="D414" s="14" t="s">
        <v>5536</v>
      </c>
      <c r="E414" s="14">
        <v>29</v>
      </c>
      <c r="F414" s="14" t="s">
        <v>5541</v>
      </c>
      <c r="G414" s="14" t="s">
        <v>5542</v>
      </c>
      <c r="H414" s="14"/>
      <c r="I414" s="14" t="s">
        <v>49</v>
      </c>
      <c r="J414" s="11" t="str">
        <f>HYPERLINK("https://www.codechef.com/problems/SQLMCQ29", "https://www.codechef.com/problems/SQLMCQ29")</f>
        <v>https://www.codechef.com/problems/SQLMCQ29</v>
      </c>
      <c r="K414" s="14"/>
      <c r="L414" s="14"/>
      <c r="M414" s="14"/>
      <c r="N414" s="14" t="s">
        <v>50</v>
      </c>
      <c r="O414" s="14" t="s">
        <v>51</v>
      </c>
    </row>
    <row r="415" spans="1:15">
      <c r="A415" s="15" t="s">
        <v>13</v>
      </c>
      <c r="B415" s="15" t="s">
        <v>5482</v>
      </c>
      <c r="C415" s="15" t="s">
        <v>5483</v>
      </c>
      <c r="D415" s="15" t="s">
        <v>5536</v>
      </c>
      <c r="E415" s="15">
        <v>30</v>
      </c>
      <c r="F415" s="15" t="s">
        <v>5543</v>
      </c>
      <c r="G415" s="15" t="s">
        <v>5544</v>
      </c>
      <c r="H415" s="15"/>
      <c r="I415" s="15" t="s">
        <v>49</v>
      </c>
      <c r="J415" s="7" t="str">
        <f>HYPERLINK("https://www.codechef.com/problems/SQLMCQ30", "https://www.codechef.com/problems/SQLMCQ30")</f>
        <v>https://www.codechef.com/problems/SQLMCQ30</v>
      </c>
      <c r="K415" s="15"/>
      <c r="L415" s="15"/>
      <c r="M415" s="15"/>
      <c r="N415" s="15" t="s">
        <v>50</v>
      </c>
      <c r="O415" s="15" t="s">
        <v>51</v>
      </c>
    </row>
    <row r="416" spans="1:15">
      <c r="A416" s="14" t="s">
        <v>13</v>
      </c>
      <c r="B416" s="14" t="s">
        <v>5482</v>
      </c>
      <c r="C416" s="14" t="s">
        <v>5483</v>
      </c>
      <c r="D416" s="14" t="s">
        <v>5545</v>
      </c>
      <c r="E416" s="14">
        <v>31</v>
      </c>
      <c r="F416" s="14" t="s">
        <v>5546</v>
      </c>
      <c r="G416" s="14" t="s">
        <v>5547</v>
      </c>
      <c r="H416" s="14"/>
      <c r="I416" s="14" t="s">
        <v>49</v>
      </c>
      <c r="J416" s="11" t="str">
        <f>HYPERLINK("https://www.codechef.com/problems/SQLMCQ31", "https://www.codechef.com/problems/SQLMCQ31")</f>
        <v>https://www.codechef.com/problems/SQLMCQ31</v>
      </c>
      <c r="K416" s="14"/>
      <c r="L416" s="14"/>
      <c r="M416" s="14"/>
      <c r="N416" s="14" t="s">
        <v>50</v>
      </c>
      <c r="O416" s="14" t="s">
        <v>51</v>
      </c>
    </row>
    <row r="417" spans="1:15">
      <c r="A417" s="15" t="s">
        <v>13</v>
      </c>
      <c r="B417" s="15" t="s">
        <v>5482</v>
      </c>
      <c r="C417" s="15" t="s">
        <v>5483</v>
      </c>
      <c r="D417" s="15" t="s">
        <v>5545</v>
      </c>
      <c r="E417" s="15">
        <v>32</v>
      </c>
      <c r="F417" s="15" t="s">
        <v>5548</v>
      </c>
      <c r="G417" s="15" t="s">
        <v>5549</v>
      </c>
      <c r="H417" s="15"/>
      <c r="I417" s="15" t="s">
        <v>96</v>
      </c>
      <c r="J417" s="7" t="str">
        <f>HYPERLINK("https://www.codechef.com/problems/SQLMCQ32", "https://www.codechef.com/problems/SQLMCQ32")</f>
        <v>https://www.codechef.com/problems/SQLMCQ32</v>
      </c>
      <c r="K417" s="15"/>
      <c r="L417" s="15"/>
      <c r="M417" s="15"/>
      <c r="N417" s="15" t="s">
        <v>50</v>
      </c>
      <c r="O417" s="15" t="s">
        <v>51</v>
      </c>
    </row>
    <row r="418" spans="1:15">
      <c r="A418" s="14" t="s">
        <v>13</v>
      </c>
      <c r="B418" s="14" t="s">
        <v>5482</v>
      </c>
      <c r="C418" s="14" t="s">
        <v>5483</v>
      </c>
      <c r="D418" s="14" t="s">
        <v>5545</v>
      </c>
      <c r="E418" s="14">
        <v>33</v>
      </c>
      <c r="F418" s="14" t="s">
        <v>5550</v>
      </c>
      <c r="G418" s="14" t="s">
        <v>5551</v>
      </c>
      <c r="H418" s="14"/>
      <c r="I418" s="14" t="s">
        <v>49</v>
      </c>
      <c r="J418" s="11" t="str">
        <f>HYPERLINK("https://www.codechef.com/problems/SQLMCQ33", "https://www.codechef.com/problems/SQLMCQ33")</f>
        <v>https://www.codechef.com/problems/SQLMCQ33</v>
      </c>
      <c r="K418" s="14"/>
      <c r="L418" s="14"/>
      <c r="M418" s="14"/>
      <c r="N418" s="14" t="s">
        <v>50</v>
      </c>
      <c r="O418" s="14" t="s">
        <v>51</v>
      </c>
    </row>
    <row r="419" spans="1:15">
      <c r="A419" s="15" t="s">
        <v>13</v>
      </c>
      <c r="B419" s="15" t="s">
        <v>5482</v>
      </c>
      <c r="C419" s="15" t="s">
        <v>5483</v>
      </c>
      <c r="D419" s="15" t="s">
        <v>5545</v>
      </c>
      <c r="E419" s="15">
        <v>34</v>
      </c>
      <c r="F419" s="15" t="s">
        <v>5552</v>
      </c>
      <c r="G419" s="15" t="s">
        <v>5553</v>
      </c>
      <c r="H419" s="15"/>
      <c r="I419" s="15" t="s">
        <v>49</v>
      </c>
      <c r="J419" s="7" t="str">
        <f>HYPERLINK("https://www.codechef.com/problems/SQLMCQ34", "https://www.codechef.com/problems/SQLMCQ34")</f>
        <v>https://www.codechef.com/problems/SQLMCQ34</v>
      </c>
      <c r="K419" s="15"/>
      <c r="L419" s="15"/>
      <c r="M419" s="15"/>
      <c r="N419" s="15" t="s">
        <v>50</v>
      </c>
      <c r="O419" s="15" t="s">
        <v>51</v>
      </c>
    </row>
    <row r="420" spans="1:15">
      <c r="A420" s="14" t="s">
        <v>13</v>
      </c>
      <c r="B420" s="14" t="s">
        <v>5482</v>
      </c>
      <c r="C420" s="14" t="s">
        <v>5483</v>
      </c>
      <c r="D420" s="14" t="s">
        <v>5545</v>
      </c>
      <c r="E420" s="14">
        <v>35</v>
      </c>
      <c r="F420" s="14" t="s">
        <v>5554</v>
      </c>
      <c r="G420" s="14" t="s">
        <v>5555</v>
      </c>
      <c r="H420" s="14"/>
      <c r="I420" s="14" t="s">
        <v>49</v>
      </c>
      <c r="J420" s="11" t="str">
        <f>HYPERLINK("https://www.codechef.com/problems/SQLMCQ35", "https://www.codechef.com/problems/SQLMCQ35")</f>
        <v>https://www.codechef.com/problems/SQLMCQ35</v>
      </c>
      <c r="K420" s="14"/>
      <c r="L420" s="14"/>
      <c r="M420" s="14"/>
      <c r="N420" s="14" t="s">
        <v>50</v>
      </c>
      <c r="O420" s="14" t="s">
        <v>51</v>
      </c>
    </row>
    <row r="421" spans="1:15">
      <c r="A421" s="15" t="s">
        <v>13</v>
      </c>
      <c r="B421" s="15" t="s">
        <v>5482</v>
      </c>
      <c r="C421" s="15" t="s">
        <v>5483</v>
      </c>
      <c r="D421" s="15" t="s">
        <v>5556</v>
      </c>
      <c r="E421" s="15">
        <v>36</v>
      </c>
      <c r="F421" s="15" t="s">
        <v>5557</v>
      </c>
      <c r="G421" s="15" t="s">
        <v>5558</v>
      </c>
      <c r="H421" s="15"/>
      <c r="I421" s="15" t="s">
        <v>49</v>
      </c>
      <c r="J421" s="7" t="str">
        <f>HYPERLINK("https://www.codechef.com/problems/SQLMCQ36", "https://www.codechef.com/problems/SQLMCQ36")</f>
        <v>https://www.codechef.com/problems/SQLMCQ36</v>
      </c>
      <c r="K421" s="15"/>
      <c r="L421" s="15"/>
      <c r="M421" s="15"/>
      <c r="N421" s="15" t="s">
        <v>50</v>
      </c>
      <c r="O421" s="15" t="s">
        <v>51</v>
      </c>
    </row>
    <row r="422" spans="1:15">
      <c r="A422" s="14" t="s">
        <v>13</v>
      </c>
      <c r="B422" s="14" t="s">
        <v>5482</v>
      </c>
      <c r="C422" s="14" t="s">
        <v>5483</v>
      </c>
      <c r="D422" s="14" t="s">
        <v>5556</v>
      </c>
      <c r="E422" s="14">
        <v>37</v>
      </c>
      <c r="F422" s="14" t="s">
        <v>5559</v>
      </c>
      <c r="G422" s="14" t="s">
        <v>5560</v>
      </c>
      <c r="H422" s="14"/>
      <c r="I422" s="14" t="s">
        <v>49</v>
      </c>
      <c r="J422" s="11" t="str">
        <f>HYPERLINK("https://www.codechef.com/problems/SQLMCQ37", "https://www.codechef.com/problems/SQLMCQ37")</f>
        <v>https://www.codechef.com/problems/SQLMCQ37</v>
      </c>
      <c r="K422" s="14"/>
      <c r="L422" s="14"/>
      <c r="M422" s="14"/>
      <c r="N422" s="14" t="s">
        <v>50</v>
      </c>
      <c r="O422" s="14" t="s">
        <v>51</v>
      </c>
    </row>
    <row r="423" spans="1:15">
      <c r="A423" s="15" t="s">
        <v>13</v>
      </c>
      <c r="B423" s="15" t="s">
        <v>5482</v>
      </c>
      <c r="C423" s="15" t="s">
        <v>5483</v>
      </c>
      <c r="D423" s="15" t="s">
        <v>5556</v>
      </c>
      <c r="E423" s="15">
        <v>38</v>
      </c>
      <c r="F423" s="15" t="s">
        <v>5561</v>
      </c>
      <c r="G423" s="15" t="s">
        <v>5562</v>
      </c>
      <c r="H423" s="15"/>
      <c r="I423" s="15" t="s">
        <v>49</v>
      </c>
      <c r="J423" s="7" t="str">
        <f>HYPERLINK("https://www.codechef.com/problems/SQLMCQ38", "https://www.codechef.com/problems/SQLMCQ38")</f>
        <v>https://www.codechef.com/problems/SQLMCQ38</v>
      </c>
      <c r="K423" s="15"/>
      <c r="L423" s="15"/>
      <c r="M423" s="15"/>
      <c r="N423" s="15" t="s">
        <v>50</v>
      </c>
      <c r="O423" s="15" t="s">
        <v>51</v>
      </c>
    </row>
    <row r="424" spans="1:15">
      <c r="A424" s="14" t="s">
        <v>13</v>
      </c>
      <c r="B424" s="14" t="s">
        <v>5482</v>
      </c>
      <c r="C424" s="14" t="s">
        <v>5483</v>
      </c>
      <c r="D424" s="14" t="s">
        <v>5556</v>
      </c>
      <c r="E424" s="14">
        <v>39</v>
      </c>
      <c r="F424" s="14" t="s">
        <v>5563</v>
      </c>
      <c r="G424" s="14" t="s">
        <v>5564</v>
      </c>
      <c r="H424" s="14"/>
      <c r="I424" s="14" t="s">
        <v>49</v>
      </c>
      <c r="J424" s="11" t="str">
        <f>HYPERLINK("https://www.codechef.com/problems/SQLMCQ39", "https://www.codechef.com/problems/SQLMCQ39")</f>
        <v>https://www.codechef.com/problems/SQLMCQ39</v>
      </c>
      <c r="K424" s="14"/>
      <c r="L424" s="14"/>
      <c r="M424" s="14"/>
      <c r="N424" s="14" t="s">
        <v>50</v>
      </c>
      <c r="O424" s="14" t="s">
        <v>51</v>
      </c>
    </row>
    <row r="425" spans="1:15">
      <c r="A425" s="15" t="s">
        <v>13</v>
      </c>
      <c r="B425" s="15" t="s">
        <v>5482</v>
      </c>
      <c r="C425" s="15" t="s">
        <v>5483</v>
      </c>
      <c r="D425" s="15" t="s">
        <v>5556</v>
      </c>
      <c r="E425" s="15">
        <v>40</v>
      </c>
      <c r="F425" s="15" t="s">
        <v>5565</v>
      </c>
      <c r="G425" s="15" t="s">
        <v>5566</v>
      </c>
      <c r="H425" s="15"/>
      <c r="I425" s="15" t="s">
        <v>49</v>
      </c>
      <c r="J425" s="7" t="str">
        <f>HYPERLINK("https://www.codechef.com/problems/SQLMCQ40", "https://www.codechef.com/problems/SQLMCQ40")</f>
        <v>https://www.codechef.com/problems/SQLMCQ40</v>
      </c>
      <c r="K425" s="15"/>
      <c r="L425" s="15"/>
      <c r="M425" s="15"/>
      <c r="N425" s="15" t="s">
        <v>50</v>
      </c>
      <c r="O425" s="15" t="s">
        <v>51</v>
      </c>
    </row>
    <row r="426" spans="1:15">
      <c r="A426" s="14" t="s">
        <v>13</v>
      </c>
      <c r="B426" s="14" t="s">
        <v>5482</v>
      </c>
      <c r="C426" s="14" t="s">
        <v>5483</v>
      </c>
      <c r="D426" s="14" t="s">
        <v>5567</v>
      </c>
      <c r="E426" s="14">
        <v>41</v>
      </c>
      <c r="F426" s="14" t="s">
        <v>5568</v>
      </c>
      <c r="G426" s="14" t="s">
        <v>5569</v>
      </c>
      <c r="H426" s="14"/>
      <c r="I426" s="14" t="s">
        <v>49</v>
      </c>
      <c r="J426" s="11" t="str">
        <f>HYPERLINK("https://www.codechef.com/problems/SQLMCQ41", "https://www.codechef.com/problems/SQLMCQ41")</f>
        <v>https://www.codechef.com/problems/SQLMCQ41</v>
      </c>
      <c r="K426" s="14"/>
      <c r="L426" s="14"/>
      <c r="M426" s="14"/>
      <c r="N426" s="14" t="s">
        <v>50</v>
      </c>
      <c r="O426" s="14" t="s">
        <v>51</v>
      </c>
    </row>
    <row r="427" spans="1:15">
      <c r="A427" s="15" t="s">
        <v>13</v>
      </c>
      <c r="B427" s="15" t="s">
        <v>5482</v>
      </c>
      <c r="C427" s="15" t="s">
        <v>5483</v>
      </c>
      <c r="D427" s="15" t="s">
        <v>5567</v>
      </c>
      <c r="E427" s="15">
        <v>42</v>
      </c>
      <c r="F427" s="15" t="s">
        <v>5570</v>
      </c>
      <c r="G427" s="15" t="s">
        <v>5571</v>
      </c>
      <c r="H427" s="15"/>
      <c r="I427" s="15" t="s">
        <v>49</v>
      </c>
      <c r="J427" s="7" t="str">
        <f>HYPERLINK("https://www.codechef.com/problems/SQLMCQ42", "https://www.codechef.com/problems/SQLMCQ42")</f>
        <v>https://www.codechef.com/problems/SQLMCQ42</v>
      </c>
      <c r="K427" s="15"/>
      <c r="L427" s="15"/>
      <c r="M427" s="15"/>
      <c r="N427" s="15" t="s">
        <v>50</v>
      </c>
      <c r="O427" s="15" t="s">
        <v>51</v>
      </c>
    </row>
    <row r="428" spans="1:15">
      <c r="A428" s="14" t="s">
        <v>13</v>
      </c>
      <c r="B428" s="14" t="s">
        <v>5482</v>
      </c>
      <c r="C428" s="14" t="s">
        <v>5483</v>
      </c>
      <c r="D428" s="14" t="s">
        <v>5567</v>
      </c>
      <c r="E428" s="14">
        <v>43</v>
      </c>
      <c r="F428" s="14" t="s">
        <v>5572</v>
      </c>
      <c r="G428" s="14" t="s">
        <v>5573</v>
      </c>
      <c r="H428" s="14"/>
      <c r="I428" s="14" t="s">
        <v>49</v>
      </c>
      <c r="J428" s="11" t="str">
        <f>HYPERLINK("https://www.codechef.com/problems/SQLMCQ43", "https://www.codechef.com/problems/SQLMCQ43")</f>
        <v>https://www.codechef.com/problems/SQLMCQ43</v>
      </c>
      <c r="K428" s="14"/>
      <c r="L428" s="14"/>
      <c r="M428" s="14"/>
      <c r="N428" s="14" t="s">
        <v>50</v>
      </c>
      <c r="O428" s="14" t="s">
        <v>51</v>
      </c>
    </row>
    <row r="429" spans="1:15">
      <c r="A429" s="15" t="s">
        <v>13</v>
      </c>
      <c r="B429" s="15" t="s">
        <v>5482</v>
      </c>
      <c r="C429" s="15" t="s">
        <v>5483</v>
      </c>
      <c r="D429" s="15" t="s">
        <v>5567</v>
      </c>
      <c r="E429" s="15">
        <v>44</v>
      </c>
      <c r="F429" s="15" t="s">
        <v>5242</v>
      </c>
      <c r="G429" s="15" t="s">
        <v>5574</v>
      </c>
      <c r="H429" s="15"/>
      <c r="I429" s="15" t="s">
        <v>49</v>
      </c>
      <c r="J429" s="7" t="str">
        <f>HYPERLINK("https://www.codechef.com/problems/SQLMCQ44", "https://www.codechef.com/problems/SQLMCQ44")</f>
        <v>https://www.codechef.com/problems/SQLMCQ44</v>
      </c>
      <c r="K429" s="15"/>
      <c r="L429" s="15"/>
      <c r="M429" s="15"/>
      <c r="N429" s="15" t="s">
        <v>50</v>
      </c>
      <c r="O429" s="15" t="s">
        <v>51</v>
      </c>
    </row>
    <row r="430" spans="1:15">
      <c r="A430" s="14" t="s">
        <v>13</v>
      </c>
      <c r="B430" s="14" t="s">
        <v>5482</v>
      </c>
      <c r="C430" s="14" t="s">
        <v>5483</v>
      </c>
      <c r="D430" s="14" t="s">
        <v>5567</v>
      </c>
      <c r="E430" s="14">
        <v>45</v>
      </c>
      <c r="F430" s="14" t="s">
        <v>5575</v>
      </c>
      <c r="G430" s="14" t="s">
        <v>5576</v>
      </c>
      <c r="H430" s="14"/>
      <c r="I430" s="14" t="s">
        <v>49</v>
      </c>
      <c r="J430" s="11" t="str">
        <f>HYPERLINK("https://www.codechef.com/problems/SQLMCQ45", "https://www.codechef.com/problems/SQLMCQ45")</f>
        <v>https://www.codechef.com/problems/SQLMCQ45</v>
      </c>
      <c r="K430" s="14"/>
      <c r="L430" s="14"/>
      <c r="M430" s="14"/>
      <c r="N430" s="14" t="s">
        <v>50</v>
      </c>
      <c r="O430" s="14" t="s">
        <v>51</v>
      </c>
    </row>
    <row r="431" spans="1:15">
      <c r="A431" s="15" t="s">
        <v>13</v>
      </c>
      <c r="B431" s="15" t="s">
        <v>5482</v>
      </c>
      <c r="C431" s="15" t="s">
        <v>5483</v>
      </c>
      <c r="D431" s="15" t="s">
        <v>5577</v>
      </c>
      <c r="E431" s="15">
        <v>46</v>
      </c>
      <c r="F431" s="15" t="s">
        <v>5578</v>
      </c>
      <c r="G431" s="15" t="s">
        <v>5579</v>
      </c>
      <c r="H431" s="15"/>
      <c r="I431" s="15" t="s">
        <v>49</v>
      </c>
      <c r="J431" s="7" t="str">
        <f>HYPERLINK("https://www.codechef.com/problems/SQLMCQ46", "https://www.codechef.com/problems/SQLMCQ46")</f>
        <v>https://www.codechef.com/problems/SQLMCQ46</v>
      </c>
      <c r="K431" s="15"/>
      <c r="L431" s="15"/>
      <c r="M431" s="15"/>
      <c r="N431" s="15" t="s">
        <v>50</v>
      </c>
      <c r="O431" s="15" t="s">
        <v>51</v>
      </c>
    </row>
    <row r="432" spans="1:15">
      <c r="A432" s="14" t="s">
        <v>13</v>
      </c>
      <c r="B432" s="14" t="s">
        <v>5482</v>
      </c>
      <c r="C432" s="14" t="s">
        <v>5483</v>
      </c>
      <c r="D432" s="14" t="s">
        <v>5577</v>
      </c>
      <c r="E432" s="14">
        <v>47</v>
      </c>
      <c r="F432" s="14" t="s">
        <v>5580</v>
      </c>
      <c r="G432" s="14" t="s">
        <v>5581</v>
      </c>
      <c r="H432" s="14"/>
      <c r="I432" s="14" t="s">
        <v>49</v>
      </c>
      <c r="J432" s="11" t="str">
        <f>HYPERLINK("https://www.codechef.com/problems/SQLMCQ47", "https://www.codechef.com/problems/SQLMCQ47")</f>
        <v>https://www.codechef.com/problems/SQLMCQ47</v>
      </c>
      <c r="K432" s="14"/>
      <c r="L432" s="14"/>
      <c r="M432" s="14"/>
      <c r="N432" s="14" t="s">
        <v>50</v>
      </c>
      <c r="O432" s="14" t="s">
        <v>51</v>
      </c>
    </row>
    <row r="433" spans="1:15">
      <c r="A433" s="15" t="s">
        <v>13</v>
      </c>
      <c r="B433" s="15" t="s">
        <v>5482</v>
      </c>
      <c r="C433" s="15" t="s">
        <v>5483</v>
      </c>
      <c r="D433" s="15" t="s">
        <v>5577</v>
      </c>
      <c r="E433" s="15">
        <v>48</v>
      </c>
      <c r="F433" s="15" t="s">
        <v>5582</v>
      </c>
      <c r="G433" s="15" t="s">
        <v>5583</v>
      </c>
      <c r="H433" s="15"/>
      <c r="I433" s="15" t="s">
        <v>49</v>
      </c>
      <c r="J433" s="7" t="str">
        <f>HYPERLINK("https://www.codechef.com/problems/SQLMCQ48", "https://www.codechef.com/problems/SQLMCQ48")</f>
        <v>https://www.codechef.com/problems/SQLMCQ48</v>
      </c>
      <c r="K433" s="15"/>
      <c r="L433" s="15"/>
      <c r="M433" s="15"/>
      <c r="N433" s="15" t="s">
        <v>50</v>
      </c>
      <c r="O433" s="15" t="s">
        <v>51</v>
      </c>
    </row>
    <row r="434" spans="1:15">
      <c r="A434" s="14" t="s">
        <v>13</v>
      </c>
      <c r="B434" s="14" t="s">
        <v>5482</v>
      </c>
      <c r="C434" s="14" t="s">
        <v>5483</v>
      </c>
      <c r="D434" s="14" t="s">
        <v>5577</v>
      </c>
      <c r="E434" s="14">
        <v>49</v>
      </c>
      <c r="F434" s="14" t="s">
        <v>5584</v>
      </c>
      <c r="G434" s="14" t="s">
        <v>5585</v>
      </c>
      <c r="H434" s="14"/>
      <c r="I434" s="14" t="s">
        <v>96</v>
      </c>
      <c r="J434" s="11" t="str">
        <f>HYPERLINK("https://www.codechef.com/problems/SQLMCQ49", "https://www.codechef.com/problems/SQLMCQ49")</f>
        <v>https://www.codechef.com/problems/SQLMCQ49</v>
      </c>
      <c r="K434" s="14"/>
      <c r="L434" s="14"/>
      <c r="M434" s="14"/>
      <c r="N434" s="14" t="s">
        <v>50</v>
      </c>
      <c r="O434" s="14" t="s">
        <v>51</v>
      </c>
    </row>
    <row r="435" spans="1:15">
      <c r="A435" s="15" t="s">
        <v>13</v>
      </c>
      <c r="B435" s="15" t="s">
        <v>5482</v>
      </c>
      <c r="C435" s="15" t="s">
        <v>5483</v>
      </c>
      <c r="D435" s="15" t="s">
        <v>5577</v>
      </c>
      <c r="E435" s="15">
        <v>50</v>
      </c>
      <c r="F435" s="15" t="s">
        <v>5586</v>
      </c>
      <c r="G435" s="15" t="s">
        <v>5587</v>
      </c>
      <c r="H435" s="15"/>
      <c r="I435" s="15" t="s">
        <v>49</v>
      </c>
      <c r="J435" s="7" t="str">
        <f>HYPERLINK("https://www.codechef.com/problems/SQLMCQ50", "https://www.codechef.com/problems/SQLMCQ50")</f>
        <v>https://www.codechef.com/problems/SQLMCQ50</v>
      </c>
      <c r="K435" s="15"/>
      <c r="L435" s="15"/>
      <c r="M435" s="15"/>
      <c r="N435" s="15" t="s">
        <v>50</v>
      </c>
      <c r="O435" s="15" t="s">
        <v>51</v>
      </c>
    </row>
    <row r="436" spans="1:15">
      <c r="A436" s="14" t="s">
        <v>13</v>
      </c>
      <c r="B436" s="14" t="s">
        <v>5482</v>
      </c>
      <c r="C436" s="14" t="s">
        <v>5483</v>
      </c>
      <c r="D436" s="14" t="s">
        <v>5588</v>
      </c>
      <c r="E436" s="14">
        <v>51</v>
      </c>
      <c r="F436" s="14" t="s">
        <v>5589</v>
      </c>
      <c r="G436" s="14" t="s">
        <v>5590</v>
      </c>
      <c r="H436" s="14"/>
      <c r="I436" s="14" t="s">
        <v>96</v>
      </c>
      <c r="J436" s="11" t="str">
        <f>HYPERLINK("https://www.codechef.com/problems/SQLMCQ51", "https://www.codechef.com/problems/SQLMCQ51")</f>
        <v>https://www.codechef.com/problems/SQLMCQ51</v>
      </c>
      <c r="K436" s="14"/>
      <c r="L436" s="14"/>
      <c r="M436" s="14"/>
      <c r="N436" s="14" t="s">
        <v>50</v>
      </c>
      <c r="O436" s="14" t="s">
        <v>51</v>
      </c>
    </row>
    <row r="437" spans="1:15">
      <c r="A437" s="15" t="s">
        <v>13</v>
      </c>
      <c r="B437" s="15" t="s">
        <v>5482</v>
      </c>
      <c r="C437" s="15" t="s">
        <v>5483</v>
      </c>
      <c r="D437" s="15" t="s">
        <v>5588</v>
      </c>
      <c r="E437" s="15">
        <v>52</v>
      </c>
      <c r="F437" s="15" t="s">
        <v>5591</v>
      </c>
      <c r="G437" s="15" t="s">
        <v>5592</v>
      </c>
      <c r="H437" s="15"/>
      <c r="I437" s="15" t="s">
        <v>49</v>
      </c>
      <c r="J437" s="7" t="str">
        <f>HYPERLINK("https://www.codechef.com/problems/SQLMCQ52", "https://www.codechef.com/problems/SQLMCQ52")</f>
        <v>https://www.codechef.com/problems/SQLMCQ52</v>
      </c>
      <c r="K437" s="15"/>
      <c r="L437" s="15"/>
      <c r="M437" s="15"/>
      <c r="N437" s="15" t="s">
        <v>50</v>
      </c>
      <c r="O437" s="15" t="s">
        <v>51</v>
      </c>
    </row>
    <row r="438" spans="1:15">
      <c r="A438" s="14" t="s">
        <v>13</v>
      </c>
      <c r="B438" s="14" t="s">
        <v>5482</v>
      </c>
      <c r="C438" s="14" t="s">
        <v>5483</v>
      </c>
      <c r="D438" s="14" t="s">
        <v>5588</v>
      </c>
      <c r="E438" s="14">
        <v>53</v>
      </c>
      <c r="F438" s="14" t="s">
        <v>5593</v>
      </c>
      <c r="G438" s="14" t="s">
        <v>5594</v>
      </c>
      <c r="H438" s="14"/>
      <c r="I438" s="14" t="s">
        <v>49</v>
      </c>
      <c r="J438" s="11" t="str">
        <f>HYPERLINK("https://www.codechef.com/problems/SQLMCQ53", "https://www.codechef.com/problems/SQLMCQ53")</f>
        <v>https://www.codechef.com/problems/SQLMCQ53</v>
      </c>
      <c r="K438" s="14"/>
      <c r="L438" s="14"/>
      <c r="M438" s="14"/>
      <c r="N438" s="14" t="s">
        <v>50</v>
      </c>
      <c r="O438" s="14" t="s">
        <v>51</v>
      </c>
    </row>
    <row r="439" spans="1:15">
      <c r="A439" s="15" t="s">
        <v>13</v>
      </c>
      <c r="B439" s="15" t="s">
        <v>5482</v>
      </c>
      <c r="C439" s="15" t="s">
        <v>5483</v>
      </c>
      <c r="D439" s="15" t="s">
        <v>5588</v>
      </c>
      <c r="E439" s="15">
        <v>54</v>
      </c>
      <c r="F439" s="15" t="s">
        <v>5595</v>
      </c>
      <c r="G439" s="15" t="s">
        <v>5596</v>
      </c>
      <c r="H439" s="15"/>
      <c r="I439" s="15" t="s">
        <v>96</v>
      </c>
      <c r="J439" s="7" t="str">
        <f>HYPERLINK("https://www.codechef.com/problems/SQLMCQ54", "https://www.codechef.com/problems/SQLMCQ54")</f>
        <v>https://www.codechef.com/problems/SQLMCQ54</v>
      </c>
      <c r="K439" s="15"/>
      <c r="L439" s="15"/>
      <c r="M439" s="15"/>
      <c r="N439" s="15" t="s">
        <v>50</v>
      </c>
      <c r="O439" s="15" t="s">
        <v>51</v>
      </c>
    </row>
    <row r="440" spans="1:15">
      <c r="A440" s="14" t="s">
        <v>13</v>
      </c>
      <c r="B440" s="14" t="s">
        <v>5482</v>
      </c>
      <c r="C440" s="14" t="s">
        <v>5483</v>
      </c>
      <c r="D440" s="14" t="s">
        <v>5588</v>
      </c>
      <c r="E440" s="14">
        <v>55</v>
      </c>
      <c r="F440" s="14" t="s">
        <v>5530</v>
      </c>
      <c r="G440" s="14" t="s">
        <v>5597</v>
      </c>
      <c r="H440" s="14"/>
      <c r="I440" s="14" t="s">
        <v>322</v>
      </c>
      <c r="J440" s="11" t="str">
        <f>HYPERLINK("https://www.codechef.com/problems/SQLMCQ55", "https://www.codechef.com/problems/SQLMCQ55")</f>
        <v>https://www.codechef.com/problems/SQLMCQ55</v>
      </c>
      <c r="K440" s="14"/>
      <c r="L440" s="14"/>
      <c r="M440" s="14"/>
      <c r="N440" s="14" t="s">
        <v>50</v>
      </c>
      <c r="O440" s="14" t="s">
        <v>51</v>
      </c>
    </row>
    <row r="441" spans="1:15">
      <c r="A441" s="15" t="s">
        <v>13</v>
      </c>
      <c r="B441" s="15" t="s">
        <v>5482</v>
      </c>
      <c r="C441" s="15" t="s">
        <v>5483</v>
      </c>
      <c r="D441" s="15" t="s">
        <v>5598</v>
      </c>
      <c r="E441" s="15">
        <v>56</v>
      </c>
      <c r="F441" s="15" t="s">
        <v>5599</v>
      </c>
      <c r="G441" s="15" t="s">
        <v>5600</v>
      </c>
      <c r="H441" s="15"/>
      <c r="I441" s="15" t="s">
        <v>49</v>
      </c>
      <c r="J441" s="7" t="str">
        <f>HYPERLINK("https://www.codechef.com/problems/SQLMCQ56", "https://www.codechef.com/problems/SQLMCQ56")</f>
        <v>https://www.codechef.com/problems/SQLMCQ56</v>
      </c>
      <c r="K441" s="15"/>
      <c r="L441" s="15"/>
      <c r="M441" s="15"/>
      <c r="N441" s="15" t="s">
        <v>50</v>
      </c>
      <c r="O441" s="15" t="s">
        <v>51</v>
      </c>
    </row>
    <row r="442" spans="1:15">
      <c r="A442" s="14" t="s">
        <v>13</v>
      </c>
      <c r="B442" s="14" t="s">
        <v>5482</v>
      </c>
      <c r="C442" s="14" t="s">
        <v>5483</v>
      </c>
      <c r="D442" s="14" t="s">
        <v>5598</v>
      </c>
      <c r="E442" s="14">
        <v>57</v>
      </c>
      <c r="F442" s="14" t="s">
        <v>5601</v>
      </c>
      <c r="G442" s="14" t="s">
        <v>5602</v>
      </c>
      <c r="H442" s="14"/>
      <c r="I442" s="14" t="s">
        <v>49</v>
      </c>
      <c r="J442" s="11" t="str">
        <f>HYPERLINK("https://www.codechef.com/problems/SQLMCQ57", "https://www.codechef.com/problems/SQLMCQ57")</f>
        <v>https://www.codechef.com/problems/SQLMCQ57</v>
      </c>
      <c r="K442" s="14"/>
      <c r="L442" s="14"/>
      <c r="M442" s="14"/>
      <c r="N442" s="14" t="s">
        <v>50</v>
      </c>
      <c r="O442" s="14" t="s">
        <v>51</v>
      </c>
    </row>
    <row r="443" spans="1:15">
      <c r="A443" s="15" t="s">
        <v>13</v>
      </c>
      <c r="B443" s="15" t="s">
        <v>5482</v>
      </c>
      <c r="C443" s="15" t="s">
        <v>5483</v>
      </c>
      <c r="D443" s="15" t="s">
        <v>5598</v>
      </c>
      <c r="E443" s="15">
        <v>58</v>
      </c>
      <c r="F443" s="15" t="s">
        <v>5603</v>
      </c>
      <c r="G443" s="15" t="s">
        <v>5604</v>
      </c>
      <c r="H443" s="15"/>
      <c r="I443" s="15" t="s">
        <v>49</v>
      </c>
      <c r="J443" s="7" t="str">
        <f>HYPERLINK("https://www.codechef.com/problems/SQLMCQ58", "https://www.codechef.com/problems/SQLMCQ58")</f>
        <v>https://www.codechef.com/problems/SQLMCQ58</v>
      </c>
      <c r="K443" s="15"/>
      <c r="L443" s="15"/>
      <c r="M443" s="15"/>
      <c r="N443" s="15" t="s">
        <v>50</v>
      </c>
      <c r="O443" s="15" t="s">
        <v>51</v>
      </c>
    </row>
    <row r="444" spans="1:15">
      <c r="A444" s="14" t="s">
        <v>13</v>
      </c>
      <c r="B444" s="14" t="s">
        <v>5482</v>
      </c>
      <c r="C444" s="14" t="s">
        <v>5483</v>
      </c>
      <c r="D444" s="14" t="s">
        <v>5598</v>
      </c>
      <c r="E444" s="14">
        <v>59</v>
      </c>
      <c r="F444" s="14" t="s">
        <v>5605</v>
      </c>
      <c r="G444" s="14" t="s">
        <v>5606</v>
      </c>
      <c r="H444" s="14"/>
      <c r="I444" s="14" t="s">
        <v>49</v>
      </c>
      <c r="J444" s="11" t="str">
        <f>HYPERLINK("https://www.codechef.com/problems/SQLMCQ59", "https://www.codechef.com/problems/SQLMCQ59")</f>
        <v>https://www.codechef.com/problems/SQLMCQ59</v>
      </c>
      <c r="K444" s="14"/>
      <c r="L444" s="14"/>
      <c r="M444" s="14"/>
      <c r="N444" s="14" t="s">
        <v>50</v>
      </c>
      <c r="O444" s="14" t="s">
        <v>51</v>
      </c>
    </row>
    <row r="445" spans="1:15">
      <c r="A445" s="15" t="s">
        <v>13</v>
      </c>
      <c r="B445" s="15" t="s">
        <v>5482</v>
      </c>
      <c r="C445" s="15" t="s">
        <v>5483</v>
      </c>
      <c r="D445" s="15" t="s">
        <v>5598</v>
      </c>
      <c r="E445" s="15">
        <v>60</v>
      </c>
      <c r="F445" s="15" t="s">
        <v>5530</v>
      </c>
      <c r="G445" s="15" t="s">
        <v>5607</v>
      </c>
      <c r="H445" s="15"/>
      <c r="I445" s="15" t="s">
        <v>49</v>
      </c>
      <c r="J445" s="7" t="str">
        <f>HYPERLINK("https://www.codechef.com/problems/SQLMCQ60", "https://www.codechef.com/problems/SQLMCQ60")</f>
        <v>https://www.codechef.com/problems/SQLMCQ60</v>
      </c>
      <c r="K445" s="15"/>
      <c r="L445" s="15"/>
      <c r="M445" s="15"/>
      <c r="N445" s="15" t="s">
        <v>50</v>
      </c>
      <c r="O445" s="15" t="s">
        <v>51</v>
      </c>
    </row>
    <row r="446" spans="1:15">
      <c r="A446" s="14" t="s">
        <v>13</v>
      </c>
      <c r="B446" s="14" t="s">
        <v>5482</v>
      </c>
      <c r="C446" s="14" t="s">
        <v>5483</v>
      </c>
      <c r="D446" s="14" t="s">
        <v>5608</v>
      </c>
      <c r="E446" s="14">
        <v>61</v>
      </c>
      <c r="F446" s="14" t="s">
        <v>5609</v>
      </c>
      <c r="G446" s="14" t="s">
        <v>5610</v>
      </c>
      <c r="H446" s="14"/>
      <c r="I446" s="14" t="s">
        <v>49</v>
      </c>
      <c r="J446" s="11" t="str">
        <f>HYPERLINK("https://www.codechef.com/problems/SQLMCQ61", "https://www.codechef.com/problems/SQLMCQ61")</f>
        <v>https://www.codechef.com/problems/SQLMCQ61</v>
      </c>
      <c r="K446" s="14"/>
      <c r="L446" s="14"/>
      <c r="M446" s="14"/>
      <c r="N446" s="14" t="s">
        <v>50</v>
      </c>
      <c r="O446" s="14" t="s">
        <v>51</v>
      </c>
    </row>
    <row r="447" spans="1:15">
      <c r="A447" s="15" t="s">
        <v>13</v>
      </c>
      <c r="B447" s="15" t="s">
        <v>5482</v>
      </c>
      <c r="C447" s="15" t="s">
        <v>5483</v>
      </c>
      <c r="D447" s="15" t="s">
        <v>5608</v>
      </c>
      <c r="E447" s="15">
        <v>62</v>
      </c>
      <c r="F447" s="15" t="s">
        <v>5611</v>
      </c>
      <c r="G447" s="15" t="s">
        <v>5612</v>
      </c>
      <c r="H447" s="15"/>
      <c r="I447" s="15" t="s">
        <v>49</v>
      </c>
      <c r="J447" s="7" t="str">
        <f>HYPERLINK("https://www.codechef.com/problems/SQLMCQ62", "https://www.codechef.com/problems/SQLMCQ62")</f>
        <v>https://www.codechef.com/problems/SQLMCQ62</v>
      </c>
      <c r="K447" s="15"/>
      <c r="L447" s="15"/>
      <c r="M447" s="15"/>
      <c r="N447" s="15" t="s">
        <v>50</v>
      </c>
      <c r="O447" s="15" t="s">
        <v>51</v>
      </c>
    </row>
    <row r="448" spans="1:15">
      <c r="A448" s="14" t="s">
        <v>13</v>
      </c>
      <c r="B448" s="14" t="s">
        <v>5482</v>
      </c>
      <c r="C448" s="14" t="s">
        <v>5483</v>
      </c>
      <c r="D448" s="14" t="s">
        <v>5608</v>
      </c>
      <c r="E448" s="14">
        <v>63</v>
      </c>
      <c r="F448" s="14" t="s">
        <v>5613</v>
      </c>
      <c r="G448" s="14" t="s">
        <v>5614</v>
      </c>
      <c r="H448" s="14"/>
      <c r="I448" s="14" t="s">
        <v>96</v>
      </c>
      <c r="J448" s="11" t="str">
        <f>HYPERLINK("https://www.codechef.com/problems/SQLMCQ63", "https://www.codechef.com/problems/SQLMCQ63")</f>
        <v>https://www.codechef.com/problems/SQLMCQ63</v>
      </c>
      <c r="K448" s="14"/>
      <c r="L448" s="14"/>
      <c r="M448" s="14"/>
      <c r="N448" s="14" t="s">
        <v>50</v>
      </c>
      <c r="O448" s="14" t="s">
        <v>51</v>
      </c>
    </row>
    <row r="449" spans="1:15">
      <c r="A449" s="15" t="s">
        <v>13</v>
      </c>
      <c r="B449" s="15" t="s">
        <v>5482</v>
      </c>
      <c r="C449" s="15" t="s">
        <v>5483</v>
      </c>
      <c r="D449" s="15" t="s">
        <v>5608</v>
      </c>
      <c r="E449" s="15">
        <v>64</v>
      </c>
      <c r="F449" s="15" t="s">
        <v>5615</v>
      </c>
      <c r="G449" s="15" t="s">
        <v>5616</v>
      </c>
      <c r="H449" s="15"/>
      <c r="I449" s="15" t="s">
        <v>96</v>
      </c>
      <c r="J449" s="7" t="str">
        <f>HYPERLINK("https://www.codechef.com/problems/SQLMCQ64", "https://www.codechef.com/problems/SQLMCQ64")</f>
        <v>https://www.codechef.com/problems/SQLMCQ64</v>
      </c>
      <c r="K449" s="15"/>
      <c r="L449" s="15"/>
      <c r="M449" s="15"/>
      <c r="N449" s="15" t="s">
        <v>50</v>
      </c>
      <c r="O449" s="15" t="s">
        <v>51</v>
      </c>
    </row>
    <row r="450" spans="1:15">
      <c r="A450" s="14" t="s">
        <v>13</v>
      </c>
      <c r="B450" s="14" t="s">
        <v>5482</v>
      </c>
      <c r="C450" s="14" t="s">
        <v>5483</v>
      </c>
      <c r="D450" s="14" t="s">
        <v>5608</v>
      </c>
      <c r="E450" s="14">
        <v>65</v>
      </c>
      <c r="F450" s="14" t="s">
        <v>5617</v>
      </c>
      <c r="G450" s="14" t="s">
        <v>5618</v>
      </c>
      <c r="H450" s="14"/>
      <c r="I450" s="14" t="s">
        <v>96</v>
      </c>
      <c r="J450" s="11" t="str">
        <f>HYPERLINK("https://www.codechef.com/problems/SQLMCQ65", "https://www.codechef.com/problems/SQLMCQ65")</f>
        <v>https://www.codechef.com/problems/SQLMCQ65</v>
      </c>
      <c r="K450" s="14"/>
      <c r="L450" s="14"/>
      <c r="M450" s="14"/>
      <c r="N450" s="14" t="s">
        <v>50</v>
      </c>
      <c r="O450" s="14" t="s">
        <v>51</v>
      </c>
    </row>
    <row r="451" spans="1:15">
      <c r="A451" s="15" t="s">
        <v>13</v>
      </c>
      <c r="B451" s="15" t="s">
        <v>5482</v>
      </c>
      <c r="C451" s="15" t="s">
        <v>5483</v>
      </c>
      <c r="D451" s="15" t="s">
        <v>5619</v>
      </c>
      <c r="E451" s="15">
        <v>66</v>
      </c>
      <c r="F451" s="15" t="s">
        <v>5620</v>
      </c>
      <c r="G451" s="15" t="s">
        <v>5621</v>
      </c>
      <c r="H451" s="15"/>
      <c r="I451" s="15" t="s">
        <v>49</v>
      </c>
      <c r="J451" s="7" t="str">
        <f>HYPERLINK("https://www.codechef.com/problems/SQLMCQ66", "https://www.codechef.com/problems/SQLMCQ66")</f>
        <v>https://www.codechef.com/problems/SQLMCQ66</v>
      </c>
      <c r="K451" s="15"/>
      <c r="L451" s="15"/>
      <c r="M451" s="15"/>
      <c r="N451" s="15" t="s">
        <v>50</v>
      </c>
      <c r="O451" s="15" t="s">
        <v>51</v>
      </c>
    </row>
    <row r="452" spans="1:15">
      <c r="A452" s="14" t="s">
        <v>13</v>
      </c>
      <c r="B452" s="14" t="s">
        <v>5482</v>
      </c>
      <c r="C452" s="14" t="s">
        <v>5483</v>
      </c>
      <c r="D452" s="14" t="s">
        <v>5619</v>
      </c>
      <c r="E452" s="14">
        <v>67</v>
      </c>
      <c r="F452" s="14" t="s">
        <v>5622</v>
      </c>
      <c r="G452" s="14" t="s">
        <v>5623</v>
      </c>
      <c r="H452" s="14"/>
      <c r="I452" s="14" t="s">
        <v>49</v>
      </c>
      <c r="J452" s="11" t="str">
        <f>HYPERLINK("https://www.codechef.com/problems/SQLMCQ67", "https://www.codechef.com/problems/SQLMCQ67")</f>
        <v>https://www.codechef.com/problems/SQLMCQ67</v>
      </c>
      <c r="K452" s="14"/>
      <c r="L452" s="14"/>
      <c r="M452" s="14"/>
      <c r="N452" s="14" t="s">
        <v>50</v>
      </c>
      <c r="O452" s="14" t="s">
        <v>51</v>
      </c>
    </row>
    <row r="453" spans="1:15">
      <c r="A453" s="15" t="s">
        <v>13</v>
      </c>
      <c r="B453" s="15" t="s">
        <v>5482</v>
      </c>
      <c r="C453" s="15" t="s">
        <v>5483</v>
      </c>
      <c r="D453" s="15" t="s">
        <v>5619</v>
      </c>
      <c r="E453" s="15">
        <v>68</v>
      </c>
      <c r="F453" s="15" t="s">
        <v>5624</v>
      </c>
      <c r="G453" s="15" t="s">
        <v>5625</v>
      </c>
      <c r="H453" s="15"/>
      <c r="I453" s="15" t="s">
        <v>49</v>
      </c>
      <c r="J453" s="7" t="str">
        <f>HYPERLINK("https://www.codechef.com/problems/SQLMCQ68", "https://www.codechef.com/problems/SQLMCQ68")</f>
        <v>https://www.codechef.com/problems/SQLMCQ68</v>
      </c>
      <c r="K453" s="15"/>
      <c r="L453" s="15"/>
      <c r="M453" s="15"/>
      <c r="N453" s="15" t="s">
        <v>50</v>
      </c>
      <c r="O453" s="15" t="s">
        <v>51</v>
      </c>
    </row>
    <row r="454" spans="1:15">
      <c r="A454" s="14" t="s">
        <v>13</v>
      </c>
      <c r="B454" s="14" t="s">
        <v>5482</v>
      </c>
      <c r="C454" s="14" t="s">
        <v>5483</v>
      </c>
      <c r="D454" s="14" t="s">
        <v>5619</v>
      </c>
      <c r="E454" s="14">
        <v>69</v>
      </c>
      <c r="F454" s="14" t="s">
        <v>5626</v>
      </c>
      <c r="G454" s="14" t="s">
        <v>5627</v>
      </c>
      <c r="H454" s="14"/>
      <c r="I454" s="14" t="s">
        <v>96</v>
      </c>
      <c r="J454" s="11" t="str">
        <f>HYPERLINK("https://www.codechef.com/problems/SQLMCQ69", "https://www.codechef.com/problems/SQLMCQ69")</f>
        <v>https://www.codechef.com/problems/SQLMCQ69</v>
      </c>
      <c r="K454" s="14"/>
      <c r="L454" s="14"/>
      <c r="M454" s="14"/>
      <c r="N454" s="14" t="s">
        <v>50</v>
      </c>
      <c r="O454" s="14" t="s">
        <v>51</v>
      </c>
    </row>
    <row r="455" spans="1:15">
      <c r="A455" s="15" t="s">
        <v>13</v>
      </c>
      <c r="B455" s="15" t="s">
        <v>5482</v>
      </c>
      <c r="C455" s="15" t="s">
        <v>5483</v>
      </c>
      <c r="D455" s="15" t="s">
        <v>5619</v>
      </c>
      <c r="E455" s="15">
        <v>70</v>
      </c>
      <c r="F455" s="15" t="s">
        <v>5628</v>
      </c>
      <c r="G455" s="15" t="s">
        <v>5629</v>
      </c>
      <c r="H455" s="15"/>
      <c r="I455" s="15" t="s">
        <v>49</v>
      </c>
      <c r="J455" s="7" t="str">
        <f>HYPERLINK("https://www.codechef.com/problems/SQLMCQ70", "https://www.codechef.com/problems/SQLMCQ70")</f>
        <v>https://www.codechef.com/problems/SQLMCQ70</v>
      </c>
      <c r="K455" s="15"/>
      <c r="L455" s="15"/>
      <c r="M455" s="15"/>
      <c r="N455" s="15" t="s">
        <v>50</v>
      </c>
      <c r="O455" s="15" t="s">
        <v>51</v>
      </c>
    </row>
    <row r="456" spans="1:15">
      <c r="A456" s="14" t="s">
        <v>13</v>
      </c>
      <c r="B456" s="14" t="s">
        <v>5630</v>
      </c>
      <c r="C456" s="14" t="s">
        <v>5631</v>
      </c>
      <c r="D456" s="14" t="s">
        <v>5632</v>
      </c>
      <c r="E456" s="14">
        <v>1</v>
      </c>
      <c r="F456" s="14" t="s">
        <v>4700</v>
      </c>
      <c r="G456" s="14" t="s">
        <v>5633</v>
      </c>
      <c r="H456" s="14"/>
      <c r="I456" s="14" t="s">
        <v>49</v>
      </c>
      <c r="J456" s="11" t="str">
        <f>HYPERLINK("https://www.codechef.com/problems/JSMCQ01", "https://www.codechef.com/problems/JSMCQ01")</f>
        <v>https://www.codechef.com/problems/JSMCQ01</v>
      </c>
      <c r="K456" s="14"/>
      <c r="L456" s="14"/>
      <c r="M456" s="14"/>
      <c r="N456" s="14" t="s">
        <v>50</v>
      </c>
      <c r="O456" s="14" t="s">
        <v>51</v>
      </c>
    </row>
    <row r="457" spans="1:15">
      <c r="A457" s="15" t="s">
        <v>13</v>
      </c>
      <c r="B457" s="15" t="s">
        <v>5630</v>
      </c>
      <c r="C457" s="15" t="s">
        <v>5631</v>
      </c>
      <c r="D457" s="15" t="s">
        <v>5632</v>
      </c>
      <c r="E457" s="15">
        <v>2</v>
      </c>
      <c r="F457" s="15" t="s">
        <v>5634</v>
      </c>
      <c r="G457" s="15" t="s">
        <v>5635</v>
      </c>
      <c r="H457" s="15"/>
      <c r="I457" s="15" t="s">
        <v>49</v>
      </c>
      <c r="J457" s="7" t="str">
        <f>HYPERLINK("https://www.codechef.com/problems/JSMCQ02", "https://www.codechef.com/problems/JSMCQ02")</f>
        <v>https://www.codechef.com/problems/JSMCQ02</v>
      </c>
      <c r="K457" s="15"/>
      <c r="L457" s="15"/>
      <c r="M457" s="15"/>
      <c r="N457" s="15" t="s">
        <v>50</v>
      </c>
      <c r="O457" s="15" t="s">
        <v>51</v>
      </c>
    </row>
    <row r="458" spans="1:15">
      <c r="A458" s="14" t="s">
        <v>13</v>
      </c>
      <c r="B458" s="14" t="s">
        <v>5630</v>
      </c>
      <c r="C458" s="14" t="s">
        <v>5631</v>
      </c>
      <c r="D458" s="14" t="s">
        <v>5632</v>
      </c>
      <c r="E458" s="14">
        <v>3</v>
      </c>
      <c r="F458" s="14" t="s">
        <v>5636</v>
      </c>
      <c r="G458" s="14" t="s">
        <v>5637</v>
      </c>
      <c r="H458" s="14"/>
      <c r="I458" s="14" t="s">
        <v>49</v>
      </c>
      <c r="J458" s="11" t="str">
        <f>HYPERLINK("https://www.codechef.com/problems/JSMCQ03", "https://www.codechef.com/problems/JSMCQ03")</f>
        <v>https://www.codechef.com/problems/JSMCQ03</v>
      </c>
      <c r="K458" s="14"/>
      <c r="L458" s="14"/>
      <c r="M458" s="14"/>
      <c r="N458" s="14" t="s">
        <v>50</v>
      </c>
      <c r="O458" s="14" t="s">
        <v>51</v>
      </c>
    </row>
    <row r="459" spans="1:15">
      <c r="A459" s="15" t="s">
        <v>13</v>
      </c>
      <c r="B459" s="15" t="s">
        <v>5630</v>
      </c>
      <c r="C459" s="15" t="s">
        <v>5631</v>
      </c>
      <c r="D459" s="15" t="s">
        <v>5632</v>
      </c>
      <c r="E459" s="15">
        <v>4</v>
      </c>
      <c r="F459" s="15" t="s">
        <v>5638</v>
      </c>
      <c r="G459" s="15" t="s">
        <v>5639</v>
      </c>
      <c r="H459" s="15"/>
      <c r="I459" s="15" t="s">
        <v>49</v>
      </c>
      <c r="J459" s="7" t="str">
        <f>HYPERLINK("https://www.codechef.com/problems/JSMCQ04", "https://www.codechef.com/problems/JSMCQ04")</f>
        <v>https://www.codechef.com/problems/JSMCQ04</v>
      </c>
      <c r="K459" s="15"/>
      <c r="L459" s="15"/>
      <c r="M459" s="15"/>
      <c r="N459" s="15" t="s">
        <v>50</v>
      </c>
      <c r="O459" s="15" t="s">
        <v>51</v>
      </c>
    </row>
    <row r="460" spans="1:15">
      <c r="A460" s="14" t="s">
        <v>13</v>
      </c>
      <c r="B460" s="14" t="s">
        <v>5630</v>
      </c>
      <c r="C460" s="14" t="s">
        <v>5631</v>
      </c>
      <c r="D460" s="14" t="s">
        <v>5632</v>
      </c>
      <c r="E460" s="14">
        <v>5</v>
      </c>
      <c r="F460" s="14" t="s">
        <v>4706</v>
      </c>
      <c r="G460" s="14" t="s">
        <v>5640</v>
      </c>
      <c r="H460" s="14"/>
      <c r="I460" s="14" t="s">
        <v>49</v>
      </c>
      <c r="J460" s="11" t="str">
        <f>HYPERLINK("https://www.codechef.com/problems/JSMCQ05", "https://www.codechef.com/problems/JSMCQ05")</f>
        <v>https://www.codechef.com/problems/JSMCQ05</v>
      </c>
      <c r="K460" s="14"/>
      <c r="L460" s="14"/>
      <c r="M460" s="14"/>
      <c r="N460" s="14" t="s">
        <v>50</v>
      </c>
      <c r="O460" s="14" t="s">
        <v>51</v>
      </c>
    </row>
    <row r="461" spans="1:15">
      <c r="A461" s="15" t="s">
        <v>13</v>
      </c>
      <c r="B461" s="15" t="s">
        <v>5630</v>
      </c>
      <c r="C461" s="15" t="s">
        <v>5631</v>
      </c>
      <c r="D461" s="15" t="s">
        <v>5641</v>
      </c>
      <c r="E461" s="15">
        <v>6</v>
      </c>
      <c r="F461" s="15" t="s">
        <v>4943</v>
      </c>
      <c r="G461" s="15" t="s">
        <v>5642</v>
      </c>
      <c r="H461" s="15"/>
      <c r="I461" s="15" t="s">
        <v>49</v>
      </c>
      <c r="J461" s="7" t="str">
        <f>HYPERLINK("https://www.codechef.com/problems/JSMCQ06", "https://www.codechef.com/problems/JSMCQ06")</f>
        <v>https://www.codechef.com/problems/JSMCQ06</v>
      </c>
      <c r="K461" s="15"/>
      <c r="L461" s="15"/>
      <c r="M461" s="15"/>
      <c r="N461" s="15" t="s">
        <v>50</v>
      </c>
      <c r="O461" s="15" t="s">
        <v>51</v>
      </c>
    </row>
    <row r="462" spans="1:15">
      <c r="A462" s="14" t="s">
        <v>13</v>
      </c>
      <c r="B462" s="14" t="s">
        <v>5630</v>
      </c>
      <c r="C462" s="14" t="s">
        <v>5631</v>
      </c>
      <c r="D462" s="14" t="s">
        <v>5641</v>
      </c>
      <c r="E462" s="14">
        <v>7</v>
      </c>
      <c r="F462" s="14" t="s">
        <v>5643</v>
      </c>
      <c r="G462" s="14" t="s">
        <v>5644</v>
      </c>
      <c r="H462" s="14"/>
      <c r="I462" s="14" t="s">
        <v>49</v>
      </c>
      <c r="J462" s="11" t="str">
        <f>HYPERLINK("https://www.codechef.com/problems/JSMCQ07", "https://www.codechef.com/problems/JSMCQ07")</f>
        <v>https://www.codechef.com/problems/JSMCQ07</v>
      </c>
      <c r="K462" s="14"/>
      <c r="L462" s="14"/>
      <c r="M462" s="14"/>
      <c r="N462" s="14" t="s">
        <v>50</v>
      </c>
      <c r="O462" s="14" t="s">
        <v>51</v>
      </c>
    </row>
    <row r="463" spans="1:15">
      <c r="A463" s="15" t="s">
        <v>13</v>
      </c>
      <c r="B463" s="15" t="s">
        <v>5630</v>
      </c>
      <c r="C463" s="15" t="s">
        <v>5631</v>
      </c>
      <c r="D463" s="15" t="s">
        <v>5641</v>
      </c>
      <c r="E463" s="15">
        <v>8</v>
      </c>
      <c r="F463" s="15" t="s">
        <v>5645</v>
      </c>
      <c r="G463" s="15" t="s">
        <v>5646</v>
      </c>
      <c r="H463" s="15"/>
      <c r="I463" s="15" t="s">
        <v>49</v>
      </c>
      <c r="J463" s="7" t="str">
        <f>HYPERLINK("https://www.codechef.com/problems/JSMCQ08", "https://www.codechef.com/problems/JSMCQ08")</f>
        <v>https://www.codechef.com/problems/JSMCQ08</v>
      </c>
      <c r="K463" s="15"/>
      <c r="L463" s="15"/>
      <c r="M463" s="15"/>
      <c r="N463" s="15" t="s">
        <v>50</v>
      </c>
      <c r="O463" s="15" t="s">
        <v>51</v>
      </c>
    </row>
    <row r="464" spans="1:15">
      <c r="A464" s="14" t="s">
        <v>13</v>
      </c>
      <c r="B464" s="14" t="s">
        <v>5630</v>
      </c>
      <c r="C464" s="14" t="s">
        <v>5631</v>
      </c>
      <c r="D464" s="14" t="s">
        <v>5641</v>
      </c>
      <c r="E464" s="14">
        <v>9</v>
      </c>
      <c r="F464" s="14" t="s">
        <v>5647</v>
      </c>
      <c r="G464" s="14" t="s">
        <v>5648</v>
      </c>
      <c r="H464" s="14"/>
      <c r="I464" s="14" t="s">
        <v>49</v>
      </c>
      <c r="J464" s="11" t="str">
        <f>HYPERLINK("https://www.codechef.com/problems/JSMCQ09", "https://www.codechef.com/problems/JSMCQ09")</f>
        <v>https://www.codechef.com/problems/JSMCQ09</v>
      </c>
      <c r="K464" s="14"/>
      <c r="L464" s="14"/>
      <c r="M464" s="14"/>
      <c r="N464" s="14" t="s">
        <v>50</v>
      </c>
      <c r="O464" s="14" t="s">
        <v>51</v>
      </c>
    </row>
    <row r="465" spans="1:15">
      <c r="A465" s="15" t="s">
        <v>13</v>
      </c>
      <c r="B465" s="15" t="s">
        <v>5630</v>
      </c>
      <c r="C465" s="15" t="s">
        <v>5631</v>
      </c>
      <c r="D465" s="15" t="s">
        <v>5641</v>
      </c>
      <c r="E465" s="15">
        <v>10</v>
      </c>
      <c r="F465" s="15" t="s">
        <v>5649</v>
      </c>
      <c r="G465" s="15" t="s">
        <v>5650</v>
      </c>
      <c r="H465" s="15"/>
      <c r="I465" s="15" t="s">
        <v>49</v>
      </c>
      <c r="J465" s="7" t="str">
        <f>HYPERLINK("https://www.codechef.com/problems/JSMCQ10", "https://www.codechef.com/problems/JSMCQ10")</f>
        <v>https://www.codechef.com/problems/JSMCQ10</v>
      </c>
      <c r="K465" s="15"/>
      <c r="L465" s="15"/>
      <c r="M465" s="15"/>
      <c r="N465" s="15" t="s">
        <v>50</v>
      </c>
      <c r="O465" s="15" t="s">
        <v>51</v>
      </c>
    </row>
    <row r="466" spans="1:15">
      <c r="A466" s="14" t="s">
        <v>13</v>
      </c>
      <c r="B466" s="14" t="s">
        <v>5630</v>
      </c>
      <c r="C466" s="14" t="s">
        <v>5631</v>
      </c>
      <c r="D466" s="14" t="s">
        <v>5651</v>
      </c>
      <c r="E466" s="14">
        <v>11</v>
      </c>
      <c r="F466" s="14" t="s">
        <v>5652</v>
      </c>
      <c r="G466" s="14" t="s">
        <v>5653</v>
      </c>
      <c r="H466" s="14"/>
      <c r="I466" s="14" t="s">
        <v>49</v>
      </c>
      <c r="J466" s="11" t="str">
        <f>HYPERLINK("https://www.codechef.com/problems/JSMCQ11", "https://www.codechef.com/problems/JSMCQ11")</f>
        <v>https://www.codechef.com/problems/JSMCQ11</v>
      </c>
      <c r="K466" s="14"/>
      <c r="L466" s="14"/>
      <c r="M466" s="14"/>
      <c r="N466" s="14" t="s">
        <v>50</v>
      </c>
      <c r="O466" s="14" t="s">
        <v>51</v>
      </c>
    </row>
    <row r="467" spans="1:15">
      <c r="A467" s="15" t="s">
        <v>13</v>
      </c>
      <c r="B467" s="15" t="s">
        <v>5630</v>
      </c>
      <c r="C467" s="15" t="s">
        <v>5631</v>
      </c>
      <c r="D467" s="15" t="s">
        <v>5651</v>
      </c>
      <c r="E467" s="15">
        <v>12</v>
      </c>
      <c r="F467" s="15" t="s">
        <v>5654</v>
      </c>
      <c r="G467" s="15" t="s">
        <v>5655</v>
      </c>
      <c r="H467" s="15"/>
      <c r="I467" s="15" t="s">
        <v>49</v>
      </c>
      <c r="J467" s="7" t="str">
        <f>HYPERLINK("https://www.codechef.com/problems/JSMCQ12", "https://www.codechef.com/problems/JSMCQ12")</f>
        <v>https://www.codechef.com/problems/JSMCQ12</v>
      </c>
      <c r="K467" s="15"/>
      <c r="L467" s="15"/>
      <c r="M467" s="15"/>
      <c r="N467" s="15" t="s">
        <v>50</v>
      </c>
      <c r="O467" s="15" t="s">
        <v>51</v>
      </c>
    </row>
    <row r="468" spans="1:15">
      <c r="A468" s="14" t="s">
        <v>13</v>
      </c>
      <c r="B468" s="14" t="s">
        <v>5630</v>
      </c>
      <c r="C468" s="14" t="s">
        <v>5631</v>
      </c>
      <c r="D468" s="14" t="s">
        <v>5651</v>
      </c>
      <c r="E468" s="14">
        <v>13</v>
      </c>
      <c r="F468" s="14" t="s">
        <v>5656</v>
      </c>
      <c r="G468" s="14" t="s">
        <v>5657</v>
      </c>
      <c r="H468" s="14"/>
      <c r="I468" s="14" t="s">
        <v>49</v>
      </c>
      <c r="J468" s="11" t="str">
        <f>HYPERLINK("https://www.codechef.com/problems/JSMCQ13", "https://www.codechef.com/problems/JSMCQ13")</f>
        <v>https://www.codechef.com/problems/JSMCQ13</v>
      </c>
      <c r="K468" s="14"/>
      <c r="L468" s="14"/>
      <c r="M468" s="14"/>
      <c r="N468" s="14" t="s">
        <v>50</v>
      </c>
      <c r="O468" s="14" t="s">
        <v>51</v>
      </c>
    </row>
    <row r="469" spans="1:15">
      <c r="A469" s="15" t="s">
        <v>13</v>
      </c>
      <c r="B469" s="15" t="s">
        <v>5630</v>
      </c>
      <c r="C469" s="15" t="s">
        <v>5631</v>
      </c>
      <c r="D469" s="15" t="s">
        <v>5651</v>
      </c>
      <c r="E469" s="15">
        <v>14</v>
      </c>
      <c r="F469" s="15" t="s">
        <v>5658</v>
      </c>
      <c r="G469" s="15" t="s">
        <v>5659</v>
      </c>
      <c r="H469" s="15"/>
      <c r="I469" s="15" t="s">
        <v>49</v>
      </c>
      <c r="J469" s="7" t="str">
        <f>HYPERLINK("https://www.codechef.com/problems/JSMCQ14", "https://www.codechef.com/problems/JSMCQ14")</f>
        <v>https://www.codechef.com/problems/JSMCQ14</v>
      </c>
      <c r="K469" s="15"/>
      <c r="L469" s="15"/>
      <c r="M469" s="15"/>
      <c r="N469" s="15" t="s">
        <v>50</v>
      </c>
      <c r="O469" s="15" t="s">
        <v>51</v>
      </c>
    </row>
    <row r="470" spans="1:15">
      <c r="A470" s="14" t="s">
        <v>13</v>
      </c>
      <c r="B470" s="14" t="s">
        <v>5630</v>
      </c>
      <c r="C470" s="14" t="s">
        <v>5631</v>
      </c>
      <c r="D470" s="14" t="s">
        <v>5651</v>
      </c>
      <c r="E470" s="14">
        <v>15</v>
      </c>
      <c r="F470" s="14" t="s">
        <v>5660</v>
      </c>
      <c r="G470" s="14" t="s">
        <v>5661</v>
      </c>
      <c r="H470" s="14"/>
      <c r="I470" s="14" t="s">
        <v>49</v>
      </c>
      <c r="J470" s="11" t="str">
        <f>HYPERLINK("https://www.codechef.com/problems/JSMCQ15", "https://www.codechef.com/problems/JSMCQ15")</f>
        <v>https://www.codechef.com/problems/JSMCQ15</v>
      </c>
      <c r="K470" s="14"/>
      <c r="L470" s="14"/>
      <c r="M470" s="14"/>
      <c r="N470" s="14" t="s">
        <v>50</v>
      </c>
      <c r="O470" s="14" t="s">
        <v>51</v>
      </c>
    </row>
    <row r="471" spans="1:15">
      <c r="A471" s="15" t="s">
        <v>13</v>
      </c>
      <c r="B471" s="15" t="s">
        <v>5630</v>
      </c>
      <c r="C471" s="15" t="s">
        <v>5631</v>
      </c>
      <c r="D471" s="15" t="s">
        <v>5662</v>
      </c>
      <c r="E471" s="15">
        <v>16</v>
      </c>
      <c r="F471" s="15" t="s">
        <v>5663</v>
      </c>
      <c r="G471" s="15" t="s">
        <v>5664</v>
      </c>
      <c r="H471" s="15"/>
      <c r="I471" s="15" t="s">
        <v>49</v>
      </c>
      <c r="J471" s="7" t="str">
        <f>HYPERLINK("https://www.codechef.com/problems/JSMCQ16", "https://www.codechef.com/problems/JSMCQ16")</f>
        <v>https://www.codechef.com/problems/JSMCQ16</v>
      </c>
      <c r="K471" s="15"/>
      <c r="L471" s="15"/>
      <c r="M471" s="15"/>
      <c r="N471" s="15" t="s">
        <v>50</v>
      </c>
      <c r="O471" s="15" t="s">
        <v>51</v>
      </c>
    </row>
    <row r="472" spans="1:15">
      <c r="A472" s="14" t="s">
        <v>13</v>
      </c>
      <c r="B472" s="14" t="s">
        <v>5630</v>
      </c>
      <c r="C472" s="14" t="s">
        <v>5631</v>
      </c>
      <c r="D472" s="14" t="s">
        <v>5662</v>
      </c>
      <c r="E472" s="14">
        <v>17</v>
      </c>
      <c r="F472" s="14" t="s">
        <v>5665</v>
      </c>
      <c r="G472" s="14" t="s">
        <v>5666</v>
      </c>
      <c r="H472" s="14"/>
      <c r="I472" s="14" t="s">
        <v>49</v>
      </c>
      <c r="J472" s="11" t="str">
        <f>HYPERLINK("https://www.codechef.com/problems/JSMCQ17", "https://www.codechef.com/problems/JSMCQ17")</f>
        <v>https://www.codechef.com/problems/JSMCQ17</v>
      </c>
      <c r="K472" s="14"/>
      <c r="L472" s="14"/>
      <c r="M472" s="14"/>
      <c r="N472" s="14" t="s">
        <v>50</v>
      </c>
      <c r="O472" s="14" t="s">
        <v>51</v>
      </c>
    </row>
    <row r="473" spans="1:15">
      <c r="A473" s="15" t="s">
        <v>13</v>
      </c>
      <c r="B473" s="15" t="s">
        <v>5630</v>
      </c>
      <c r="C473" s="15" t="s">
        <v>5631</v>
      </c>
      <c r="D473" s="15" t="s">
        <v>5662</v>
      </c>
      <c r="E473" s="15">
        <v>18</v>
      </c>
      <c r="F473" s="15" t="s">
        <v>5667</v>
      </c>
      <c r="G473" s="15" t="s">
        <v>5668</v>
      </c>
      <c r="H473" s="15"/>
      <c r="I473" s="15" t="s">
        <v>49</v>
      </c>
      <c r="J473" s="7" t="str">
        <f>HYPERLINK("https://www.codechef.com/problems/JSMCQ18", "https://www.codechef.com/problems/JSMCQ18")</f>
        <v>https://www.codechef.com/problems/JSMCQ18</v>
      </c>
      <c r="K473" s="15"/>
      <c r="L473" s="15"/>
      <c r="M473" s="15"/>
      <c r="N473" s="15" t="s">
        <v>50</v>
      </c>
      <c r="O473" s="15" t="s">
        <v>51</v>
      </c>
    </row>
    <row r="474" spans="1:15">
      <c r="A474" s="14" t="s">
        <v>13</v>
      </c>
      <c r="B474" s="14" t="s">
        <v>5630</v>
      </c>
      <c r="C474" s="14" t="s">
        <v>5631</v>
      </c>
      <c r="D474" s="14" t="s">
        <v>5662</v>
      </c>
      <c r="E474" s="14">
        <v>19</v>
      </c>
      <c r="F474" s="14" t="s">
        <v>5669</v>
      </c>
      <c r="G474" s="14" t="s">
        <v>5670</v>
      </c>
      <c r="H474" s="14"/>
      <c r="I474" s="14" t="s">
        <v>49</v>
      </c>
      <c r="J474" s="11" t="str">
        <f>HYPERLINK("https://www.codechef.com/problems/JSMCQ19", "https://www.codechef.com/problems/JSMCQ19")</f>
        <v>https://www.codechef.com/problems/JSMCQ19</v>
      </c>
      <c r="K474" s="14"/>
      <c r="L474" s="14"/>
      <c r="M474" s="14"/>
      <c r="N474" s="14" t="s">
        <v>50</v>
      </c>
      <c r="O474" s="14" t="s">
        <v>51</v>
      </c>
    </row>
    <row r="475" spans="1:15">
      <c r="A475" s="15" t="s">
        <v>13</v>
      </c>
      <c r="B475" s="15" t="s">
        <v>5630</v>
      </c>
      <c r="C475" s="15" t="s">
        <v>5631</v>
      </c>
      <c r="D475" s="15" t="s">
        <v>5662</v>
      </c>
      <c r="E475" s="15">
        <v>20</v>
      </c>
      <c r="F475" s="15" t="s">
        <v>5671</v>
      </c>
      <c r="G475" s="15" t="s">
        <v>5672</v>
      </c>
      <c r="H475" s="15"/>
      <c r="I475" s="15" t="s">
        <v>49</v>
      </c>
      <c r="J475" s="7" t="str">
        <f>HYPERLINK("https://www.codechef.com/problems/JSMCQ20", "https://www.codechef.com/problems/JSMCQ20")</f>
        <v>https://www.codechef.com/problems/JSMCQ20</v>
      </c>
      <c r="K475" s="15"/>
      <c r="L475" s="15"/>
      <c r="M475" s="15"/>
      <c r="N475" s="15" t="s">
        <v>50</v>
      </c>
      <c r="O475" s="15" t="s">
        <v>51</v>
      </c>
    </row>
    <row r="476" spans="1:15">
      <c r="A476" s="14" t="s">
        <v>13</v>
      </c>
      <c r="B476" s="14" t="s">
        <v>5630</v>
      </c>
      <c r="C476" s="14" t="s">
        <v>5631</v>
      </c>
      <c r="D476" s="14" t="s">
        <v>5673</v>
      </c>
      <c r="E476" s="14">
        <v>21</v>
      </c>
      <c r="F476" s="14" t="s">
        <v>5298</v>
      </c>
      <c r="G476" s="14" t="s">
        <v>5674</v>
      </c>
      <c r="H476" s="14"/>
      <c r="I476" s="14" t="s">
        <v>49</v>
      </c>
      <c r="J476" s="11" t="str">
        <f>HYPERLINK("https://www.codechef.com/problems/JSMCQ21", "https://www.codechef.com/problems/JSMCQ21")</f>
        <v>https://www.codechef.com/problems/JSMCQ21</v>
      </c>
      <c r="K476" s="14"/>
      <c r="L476" s="14"/>
      <c r="M476" s="14"/>
      <c r="N476" s="14" t="s">
        <v>50</v>
      </c>
      <c r="O476" s="14" t="s">
        <v>51</v>
      </c>
    </row>
    <row r="477" spans="1:15">
      <c r="A477" s="15" t="s">
        <v>13</v>
      </c>
      <c r="B477" s="15" t="s">
        <v>5630</v>
      </c>
      <c r="C477" s="15" t="s">
        <v>5631</v>
      </c>
      <c r="D477" s="15" t="s">
        <v>5673</v>
      </c>
      <c r="E477" s="15">
        <v>22</v>
      </c>
      <c r="F477" s="15" t="s">
        <v>5675</v>
      </c>
      <c r="G477" s="15" t="s">
        <v>5676</v>
      </c>
      <c r="H477" s="15"/>
      <c r="I477" s="15" t="s">
        <v>49</v>
      </c>
      <c r="J477" s="7" t="str">
        <f>HYPERLINK("https://www.codechef.com/problems/JSMCQ22", "https://www.codechef.com/problems/JSMCQ22")</f>
        <v>https://www.codechef.com/problems/JSMCQ22</v>
      </c>
      <c r="K477" s="15"/>
      <c r="L477" s="15"/>
      <c r="M477" s="15"/>
      <c r="N477" s="15" t="s">
        <v>50</v>
      </c>
      <c r="O477" s="15" t="s">
        <v>51</v>
      </c>
    </row>
    <row r="478" spans="1:15">
      <c r="A478" s="14" t="s">
        <v>13</v>
      </c>
      <c r="B478" s="14" t="s">
        <v>5630</v>
      </c>
      <c r="C478" s="14" t="s">
        <v>5631</v>
      </c>
      <c r="D478" s="14" t="s">
        <v>5673</v>
      </c>
      <c r="E478" s="14">
        <v>23</v>
      </c>
      <c r="F478" s="14" t="s">
        <v>5677</v>
      </c>
      <c r="G478" s="14" t="s">
        <v>5678</v>
      </c>
      <c r="H478" s="14"/>
      <c r="I478" s="14" t="s">
        <v>49</v>
      </c>
      <c r="J478" s="11" t="str">
        <f>HYPERLINK("https://www.codechef.com/problems/JSMCQ23", "https://www.codechef.com/problems/JSMCQ23")</f>
        <v>https://www.codechef.com/problems/JSMCQ23</v>
      </c>
      <c r="K478" s="14"/>
      <c r="L478" s="14"/>
      <c r="M478" s="14"/>
      <c r="N478" s="14" t="s">
        <v>50</v>
      </c>
      <c r="O478" s="14" t="s">
        <v>51</v>
      </c>
    </row>
    <row r="479" spans="1:15">
      <c r="A479" s="15" t="s">
        <v>13</v>
      </c>
      <c r="B479" s="15" t="s">
        <v>5630</v>
      </c>
      <c r="C479" s="15" t="s">
        <v>5631</v>
      </c>
      <c r="D479" s="15" t="s">
        <v>5673</v>
      </c>
      <c r="E479" s="15">
        <v>24</v>
      </c>
      <c r="F479" s="15" t="s">
        <v>5679</v>
      </c>
      <c r="G479" s="15" t="s">
        <v>5680</v>
      </c>
      <c r="H479" s="15"/>
      <c r="I479" s="15" t="s">
        <v>49</v>
      </c>
      <c r="J479" s="7" t="str">
        <f>HYPERLINK("https://www.codechef.com/problems/JSMCQ24", "https://www.codechef.com/problems/JSMCQ24")</f>
        <v>https://www.codechef.com/problems/JSMCQ24</v>
      </c>
      <c r="K479" s="15"/>
      <c r="L479" s="15"/>
      <c r="M479" s="15"/>
      <c r="N479" s="15" t="s">
        <v>50</v>
      </c>
      <c r="O479" s="15" t="s">
        <v>51</v>
      </c>
    </row>
    <row r="480" spans="1:15">
      <c r="A480" s="14" t="s">
        <v>13</v>
      </c>
      <c r="B480" s="14" t="s">
        <v>5630</v>
      </c>
      <c r="C480" s="14" t="s">
        <v>5631</v>
      </c>
      <c r="D480" s="14" t="s">
        <v>5673</v>
      </c>
      <c r="E480" s="14">
        <v>25</v>
      </c>
      <c r="F480" s="14" t="s">
        <v>5681</v>
      </c>
      <c r="G480" s="14" t="s">
        <v>5682</v>
      </c>
      <c r="H480" s="14"/>
      <c r="I480" s="14" t="s">
        <v>49</v>
      </c>
      <c r="J480" s="11" t="str">
        <f>HYPERLINK("https://www.codechef.com/problems/JSMCQ25", "https://www.codechef.com/problems/JSMCQ25")</f>
        <v>https://www.codechef.com/problems/JSMCQ25</v>
      </c>
      <c r="K480" s="14"/>
      <c r="L480" s="14"/>
      <c r="M480" s="14"/>
      <c r="N480" s="14" t="s">
        <v>50</v>
      </c>
      <c r="O480" s="14" t="s">
        <v>51</v>
      </c>
    </row>
    <row r="481" spans="1:15">
      <c r="A481" s="15" t="s">
        <v>13</v>
      </c>
      <c r="B481" s="15" t="s">
        <v>5630</v>
      </c>
      <c r="C481" s="15" t="s">
        <v>5631</v>
      </c>
      <c r="D481" s="15" t="s">
        <v>5683</v>
      </c>
      <c r="E481" s="15">
        <v>26</v>
      </c>
      <c r="F481" s="15" t="s">
        <v>5684</v>
      </c>
      <c r="G481" s="15" t="s">
        <v>5685</v>
      </c>
      <c r="H481" s="15"/>
      <c r="I481" s="15" t="s">
        <v>49</v>
      </c>
      <c r="J481" s="7" t="str">
        <f>HYPERLINK("https://www.codechef.com/problems/JSMCQ26", "https://www.codechef.com/problems/JSMCQ26")</f>
        <v>https://www.codechef.com/problems/JSMCQ26</v>
      </c>
      <c r="K481" s="15"/>
      <c r="L481" s="15"/>
      <c r="M481" s="15"/>
      <c r="N481" s="15" t="s">
        <v>50</v>
      </c>
      <c r="O481" s="15" t="s">
        <v>51</v>
      </c>
    </row>
    <row r="482" spans="1:15">
      <c r="A482" s="14" t="s">
        <v>13</v>
      </c>
      <c r="B482" s="14" t="s">
        <v>5630</v>
      </c>
      <c r="C482" s="14" t="s">
        <v>5631</v>
      </c>
      <c r="D482" s="14" t="s">
        <v>5683</v>
      </c>
      <c r="E482" s="14">
        <v>27</v>
      </c>
      <c r="F482" s="14" t="s">
        <v>5686</v>
      </c>
      <c r="G482" s="14" t="s">
        <v>5687</v>
      </c>
      <c r="H482" s="14"/>
      <c r="I482" s="14" t="s">
        <v>49</v>
      </c>
      <c r="J482" s="11" t="str">
        <f>HYPERLINK("https://www.codechef.com/problems/JSMCQ27", "https://www.codechef.com/problems/JSMCQ27")</f>
        <v>https://www.codechef.com/problems/JSMCQ27</v>
      </c>
      <c r="K482" s="14"/>
      <c r="L482" s="14"/>
      <c r="M482" s="14"/>
      <c r="N482" s="14" t="s">
        <v>50</v>
      </c>
      <c r="O482" s="14" t="s">
        <v>51</v>
      </c>
    </row>
    <row r="483" spans="1:15">
      <c r="A483" s="15" t="s">
        <v>13</v>
      </c>
      <c r="B483" s="15" t="s">
        <v>5630</v>
      </c>
      <c r="C483" s="15" t="s">
        <v>5631</v>
      </c>
      <c r="D483" s="15" t="s">
        <v>5683</v>
      </c>
      <c r="E483" s="15">
        <v>28</v>
      </c>
      <c r="F483" s="15" t="s">
        <v>5688</v>
      </c>
      <c r="G483" s="15" t="s">
        <v>5689</v>
      </c>
      <c r="H483" s="15"/>
      <c r="I483" s="15" t="s">
        <v>96</v>
      </c>
      <c r="J483" s="7" t="str">
        <f>HYPERLINK("https://www.codechef.com/problems/JSMCQ28", "https://www.codechef.com/problems/JSMCQ28")</f>
        <v>https://www.codechef.com/problems/JSMCQ28</v>
      </c>
      <c r="K483" s="15"/>
      <c r="L483" s="15"/>
      <c r="M483" s="15"/>
      <c r="N483" s="15" t="s">
        <v>50</v>
      </c>
      <c r="O483" s="15" t="s">
        <v>51</v>
      </c>
    </row>
    <row r="484" spans="1:15">
      <c r="A484" s="14" t="s">
        <v>13</v>
      </c>
      <c r="B484" s="14" t="s">
        <v>5630</v>
      </c>
      <c r="C484" s="14" t="s">
        <v>5631</v>
      </c>
      <c r="D484" s="14" t="s">
        <v>5683</v>
      </c>
      <c r="E484" s="14">
        <v>29</v>
      </c>
      <c r="F484" s="14" t="s">
        <v>5690</v>
      </c>
      <c r="G484" s="14" t="s">
        <v>5691</v>
      </c>
      <c r="H484" s="14"/>
      <c r="I484" s="14" t="s">
        <v>96</v>
      </c>
      <c r="J484" s="11" t="str">
        <f>HYPERLINK("https://www.codechef.com/problems/JSMCQ29", "https://www.codechef.com/problems/JSMCQ29")</f>
        <v>https://www.codechef.com/problems/JSMCQ29</v>
      </c>
      <c r="K484" s="14"/>
      <c r="L484" s="14"/>
      <c r="M484" s="14"/>
      <c r="N484" s="14" t="s">
        <v>50</v>
      </c>
      <c r="O484" s="14" t="s">
        <v>51</v>
      </c>
    </row>
    <row r="485" spans="1:15">
      <c r="A485" s="15" t="s">
        <v>13</v>
      </c>
      <c r="B485" s="15" t="s">
        <v>5630</v>
      </c>
      <c r="C485" s="15" t="s">
        <v>5631</v>
      </c>
      <c r="D485" s="15" t="s">
        <v>5683</v>
      </c>
      <c r="E485" s="15">
        <v>30</v>
      </c>
      <c r="F485" s="15" t="s">
        <v>5692</v>
      </c>
      <c r="G485" s="15" t="s">
        <v>5693</v>
      </c>
      <c r="H485" s="15"/>
      <c r="I485" s="15" t="s">
        <v>96</v>
      </c>
      <c r="J485" s="7" t="str">
        <f>HYPERLINK("https://www.codechef.com/problems/JSMCQ30", "https://www.codechef.com/problems/JSMCQ30")</f>
        <v>https://www.codechef.com/problems/JSMCQ30</v>
      </c>
      <c r="K485" s="15"/>
      <c r="L485" s="15"/>
      <c r="M485" s="15"/>
      <c r="N485" s="15" t="s">
        <v>50</v>
      </c>
      <c r="O485" s="15" t="s">
        <v>51</v>
      </c>
    </row>
    <row r="486" spans="1:15">
      <c r="A486" s="14" t="s">
        <v>13</v>
      </c>
      <c r="B486" s="14" t="s">
        <v>5630</v>
      </c>
      <c r="C486" s="14" t="s">
        <v>5631</v>
      </c>
      <c r="D486" s="14" t="s">
        <v>5694</v>
      </c>
      <c r="E486" s="14">
        <v>31</v>
      </c>
      <c r="F486" s="14" t="s">
        <v>5695</v>
      </c>
      <c r="G486" s="14" t="s">
        <v>5696</v>
      </c>
      <c r="H486" s="14"/>
      <c r="I486" s="14" t="s">
        <v>96</v>
      </c>
      <c r="J486" s="11" t="str">
        <f>HYPERLINK("https://www.codechef.com/problems/JSMCQ31", "https://www.codechef.com/problems/JSMCQ31")</f>
        <v>https://www.codechef.com/problems/JSMCQ31</v>
      </c>
      <c r="K486" s="14"/>
      <c r="L486" s="14"/>
      <c r="M486" s="14"/>
      <c r="N486" s="14" t="s">
        <v>50</v>
      </c>
      <c r="O486" s="14" t="s">
        <v>51</v>
      </c>
    </row>
    <row r="487" spans="1:15">
      <c r="A487" s="15" t="s">
        <v>13</v>
      </c>
      <c r="B487" s="15" t="s">
        <v>5630</v>
      </c>
      <c r="C487" s="15" t="s">
        <v>5631</v>
      </c>
      <c r="D487" s="15" t="s">
        <v>5694</v>
      </c>
      <c r="E487" s="15">
        <v>32</v>
      </c>
      <c r="F487" s="15" t="s">
        <v>5697</v>
      </c>
      <c r="G487" s="15" t="s">
        <v>5698</v>
      </c>
      <c r="H487" s="15"/>
      <c r="I487" s="15" t="s">
        <v>49</v>
      </c>
      <c r="J487" s="7" t="str">
        <f>HYPERLINK("https://www.codechef.com/problems/JSMCQ32", "https://www.codechef.com/problems/JSMCQ32")</f>
        <v>https://www.codechef.com/problems/JSMCQ32</v>
      </c>
      <c r="K487" s="15"/>
      <c r="L487" s="15"/>
      <c r="M487" s="15"/>
      <c r="N487" s="15" t="s">
        <v>50</v>
      </c>
      <c r="O487" s="15" t="s">
        <v>51</v>
      </c>
    </row>
    <row r="488" spans="1:15">
      <c r="A488" s="14" t="s">
        <v>13</v>
      </c>
      <c r="B488" s="14" t="s">
        <v>5630</v>
      </c>
      <c r="C488" s="14" t="s">
        <v>5631</v>
      </c>
      <c r="D488" s="14" t="s">
        <v>5694</v>
      </c>
      <c r="E488" s="14">
        <v>33</v>
      </c>
      <c r="F488" s="14" t="s">
        <v>5699</v>
      </c>
      <c r="G488" s="14" t="s">
        <v>5700</v>
      </c>
      <c r="H488" s="14"/>
      <c r="I488" s="14" t="s">
        <v>96</v>
      </c>
      <c r="J488" s="11" t="str">
        <f>HYPERLINK("https://www.codechef.com/problems/JSMCQ33", "https://www.codechef.com/problems/JSMCQ33")</f>
        <v>https://www.codechef.com/problems/JSMCQ33</v>
      </c>
      <c r="K488" s="14"/>
      <c r="L488" s="14"/>
      <c r="M488" s="14"/>
      <c r="N488" s="14" t="s">
        <v>50</v>
      </c>
      <c r="O488" s="14" t="s">
        <v>51</v>
      </c>
    </row>
    <row r="489" spans="1:15">
      <c r="A489" s="15" t="s">
        <v>13</v>
      </c>
      <c r="B489" s="15" t="s">
        <v>5630</v>
      </c>
      <c r="C489" s="15" t="s">
        <v>5631</v>
      </c>
      <c r="D489" s="15" t="s">
        <v>5694</v>
      </c>
      <c r="E489" s="15">
        <v>34</v>
      </c>
      <c r="F489" s="15" t="s">
        <v>5701</v>
      </c>
      <c r="G489" s="15" t="s">
        <v>5702</v>
      </c>
      <c r="H489" s="15"/>
      <c r="I489" s="15" t="s">
        <v>96</v>
      </c>
      <c r="J489" s="7" t="str">
        <f>HYPERLINK("https://www.codechef.com/problems/JSMCQ34", "https://www.codechef.com/problems/JSMCQ34")</f>
        <v>https://www.codechef.com/problems/JSMCQ34</v>
      </c>
      <c r="K489" s="15"/>
      <c r="L489" s="15"/>
      <c r="M489" s="15"/>
      <c r="N489" s="15" t="s">
        <v>50</v>
      </c>
      <c r="O489" s="15" t="s">
        <v>51</v>
      </c>
    </row>
    <row r="490" spans="1:15">
      <c r="A490" s="14" t="s">
        <v>13</v>
      </c>
      <c r="B490" s="14" t="s">
        <v>5630</v>
      </c>
      <c r="C490" s="14" t="s">
        <v>5631</v>
      </c>
      <c r="D490" s="14" t="s">
        <v>5694</v>
      </c>
      <c r="E490" s="14">
        <v>35</v>
      </c>
      <c r="F490" s="14" t="s">
        <v>5703</v>
      </c>
      <c r="G490" s="14" t="s">
        <v>5704</v>
      </c>
      <c r="H490" s="14"/>
      <c r="I490" s="14" t="s">
        <v>49</v>
      </c>
      <c r="J490" s="11" t="str">
        <f>HYPERLINK("https://www.codechef.com/problems/JSMCQ35", "https://www.codechef.com/problems/JSMCQ35")</f>
        <v>https://www.codechef.com/problems/JSMCQ35</v>
      </c>
      <c r="K490" s="14"/>
      <c r="L490" s="14"/>
      <c r="M490" s="14"/>
      <c r="N490" s="14" t="s">
        <v>50</v>
      </c>
      <c r="O490" s="14" t="s">
        <v>51</v>
      </c>
    </row>
    <row r="491" spans="1:15">
      <c r="A491" s="15" t="s">
        <v>13</v>
      </c>
      <c r="B491" s="15" t="s">
        <v>5630</v>
      </c>
      <c r="C491" s="15" t="s">
        <v>5631</v>
      </c>
      <c r="D491" s="15" t="s">
        <v>5694</v>
      </c>
      <c r="E491" s="15">
        <v>36</v>
      </c>
      <c r="F491" s="15" t="s">
        <v>5705</v>
      </c>
      <c r="G491" s="15" t="s">
        <v>5706</v>
      </c>
      <c r="H491" s="15"/>
      <c r="I491" s="15" t="s">
        <v>49</v>
      </c>
      <c r="J491" s="7" t="str">
        <f>HYPERLINK("https://www.codechef.com/problems/JSMCQ36", "https://www.codechef.com/problems/JSMCQ36")</f>
        <v>https://www.codechef.com/problems/JSMCQ36</v>
      </c>
      <c r="K491" s="15"/>
      <c r="L491" s="15"/>
      <c r="M491" s="15"/>
      <c r="N491" s="15" t="s">
        <v>50</v>
      </c>
      <c r="O491" s="15" t="s">
        <v>51</v>
      </c>
    </row>
    <row r="492" spans="1:15">
      <c r="A492" s="14" t="s">
        <v>13</v>
      </c>
      <c r="B492" s="14" t="s">
        <v>5630</v>
      </c>
      <c r="C492" s="14" t="s">
        <v>5631</v>
      </c>
      <c r="D492" s="14" t="s">
        <v>5707</v>
      </c>
      <c r="E492" s="14">
        <v>37</v>
      </c>
      <c r="F492" s="14" t="s">
        <v>5708</v>
      </c>
      <c r="G492" s="14" t="s">
        <v>5709</v>
      </c>
      <c r="H492" s="14"/>
      <c r="I492" s="14" t="s">
        <v>49</v>
      </c>
      <c r="J492" s="11" t="str">
        <f>HYPERLINK("https://www.codechef.com/problems/JSMCQ37", "https://www.codechef.com/problems/JSMCQ37")</f>
        <v>https://www.codechef.com/problems/JSMCQ37</v>
      </c>
      <c r="K492" s="14"/>
      <c r="L492" s="14"/>
      <c r="M492" s="14"/>
      <c r="N492" s="14" t="s">
        <v>50</v>
      </c>
      <c r="O492" s="14" t="s">
        <v>51</v>
      </c>
    </row>
    <row r="493" spans="1:15">
      <c r="A493" s="15" t="s">
        <v>13</v>
      </c>
      <c r="B493" s="15" t="s">
        <v>5630</v>
      </c>
      <c r="C493" s="15" t="s">
        <v>5631</v>
      </c>
      <c r="D493" s="15" t="s">
        <v>5707</v>
      </c>
      <c r="E493" s="15">
        <v>38</v>
      </c>
      <c r="F493" s="15" t="s">
        <v>5710</v>
      </c>
      <c r="G493" s="15" t="s">
        <v>5711</v>
      </c>
      <c r="H493" s="15"/>
      <c r="I493" s="15" t="s">
        <v>49</v>
      </c>
      <c r="J493" s="7" t="str">
        <f>HYPERLINK("https://www.codechef.com/problems/JSMCQ38", "https://www.codechef.com/problems/JSMCQ38")</f>
        <v>https://www.codechef.com/problems/JSMCQ38</v>
      </c>
      <c r="K493" s="15"/>
      <c r="L493" s="15"/>
      <c r="M493" s="15"/>
      <c r="N493" s="15" t="s">
        <v>50</v>
      </c>
      <c r="O493" s="15" t="s">
        <v>51</v>
      </c>
    </row>
    <row r="494" spans="1:15">
      <c r="A494" s="14" t="s">
        <v>13</v>
      </c>
      <c r="B494" s="14" t="s">
        <v>5630</v>
      </c>
      <c r="C494" s="14" t="s">
        <v>5631</v>
      </c>
      <c r="D494" s="14" t="s">
        <v>5707</v>
      </c>
      <c r="E494" s="14">
        <v>39</v>
      </c>
      <c r="F494" s="14" t="s">
        <v>5712</v>
      </c>
      <c r="G494" s="14" t="s">
        <v>5713</v>
      </c>
      <c r="H494" s="14"/>
      <c r="I494" s="14" t="s">
        <v>49</v>
      </c>
      <c r="J494" s="11" t="str">
        <f>HYPERLINK("https://www.codechef.com/problems/JSMCQ39", "https://www.codechef.com/problems/JSMCQ39")</f>
        <v>https://www.codechef.com/problems/JSMCQ39</v>
      </c>
      <c r="K494" s="14"/>
      <c r="L494" s="14"/>
      <c r="M494" s="14"/>
      <c r="N494" s="14" t="s">
        <v>50</v>
      </c>
      <c r="O494" s="14" t="s">
        <v>51</v>
      </c>
    </row>
    <row r="495" spans="1:15">
      <c r="A495" s="15" t="s">
        <v>13</v>
      </c>
      <c r="B495" s="15" t="s">
        <v>5630</v>
      </c>
      <c r="C495" s="15" t="s">
        <v>5631</v>
      </c>
      <c r="D495" s="15" t="s">
        <v>5707</v>
      </c>
      <c r="E495" s="15">
        <v>40</v>
      </c>
      <c r="F495" s="15" t="s">
        <v>5714</v>
      </c>
      <c r="G495" s="15" t="s">
        <v>5715</v>
      </c>
      <c r="H495" s="15"/>
      <c r="I495" s="15" t="s">
        <v>49</v>
      </c>
      <c r="J495" s="7" t="str">
        <f>HYPERLINK("https://www.codechef.com/problems/JSMCQ40", "https://www.codechef.com/problems/JSMCQ40")</f>
        <v>https://www.codechef.com/problems/JSMCQ40</v>
      </c>
      <c r="K495" s="15"/>
      <c r="L495" s="15"/>
      <c r="M495" s="15"/>
      <c r="N495" s="15" t="s">
        <v>50</v>
      </c>
      <c r="O495" s="15" t="s">
        <v>51</v>
      </c>
    </row>
    <row r="496" spans="1:15">
      <c r="A496" s="14" t="s">
        <v>13</v>
      </c>
      <c r="B496" s="14" t="s">
        <v>5630</v>
      </c>
      <c r="C496" s="14" t="s">
        <v>5631</v>
      </c>
      <c r="D496" s="14" t="s">
        <v>5716</v>
      </c>
      <c r="E496" s="14">
        <v>41</v>
      </c>
      <c r="F496" s="14" t="s">
        <v>5717</v>
      </c>
      <c r="G496" s="14" t="s">
        <v>5718</v>
      </c>
      <c r="H496" s="14"/>
      <c r="I496" s="14" t="s">
        <v>49</v>
      </c>
      <c r="J496" s="11" t="str">
        <f>HYPERLINK("https://www.codechef.com/problems/JSMCQ42", "https://www.codechef.com/problems/JSMCQ42")</f>
        <v>https://www.codechef.com/problems/JSMCQ42</v>
      </c>
      <c r="K496" s="14"/>
      <c r="L496" s="14"/>
      <c r="M496" s="14"/>
      <c r="N496" s="14" t="s">
        <v>50</v>
      </c>
      <c r="O496" s="14" t="s">
        <v>51</v>
      </c>
    </row>
    <row r="497" spans="1:15">
      <c r="A497" s="15" t="s">
        <v>13</v>
      </c>
      <c r="B497" s="15" t="s">
        <v>5630</v>
      </c>
      <c r="C497" s="15" t="s">
        <v>5631</v>
      </c>
      <c r="D497" s="15" t="s">
        <v>5716</v>
      </c>
      <c r="E497" s="15">
        <v>42</v>
      </c>
      <c r="F497" s="15" t="s">
        <v>5719</v>
      </c>
      <c r="G497" s="15" t="s">
        <v>5720</v>
      </c>
      <c r="H497" s="15"/>
      <c r="I497" s="15" t="s">
        <v>49</v>
      </c>
      <c r="J497" s="7" t="str">
        <f>HYPERLINK("https://www.codechef.com/problems/JSMCQ43", "https://www.codechef.com/problems/JSMCQ43")</f>
        <v>https://www.codechef.com/problems/JSMCQ43</v>
      </c>
      <c r="K497" s="15"/>
      <c r="L497" s="15"/>
      <c r="M497" s="15"/>
      <c r="N497" s="15" t="s">
        <v>50</v>
      </c>
      <c r="O497" s="15" t="s">
        <v>51</v>
      </c>
    </row>
    <row r="498" spans="1:15">
      <c r="A498" s="14" t="s">
        <v>13</v>
      </c>
      <c r="B498" s="14" t="s">
        <v>5630</v>
      </c>
      <c r="C498" s="14" t="s">
        <v>5631</v>
      </c>
      <c r="D498" s="14" t="s">
        <v>5716</v>
      </c>
      <c r="E498" s="14">
        <v>43</v>
      </c>
      <c r="F498" s="14" t="s">
        <v>5721</v>
      </c>
      <c r="G498" s="14" t="s">
        <v>5722</v>
      </c>
      <c r="H498" s="14"/>
      <c r="I498" s="14" t="s">
        <v>49</v>
      </c>
      <c r="J498" s="11" t="str">
        <f>HYPERLINK("https://www.codechef.com/problems/JSMCQ44", "https://www.codechef.com/problems/JSMCQ44")</f>
        <v>https://www.codechef.com/problems/JSMCQ44</v>
      </c>
      <c r="K498" s="14"/>
      <c r="L498" s="14"/>
      <c r="M498" s="14"/>
      <c r="N498" s="14" t="s">
        <v>50</v>
      </c>
      <c r="O498" s="14" t="s">
        <v>51</v>
      </c>
    </row>
    <row r="499" spans="1:15">
      <c r="A499" s="15" t="s">
        <v>13</v>
      </c>
      <c r="B499" s="15" t="s">
        <v>5630</v>
      </c>
      <c r="C499" s="15" t="s">
        <v>5631</v>
      </c>
      <c r="D499" s="15" t="s">
        <v>5716</v>
      </c>
      <c r="E499" s="15">
        <v>44</v>
      </c>
      <c r="F499" s="15" t="s">
        <v>4882</v>
      </c>
      <c r="G499" s="15" t="s">
        <v>5723</v>
      </c>
      <c r="H499" s="15"/>
      <c r="I499" s="15" t="s">
        <v>49</v>
      </c>
      <c r="J499" s="7" t="str">
        <f>HYPERLINK("https://www.codechef.com/problems/JSMCQ45", "https://www.codechef.com/problems/JSMCQ45")</f>
        <v>https://www.codechef.com/problems/JSMCQ45</v>
      </c>
      <c r="K499" s="15"/>
      <c r="L499" s="15"/>
      <c r="M499" s="15"/>
      <c r="N499" s="15" t="s">
        <v>50</v>
      </c>
      <c r="O499" s="15" t="s">
        <v>51</v>
      </c>
    </row>
    <row r="500" spans="1:15">
      <c r="A500" s="14" t="s">
        <v>13</v>
      </c>
      <c r="B500" s="14" t="s">
        <v>5630</v>
      </c>
      <c r="C500" s="14" t="s">
        <v>5631</v>
      </c>
      <c r="D500" s="14" t="s">
        <v>5716</v>
      </c>
      <c r="E500" s="14">
        <v>45</v>
      </c>
      <c r="F500" s="14" t="s">
        <v>5724</v>
      </c>
      <c r="G500" s="14" t="s">
        <v>5725</v>
      </c>
      <c r="H500" s="14"/>
      <c r="I500" s="14" t="s">
        <v>49</v>
      </c>
      <c r="J500" s="11" t="str">
        <f>HYPERLINK("https://www.codechef.com/problems/JSMCQ46", "https://www.codechef.com/problems/JSMCQ46")</f>
        <v>https://www.codechef.com/problems/JSMCQ46</v>
      </c>
      <c r="K500" s="14"/>
      <c r="L500" s="14"/>
      <c r="M500" s="14"/>
      <c r="N500" s="14" t="s">
        <v>50</v>
      </c>
      <c r="O500" s="14" t="s">
        <v>51</v>
      </c>
    </row>
    <row r="501" spans="1:15">
      <c r="A501" s="15" t="s">
        <v>13</v>
      </c>
      <c r="B501" s="15" t="s">
        <v>5630</v>
      </c>
      <c r="C501" s="15" t="s">
        <v>5631</v>
      </c>
      <c r="D501" s="15" t="s">
        <v>5716</v>
      </c>
      <c r="E501" s="15">
        <v>46</v>
      </c>
      <c r="F501" s="15" t="s">
        <v>5726</v>
      </c>
      <c r="G501" s="15" t="s">
        <v>5727</v>
      </c>
      <c r="H501" s="15"/>
      <c r="I501" s="15" t="s">
        <v>49</v>
      </c>
      <c r="J501" s="7" t="str">
        <f>HYPERLINK("https://www.codechef.com/problems/JSMCQ47", "https://www.codechef.com/problems/JSMCQ47")</f>
        <v>https://www.codechef.com/problems/JSMCQ47</v>
      </c>
      <c r="K501" s="15"/>
      <c r="L501" s="15"/>
      <c r="M501" s="15"/>
      <c r="N501" s="15" t="s">
        <v>50</v>
      </c>
      <c r="O501" s="15" t="s">
        <v>51</v>
      </c>
    </row>
    <row r="502" spans="1:15">
      <c r="A502" s="14" t="s">
        <v>13</v>
      </c>
      <c r="B502" s="14" t="s">
        <v>5630</v>
      </c>
      <c r="C502" s="14" t="s">
        <v>5631</v>
      </c>
      <c r="D502" s="14" t="s">
        <v>5728</v>
      </c>
      <c r="E502" s="14">
        <v>47</v>
      </c>
      <c r="F502" s="14" t="s">
        <v>5729</v>
      </c>
      <c r="G502" s="14" t="s">
        <v>5730</v>
      </c>
      <c r="H502" s="14"/>
      <c r="I502" s="14" t="s">
        <v>96</v>
      </c>
      <c r="J502" s="11" t="str">
        <f>HYPERLINK("https://www.codechef.com/problems/JSMCQ48", "https://www.codechef.com/problems/JSMCQ48")</f>
        <v>https://www.codechef.com/problems/JSMCQ48</v>
      </c>
      <c r="K502" s="14"/>
      <c r="L502" s="14"/>
      <c r="M502" s="14"/>
      <c r="N502" s="14" t="s">
        <v>50</v>
      </c>
      <c r="O502" s="14" t="s">
        <v>51</v>
      </c>
    </row>
    <row r="503" spans="1:15">
      <c r="A503" s="15" t="s">
        <v>13</v>
      </c>
      <c r="B503" s="15" t="s">
        <v>5630</v>
      </c>
      <c r="C503" s="15" t="s">
        <v>5631</v>
      </c>
      <c r="D503" s="15" t="s">
        <v>5728</v>
      </c>
      <c r="E503" s="15">
        <v>48</v>
      </c>
      <c r="F503" s="15" t="s">
        <v>5731</v>
      </c>
      <c r="G503" s="15" t="s">
        <v>5732</v>
      </c>
      <c r="H503" s="15"/>
      <c r="I503" s="15" t="s">
        <v>96</v>
      </c>
      <c r="J503" s="7" t="str">
        <f>HYPERLINK("https://www.codechef.com/problems/JSMCQ49", "https://www.codechef.com/problems/JSMCQ49")</f>
        <v>https://www.codechef.com/problems/JSMCQ49</v>
      </c>
      <c r="K503" s="15"/>
      <c r="L503" s="15"/>
      <c r="M503" s="15"/>
      <c r="N503" s="15" t="s">
        <v>50</v>
      </c>
      <c r="O503" s="15" t="s">
        <v>51</v>
      </c>
    </row>
    <row r="504" spans="1:15">
      <c r="A504" s="14" t="s">
        <v>13</v>
      </c>
      <c r="B504" s="14" t="s">
        <v>5630</v>
      </c>
      <c r="C504" s="14" t="s">
        <v>5631</v>
      </c>
      <c r="D504" s="14" t="s">
        <v>5728</v>
      </c>
      <c r="E504" s="14">
        <v>49</v>
      </c>
      <c r="F504" s="14" t="s">
        <v>5733</v>
      </c>
      <c r="G504" s="14" t="s">
        <v>5734</v>
      </c>
      <c r="H504" s="14"/>
      <c r="I504" s="14" t="s">
        <v>96</v>
      </c>
      <c r="J504" s="11" t="str">
        <f>HYPERLINK("https://www.codechef.com/problems/JSMCQ50", "https://www.codechef.com/problems/JSMCQ50")</f>
        <v>https://www.codechef.com/problems/JSMCQ50</v>
      </c>
      <c r="K504" s="14"/>
      <c r="L504" s="14"/>
      <c r="M504" s="14"/>
      <c r="N504" s="14" t="s">
        <v>50</v>
      </c>
      <c r="O504" s="14" t="s">
        <v>51</v>
      </c>
    </row>
    <row r="505" spans="1:15">
      <c r="A505" s="15" t="s">
        <v>13</v>
      </c>
      <c r="B505" s="15" t="s">
        <v>5630</v>
      </c>
      <c r="C505" s="15" t="s">
        <v>5631</v>
      </c>
      <c r="D505" s="15" t="s">
        <v>5728</v>
      </c>
      <c r="E505" s="15">
        <v>50</v>
      </c>
      <c r="F505" s="15" t="s">
        <v>5735</v>
      </c>
      <c r="G505" s="15" t="s">
        <v>5736</v>
      </c>
      <c r="H505" s="15"/>
      <c r="I505" s="15" t="s">
        <v>96</v>
      </c>
      <c r="J505" s="7" t="str">
        <f>HYPERLINK("https://www.codechef.com/problems/JSMCQ51", "https://www.codechef.com/problems/JSMCQ51")</f>
        <v>https://www.codechef.com/problems/JSMCQ51</v>
      </c>
      <c r="K505" s="15"/>
      <c r="L505" s="15"/>
      <c r="M505" s="15"/>
      <c r="N505" s="15" t="s">
        <v>50</v>
      </c>
      <c r="O505" s="15" t="s">
        <v>51</v>
      </c>
    </row>
    <row r="506" spans="1:15">
      <c r="A506" s="14" t="s">
        <v>13</v>
      </c>
      <c r="B506" s="14" t="s">
        <v>5630</v>
      </c>
      <c r="C506" s="14" t="s">
        <v>5631</v>
      </c>
      <c r="D506" s="14" t="s">
        <v>5728</v>
      </c>
      <c r="E506" s="14">
        <v>51</v>
      </c>
      <c r="F506" s="14" t="s">
        <v>5737</v>
      </c>
      <c r="G506" s="14" t="s">
        <v>5738</v>
      </c>
      <c r="H506" s="14"/>
      <c r="I506" s="14" t="s">
        <v>96</v>
      </c>
      <c r="J506" s="11" t="str">
        <f>HYPERLINK("https://www.codechef.com/problems/JSMCQ52", "https://www.codechef.com/problems/JSMCQ52")</f>
        <v>https://www.codechef.com/problems/JSMCQ52</v>
      </c>
      <c r="K506" s="14"/>
      <c r="L506" s="14"/>
      <c r="M506" s="14"/>
      <c r="N506" s="14" t="s">
        <v>50</v>
      </c>
      <c r="O506" s="14" t="s">
        <v>51</v>
      </c>
    </row>
    <row r="507" spans="1:15">
      <c r="A507" s="15" t="s">
        <v>13</v>
      </c>
      <c r="B507" s="15" t="s">
        <v>5630</v>
      </c>
      <c r="C507" s="15" t="s">
        <v>5631</v>
      </c>
      <c r="D507" s="15" t="s">
        <v>5739</v>
      </c>
      <c r="E507" s="15">
        <v>52</v>
      </c>
      <c r="F507" s="15" t="s">
        <v>4878</v>
      </c>
      <c r="G507" s="15" t="s">
        <v>5740</v>
      </c>
      <c r="H507" s="15"/>
      <c r="I507" s="15" t="s">
        <v>49</v>
      </c>
      <c r="J507" s="7" t="str">
        <f>HYPERLINK("https://www.codechef.com/problems/JSMCQ53", "https://www.codechef.com/problems/JSMCQ53")</f>
        <v>https://www.codechef.com/problems/JSMCQ53</v>
      </c>
      <c r="K507" s="15"/>
      <c r="L507" s="15"/>
      <c r="M507" s="15"/>
      <c r="N507" s="15" t="s">
        <v>50</v>
      </c>
      <c r="O507" s="15" t="s">
        <v>51</v>
      </c>
    </row>
    <row r="508" spans="1:15">
      <c r="A508" s="14" t="s">
        <v>13</v>
      </c>
      <c r="B508" s="14" t="s">
        <v>5630</v>
      </c>
      <c r="C508" s="14" t="s">
        <v>5631</v>
      </c>
      <c r="D508" s="14" t="s">
        <v>5739</v>
      </c>
      <c r="E508" s="14">
        <v>53</v>
      </c>
      <c r="F508" s="14" t="s">
        <v>5741</v>
      </c>
      <c r="G508" s="14" t="s">
        <v>5742</v>
      </c>
      <c r="H508" s="14"/>
      <c r="I508" s="14" t="s">
        <v>96</v>
      </c>
      <c r="J508" s="11" t="str">
        <f>HYPERLINK("https://www.codechef.com/problems/JSMCQ54", "https://www.codechef.com/problems/JSMCQ54")</f>
        <v>https://www.codechef.com/problems/JSMCQ54</v>
      </c>
      <c r="K508" s="14"/>
      <c r="L508" s="14"/>
      <c r="M508" s="14"/>
      <c r="N508" s="14" t="s">
        <v>50</v>
      </c>
      <c r="O508" s="14" t="s">
        <v>51</v>
      </c>
    </row>
    <row r="509" spans="1:15">
      <c r="A509" s="15" t="s">
        <v>13</v>
      </c>
      <c r="B509" s="15" t="s">
        <v>5630</v>
      </c>
      <c r="C509" s="15" t="s">
        <v>5631</v>
      </c>
      <c r="D509" s="15" t="s">
        <v>5739</v>
      </c>
      <c r="E509" s="15">
        <v>54</v>
      </c>
      <c r="F509" s="15" t="s">
        <v>5743</v>
      </c>
      <c r="G509" s="15" t="s">
        <v>5744</v>
      </c>
      <c r="H509" s="15"/>
      <c r="I509" s="15" t="s">
        <v>49</v>
      </c>
      <c r="J509" s="7" t="str">
        <f>HYPERLINK("https://www.codechef.com/problems/JSMCQ55", "https://www.codechef.com/problems/JSMCQ55")</f>
        <v>https://www.codechef.com/problems/JSMCQ55</v>
      </c>
      <c r="K509" s="15"/>
      <c r="L509" s="15"/>
      <c r="M509" s="15"/>
      <c r="N509" s="15" t="s">
        <v>50</v>
      </c>
      <c r="O509" s="15" t="s">
        <v>51</v>
      </c>
    </row>
    <row r="510" spans="1:15">
      <c r="A510" s="14" t="s">
        <v>13</v>
      </c>
      <c r="B510" s="14" t="s">
        <v>5630</v>
      </c>
      <c r="C510" s="14" t="s">
        <v>5631</v>
      </c>
      <c r="D510" s="14" t="s">
        <v>5739</v>
      </c>
      <c r="E510" s="14">
        <v>55</v>
      </c>
      <c r="F510" s="14" t="s">
        <v>5745</v>
      </c>
      <c r="G510" s="14" t="s">
        <v>5746</v>
      </c>
      <c r="H510" s="14"/>
      <c r="I510" s="14" t="s">
        <v>96</v>
      </c>
      <c r="J510" s="11" t="str">
        <f>HYPERLINK("https://www.codechef.com/problems/JSMCQ56", "https://www.codechef.com/problems/JSMCQ56")</f>
        <v>https://www.codechef.com/problems/JSMCQ56</v>
      </c>
      <c r="K510" s="14"/>
      <c r="L510" s="14"/>
      <c r="M510" s="14"/>
      <c r="N510" s="14" t="s">
        <v>50</v>
      </c>
      <c r="O510" s="14" t="s">
        <v>51</v>
      </c>
    </row>
    <row r="511" spans="1:15">
      <c r="A511" s="15" t="s">
        <v>13</v>
      </c>
      <c r="B511" s="15" t="s">
        <v>5630</v>
      </c>
      <c r="C511" s="15" t="s">
        <v>5631</v>
      </c>
      <c r="D511" s="15" t="s">
        <v>5739</v>
      </c>
      <c r="E511" s="15">
        <v>56</v>
      </c>
      <c r="F511" s="15" t="s">
        <v>5747</v>
      </c>
      <c r="G511" s="15" t="s">
        <v>5748</v>
      </c>
      <c r="H511" s="15"/>
      <c r="I511" s="15" t="s">
        <v>96</v>
      </c>
      <c r="J511" s="7" t="str">
        <f>HYPERLINK("https://www.codechef.com/problems/JSMCQ57", "https://www.codechef.com/problems/JSMCQ57")</f>
        <v>https://www.codechef.com/problems/JSMCQ57</v>
      </c>
      <c r="K511" s="15"/>
      <c r="L511" s="15"/>
      <c r="M511" s="15"/>
      <c r="N511" s="15" t="s">
        <v>50</v>
      </c>
      <c r="O511" s="15" t="s">
        <v>51</v>
      </c>
    </row>
    <row r="512" spans="1:15">
      <c r="A512" s="14" t="s">
        <v>13</v>
      </c>
      <c r="B512" s="14" t="s">
        <v>5630</v>
      </c>
      <c r="C512" s="14" t="s">
        <v>5631</v>
      </c>
      <c r="D512" s="14" t="s">
        <v>5749</v>
      </c>
      <c r="E512" s="14">
        <v>57</v>
      </c>
      <c r="F512" s="14" t="s">
        <v>5750</v>
      </c>
      <c r="G512" s="14" t="s">
        <v>5751</v>
      </c>
      <c r="H512" s="14"/>
      <c r="I512" s="14" t="s">
        <v>49</v>
      </c>
      <c r="J512" s="11" t="str">
        <f>HYPERLINK("https://www.codechef.com/problems/JSMCQ58", "https://www.codechef.com/problems/JSMCQ58")</f>
        <v>https://www.codechef.com/problems/JSMCQ58</v>
      </c>
      <c r="K512" s="14"/>
      <c r="L512" s="14"/>
      <c r="M512" s="14"/>
      <c r="N512" s="14" t="s">
        <v>50</v>
      </c>
      <c r="O512" s="14" t="s">
        <v>51</v>
      </c>
    </row>
    <row r="513" spans="1:15">
      <c r="A513" s="15" t="s">
        <v>13</v>
      </c>
      <c r="B513" s="15" t="s">
        <v>5630</v>
      </c>
      <c r="C513" s="15" t="s">
        <v>5631</v>
      </c>
      <c r="D513" s="15" t="s">
        <v>5749</v>
      </c>
      <c r="E513" s="15">
        <v>58</v>
      </c>
      <c r="F513" s="15" t="s">
        <v>5752</v>
      </c>
      <c r="G513" s="15" t="s">
        <v>5753</v>
      </c>
      <c r="H513" s="15"/>
      <c r="I513" s="15" t="s">
        <v>49</v>
      </c>
      <c r="J513" s="7" t="str">
        <f>HYPERLINK("https://www.codechef.com/problems/JSMCQ59", "https://www.codechef.com/problems/JSMCQ59")</f>
        <v>https://www.codechef.com/problems/JSMCQ59</v>
      </c>
      <c r="K513" s="15"/>
      <c r="L513" s="15"/>
      <c r="M513" s="15"/>
      <c r="N513" s="15" t="s">
        <v>50</v>
      </c>
      <c r="O513" s="15" t="s">
        <v>51</v>
      </c>
    </row>
    <row r="514" spans="1:15">
      <c r="A514" s="14" t="s">
        <v>13</v>
      </c>
      <c r="B514" s="14" t="s">
        <v>5630</v>
      </c>
      <c r="C514" s="14" t="s">
        <v>5631</v>
      </c>
      <c r="D514" s="14" t="s">
        <v>5749</v>
      </c>
      <c r="E514" s="14">
        <v>59</v>
      </c>
      <c r="F514" s="14" t="s">
        <v>5754</v>
      </c>
      <c r="G514" s="14" t="s">
        <v>5755</v>
      </c>
      <c r="H514" s="14"/>
      <c r="I514" s="14" t="s">
        <v>49</v>
      </c>
      <c r="J514" s="11" t="str">
        <f>HYPERLINK("https://www.codechef.com/problems/JSMCQ60", "https://www.codechef.com/problems/JSMCQ60")</f>
        <v>https://www.codechef.com/problems/JSMCQ60</v>
      </c>
      <c r="K514" s="14"/>
      <c r="L514" s="14"/>
      <c r="M514" s="14"/>
      <c r="N514" s="14" t="s">
        <v>50</v>
      </c>
      <c r="O514" s="14" t="s">
        <v>51</v>
      </c>
    </row>
    <row r="515" spans="1:15">
      <c r="A515" s="15" t="s">
        <v>13</v>
      </c>
      <c r="B515" s="15" t="s">
        <v>5630</v>
      </c>
      <c r="C515" s="15" t="s">
        <v>5631</v>
      </c>
      <c r="D515" s="15" t="s">
        <v>5749</v>
      </c>
      <c r="E515" s="15">
        <v>60</v>
      </c>
      <c r="F515" s="15" t="s">
        <v>5756</v>
      </c>
      <c r="G515" s="15" t="s">
        <v>5757</v>
      </c>
      <c r="H515" s="15"/>
      <c r="I515" s="15" t="s">
        <v>96</v>
      </c>
      <c r="J515" s="7" t="str">
        <f>HYPERLINK("https://www.codechef.com/problems/JSMCQ61", "https://www.codechef.com/problems/JSMCQ61")</f>
        <v>https://www.codechef.com/problems/JSMCQ61</v>
      </c>
      <c r="K515" s="15"/>
      <c r="L515" s="15"/>
      <c r="M515" s="15"/>
      <c r="N515" s="15" t="s">
        <v>50</v>
      </c>
      <c r="O515" s="15" t="s">
        <v>51</v>
      </c>
    </row>
    <row r="516" spans="1:15">
      <c r="A516" s="14" t="s">
        <v>13</v>
      </c>
      <c r="B516" s="14" t="s">
        <v>5630</v>
      </c>
      <c r="C516" s="14" t="s">
        <v>5631</v>
      </c>
      <c r="D516" s="14" t="s">
        <v>5749</v>
      </c>
      <c r="E516" s="14">
        <v>61</v>
      </c>
      <c r="F516" s="14" t="s">
        <v>5758</v>
      </c>
      <c r="G516" s="14" t="s">
        <v>5759</v>
      </c>
      <c r="H516" s="14"/>
      <c r="I516" s="14" t="s">
        <v>96</v>
      </c>
      <c r="J516" s="11" t="str">
        <f>HYPERLINK("https://www.codechef.com/problems/JSMCQ62", "https://www.codechef.com/problems/JSMCQ62")</f>
        <v>https://www.codechef.com/problems/JSMCQ62</v>
      </c>
      <c r="K516" s="14"/>
      <c r="L516" s="14"/>
      <c r="M516" s="14"/>
      <c r="N516" s="14" t="s">
        <v>50</v>
      </c>
      <c r="O516" s="14" t="s">
        <v>51</v>
      </c>
    </row>
    <row r="517" spans="1:15">
      <c r="A517" s="15" t="s">
        <v>13</v>
      </c>
      <c r="B517" s="15" t="s">
        <v>5630</v>
      </c>
      <c r="C517" s="15" t="s">
        <v>5631</v>
      </c>
      <c r="D517" s="15" t="s">
        <v>5760</v>
      </c>
      <c r="E517" s="15">
        <v>62</v>
      </c>
      <c r="F517" s="15" t="s">
        <v>5761</v>
      </c>
      <c r="G517" s="15" t="s">
        <v>5762</v>
      </c>
      <c r="H517" s="15"/>
      <c r="I517" s="15" t="s">
        <v>49</v>
      </c>
      <c r="J517" s="7" t="str">
        <f>HYPERLINK("https://www.codechef.com/problems/JSMCQ63", "https://www.codechef.com/problems/JSMCQ63")</f>
        <v>https://www.codechef.com/problems/JSMCQ63</v>
      </c>
      <c r="K517" s="15"/>
      <c r="L517" s="15"/>
      <c r="M517" s="15"/>
      <c r="N517" s="15" t="s">
        <v>50</v>
      </c>
      <c r="O517" s="15" t="s">
        <v>51</v>
      </c>
    </row>
    <row r="518" spans="1:15">
      <c r="A518" s="14" t="s">
        <v>13</v>
      </c>
      <c r="B518" s="14" t="s">
        <v>5630</v>
      </c>
      <c r="C518" s="14" t="s">
        <v>5631</v>
      </c>
      <c r="D518" s="14" t="s">
        <v>5760</v>
      </c>
      <c r="E518" s="14">
        <v>63</v>
      </c>
      <c r="F518" s="14" t="s">
        <v>5763</v>
      </c>
      <c r="G518" s="14" t="s">
        <v>5764</v>
      </c>
      <c r="H518" s="14"/>
      <c r="I518" s="14" t="s">
        <v>49</v>
      </c>
      <c r="J518" s="11" t="str">
        <f>HYPERLINK("https://www.codechef.com/problems/JSMCQ64", "https://www.codechef.com/problems/JSMCQ64")</f>
        <v>https://www.codechef.com/problems/JSMCQ64</v>
      </c>
      <c r="K518" s="14"/>
      <c r="L518" s="14"/>
      <c r="M518" s="14"/>
      <c r="N518" s="14" t="s">
        <v>50</v>
      </c>
      <c r="O518" s="14" t="s">
        <v>51</v>
      </c>
    </row>
    <row r="519" spans="1:15">
      <c r="A519" s="15" t="s">
        <v>13</v>
      </c>
      <c r="B519" s="15" t="s">
        <v>5630</v>
      </c>
      <c r="C519" s="15" t="s">
        <v>5631</v>
      </c>
      <c r="D519" s="15" t="s">
        <v>5760</v>
      </c>
      <c r="E519" s="15">
        <v>64</v>
      </c>
      <c r="F519" s="15" t="s">
        <v>5765</v>
      </c>
      <c r="G519" s="15" t="s">
        <v>5766</v>
      </c>
      <c r="H519" s="15"/>
      <c r="I519" s="15" t="s">
        <v>96</v>
      </c>
      <c r="J519" s="7" t="str">
        <f>HYPERLINK("https://www.codechef.com/problems/JSMCQ65", "https://www.codechef.com/problems/JSMCQ65")</f>
        <v>https://www.codechef.com/problems/JSMCQ65</v>
      </c>
      <c r="K519" s="15"/>
      <c r="L519" s="15"/>
      <c r="M519" s="15"/>
      <c r="N519" s="15" t="s">
        <v>50</v>
      </c>
      <c r="O519" s="15" t="s">
        <v>51</v>
      </c>
    </row>
    <row r="520" spans="1:15">
      <c r="A520" s="14" t="s">
        <v>13</v>
      </c>
      <c r="B520" s="14" t="s">
        <v>5630</v>
      </c>
      <c r="C520" s="14" t="s">
        <v>5631</v>
      </c>
      <c r="D520" s="14" t="s">
        <v>5760</v>
      </c>
      <c r="E520" s="14">
        <v>65</v>
      </c>
      <c r="F520" s="14" t="s">
        <v>5767</v>
      </c>
      <c r="G520" s="14" t="s">
        <v>5768</v>
      </c>
      <c r="H520" s="14"/>
      <c r="I520" s="14" t="s">
        <v>96</v>
      </c>
      <c r="J520" s="11" t="str">
        <f>HYPERLINK("https://www.codechef.com/problems/JSMCQ66", "https://www.codechef.com/problems/JSMCQ66")</f>
        <v>https://www.codechef.com/problems/JSMCQ66</v>
      </c>
      <c r="K520" s="14"/>
      <c r="L520" s="14"/>
      <c r="M520" s="14"/>
      <c r="N520" s="14" t="s">
        <v>50</v>
      </c>
      <c r="O520" s="14" t="s">
        <v>51</v>
      </c>
    </row>
    <row r="521" spans="1:15">
      <c r="A521" s="15" t="s">
        <v>13</v>
      </c>
      <c r="B521" s="15" t="s">
        <v>5630</v>
      </c>
      <c r="C521" s="15" t="s">
        <v>5631</v>
      </c>
      <c r="D521" s="15" t="s">
        <v>5760</v>
      </c>
      <c r="E521" s="15">
        <v>66</v>
      </c>
      <c r="F521" s="15" t="s">
        <v>5769</v>
      </c>
      <c r="G521" s="15" t="s">
        <v>5770</v>
      </c>
      <c r="H521" s="15"/>
      <c r="I521" s="15" t="s">
        <v>96</v>
      </c>
      <c r="J521" s="7" t="str">
        <f>HYPERLINK("https://www.codechef.com/problems/JSMCQ67", "https://www.codechef.com/problems/JSMCQ67")</f>
        <v>https://www.codechef.com/problems/JSMCQ67</v>
      </c>
      <c r="K521" s="15"/>
      <c r="L521" s="15"/>
      <c r="M521" s="15"/>
      <c r="N521" s="15" t="s">
        <v>50</v>
      </c>
      <c r="O521" s="15" t="s">
        <v>51</v>
      </c>
    </row>
    <row r="522" spans="1:15">
      <c r="A522" s="14" t="s">
        <v>13</v>
      </c>
      <c r="B522" s="14" t="s">
        <v>5630</v>
      </c>
      <c r="C522" s="14" t="s">
        <v>5631</v>
      </c>
      <c r="D522" s="14" t="s">
        <v>5760</v>
      </c>
      <c r="E522" s="14">
        <v>67</v>
      </c>
      <c r="F522" s="14" t="s">
        <v>5771</v>
      </c>
      <c r="G522" s="14" t="s">
        <v>5772</v>
      </c>
      <c r="H522" s="14"/>
      <c r="I522" s="14" t="s">
        <v>49</v>
      </c>
      <c r="J522" s="11" t="str">
        <f>HYPERLINK("https://www.codechef.com/problems/JSMCQ68", "https://www.codechef.com/problems/JSMCQ68")</f>
        <v>https://www.codechef.com/problems/JSMCQ68</v>
      </c>
      <c r="K522" s="14"/>
      <c r="L522" s="14"/>
      <c r="M522" s="14"/>
      <c r="N522" s="14" t="s">
        <v>50</v>
      </c>
      <c r="O522" s="14" t="s">
        <v>51</v>
      </c>
    </row>
    <row r="523" spans="1:15">
      <c r="A523" s="15" t="s">
        <v>13</v>
      </c>
      <c r="B523" s="15" t="s">
        <v>5630</v>
      </c>
      <c r="C523" s="15" t="s">
        <v>5631</v>
      </c>
      <c r="D523" s="15" t="s">
        <v>5773</v>
      </c>
      <c r="E523" s="15">
        <v>68</v>
      </c>
      <c r="F523" s="15" t="s">
        <v>5774</v>
      </c>
      <c r="G523" s="15" t="s">
        <v>5775</v>
      </c>
      <c r="H523" s="15"/>
      <c r="I523" s="15" t="s">
        <v>49</v>
      </c>
      <c r="J523" s="7" t="str">
        <f>HYPERLINK("https://www.codechef.com/problems/JSMCQ70", "https://www.codechef.com/problems/JSMCQ70")</f>
        <v>https://www.codechef.com/problems/JSMCQ70</v>
      </c>
      <c r="K523" s="15"/>
      <c r="L523" s="15"/>
      <c r="M523" s="15"/>
      <c r="N523" s="15" t="s">
        <v>50</v>
      </c>
      <c r="O523" s="15" t="s">
        <v>51</v>
      </c>
    </row>
    <row r="524" spans="1:15">
      <c r="A524" s="14" t="s">
        <v>13</v>
      </c>
      <c r="B524" s="14" t="s">
        <v>5630</v>
      </c>
      <c r="C524" s="14" t="s">
        <v>5631</v>
      </c>
      <c r="D524" s="14" t="s">
        <v>5773</v>
      </c>
      <c r="E524" s="14">
        <v>69</v>
      </c>
      <c r="F524" s="14" t="s">
        <v>5776</v>
      </c>
      <c r="G524" s="14" t="s">
        <v>5777</v>
      </c>
      <c r="H524" s="14"/>
      <c r="I524" s="14" t="s">
        <v>49</v>
      </c>
      <c r="J524" s="11" t="str">
        <f>HYPERLINK("https://www.codechef.com/problems/JSMCQ71", "https://www.codechef.com/problems/JSMCQ71")</f>
        <v>https://www.codechef.com/problems/JSMCQ71</v>
      </c>
      <c r="K524" s="14"/>
      <c r="L524" s="14"/>
      <c r="M524" s="14"/>
      <c r="N524" s="14" t="s">
        <v>50</v>
      </c>
      <c r="O524" s="14" t="s">
        <v>51</v>
      </c>
    </row>
    <row r="525" spans="1:15">
      <c r="A525" s="15" t="s">
        <v>13</v>
      </c>
      <c r="B525" s="15" t="s">
        <v>5630</v>
      </c>
      <c r="C525" s="15" t="s">
        <v>5631</v>
      </c>
      <c r="D525" s="15" t="s">
        <v>5773</v>
      </c>
      <c r="E525" s="15">
        <v>70</v>
      </c>
      <c r="F525" s="15" t="s">
        <v>5778</v>
      </c>
      <c r="G525" s="15" t="s">
        <v>5779</v>
      </c>
      <c r="H525" s="15"/>
      <c r="I525" s="15" t="s">
        <v>96</v>
      </c>
      <c r="J525" s="7" t="str">
        <f>HYPERLINK("https://www.codechef.com/problems/JSMCQ73", "https://www.codechef.com/problems/JSMCQ73")</f>
        <v>https://www.codechef.com/problems/JSMCQ73</v>
      </c>
      <c r="K525" s="15"/>
      <c r="L525" s="15"/>
      <c r="M525" s="15"/>
      <c r="N525" s="15" t="s">
        <v>50</v>
      </c>
      <c r="O525" s="15" t="s">
        <v>51</v>
      </c>
    </row>
    <row r="526" spans="1:15">
      <c r="A526" s="14" t="s">
        <v>13</v>
      </c>
      <c r="B526" s="14" t="s">
        <v>5630</v>
      </c>
      <c r="C526" s="14" t="s">
        <v>5631</v>
      </c>
      <c r="D526" s="14" t="s">
        <v>5773</v>
      </c>
      <c r="E526" s="14">
        <v>71</v>
      </c>
      <c r="F526" s="14" t="s">
        <v>5780</v>
      </c>
      <c r="G526" s="14" t="s">
        <v>5781</v>
      </c>
      <c r="H526" s="14"/>
      <c r="I526" s="14" t="s">
        <v>49</v>
      </c>
      <c r="J526" s="11" t="str">
        <f>HYPERLINK("https://www.codechef.com/problems/JSMCQ74", "https://www.codechef.com/problems/JSMCQ74")</f>
        <v>https://www.codechef.com/problems/JSMCQ74</v>
      </c>
      <c r="K526" s="14"/>
      <c r="L526" s="14"/>
      <c r="M526" s="14"/>
      <c r="N526" s="14" t="s">
        <v>50</v>
      </c>
      <c r="O526" s="14" t="s">
        <v>51</v>
      </c>
    </row>
    <row r="527" spans="1:15">
      <c r="A527" s="15" t="s">
        <v>13</v>
      </c>
      <c r="B527" s="15" t="s">
        <v>5630</v>
      </c>
      <c r="C527" s="15" t="s">
        <v>5631</v>
      </c>
      <c r="D527" s="15" t="s">
        <v>5782</v>
      </c>
      <c r="E527" s="15">
        <v>72</v>
      </c>
      <c r="F527" s="15" t="s">
        <v>5783</v>
      </c>
      <c r="G527" s="15" t="s">
        <v>5784</v>
      </c>
      <c r="H527" s="15"/>
      <c r="I527" s="15" t="s">
        <v>49</v>
      </c>
      <c r="J527" s="7" t="str">
        <f>HYPERLINK("https://www.codechef.com/problems/JSMCQ75", "https://www.codechef.com/problems/JSMCQ75")</f>
        <v>https://www.codechef.com/problems/JSMCQ75</v>
      </c>
      <c r="K527" s="15"/>
      <c r="L527" s="15"/>
      <c r="M527" s="15"/>
      <c r="N527" s="15" t="s">
        <v>50</v>
      </c>
      <c r="O527" s="15" t="s">
        <v>51</v>
      </c>
    </row>
    <row r="528" spans="1:15">
      <c r="A528" s="14" t="s">
        <v>13</v>
      </c>
      <c r="B528" s="14" t="s">
        <v>5630</v>
      </c>
      <c r="C528" s="14" t="s">
        <v>5631</v>
      </c>
      <c r="D528" s="14" t="s">
        <v>5782</v>
      </c>
      <c r="E528" s="14">
        <v>73</v>
      </c>
      <c r="F528" s="14" t="s">
        <v>5785</v>
      </c>
      <c r="G528" s="14" t="s">
        <v>5786</v>
      </c>
      <c r="H528" s="14"/>
      <c r="I528" s="14" t="s">
        <v>49</v>
      </c>
      <c r="J528" s="11" t="str">
        <f>HYPERLINK("https://www.codechef.com/problems/JSMCQ76", "https://www.codechef.com/problems/JSMCQ76")</f>
        <v>https://www.codechef.com/problems/JSMCQ76</v>
      </c>
      <c r="K528" s="14"/>
      <c r="L528" s="14"/>
      <c r="M528" s="14"/>
      <c r="N528" s="14" t="s">
        <v>50</v>
      </c>
      <c r="O528" s="14" t="s">
        <v>51</v>
      </c>
    </row>
    <row r="529" spans="1:15">
      <c r="A529" s="15" t="s">
        <v>13</v>
      </c>
      <c r="B529" s="15" t="s">
        <v>5630</v>
      </c>
      <c r="C529" s="15" t="s">
        <v>5631</v>
      </c>
      <c r="D529" s="15" t="s">
        <v>5782</v>
      </c>
      <c r="E529" s="15">
        <v>74</v>
      </c>
      <c r="F529" s="15" t="s">
        <v>5667</v>
      </c>
      <c r="G529" s="15" t="s">
        <v>5787</v>
      </c>
      <c r="H529" s="15"/>
      <c r="I529" s="15" t="s">
        <v>96</v>
      </c>
      <c r="J529" s="7" t="str">
        <f>HYPERLINK("https://www.codechef.com/problems/JSMCQ77", "https://www.codechef.com/problems/JSMCQ77")</f>
        <v>https://www.codechef.com/problems/JSMCQ77</v>
      </c>
      <c r="K529" s="15"/>
      <c r="L529" s="15"/>
      <c r="M529" s="15"/>
      <c r="N529" s="15" t="s">
        <v>50</v>
      </c>
      <c r="O529" s="15" t="s">
        <v>51</v>
      </c>
    </row>
    <row r="530" spans="1:15">
      <c r="A530" s="14" t="s">
        <v>13</v>
      </c>
      <c r="B530" s="14" t="s">
        <v>5630</v>
      </c>
      <c r="C530" s="14" t="s">
        <v>5631</v>
      </c>
      <c r="D530" s="14" t="s">
        <v>5782</v>
      </c>
      <c r="E530" s="14">
        <v>75</v>
      </c>
      <c r="F530" s="14" t="s">
        <v>5788</v>
      </c>
      <c r="G530" s="14" t="s">
        <v>5789</v>
      </c>
      <c r="H530" s="14"/>
      <c r="I530" s="14" t="s">
        <v>49</v>
      </c>
      <c r="J530" s="11" t="str">
        <f>HYPERLINK("https://www.codechef.com/problems/JSMCQ78", "https://www.codechef.com/problems/JSMCQ78")</f>
        <v>https://www.codechef.com/problems/JSMCQ78</v>
      </c>
      <c r="K530" s="14"/>
      <c r="L530" s="14"/>
      <c r="M530" s="14"/>
      <c r="N530" s="14" t="s">
        <v>50</v>
      </c>
      <c r="O530" s="14" t="s">
        <v>51</v>
      </c>
    </row>
    <row r="531" spans="1:15">
      <c r="A531" s="15" t="s">
        <v>13</v>
      </c>
      <c r="B531" s="15" t="s">
        <v>5630</v>
      </c>
      <c r="C531" s="15" t="s">
        <v>5631</v>
      </c>
      <c r="D531" s="15" t="s">
        <v>5782</v>
      </c>
      <c r="E531" s="15">
        <v>76</v>
      </c>
      <c r="F531" s="15" t="s">
        <v>5790</v>
      </c>
      <c r="G531" s="15" t="s">
        <v>5791</v>
      </c>
      <c r="H531" s="15"/>
      <c r="I531" s="15" t="s">
        <v>96</v>
      </c>
      <c r="J531" s="7" t="str">
        <f>HYPERLINK("https://www.codechef.com/problems/JSMCQ79", "https://www.codechef.com/problems/JSMCQ79")</f>
        <v>https://www.codechef.com/problems/JSMCQ79</v>
      </c>
      <c r="K531" s="15"/>
      <c r="L531" s="15"/>
      <c r="M531" s="15"/>
      <c r="N531" s="15" t="s">
        <v>50</v>
      </c>
      <c r="O531" s="15" t="s">
        <v>51</v>
      </c>
    </row>
    <row r="532" spans="1:15">
      <c r="A532" s="14" t="s">
        <v>13</v>
      </c>
      <c r="B532" s="14" t="s">
        <v>5630</v>
      </c>
      <c r="C532" s="14" t="s">
        <v>5631</v>
      </c>
      <c r="D532" s="14" t="s">
        <v>5782</v>
      </c>
      <c r="E532" s="14">
        <v>77</v>
      </c>
      <c r="F532" s="14" t="s">
        <v>5792</v>
      </c>
      <c r="G532" s="14" t="s">
        <v>5793</v>
      </c>
      <c r="H532" s="14"/>
      <c r="I532" s="14" t="s">
        <v>49</v>
      </c>
      <c r="J532" s="11" t="str">
        <f>HYPERLINK("https://www.codechef.com/problems/JSMCQ80", "https://www.codechef.com/problems/JSMCQ80")</f>
        <v>https://www.codechef.com/problems/JSMCQ80</v>
      </c>
      <c r="K532" s="14"/>
      <c r="L532" s="14"/>
      <c r="M532" s="14"/>
      <c r="N532" s="14" t="s">
        <v>50</v>
      </c>
      <c r="O532" s="14" t="s">
        <v>51</v>
      </c>
    </row>
    <row r="533" spans="1:15">
      <c r="A533" s="15" t="s">
        <v>13</v>
      </c>
      <c r="B533" s="15" t="s">
        <v>5794</v>
      </c>
      <c r="C533" s="15" t="s">
        <v>5795</v>
      </c>
      <c r="D533" s="15" t="s">
        <v>5796</v>
      </c>
      <c r="E533" s="15">
        <v>1</v>
      </c>
      <c r="F533" s="15" t="s">
        <v>5797</v>
      </c>
      <c r="G533" s="15" t="s">
        <v>5798</v>
      </c>
      <c r="H533" s="15"/>
      <c r="I533" s="15" t="s">
        <v>49</v>
      </c>
      <c r="J533" s="7" t="str">
        <f>HYPERLINK("https://www.codechef.com/problems/REACTMCQ01", "https://www.codechef.com/problems/REACTMCQ01")</f>
        <v>https://www.codechef.com/problems/REACTMCQ01</v>
      </c>
      <c r="K533" s="15"/>
      <c r="L533" s="15"/>
      <c r="M533" s="15"/>
      <c r="N533" s="15" t="s">
        <v>50</v>
      </c>
      <c r="O533" s="15" t="s">
        <v>51</v>
      </c>
    </row>
    <row r="534" spans="1:15">
      <c r="A534" s="14" t="s">
        <v>13</v>
      </c>
      <c r="B534" s="14" t="s">
        <v>5794</v>
      </c>
      <c r="C534" s="14" t="s">
        <v>5795</v>
      </c>
      <c r="D534" s="14" t="s">
        <v>5796</v>
      </c>
      <c r="E534" s="14">
        <v>2</v>
      </c>
      <c r="F534" s="14" t="s">
        <v>5799</v>
      </c>
      <c r="G534" s="14" t="s">
        <v>5800</v>
      </c>
      <c r="H534" s="14"/>
      <c r="I534" s="14" t="s">
        <v>49</v>
      </c>
      <c r="J534" s="11" t="str">
        <f>HYPERLINK("https://www.codechef.com/problems/REACTMCQ02", "https://www.codechef.com/problems/REACTMCQ02")</f>
        <v>https://www.codechef.com/problems/REACTMCQ02</v>
      </c>
      <c r="K534" s="14"/>
      <c r="L534" s="14"/>
      <c r="M534" s="14"/>
      <c r="N534" s="14" t="s">
        <v>50</v>
      </c>
      <c r="O534" s="14" t="s">
        <v>51</v>
      </c>
    </row>
    <row r="535" spans="1:15">
      <c r="A535" s="15" t="s">
        <v>13</v>
      </c>
      <c r="B535" s="15" t="s">
        <v>5794</v>
      </c>
      <c r="C535" s="15" t="s">
        <v>5795</v>
      </c>
      <c r="D535" s="15" t="s">
        <v>5796</v>
      </c>
      <c r="E535" s="15">
        <v>3</v>
      </c>
      <c r="F535" s="15" t="s">
        <v>5801</v>
      </c>
      <c r="G535" s="15" t="s">
        <v>5802</v>
      </c>
      <c r="H535" s="15"/>
      <c r="I535" s="15" t="s">
        <v>49</v>
      </c>
      <c r="J535" s="7" t="str">
        <f>HYPERLINK("https://www.codechef.com/problems/REACTMCQ03", "https://www.codechef.com/problems/REACTMCQ03")</f>
        <v>https://www.codechef.com/problems/REACTMCQ03</v>
      </c>
      <c r="K535" s="15"/>
      <c r="L535" s="15"/>
      <c r="M535" s="15"/>
      <c r="N535" s="15" t="s">
        <v>50</v>
      </c>
      <c r="O535" s="15" t="s">
        <v>51</v>
      </c>
    </row>
    <row r="536" spans="1:15">
      <c r="A536" s="14" t="s">
        <v>13</v>
      </c>
      <c r="B536" s="14" t="s">
        <v>5794</v>
      </c>
      <c r="C536" s="14" t="s">
        <v>5795</v>
      </c>
      <c r="D536" s="14" t="s">
        <v>5796</v>
      </c>
      <c r="E536" s="14">
        <v>4</v>
      </c>
      <c r="F536" s="14" t="s">
        <v>5803</v>
      </c>
      <c r="G536" s="14" t="s">
        <v>5804</v>
      </c>
      <c r="H536" s="14"/>
      <c r="I536" s="14" t="s">
        <v>49</v>
      </c>
      <c r="J536" s="11" t="str">
        <f>HYPERLINK("https://www.codechef.com/problems/REACTMCQ04", "https://www.codechef.com/problems/REACTMCQ04")</f>
        <v>https://www.codechef.com/problems/REACTMCQ04</v>
      </c>
      <c r="K536" s="14"/>
      <c r="L536" s="14"/>
      <c r="M536" s="14"/>
      <c r="N536" s="14" t="s">
        <v>50</v>
      </c>
      <c r="O536" s="14" t="s">
        <v>51</v>
      </c>
    </row>
    <row r="537" spans="1:15">
      <c r="A537" s="15" t="s">
        <v>13</v>
      </c>
      <c r="B537" s="15" t="s">
        <v>5794</v>
      </c>
      <c r="C537" s="15" t="s">
        <v>5795</v>
      </c>
      <c r="D537" s="15" t="s">
        <v>5796</v>
      </c>
      <c r="E537" s="15">
        <v>5</v>
      </c>
      <c r="F537" s="15" t="s">
        <v>5805</v>
      </c>
      <c r="G537" s="15" t="s">
        <v>5806</v>
      </c>
      <c r="H537" s="15"/>
      <c r="I537" s="15" t="s">
        <v>49</v>
      </c>
      <c r="J537" s="7" t="str">
        <f>HYPERLINK("https://www.codechef.com/problems/REACTMCQ05", "https://www.codechef.com/problems/REACTMCQ05")</f>
        <v>https://www.codechef.com/problems/REACTMCQ05</v>
      </c>
      <c r="K537" s="15"/>
      <c r="L537" s="15"/>
      <c r="M537" s="15"/>
      <c r="N537" s="15" t="s">
        <v>50</v>
      </c>
      <c r="O537" s="15" t="s">
        <v>51</v>
      </c>
    </row>
    <row r="538" spans="1:15">
      <c r="A538" s="14" t="s">
        <v>13</v>
      </c>
      <c r="B538" s="14" t="s">
        <v>5794</v>
      </c>
      <c r="C538" s="14" t="s">
        <v>5795</v>
      </c>
      <c r="D538" s="14" t="s">
        <v>5796</v>
      </c>
      <c r="E538" s="14">
        <v>6</v>
      </c>
      <c r="F538" s="14" t="s">
        <v>5807</v>
      </c>
      <c r="G538" s="14" t="s">
        <v>5808</v>
      </c>
      <c r="H538" s="14"/>
      <c r="I538" s="14" t="s">
        <v>49</v>
      </c>
      <c r="J538" s="11" t="str">
        <f>HYPERLINK("https://www.codechef.com/problems/REACTMCQ06", "https://www.codechef.com/problems/REACTMCQ06")</f>
        <v>https://www.codechef.com/problems/REACTMCQ06</v>
      </c>
      <c r="K538" s="14"/>
      <c r="L538" s="14"/>
      <c r="M538" s="14"/>
      <c r="N538" s="14" t="s">
        <v>50</v>
      </c>
      <c r="O538" s="14" t="s">
        <v>51</v>
      </c>
    </row>
    <row r="539" spans="1:15">
      <c r="A539" s="15" t="s">
        <v>13</v>
      </c>
      <c r="B539" s="15" t="s">
        <v>5794</v>
      </c>
      <c r="C539" s="15" t="s">
        <v>5795</v>
      </c>
      <c r="D539" s="15" t="s">
        <v>5796</v>
      </c>
      <c r="E539" s="15">
        <v>7</v>
      </c>
      <c r="F539" s="15" t="s">
        <v>5809</v>
      </c>
      <c r="G539" s="15" t="s">
        <v>5810</v>
      </c>
      <c r="H539" s="15"/>
      <c r="I539" s="15" t="s">
        <v>49</v>
      </c>
      <c r="J539" s="7" t="str">
        <f>HYPERLINK("https://www.codechef.com/problems/REACTMCQ07", "https://www.codechef.com/problems/REACTMCQ07")</f>
        <v>https://www.codechef.com/problems/REACTMCQ07</v>
      </c>
      <c r="K539" s="15"/>
      <c r="L539" s="15"/>
      <c r="M539" s="15"/>
      <c r="N539" s="15" t="s">
        <v>50</v>
      </c>
      <c r="O539" s="15" t="s">
        <v>51</v>
      </c>
    </row>
    <row r="540" spans="1:15">
      <c r="A540" s="14" t="s">
        <v>13</v>
      </c>
      <c r="B540" s="14" t="s">
        <v>5794</v>
      </c>
      <c r="C540" s="14" t="s">
        <v>5795</v>
      </c>
      <c r="D540" s="14" t="s">
        <v>5796</v>
      </c>
      <c r="E540" s="14">
        <v>8</v>
      </c>
      <c r="F540" s="14" t="s">
        <v>5811</v>
      </c>
      <c r="G540" s="14" t="s">
        <v>5812</v>
      </c>
      <c r="H540" s="14"/>
      <c r="I540" s="14" t="s">
        <v>49</v>
      </c>
      <c r="J540" s="11" t="str">
        <f>HYPERLINK("https://www.codechef.com/problems/REACTMCQ08", "https://www.codechef.com/problems/REACTMCQ08")</f>
        <v>https://www.codechef.com/problems/REACTMCQ08</v>
      </c>
      <c r="K540" s="14"/>
      <c r="L540" s="14"/>
      <c r="M540" s="14"/>
      <c r="N540" s="14" t="s">
        <v>50</v>
      </c>
      <c r="O540" s="14" t="s">
        <v>51</v>
      </c>
    </row>
    <row r="541" spans="1:15">
      <c r="A541" s="15" t="s">
        <v>13</v>
      </c>
      <c r="B541" s="15" t="s">
        <v>5794</v>
      </c>
      <c r="C541" s="15" t="s">
        <v>5795</v>
      </c>
      <c r="D541" s="15" t="s">
        <v>5813</v>
      </c>
      <c r="E541" s="15">
        <v>9</v>
      </c>
      <c r="F541" s="15" t="s">
        <v>5814</v>
      </c>
      <c r="G541" s="15" t="s">
        <v>5815</v>
      </c>
      <c r="H541" s="15"/>
      <c r="I541" s="15" t="s">
        <v>49</v>
      </c>
      <c r="J541" s="7" t="str">
        <f>HYPERLINK("https://www.codechef.com/problems/REACTMCQ09", "https://www.codechef.com/problems/REACTMCQ09")</f>
        <v>https://www.codechef.com/problems/REACTMCQ09</v>
      </c>
      <c r="K541" s="15"/>
      <c r="L541" s="15"/>
      <c r="M541" s="15"/>
      <c r="N541" s="15" t="s">
        <v>50</v>
      </c>
      <c r="O541" s="15" t="s">
        <v>51</v>
      </c>
    </row>
    <row r="542" spans="1:15">
      <c r="A542" s="14" t="s">
        <v>13</v>
      </c>
      <c r="B542" s="14" t="s">
        <v>5794</v>
      </c>
      <c r="C542" s="14" t="s">
        <v>5795</v>
      </c>
      <c r="D542" s="14" t="s">
        <v>5813</v>
      </c>
      <c r="E542" s="14">
        <v>10</v>
      </c>
      <c r="F542" s="14" t="s">
        <v>5816</v>
      </c>
      <c r="G542" s="14" t="s">
        <v>5817</v>
      </c>
      <c r="H542" s="14"/>
      <c r="I542" s="14" t="s">
        <v>49</v>
      </c>
      <c r="J542" s="11" t="str">
        <f>HYPERLINK("https://www.codechef.com/problems/REACTMCQ10", "https://www.codechef.com/problems/REACTMCQ10")</f>
        <v>https://www.codechef.com/problems/REACTMCQ10</v>
      </c>
      <c r="K542" s="14"/>
      <c r="L542" s="14"/>
      <c r="M542" s="14"/>
      <c r="N542" s="14" t="s">
        <v>50</v>
      </c>
      <c r="O542" s="14" t="s">
        <v>51</v>
      </c>
    </row>
    <row r="543" spans="1:15">
      <c r="A543" s="15" t="s">
        <v>13</v>
      </c>
      <c r="B543" s="15" t="s">
        <v>5794</v>
      </c>
      <c r="C543" s="15" t="s">
        <v>5795</v>
      </c>
      <c r="D543" s="15" t="s">
        <v>5813</v>
      </c>
      <c r="E543" s="15">
        <v>11</v>
      </c>
      <c r="F543" s="15" t="s">
        <v>5818</v>
      </c>
      <c r="G543" s="15" t="s">
        <v>5819</v>
      </c>
      <c r="H543" s="15"/>
      <c r="I543" s="15" t="s">
        <v>49</v>
      </c>
      <c r="J543" s="7" t="str">
        <f>HYPERLINK("https://www.codechef.com/problems/REACTMCQ11", "https://www.codechef.com/problems/REACTMCQ11")</f>
        <v>https://www.codechef.com/problems/REACTMCQ11</v>
      </c>
      <c r="K543" s="15"/>
      <c r="L543" s="15"/>
      <c r="M543" s="15"/>
      <c r="N543" s="15" t="s">
        <v>50</v>
      </c>
      <c r="O543" s="15" t="s">
        <v>51</v>
      </c>
    </row>
    <row r="544" spans="1:15">
      <c r="A544" s="14" t="s">
        <v>13</v>
      </c>
      <c r="B544" s="14" t="s">
        <v>5794</v>
      </c>
      <c r="C544" s="14" t="s">
        <v>5795</v>
      </c>
      <c r="D544" s="14" t="s">
        <v>5813</v>
      </c>
      <c r="E544" s="14">
        <v>12</v>
      </c>
      <c r="F544" s="14" t="s">
        <v>5820</v>
      </c>
      <c r="G544" s="14" t="s">
        <v>5821</v>
      </c>
      <c r="H544" s="14"/>
      <c r="I544" s="14" t="s">
        <v>49</v>
      </c>
      <c r="J544" s="11" t="str">
        <f>HYPERLINK("https://www.codechef.com/problems/REACTMCQ12", "https://www.codechef.com/problems/REACTMCQ12")</f>
        <v>https://www.codechef.com/problems/REACTMCQ12</v>
      </c>
      <c r="K544" s="14"/>
      <c r="L544" s="14"/>
      <c r="M544" s="14"/>
      <c r="N544" s="14" t="s">
        <v>50</v>
      </c>
      <c r="O544" s="14" t="s">
        <v>51</v>
      </c>
    </row>
    <row r="545" spans="1:15">
      <c r="A545" s="15" t="s">
        <v>13</v>
      </c>
      <c r="B545" s="15" t="s">
        <v>5794</v>
      </c>
      <c r="C545" s="15" t="s">
        <v>5795</v>
      </c>
      <c r="D545" s="15" t="s">
        <v>5813</v>
      </c>
      <c r="E545" s="15">
        <v>13</v>
      </c>
      <c r="F545" s="15" t="s">
        <v>5822</v>
      </c>
      <c r="G545" s="15" t="s">
        <v>5823</v>
      </c>
      <c r="H545" s="15"/>
      <c r="I545" s="15" t="s">
        <v>49</v>
      </c>
      <c r="J545" s="7" t="str">
        <f>HYPERLINK("https://www.codechef.com/problems/REACTMCQ13", "https://www.codechef.com/problems/REACTMCQ13")</f>
        <v>https://www.codechef.com/problems/REACTMCQ13</v>
      </c>
      <c r="K545" s="15"/>
      <c r="L545" s="15"/>
      <c r="M545" s="15"/>
      <c r="N545" s="15" t="s">
        <v>50</v>
      </c>
      <c r="O545" s="15" t="s">
        <v>51</v>
      </c>
    </row>
    <row r="546" spans="1:15">
      <c r="A546" s="14" t="s">
        <v>13</v>
      </c>
      <c r="B546" s="14" t="s">
        <v>5794</v>
      </c>
      <c r="C546" s="14" t="s">
        <v>5795</v>
      </c>
      <c r="D546" s="14" t="s">
        <v>5813</v>
      </c>
      <c r="E546" s="14">
        <v>14</v>
      </c>
      <c r="F546" s="14" t="s">
        <v>5824</v>
      </c>
      <c r="G546" s="14" t="s">
        <v>5825</v>
      </c>
      <c r="H546" s="14"/>
      <c r="I546" s="14" t="s">
        <v>49</v>
      </c>
      <c r="J546" s="11" t="str">
        <f>HYPERLINK("https://www.codechef.com/problems/REACTMCQ14", "https://www.codechef.com/problems/REACTMCQ14")</f>
        <v>https://www.codechef.com/problems/REACTMCQ14</v>
      </c>
      <c r="K546" s="14"/>
      <c r="L546" s="14"/>
      <c r="M546" s="14"/>
      <c r="N546" s="14" t="s">
        <v>50</v>
      </c>
      <c r="O546" s="14" t="s">
        <v>51</v>
      </c>
    </row>
    <row r="547" spans="1:15">
      <c r="A547" s="15" t="s">
        <v>13</v>
      </c>
      <c r="B547" s="15" t="s">
        <v>5794</v>
      </c>
      <c r="C547" s="15" t="s">
        <v>5795</v>
      </c>
      <c r="D547" s="15" t="s">
        <v>5813</v>
      </c>
      <c r="E547" s="15">
        <v>15</v>
      </c>
      <c r="F547" s="15" t="s">
        <v>5826</v>
      </c>
      <c r="G547" s="15" t="s">
        <v>5827</v>
      </c>
      <c r="H547" s="15"/>
      <c r="I547" s="15" t="s">
        <v>49</v>
      </c>
      <c r="J547" s="7" t="str">
        <f>HYPERLINK("https://www.codechef.com/problems/REACTMCQ15", "https://www.codechef.com/problems/REACTMCQ15")</f>
        <v>https://www.codechef.com/problems/REACTMCQ15</v>
      </c>
      <c r="K547" s="15"/>
      <c r="L547" s="15"/>
      <c r="M547" s="15"/>
      <c r="N547" s="15" t="s">
        <v>50</v>
      </c>
      <c r="O547" s="15" t="s">
        <v>51</v>
      </c>
    </row>
    <row r="548" spans="1:15">
      <c r="A548" s="14" t="s">
        <v>13</v>
      </c>
      <c r="B548" s="14" t="s">
        <v>5794</v>
      </c>
      <c r="C548" s="14" t="s">
        <v>5795</v>
      </c>
      <c r="D548" s="14" t="s">
        <v>5813</v>
      </c>
      <c r="E548" s="14">
        <v>16</v>
      </c>
      <c r="F548" s="14" t="s">
        <v>5828</v>
      </c>
      <c r="G548" s="14" t="s">
        <v>5829</v>
      </c>
      <c r="H548" s="14"/>
      <c r="I548" s="14" t="s">
        <v>49</v>
      </c>
      <c r="J548" s="11" t="str">
        <f>HYPERLINK("https://www.codechef.com/problems/REACTMCQ16", "https://www.codechef.com/problems/REACTMCQ16")</f>
        <v>https://www.codechef.com/problems/REACTMCQ16</v>
      </c>
      <c r="K548" s="14"/>
      <c r="L548" s="14"/>
      <c r="M548" s="14"/>
      <c r="N548" s="14" t="s">
        <v>50</v>
      </c>
      <c r="O548" s="14" t="s">
        <v>51</v>
      </c>
    </row>
    <row r="549" spans="1:15">
      <c r="A549" s="15" t="s">
        <v>13</v>
      </c>
      <c r="B549" s="15" t="s">
        <v>5794</v>
      </c>
      <c r="C549" s="15" t="s">
        <v>5795</v>
      </c>
      <c r="D549" s="15" t="s">
        <v>5813</v>
      </c>
      <c r="E549" s="15">
        <v>17</v>
      </c>
      <c r="F549" s="15" t="s">
        <v>5830</v>
      </c>
      <c r="G549" s="15" t="s">
        <v>5831</v>
      </c>
      <c r="H549" s="15"/>
      <c r="I549" s="15" t="s">
        <v>49</v>
      </c>
      <c r="J549" s="7" t="str">
        <f>HYPERLINK("https://www.codechef.com/problems/REACTMCQ17", "https://www.codechef.com/problems/REACTMCQ17")</f>
        <v>https://www.codechef.com/problems/REACTMCQ17</v>
      </c>
      <c r="K549" s="15"/>
      <c r="L549" s="15"/>
      <c r="M549" s="15"/>
      <c r="N549" s="15" t="s">
        <v>50</v>
      </c>
      <c r="O549" s="15" t="s">
        <v>51</v>
      </c>
    </row>
    <row r="550" spans="1:15">
      <c r="A550" s="14" t="s">
        <v>13</v>
      </c>
      <c r="B550" s="14" t="s">
        <v>5794</v>
      </c>
      <c r="C550" s="14" t="s">
        <v>5795</v>
      </c>
      <c r="D550" s="14" t="s">
        <v>5813</v>
      </c>
      <c r="E550" s="14">
        <v>18</v>
      </c>
      <c r="F550" s="14" t="s">
        <v>5832</v>
      </c>
      <c r="G550" s="14" t="s">
        <v>5833</v>
      </c>
      <c r="H550" s="14"/>
      <c r="I550" s="14" t="s">
        <v>49</v>
      </c>
      <c r="J550" s="11" t="str">
        <f>HYPERLINK("https://www.codechef.com/problems/REACTMCQ18", "https://www.codechef.com/problems/REACTMCQ18")</f>
        <v>https://www.codechef.com/problems/REACTMCQ18</v>
      </c>
      <c r="K550" s="14"/>
      <c r="L550" s="14"/>
      <c r="M550" s="14"/>
      <c r="N550" s="14" t="s">
        <v>50</v>
      </c>
      <c r="O550" s="14" t="s">
        <v>51</v>
      </c>
    </row>
    <row r="551" spans="1:15">
      <c r="A551" s="15" t="s">
        <v>13</v>
      </c>
      <c r="B551" s="15" t="s">
        <v>5794</v>
      </c>
      <c r="C551" s="15" t="s">
        <v>5795</v>
      </c>
      <c r="D551" s="15" t="s">
        <v>5834</v>
      </c>
      <c r="E551" s="15">
        <v>19</v>
      </c>
      <c r="F551" s="15" t="s">
        <v>5835</v>
      </c>
      <c r="G551" s="15" t="s">
        <v>5836</v>
      </c>
      <c r="H551" s="15"/>
      <c r="I551" s="15" t="s">
        <v>49</v>
      </c>
      <c r="J551" s="7" t="str">
        <f>HYPERLINK("https://www.codechef.com/problems/REACTMCQ19", "https://www.codechef.com/problems/REACTMCQ19")</f>
        <v>https://www.codechef.com/problems/REACTMCQ19</v>
      </c>
      <c r="K551" s="15"/>
      <c r="L551" s="15"/>
      <c r="M551" s="15"/>
      <c r="N551" s="15" t="s">
        <v>50</v>
      </c>
      <c r="O551" s="15" t="s">
        <v>51</v>
      </c>
    </row>
    <row r="552" spans="1:15">
      <c r="A552" s="14" t="s">
        <v>13</v>
      </c>
      <c r="B552" s="14" t="s">
        <v>5794</v>
      </c>
      <c r="C552" s="14" t="s">
        <v>5795</v>
      </c>
      <c r="D552" s="14" t="s">
        <v>5834</v>
      </c>
      <c r="E552" s="14">
        <v>20</v>
      </c>
      <c r="F552" s="14" t="s">
        <v>5837</v>
      </c>
      <c r="G552" s="14" t="s">
        <v>5838</v>
      </c>
      <c r="H552" s="14"/>
      <c r="I552" s="14" t="s">
        <v>49</v>
      </c>
      <c r="J552" s="11" t="str">
        <f>HYPERLINK("https://www.codechef.com/problems/REACTMCQ20", "https://www.codechef.com/problems/REACTMCQ20")</f>
        <v>https://www.codechef.com/problems/REACTMCQ20</v>
      </c>
      <c r="K552" s="14"/>
      <c r="L552" s="14"/>
      <c r="M552" s="14"/>
      <c r="N552" s="14" t="s">
        <v>50</v>
      </c>
      <c r="O552" s="14" t="s">
        <v>51</v>
      </c>
    </row>
    <row r="553" spans="1:15">
      <c r="A553" s="15" t="s">
        <v>13</v>
      </c>
      <c r="B553" s="15" t="s">
        <v>5794</v>
      </c>
      <c r="C553" s="15" t="s">
        <v>5795</v>
      </c>
      <c r="D553" s="15" t="s">
        <v>5834</v>
      </c>
      <c r="E553" s="15">
        <v>21</v>
      </c>
      <c r="F553" s="15" t="s">
        <v>5839</v>
      </c>
      <c r="G553" s="15" t="s">
        <v>5840</v>
      </c>
      <c r="H553" s="15"/>
      <c r="I553" s="15" t="s">
        <v>96</v>
      </c>
      <c r="J553" s="7" t="str">
        <f>HYPERLINK("https://www.codechef.com/problems/REACTMCQ21", "https://www.codechef.com/problems/REACTMCQ21")</f>
        <v>https://www.codechef.com/problems/REACTMCQ21</v>
      </c>
      <c r="K553" s="15"/>
      <c r="L553" s="15"/>
      <c r="M553" s="15"/>
      <c r="N553" s="15" t="s">
        <v>50</v>
      </c>
      <c r="O553" s="15" t="s">
        <v>51</v>
      </c>
    </row>
    <row r="554" spans="1:15">
      <c r="A554" s="14" t="s">
        <v>13</v>
      </c>
      <c r="B554" s="14" t="s">
        <v>5794</v>
      </c>
      <c r="C554" s="14" t="s">
        <v>5795</v>
      </c>
      <c r="D554" s="14" t="s">
        <v>5834</v>
      </c>
      <c r="E554" s="14">
        <v>22</v>
      </c>
      <c r="F554" s="14" t="s">
        <v>5841</v>
      </c>
      <c r="G554" s="14" t="s">
        <v>5842</v>
      </c>
      <c r="H554" s="14"/>
      <c r="I554" s="14" t="s">
        <v>96</v>
      </c>
      <c r="J554" s="11" t="str">
        <f>HYPERLINK("https://www.codechef.com/problems/REACTMCQ22", "https://www.codechef.com/problems/REACTMCQ22")</f>
        <v>https://www.codechef.com/problems/REACTMCQ22</v>
      </c>
      <c r="K554" s="14"/>
      <c r="L554" s="14"/>
      <c r="M554" s="14"/>
      <c r="N554" s="14" t="s">
        <v>50</v>
      </c>
      <c r="O554" s="14" t="s">
        <v>51</v>
      </c>
    </row>
    <row r="555" spans="1:15">
      <c r="A555" s="15" t="s">
        <v>13</v>
      </c>
      <c r="B555" s="15" t="s">
        <v>5794</v>
      </c>
      <c r="C555" s="15" t="s">
        <v>5795</v>
      </c>
      <c r="D555" s="15" t="s">
        <v>5834</v>
      </c>
      <c r="E555" s="15">
        <v>23</v>
      </c>
      <c r="F555" s="15" t="s">
        <v>5843</v>
      </c>
      <c r="G555" s="15" t="s">
        <v>5844</v>
      </c>
      <c r="H555" s="15"/>
      <c r="I555" s="15" t="s">
        <v>96</v>
      </c>
      <c r="J555" s="7" t="str">
        <f>HYPERLINK("https://www.codechef.com/problems/REACTMCQ23", "https://www.codechef.com/problems/REACTMCQ23")</f>
        <v>https://www.codechef.com/problems/REACTMCQ23</v>
      </c>
      <c r="K555" s="15"/>
      <c r="L555" s="15"/>
      <c r="M555" s="15"/>
      <c r="N555" s="15" t="s">
        <v>50</v>
      </c>
      <c r="O555" s="15" t="s">
        <v>51</v>
      </c>
    </row>
    <row r="556" spans="1:15">
      <c r="A556" s="14" t="s">
        <v>13</v>
      </c>
      <c r="B556" s="14" t="s">
        <v>5794</v>
      </c>
      <c r="C556" s="14" t="s">
        <v>5795</v>
      </c>
      <c r="D556" s="14" t="s">
        <v>5834</v>
      </c>
      <c r="E556" s="14">
        <v>24</v>
      </c>
      <c r="F556" s="14" t="s">
        <v>5845</v>
      </c>
      <c r="G556" s="14" t="s">
        <v>5846</v>
      </c>
      <c r="H556" s="14"/>
      <c r="I556" s="14" t="s">
        <v>96</v>
      </c>
      <c r="J556" s="11" t="str">
        <f>HYPERLINK("https://www.codechef.com/problems/REACTMCQ24", "https://www.codechef.com/problems/REACTMCQ24")</f>
        <v>https://www.codechef.com/problems/REACTMCQ24</v>
      </c>
      <c r="K556" s="14"/>
      <c r="L556" s="14"/>
      <c r="M556" s="14"/>
      <c r="N556" s="14" t="s">
        <v>50</v>
      </c>
      <c r="O556" s="14" t="s">
        <v>51</v>
      </c>
    </row>
    <row r="557" spans="1:15">
      <c r="A557" s="15" t="s">
        <v>13</v>
      </c>
      <c r="B557" s="15" t="s">
        <v>5794</v>
      </c>
      <c r="C557" s="15" t="s">
        <v>5795</v>
      </c>
      <c r="D557" s="15" t="s">
        <v>5834</v>
      </c>
      <c r="E557" s="15">
        <v>25</v>
      </c>
      <c r="F557" s="15" t="s">
        <v>5847</v>
      </c>
      <c r="G557" s="15" t="s">
        <v>5848</v>
      </c>
      <c r="H557" s="15"/>
      <c r="I557" s="15" t="s">
        <v>96</v>
      </c>
      <c r="J557" s="7" t="str">
        <f>HYPERLINK("https://www.codechef.com/problems/REACTMCQ25", "https://www.codechef.com/problems/REACTMCQ25")</f>
        <v>https://www.codechef.com/problems/REACTMCQ25</v>
      </c>
      <c r="K557" s="15"/>
      <c r="L557" s="15"/>
      <c r="M557" s="15"/>
      <c r="N557" s="15" t="s">
        <v>50</v>
      </c>
      <c r="O557" s="15" t="s">
        <v>51</v>
      </c>
    </row>
    <row r="558" spans="1:15">
      <c r="A558" s="14" t="s">
        <v>13</v>
      </c>
      <c r="B558" s="14" t="s">
        <v>5794</v>
      </c>
      <c r="C558" s="14" t="s">
        <v>5795</v>
      </c>
      <c r="D558" s="14" t="s">
        <v>5834</v>
      </c>
      <c r="E558" s="14">
        <v>26</v>
      </c>
      <c r="F558" s="14" t="s">
        <v>5849</v>
      </c>
      <c r="G558" s="14" t="s">
        <v>5850</v>
      </c>
      <c r="H558" s="14"/>
      <c r="I558" s="14" t="s">
        <v>96</v>
      </c>
      <c r="J558" s="11" t="str">
        <f>HYPERLINK("https://www.codechef.com/problems/REACTMCQ26", "https://www.codechef.com/problems/REACTMCQ26")</f>
        <v>https://www.codechef.com/problems/REACTMCQ26</v>
      </c>
      <c r="K558" s="14"/>
      <c r="L558" s="14"/>
      <c r="M558" s="14"/>
      <c r="N558" s="14" t="s">
        <v>50</v>
      </c>
      <c r="O558" s="14" t="s">
        <v>51</v>
      </c>
    </row>
    <row r="559" spans="1:15">
      <c r="A559" s="15" t="s">
        <v>13</v>
      </c>
      <c r="B559" s="15" t="s">
        <v>5794</v>
      </c>
      <c r="C559" s="15" t="s">
        <v>5795</v>
      </c>
      <c r="D559" s="15" t="s">
        <v>5834</v>
      </c>
      <c r="E559" s="15">
        <v>27</v>
      </c>
      <c r="F559" s="15" t="s">
        <v>5851</v>
      </c>
      <c r="G559" s="15" t="s">
        <v>5852</v>
      </c>
      <c r="H559" s="15"/>
      <c r="I559" s="15" t="s">
        <v>96</v>
      </c>
      <c r="J559" s="7" t="str">
        <f>HYPERLINK("https://www.codechef.com/problems/REACTMCQ27", "https://www.codechef.com/problems/REACTMCQ27")</f>
        <v>https://www.codechef.com/problems/REACTMCQ27</v>
      </c>
      <c r="K559" s="15"/>
      <c r="L559" s="15"/>
      <c r="M559" s="15"/>
      <c r="N559" s="15" t="s">
        <v>50</v>
      </c>
      <c r="O559" s="15" t="s">
        <v>51</v>
      </c>
    </row>
    <row r="560" spans="1:15">
      <c r="A560" s="14" t="s">
        <v>13</v>
      </c>
      <c r="B560" s="14" t="s">
        <v>5794</v>
      </c>
      <c r="C560" s="14" t="s">
        <v>5795</v>
      </c>
      <c r="D560" s="14" t="s">
        <v>5834</v>
      </c>
      <c r="E560" s="14">
        <v>28</v>
      </c>
      <c r="F560" s="14" t="s">
        <v>5853</v>
      </c>
      <c r="G560" s="14" t="s">
        <v>5854</v>
      </c>
      <c r="H560" s="14"/>
      <c r="I560" s="14" t="s">
        <v>96</v>
      </c>
      <c r="J560" s="11" t="str">
        <f>HYPERLINK("https://www.codechef.com/problems/REACTMCQ28", "https://www.codechef.com/problems/REACTMCQ28")</f>
        <v>https://www.codechef.com/problems/REACTMCQ28</v>
      </c>
      <c r="K560" s="14"/>
      <c r="L560" s="14"/>
      <c r="M560" s="14"/>
      <c r="N560" s="14" t="s">
        <v>50</v>
      </c>
      <c r="O560" s="14" t="s">
        <v>51</v>
      </c>
    </row>
    <row r="561" spans="1:15">
      <c r="A561" s="15" t="s">
        <v>13</v>
      </c>
      <c r="B561" s="15" t="s">
        <v>5794</v>
      </c>
      <c r="C561" s="15" t="s">
        <v>5795</v>
      </c>
      <c r="D561" s="15" t="s">
        <v>5855</v>
      </c>
      <c r="E561" s="15">
        <v>29</v>
      </c>
      <c r="F561" s="15" t="s">
        <v>5856</v>
      </c>
      <c r="G561" s="15" t="s">
        <v>5857</v>
      </c>
      <c r="H561" s="15"/>
      <c r="I561" s="15" t="s">
        <v>49</v>
      </c>
      <c r="J561" s="7" t="str">
        <f>HYPERLINK("https://www.codechef.com/problems/REACTMCQ29", "https://www.codechef.com/problems/REACTMCQ29")</f>
        <v>https://www.codechef.com/problems/REACTMCQ29</v>
      </c>
      <c r="K561" s="15"/>
      <c r="L561" s="15"/>
      <c r="M561" s="15"/>
      <c r="N561" s="15" t="s">
        <v>50</v>
      </c>
      <c r="O561" s="15" t="s">
        <v>51</v>
      </c>
    </row>
    <row r="562" spans="1:15">
      <c r="A562" s="14" t="s">
        <v>13</v>
      </c>
      <c r="B562" s="14" t="s">
        <v>5794</v>
      </c>
      <c r="C562" s="14" t="s">
        <v>5795</v>
      </c>
      <c r="D562" s="14" t="s">
        <v>5855</v>
      </c>
      <c r="E562" s="14">
        <v>30</v>
      </c>
      <c r="F562" s="14" t="s">
        <v>5858</v>
      </c>
      <c r="G562" s="14" t="s">
        <v>5859</v>
      </c>
      <c r="H562" s="14"/>
      <c r="I562" s="14" t="s">
        <v>49</v>
      </c>
      <c r="J562" s="11" t="str">
        <f>HYPERLINK("https://www.codechef.com/problems/REACTMCQ30", "https://www.codechef.com/problems/REACTMCQ30")</f>
        <v>https://www.codechef.com/problems/REACTMCQ30</v>
      </c>
      <c r="K562" s="14"/>
      <c r="L562" s="14"/>
      <c r="M562" s="14"/>
      <c r="N562" s="14" t="s">
        <v>50</v>
      </c>
      <c r="O562" s="14" t="s">
        <v>51</v>
      </c>
    </row>
    <row r="563" spans="1:15">
      <c r="A563" s="15" t="s">
        <v>13</v>
      </c>
      <c r="B563" s="15" t="s">
        <v>5794</v>
      </c>
      <c r="C563" s="15" t="s">
        <v>5795</v>
      </c>
      <c r="D563" s="15" t="s">
        <v>5855</v>
      </c>
      <c r="E563" s="15">
        <v>31</v>
      </c>
      <c r="F563" s="15" t="s">
        <v>5860</v>
      </c>
      <c r="G563" s="15" t="s">
        <v>5861</v>
      </c>
      <c r="H563" s="15"/>
      <c r="I563" s="15" t="s">
        <v>49</v>
      </c>
      <c r="J563" s="7" t="str">
        <f>HYPERLINK("https://www.codechef.com/problems/REACTMCQ31", "https://www.codechef.com/problems/REACTMCQ31")</f>
        <v>https://www.codechef.com/problems/REACTMCQ31</v>
      </c>
      <c r="K563" s="15"/>
      <c r="L563" s="15"/>
      <c r="M563" s="15"/>
      <c r="N563" s="15" t="s">
        <v>50</v>
      </c>
      <c r="O563" s="15" t="s">
        <v>51</v>
      </c>
    </row>
    <row r="564" spans="1:15">
      <c r="A564" s="14" t="s">
        <v>13</v>
      </c>
      <c r="B564" s="14" t="s">
        <v>5794</v>
      </c>
      <c r="C564" s="14" t="s">
        <v>5795</v>
      </c>
      <c r="D564" s="14" t="s">
        <v>5855</v>
      </c>
      <c r="E564" s="14">
        <v>32</v>
      </c>
      <c r="F564" s="14" t="s">
        <v>5862</v>
      </c>
      <c r="G564" s="14" t="s">
        <v>5863</v>
      </c>
      <c r="H564" s="14"/>
      <c r="I564" s="14" t="s">
        <v>49</v>
      </c>
      <c r="J564" s="11" t="str">
        <f>HYPERLINK("https://www.codechef.com/problems/REACTMCQ32", "https://www.codechef.com/problems/REACTMCQ32")</f>
        <v>https://www.codechef.com/problems/REACTMCQ32</v>
      </c>
      <c r="K564" s="14"/>
      <c r="L564" s="14"/>
      <c r="M564" s="14"/>
      <c r="N564" s="14" t="s">
        <v>50</v>
      </c>
      <c r="O564" s="14" t="s">
        <v>51</v>
      </c>
    </row>
    <row r="565" spans="1:15">
      <c r="A565" s="15" t="s">
        <v>13</v>
      </c>
      <c r="B565" s="15" t="s">
        <v>5794</v>
      </c>
      <c r="C565" s="15" t="s">
        <v>5795</v>
      </c>
      <c r="D565" s="15" t="s">
        <v>5855</v>
      </c>
      <c r="E565" s="15">
        <v>33</v>
      </c>
      <c r="F565" s="15" t="s">
        <v>5864</v>
      </c>
      <c r="G565" s="15" t="s">
        <v>5865</v>
      </c>
      <c r="H565" s="15"/>
      <c r="I565" s="15" t="s">
        <v>96</v>
      </c>
      <c r="J565" s="7" t="str">
        <f>HYPERLINK("https://www.codechef.com/problems/REACTMCQ33", "https://www.codechef.com/problems/REACTMCQ33")</f>
        <v>https://www.codechef.com/problems/REACTMCQ33</v>
      </c>
      <c r="K565" s="15"/>
      <c r="L565" s="15"/>
      <c r="M565" s="15"/>
      <c r="N565" s="15" t="s">
        <v>50</v>
      </c>
      <c r="O565" s="15" t="s">
        <v>51</v>
      </c>
    </row>
    <row r="566" spans="1:15">
      <c r="A566" s="14" t="s">
        <v>13</v>
      </c>
      <c r="B566" s="14" t="s">
        <v>5794</v>
      </c>
      <c r="C566" s="14" t="s">
        <v>5795</v>
      </c>
      <c r="D566" s="14" t="s">
        <v>5855</v>
      </c>
      <c r="E566" s="14">
        <v>34</v>
      </c>
      <c r="F566" s="14" t="s">
        <v>5866</v>
      </c>
      <c r="G566" s="14" t="s">
        <v>5867</v>
      </c>
      <c r="H566" s="14"/>
      <c r="I566" s="14" t="s">
        <v>49</v>
      </c>
      <c r="J566" s="11" t="str">
        <f>HYPERLINK("https://www.codechef.com/problems/REACTMCQ34", "https://www.codechef.com/problems/REACTMCQ34")</f>
        <v>https://www.codechef.com/problems/REACTMCQ34</v>
      </c>
      <c r="K566" s="14"/>
      <c r="L566" s="14"/>
      <c r="M566" s="14"/>
      <c r="N566" s="14" t="s">
        <v>50</v>
      </c>
      <c r="O566" s="14" t="s">
        <v>51</v>
      </c>
    </row>
    <row r="567" spans="1:15">
      <c r="A567" s="15" t="s">
        <v>13</v>
      </c>
      <c r="B567" s="15" t="s">
        <v>5794</v>
      </c>
      <c r="C567" s="15" t="s">
        <v>5795</v>
      </c>
      <c r="D567" s="15" t="s">
        <v>5855</v>
      </c>
      <c r="E567" s="15">
        <v>35</v>
      </c>
      <c r="F567" s="15" t="s">
        <v>5868</v>
      </c>
      <c r="G567" s="15" t="s">
        <v>5869</v>
      </c>
      <c r="H567" s="15"/>
      <c r="I567" s="15" t="s">
        <v>96</v>
      </c>
      <c r="J567" s="7" t="str">
        <f>HYPERLINK("https://www.codechef.com/problems/REACTMCQ36", "https://www.codechef.com/problems/REACTMCQ36")</f>
        <v>https://www.codechef.com/problems/REACTMCQ36</v>
      </c>
      <c r="K567" s="15"/>
      <c r="L567" s="15"/>
      <c r="M567" s="15"/>
      <c r="N567" s="15" t="s">
        <v>50</v>
      </c>
      <c r="O567" s="15" t="s">
        <v>51</v>
      </c>
    </row>
    <row r="568" spans="1:15">
      <c r="A568" s="14" t="s">
        <v>13</v>
      </c>
      <c r="B568" s="14" t="s">
        <v>5794</v>
      </c>
      <c r="C568" s="14" t="s">
        <v>5795</v>
      </c>
      <c r="D568" s="14" t="s">
        <v>5870</v>
      </c>
      <c r="E568" s="14">
        <v>36</v>
      </c>
      <c r="F568" s="14" t="s">
        <v>5871</v>
      </c>
      <c r="G568" s="14" t="s">
        <v>5872</v>
      </c>
      <c r="H568" s="14"/>
      <c r="I568" s="14" t="s">
        <v>49</v>
      </c>
      <c r="J568" s="11" t="str">
        <f>HYPERLINK("https://www.codechef.com/problems/REACTMCQ37", "https://www.codechef.com/problems/REACTMCQ37")</f>
        <v>https://www.codechef.com/problems/REACTMCQ37</v>
      </c>
      <c r="K568" s="14"/>
      <c r="L568" s="14"/>
      <c r="M568" s="14"/>
      <c r="N568" s="14" t="s">
        <v>50</v>
      </c>
      <c r="O568" s="14" t="s">
        <v>51</v>
      </c>
    </row>
    <row r="569" spans="1:15">
      <c r="A569" s="15" t="s">
        <v>13</v>
      </c>
      <c r="B569" s="15" t="s">
        <v>5794</v>
      </c>
      <c r="C569" s="15" t="s">
        <v>5795</v>
      </c>
      <c r="D569" s="15" t="s">
        <v>5870</v>
      </c>
      <c r="E569" s="15">
        <v>37</v>
      </c>
      <c r="F569" s="15" t="s">
        <v>5873</v>
      </c>
      <c r="G569" s="15" t="s">
        <v>5874</v>
      </c>
      <c r="H569" s="15"/>
      <c r="I569" s="15" t="s">
        <v>49</v>
      </c>
      <c r="J569" s="7" t="str">
        <f>HYPERLINK("https://www.codechef.com/problems/REACTMCQ38", "https://www.codechef.com/problems/REACTMCQ38")</f>
        <v>https://www.codechef.com/problems/REACTMCQ38</v>
      </c>
      <c r="K569" s="15"/>
      <c r="L569" s="15"/>
      <c r="M569" s="15"/>
      <c r="N569" s="15" t="s">
        <v>50</v>
      </c>
      <c r="O569" s="15" t="s">
        <v>51</v>
      </c>
    </row>
    <row r="570" spans="1:15">
      <c r="A570" s="14" t="s">
        <v>13</v>
      </c>
      <c r="B570" s="14" t="s">
        <v>5794</v>
      </c>
      <c r="C570" s="14" t="s">
        <v>5795</v>
      </c>
      <c r="D570" s="14" t="s">
        <v>5870</v>
      </c>
      <c r="E570" s="14">
        <v>38</v>
      </c>
      <c r="F570" s="14" t="s">
        <v>5875</v>
      </c>
      <c r="G570" s="14" t="s">
        <v>5876</v>
      </c>
      <c r="H570" s="14"/>
      <c r="I570" s="14" t="s">
        <v>49</v>
      </c>
      <c r="J570" s="11" t="str">
        <f>HYPERLINK("https://www.codechef.com/problems/REACTMCQ39", "https://www.codechef.com/problems/REACTMCQ39")</f>
        <v>https://www.codechef.com/problems/REACTMCQ39</v>
      </c>
      <c r="K570" s="14"/>
      <c r="L570" s="14"/>
      <c r="M570" s="14"/>
      <c r="N570" s="14" t="s">
        <v>50</v>
      </c>
      <c r="O570" s="14" t="s">
        <v>51</v>
      </c>
    </row>
    <row r="571" spans="1:15">
      <c r="A571" s="15" t="s">
        <v>13</v>
      </c>
      <c r="B571" s="15" t="s">
        <v>5794</v>
      </c>
      <c r="C571" s="15" t="s">
        <v>5795</v>
      </c>
      <c r="D571" s="15" t="s">
        <v>5870</v>
      </c>
      <c r="E571" s="15">
        <v>39</v>
      </c>
      <c r="F571" s="15" t="s">
        <v>5877</v>
      </c>
      <c r="G571" s="15" t="s">
        <v>5878</v>
      </c>
      <c r="H571" s="15"/>
      <c r="I571" s="15" t="s">
        <v>49</v>
      </c>
      <c r="J571" s="7" t="str">
        <f>HYPERLINK("https://www.codechef.com/problems/REACTMCQ40", "https://www.codechef.com/problems/REACTMCQ40")</f>
        <v>https://www.codechef.com/problems/REACTMCQ40</v>
      </c>
      <c r="K571" s="15"/>
      <c r="L571" s="15"/>
      <c r="M571" s="15"/>
      <c r="N571" s="15" t="s">
        <v>50</v>
      </c>
      <c r="O571" s="15" t="s">
        <v>51</v>
      </c>
    </row>
    <row r="572" spans="1:15">
      <c r="A572" s="14" t="s">
        <v>13</v>
      </c>
      <c r="B572" s="14" t="s">
        <v>5794</v>
      </c>
      <c r="C572" s="14" t="s">
        <v>5795</v>
      </c>
      <c r="D572" s="14" t="s">
        <v>5870</v>
      </c>
      <c r="E572" s="14">
        <v>40</v>
      </c>
      <c r="F572" s="14" t="s">
        <v>5879</v>
      </c>
      <c r="G572" s="14" t="s">
        <v>5880</v>
      </c>
      <c r="H572" s="14"/>
      <c r="I572" s="14" t="s">
        <v>96</v>
      </c>
      <c r="J572" s="11" t="str">
        <f>HYPERLINK("https://www.codechef.com/problems/REACTMCQ41", "https://www.codechef.com/problems/REACTMCQ41")</f>
        <v>https://www.codechef.com/problems/REACTMCQ41</v>
      </c>
      <c r="K572" s="14"/>
      <c r="L572" s="14"/>
      <c r="M572" s="14"/>
      <c r="N572" s="14" t="s">
        <v>50</v>
      </c>
      <c r="O572" s="14" t="s">
        <v>51</v>
      </c>
    </row>
    <row r="573" spans="1:15">
      <c r="A573" s="15" t="s">
        <v>13</v>
      </c>
      <c r="B573" s="15" t="s">
        <v>5794</v>
      </c>
      <c r="C573" s="15" t="s">
        <v>5795</v>
      </c>
      <c r="D573" s="15" t="s">
        <v>5870</v>
      </c>
      <c r="E573" s="15">
        <v>41</v>
      </c>
      <c r="F573" s="15" t="s">
        <v>5881</v>
      </c>
      <c r="G573" s="15" t="s">
        <v>5882</v>
      </c>
      <c r="H573" s="15"/>
      <c r="I573" s="15" t="s">
        <v>49</v>
      </c>
      <c r="J573" s="7" t="str">
        <f>HYPERLINK("https://www.codechef.com/problems/REACTMCQ42", "https://www.codechef.com/problems/REACTMCQ42")</f>
        <v>https://www.codechef.com/problems/REACTMCQ42</v>
      </c>
      <c r="K573" s="15"/>
      <c r="L573" s="15"/>
      <c r="M573" s="15"/>
      <c r="N573" s="15" t="s">
        <v>50</v>
      </c>
      <c r="O573" s="15" t="s">
        <v>51</v>
      </c>
    </row>
    <row r="574" spans="1:15">
      <c r="A574" s="14" t="s">
        <v>13</v>
      </c>
      <c r="B574" s="14" t="s">
        <v>5794</v>
      </c>
      <c r="C574" s="14" t="s">
        <v>5795</v>
      </c>
      <c r="D574" s="14" t="s">
        <v>5870</v>
      </c>
      <c r="E574" s="14">
        <v>42</v>
      </c>
      <c r="F574" s="14" t="s">
        <v>5883</v>
      </c>
      <c r="G574" s="14" t="s">
        <v>5884</v>
      </c>
      <c r="H574" s="14"/>
      <c r="I574" s="14" t="s">
        <v>96</v>
      </c>
      <c r="J574" s="11" t="str">
        <f>HYPERLINK("https://www.codechef.com/problems/REACTMCQ43", "https://www.codechef.com/problems/REACTMCQ43")</f>
        <v>https://www.codechef.com/problems/REACTMCQ43</v>
      </c>
      <c r="K574" s="14"/>
      <c r="L574" s="14"/>
      <c r="M574" s="14"/>
      <c r="N574" s="14" t="s">
        <v>50</v>
      </c>
      <c r="O574" s="14" t="s">
        <v>51</v>
      </c>
    </row>
    <row r="575" spans="1:15">
      <c r="A575" s="15" t="s">
        <v>13</v>
      </c>
      <c r="B575" s="15" t="s">
        <v>5794</v>
      </c>
      <c r="C575" s="15" t="s">
        <v>5795</v>
      </c>
      <c r="D575" s="15" t="s">
        <v>5870</v>
      </c>
      <c r="E575" s="15">
        <v>43</v>
      </c>
      <c r="F575" s="15" t="s">
        <v>5885</v>
      </c>
      <c r="G575" s="15" t="s">
        <v>5886</v>
      </c>
      <c r="H575" s="15"/>
      <c r="I575" s="15" t="s">
        <v>96</v>
      </c>
      <c r="J575" s="7" t="str">
        <f>HYPERLINK("https://www.codechef.com/problems/REACTMCQ44", "https://www.codechef.com/problems/REACTMCQ44")</f>
        <v>https://www.codechef.com/problems/REACTMCQ44</v>
      </c>
      <c r="K575" s="15"/>
      <c r="L575" s="15"/>
      <c r="M575" s="15"/>
      <c r="N575" s="15" t="s">
        <v>50</v>
      </c>
      <c r="O575" s="15" t="s">
        <v>51</v>
      </c>
    </row>
    <row r="576" spans="1:15">
      <c r="A576" s="14" t="s">
        <v>13</v>
      </c>
      <c r="B576" s="14" t="s">
        <v>5794</v>
      </c>
      <c r="C576" s="14" t="s">
        <v>5795</v>
      </c>
      <c r="D576" s="14" t="s">
        <v>5887</v>
      </c>
      <c r="E576" s="14">
        <v>44</v>
      </c>
      <c r="F576" s="14" t="s">
        <v>5888</v>
      </c>
      <c r="G576" s="14" t="s">
        <v>5889</v>
      </c>
      <c r="H576" s="14"/>
      <c r="I576" s="14" t="s">
        <v>96</v>
      </c>
      <c r="J576" s="11" t="str">
        <f>HYPERLINK("https://www.codechef.com/problems/REACTMCQ45", "https://www.codechef.com/problems/REACTMCQ45")</f>
        <v>https://www.codechef.com/problems/REACTMCQ45</v>
      </c>
      <c r="K576" s="14"/>
      <c r="L576" s="14"/>
      <c r="M576" s="14"/>
      <c r="N576" s="14" t="s">
        <v>50</v>
      </c>
      <c r="O576" s="14" t="s">
        <v>51</v>
      </c>
    </row>
    <row r="577" spans="1:15">
      <c r="A577" s="15" t="s">
        <v>13</v>
      </c>
      <c r="B577" s="15" t="s">
        <v>5794</v>
      </c>
      <c r="C577" s="15" t="s">
        <v>5795</v>
      </c>
      <c r="D577" s="15" t="s">
        <v>5887</v>
      </c>
      <c r="E577" s="15">
        <v>45</v>
      </c>
      <c r="F577" s="15" t="s">
        <v>5890</v>
      </c>
      <c r="G577" s="15" t="s">
        <v>5891</v>
      </c>
      <c r="H577" s="15"/>
      <c r="I577" s="15" t="s">
        <v>49</v>
      </c>
      <c r="J577" s="7" t="str">
        <f>HYPERLINK("https://www.codechef.com/problems/REACTMCQ46", "https://www.codechef.com/problems/REACTMCQ46")</f>
        <v>https://www.codechef.com/problems/REACTMCQ46</v>
      </c>
      <c r="K577" s="15"/>
      <c r="L577" s="15"/>
      <c r="M577" s="15"/>
      <c r="N577" s="15" t="s">
        <v>50</v>
      </c>
      <c r="O577" s="15" t="s">
        <v>51</v>
      </c>
    </row>
    <row r="578" spans="1:15">
      <c r="A578" s="14" t="s">
        <v>13</v>
      </c>
      <c r="B578" s="14" t="s">
        <v>5794</v>
      </c>
      <c r="C578" s="14" t="s">
        <v>5795</v>
      </c>
      <c r="D578" s="14" t="s">
        <v>5887</v>
      </c>
      <c r="E578" s="14">
        <v>46</v>
      </c>
      <c r="F578" s="14" t="s">
        <v>5892</v>
      </c>
      <c r="G578" s="14" t="s">
        <v>5893</v>
      </c>
      <c r="H578" s="14"/>
      <c r="I578" s="14" t="s">
        <v>96</v>
      </c>
      <c r="J578" s="11" t="str">
        <f>HYPERLINK("https://www.codechef.com/problems/REACTMCQ47", "https://www.codechef.com/problems/REACTMCQ47")</f>
        <v>https://www.codechef.com/problems/REACTMCQ47</v>
      </c>
      <c r="K578" s="14"/>
      <c r="L578" s="14"/>
      <c r="M578" s="14"/>
      <c r="N578" s="14" t="s">
        <v>50</v>
      </c>
      <c r="O578" s="14" t="s">
        <v>51</v>
      </c>
    </row>
    <row r="579" spans="1:15">
      <c r="A579" s="15" t="s">
        <v>13</v>
      </c>
      <c r="B579" s="15" t="s">
        <v>5794</v>
      </c>
      <c r="C579" s="15" t="s">
        <v>5795</v>
      </c>
      <c r="D579" s="15" t="s">
        <v>5887</v>
      </c>
      <c r="E579" s="15">
        <v>47</v>
      </c>
      <c r="F579" s="15" t="s">
        <v>5894</v>
      </c>
      <c r="G579" s="15" t="s">
        <v>5895</v>
      </c>
      <c r="H579" s="15"/>
      <c r="I579" s="15" t="s">
        <v>96</v>
      </c>
      <c r="J579" s="7" t="str">
        <f>HYPERLINK("https://www.codechef.com/problems/REACTMCQ48", "https://www.codechef.com/problems/REACTMCQ48")</f>
        <v>https://www.codechef.com/problems/REACTMCQ48</v>
      </c>
      <c r="K579" s="15"/>
      <c r="L579" s="15"/>
      <c r="M579" s="15"/>
      <c r="N579" s="15" t="s">
        <v>50</v>
      </c>
      <c r="O579" s="15" t="s">
        <v>51</v>
      </c>
    </row>
    <row r="580" spans="1:15">
      <c r="A580" s="14" t="s">
        <v>13</v>
      </c>
      <c r="B580" s="14" t="s">
        <v>5794</v>
      </c>
      <c r="C580" s="14" t="s">
        <v>5795</v>
      </c>
      <c r="D580" s="14" t="s">
        <v>5887</v>
      </c>
      <c r="E580" s="14">
        <v>48</v>
      </c>
      <c r="F580" s="14" t="s">
        <v>5896</v>
      </c>
      <c r="G580" s="14" t="s">
        <v>5897</v>
      </c>
      <c r="H580" s="14"/>
      <c r="I580" s="14" t="s">
        <v>49</v>
      </c>
      <c r="J580" s="11" t="str">
        <f>HYPERLINK("https://www.codechef.com/problems/REACTMCQ49", "https://www.codechef.com/problems/REACTMCQ49")</f>
        <v>https://www.codechef.com/problems/REACTMCQ49</v>
      </c>
      <c r="K580" s="14"/>
      <c r="L580" s="14"/>
      <c r="M580" s="14"/>
      <c r="N580" s="14" t="s">
        <v>50</v>
      </c>
      <c r="O580" s="14" t="s">
        <v>51</v>
      </c>
    </row>
    <row r="581" spans="1:15">
      <c r="A581" s="15" t="s">
        <v>13</v>
      </c>
      <c r="B581" s="15" t="s">
        <v>5794</v>
      </c>
      <c r="C581" s="15" t="s">
        <v>5795</v>
      </c>
      <c r="D581" s="15" t="s">
        <v>5887</v>
      </c>
      <c r="E581" s="15">
        <v>49</v>
      </c>
      <c r="F581" s="15" t="s">
        <v>5898</v>
      </c>
      <c r="G581" s="15" t="s">
        <v>5899</v>
      </c>
      <c r="H581" s="15"/>
      <c r="I581" s="15" t="s">
        <v>49</v>
      </c>
      <c r="J581" s="7" t="str">
        <f>HYPERLINK("https://www.codechef.com/problems/REACTMCQ50", "https://www.codechef.com/problems/REACTMCQ50")</f>
        <v>https://www.codechef.com/problems/REACTMCQ50</v>
      </c>
      <c r="K581" s="15"/>
      <c r="L581" s="15"/>
      <c r="M581" s="15"/>
      <c r="N581" s="15" t="s">
        <v>50</v>
      </c>
      <c r="O581" s="15" t="s">
        <v>51</v>
      </c>
    </row>
    <row r="582" spans="1:15">
      <c r="A582" s="14" t="s">
        <v>13</v>
      </c>
      <c r="B582" s="14" t="s">
        <v>5794</v>
      </c>
      <c r="C582" s="14" t="s">
        <v>5795</v>
      </c>
      <c r="D582" s="14" t="s">
        <v>5887</v>
      </c>
      <c r="E582" s="14">
        <v>50</v>
      </c>
      <c r="F582" s="14" t="s">
        <v>5900</v>
      </c>
      <c r="G582" s="14" t="s">
        <v>5901</v>
      </c>
      <c r="H582" s="14"/>
      <c r="I582" s="14" t="s">
        <v>96</v>
      </c>
      <c r="J582" s="11" t="str">
        <f>HYPERLINK("https://www.codechef.com/problems/REACTMCQ52", "https://www.codechef.com/problems/REACTMCQ52")</f>
        <v>https://www.codechef.com/problems/REACTMCQ52</v>
      </c>
      <c r="K582" s="14"/>
      <c r="L582" s="14"/>
      <c r="M582" s="14"/>
      <c r="N582" s="14" t="s">
        <v>50</v>
      </c>
      <c r="O582" s="14" t="s">
        <v>51</v>
      </c>
    </row>
    <row r="583" spans="1:15">
      <c r="A583" s="15" t="s">
        <v>13</v>
      </c>
      <c r="B583" s="15" t="s">
        <v>5794</v>
      </c>
      <c r="C583" s="15" t="s">
        <v>5795</v>
      </c>
      <c r="D583" s="15" t="s">
        <v>5902</v>
      </c>
      <c r="E583" s="15">
        <v>51</v>
      </c>
      <c r="F583" s="15" t="s">
        <v>5903</v>
      </c>
      <c r="G583" s="15" t="s">
        <v>5904</v>
      </c>
      <c r="H583" s="15"/>
      <c r="I583" s="15" t="s">
        <v>49</v>
      </c>
      <c r="J583" s="7" t="str">
        <f>HYPERLINK("https://www.codechef.com/problems/REACTMCQ53", "https://www.codechef.com/problems/REACTMCQ53")</f>
        <v>https://www.codechef.com/problems/REACTMCQ53</v>
      </c>
      <c r="K583" s="15"/>
      <c r="L583" s="15"/>
      <c r="M583" s="15"/>
      <c r="N583" s="15" t="s">
        <v>50</v>
      </c>
      <c r="O583" s="15" t="s">
        <v>51</v>
      </c>
    </row>
    <row r="584" spans="1:15">
      <c r="A584" s="14" t="s">
        <v>13</v>
      </c>
      <c r="B584" s="14" t="s">
        <v>5794</v>
      </c>
      <c r="C584" s="14" t="s">
        <v>5795</v>
      </c>
      <c r="D584" s="14" t="s">
        <v>5902</v>
      </c>
      <c r="E584" s="14">
        <v>52</v>
      </c>
      <c r="F584" s="14" t="s">
        <v>5667</v>
      </c>
      <c r="G584" s="14" t="s">
        <v>5905</v>
      </c>
      <c r="H584" s="14"/>
      <c r="I584" s="14" t="s">
        <v>96</v>
      </c>
      <c r="J584" s="11" t="str">
        <f>HYPERLINK("https://www.codechef.com/problems/REACTMCQ54", "https://www.codechef.com/problems/REACTMCQ54")</f>
        <v>https://www.codechef.com/problems/REACTMCQ54</v>
      </c>
      <c r="K584" s="14"/>
      <c r="L584" s="14"/>
      <c r="M584" s="14"/>
      <c r="N584" s="14" t="s">
        <v>50</v>
      </c>
      <c r="O584" s="14" t="s">
        <v>51</v>
      </c>
    </row>
    <row r="585" spans="1:15">
      <c r="A585" s="15" t="s">
        <v>13</v>
      </c>
      <c r="B585" s="15" t="s">
        <v>5794</v>
      </c>
      <c r="C585" s="15" t="s">
        <v>5795</v>
      </c>
      <c r="D585" s="15" t="s">
        <v>5902</v>
      </c>
      <c r="E585" s="15">
        <v>53</v>
      </c>
      <c r="F585" s="15" t="s">
        <v>5906</v>
      </c>
      <c r="G585" s="15" t="s">
        <v>5907</v>
      </c>
      <c r="H585" s="15"/>
      <c r="I585" s="15" t="s">
        <v>49</v>
      </c>
      <c r="J585" s="7" t="str">
        <f>HYPERLINK("https://www.codechef.com/problems/REACTMCQ55", "https://www.codechef.com/problems/REACTMCQ55")</f>
        <v>https://www.codechef.com/problems/REACTMCQ55</v>
      </c>
      <c r="K585" s="15"/>
      <c r="L585" s="15"/>
      <c r="M585" s="15"/>
      <c r="N585" s="15" t="s">
        <v>50</v>
      </c>
      <c r="O585" s="15" t="s">
        <v>51</v>
      </c>
    </row>
    <row r="586" spans="1:15">
      <c r="A586" s="14" t="s">
        <v>13</v>
      </c>
      <c r="B586" s="14" t="s">
        <v>5794</v>
      </c>
      <c r="C586" s="14" t="s">
        <v>5795</v>
      </c>
      <c r="D586" s="14" t="s">
        <v>5902</v>
      </c>
      <c r="E586" s="14">
        <v>54</v>
      </c>
      <c r="F586" s="14" t="s">
        <v>5908</v>
      </c>
      <c r="G586" s="14" t="s">
        <v>5909</v>
      </c>
      <c r="H586" s="14"/>
      <c r="I586" s="14" t="s">
        <v>49</v>
      </c>
      <c r="J586" s="11" t="str">
        <f>HYPERLINK("https://www.codechef.com/problems/REACTMCQ56", "https://www.codechef.com/problems/REACTMCQ56")</f>
        <v>https://www.codechef.com/problems/REACTMCQ56</v>
      </c>
      <c r="K586" s="14"/>
      <c r="L586" s="14"/>
      <c r="M586" s="14"/>
      <c r="N586" s="14" t="s">
        <v>50</v>
      </c>
      <c r="O586" s="14" t="s">
        <v>51</v>
      </c>
    </row>
    <row r="587" spans="1:15">
      <c r="A587" s="15" t="s">
        <v>13</v>
      </c>
      <c r="B587" s="15" t="s">
        <v>5794</v>
      </c>
      <c r="C587" s="15" t="s">
        <v>5795</v>
      </c>
      <c r="D587" s="15" t="s">
        <v>5902</v>
      </c>
      <c r="E587" s="15">
        <v>55</v>
      </c>
      <c r="F587" s="15" t="s">
        <v>5910</v>
      </c>
      <c r="G587" s="15" t="s">
        <v>5911</v>
      </c>
      <c r="H587" s="15"/>
      <c r="I587" s="15" t="s">
        <v>49</v>
      </c>
      <c r="J587" s="7" t="str">
        <f>HYPERLINK("https://www.codechef.com/problems/REACTMCQ57", "https://www.codechef.com/problems/REACTMCQ57")</f>
        <v>https://www.codechef.com/problems/REACTMCQ57</v>
      </c>
      <c r="K587" s="15"/>
      <c r="L587" s="15"/>
      <c r="M587" s="15"/>
      <c r="N587" s="15" t="s">
        <v>50</v>
      </c>
      <c r="O587" s="15" t="s">
        <v>51</v>
      </c>
    </row>
    <row r="588" spans="1:15">
      <c r="A588" s="14" t="s">
        <v>13</v>
      </c>
      <c r="B588" s="14" t="s">
        <v>5794</v>
      </c>
      <c r="C588" s="14" t="s">
        <v>5795</v>
      </c>
      <c r="D588" s="14" t="s">
        <v>5902</v>
      </c>
      <c r="E588" s="14">
        <v>56</v>
      </c>
      <c r="F588" s="14" t="s">
        <v>5912</v>
      </c>
      <c r="G588" s="14" t="s">
        <v>5913</v>
      </c>
      <c r="H588" s="14"/>
      <c r="I588" s="14" t="s">
        <v>49</v>
      </c>
      <c r="J588" s="11" t="str">
        <f>HYPERLINK("https://www.codechef.com/problems/REACTMCQ58", "https://www.codechef.com/problems/REACTMCQ58")</f>
        <v>https://www.codechef.com/problems/REACTMCQ58</v>
      </c>
      <c r="K588" s="14"/>
      <c r="L588" s="14"/>
      <c r="M588" s="14"/>
      <c r="N588" s="14" t="s">
        <v>50</v>
      </c>
      <c r="O588" s="14" t="s">
        <v>51</v>
      </c>
    </row>
    <row r="589" spans="1:15">
      <c r="A589" s="15" t="s">
        <v>13</v>
      </c>
      <c r="B589" s="15" t="s">
        <v>5794</v>
      </c>
      <c r="C589" s="15" t="s">
        <v>5795</v>
      </c>
      <c r="D589" s="15" t="s">
        <v>5902</v>
      </c>
      <c r="E589" s="15">
        <v>57</v>
      </c>
      <c r="F589" s="15" t="s">
        <v>5758</v>
      </c>
      <c r="G589" s="15" t="s">
        <v>5914</v>
      </c>
      <c r="H589" s="15"/>
      <c r="I589" s="15" t="s">
        <v>49</v>
      </c>
      <c r="J589" s="7" t="str">
        <f>HYPERLINK("https://www.codechef.com/problems/REACTMCQ59", "https://www.codechef.com/problems/REACTMCQ59")</f>
        <v>https://www.codechef.com/problems/REACTMCQ59</v>
      </c>
      <c r="K589" s="15"/>
      <c r="L589" s="15"/>
      <c r="M589" s="15"/>
      <c r="N589" s="15" t="s">
        <v>50</v>
      </c>
      <c r="O589" s="15" t="s">
        <v>51</v>
      </c>
    </row>
    <row r="590" spans="1:15">
      <c r="A590" s="14" t="s">
        <v>13</v>
      </c>
      <c r="B590" s="14" t="s">
        <v>5794</v>
      </c>
      <c r="C590" s="14" t="s">
        <v>5795</v>
      </c>
      <c r="D590" s="14" t="s">
        <v>5902</v>
      </c>
      <c r="E590" s="14">
        <v>58</v>
      </c>
      <c r="F590" s="14" t="s">
        <v>5915</v>
      </c>
      <c r="G590" s="14" t="s">
        <v>5916</v>
      </c>
      <c r="H590" s="14"/>
      <c r="I590" s="14" t="s">
        <v>96</v>
      </c>
      <c r="J590" s="11" t="str">
        <f>HYPERLINK("https://www.codechef.com/problems/REACTMCQ60", "https://www.codechef.com/problems/REACTMCQ60")</f>
        <v>https://www.codechef.com/problems/REACTMCQ60</v>
      </c>
      <c r="K590" s="14"/>
      <c r="L590" s="14"/>
      <c r="M590" s="14"/>
      <c r="N590" s="14" t="s">
        <v>50</v>
      </c>
      <c r="O590" s="14" t="s">
        <v>51</v>
      </c>
    </row>
    <row r="591" spans="1:15">
      <c r="A591" s="15" t="s">
        <v>13</v>
      </c>
      <c r="B591" s="15" t="s">
        <v>5794</v>
      </c>
      <c r="C591" s="15" t="s">
        <v>5795</v>
      </c>
      <c r="D591" s="15" t="s">
        <v>5902</v>
      </c>
      <c r="E591" s="15">
        <v>59</v>
      </c>
      <c r="F591" s="15" t="s">
        <v>5917</v>
      </c>
      <c r="G591" s="15" t="s">
        <v>5918</v>
      </c>
      <c r="H591" s="15"/>
      <c r="I591" s="15" t="s">
        <v>49</v>
      </c>
      <c r="J591" s="7" t="str">
        <f>HYPERLINK("https://www.codechef.com/problems/REACTMCQ61", "https://www.codechef.com/problems/REACTMCQ61")</f>
        <v>https://www.codechef.com/problems/REACTMCQ61</v>
      </c>
      <c r="K591" s="15"/>
      <c r="L591" s="15"/>
      <c r="M591" s="15"/>
      <c r="N591" s="15" t="s">
        <v>50</v>
      </c>
      <c r="O591" s="15" t="s">
        <v>51</v>
      </c>
    </row>
    <row r="592" spans="1:15">
      <c r="A592" s="14" t="s">
        <v>13</v>
      </c>
      <c r="B592" s="14" t="s">
        <v>5794</v>
      </c>
      <c r="C592" s="14" t="s">
        <v>5795</v>
      </c>
      <c r="D592" s="14" t="s">
        <v>5902</v>
      </c>
      <c r="E592" s="14">
        <v>60</v>
      </c>
      <c r="F592" s="14" t="s">
        <v>5919</v>
      </c>
      <c r="G592" s="14" t="s">
        <v>5920</v>
      </c>
      <c r="H592" s="14"/>
      <c r="I592" s="14" t="s">
        <v>96</v>
      </c>
      <c r="J592" s="11" t="str">
        <f>HYPERLINK("https://www.codechef.com/problems/REACTMCQ62", "https://www.codechef.com/problems/REACTMCQ62")</f>
        <v>https://www.codechef.com/problems/REACTMCQ62</v>
      </c>
      <c r="K592" s="14"/>
      <c r="L592" s="14"/>
      <c r="M592" s="14"/>
      <c r="N592" s="14" t="s">
        <v>50</v>
      </c>
      <c r="O592" s="14" t="s">
        <v>51</v>
      </c>
    </row>
    <row r="593" spans="1:15">
      <c r="A593" s="15" t="s">
        <v>13</v>
      </c>
      <c r="B593" s="15" t="s">
        <v>5794</v>
      </c>
      <c r="C593" s="15" t="s">
        <v>5795</v>
      </c>
      <c r="D593" s="15" t="s">
        <v>5921</v>
      </c>
      <c r="E593" s="15">
        <v>61</v>
      </c>
      <c r="F593" s="15" t="s">
        <v>5922</v>
      </c>
      <c r="G593" s="15" t="s">
        <v>5923</v>
      </c>
      <c r="H593" s="15"/>
      <c r="I593" s="15" t="s">
        <v>49</v>
      </c>
      <c r="J593" s="7" t="str">
        <f>HYPERLINK("https://www.codechef.com/problems/REACTMCQ63", "https://www.codechef.com/problems/REACTMCQ63")</f>
        <v>https://www.codechef.com/problems/REACTMCQ63</v>
      </c>
      <c r="K593" s="15"/>
      <c r="L593" s="15"/>
      <c r="M593" s="15"/>
      <c r="N593" s="15" t="s">
        <v>50</v>
      </c>
      <c r="O593" s="15" t="s">
        <v>51</v>
      </c>
    </row>
    <row r="594" spans="1:15">
      <c r="A594" s="14" t="s">
        <v>13</v>
      </c>
      <c r="B594" s="14" t="s">
        <v>5794</v>
      </c>
      <c r="C594" s="14" t="s">
        <v>5795</v>
      </c>
      <c r="D594" s="14" t="s">
        <v>5921</v>
      </c>
      <c r="E594" s="14">
        <v>62</v>
      </c>
      <c r="F594" s="14" t="s">
        <v>5924</v>
      </c>
      <c r="G594" s="14" t="s">
        <v>5925</v>
      </c>
      <c r="H594" s="14"/>
      <c r="I594" s="14" t="s">
        <v>49</v>
      </c>
      <c r="J594" s="11" t="str">
        <f>HYPERLINK("https://www.codechef.com/problems/REACTMCQ64", "https://www.codechef.com/problems/REACTMCQ64")</f>
        <v>https://www.codechef.com/problems/REACTMCQ64</v>
      </c>
      <c r="K594" s="14"/>
      <c r="L594" s="14"/>
      <c r="M594" s="14"/>
      <c r="N594" s="14" t="s">
        <v>50</v>
      </c>
      <c r="O594" s="14" t="s">
        <v>51</v>
      </c>
    </row>
    <row r="595" spans="1:15">
      <c r="A595" s="15" t="s">
        <v>13</v>
      </c>
      <c r="B595" s="15" t="s">
        <v>5794</v>
      </c>
      <c r="C595" s="15" t="s">
        <v>5795</v>
      </c>
      <c r="D595" s="15" t="s">
        <v>5921</v>
      </c>
      <c r="E595" s="15">
        <v>63</v>
      </c>
      <c r="F595" s="15" t="s">
        <v>5926</v>
      </c>
      <c r="G595" s="15" t="s">
        <v>5927</v>
      </c>
      <c r="H595" s="15"/>
      <c r="I595" s="15" t="s">
        <v>49</v>
      </c>
      <c r="J595" s="7" t="str">
        <f>HYPERLINK("https://www.codechef.com/problems/REACTMCQ65", "https://www.codechef.com/problems/REACTMCQ65")</f>
        <v>https://www.codechef.com/problems/REACTMCQ65</v>
      </c>
      <c r="K595" s="15"/>
      <c r="L595" s="15"/>
      <c r="M595" s="15"/>
      <c r="N595" s="15" t="s">
        <v>50</v>
      </c>
      <c r="O595" s="15" t="s">
        <v>51</v>
      </c>
    </row>
    <row r="596" spans="1:15">
      <c r="A596" s="14" t="s">
        <v>13</v>
      </c>
      <c r="B596" s="14" t="s">
        <v>5794</v>
      </c>
      <c r="C596" s="14" t="s">
        <v>5795</v>
      </c>
      <c r="D596" s="14" t="s">
        <v>5921</v>
      </c>
      <c r="E596" s="14">
        <v>64</v>
      </c>
      <c r="F596" s="14" t="s">
        <v>5928</v>
      </c>
      <c r="G596" s="14" t="s">
        <v>5929</v>
      </c>
      <c r="H596" s="14"/>
      <c r="I596" s="14" t="s">
        <v>96</v>
      </c>
      <c r="J596" s="11" t="str">
        <f>HYPERLINK("https://www.codechef.com/problems/REACTMCQ66", "https://www.codechef.com/problems/REACTMCQ66")</f>
        <v>https://www.codechef.com/problems/REACTMCQ66</v>
      </c>
      <c r="K596" s="14"/>
      <c r="L596" s="14"/>
      <c r="M596" s="14"/>
      <c r="N596" s="14" t="s">
        <v>50</v>
      </c>
      <c r="O596" s="14" t="s">
        <v>51</v>
      </c>
    </row>
    <row r="597" spans="1:15">
      <c r="A597" s="15" t="s">
        <v>13</v>
      </c>
      <c r="B597" s="15" t="s">
        <v>5794</v>
      </c>
      <c r="C597" s="15" t="s">
        <v>5795</v>
      </c>
      <c r="D597" s="15" t="s">
        <v>5921</v>
      </c>
      <c r="E597" s="15">
        <v>65</v>
      </c>
      <c r="F597" s="15" t="s">
        <v>5930</v>
      </c>
      <c r="G597" s="15" t="s">
        <v>5931</v>
      </c>
      <c r="H597" s="15"/>
      <c r="I597" s="15" t="s">
        <v>49</v>
      </c>
      <c r="J597" s="7" t="str">
        <f>HYPERLINK("https://www.codechef.com/problems/REACTMCQ67", "https://www.codechef.com/problems/REACTMCQ67")</f>
        <v>https://www.codechef.com/problems/REACTMCQ67</v>
      </c>
      <c r="K597" s="15"/>
      <c r="L597" s="15"/>
      <c r="M597" s="15"/>
      <c r="N597" s="15" t="s">
        <v>50</v>
      </c>
      <c r="O597" s="15" t="s">
        <v>51</v>
      </c>
    </row>
    <row r="598" spans="1:15">
      <c r="A598" s="14" t="s">
        <v>13</v>
      </c>
      <c r="B598" s="14" t="s">
        <v>5794</v>
      </c>
      <c r="C598" s="14" t="s">
        <v>5795</v>
      </c>
      <c r="D598" s="14" t="s">
        <v>5921</v>
      </c>
      <c r="E598" s="14">
        <v>66</v>
      </c>
      <c r="F598" s="14" t="s">
        <v>5932</v>
      </c>
      <c r="G598" s="14" t="s">
        <v>5933</v>
      </c>
      <c r="H598" s="14"/>
      <c r="I598" s="14" t="s">
        <v>49</v>
      </c>
      <c r="J598" s="11" t="str">
        <f>HYPERLINK("https://www.codechef.com/problems/REACTMCQ68", "https://www.codechef.com/problems/REACTMCQ68")</f>
        <v>https://www.codechef.com/problems/REACTMCQ68</v>
      </c>
      <c r="K598" s="14"/>
      <c r="L598" s="14"/>
      <c r="M598" s="14"/>
      <c r="N598" s="14" t="s">
        <v>50</v>
      </c>
      <c r="O598" s="14" t="s">
        <v>51</v>
      </c>
    </row>
    <row r="599" spans="1:15">
      <c r="A599" s="15" t="s">
        <v>13</v>
      </c>
      <c r="B599" s="15" t="s">
        <v>5794</v>
      </c>
      <c r="C599" s="15" t="s">
        <v>5795</v>
      </c>
      <c r="D599" s="15" t="s">
        <v>5921</v>
      </c>
      <c r="E599" s="15">
        <v>67</v>
      </c>
      <c r="F599" s="15" t="s">
        <v>5934</v>
      </c>
      <c r="G599" s="15" t="s">
        <v>5935</v>
      </c>
      <c r="H599" s="15"/>
      <c r="I599" s="15" t="s">
        <v>96</v>
      </c>
      <c r="J599" s="7" t="str">
        <f>HYPERLINK("https://www.codechef.com/problems/REACTMCQ69", "https://www.codechef.com/problems/REACTMCQ69")</f>
        <v>https://www.codechef.com/problems/REACTMCQ69</v>
      </c>
      <c r="K599" s="15"/>
      <c r="L599" s="15"/>
      <c r="M599" s="15"/>
      <c r="N599" s="15" t="s">
        <v>50</v>
      </c>
      <c r="O599" s="15" t="s">
        <v>51</v>
      </c>
    </row>
    <row r="600" spans="1:15">
      <c r="A600" s="14" t="s">
        <v>13</v>
      </c>
      <c r="B600" s="14" t="s">
        <v>5794</v>
      </c>
      <c r="C600" s="14" t="s">
        <v>5795</v>
      </c>
      <c r="D600" s="14" t="s">
        <v>5921</v>
      </c>
      <c r="E600" s="14">
        <v>68</v>
      </c>
      <c r="F600" s="14" t="s">
        <v>5936</v>
      </c>
      <c r="G600" s="14" t="s">
        <v>5937</v>
      </c>
      <c r="H600" s="14"/>
      <c r="I600" s="14" t="s">
        <v>96</v>
      </c>
      <c r="J600" s="11" t="str">
        <f>HYPERLINK("https://www.codechef.com/problems/REACTMCQ70", "https://www.codechef.com/problems/REACTMCQ70")</f>
        <v>https://www.codechef.com/problems/REACTMCQ70</v>
      </c>
      <c r="K600" s="14"/>
      <c r="L600" s="14"/>
      <c r="M600" s="14"/>
      <c r="N600" s="14" t="s">
        <v>50</v>
      </c>
      <c r="O600" s="14" t="s">
        <v>51</v>
      </c>
    </row>
    <row r="601" spans="1:15">
      <c r="A601" s="15" t="s">
        <v>13</v>
      </c>
      <c r="B601" s="15" t="s">
        <v>5794</v>
      </c>
      <c r="C601" s="15" t="s">
        <v>5795</v>
      </c>
      <c r="D601" s="15" t="s">
        <v>5921</v>
      </c>
      <c r="E601" s="15">
        <v>69</v>
      </c>
      <c r="F601" s="15" t="s">
        <v>5938</v>
      </c>
      <c r="G601" s="15" t="s">
        <v>5939</v>
      </c>
      <c r="H601" s="15"/>
      <c r="I601" s="15" t="s">
        <v>49</v>
      </c>
      <c r="J601" s="7" t="str">
        <f>HYPERLINK("https://www.codechef.com/problems/REACTMCQ71", "https://www.codechef.com/problems/REACTMCQ71")</f>
        <v>https://www.codechef.com/problems/REACTMCQ71</v>
      </c>
      <c r="K601" s="15"/>
      <c r="L601" s="15"/>
      <c r="M601" s="15"/>
      <c r="N601" s="15" t="s">
        <v>50</v>
      </c>
      <c r="O601" s="15" t="s">
        <v>51</v>
      </c>
    </row>
    <row r="602" spans="1:15">
      <c r="A602" s="14" t="s">
        <v>13</v>
      </c>
      <c r="B602" s="14" t="s">
        <v>5794</v>
      </c>
      <c r="C602" s="14" t="s">
        <v>5795</v>
      </c>
      <c r="D602" s="14" t="s">
        <v>5921</v>
      </c>
      <c r="E602" s="14">
        <v>70</v>
      </c>
      <c r="F602" s="14" t="s">
        <v>5940</v>
      </c>
      <c r="G602" s="14" t="s">
        <v>5941</v>
      </c>
      <c r="H602" s="14"/>
      <c r="I602" s="14" t="s">
        <v>96</v>
      </c>
      <c r="J602" s="11" t="str">
        <f>HYPERLINK("https://www.codechef.com/problems/REACTMCQ72", "https://www.codechef.com/problems/REACTMCQ72")</f>
        <v>https://www.codechef.com/problems/REACTMCQ72</v>
      </c>
      <c r="K602" s="14"/>
      <c r="L602" s="14"/>
      <c r="M602" s="14"/>
      <c r="N602" s="14" t="s">
        <v>50</v>
      </c>
      <c r="O602" s="14" t="s">
        <v>51</v>
      </c>
    </row>
    <row r="603" spans="1:15">
      <c r="A603" s="15" t="s">
        <v>13</v>
      </c>
      <c r="B603" s="15" t="s">
        <v>5794</v>
      </c>
      <c r="C603" s="15" t="s">
        <v>5795</v>
      </c>
      <c r="D603" s="15" t="s">
        <v>5942</v>
      </c>
      <c r="E603" s="15">
        <v>71</v>
      </c>
      <c r="F603" s="15" t="s">
        <v>5943</v>
      </c>
      <c r="G603" s="15" t="s">
        <v>5944</v>
      </c>
      <c r="H603" s="15"/>
      <c r="I603" s="15" t="s">
        <v>96</v>
      </c>
      <c r="J603" s="7" t="str">
        <f>HYPERLINK("https://www.codechef.com/problems/REACTMCQ73", "https://www.codechef.com/problems/REACTMCQ73")</f>
        <v>https://www.codechef.com/problems/REACTMCQ73</v>
      </c>
      <c r="K603" s="15"/>
      <c r="L603" s="15"/>
      <c r="M603" s="15"/>
      <c r="N603" s="15" t="s">
        <v>50</v>
      </c>
      <c r="O603" s="15" t="s">
        <v>51</v>
      </c>
    </row>
    <row r="604" spans="1:15">
      <c r="A604" s="14" t="s">
        <v>13</v>
      </c>
      <c r="B604" s="14" t="s">
        <v>5794</v>
      </c>
      <c r="C604" s="14" t="s">
        <v>5795</v>
      </c>
      <c r="D604" s="14" t="s">
        <v>5942</v>
      </c>
      <c r="E604" s="14">
        <v>72</v>
      </c>
      <c r="F604" s="14" t="s">
        <v>5945</v>
      </c>
      <c r="G604" s="14" t="s">
        <v>5946</v>
      </c>
      <c r="H604" s="14"/>
      <c r="I604" s="14" t="s">
        <v>96</v>
      </c>
      <c r="J604" s="11" t="str">
        <f>HYPERLINK("https://www.codechef.com/problems/REACTMCQ74", "https://www.codechef.com/problems/REACTMCQ74")</f>
        <v>https://www.codechef.com/problems/REACTMCQ74</v>
      </c>
      <c r="K604" s="14"/>
      <c r="L604" s="14"/>
      <c r="M604" s="14"/>
      <c r="N604" s="14" t="s">
        <v>50</v>
      </c>
      <c r="O604" s="14" t="s">
        <v>51</v>
      </c>
    </row>
    <row r="605" spans="1:15">
      <c r="A605" s="15" t="s">
        <v>13</v>
      </c>
      <c r="B605" s="15" t="s">
        <v>5794</v>
      </c>
      <c r="C605" s="15" t="s">
        <v>5795</v>
      </c>
      <c r="D605" s="15" t="s">
        <v>5942</v>
      </c>
      <c r="E605" s="15">
        <v>73</v>
      </c>
      <c r="F605" s="15" t="s">
        <v>5947</v>
      </c>
      <c r="G605" s="15" t="s">
        <v>5948</v>
      </c>
      <c r="H605" s="15"/>
      <c r="I605" s="15" t="s">
        <v>96</v>
      </c>
      <c r="J605" s="7" t="str">
        <f>HYPERLINK("https://www.codechef.com/problems/REACTMCQ75", "https://www.codechef.com/problems/REACTMCQ75")</f>
        <v>https://www.codechef.com/problems/REACTMCQ75</v>
      </c>
      <c r="K605" s="15"/>
      <c r="L605" s="15"/>
      <c r="M605" s="15"/>
      <c r="N605" s="15" t="s">
        <v>50</v>
      </c>
      <c r="O605" s="15" t="s">
        <v>51</v>
      </c>
    </row>
    <row r="606" spans="1:15">
      <c r="A606" s="14" t="s">
        <v>13</v>
      </c>
      <c r="B606" s="14" t="s">
        <v>5794</v>
      </c>
      <c r="C606" s="14" t="s">
        <v>5795</v>
      </c>
      <c r="D606" s="14" t="s">
        <v>5942</v>
      </c>
      <c r="E606" s="14">
        <v>74</v>
      </c>
      <c r="F606" s="14" t="s">
        <v>5949</v>
      </c>
      <c r="G606" s="14" t="s">
        <v>5950</v>
      </c>
      <c r="H606" s="14"/>
      <c r="I606" s="14" t="s">
        <v>96</v>
      </c>
      <c r="J606" s="11" t="str">
        <f>HYPERLINK("https://www.codechef.com/problems/REACTMCQ76", "https://www.codechef.com/problems/REACTMCQ76")</f>
        <v>https://www.codechef.com/problems/REACTMCQ76</v>
      </c>
      <c r="K606" s="14"/>
      <c r="L606" s="14"/>
      <c r="M606" s="14"/>
      <c r="N606" s="14" t="s">
        <v>50</v>
      </c>
      <c r="O606" s="14" t="s">
        <v>51</v>
      </c>
    </row>
    <row r="607" spans="1:15">
      <c r="A607" s="15" t="s">
        <v>13</v>
      </c>
      <c r="B607" s="15" t="s">
        <v>5794</v>
      </c>
      <c r="C607" s="15" t="s">
        <v>5795</v>
      </c>
      <c r="D607" s="15" t="s">
        <v>5942</v>
      </c>
      <c r="E607" s="15">
        <v>75</v>
      </c>
      <c r="F607" s="15" t="s">
        <v>5951</v>
      </c>
      <c r="G607" s="15" t="s">
        <v>5952</v>
      </c>
      <c r="H607" s="15"/>
      <c r="I607" s="15" t="s">
        <v>49</v>
      </c>
      <c r="J607" s="7" t="str">
        <f>HYPERLINK("https://www.codechef.com/problems/REACTMCQ77", "https://www.codechef.com/problems/REACTMCQ77")</f>
        <v>https://www.codechef.com/problems/REACTMCQ77</v>
      </c>
      <c r="K607" s="15"/>
      <c r="L607" s="15"/>
      <c r="M607" s="15"/>
      <c r="N607" s="15" t="s">
        <v>50</v>
      </c>
      <c r="O607" s="15" t="s">
        <v>51</v>
      </c>
    </row>
    <row r="608" spans="1:15">
      <c r="A608" s="14" t="s">
        <v>13</v>
      </c>
      <c r="B608" s="14" t="s">
        <v>5794</v>
      </c>
      <c r="C608" s="14" t="s">
        <v>5795</v>
      </c>
      <c r="D608" s="14" t="s">
        <v>5942</v>
      </c>
      <c r="E608" s="14">
        <v>76</v>
      </c>
      <c r="F608" s="14" t="s">
        <v>5953</v>
      </c>
      <c r="G608" s="14" t="s">
        <v>5954</v>
      </c>
      <c r="H608" s="14"/>
      <c r="I608" s="14" t="s">
        <v>49</v>
      </c>
      <c r="J608" s="11" t="str">
        <f>HYPERLINK("https://www.codechef.com/problems/REACTMCQ78", "https://www.codechef.com/problems/REACTMCQ78")</f>
        <v>https://www.codechef.com/problems/REACTMCQ78</v>
      </c>
      <c r="K608" s="14"/>
      <c r="L608" s="14"/>
      <c r="M608" s="14"/>
      <c r="N608" s="14" t="s">
        <v>50</v>
      </c>
      <c r="O608" s="14" t="s">
        <v>51</v>
      </c>
    </row>
    <row r="609" spans="1:15">
      <c r="A609" s="15" t="s">
        <v>13</v>
      </c>
      <c r="B609" s="15" t="s">
        <v>5794</v>
      </c>
      <c r="C609" s="15" t="s">
        <v>5795</v>
      </c>
      <c r="D609" s="15" t="s">
        <v>5942</v>
      </c>
      <c r="E609" s="15">
        <v>77</v>
      </c>
      <c r="F609" s="15" t="s">
        <v>5955</v>
      </c>
      <c r="G609" s="15" t="s">
        <v>5956</v>
      </c>
      <c r="H609" s="15"/>
      <c r="I609" s="15" t="s">
        <v>96</v>
      </c>
      <c r="J609" s="7" t="str">
        <f>HYPERLINK("https://www.codechef.com/problems/REACTMCQ79", "https://www.codechef.com/problems/REACTMCQ79")</f>
        <v>https://www.codechef.com/problems/REACTMCQ79</v>
      </c>
      <c r="K609" s="15"/>
      <c r="L609" s="15"/>
      <c r="M609" s="15"/>
      <c r="N609" s="15" t="s">
        <v>50</v>
      </c>
      <c r="O609" s="15" t="s">
        <v>51</v>
      </c>
    </row>
    <row r="610" spans="1:15">
      <c r="A610" s="14" t="s">
        <v>13</v>
      </c>
      <c r="B610" s="14" t="s">
        <v>5794</v>
      </c>
      <c r="C610" s="14" t="s">
        <v>5795</v>
      </c>
      <c r="D610" s="14" t="s">
        <v>5942</v>
      </c>
      <c r="E610" s="14">
        <v>78</v>
      </c>
      <c r="F610" s="14" t="s">
        <v>5758</v>
      </c>
      <c r="G610" s="14" t="s">
        <v>5957</v>
      </c>
      <c r="H610" s="14"/>
      <c r="I610" s="14" t="s">
        <v>96</v>
      </c>
      <c r="J610" s="11" t="str">
        <f>HYPERLINK("https://www.codechef.com/problems/REACTMCQ80", "https://www.codechef.com/problems/REACTMCQ80")</f>
        <v>https://www.codechef.com/problems/REACTMCQ80</v>
      </c>
      <c r="K610" s="14"/>
      <c r="L610" s="14"/>
      <c r="M610" s="14"/>
      <c r="N610" s="14" t="s">
        <v>50</v>
      </c>
      <c r="O610" s="14" t="s">
        <v>51</v>
      </c>
    </row>
    <row r="611" spans="1:15">
      <c r="A611" s="15" t="s">
        <v>13</v>
      </c>
      <c r="B611" s="15" t="s">
        <v>5794</v>
      </c>
      <c r="C611" s="15" t="s">
        <v>5795</v>
      </c>
      <c r="D611" s="15" t="s">
        <v>5942</v>
      </c>
      <c r="E611" s="15">
        <v>79</v>
      </c>
      <c r="F611" s="15" t="s">
        <v>5958</v>
      </c>
      <c r="G611" s="15" t="s">
        <v>5959</v>
      </c>
      <c r="H611" s="15"/>
      <c r="I611" s="15" t="s">
        <v>49</v>
      </c>
      <c r="J611" s="7" t="str">
        <f>HYPERLINK("https://www.codechef.com/problems/REACTMCQ81", "https://www.codechef.com/problems/REACTMCQ81")</f>
        <v>https://www.codechef.com/problems/REACTMCQ81</v>
      </c>
      <c r="K611" s="15"/>
      <c r="L611" s="15"/>
      <c r="M611" s="15"/>
      <c r="N611" s="15" t="s">
        <v>50</v>
      </c>
      <c r="O611" s="15" t="s">
        <v>51</v>
      </c>
    </row>
    <row r="612" spans="1:15">
      <c r="A612" s="14" t="s">
        <v>13</v>
      </c>
      <c r="B612" s="14" t="s">
        <v>5794</v>
      </c>
      <c r="C612" s="14" t="s">
        <v>5795</v>
      </c>
      <c r="D612" s="14" t="s">
        <v>5942</v>
      </c>
      <c r="E612" s="14">
        <v>80</v>
      </c>
      <c r="F612" s="14" t="s">
        <v>5960</v>
      </c>
      <c r="G612" s="14" t="s">
        <v>5961</v>
      </c>
      <c r="H612" s="14"/>
      <c r="I612" s="14" t="s">
        <v>96</v>
      </c>
      <c r="J612" s="11" t="str">
        <f>HYPERLINK("https://www.codechef.com/problems/REACTMCQ82", "https://www.codechef.com/problems/REACTMCQ82")</f>
        <v>https://www.codechef.com/problems/REACTMCQ82</v>
      </c>
      <c r="K612" s="14"/>
      <c r="L612" s="14"/>
      <c r="M612" s="14"/>
      <c r="N612" s="14" t="s">
        <v>50</v>
      </c>
      <c r="O612" s="14" t="s">
        <v>51</v>
      </c>
    </row>
    <row r="613" spans="1:15">
      <c r="A613" s="15" t="s">
        <v>13</v>
      </c>
      <c r="B613" s="15" t="s">
        <v>5794</v>
      </c>
      <c r="C613" s="15" t="s">
        <v>5795</v>
      </c>
      <c r="D613" s="15" t="s">
        <v>5962</v>
      </c>
      <c r="E613" s="15">
        <v>81</v>
      </c>
      <c r="F613" s="15" t="s">
        <v>5963</v>
      </c>
      <c r="G613" s="15" t="s">
        <v>5964</v>
      </c>
      <c r="H613" s="15"/>
      <c r="I613" s="15" t="s">
        <v>49</v>
      </c>
      <c r="J613" s="7" t="str">
        <f>HYPERLINK("https://www.codechef.com/problems/REACTMCQ83", "https://www.codechef.com/problems/REACTMCQ83")</f>
        <v>https://www.codechef.com/problems/REACTMCQ83</v>
      </c>
      <c r="K613" s="15"/>
      <c r="L613" s="15"/>
      <c r="M613" s="15"/>
      <c r="N613" s="15" t="s">
        <v>50</v>
      </c>
      <c r="O613" s="15" t="s">
        <v>51</v>
      </c>
    </row>
    <row r="614" spans="1:15">
      <c r="A614" s="14" t="s">
        <v>13</v>
      </c>
      <c r="B614" s="14" t="s">
        <v>5794</v>
      </c>
      <c r="C614" s="14" t="s">
        <v>5795</v>
      </c>
      <c r="D614" s="14" t="s">
        <v>5962</v>
      </c>
      <c r="E614" s="14">
        <v>82</v>
      </c>
      <c r="F614" s="14" t="s">
        <v>5965</v>
      </c>
      <c r="G614" s="14" t="s">
        <v>5966</v>
      </c>
      <c r="H614" s="14"/>
      <c r="I614" s="14" t="s">
        <v>49</v>
      </c>
      <c r="J614" s="11" t="str">
        <f>HYPERLINK("https://www.codechef.com/problems/REACTMCQ84", "https://www.codechef.com/problems/REACTMCQ84")</f>
        <v>https://www.codechef.com/problems/REACTMCQ84</v>
      </c>
      <c r="K614" s="14"/>
      <c r="L614" s="14"/>
      <c r="M614" s="14"/>
      <c r="N614" s="14" t="s">
        <v>50</v>
      </c>
      <c r="O614" s="14" t="s">
        <v>51</v>
      </c>
    </row>
    <row r="615" spans="1:15">
      <c r="A615" s="15" t="s">
        <v>13</v>
      </c>
      <c r="B615" s="15" t="s">
        <v>5794</v>
      </c>
      <c r="C615" s="15" t="s">
        <v>5795</v>
      </c>
      <c r="D615" s="15" t="s">
        <v>5962</v>
      </c>
      <c r="E615" s="15">
        <v>83</v>
      </c>
      <c r="F615" s="15" t="s">
        <v>5967</v>
      </c>
      <c r="G615" s="15" t="s">
        <v>5968</v>
      </c>
      <c r="H615" s="15"/>
      <c r="I615" s="15" t="s">
        <v>49</v>
      </c>
      <c r="J615" s="7" t="str">
        <f>HYPERLINK("https://www.codechef.com/problems/REACTMCQ85", "https://www.codechef.com/problems/REACTMCQ85")</f>
        <v>https://www.codechef.com/problems/REACTMCQ85</v>
      </c>
      <c r="K615" s="15"/>
      <c r="L615" s="15"/>
      <c r="M615" s="15"/>
      <c r="N615" s="15" t="s">
        <v>50</v>
      </c>
      <c r="O615" s="15" t="s">
        <v>51</v>
      </c>
    </row>
    <row r="616" spans="1:15">
      <c r="A616" s="14" t="s">
        <v>13</v>
      </c>
      <c r="B616" s="14" t="s">
        <v>5794</v>
      </c>
      <c r="C616" s="14" t="s">
        <v>5795</v>
      </c>
      <c r="D616" s="14" t="s">
        <v>5962</v>
      </c>
      <c r="E616" s="14">
        <v>84</v>
      </c>
      <c r="F616" s="14" t="s">
        <v>5969</v>
      </c>
      <c r="G616" s="14" t="s">
        <v>5970</v>
      </c>
      <c r="H616" s="14"/>
      <c r="I616" s="14" t="s">
        <v>96</v>
      </c>
      <c r="J616" s="11" t="str">
        <f>HYPERLINK("https://www.codechef.com/problems/REACTMCQ86", "https://www.codechef.com/problems/REACTMCQ86")</f>
        <v>https://www.codechef.com/problems/REACTMCQ86</v>
      </c>
      <c r="K616" s="14"/>
      <c r="L616" s="14"/>
      <c r="M616" s="14"/>
      <c r="N616" s="14" t="s">
        <v>50</v>
      </c>
      <c r="O616" s="14" t="s">
        <v>51</v>
      </c>
    </row>
    <row r="617" spans="1:15">
      <c r="A617" s="15" t="s">
        <v>13</v>
      </c>
      <c r="B617" s="15" t="s">
        <v>5794</v>
      </c>
      <c r="C617" s="15" t="s">
        <v>5795</v>
      </c>
      <c r="D617" s="15" t="s">
        <v>5962</v>
      </c>
      <c r="E617" s="15">
        <v>85</v>
      </c>
      <c r="F617" s="15" t="s">
        <v>5971</v>
      </c>
      <c r="G617" s="15" t="s">
        <v>5972</v>
      </c>
      <c r="H617" s="15"/>
      <c r="I617" s="15" t="s">
        <v>49</v>
      </c>
      <c r="J617" s="7" t="str">
        <f>HYPERLINK("https://www.codechef.com/problems/REACTMCQ87", "https://www.codechef.com/problems/REACTMCQ87")</f>
        <v>https://www.codechef.com/problems/REACTMCQ87</v>
      </c>
      <c r="K617" s="15"/>
      <c r="L617" s="15"/>
      <c r="M617" s="15"/>
      <c r="N617" s="15" t="s">
        <v>50</v>
      </c>
      <c r="O617" s="15" t="s">
        <v>51</v>
      </c>
    </row>
    <row r="618" spans="1:15">
      <c r="A618" s="14" t="s">
        <v>13</v>
      </c>
      <c r="B618" s="14" t="s">
        <v>5794</v>
      </c>
      <c r="C618" s="14" t="s">
        <v>5795</v>
      </c>
      <c r="D618" s="14" t="s">
        <v>5962</v>
      </c>
      <c r="E618" s="14">
        <v>86</v>
      </c>
      <c r="F618" s="14" t="s">
        <v>5973</v>
      </c>
      <c r="G618" s="14" t="s">
        <v>5974</v>
      </c>
      <c r="H618" s="14"/>
      <c r="I618" s="14" t="s">
        <v>49</v>
      </c>
      <c r="J618" s="11" t="str">
        <f>HYPERLINK("https://www.codechef.com/problems/REACTMCQ88", "https://www.codechef.com/problems/REACTMCQ88")</f>
        <v>https://www.codechef.com/problems/REACTMCQ88</v>
      </c>
      <c r="K618" s="14"/>
      <c r="L618" s="14"/>
      <c r="M618" s="14"/>
      <c r="N618" s="14" t="s">
        <v>50</v>
      </c>
      <c r="O618" s="14" t="s">
        <v>51</v>
      </c>
    </row>
    <row r="619" spans="1:15">
      <c r="A619" s="15" t="s">
        <v>13</v>
      </c>
      <c r="B619" s="15" t="s">
        <v>5794</v>
      </c>
      <c r="C619" s="15" t="s">
        <v>5795</v>
      </c>
      <c r="D619" s="15" t="s">
        <v>5962</v>
      </c>
      <c r="E619" s="15">
        <v>87</v>
      </c>
      <c r="F619" s="15" t="s">
        <v>5975</v>
      </c>
      <c r="G619" s="15" t="s">
        <v>5976</v>
      </c>
      <c r="H619" s="15"/>
      <c r="I619" s="15" t="s">
        <v>96</v>
      </c>
      <c r="J619" s="7" t="str">
        <f>HYPERLINK("https://www.codechef.com/problems/REACTMCQ89", "https://www.codechef.com/problems/REACTMCQ89")</f>
        <v>https://www.codechef.com/problems/REACTMCQ89</v>
      </c>
      <c r="K619" s="15"/>
      <c r="L619" s="15"/>
      <c r="M619" s="15"/>
      <c r="N619" s="15" t="s">
        <v>50</v>
      </c>
      <c r="O619" s="15" t="s">
        <v>51</v>
      </c>
    </row>
    <row r="620" spans="1:15">
      <c r="A620" s="14" t="s">
        <v>13</v>
      </c>
      <c r="B620" s="14" t="s">
        <v>5794</v>
      </c>
      <c r="C620" s="14" t="s">
        <v>5795</v>
      </c>
      <c r="D620" s="14" t="s">
        <v>5962</v>
      </c>
      <c r="E620" s="14">
        <v>88</v>
      </c>
      <c r="F620" s="14" t="s">
        <v>5977</v>
      </c>
      <c r="G620" s="14" t="s">
        <v>5978</v>
      </c>
      <c r="H620" s="14"/>
      <c r="I620" s="14" t="s">
        <v>49</v>
      </c>
      <c r="J620" s="11" t="str">
        <f>HYPERLINK("https://www.codechef.com/problems/REACTMCQ90", "https://www.codechef.com/problems/REACTMCQ90")</f>
        <v>https://www.codechef.com/problems/REACTMCQ90</v>
      </c>
      <c r="K620" s="14"/>
      <c r="L620" s="14"/>
      <c r="M620" s="14"/>
      <c r="N620" s="14" t="s">
        <v>50</v>
      </c>
      <c r="O620" s="14" t="s">
        <v>51</v>
      </c>
    </row>
    <row r="621" spans="1:15">
      <c r="A621" s="15" t="s">
        <v>13</v>
      </c>
      <c r="B621" s="15" t="s">
        <v>5794</v>
      </c>
      <c r="C621" s="15" t="s">
        <v>5795</v>
      </c>
      <c r="D621" s="15" t="s">
        <v>5962</v>
      </c>
      <c r="E621" s="15">
        <v>89</v>
      </c>
      <c r="F621" s="15" t="s">
        <v>5979</v>
      </c>
      <c r="G621" s="15" t="s">
        <v>5980</v>
      </c>
      <c r="H621" s="15"/>
      <c r="I621" s="15" t="s">
        <v>49</v>
      </c>
      <c r="J621" s="7" t="str">
        <f>HYPERLINK("https://www.codechef.com/problems/REACTMCQ91", "https://www.codechef.com/problems/REACTMCQ91")</f>
        <v>https://www.codechef.com/problems/REACTMCQ91</v>
      </c>
      <c r="K621" s="15"/>
      <c r="L621" s="15"/>
      <c r="M621" s="15"/>
      <c r="N621" s="15" t="s">
        <v>50</v>
      </c>
      <c r="O621" s="15" t="s">
        <v>51</v>
      </c>
    </row>
    <row r="622" spans="1:15">
      <c r="A622" s="14" t="s">
        <v>13</v>
      </c>
      <c r="B622" s="14" t="s">
        <v>5794</v>
      </c>
      <c r="C622" s="14" t="s">
        <v>5795</v>
      </c>
      <c r="D622" s="14" t="s">
        <v>5962</v>
      </c>
      <c r="E622" s="14">
        <v>90</v>
      </c>
      <c r="F622" s="14" t="s">
        <v>5981</v>
      </c>
      <c r="G622" s="14" t="s">
        <v>5982</v>
      </c>
      <c r="H622" s="14"/>
      <c r="I622" s="14" t="s">
        <v>49</v>
      </c>
      <c r="J622" s="11" t="str">
        <f>HYPERLINK("https://www.codechef.com/problems/REACTMCQ92", "https://www.codechef.com/problems/REACTMCQ92")</f>
        <v>https://www.codechef.com/problems/REACTMCQ92</v>
      </c>
      <c r="K622" s="14"/>
      <c r="L622" s="14"/>
      <c r="M622" s="14"/>
      <c r="N622" s="14" t="s">
        <v>50</v>
      </c>
      <c r="O622" s="14" t="s">
        <v>51</v>
      </c>
    </row>
    <row r="623" spans="1:15">
      <c r="A623" s="15" t="s">
        <v>13</v>
      </c>
      <c r="B623" s="15" t="s">
        <v>5794</v>
      </c>
      <c r="C623" s="15" t="s">
        <v>5795</v>
      </c>
      <c r="D623" s="15" t="s">
        <v>5983</v>
      </c>
      <c r="E623" s="15">
        <v>91</v>
      </c>
      <c r="F623" s="15" t="s">
        <v>5984</v>
      </c>
      <c r="G623" s="15" t="s">
        <v>5985</v>
      </c>
      <c r="H623" s="15"/>
      <c r="I623" s="15" t="s">
        <v>49</v>
      </c>
      <c r="J623" s="7" t="str">
        <f>HYPERLINK("https://www.codechef.com/problems/REACTMCQ93", "https://www.codechef.com/problems/REACTMCQ93")</f>
        <v>https://www.codechef.com/problems/REACTMCQ93</v>
      </c>
      <c r="K623" s="15"/>
      <c r="L623" s="15"/>
      <c r="M623" s="15"/>
      <c r="N623" s="15" t="s">
        <v>50</v>
      </c>
      <c r="O623" s="15" t="s">
        <v>51</v>
      </c>
    </row>
    <row r="624" spans="1:15">
      <c r="A624" s="14" t="s">
        <v>13</v>
      </c>
      <c r="B624" s="14" t="s">
        <v>5794</v>
      </c>
      <c r="C624" s="14" t="s">
        <v>5795</v>
      </c>
      <c r="D624" s="14" t="s">
        <v>5983</v>
      </c>
      <c r="E624" s="14">
        <v>92</v>
      </c>
      <c r="F624" s="14" t="s">
        <v>5986</v>
      </c>
      <c r="G624" s="14" t="s">
        <v>5987</v>
      </c>
      <c r="H624" s="14"/>
      <c r="I624" s="14" t="s">
        <v>49</v>
      </c>
      <c r="J624" s="11" t="str">
        <f>HYPERLINK("https://www.codechef.com/problems/REACTMCQ94", "https://www.codechef.com/problems/REACTMCQ94")</f>
        <v>https://www.codechef.com/problems/REACTMCQ94</v>
      </c>
      <c r="K624" s="14"/>
      <c r="L624" s="14"/>
      <c r="M624" s="14"/>
      <c r="N624" s="14" t="s">
        <v>50</v>
      </c>
      <c r="O624" s="14" t="s">
        <v>51</v>
      </c>
    </row>
    <row r="625" spans="1:15">
      <c r="A625" s="15" t="s">
        <v>13</v>
      </c>
      <c r="B625" s="15" t="s">
        <v>5794</v>
      </c>
      <c r="C625" s="15" t="s">
        <v>5795</v>
      </c>
      <c r="D625" s="15" t="s">
        <v>5983</v>
      </c>
      <c r="E625" s="15">
        <v>93</v>
      </c>
      <c r="F625" s="15" t="s">
        <v>5988</v>
      </c>
      <c r="G625" s="15" t="s">
        <v>5989</v>
      </c>
      <c r="H625" s="15"/>
      <c r="I625" s="15" t="s">
        <v>49</v>
      </c>
      <c r="J625" s="7" t="str">
        <f>HYPERLINK("https://www.codechef.com/problems/REACTMCQ95", "https://www.codechef.com/problems/REACTMCQ95")</f>
        <v>https://www.codechef.com/problems/REACTMCQ95</v>
      </c>
      <c r="K625" s="15"/>
      <c r="L625" s="15"/>
      <c r="M625" s="15"/>
      <c r="N625" s="15" t="s">
        <v>50</v>
      </c>
      <c r="O625" s="15" t="s">
        <v>51</v>
      </c>
    </row>
    <row r="626" spans="1:15">
      <c r="A626" s="14" t="s">
        <v>13</v>
      </c>
      <c r="B626" s="14" t="s">
        <v>5794</v>
      </c>
      <c r="C626" s="14" t="s">
        <v>5795</v>
      </c>
      <c r="D626" s="14" t="s">
        <v>5983</v>
      </c>
      <c r="E626" s="14">
        <v>94</v>
      </c>
      <c r="F626" s="14" t="s">
        <v>5990</v>
      </c>
      <c r="G626" s="14" t="s">
        <v>5991</v>
      </c>
      <c r="H626" s="14"/>
      <c r="I626" s="14" t="s">
        <v>96</v>
      </c>
      <c r="J626" s="11" t="str">
        <f>HYPERLINK("https://www.codechef.com/problems/REACTMCQ96", "https://www.codechef.com/problems/REACTMCQ96")</f>
        <v>https://www.codechef.com/problems/REACTMCQ96</v>
      </c>
      <c r="K626" s="14"/>
      <c r="L626" s="14"/>
      <c r="M626" s="14"/>
      <c r="N626" s="14" t="s">
        <v>50</v>
      </c>
      <c r="O626" s="14" t="s">
        <v>51</v>
      </c>
    </row>
    <row r="627" spans="1:15">
      <c r="A627" s="15" t="s">
        <v>13</v>
      </c>
      <c r="B627" s="15" t="s">
        <v>5794</v>
      </c>
      <c r="C627" s="15" t="s">
        <v>5795</v>
      </c>
      <c r="D627" s="15" t="s">
        <v>5983</v>
      </c>
      <c r="E627" s="15">
        <v>95</v>
      </c>
      <c r="F627" s="15" t="s">
        <v>5992</v>
      </c>
      <c r="G627" s="15" t="s">
        <v>5993</v>
      </c>
      <c r="H627" s="15"/>
      <c r="I627" s="15" t="s">
        <v>96</v>
      </c>
      <c r="J627" s="7" t="str">
        <f>HYPERLINK("https://www.codechef.com/problems/REACTMCQ97", "https://www.codechef.com/problems/REACTMCQ97")</f>
        <v>https://www.codechef.com/problems/REACTMCQ97</v>
      </c>
      <c r="K627" s="15"/>
      <c r="L627" s="15"/>
      <c r="M627" s="15"/>
      <c r="N627" s="15" t="s">
        <v>50</v>
      </c>
      <c r="O627" s="15" t="s">
        <v>51</v>
      </c>
    </row>
    <row r="628" spans="1:15">
      <c r="A628" s="14" t="s">
        <v>13</v>
      </c>
      <c r="B628" s="14" t="s">
        <v>5794</v>
      </c>
      <c r="C628" s="14" t="s">
        <v>5795</v>
      </c>
      <c r="D628" s="14" t="s">
        <v>5983</v>
      </c>
      <c r="E628" s="14">
        <v>96</v>
      </c>
      <c r="F628" s="14" t="s">
        <v>5994</v>
      </c>
      <c r="G628" s="14" t="s">
        <v>5995</v>
      </c>
      <c r="H628" s="14"/>
      <c r="I628" s="14" t="s">
        <v>96</v>
      </c>
      <c r="J628" s="11" t="str">
        <f>HYPERLINK("https://www.codechef.com/problems/REACTMCQ98", "https://www.codechef.com/problems/REACTMCQ98")</f>
        <v>https://www.codechef.com/problems/REACTMCQ98</v>
      </c>
      <c r="K628" s="14"/>
      <c r="L628" s="14"/>
      <c r="M628" s="14"/>
      <c r="N628" s="14" t="s">
        <v>50</v>
      </c>
      <c r="O628" s="14" t="s">
        <v>51</v>
      </c>
    </row>
    <row r="629" spans="1:15">
      <c r="A629" s="15" t="s">
        <v>13</v>
      </c>
      <c r="B629" s="15" t="s">
        <v>5794</v>
      </c>
      <c r="C629" s="15" t="s">
        <v>5795</v>
      </c>
      <c r="D629" s="15" t="s">
        <v>5983</v>
      </c>
      <c r="E629" s="15">
        <v>97</v>
      </c>
      <c r="F629" s="15" t="s">
        <v>5996</v>
      </c>
      <c r="G629" s="15" t="s">
        <v>5997</v>
      </c>
      <c r="H629" s="15"/>
      <c r="I629" s="15" t="s">
        <v>96</v>
      </c>
      <c r="J629" s="7" t="str">
        <f>HYPERLINK("https://www.codechef.com/problems/REACTMCQ99", "https://www.codechef.com/problems/REACTMCQ99")</f>
        <v>https://www.codechef.com/problems/REACTMCQ99</v>
      </c>
      <c r="K629" s="15"/>
      <c r="L629" s="15"/>
      <c r="M629" s="15"/>
      <c r="N629" s="15" t="s">
        <v>50</v>
      </c>
      <c r="O629" s="15" t="s">
        <v>51</v>
      </c>
    </row>
    <row r="630" spans="1:15">
      <c r="A630" s="14" t="s">
        <v>13</v>
      </c>
      <c r="B630" s="14" t="s">
        <v>5794</v>
      </c>
      <c r="C630" s="14" t="s">
        <v>5795</v>
      </c>
      <c r="D630" s="14" t="s">
        <v>5983</v>
      </c>
      <c r="E630" s="14">
        <v>98</v>
      </c>
      <c r="F630" s="14" t="s">
        <v>5998</v>
      </c>
      <c r="G630" s="14" t="s">
        <v>5999</v>
      </c>
      <c r="H630" s="14"/>
      <c r="I630" s="14" t="s">
        <v>96</v>
      </c>
      <c r="J630" s="11" t="str">
        <f>HYPERLINK("https://www.codechef.com/problems/REACTMCQ100", "https://www.codechef.com/problems/REACTMCQ100")</f>
        <v>https://www.codechef.com/problems/REACTMCQ100</v>
      </c>
      <c r="K630" s="14"/>
      <c r="L630" s="14"/>
      <c r="M630" s="14"/>
      <c r="N630" s="14" t="s">
        <v>50</v>
      </c>
      <c r="O630" s="14" t="s">
        <v>51</v>
      </c>
    </row>
    <row r="631" spans="1:15">
      <c r="A631" s="15" t="s">
        <v>13</v>
      </c>
      <c r="B631" s="15" t="s">
        <v>5794</v>
      </c>
      <c r="C631" s="15" t="s">
        <v>5795</v>
      </c>
      <c r="D631" s="15" t="s">
        <v>5983</v>
      </c>
      <c r="E631" s="15">
        <v>99</v>
      </c>
      <c r="F631" s="15" t="s">
        <v>6000</v>
      </c>
      <c r="G631" s="15" t="s">
        <v>6001</v>
      </c>
      <c r="H631" s="15"/>
      <c r="I631" s="15" t="s">
        <v>96</v>
      </c>
      <c r="J631" s="7" t="str">
        <f>HYPERLINK("https://www.codechef.com/problems/REACTMCQ101", "https://www.codechef.com/problems/REACTMCQ101")</f>
        <v>https://www.codechef.com/problems/REACTMCQ101</v>
      </c>
      <c r="K631" s="15"/>
      <c r="L631" s="15"/>
      <c r="M631" s="15"/>
      <c r="N631" s="15" t="s">
        <v>50</v>
      </c>
      <c r="O631" s="15" t="s">
        <v>51</v>
      </c>
    </row>
    <row r="632" spans="1:15">
      <c r="A632" s="14" t="s">
        <v>13</v>
      </c>
      <c r="B632" s="14" t="s">
        <v>5794</v>
      </c>
      <c r="C632" s="14" t="s">
        <v>5795</v>
      </c>
      <c r="D632" s="14" t="s">
        <v>5983</v>
      </c>
      <c r="E632" s="14">
        <v>100</v>
      </c>
      <c r="F632" s="14" t="s">
        <v>6002</v>
      </c>
      <c r="G632" s="14" t="s">
        <v>6003</v>
      </c>
      <c r="H632" s="14"/>
      <c r="I632" s="14" t="s">
        <v>96</v>
      </c>
      <c r="J632" s="11" t="str">
        <f>HYPERLINK("https://www.codechef.com/problems/REACTMCQ102", "https://www.codechef.com/problems/REACTMCQ102")</f>
        <v>https://www.codechef.com/problems/REACTMCQ102</v>
      </c>
      <c r="K632" s="14"/>
      <c r="L632" s="14"/>
      <c r="M632" s="14"/>
      <c r="N632" s="14" t="s">
        <v>50</v>
      </c>
      <c r="O632" s="14" t="s">
        <v>51</v>
      </c>
    </row>
    <row r="633" spans="1:15">
      <c r="A633" s="15" t="s">
        <v>13</v>
      </c>
      <c r="B633" s="15" t="s">
        <v>5794</v>
      </c>
      <c r="C633" s="15" t="s">
        <v>5795</v>
      </c>
      <c r="D633" s="15" t="s">
        <v>6004</v>
      </c>
      <c r="E633" s="15">
        <v>101</v>
      </c>
      <c r="F633" s="15" t="s">
        <v>6005</v>
      </c>
      <c r="G633" s="15" t="s">
        <v>6006</v>
      </c>
      <c r="H633" s="15"/>
      <c r="I633" s="15" t="s">
        <v>96</v>
      </c>
      <c r="J633" s="7" t="str">
        <f>HYPERLINK("https://www.codechef.com/problems/REACTMCQ103", "https://www.codechef.com/problems/REACTMCQ103")</f>
        <v>https://www.codechef.com/problems/REACTMCQ103</v>
      </c>
      <c r="K633" s="15"/>
      <c r="L633" s="15"/>
      <c r="M633" s="15"/>
      <c r="N633" s="15" t="s">
        <v>50</v>
      </c>
      <c r="O633" s="15" t="s">
        <v>51</v>
      </c>
    </row>
    <row r="634" spans="1:15">
      <c r="A634" s="14" t="s">
        <v>13</v>
      </c>
      <c r="B634" s="14" t="s">
        <v>5794</v>
      </c>
      <c r="C634" s="14" t="s">
        <v>5795</v>
      </c>
      <c r="D634" s="14" t="s">
        <v>6004</v>
      </c>
      <c r="E634" s="14">
        <v>102</v>
      </c>
      <c r="F634" s="14" t="s">
        <v>6007</v>
      </c>
      <c r="G634" s="14" t="s">
        <v>6008</v>
      </c>
      <c r="H634" s="14"/>
      <c r="I634" s="14" t="s">
        <v>96</v>
      </c>
      <c r="J634" s="11" t="str">
        <f>HYPERLINK("https://www.codechef.com/problems/REACTMCQ104", "https://www.codechef.com/problems/REACTMCQ104")</f>
        <v>https://www.codechef.com/problems/REACTMCQ104</v>
      </c>
      <c r="K634" s="14"/>
      <c r="L634" s="14"/>
      <c r="M634" s="14"/>
      <c r="N634" s="14" t="s">
        <v>50</v>
      </c>
      <c r="O634" s="14" t="s">
        <v>51</v>
      </c>
    </row>
    <row r="635" spans="1:15">
      <c r="A635" s="15" t="s">
        <v>13</v>
      </c>
      <c r="B635" s="15" t="s">
        <v>5794</v>
      </c>
      <c r="C635" s="15" t="s">
        <v>5795</v>
      </c>
      <c r="D635" s="15" t="s">
        <v>6004</v>
      </c>
      <c r="E635" s="15">
        <v>103</v>
      </c>
      <c r="F635" s="15" t="s">
        <v>6009</v>
      </c>
      <c r="G635" s="15" t="s">
        <v>6010</v>
      </c>
      <c r="H635" s="15"/>
      <c r="I635" s="15" t="s">
        <v>322</v>
      </c>
      <c r="J635" s="7" t="str">
        <f>HYPERLINK("https://www.codechef.com/problems/REACTMCQ105", "https://www.codechef.com/problems/REACTMCQ105")</f>
        <v>https://www.codechef.com/problems/REACTMCQ105</v>
      </c>
      <c r="K635" s="15"/>
      <c r="L635" s="15"/>
      <c r="M635" s="15"/>
      <c r="N635" s="15" t="s">
        <v>50</v>
      </c>
      <c r="O635" s="15" t="s">
        <v>51</v>
      </c>
    </row>
    <row r="636" spans="1:15">
      <c r="A636" s="14" t="s">
        <v>13</v>
      </c>
      <c r="B636" s="14" t="s">
        <v>5794</v>
      </c>
      <c r="C636" s="14" t="s">
        <v>5795</v>
      </c>
      <c r="D636" s="14" t="s">
        <v>6004</v>
      </c>
      <c r="E636" s="14">
        <v>104</v>
      </c>
      <c r="F636" s="14" t="s">
        <v>6011</v>
      </c>
      <c r="G636" s="14" t="s">
        <v>6012</v>
      </c>
      <c r="H636" s="14"/>
      <c r="I636" s="14" t="s">
        <v>49</v>
      </c>
      <c r="J636" s="11" t="str">
        <f>HYPERLINK("https://www.codechef.com/problems/REACTMCQ106", "https://www.codechef.com/problems/REACTMCQ106")</f>
        <v>https://www.codechef.com/problems/REACTMCQ106</v>
      </c>
      <c r="K636" s="14"/>
      <c r="L636" s="14"/>
      <c r="M636" s="14"/>
      <c r="N636" s="14" t="s">
        <v>50</v>
      </c>
      <c r="O636" s="14" t="s">
        <v>51</v>
      </c>
    </row>
    <row r="637" spans="1:15">
      <c r="A637" s="15" t="s">
        <v>13</v>
      </c>
      <c r="B637" s="15" t="s">
        <v>5794</v>
      </c>
      <c r="C637" s="15" t="s">
        <v>5795</v>
      </c>
      <c r="D637" s="15" t="s">
        <v>6004</v>
      </c>
      <c r="E637" s="15">
        <v>105</v>
      </c>
      <c r="F637" s="15" t="s">
        <v>6013</v>
      </c>
      <c r="G637" s="15" t="s">
        <v>6014</v>
      </c>
      <c r="H637" s="15"/>
      <c r="I637" s="15" t="s">
        <v>322</v>
      </c>
      <c r="J637" s="7" t="str">
        <f>HYPERLINK("https://www.codechef.com/problems/REACTMCQ107", "https://www.codechef.com/problems/REACTMCQ107")</f>
        <v>https://www.codechef.com/problems/REACTMCQ107</v>
      </c>
      <c r="K637" s="15"/>
      <c r="L637" s="15"/>
      <c r="M637" s="15"/>
      <c r="N637" s="15" t="s">
        <v>50</v>
      </c>
      <c r="O637" s="15" t="s">
        <v>51</v>
      </c>
    </row>
    <row r="638" spans="1:15">
      <c r="A638" s="14" t="s">
        <v>13</v>
      </c>
      <c r="B638" s="14" t="s">
        <v>5794</v>
      </c>
      <c r="C638" s="14" t="s">
        <v>5795</v>
      </c>
      <c r="D638" s="14" t="s">
        <v>6004</v>
      </c>
      <c r="E638" s="14">
        <v>106</v>
      </c>
      <c r="F638" s="14" t="s">
        <v>6015</v>
      </c>
      <c r="G638" s="14" t="s">
        <v>6016</v>
      </c>
      <c r="H638" s="14"/>
      <c r="I638" s="14" t="s">
        <v>96</v>
      </c>
      <c r="J638" s="11" t="str">
        <f>HYPERLINK("https://www.codechef.com/problems/REACTMCQ108", "https://www.codechef.com/problems/REACTMCQ108")</f>
        <v>https://www.codechef.com/problems/REACTMCQ108</v>
      </c>
      <c r="K638" s="14"/>
      <c r="L638" s="14"/>
      <c r="M638" s="14"/>
      <c r="N638" s="14" t="s">
        <v>50</v>
      </c>
      <c r="O638" s="14" t="s">
        <v>51</v>
      </c>
    </row>
    <row r="639" spans="1:15">
      <c r="A639" s="15" t="s">
        <v>13</v>
      </c>
      <c r="B639" s="15" t="s">
        <v>5794</v>
      </c>
      <c r="C639" s="15" t="s">
        <v>5795</v>
      </c>
      <c r="D639" s="15" t="s">
        <v>6004</v>
      </c>
      <c r="E639" s="15">
        <v>107</v>
      </c>
      <c r="F639" s="15" t="s">
        <v>6017</v>
      </c>
      <c r="G639" s="15" t="s">
        <v>6018</v>
      </c>
      <c r="H639" s="15"/>
      <c r="I639" s="15" t="s">
        <v>322</v>
      </c>
      <c r="J639" s="7" t="str">
        <f>HYPERLINK("https://www.codechef.com/problems/REACTMCQ109", "https://www.codechef.com/problems/REACTMCQ109")</f>
        <v>https://www.codechef.com/problems/REACTMCQ109</v>
      </c>
      <c r="K639" s="15"/>
      <c r="L639" s="15"/>
      <c r="M639" s="15"/>
      <c r="N639" s="15" t="s">
        <v>50</v>
      </c>
      <c r="O639" s="15" t="s">
        <v>51</v>
      </c>
    </row>
    <row r="640" spans="1:15">
      <c r="A640" s="14" t="s">
        <v>13</v>
      </c>
      <c r="B640" s="14" t="s">
        <v>5794</v>
      </c>
      <c r="C640" s="14" t="s">
        <v>5795</v>
      </c>
      <c r="D640" s="14" t="s">
        <v>6004</v>
      </c>
      <c r="E640" s="14">
        <v>108</v>
      </c>
      <c r="F640" s="14" t="s">
        <v>6019</v>
      </c>
      <c r="G640" s="14" t="s">
        <v>6020</v>
      </c>
      <c r="H640" s="14"/>
      <c r="I640" s="14" t="s">
        <v>322</v>
      </c>
      <c r="J640" s="11" t="str">
        <f>HYPERLINK("https://www.codechef.com/problems/REACTMCQ110", "https://www.codechef.com/problems/REACTMCQ110")</f>
        <v>https://www.codechef.com/problems/REACTMCQ110</v>
      </c>
      <c r="K640" s="14"/>
      <c r="L640" s="14"/>
      <c r="M640" s="14"/>
      <c r="N640" s="14" t="s">
        <v>50</v>
      </c>
      <c r="O640" s="14" t="s">
        <v>51</v>
      </c>
    </row>
    <row r="641" spans="1:15">
      <c r="A641" s="15" t="s">
        <v>13</v>
      </c>
      <c r="B641" s="15" t="s">
        <v>5794</v>
      </c>
      <c r="C641" s="15" t="s">
        <v>5795</v>
      </c>
      <c r="D641" s="15" t="s">
        <v>6004</v>
      </c>
      <c r="E641" s="15">
        <v>109</v>
      </c>
      <c r="F641" s="15" t="s">
        <v>6021</v>
      </c>
      <c r="G641" s="15" t="s">
        <v>6022</v>
      </c>
      <c r="H641" s="15"/>
      <c r="I641" s="15" t="s">
        <v>322</v>
      </c>
      <c r="J641" s="7" t="str">
        <f>HYPERLINK("https://www.codechef.com/problems/REACTMCQ111", "https://www.codechef.com/problems/REACTMCQ111")</f>
        <v>https://www.codechef.com/problems/REACTMCQ111</v>
      </c>
      <c r="K641" s="15"/>
      <c r="L641" s="15"/>
      <c r="M641" s="15"/>
      <c r="N641" s="15" t="s">
        <v>50</v>
      </c>
      <c r="O641" s="15" t="s">
        <v>51</v>
      </c>
    </row>
    <row r="642" spans="1:15">
      <c r="A642" s="14" t="s">
        <v>13</v>
      </c>
      <c r="B642" s="14" t="s">
        <v>5794</v>
      </c>
      <c r="C642" s="14" t="s">
        <v>5795</v>
      </c>
      <c r="D642" s="14" t="s">
        <v>6004</v>
      </c>
      <c r="E642" s="14">
        <v>110</v>
      </c>
      <c r="F642" s="14" t="s">
        <v>6023</v>
      </c>
      <c r="G642" s="14" t="s">
        <v>6024</v>
      </c>
      <c r="H642" s="14"/>
      <c r="I642" s="14" t="s">
        <v>96</v>
      </c>
      <c r="J642" s="11" t="str">
        <f>HYPERLINK("https://www.codechef.com/problems/REACTMCQ112", "https://www.codechef.com/problems/REACTMCQ112")</f>
        <v>https://www.codechef.com/problems/REACTMCQ112</v>
      </c>
      <c r="K642" s="14"/>
      <c r="L642" s="14"/>
      <c r="M642" s="14"/>
      <c r="N642" s="14" t="s">
        <v>50</v>
      </c>
      <c r="O642" s="14" t="s">
        <v>51</v>
      </c>
    </row>
    <row r="643" spans="1:15">
      <c r="A643" s="15" t="s">
        <v>13</v>
      </c>
      <c r="B643" s="15" t="s">
        <v>5794</v>
      </c>
      <c r="C643" s="15" t="s">
        <v>5795</v>
      </c>
      <c r="D643" s="15" t="s">
        <v>6025</v>
      </c>
      <c r="E643" s="15">
        <v>111</v>
      </c>
      <c r="F643" s="15" t="s">
        <v>6026</v>
      </c>
      <c r="G643" s="15" t="s">
        <v>6027</v>
      </c>
      <c r="H643" s="15"/>
      <c r="I643" s="15" t="s">
        <v>96</v>
      </c>
      <c r="J643" s="7" t="str">
        <f>HYPERLINK("https://www.codechef.com/problems/REACTMCQ113", "https://www.codechef.com/problems/REACTMCQ113")</f>
        <v>https://www.codechef.com/problems/REACTMCQ113</v>
      </c>
      <c r="K643" s="15"/>
      <c r="L643" s="15"/>
      <c r="M643" s="15"/>
      <c r="N643" s="15" t="s">
        <v>50</v>
      </c>
      <c r="O643" s="15" t="s">
        <v>51</v>
      </c>
    </row>
    <row r="644" spans="1:15">
      <c r="A644" s="14" t="s">
        <v>13</v>
      </c>
      <c r="B644" s="14" t="s">
        <v>5794</v>
      </c>
      <c r="C644" s="14" t="s">
        <v>5795</v>
      </c>
      <c r="D644" s="14" t="s">
        <v>6025</v>
      </c>
      <c r="E644" s="14">
        <v>112</v>
      </c>
      <c r="F644" s="14" t="s">
        <v>6028</v>
      </c>
      <c r="G644" s="14" t="s">
        <v>6029</v>
      </c>
      <c r="H644" s="14"/>
      <c r="I644" s="14" t="s">
        <v>96</v>
      </c>
      <c r="J644" s="11" t="str">
        <f>HYPERLINK("https://www.codechef.com/problems/REACTMCQ114", "https://www.codechef.com/problems/REACTMCQ114")</f>
        <v>https://www.codechef.com/problems/REACTMCQ114</v>
      </c>
      <c r="K644" s="14"/>
      <c r="L644" s="14"/>
      <c r="M644" s="14"/>
      <c r="N644" s="14" t="s">
        <v>50</v>
      </c>
      <c r="O644" s="14" t="s">
        <v>51</v>
      </c>
    </row>
    <row r="645" spans="1:15">
      <c r="A645" s="15" t="s">
        <v>13</v>
      </c>
      <c r="B645" s="15" t="s">
        <v>5794</v>
      </c>
      <c r="C645" s="15" t="s">
        <v>5795</v>
      </c>
      <c r="D645" s="15" t="s">
        <v>6025</v>
      </c>
      <c r="E645" s="15">
        <v>113</v>
      </c>
      <c r="F645" s="15" t="s">
        <v>6030</v>
      </c>
      <c r="G645" s="15" t="s">
        <v>6031</v>
      </c>
      <c r="H645" s="15"/>
      <c r="I645" s="15" t="s">
        <v>96</v>
      </c>
      <c r="J645" s="7" t="str">
        <f>HYPERLINK("https://www.codechef.com/problems/REACTMCQ115", "https://www.codechef.com/problems/REACTMCQ115")</f>
        <v>https://www.codechef.com/problems/REACTMCQ115</v>
      </c>
      <c r="K645" s="15"/>
      <c r="L645" s="15"/>
      <c r="M645" s="15"/>
      <c r="N645" s="15" t="s">
        <v>50</v>
      </c>
      <c r="O645" s="15" t="s">
        <v>51</v>
      </c>
    </row>
    <row r="646" spans="1:15">
      <c r="A646" s="14" t="s">
        <v>13</v>
      </c>
      <c r="B646" s="14" t="s">
        <v>5794</v>
      </c>
      <c r="C646" s="14" t="s">
        <v>5795</v>
      </c>
      <c r="D646" s="14" t="s">
        <v>6025</v>
      </c>
      <c r="E646" s="14">
        <v>114</v>
      </c>
      <c r="F646" s="14" t="s">
        <v>6032</v>
      </c>
      <c r="G646" s="14" t="s">
        <v>6033</v>
      </c>
      <c r="H646" s="14"/>
      <c r="I646" s="14" t="s">
        <v>96</v>
      </c>
      <c r="J646" s="11" t="str">
        <f>HYPERLINK("https://www.codechef.com/problems/REACTMCQ116", "https://www.codechef.com/problems/REACTMCQ116")</f>
        <v>https://www.codechef.com/problems/REACTMCQ116</v>
      </c>
      <c r="K646" s="14"/>
      <c r="L646" s="14"/>
      <c r="M646" s="14"/>
      <c r="N646" s="14" t="s">
        <v>50</v>
      </c>
      <c r="O646" s="14" t="s">
        <v>51</v>
      </c>
    </row>
    <row r="647" spans="1:15">
      <c r="A647" s="15" t="s">
        <v>13</v>
      </c>
      <c r="B647" s="15" t="s">
        <v>5794</v>
      </c>
      <c r="C647" s="15" t="s">
        <v>5795</v>
      </c>
      <c r="D647" s="15" t="s">
        <v>6025</v>
      </c>
      <c r="E647" s="15">
        <v>115</v>
      </c>
      <c r="F647" s="15" t="s">
        <v>6034</v>
      </c>
      <c r="G647" s="15" t="s">
        <v>6035</v>
      </c>
      <c r="H647" s="15"/>
      <c r="I647" s="15" t="s">
        <v>96</v>
      </c>
      <c r="J647" s="7" t="str">
        <f>HYPERLINK("https://www.codechef.com/problems/REACTMCQ117", "https://www.codechef.com/problems/REACTMCQ117")</f>
        <v>https://www.codechef.com/problems/REACTMCQ117</v>
      </c>
      <c r="K647" s="15"/>
      <c r="L647" s="15"/>
      <c r="M647" s="15"/>
      <c r="N647" s="15" t="s">
        <v>50</v>
      </c>
      <c r="O647" s="15" t="s">
        <v>51</v>
      </c>
    </row>
    <row r="648" spans="1:15">
      <c r="A648" s="14" t="s">
        <v>13</v>
      </c>
      <c r="B648" s="14" t="s">
        <v>5794</v>
      </c>
      <c r="C648" s="14" t="s">
        <v>5795</v>
      </c>
      <c r="D648" s="14" t="s">
        <v>6025</v>
      </c>
      <c r="E648" s="14">
        <v>116</v>
      </c>
      <c r="F648" s="14" t="s">
        <v>6036</v>
      </c>
      <c r="G648" s="14" t="s">
        <v>6037</v>
      </c>
      <c r="H648" s="14"/>
      <c r="I648" s="14" t="s">
        <v>96</v>
      </c>
      <c r="J648" s="11" t="str">
        <f>HYPERLINK("https://www.codechef.com/problems/REACTMCQ118", "https://www.codechef.com/problems/REACTMCQ118")</f>
        <v>https://www.codechef.com/problems/REACTMCQ118</v>
      </c>
      <c r="K648" s="14"/>
      <c r="L648" s="14"/>
      <c r="M648" s="14"/>
      <c r="N648" s="14" t="s">
        <v>50</v>
      </c>
      <c r="O648" s="14" t="s">
        <v>51</v>
      </c>
    </row>
    <row r="649" spans="1:15">
      <c r="A649" s="15" t="s">
        <v>13</v>
      </c>
      <c r="B649" s="15" t="s">
        <v>5794</v>
      </c>
      <c r="C649" s="15" t="s">
        <v>5795</v>
      </c>
      <c r="D649" s="15" t="s">
        <v>6025</v>
      </c>
      <c r="E649" s="15">
        <v>117</v>
      </c>
      <c r="F649" s="15" t="s">
        <v>6038</v>
      </c>
      <c r="G649" s="15" t="s">
        <v>6039</v>
      </c>
      <c r="H649" s="15"/>
      <c r="I649" s="15" t="s">
        <v>322</v>
      </c>
      <c r="J649" s="7" t="str">
        <f>HYPERLINK("https://www.codechef.com/problems/REACTMCQ119", "https://www.codechef.com/problems/REACTMCQ119")</f>
        <v>https://www.codechef.com/problems/REACTMCQ119</v>
      </c>
      <c r="K649" s="15"/>
      <c r="L649" s="15"/>
      <c r="M649" s="15"/>
      <c r="N649" s="15" t="s">
        <v>50</v>
      </c>
      <c r="O649" s="15" t="s">
        <v>51</v>
      </c>
    </row>
    <row r="650" spans="1:15">
      <c r="A650" s="14" t="s">
        <v>13</v>
      </c>
      <c r="B650" s="14" t="s">
        <v>5794</v>
      </c>
      <c r="C650" s="14" t="s">
        <v>5795</v>
      </c>
      <c r="D650" s="14" t="s">
        <v>6025</v>
      </c>
      <c r="E650" s="14">
        <v>118</v>
      </c>
      <c r="F650" s="14" t="s">
        <v>6040</v>
      </c>
      <c r="G650" s="14" t="s">
        <v>6041</v>
      </c>
      <c r="H650" s="14"/>
      <c r="I650" s="14" t="s">
        <v>96</v>
      </c>
      <c r="J650" s="11" t="str">
        <f>HYPERLINK("https://www.codechef.com/problems/REACTMCQ120", "https://www.codechef.com/problems/REACTMCQ120")</f>
        <v>https://www.codechef.com/problems/REACTMCQ120</v>
      </c>
      <c r="K650" s="14"/>
      <c r="L650" s="14"/>
      <c r="M650" s="14"/>
      <c r="N650" s="14" t="s">
        <v>50</v>
      </c>
      <c r="O650" s="14" t="s">
        <v>51</v>
      </c>
    </row>
    <row r="651" spans="1:15">
      <c r="A651" s="15" t="s">
        <v>13</v>
      </c>
      <c r="B651" s="15" t="s">
        <v>6042</v>
      </c>
      <c r="C651" s="15" t="s">
        <v>6043</v>
      </c>
      <c r="D651" s="15" t="s">
        <v>6044</v>
      </c>
      <c r="E651" s="15">
        <v>1</v>
      </c>
      <c r="F651" s="15" t="s">
        <v>6045</v>
      </c>
      <c r="G651" s="15" t="s">
        <v>6046</v>
      </c>
      <c r="H651" s="15"/>
      <c r="I651" s="15" t="s">
        <v>49</v>
      </c>
      <c r="J651" s="7" t="str">
        <f>HYPERLINK("https://www.codechef.com/problems/MONSTER1", "https://www.codechef.com/problems/MONSTER1")</f>
        <v>https://www.codechef.com/problems/MONSTER1</v>
      </c>
      <c r="K651" s="15"/>
      <c r="L651" s="15"/>
      <c r="M651" s="15"/>
      <c r="N651" s="15" t="s">
        <v>50</v>
      </c>
      <c r="O651" s="15" t="s">
        <v>51</v>
      </c>
    </row>
    <row r="652" spans="1:15">
      <c r="A652" s="14" t="s">
        <v>13</v>
      </c>
      <c r="B652" s="14" t="s">
        <v>6042</v>
      </c>
      <c r="C652" s="14" t="s">
        <v>6043</v>
      </c>
      <c r="D652" s="14" t="s">
        <v>6044</v>
      </c>
      <c r="E652" s="14">
        <v>2</v>
      </c>
      <c r="F652" s="14" t="s">
        <v>6047</v>
      </c>
      <c r="G652" s="14" t="s">
        <v>6048</v>
      </c>
      <c r="H652" s="14"/>
      <c r="I652" s="14" t="s">
        <v>49</v>
      </c>
      <c r="J652" s="11" t="str">
        <f>HYPERLINK("https://www.codechef.com/problems/KNGATK", "https://www.codechef.com/problems/KNGATK")</f>
        <v>https://www.codechef.com/problems/KNGATK</v>
      </c>
      <c r="K652" s="14"/>
      <c r="L652" s="14"/>
      <c r="M652" s="14"/>
      <c r="N652" s="14" t="s">
        <v>50</v>
      </c>
      <c r="O652" s="14" t="s">
        <v>51</v>
      </c>
    </row>
    <row r="653" spans="1:15">
      <c r="A653" s="15" t="s">
        <v>13</v>
      </c>
      <c r="B653" s="15" t="s">
        <v>6042</v>
      </c>
      <c r="C653" s="15" t="s">
        <v>6043</v>
      </c>
      <c r="D653" s="15" t="s">
        <v>6044</v>
      </c>
      <c r="E653" s="15">
        <v>3</v>
      </c>
      <c r="F653" s="15" t="s">
        <v>6049</v>
      </c>
      <c r="G653" s="15" t="s">
        <v>6050</v>
      </c>
      <c r="H653" s="15"/>
      <c r="I653" s="15" t="s">
        <v>49</v>
      </c>
      <c r="J653" s="7" t="str">
        <f>HYPERLINK("https://www.codechef.com/problems/EXPRESSION_3", "https://www.codechef.com/problems/EXPRESSION_3")</f>
        <v>https://www.codechef.com/problems/EXPRESSION_3</v>
      </c>
      <c r="K653" s="15"/>
      <c r="L653" s="15"/>
      <c r="M653" s="15"/>
      <c r="N653" s="15" t="s">
        <v>50</v>
      </c>
      <c r="O653" s="15" t="s">
        <v>51</v>
      </c>
    </row>
    <row r="654" spans="1:15">
      <c r="A654" s="14" t="s">
        <v>13</v>
      </c>
      <c r="B654" s="14" t="s">
        <v>6042</v>
      </c>
      <c r="C654" s="14" t="s">
        <v>6043</v>
      </c>
      <c r="D654" s="14" t="s">
        <v>6044</v>
      </c>
      <c r="E654" s="14">
        <v>4</v>
      </c>
      <c r="F654" s="14" t="s">
        <v>6051</v>
      </c>
      <c r="G654" s="14" t="s">
        <v>6052</v>
      </c>
      <c r="H654" s="14"/>
      <c r="I654" s="14" t="s">
        <v>49</v>
      </c>
      <c r="J654" s="11" t="str">
        <f>HYPERLINK("https://www.codechef.com/problems/LUCNUM", "https://www.codechef.com/problems/LUCNUM")</f>
        <v>https://www.codechef.com/problems/LUCNUM</v>
      </c>
      <c r="K654" s="14"/>
      <c r="L654" s="14"/>
      <c r="M654" s="14"/>
      <c r="N654" s="14" t="s">
        <v>50</v>
      </c>
      <c r="O654" s="14" t="s">
        <v>51</v>
      </c>
    </row>
    <row r="655" spans="1:15">
      <c r="A655" s="15" t="s">
        <v>13</v>
      </c>
      <c r="B655" s="15" t="s">
        <v>6042</v>
      </c>
      <c r="C655" s="15" t="s">
        <v>6043</v>
      </c>
      <c r="D655" s="15" t="s">
        <v>6044</v>
      </c>
      <c r="E655" s="15">
        <v>5</v>
      </c>
      <c r="F655" s="15" t="s">
        <v>6053</v>
      </c>
      <c r="G655" s="15" t="s">
        <v>6054</v>
      </c>
      <c r="H655" s="15"/>
      <c r="I655" s="15" t="s">
        <v>49</v>
      </c>
      <c r="J655" s="7" t="str">
        <f>HYPERLINK("https://www.codechef.com/problems/PIXDAM", "https://www.codechef.com/problems/PIXDAM")</f>
        <v>https://www.codechef.com/problems/PIXDAM</v>
      </c>
      <c r="K655" s="15"/>
      <c r="L655" s="15"/>
      <c r="M655" s="15"/>
      <c r="N655" s="15" t="s">
        <v>50</v>
      </c>
      <c r="O655" s="15" t="s">
        <v>51</v>
      </c>
    </row>
    <row r="656" spans="1:15">
      <c r="A656" s="14" t="s">
        <v>13</v>
      </c>
      <c r="B656" s="14" t="s">
        <v>6042</v>
      </c>
      <c r="C656" s="14" t="s">
        <v>6043</v>
      </c>
      <c r="D656" s="14" t="s">
        <v>6044</v>
      </c>
      <c r="E656" s="14">
        <v>6</v>
      </c>
      <c r="F656" s="14" t="s">
        <v>6055</v>
      </c>
      <c r="G656" s="14" t="s">
        <v>6056</v>
      </c>
      <c r="H656" s="14"/>
      <c r="I656" s="14" t="s">
        <v>49</v>
      </c>
      <c r="J656" s="11" t="str">
        <f>HYPERLINK("https://www.codechef.com/problems/EMPR", "https://www.codechef.com/problems/EMPR")</f>
        <v>https://www.codechef.com/problems/EMPR</v>
      </c>
      <c r="K656" s="14"/>
      <c r="L656" s="14"/>
      <c r="M656" s="14"/>
      <c r="N656" s="14" t="s">
        <v>50</v>
      </c>
      <c r="O656" s="14" t="s">
        <v>51</v>
      </c>
    </row>
    <row r="657" spans="1:15">
      <c r="A657" s="15" t="s">
        <v>13</v>
      </c>
      <c r="B657" s="15" t="s">
        <v>6042</v>
      </c>
      <c r="C657" s="15" t="s">
        <v>6043</v>
      </c>
      <c r="D657" s="15" t="s">
        <v>6044</v>
      </c>
      <c r="E657" s="15">
        <v>7</v>
      </c>
      <c r="F657" s="15" t="s">
        <v>6057</v>
      </c>
      <c r="G657" s="15" t="s">
        <v>6058</v>
      </c>
      <c r="H657" s="15"/>
      <c r="I657" s="15" t="s">
        <v>49</v>
      </c>
      <c r="J657" s="7" t="str">
        <f>HYPERLINK("https://www.codechef.com/problems/COLOR8TEST", "https://www.codechef.com/problems/COLOR8TEST")</f>
        <v>https://www.codechef.com/problems/COLOR8TEST</v>
      </c>
      <c r="K657" s="15"/>
      <c r="L657" s="15"/>
      <c r="M657" s="15"/>
      <c r="N657" s="15" t="s">
        <v>50</v>
      </c>
      <c r="O657" s="15" t="s">
        <v>51</v>
      </c>
    </row>
    <row r="658" spans="1:15">
      <c r="A658" s="14" t="s">
        <v>13</v>
      </c>
      <c r="B658" s="14" t="s">
        <v>6042</v>
      </c>
      <c r="C658" s="14" t="s">
        <v>6043</v>
      </c>
      <c r="D658" s="14" t="s">
        <v>6044</v>
      </c>
      <c r="E658" s="14">
        <v>8</v>
      </c>
      <c r="F658" s="14" t="s">
        <v>6059</v>
      </c>
      <c r="G658" s="14" t="s">
        <v>6060</v>
      </c>
      <c r="H658" s="14"/>
      <c r="I658" s="14" t="s">
        <v>49</v>
      </c>
      <c r="J658" s="11" t="str">
        <f>HYPERLINK("https://www.codechef.com/problems/RAIN8TEST", "https://www.codechef.com/problems/RAIN8TEST")</f>
        <v>https://www.codechef.com/problems/RAIN8TEST</v>
      </c>
      <c r="K658" s="14"/>
      <c r="L658" s="14"/>
      <c r="M658" s="14"/>
      <c r="N658" s="14" t="s">
        <v>50</v>
      </c>
      <c r="O658" s="14" t="s">
        <v>51</v>
      </c>
    </row>
    <row r="659" spans="1:15">
      <c r="A659" s="15" t="s">
        <v>13</v>
      </c>
      <c r="B659" s="15" t="s">
        <v>6042</v>
      </c>
      <c r="C659" s="15" t="s">
        <v>6043</v>
      </c>
      <c r="D659" s="15" t="s">
        <v>6044</v>
      </c>
      <c r="E659" s="15">
        <v>9</v>
      </c>
      <c r="F659" s="15" t="s">
        <v>6061</v>
      </c>
      <c r="G659" s="15" t="s">
        <v>6062</v>
      </c>
      <c r="H659" s="15"/>
      <c r="I659" s="15" t="s">
        <v>96</v>
      </c>
      <c r="J659" s="7" t="str">
        <f>HYPERLINK("https://www.codechef.com/problems/NUMREC", "https://www.codechef.com/problems/NUMREC")</f>
        <v>https://www.codechef.com/problems/NUMREC</v>
      </c>
      <c r="K659" s="15"/>
      <c r="L659" s="15"/>
      <c r="M659" s="15"/>
      <c r="N659" s="15" t="s">
        <v>50</v>
      </c>
      <c r="O659" s="15" t="s">
        <v>51</v>
      </c>
    </row>
    <row r="660" spans="1:15">
      <c r="A660" s="14" t="s">
        <v>13</v>
      </c>
      <c r="B660" s="14" t="s">
        <v>6042</v>
      </c>
      <c r="C660" s="14" t="s">
        <v>6043</v>
      </c>
      <c r="D660" s="14" t="s">
        <v>6044</v>
      </c>
      <c r="E660" s="14">
        <v>10</v>
      </c>
      <c r="F660" s="14" t="s">
        <v>6063</v>
      </c>
      <c r="G660" s="14" t="s">
        <v>6064</v>
      </c>
      <c r="H660" s="14"/>
      <c r="I660" s="14" t="s">
        <v>96</v>
      </c>
      <c r="J660" s="11" t="str">
        <f>HYPERLINK("https://www.codechef.com/problems/PMD7", "https://www.codechef.com/problems/PMD7")</f>
        <v>https://www.codechef.com/problems/PMD7</v>
      </c>
      <c r="K660" s="14"/>
      <c r="L660" s="14"/>
      <c r="M660" s="14"/>
      <c r="N660" s="14" t="s">
        <v>50</v>
      </c>
      <c r="O660" s="14" t="s">
        <v>51</v>
      </c>
    </row>
    <row r="661" spans="1:15">
      <c r="A661" s="15" t="s">
        <v>13</v>
      </c>
      <c r="B661" s="15" t="s">
        <v>6042</v>
      </c>
      <c r="C661" s="15" t="s">
        <v>6043</v>
      </c>
      <c r="D661" s="15" t="s">
        <v>6044</v>
      </c>
      <c r="E661" s="15">
        <v>11</v>
      </c>
      <c r="F661" s="15" t="s">
        <v>6065</v>
      </c>
      <c r="G661" s="15" t="s">
        <v>6066</v>
      </c>
      <c r="H661" s="15"/>
      <c r="I661" s="15" t="s">
        <v>96</v>
      </c>
      <c r="J661" s="7" t="str">
        <f>HYPERLINK("https://www.codechef.com/problems/FNDINT", "https://www.codechef.com/problems/FNDINT")</f>
        <v>https://www.codechef.com/problems/FNDINT</v>
      </c>
      <c r="K661" s="15"/>
      <c r="L661" s="15"/>
      <c r="M661" s="15"/>
      <c r="N661" s="15" t="s">
        <v>50</v>
      </c>
      <c r="O661" s="15" t="s">
        <v>51</v>
      </c>
    </row>
    <row r="662" spans="1:15">
      <c r="A662" s="14" t="s">
        <v>13</v>
      </c>
      <c r="B662" s="14" t="s">
        <v>6042</v>
      </c>
      <c r="C662" s="14" t="s">
        <v>6043</v>
      </c>
      <c r="D662" s="14" t="s">
        <v>6044</v>
      </c>
      <c r="E662" s="14">
        <v>12</v>
      </c>
      <c r="F662" s="14" t="s">
        <v>6067</v>
      </c>
      <c r="G662" s="14" t="s">
        <v>6068</v>
      </c>
      <c r="H662" s="14"/>
      <c r="I662" s="14" t="s">
        <v>322</v>
      </c>
      <c r="J662" s="11" t="str">
        <f>HYPERLINK("https://www.codechef.com/problems/ASTHIT", "https://www.codechef.com/problems/ASTHIT")</f>
        <v>https://www.codechef.com/problems/ASTHIT</v>
      </c>
      <c r="K662" s="14"/>
      <c r="L662" s="14"/>
      <c r="M662" s="14"/>
      <c r="N662" s="14" t="s">
        <v>50</v>
      </c>
      <c r="O662" s="14" t="s">
        <v>51</v>
      </c>
    </row>
    <row r="663" spans="1:15">
      <c r="A663" s="15" t="s">
        <v>13</v>
      </c>
      <c r="B663" s="15" t="s">
        <v>6042</v>
      </c>
      <c r="C663" s="15" t="s">
        <v>6043</v>
      </c>
      <c r="D663" s="15" t="s">
        <v>6069</v>
      </c>
      <c r="E663" s="15">
        <v>13</v>
      </c>
      <c r="F663" s="15" t="s">
        <v>6070</v>
      </c>
      <c r="G663" s="15" t="s">
        <v>6071</v>
      </c>
      <c r="H663" s="15"/>
      <c r="I663" s="15" t="s">
        <v>49</v>
      </c>
      <c r="J663" s="7" t="str">
        <f>HYPERLINK("https://www.codechef.com/problems/ASMBLY", "https://www.codechef.com/problems/ASMBLY")</f>
        <v>https://www.codechef.com/problems/ASMBLY</v>
      </c>
      <c r="K663" s="15"/>
      <c r="L663" s="15"/>
      <c r="M663" s="15"/>
      <c r="N663" s="15" t="s">
        <v>50</v>
      </c>
      <c r="O663" s="15" t="s">
        <v>51</v>
      </c>
    </row>
    <row r="664" spans="1:15">
      <c r="A664" s="14" t="s">
        <v>13</v>
      </c>
      <c r="B664" s="14" t="s">
        <v>6042</v>
      </c>
      <c r="C664" s="14" t="s">
        <v>6043</v>
      </c>
      <c r="D664" s="14" t="s">
        <v>6069</v>
      </c>
      <c r="E664" s="14">
        <v>14</v>
      </c>
      <c r="F664" s="14" t="s">
        <v>6072</v>
      </c>
      <c r="G664" s="14" t="s">
        <v>6073</v>
      </c>
      <c r="H664" s="14"/>
      <c r="I664" s="14" t="s">
        <v>96</v>
      </c>
      <c r="J664" s="11" t="str">
        <f>HYPERLINK("https://www.codechef.com/problems/CNTBIN", "https://www.codechef.com/problems/CNTBIN")</f>
        <v>https://www.codechef.com/problems/CNTBIN</v>
      </c>
      <c r="K664" s="14"/>
      <c r="L664" s="14"/>
      <c r="M664" s="14"/>
      <c r="N664" s="14" t="s">
        <v>50</v>
      </c>
      <c r="O664" s="14" t="s">
        <v>51</v>
      </c>
    </row>
    <row r="665" spans="1:15">
      <c r="A665" s="15" t="s">
        <v>13</v>
      </c>
      <c r="B665" s="15" t="s">
        <v>6042</v>
      </c>
      <c r="C665" s="15" t="s">
        <v>6043</v>
      </c>
      <c r="D665" s="15" t="s">
        <v>6069</v>
      </c>
      <c r="E665" s="15">
        <v>15</v>
      </c>
      <c r="F665" s="15" t="s">
        <v>6074</v>
      </c>
      <c r="G665" s="15" t="s">
        <v>6075</v>
      </c>
      <c r="H665" s="15"/>
      <c r="I665" s="15" t="s">
        <v>96</v>
      </c>
      <c r="J665" s="7" t="str">
        <f>HYPERLINK("https://www.codechef.com/problems/DIVNDIV", "https://www.codechef.com/problems/DIVNDIV")</f>
        <v>https://www.codechef.com/problems/DIVNDIV</v>
      </c>
      <c r="K665" s="15"/>
      <c r="L665" s="15"/>
      <c r="M665" s="15"/>
      <c r="N665" s="15" t="s">
        <v>50</v>
      </c>
      <c r="O665" s="15" t="s">
        <v>51</v>
      </c>
    </row>
    <row r="666" spans="1:15">
      <c r="A666" s="14" t="s">
        <v>13</v>
      </c>
      <c r="B666" s="14" t="s">
        <v>6042</v>
      </c>
      <c r="C666" s="14" t="s">
        <v>6043</v>
      </c>
      <c r="D666" s="14" t="s">
        <v>6069</v>
      </c>
      <c r="E666" s="14">
        <v>16</v>
      </c>
      <c r="F666" s="14" t="s">
        <v>6076</v>
      </c>
      <c r="G666" s="14" t="s">
        <v>6077</v>
      </c>
      <c r="H666" s="14"/>
      <c r="I666" s="14" t="s">
        <v>49</v>
      </c>
      <c r="J666" s="11" t="str">
        <f>HYPERLINK("https://www.codechef.com/problems/SHARE", "https://www.codechef.com/problems/SHARE")</f>
        <v>https://www.codechef.com/problems/SHARE</v>
      </c>
      <c r="K666" s="14"/>
      <c r="L666" s="14"/>
      <c r="M666" s="14"/>
      <c r="N666" s="14" t="s">
        <v>50</v>
      </c>
      <c r="O666" s="14" t="s">
        <v>51</v>
      </c>
    </row>
    <row r="667" spans="1:15">
      <c r="A667" s="15" t="s">
        <v>13</v>
      </c>
      <c r="B667" s="15" t="s">
        <v>6042</v>
      </c>
      <c r="C667" s="15" t="s">
        <v>6043</v>
      </c>
      <c r="D667" s="15" t="s">
        <v>6069</v>
      </c>
      <c r="E667" s="15">
        <v>17</v>
      </c>
      <c r="F667" s="15" t="s">
        <v>6078</v>
      </c>
      <c r="G667" s="15" t="s">
        <v>6079</v>
      </c>
      <c r="H667" s="15"/>
      <c r="I667" s="15" t="s">
        <v>96</v>
      </c>
      <c r="J667" s="7" t="str">
        <f>HYPERLINK("https://www.codechef.com/problems/GUESNUMK", "https://www.codechef.com/problems/GUESNUMK")</f>
        <v>https://www.codechef.com/problems/GUESNUMK</v>
      </c>
      <c r="K667" s="15"/>
      <c r="L667" s="15"/>
      <c r="M667" s="15"/>
      <c r="N667" s="15" t="s">
        <v>50</v>
      </c>
      <c r="O667" s="15" t="s">
        <v>51</v>
      </c>
    </row>
    <row r="668" spans="1:15">
      <c r="A668" s="14" t="s">
        <v>13</v>
      </c>
      <c r="B668" s="14" t="s">
        <v>6042</v>
      </c>
      <c r="C668" s="14" t="s">
        <v>6043</v>
      </c>
      <c r="D668" s="14" t="s">
        <v>6069</v>
      </c>
      <c r="E668" s="14">
        <v>18</v>
      </c>
      <c r="F668" s="14" t="s">
        <v>6080</v>
      </c>
      <c r="G668" s="14" t="s">
        <v>6081</v>
      </c>
      <c r="H668" s="14"/>
      <c r="I668" s="14" t="s">
        <v>96</v>
      </c>
      <c r="J668" s="11" t="str">
        <f>HYPERLINK("https://www.codechef.com/problems/MONSTER2", "https://www.codechef.com/problems/MONSTER2")</f>
        <v>https://www.codechef.com/problems/MONSTER2</v>
      </c>
      <c r="K668" s="14"/>
      <c r="L668" s="14"/>
      <c r="M668" s="14"/>
      <c r="N668" s="14" t="s">
        <v>50</v>
      </c>
      <c r="O668" s="14" t="s">
        <v>51</v>
      </c>
    </row>
    <row r="669" spans="1:15">
      <c r="A669" s="15" t="s">
        <v>13</v>
      </c>
      <c r="B669" s="15" t="s">
        <v>6042</v>
      </c>
      <c r="C669" s="15" t="s">
        <v>6043</v>
      </c>
      <c r="D669" s="15" t="s">
        <v>6069</v>
      </c>
      <c r="E669" s="15">
        <v>19</v>
      </c>
      <c r="F669" s="15" t="s">
        <v>6082</v>
      </c>
      <c r="G669" s="15" t="s">
        <v>6083</v>
      </c>
      <c r="H669" s="15"/>
      <c r="I669" s="15" t="s">
        <v>96</v>
      </c>
      <c r="J669" s="7" t="str">
        <f>HYPERLINK("https://www.codechef.com/problems/SUB_007", "https://www.codechef.com/problems/SUB_007")</f>
        <v>https://www.codechef.com/problems/SUB_007</v>
      </c>
      <c r="K669" s="15"/>
      <c r="L669" s="15"/>
      <c r="M669" s="15"/>
      <c r="N669" s="15" t="s">
        <v>50</v>
      </c>
      <c r="O669" s="15" t="s">
        <v>51</v>
      </c>
    </row>
    <row r="670" spans="1:15">
      <c r="A670" s="14" t="s">
        <v>13</v>
      </c>
      <c r="B670" s="14" t="s">
        <v>6042</v>
      </c>
      <c r="C670" s="14" t="s">
        <v>6043</v>
      </c>
      <c r="D670" s="14" t="s">
        <v>6069</v>
      </c>
      <c r="E670" s="14">
        <v>20</v>
      </c>
      <c r="F670" s="14" t="s">
        <v>6084</v>
      </c>
      <c r="G670" s="14" t="s">
        <v>6085</v>
      </c>
      <c r="H670" s="14"/>
      <c r="I670" s="14" t="s">
        <v>322</v>
      </c>
      <c r="J670" s="11" t="str">
        <f>HYPERLINK("https://www.codechef.com/problems/RECPERM", "https://www.codechef.com/problems/RECPERM")</f>
        <v>https://www.codechef.com/problems/RECPERM</v>
      </c>
      <c r="K670" s="14"/>
      <c r="L670" s="14"/>
      <c r="M670" s="14"/>
      <c r="N670" s="14" t="s">
        <v>50</v>
      </c>
      <c r="O670" s="14" t="s">
        <v>51</v>
      </c>
    </row>
    <row r="671" spans="1:15">
      <c r="A671" s="15" t="s">
        <v>13</v>
      </c>
      <c r="B671" s="15" t="s">
        <v>6042</v>
      </c>
      <c r="C671" s="15" t="s">
        <v>6043</v>
      </c>
      <c r="D671" s="15" t="s">
        <v>6069</v>
      </c>
      <c r="E671" s="15">
        <v>21</v>
      </c>
      <c r="F671" s="15" t="s">
        <v>6086</v>
      </c>
      <c r="G671" s="15" t="s">
        <v>6087</v>
      </c>
      <c r="H671" s="15"/>
      <c r="I671" s="15" t="s">
        <v>96</v>
      </c>
      <c r="J671" s="7" t="str">
        <f>HYPERLINK("https://www.codechef.com/problems/MNINT", "https://www.codechef.com/problems/MNINT")</f>
        <v>https://www.codechef.com/problems/MNINT</v>
      </c>
      <c r="K671" s="15"/>
      <c r="L671" s="15"/>
      <c r="M671" s="15"/>
      <c r="N671" s="15" t="s">
        <v>50</v>
      </c>
      <c r="O671" s="15" t="s">
        <v>51</v>
      </c>
    </row>
    <row r="672" spans="1:15">
      <c r="A672" s="14" t="s">
        <v>13</v>
      </c>
      <c r="B672" s="14" t="s">
        <v>6042</v>
      </c>
      <c r="C672" s="14" t="s">
        <v>6043</v>
      </c>
      <c r="D672" s="14" t="s">
        <v>6069</v>
      </c>
      <c r="E672" s="14">
        <v>22</v>
      </c>
      <c r="F672" s="14" t="s">
        <v>6088</v>
      </c>
      <c r="G672" s="14" t="s">
        <v>6089</v>
      </c>
      <c r="H672" s="14"/>
      <c r="I672" s="14" t="s">
        <v>96</v>
      </c>
      <c r="J672" s="11" t="str">
        <f>HYPERLINK("https://www.codechef.com/problems/MSB", "https://www.codechef.com/problems/MSB")</f>
        <v>https://www.codechef.com/problems/MSB</v>
      </c>
      <c r="K672" s="14"/>
      <c r="L672" s="14"/>
      <c r="M672" s="14"/>
      <c r="N672" s="14" t="s">
        <v>50</v>
      </c>
      <c r="O672" s="14" t="s">
        <v>51</v>
      </c>
    </row>
    <row r="673" spans="1:15">
      <c r="A673" s="15" t="s">
        <v>13</v>
      </c>
      <c r="B673" s="15" t="s">
        <v>6042</v>
      </c>
      <c r="C673" s="15" t="s">
        <v>6043</v>
      </c>
      <c r="D673" s="15" t="s">
        <v>6069</v>
      </c>
      <c r="E673" s="15">
        <v>23</v>
      </c>
      <c r="F673" s="15" t="s">
        <v>6090</v>
      </c>
      <c r="G673" s="15" t="s">
        <v>6091</v>
      </c>
      <c r="H673" s="15"/>
      <c r="I673" s="15" t="s">
        <v>96</v>
      </c>
      <c r="J673" s="7" t="str">
        <f>HYPERLINK("https://www.codechef.com/problems/MAXPEAK", "https://www.codechef.com/problems/MAXPEAK")</f>
        <v>https://www.codechef.com/problems/MAXPEAK</v>
      </c>
      <c r="K673" s="15"/>
      <c r="L673" s="15"/>
      <c r="M673" s="15"/>
      <c r="N673" s="15" t="s">
        <v>50</v>
      </c>
      <c r="O673" s="15" t="s">
        <v>51</v>
      </c>
    </row>
    <row r="674" spans="1:15">
      <c r="A674" s="14" t="s">
        <v>13</v>
      </c>
      <c r="B674" s="14" t="s">
        <v>6042</v>
      </c>
      <c r="C674" s="14" t="s">
        <v>6043</v>
      </c>
      <c r="D674" s="14" t="s">
        <v>6069</v>
      </c>
      <c r="E674" s="14">
        <v>24</v>
      </c>
      <c r="F674" s="14" t="s">
        <v>6092</v>
      </c>
      <c r="G674" s="14" t="s">
        <v>6093</v>
      </c>
      <c r="H674" s="14"/>
      <c r="I674" s="14" t="s">
        <v>96</v>
      </c>
      <c r="J674" s="11" t="str">
        <f>HYPERLINK("https://www.codechef.com/problems/STWK8TEST", "https://www.codechef.com/problems/STWK8TEST")</f>
        <v>https://www.codechef.com/problems/STWK8TEST</v>
      </c>
      <c r="K674" s="14"/>
      <c r="L674" s="14"/>
      <c r="M674" s="14"/>
      <c r="N674" s="14" t="s">
        <v>50</v>
      </c>
      <c r="O674" s="14" t="s">
        <v>51</v>
      </c>
    </row>
    <row r="675" spans="1:15">
      <c r="A675" s="15" t="s">
        <v>13</v>
      </c>
      <c r="B675" s="15" t="s">
        <v>6042</v>
      </c>
      <c r="C675" s="15" t="s">
        <v>6043</v>
      </c>
      <c r="D675" s="15" t="s">
        <v>6094</v>
      </c>
      <c r="E675" s="15">
        <v>25</v>
      </c>
      <c r="F675" s="15" t="s">
        <v>6095</v>
      </c>
      <c r="G675" s="15" t="s">
        <v>6096</v>
      </c>
      <c r="H675" s="15"/>
      <c r="I675" s="15" t="s">
        <v>96</v>
      </c>
      <c r="J675" s="7" t="str">
        <f>HYPERLINK("https://www.codechef.com/problems/JUMPEND", "https://www.codechef.com/problems/JUMPEND")</f>
        <v>https://www.codechef.com/problems/JUMPEND</v>
      </c>
      <c r="K675" s="15"/>
      <c r="L675" s="15"/>
      <c r="M675" s="15"/>
      <c r="N675" s="15" t="s">
        <v>50</v>
      </c>
      <c r="O675" s="15" t="s">
        <v>51</v>
      </c>
    </row>
    <row r="676" spans="1:15">
      <c r="A676" s="14" t="s">
        <v>13</v>
      </c>
      <c r="B676" s="14" t="s">
        <v>6042</v>
      </c>
      <c r="C676" s="14" t="s">
        <v>6043</v>
      </c>
      <c r="D676" s="14" t="s">
        <v>6094</v>
      </c>
      <c r="E676" s="14">
        <v>26</v>
      </c>
      <c r="F676" s="14" t="s">
        <v>163</v>
      </c>
      <c r="G676" s="14" t="s">
        <v>164</v>
      </c>
      <c r="H676" s="14"/>
      <c r="I676" s="14" t="s">
        <v>96</v>
      </c>
      <c r="J676" s="11" t="str">
        <f>HYPERLINK("https://www.codechef.com/problems/PREP01", "https://www.codechef.com/problems/PREP01")</f>
        <v>https://www.codechef.com/problems/PREP01</v>
      </c>
      <c r="K676" s="14"/>
      <c r="L676" s="14"/>
      <c r="M676" s="14"/>
      <c r="N676" s="14" t="s">
        <v>50</v>
      </c>
      <c r="O676" s="14" t="s">
        <v>51</v>
      </c>
    </row>
    <row r="677" spans="1:15">
      <c r="A677" s="15" t="s">
        <v>13</v>
      </c>
      <c r="B677" s="15" t="s">
        <v>6042</v>
      </c>
      <c r="C677" s="15" t="s">
        <v>6043</v>
      </c>
      <c r="D677" s="15" t="s">
        <v>6094</v>
      </c>
      <c r="E677" s="15">
        <v>27</v>
      </c>
      <c r="F677" s="15" t="s">
        <v>6097</v>
      </c>
      <c r="G677" s="15" t="s">
        <v>6098</v>
      </c>
      <c r="H677" s="15"/>
      <c r="I677" s="15" t="s">
        <v>96</v>
      </c>
      <c r="J677" s="7" t="str">
        <f>HYPERLINK("https://www.codechef.com/problems/MXPART", "https://www.codechef.com/problems/MXPART")</f>
        <v>https://www.codechef.com/problems/MXPART</v>
      </c>
      <c r="K677" s="15"/>
      <c r="L677" s="15"/>
      <c r="M677" s="15"/>
      <c r="N677" s="15" t="s">
        <v>50</v>
      </c>
      <c r="O677" s="15" t="s">
        <v>51</v>
      </c>
    </row>
    <row r="678" spans="1:15">
      <c r="A678" s="14" t="s">
        <v>13</v>
      </c>
      <c r="B678" s="14" t="s">
        <v>6042</v>
      </c>
      <c r="C678" s="14" t="s">
        <v>6043</v>
      </c>
      <c r="D678" s="14" t="s">
        <v>6094</v>
      </c>
      <c r="E678" s="14">
        <v>28</v>
      </c>
      <c r="F678" s="14" t="s">
        <v>6099</v>
      </c>
      <c r="G678" s="14" t="s">
        <v>6100</v>
      </c>
      <c r="H678" s="14"/>
      <c r="I678" s="14" t="s">
        <v>96</v>
      </c>
      <c r="J678" s="11" t="str">
        <f>HYPERLINK("https://www.codechef.com/problems/PREP06", "https://www.codechef.com/problems/PREP06")</f>
        <v>https://www.codechef.com/problems/PREP06</v>
      </c>
      <c r="K678" s="14"/>
      <c r="L678" s="14"/>
      <c r="M678" s="14"/>
      <c r="N678" s="14" t="s">
        <v>50</v>
      </c>
      <c r="O678" s="14" t="s">
        <v>51</v>
      </c>
    </row>
    <row r="679" spans="1:15">
      <c r="A679" s="15" t="s">
        <v>13</v>
      </c>
      <c r="B679" s="15" t="s">
        <v>6042</v>
      </c>
      <c r="C679" s="15" t="s">
        <v>6043</v>
      </c>
      <c r="D679" s="15" t="s">
        <v>6094</v>
      </c>
      <c r="E679" s="15">
        <v>29</v>
      </c>
      <c r="F679" s="15" t="s">
        <v>6101</v>
      </c>
      <c r="G679" s="15" t="s">
        <v>6102</v>
      </c>
      <c r="H679" s="15"/>
      <c r="I679" s="15" t="s">
        <v>96</v>
      </c>
      <c r="J679" s="7" t="str">
        <f>HYPERLINK("https://www.codechef.com/problems/PTRLP", "https://www.codechef.com/problems/PTRLP")</f>
        <v>https://www.codechef.com/problems/PTRLP</v>
      </c>
      <c r="K679" s="15"/>
      <c r="L679" s="15"/>
      <c r="M679" s="15"/>
      <c r="N679" s="15" t="s">
        <v>50</v>
      </c>
      <c r="O679" s="15" t="s">
        <v>51</v>
      </c>
    </row>
    <row r="680" spans="1:15">
      <c r="A680" s="14" t="s">
        <v>13</v>
      </c>
      <c r="B680" s="14" t="s">
        <v>6042</v>
      </c>
      <c r="C680" s="14" t="s">
        <v>6043</v>
      </c>
      <c r="D680" s="14" t="s">
        <v>6094</v>
      </c>
      <c r="E680" s="14">
        <v>30</v>
      </c>
      <c r="F680" s="14" t="s">
        <v>6103</v>
      </c>
      <c r="G680" s="14" t="s">
        <v>6104</v>
      </c>
      <c r="H680" s="14"/>
      <c r="I680" s="14" t="s">
        <v>96</v>
      </c>
      <c r="J680" s="11" t="str">
        <f>HYPERLINK("https://www.codechef.com/problems/MINHOUS", "https://www.codechef.com/problems/MINHOUS")</f>
        <v>https://www.codechef.com/problems/MINHOUS</v>
      </c>
      <c r="K680" s="14"/>
      <c r="L680" s="14"/>
      <c r="M680" s="14"/>
      <c r="N680" s="14" t="s">
        <v>50</v>
      </c>
      <c r="O680" s="14" t="s">
        <v>51</v>
      </c>
    </row>
    <row r="681" spans="1:15">
      <c r="A681" s="15" t="s">
        <v>13</v>
      </c>
      <c r="B681" s="15" t="s">
        <v>6042</v>
      </c>
      <c r="C681" s="15" t="s">
        <v>6043</v>
      </c>
      <c r="D681" s="15" t="s">
        <v>6094</v>
      </c>
      <c r="E681" s="15">
        <v>31</v>
      </c>
      <c r="F681" s="15" t="s">
        <v>6105</v>
      </c>
      <c r="G681" s="15" t="s">
        <v>6106</v>
      </c>
      <c r="H681" s="15"/>
      <c r="I681" s="15" t="s">
        <v>322</v>
      </c>
      <c r="J681" s="7" t="str">
        <f>HYPERLINK("https://www.codechef.com/problems/MAX2POW", "https://www.codechef.com/problems/MAX2POW")</f>
        <v>https://www.codechef.com/problems/MAX2POW</v>
      </c>
      <c r="K681" s="15"/>
      <c r="L681" s="15"/>
      <c r="M681" s="15"/>
      <c r="N681" s="15" t="s">
        <v>50</v>
      </c>
      <c r="O681" s="15" t="s">
        <v>51</v>
      </c>
    </row>
    <row r="682" spans="1:15">
      <c r="A682" s="14" t="s">
        <v>13</v>
      </c>
      <c r="B682" s="14" t="s">
        <v>6042</v>
      </c>
      <c r="C682" s="14" t="s">
        <v>6043</v>
      </c>
      <c r="D682" s="14" t="s">
        <v>6094</v>
      </c>
      <c r="E682" s="14">
        <v>32</v>
      </c>
      <c r="F682" s="14" t="s">
        <v>6107</v>
      </c>
      <c r="G682" s="14" t="s">
        <v>6108</v>
      </c>
      <c r="H682" s="14"/>
      <c r="I682" s="14" t="s">
        <v>49</v>
      </c>
      <c r="J682" s="11" t="str">
        <f>HYPERLINK("https://www.codechef.com/problems/PREP05", "https://www.codechef.com/problems/PREP05")</f>
        <v>https://www.codechef.com/problems/PREP05</v>
      </c>
      <c r="K682" s="14"/>
      <c r="L682" s="14"/>
      <c r="M682" s="14"/>
      <c r="N682" s="14" t="s">
        <v>50</v>
      </c>
      <c r="O682" s="14" t="s">
        <v>51</v>
      </c>
    </row>
    <row r="683" spans="1:15">
      <c r="A683" s="15" t="s">
        <v>13</v>
      </c>
      <c r="B683" s="15" t="s">
        <v>6042</v>
      </c>
      <c r="C683" s="15" t="s">
        <v>6043</v>
      </c>
      <c r="D683" s="15" t="s">
        <v>6094</v>
      </c>
      <c r="E683" s="15">
        <v>33</v>
      </c>
      <c r="F683" s="15" t="s">
        <v>6109</v>
      </c>
      <c r="G683" s="15" t="s">
        <v>6110</v>
      </c>
      <c r="H683" s="15"/>
      <c r="I683" s="15" t="s">
        <v>322</v>
      </c>
      <c r="J683" s="7" t="str">
        <f>HYPERLINK("https://www.codechef.com/problems/LTP", "https://www.codechef.com/problems/LTP")</f>
        <v>https://www.codechef.com/problems/LTP</v>
      </c>
      <c r="K683" s="15"/>
      <c r="L683" s="15"/>
      <c r="M683" s="15"/>
      <c r="N683" s="15" t="s">
        <v>50</v>
      </c>
      <c r="O683" s="15" t="s">
        <v>51</v>
      </c>
    </row>
    <row r="684" spans="1:15">
      <c r="A684" s="14" t="s">
        <v>13</v>
      </c>
      <c r="B684" s="14" t="s">
        <v>6042</v>
      </c>
      <c r="C684" s="14" t="s">
        <v>6043</v>
      </c>
      <c r="D684" s="14" t="s">
        <v>6094</v>
      </c>
      <c r="E684" s="14">
        <v>34</v>
      </c>
      <c r="F684" s="14" t="s">
        <v>6111</v>
      </c>
      <c r="G684" s="14" t="s">
        <v>6112</v>
      </c>
      <c r="H684" s="14"/>
      <c r="I684" s="14" t="s">
        <v>49</v>
      </c>
      <c r="J684" s="11" t="str">
        <f>HYPERLINK("https://www.codechef.com/problems/PREP02", "https://www.codechef.com/problems/PREP02")</f>
        <v>https://www.codechef.com/problems/PREP02</v>
      </c>
      <c r="K684" s="14"/>
      <c r="L684" s="14"/>
      <c r="M684" s="14"/>
      <c r="N684" s="14" t="s">
        <v>50</v>
      </c>
      <c r="O684" s="14" t="s">
        <v>51</v>
      </c>
    </row>
    <row r="685" spans="1:15">
      <c r="A685" s="15" t="s">
        <v>13</v>
      </c>
      <c r="B685" s="15" t="s">
        <v>6042</v>
      </c>
      <c r="C685" s="15" t="s">
        <v>6043</v>
      </c>
      <c r="D685" s="15" t="s">
        <v>6113</v>
      </c>
      <c r="E685" s="15">
        <v>35</v>
      </c>
      <c r="F685" s="15" t="s">
        <v>6114</v>
      </c>
      <c r="G685" s="15" t="s">
        <v>6115</v>
      </c>
      <c r="H685" s="15"/>
      <c r="I685" s="15" t="s">
        <v>49</v>
      </c>
      <c r="J685" s="7" t="str">
        <f>HYPERLINK("https://www.codechef.com/problems/LSTKELE", "https://www.codechef.com/problems/LSTKELE")</f>
        <v>https://www.codechef.com/problems/LSTKELE</v>
      </c>
      <c r="K685" s="15"/>
      <c r="L685" s="15"/>
      <c r="M685" s="15"/>
      <c r="N685" s="15" t="s">
        <v>50</v>
      </c>
      <c r="O685" s="15" t="s">
        <v>51</v>
      </c>
    </row>
    <row r="686" spans="1:15">
      <c r="A686" s="14" t="s">
        <v>13</v>
      </c>
      <c r="B686" s="14" t="s">
        <v>6042</v>
      </c>
      <c r="C686" s="14" t="s">
        <v>6043</v>
      </c>
      <c r="D686" s="14" t="s">
        <v>6113</v>
      </c>
      <c r="E686" s="14">
        <v>36</v>
      </c>
      <c r="F686" s="14" t="s">
        <v>293</v>
      </c>
      <c r="G686" s="14" t="s">
        <v>294</v>
      </c>
      <c r="H686" s="14" t="s">
        <v>295</v>
      </c>
      <c r="I686" s="14" t="s">
        <v>49</v>
      </c>
      <c r="J686" s="11" t="str">
        <f>HYPERLINK("https://www.codechef.com/problems/ARRAYREOR", "https://www.codechef.com/problems/ARRAYREOR")</f>
        <v>https://www.codechef.com/problems/ARRAYREOR</v>
      </c>
      <c r="K686" s="14"/>
      <c r="L686" s="14"/>
      <c r="M686" s="14"/>
      <c r="N686" s="14" t="s">
        <v>50</v>
      </c>
      <c r="O686" s="14" t="s">
        <v>51</v>
      </c>
    </row>
    <row r="687" spans="1:15">
      <c r="A687" s="15" t="s">
        <v>13</v>
      </c>
      <c r="B687" s="15" t="s">
        <v>6042</v>
      </c>
      <c r="C687" s="15" t="s">
        <v>6043</v>
      </c>
      <c r="D687" s="15" t="s">
        <v>6113</v>
      </c>
      <c r="E687" s="15">
        <v>37</v>
      </c>
      <c r="F687" s="15" t="s">
        <v>6116</v>
      </c>
      <c r="G687" s="15" t="s">
        <v>6117</v>
      </c>
      <c r="H687" s="15"/>
      <c r="I687" s="15" t="s">
        <v>96</v>
      </c>
      <c r="J687" s="7" t="str">
        <f>HYPERLINK("https://www.codechef.com/problems/SEATING", "https://www.codechef.com/problems/SEATING")</f>
        <v>https://www.codechef.com/problems/SEATING</v>
      </c>
      <c r="K687" s="15"/>
      <c r="L687" s="15"/>
      <c r="M687" s="15"/>
      <c r="N687" s="15" t="s">
        <v>50</v>
      </c>
      <c r="O687" s="15" t="s">
        <v>51</v>
      </c>
    </row>
    <row r="688" spans="1:15">
      <c r="A688" s="14" t="s">
        <v>13</v>
      </c>
      <c r="B688" s="14" t="s">
        <v>6042</v>
      </c>
      <c r="C688" s="14" t="s">
        <v>6043</v>
      </c>
      <c r="D688" s="14" t="s">
        <v>6113</v>
      </c>
      <c r="E688" s="14">
        <v>38</v>
      </c>
      <c r="F688" s="14" t="s">
        <v>6118</v>
      </c>
      <c r="G688" s="14" t="s">
        <v>6119</v>
      </c>
      <c r="H688" s="14"/>
      <c r="I688" s="14" t="s">
        <v>96</v>
      </c>
      <c r="J688" s="11" t="str">
        <f>HYPERLINK("https://www.codechef.com/problems/TOYDESIRE", "https://www.codechef.com/problems/TOYDESIRE")</f>
        <v>https://www.codechef.com/problems/TOYDESIRE</v>
      </c>
      <c r="K688" s="14"/>
      <c r="L688" s="14"/>
      <c r="M688" s="14"/>
      <c r="N688" s="14" t="s">
        <v>50</v>
      </c>
      <c r="O688" s="14" t="s">
        <v>51</v>
      </c>
    </row>
    <row r="689" spans="1:15">
      <c r="A689" s="15" t="s">
        <v>13</v>
      </c>
      <c r="B689" s="15" t="s">
        <v>6042</v>
      </c>
      <c r="C689" s="15" t="s">
        <v>6043</v>
      </c>
      <c r="D689" s="15" t="s">
        <v>6113</v>
      </c>
      <c r="E689" s="15">
        <v>39</v>
      </c>
      <c r="F689" s="15" t="s">
        <v>6120</v>
      </c>
      <c r="G689" s="15" t="s">
        <v>6121</v>
      </c>
      <c r="H689" s="15"/>
      <c r="I689" s="15" t="s">
        <v>322</v>
      </c>
      <c r="J689" s="7" t="str">
        <f>HYPERLINK("https://www.codechef.com/problems/ALLMAX", "https://www.codechef.com/problems/ALLMAX")</f>
        <v>https://www.codechef.com/problems/ALLMAX</v>
      </c>
      <c r="K689" s="15"/>
      <c r="L689" s="15"/>
      <c r="M689" s="15"/>
      <c r="N689" s="15" t="s">
        <v>50</v>
      </c>
      <c r="O689" s="15" t="s">
        <v>51</v>
      </c>
    </row>
    <row r="690" spans="1:15">
      <c r="A690" s="14" t="s">
        <v>13</v>
      </c>
      <c r="B690" s="14" t="s">
        <v>6042</v>
      </c>
      <c r="C690" s="14" t="s">
        <v>6043</v>
      </c>
      <c r="D690" s="14" t="s">
        <v>6113</v>
      </c>
      <c r="E690" s="14">
        <v>40</v>
      </c>
      <c r="F690" s="14" t="s">
        <v>6122</v>
      </c>
      <c r="G690" s="14" t="s">
        <v>6123</v>
      </c>
      <c r="H690" s="14"/>
      <c r="I690" s="14" t="s">
        <v>96</v>
      </c>
      <c r="J690" s="11" t="str">
        <f>HYPERLINK("https://www.codechef.com/problems/SRT", "https://www.codechef.com/problems/SRT")</f>
        <v>https://www.codechef.com/problems/SRT</v>
      </c>
      <c r="K690" s="14"/>
      <c r="L690" s="14"/>
      <c r="M690" s="14"/>
      <c r="N690" s="14" t="s">
        <v>50</v>
      </c>
      <c r="O690" s="14" t="s">
        <v>51</v>
      </c>
    </row>
    <row r="691" spans="1:15">
      <c r="A691" s="15" t="s">
        <v>13</v>
      </c>
      <c r="B691" s="15" t="s">
        <v>6042</v>
      </c>
      <c r="C691" s="15" t="s">
        <v>6043</v>
      </c>
      <c r="D691" s="15" t="s">
        <v>6113</v>
      </c>
      <c r="E691" s="15">
        <v>41</v>
      </c>
      <c r="F691" s="15" t="s">
        <v>6124</v>
      </c>
      <c r="G691" s="15" t="s">
        <v>6125</v>
      </c>
      <c r="H691" s="15"/>
      <c r="I691" s="15" t="s">
        <v>96</v>
      </c>
      <c r="J691" s="7" t="str">
        <f>HYPERLINK("https://www.codechef.com/problems/REORDERING", "https://www.codechef.com/problems/REORDERING")</f>
        <v>https://www.codechef.com/problems/REORDERING</v>
      </c>
      <c r="K691" s="15"/>
      <c r="L691" s="15"/>
      <c r="M691" s="15"/>
      <c r="N691" s="15" t="s">
        <v>50</v>
      </c>
      <c r="O691" s="15" t="s">
        <v>51</v>
      </c>
    </row>
    <row r="692" spans="1:15">
      <c r="A692" s="14" t="s">
        <v>13</v>
      </c>
      <c r="B692" s="14" t="s">
        <v>6042</v>
      </c>
      <c r="C692" s="14" t="s">
        <v>6043</v>
      </c>
      <c r="D692" s="14" t="s">
        <v>6113</v>
      </c>
      <c r="E692" s="14">
        <v>42</v>
      </c>
      <c r="F692" s="14" t="s">
        <v>6126</v>
      </c>
      <c r="G692" s="14" t="s">
        <v>6127</v>
      </c>
      <c r="H692" s="14"/>
      <c r="I692" s="14" t="s">
        <v>96</v>
      </c>
      <c r="J692" s="11" t="str">
        <f>HYPERLINK("https://www.codechef.com/problems/OPTIMRDR", "https://www.codechef.com/problems/OPTIMRDR")</f>
        <v>https://www.codechef.com/problems/OPTIMRDR</v>
      </c>
      <c r="K692" s="14"/>
      <c r="L692" s="14"/>
      <c r="M692" s="14"/>
      <c r="N692" s="14" t="s">
        <v>50</v>
      </c>
      <c r="O692" s="14" t="s">
        <v>51</v>
      </c>
    </row>
    <row r="693" spans="1:15">
      <c r="A693" s="15" t="s">
        <v>13</v>
      </c>
      <c r="B693" s="15" t="s">
        <v>6042</v>
      </c>
      <c r="C693" s="15" t="s">
        <v>6043</v>
      </c>
      <c r="D693" s="15" t="s">
        <v>6113</v>
      </c>
      <c r="E693" s="15">
        <v>43</v>
      </c>
      <c r="F693" s="15" t="s">
        <v>132</v>
      </c>
      <c r="G693" s="15" t="s">
        <v>133</v>
      </c>
      <c r="H693" s="15"/>
      <c r="I693" s="15" t="s">
        <v>96</v>
      </c>
      <c r="J693" s="7" t="str">
        <f>HYPERLINK("https://www.codechef.com/problems/SMLSUM", "https://www.codechef.com/problems/SMLSUM")</f>
        <v>https://www.codechef.com/problems/SMLSUM</v>
      </c>
      <c r="K693" s="15"/>
      <c r="L693" s="15"/>
      <c r="M693" s="15"/>
      <c r="N693" s="15" t="s">
        <v>50</v>
      </c>
      <c r="O693" s="15" t="s">
        <v>51</v>
      </c>
    </row>
    <row r="694" spans="1:15">
      <c r="A694" s="14" t="s">
        <v>13</v>
      </c>
      <c r="B694" s="14" t="s">
        <v>6042</v>
      </c>
      <c r="C694" s="14" t="s">
        <v>6043</v>
      </c>
      <c r="D694" s="14" t="s">
        <v>6113</v>
      </c>
      <c r="E694" s="14">
        <v>44</v>
      </c>
      <c r="F694" s="14" t="s">
        <v>6128</v>
      </c>
      <c r="G694" s="14" t="s">
        <v>6129</v>
      </c>
      <c r="H694" s="14"/>
      <c r="I694" s="14" t="s">
        <v>96</v>
      </c>
      <c r="J694" s="11" t="str">
        <f>HYPERLINK("https://www.codechef.com/problems/GOODQU", "https://www.codechef.com/problems/GOODQU")</f>
        <v>https://www.codechef.com/problems/GOODQU</v>
      </c>
      <c r="K694" s="14"/>
      <c r="L694" s="14"/>
      <c r="M694" s="14"/>
      <c r="N694" s="14" t="s">
        <v>50</v>
      </c>
      <c r="O694" s="14" t="s">
        <v>51</v>
      </c>
    </row>
    <row r="695" spans="1:15">
      <c r="A695" s="15" t="s">
        <v>13</v>
      </c>
      <c r="B695" s="15" t="s">
        <v>6042</v>
      </c>
      <c r="C695" s="15" t="s">
        <v>6043</v>
      </c>
      <c r="D695" s="15" t="s">
        <v>6113</v>
      </c>
      <c r="E695" s="15">
        <v>45</v>
      </c>
      <c r="F695" s="15" t="s">
        <v>6130</v>
      </c>
      <c r="G695" s="15" t="s">
        <v>6131</v>
      </c>
      <c r="H695" s="15"/>
      <c r="I695" s="15" t="s">
        <v>96</v>
      </c>
      <c r="J695" s="7" t="str">
        <f>HYPERLINK("https://www.codechef.com/problems/KLISTS", "https://www.codechef.com/problems/KLISTS")</f>
        <v>https://www.codechef.com/problems/KLISTS</v>
      </c>
      <c r="K695" s="15"/>
      <c r="L695" s="15"/>
      <c r="M695" s="15"/>
      <c r="N695" s="15" t="s">
        <v>50</v>
      </c>
      <c r="O695" s="15" t="s">
        <v>51</v>
      </c>
    </row>
    <row r="696" spans="1:15">
      <c r="A696" s="14" t="s">
        <v>13</v>
      </c>
      <c r="B696" s="14" t="s">
        <v>6042</v>
      </c>
      <c r="C696" s="14" t="s">
        <v>6043</v>
      </c>
      <c r="D696" s="14" t="s">
        <v>6113</v>
      </c>
      <c r="E696" s="14">
        <v>46</v>
      </c>
      <c r="F696" s="14" t="s">
        <v>6132</v>
      </c>
      <c r="G696" s="14" t="s">
        <v>6133</v>
      </c>
      <c r="H696" s="14"/>
      <c r="I696" s="14" t="s">
        <v>322</v>
      </c>
      <c r="J696" s="11" t="str">
        <f>HYPERLINK("https://www.codechef.com/problems/ABSDIF", "https://www.codechef.com/problems/ABSDIF")</f>
        <v>https://www.codechef.com/problems/ABSDIF</v>
      </c>
      <c r="K696" s="14"/>
      <c r="L696" s="14"/>
      <c r="M696" s="14"/>
      <c r="N696" s="14" t="s">
        <v>50</v>
      </c>
      <c r="O696" s="14" t="s">
        <v>51</v>
      </c>
    </row>
    <row r="697" spans="1:15">
      <c r="A697" s="15" t="s">
        <v>13</v>
      </c>
      <c r="B697" s="15" t="s">
        <v>6042</v>
      </c>
      <c r="C697" s="15" t="s">
        <v>6043</v>
      </c>
      <c r="D697" s="15" t="s">
        <v>6134</v>
      </c>
      <c r="E697" s="15">
        <v>47</v>
      </c>
      <c r="F697" s="15" t="s">
        <v>6135</v>
      </c>
      <c r="G697" s="15" t="s">
        <v>6136</v>
      </c>
      <c r="H697" s="15"/>
      <c r="I697" s="15" t="s">
        <v>96</v>
      </c>
      <c r="J697" s="7" t="str">
        <f>HYPERLINK("https://www.codechef.com/problems/PATSEARCH", "https://www.codechef.com/problems/PATSEARCH")</f>
        <v>https://www.codechef.com/problems/PATSEARCH</v>
      </c>
      <c r="K697" s="15"/>
      <c r="L697" s="15"/>
      <c r="M697" s="15"/>
      <c r="N697" s="15" t="s">
        <v>50</v>
      </c>
      <c r="O697" s="15" t="s">
        <v>51</v>
      </c>
    </row>
    <row r="698" spans="1:15">
      <c r="A698" s="14" t="s">
        <v>13</v>
      </c>
      <c r="B698" s="14" t="s">
        <v>6042</v>
      </c>
      <c r="C698" s="14" t="s">
        <v>6043</v>
      </c>
      <c r="D698" s="14" t="s">
        <v>6134</v>
      </c>
      <c r="E698" s="14">
        <v>48</v>
      </c>
      <c r="F698" s="14" t="s">
        <v>969</v>
      </c>
      <c r="G698" s="14" t="s">
        <v>970</v>
      </c>
      <c r="H698" s="14" t="s">
        <v>104</v>
      </c>
      <c r="I698" s="14" t="s">
        <v>49</v>
      </c>
      <c r="J698" s="11" t="str">
        <f>HYPERLINK("https://www.codechef.com/problems/ADDONE", "https://www.codechef.com/problems/ADDONE")</f>
        <v>https://www.codechef.com/problems/ADDONE</v>
      </c>
      <c r="K698" s="14"/>
      <c r="L698" s="14"/>
      <c r="M698" s="14"/>
      <c r="N698" s="14" t="s">
        <v>50</v>
      </c>
      <c r="O698" s="14" t="s">
        <v>51</v>
      </c>
    </row>
    <row r="699" spans="1:15">
      <c r="A699" s="15" t="s">
        <v>13</v>
      </c>
      <c r="B699" s="15" t="s">
        <v>6042</v>
      </c>
      <c r="C699" s="15" t="s">
        <v>6043</v>
      </c>
      <c r="D699" s="15" t="s">
        <v>6134</v>
      </c>
      <c r="E699" s="15">
        <v>49</v>
      </c>
      <c r="F699" s="15" t="s">
        <v>6137</v>
      </c>
      <c r="G699" s="15" t="s">
        <v>6138</v>
      </c>
      <c r="H699" s="15"/>
      <c r="I699" s="15" t="s">
        <v>49</v>
      </c>
      <c r="J699" s="7" t="str">
        <f>HYPERLINK("https://www.codechef.com/problems/PSWDCHEF", "https://www.codechef.com/problems/PSWDCHEF")</f>
        <v>https://www.codechef.com/problems/PSWDCHEF</v>
      </c>
      <c r="K699" s="15"/>
      <c r="L699" s="15"/>
      <c r="M699" s="15"/>
      <c r="N699" s="15" t="s">
        <v>50</v>
      </c>
      <c r="O699" s="15" t="s">
        <v>51</v>
      </c>
    </row>
    <row r="700" spans="1:15">
      <c r="A700" s="14" t="s">
        <v>13</v>
      </c>
      <c r="B700" s="14" t="s">
        <v>6042</v>
      </c>
      <c r="C700" s="14" t="s">
        <v>6043</v>
      </c>
      <c r="D700" s="14" t="s">
        <v>6134</v>
      </c>
      <c r="E700" s="14">
        <v>50</v>
      </c>
      <c r="F700" s="14" t="s">
        <v>6139</v>
      </c>
      <c r="G700" s="14" t="s">
        <v>6140</v>
      </c>
      <c r="H700" s="14"/>
      <c r="I700" s="14" t="s">
        <v>96</v>
      </c>
      <c r="J700" s="11" t="str">
        <f>HYPERLINK("https://www.codechef.com/problems/PAL_STRING", "https://www.codechef.com/problems/PAL_STRING")</f>
        <v>https://www.codechef.com/problems/PAL_STRING</v>
      </c>
      <c r="K700" s="14"/>
      <c r="L700" s="14"/>
      <c r="M700" s="14"/>
      <c r="N700" s="14" t="s">
        <v>50</v>
      </c>
      <c r="O700" s="14" t="s">
        <v>51</v>
      </c>
    </row>
    <row r="701" spans="1:15">
      <c r="A701" s="15" t="s">
        <v>13</v>
      </c>
      <c r="B701" s="15" t="s">
        <v>6042</v>
      </c>
      <c r="C701" s="15" t="s">
        <v>6043</v>
      </c>
      <c r="D701" s="15" t="s">
        <v>6134</v>
      </c>
      <c r="E701" s="15">
        <v>51</v>
      </c>
      <c r="F701" s="15" t="s">
        <v>6141</v>
      </c>
      <c r="G701" s="15" t="s">
        <v>6142</v>
      </c>
      <c r="H701" s="15"/>
      <c r="I701" s="15" t="s">
        <v>96</v>
      </c>
      <c r="J701" s="7" t="str">
        <f>HYPERLINK("https://www.codechef.com/problems/BALSTR", "https://www.codechef.com/problems/BALSTR")</f>
        <v>https://www.codechef.com/problems/BALSTR</v>
      </c>
      <c r="K701" s="15"/>
      <c r="L701" s="15"/>
      <c r="M701" s="15"/>
      <c r="N701" s="15" t="s">
        <v>50</v>
      </c>
      <c r="O701" s="15" t="s">
        <v>51</v>
      </c>
    </row>
    <row r="702" spans="1:15">
      <c r="A702" s="14" t="s">
        <v>13</v>
      </c>
      <c r="B702" s="14" t="s">
        <v>6042</v>
      </c>
      <c r="C702" s="14" t="s">
        <v>6043</v>
      </c>
      <c r="D702" s="14" t="s">
        <v>6134</v>
      </c>
      <c r="E702" s="14">
        <v>52</v>
      </c>
      <c r="F702" s="14" t="s">
        <v>6143</v>
      </c>
      <c r="G702" s="14" t="s">
        <v>6144</v>
      </c>
      <c r="H702" s="14"/>
      <c r="I702" s="14" t="s">
        <v>96</v>
      </c>
      <c r="J702" s="11" t="str">
        <f>HYPERLINK("https://www.codechef.com/problems/RESTR", "https://www.codechef.com/problems/RESTR")</f>
        <v>https://www.codechef.com/problems/RESTR</v>
      </c>
      <c r="K702" s="14"/>
      <c r="L702" s="14"/>
      <c r="M702" s="14"/>
      <c r="N702" s="14" t="s">
        <v>50</v>
      </c>
      <c r="O702" s="14" t="s">
        <v>51</v>
      </c>
    </row>
    <row r="703" spans="1:15">
      <c r="A703" s="15" t="s">
        <v>13</v>
      </c>
      <c r="B703" s="15" t="s">
        <v>6042</v>
      </c>
      <c r="C703" s="15" t="s">
        <v>6043</v>
      </c>
      <c r="D703" s="15" t="s">
        <v>6134</v>
      </c>
      <c r="E703" s="15">
        <v>53</v>
      </c>
      <c r="F703" s="15" t="s">
        <v>1519</v>
      </c>
      <c r="G703" s="15" t="s">
        <v>1520</v>
      </c>
      <c r="H703" s="15" t="s">
        <v>295</v>
      </c>
      <c r="I703" s="15" t="s">
        <v>49</v>
      </c>
      <c r="J703" s="7" t="str">
        <f>HYPERLINK("https://www.codechef.com/problems/TYPE", "https://www.codechef.com/problems/TYPE")</f>
        <v>https://www.codechef.com/problems/TYPE</v>
      </c>
      <c r="K703" s="15"/>
      <c r="L703" s="15"/>
      <c r="M703" s="15"/>
      <c r="N703" s="15" t="s">
        <v>50</v>
      </c>
      <c r="O703" s="15" t="s">
        <v>51</v>
      </c>
    </row>
    <row r="704" spans="1:15">
      <c r="A704" s="14" t="s">
        <v>13</v>
      </c>
      <c r="B704" s="14" t="s">
        <v>6042</v>
      </c>
      <c r="C704" s="14" t="s">
        <v>6043</v>
      </c>
      <c r="D704" s="14" t="s">
        <v>6134</v>
      </c>
      <c r="E704" s="14">
        <v>54</v>
      </c>
      <c r="F704" s="14" t="s">
        <v>6145</v>
      </c>
      <c r="G704" s="14" t="s">
        <v>6146</v>
      </c>
      <c r="H704" s="14"/>
      <c r="I704" s="14" t="s">
        <v>96</v>
      </c>
      <c r="J704" s="11" t="str">
        <f>HYPERLINK("https://www.codechef.com/problems/MTM", "https://www.codechef.com/problems/MTM")</f>
        <v>https://www.codechef.com/problems/MTM</v>
      </c>
      <c r="K704" s="14"/>
      <c r="L704" s="14"/>
      <c r="M704" s="14"/>
      <c r="N704" s="14" t="s">
        <v>50</v>
      </c>
      <c r="O704" s="14" t="s">
        <v>51</v>
      </c>
    </row>
    <row r="705" spans="1:15">
      <c r="A705" s="15" t="s">
        <v>13</v>
      </c>
      <c r="B705" s="15" t="s">
        <v>6042</v>
      </c>
      <c r="C705" s="15" t="s">
        <v>6043</v>
      </c>
      <c r="D705" s="15" t="s">
        <v>6134</v>
      </c>
      <c r="E705" s="15">
        <v>55</v>
      </c>
      <c r="F705" s="15" t="s">
        <v>6147</v>
      </c>
      <c r="G705" s="15" t="s">
        <v>6148</v>
      </c>
      <c r="H705" s="15"/>
      <c r="I705" s="15" t="s">
        <v>322</v>
      </c>
      <c r="J705" s="7" t="str">
        <f>HYPERLINK("https://www.codechef.com/problems/MKVLD", "https://www.codechef.com/problems/MKVLD")</f>
        <v>https://www.codechef.com/problems/MKVLD</v>
      </c>
      <c r="K705" s="15"/>
      <c r="L705" s="15"/>
      <c r="M705" s="15"/>
      <c r="N705" s="15" t="s">
        <v>50</v>
      </c>
      <c r="O705" s="15" t="s">
        <v>51</v>
      </c>
    </row>
    <row r="706" spans="1:15">
      <c r="A706" s="14" t="s">
        <v>13</v>
      </c>
      <c r="B706" s="14" t="s">
        <v>6042</v>
      </c>
      <c r="C706" s="14" t="s">
        <v>6043</v>
      </c>
      <c r="D706" s="14" t="s">
        <v>6134</v>
      </c>
      <c r="E706" s="14">
        <v>56</v>
      </c>
      <c r="F706" s="14" t="s">
        <v>6149</v>
      </c>
      <c r="G706" s="14" t="s">
        <v>6150</v>
      </c>
      <c r="H706" s="14"/>
      <c r="I706" s="14" t="s">
        <v>96</v>
      </c>
      <c r="J706" s="11" t="str">
        <f>HYPERLINK("https://www.codechef.com/problems/RSA", "https://www.codechef.com/problems/RSA")</f>
        <v>https://www.codechef.com/problems/RSA</v>
      </c>
      <c r="K706" s="14"/>
      <c r="L706" s="14"/>
      <c r="M706" s="14"/>
      <c r="N706" s="14" t="s">
        <v>50</v>
      </c>
      <c r="O706" s="14" t="s">
        <v>51</v>
      </c>
    </row>
    <row r="707" spans="1:15">
      <c r="A707" s="15" t="s">
        <v>13</v>
      </c>
      <c r="B707" s="15" t="s">
        <v>6042</v>
      </c>
      <c r="C707" s="15" t="s">
        <v>6043</v>
      </c>
      <c r="D707" s="15" t="s">
        <v>6134</v>
      </c>
      <c r="E707" s="15">
        <v>57</v>
      </c>
      <c r="F707" s="15" t="s">
        <v>6151</v>
      </c>
      <c r="G707" s="15" t="s">
        <v>6152</v>
      </c>
      <c r="H707" s="15"/>
      <c r="I707" s="15" t="s">
        <v>96</v>
      </c>
      <c r="J707" s="7" t="str">
        <f>HYPERLINK("https://www.codechef.com/problems/JNP", "https://www.codechef.com/problems/JNP")</f>
        <v>https://www.codechef.com/problems/JNP</v>
      </c>
      <c r="K707" s="15"/>
      <c r="L707" s="15"/>
      <c r="M707" s="15"/>
      <c r="N707" s="15" t="s">
        <v>50</v>
      </c>
      <c r="O707" s="15" t="s">
        <v>51</v>
      </c>
    </row>
    <row r="708" spans="1:15">
      <c r="A708" s="14" t="s">
        <v>13</v>
      </c>
      <c r="B708" s="14" t="s">
        <v>6042</v>
      </c>
      <c r="C708" s="14" t="s">
        <v>6043</v>
      </c>
      <c r="D708" s="14" t="s">
        <v>6153</v>
      </c>
      <c r="E708" s="14">
        <v>58</v>
      </c>
      <c r="F708" s="14" t="s">
        <v>338</v>
      </c>
      <c r="G708" s="14" t="s">
        <v>339</v>
      </c>
      <c r="H708" s="14" t="s">
        <v>340</v>
      </c>
      <c r="I708" s="14" t="s">
        <v>96</v>
      </c>
      <c r="J708" s="11" t="str">
        <f>HYPERLINK("https://www.codechef.com/problems/RTLL", "https://www.codechef.com/problems/RTLL")</f>
        <v>https://www.codechef.com/problems/RTLL</v>
      </c>
      <c r="K708" s="14"/>
      <c r="L708" s="14"/>
      <c r="M708" s="14"/>
      <c r="N708" s="14" t="s">
        <v>50</v>
      </c>
      <c r="O708" s="14" t="s">
        <v>51</v>
      </c>
    </row>
    <row r="709" spans="1:15">
      <c r="A709" s="15" t="s">
        <v>13</v>
      </c>
      <c r="B709" s="15" t="s">
        <v>6042</v>
      </c>
      <c r="C709" s="15" t="s">
        <v>6043</v>
      </c>
      <c r="D709" s="15" t="s">
        <v>6153</v>
      </c>
      <c r="E709" s="15">
        <v>59</v>
      </c>
      <c r="F709" s="15" t="s">
        <v>315</v>
      </c>
      <c r="G709" s="15" t="s">
        <v>316</v>
      </c>
      <c r="H709" s="15" t="s">
        <v>180</v>
      </c>
      <c r="I709" s="15" t="s">
        <v>49</v>
      </c>
      <c r="J709" s="7" t="str">
        <f>HYPERLINK("https://www.codechef.com/problems/LLMID", "https://www.codechef.com/problems/LLMID")</f>
        <v>https://www.codechef.com/problems/LLMID</v>
      </c>
      <c r="K709" s="15"/>
      <c r="L709" s="15"/>
      <c r="M709" s="15"/>
      <c r="N709" s="15" t="s">
        <v>50</v>
      </c>
      <c r="O709" s="15" t="s">
        <v>51</v>
      </c>
    </row>
    <row r="710" spans="1:15">
      <c r="A710" s="14" t="s">
        <v>13</v>
      </c>
      <c r="B710" s="14" t="s">
        <v>6042</v>
      </c>
      <c r="C710" s="14" t="s">
        <v>6043</v>
      </c>
      <c r="D710" s="14" t="s">
        <v>6153</v>
      </c>
      <c r="E710" s="14">
        <v>60</v>
      </c>
      <c r="F710" s="14" t="s">
        <v>1280</v>
      </c>
      <c r="G710" s="14" t="s">
        <v>6154</v>
      </c>
      <c r="H710" s="14" t="s">
        <v>312</v>
      </c>
      <c r="I710" s="14" t="s">
        <v>49</v>
      </c>
      <c r="J710" s="11" t="str">
        <f>HYPERLINK("https://www.codechef.com/problems/REMDUP", "https://www.codechef.com/problems/REMDUP")</f>
        <v>https://www.codechef.com/problems/REMDUP</v>
      </c>
      <c r="K710" s="14"/>
      <c r="L710" s="14"/>
      <c r="M710" s="14"/>
      <c r="N710" s="14" t="s">
        <v>50</v>
      </c>
      <c r="O710" s="14" t="s">
        <v>51</v>
      </c>
    </row>
    <row r="711" spans="1:15">
      <c r="A711" s="15" t="s">
        <v>13</v>
      </c>
      <c r="B711" s="15" t="s">
        <v>6042</v>
      </c>
      <c r="C711" s="15" t="s">
        <v>6043</v>
      </c>
      <c r="D711" s="15" t="s">
        <v>6153</v>
      </c>
      <c r="E711" s="15">
        <v>61</v>
      </c>
      <c r="F711" s="15" t="s">
        <v>336</v>
      </c>
      <c r="G711" s="15" t="s">
        <v>337</v>
      </c>
      <c r="H711" s="15" t="s">
        <v>327</v>
      </c>
      <c r="I711" s="15" t="s">
        <v>49</v>
      </c>
      <c r="J711" s="7" t="str">
        <f>HYPERLINK("https://www.codechef.com/problems/ROTLIST", "https://www.codechef.com/problems/ROTLIST")</f>
        <v>https://www.codechef.com/problems/ROTLIST</v>
      </c>
      <c r="K711" s="15"/>
      <c r="L711" s="15"/>
      <c r="M711" s="15"/>
      <c r="N711" s="15" t="s">
        <v>50</v>
      </c>
      <c r="O711" s="15" t="s">
        <v>51</v>
      </c>
    </row>
    <row r="712" spans="1:15">
      <c r="A712" s="14" t="s">
        <v>13</v>
      </c>
      <c r="B712" s="14" t="s">
        <v>6042</v>
      </c>
      <c r="C712" s="14" t="s">
        <v>6043</v>
      </c>
      <c r="D712" s="14" t="s">
        <v>6153</v>
      </c>
      <c r="E712" s="14">
        <v>62</v>
      </c>
      <c r="F712" s="14" t="s">
        <v>6155</v>
      </c>
      <c r="G712" s="14" t="s">
        <v>6156</v>
      </c>
      <c r="H712" s="14" t="s">
        <v>327</v>
      </c>
      <c r="I712" s="14" t="s">
        <v>49</v>
      </c>
      <c r="J712" s="11" t="str">
        <f>HYPERLINK("https://www.codechef.com/problems/NODEAD", "https://www.codechef.com/problems/NODEAD")</f>
        <v>https://www.codechef.com/problems/NODEAD</v>
      </c>
      <c r="K712" s="14"/>
      <c r="L712" s="14"/>
      <c r="M712" s="14"/>
      <c r="N712" s="14" t="s">
        <v>50</v>
      </c>
      <c r="O712" s="14" t="s">
        <v>51</v>
      </c>
    </row>
    <row r="713" spans="1:15">
      <c r="A713" s="15" t="s">
        <v>13</v>
      </c>
      <c r="B713" s="15" t="s">
        <v>6042</v>
      </c>
      <c r="C713" s="15" t="s">
        <v>6043</v>
      </c>
      <c r="D713" s="15" t="s">
        <v>6153</v>
      </c>
      <c r="E713" s="15">
        <v>63</v>
      </c>
      <c r="F713" s="15" t="s">
        <v>332</v>
      </c>
      <c r="G713" s="15" t="s">
        <v>333</v>
      </c>
      <c r="H713" s="15" t="s">
        <v>327</v>
      </c>
      <c r="I713" s="15" t="s">
        <v>49</v>
      </c>
      <c r="J713" s="7" t="str">
        <f>HYPERLINK("https://www.codechef.com/problems/SEGEO", "https://www.codechef.com/problems/SEGEO")</f>
        <v>https://www.codechef.com/problems/SEGEO</v>
      </c>
      <c r="K713" s="15"/>
      <c r="L713" s="15"/>
      <c r="M713" s="15"/>
      <c r="N713" s="15" t="s">
        <v>50</v>
      </c>
      <c r="O713" s="15" t="s">
        <v>51</v>
      </c>
    </row>
    <row r="714" spans="1:15">
      <c r="A714" s="14" t="s">
        <v>13</v>
      </c>
      <c r="B714" s="14" t="s">
        <v>6042</v>
      </c>
      <c r="C714" s="14" t="s">
        <v>6043</v>
      </c>
      <c r="D714" s="14" t="s">
        <v>6153</v>
      </c>
      <c r="E714" s="14">
        <v>64</v>
      </c>
      <c r="F714" s="14" t="s">
        <v>328</v>
      </c>
      <c r="G714" s="14" t="s">
        <v>329</v>
      </c>
      <c r="H714" s="14" t="s">
        <v>327</v>
      </c>
      <c r="I714" s="14" t="s">
        <v>49</v>
      </c>
      <c r="J714" s="11" t="str">
        <f>HYPERLINK("https://www.codechef.com/problems/INSDELDLL", "https://www.codechef.com/problems/INSDELDLL")</f>
        <v>https://www.codechef.com/problems/INSDELDLL</v>
      </c>
      <c r="K714" s="14"/>
      <c r="L714" s="14"/>
      <c r="M714" s="14"/>
      <c r="N714" s="14" t="s">
        <v>50</v>
      </c>
      <c r="O714" s="14" t="s">
        <v>51</v>
      </c>
    </row>
    <row r="715" spans="1:15">
      <c r="A715" s="15" t="s">
        <v>13</v>
      </c>
      <c r="B715" s="15" t="s">
        <v>6042</v>
      </c>
      <c r="C715" s="15" t="s">
        <v>6043</v>
      </c>
      <c r="D715" s="15" t="s">
        <v>6153</v>
      </c>
      <c r="E715" s="15">
        <v>65</v>
      </c>
      <c r="F715" s="15" t="s">
        <v>325</v>
      </c>
      <c r="G715" s="15" t="s">
        <v>326</v>
      </c>
      <c r="H715" s="15" t="s">
        <v>327</v>
      </c>
      <c r="I715" s="15" t="s">
        <v>49</v>
      </c>
      <c r="J715" s="7" t="str">
        <f>HYPERLINK("https://www.codechef.com/problems/LINKLP", "https://www.codechef.com/problems/LINKLP")</f>
        <v>https://www.codechef.com/problems/LINKLP</v>
      </c>
      <c r="K715" s="15"/>
      <c r="L715" s="15"/>
      <c r="M715" s="15"/>
      <c r="N715" s="15" t="s">
        <v>50</v>
      </c>
      <c r="O715" s="15" t="s">
        <v>51</v>
      </c>
    </row>
    <row r="716" spans="1:15">
      <c r="A716" s="14" t="s">
        <v>13</v>
      </c>
      <c r="B716" s="14" t="s">
        <v>6042</v>
      </c>
      <c r="C716" s="14" t="s">
        <v>6043</v>
      </c>
      <c r="D716" s="14" t="s">
        <v>6153</v>
      </c>
      <c r="E716" s="14">
        <v>66</v>
      </c>
      <c r="F716" s="14" t="s">
        <v>341</v>
      </c>
      <c r="G716" s="14" t="s">
        <v>342</v>
      </c>
      <c r="H716" s="14" t="s">
        <v>343</v>
      </c>
      <c r="I716" s="14" t="s">
        <v>96</v>
      </c>
      <c r="J716" s="11" t="str">
        <f>HYPERLINK("https://www.codechef.com/problems/REVSEG", "https://www.codechef.com/problems/REVSEG")</f>
        <v>https://www.codechef.com/problems/REVSEG</v>
      </c>
      <c r="K716" s="14"/>
      <c r="L716" s="14"/>
      <c r="M716" s="14"/>
      <c r="N716" s="14" t="s">
        <v>50</v>
      </c>
      <c r="O716" s="14" t="s">
        <v>51</v>
      </c>
    </row>
    <row r="717" spans="1:15">
      <c r="A717" s="15" t="s">
        <v>13</v>
      </c>
      <c r="B717" s="15" t="s">
        <v>6042</v>
      </c>
      <c r="C717" s="15" t="s">
        <v>6043</v>
      </c>
      <c r="D717" s="15" t="s">
        <v>6153</v>
      </c>
      <c r="E717" s="15">
        <v>67</v>
      </c>
      <c r="F717" s="15" t="s">
        <v>6157</v>
      </c>
      <c r="G717" s="15" t="s">
        <v>6158</v>
      </c>
      <c r="H717" s="15" t="s">
        <v>180</v>
      </c>
      <c r="I717" s="15" t="s">
        <v>49</v>
      </c>
      <c r="J717" s="7" t="str">
        <f>HYPERLINK("https://www.codechef.com/problems/DR", "https://www.codechef.com/problems/DR")</f>
        <v>https://www.codechef.com/problems/DR</v>
      </c>
      <c r="K717" s="15"/>
      <c r="L717" s="15"/>
      <c r="M717" s="15"/>
      <c r="N717" s="15" t="s">
        <v>50</v>
      </c>
      <c r="O717" s="15" t="s">
        <v>51</v>
      </c>
    </row>
    <row r="718" spans="1:15">
      <c r="A718" s="14" t="s">
        <v>13</v>
      </c>
      <c r="B718" s="14" t="s">
        <v>6042</v>
      </c>
      <c r="C718" s="14" t="s">
        <v>6043</v>
      </c>
      <c r="D718" s="14" t="s">
        <v>6153</v>
      </c>
      <c r="E718" s="14">
        <v>68</v>
      </c>
      <c r="F718" s="14" t="s">
        <v>355</v>
      </c>
      <c r="G718" s="14" t="s">
        <v>356</v>
      </c>
      <c r="H718" s="14" t="s">
        <v>348</v>
      </c>
      <c r="I718" s="14" t="s">
        <v>96</v>
      </c>
      <c r="J718" s="11" t="str">
        <f>HYPERLINK("https://www.codechef.com/problems/KGRPREV", "https://www.codechef.com/problems/KGRPREV")</f>
        <v>https://www.codechef.com/problems/KGRPREV</v>
      </c>
      <c r="K718" s="14"/>
      <c r="L718" s="14"/>
      <c r="M718" s="14"/>
      <c r="N718" s="14" t="s">
        <v>50</v>
      </c>
      <c r="O718" s="14" t="s">
        <v>51</v>
      </c>
    </row>
    <row r="719" spans="1:15">
      <c r="A719" s="15" t="s">
        <v>13</v>
      </c>
      <c r="B719" s="15" t="s">
        <v>6042</v>
      </c>
      <c r="C719" s="15" t="s">
        <v>6043</v>
      </c>
      <c r="D719" s="15" t="s">
        <v>6153</v>
      </c>
      <c r="E719" s="15">
        <v>69</v>
      </c>
      <c r="F719" s="15" t="s">
        <v>307</v>
      </c>
      <c r="G719" s="15" t="s">
        <v>308</v>
      </c>
      <c r="H719" s="15" t="s">
        <v>309</v>
      </c>
      <c r="I719" s="15" t="s">
        <v>49</v>
      </c>
      <c r="J719" s="7" t="str">
        <f>HYPERLINK("https://www.codechef.com/problems/CRITLIST", "https://www.codechef.com/problems/CRITLIST")</f>
        <v>https://www.codechef.com/problems/CRITLIST</v>
      </c>
      <c r="K719" s="15"/>
      <c r="L719" s="15"/>
      <c r="M719" s="15"/>
      <c r="N719" s="15" t="s">
        <v>50</v>
      </c>
      <c r="O719" s="15" t="s">
        <v>51</v>
      </c>
    </row>
    <row r="720" spans="1:15">
      <c r="A720" s="14" t="s">
        <v>13</v>
      </c>
      <c r="B720" s="14" t="s">
        <v>6042</v>
      </c>
      <c r="C720" s="14" t="s">
        <v>6043</v>
      </c>
      <c r="D720" s="14" t="s">
        <v>6153</v>
      </c>
      <c r="E720" s="14">
        <v>70</v>
      </c>
      <c r="F720" s="14" t="s">
        <v>359</v>
      </c>
      <c r="G720" s="14" t="s">
        <v>360</v>
      </c>
      <c r="H720" s="14" t="s">
        <v>361</v>
      </c>
      <c r="I720" s="14" t="s">
        <v>96</v>
      </c>
      <c r="J720" s="11" t="str">
        <f>HYPERLINK("https://www.codechef.com/problems/SRTLL", "https://www.codechef.com/problems/SRTLL")</f>
        <v>https://www.codechef.com/problems/SRTLL</v>
      </c>
      <c r="K720" s="14"/>
      <c r="L720" s="14"/>
      <c r="M720" s="14"/>
      <c r="N720" s="14" t="s">
        <v>50</v>
      </c>
      <c r="O720" s="14" t="s">
        <v>51</v>
      </c>
    </row>
    <row r="721" spans="1:15">
      <c r="A721" s="15" t="s">
        <v>13</v>
      </c>
      <c r="B721" s="15" t="s">
        <v>6042</v>
      </c>
      <c r="C721" s="15" t="s">
        <v>6043</v>
      </c>
      <c r="D721" s="15" t="s">
        <v>6153</v>
      </c>
      <c r="E721" s="15">
        <v>71</v>
      </c>
      <c r="F721" s="15" t="s">
        <v>351</v>
      </c>
      <c r="G721" s="15" t="s">
        <v>352</v>
      </c>
      <c r="H721" s="15" t="s">
        <v>348</v>
      </c>
      <c r="I721" s="15" t="s">
        <v>96</v>
      </c>
      <c r="J721" s="7" t="str">
        <f>HYPERLINK("https://www.codechef.com/problems/STRANGELIST", "https://www.codechef.com/problems/STRANGELIST")</f>
        <v>https://www.codechef.com/problems/STRANGELIST</v>
      </c>
      <c r="K721" s="15"/>
      <c r="L721" s="15"/>
      <c r="M721" s="15"/>
      <c r="N721" s="15" t="s">
        <v>50</v>
      </c>
      <c r="O721" s="15" t="s">
        <v>51</v>
      </c>
    </row>
    <row r="722" spans="1:15">
      <c r="A722" s="14" t="s">
        <v>13</v>
      </c>
      <c r="B722" s="14" t="s">
        <v>6042</v>
      </c>
      <c r="C722" s="14" t="s">
        <v>6043</v>
      </c>
      <c r="D722" s="14" t="s">
        <v>6153</v>
      </c>
      <c r="E722" s="14">
        <v>72</v>
      </c>
      <c r="F722" s="14" t="s">
        <v>346</v>
      </c>
      <c r="G722" s="14" t="s">
        <v>347</v>
      </c>
      <c r="H722" s="14" t="s">
        <v>348</v>
      </c>
      <c r="I722" s="14" t="s">
        <v>96</v>
      </c>
      <c r="J722" s="11" t="str">
        <f>HYPERLINK("https://www.codechef.com/problems/NSELL", "https://www.codechef.com/problems/NSELL")</f>
        <v>https://www.codechef.com/problems/NSELL</v>
      </c>
      <c r="K722" s="14"/>
      <c r="L722" s="14"/>
      <c r="M722" s="14"/>
      <c r="N722" s="14" t="s">
        <v>50</v>
      </c>
      <c r="O722" s="14" t="s">
        <v>51</v>
      </c>
    </row>
    <row r="723" spans="1:15">
      <c r="A723" s="15" t="s">
        <v>13</v>
      </c>
      <c r="B723" s="15" t="s">
        <v>6042</v>
      </c>
      <c r="C723" s="15" t="s">
        <v>6043</v>
      </c>
      <c r="D723" s="15" t="s">
        <v>6153</v>
      </c>
      <c r="E723" s="15">
        <v>73</v>
      </c>
      <c r="F723" s="15" t="s">
        <v>6159</v>
      </c>
      <c r="G723" s="15" t="s">
        <v>6160</v>
      </c>
      <c r="H723" s="15"/>
      <c r="I723" s="15" t="s">
        <v>96</v>
      </c>
      <c r="J723" s="7" t="str">
        <f>HYPERLINK("https://www.codechef.com/problems/TRAINLOOP", "https://www.codechef.com/problems/TRAINLOOP")</f>
        <v>https://www.codechef.com/problems/TRAINLOOP</v>
      </c>
      <c r="K723" s="15"/>
      <c r="L723" s="15"/>
      <c r="M723" s="15"/>
      <c r="N723" s="15" t="s">
        <v>50</v>
      </c>
      <c r="O723" s="15" t="s">
        <v>51</v>
      </c>
    </row>
    <row r="724" spans="1:15">
      <c r="A724" s="14" t="s">
        <v>13</v>
      </c>
      <c r="B724" s="14" t="s">
        <v>6042</v>
      </c>
      <c r="C724" s="14" t="s">
        <v>6043</v>
      </c>
      <c r="D724" s="14" t="s">
        <v>6153</v>
      </c>
      <c r="E724" s="14">
        <v>74</v>
      </c>
      <c r="F724" s="14" t="s">
        <v>305</v>
      </c>
      <c r="G724" s="14" t="s">
        <v>306</v>
      </c>
      <c r="H724" s="14" t="s">
        <v>60</v>
      </c>
      <c r="I724" s="14" t="s">
        <v>49</v>
      </c>
      <c r="J724" s="11" t="str">
        <f>HYPERLINK("https://www.codechef.com/problems/PREP55", "https://www.codechef.com/problems/PREP55")</f>
        <v>https://www.codechef.com/problems/PREP55</v>
      </c>
      <c r="K724" s="14"/>
      <c r="L724" s="14"/>
      <c r="M724" s="14"/>
      <c r="N724" s="14" t="s">
        <v>50</v>
      </c>
      <c r="O724" s="14" t="s">
        <v>51</v>
      </c>
    </row>
    <row r="725" spans="1:15">
      <c r="A725" s="15" t="s">
        <v>13</v>
      </c>
      <c r="B725" s="15" t="s">
        <v>6042</v>
      </c>
      <c r="C725" s="15" t="s">
        <v>6043</v>
      </c>
      <c r="D725" s="15" t="s">
        <v>6153</v>
      </c>
      <c r="E725" s="15">
        <v>75</v>
      </c>
      <c r="F725" s="15" t="s">
        <v>310</v>
      </c>
      <c r="G725" s="15" t="s">
        <v>311</v>
      </c>
      <c r="H725" s="15" t="s">
        <v>312</v>
      </c>
      <c r="I725" s="15" t="s">
        <v>49</v>
      </c>
      <c r="J725" s="7" t="str">
        <f>HYPERLINK("https://www.codechef.com/problems/PREP58", "https://www.codechef.com/problems/PREP58")</f>
        <v>https://www.codechef.com/problems/PREP58</v>
      </c>
      <c r="K725" s="15"/>
      <c r="L725" s="15"/>
      <c r="M725" s="15"/>
      <c r="N725" s="15" t="s">
        <v>50</v>
      </c>
      <c r="O725" s="15" t="s">
        <v>51</v>
      </c>
    </row>
    <row r="726" spans="1:15">
      <c r="A726" s="14" t="s">
        <v>13</v>
      </c>
      <c r="B726" s="14" t="s">
        <v>6042</v>
      </c>
      <c r="C726" s="14" t="s">
        <v>6043</v>
      </c>
      <c r="D726" s="14" t="s">
        <v>6153</v>
      </c>
      <c r="E726" s="14">
        <v>76</v>
      </c>
      <c r="F726" s="14" t="s">
        <v>6161</v>
      </c>
      <c r="G726" s="14" t="s">
        <v>6162</v>
      </c>
      <c r="H726" s="14"/>
      <c r="I726" s="14" t="s">
        <v>96</v>
      </c>
      <c r="J726" s="11" t="str">
        <f>HYPERLINK("https://www.codechef.com/problems/PREP56", "https://www.codechef.com/problems/PREP56")</f>
        <v>https://www.codechef.com/problems/PREP56</v>
      </c>
      <c r="K726" s="14"/>
      <c r="L726" s="14"/>
      <c r="M726" s="14"/>
      <c r="N726" s="14" t="s">
        <v>50</v>
      </c>
      <c r="O726" s="14" t="s">
        <v>51</v>
      </c>
    </row>
    <row r="727" spans="1:15">
      <c r="A727" s="15" t="s">
        <v>13</v>
      </c>
      <c r="B727" s="15" t="s">
        <v>6042</v>
      </c>
      <c r="C727" s="15" t="s">
        <v>6043</v>
      </c>
      <c r="D727" s="15" t="s">
        <v>6153</v>
      </c>
      <c r="E727" s="15">
        <v>77</v>
      </c>
      <c r="F727" s="15" t="s">
        <v>6163</v>
      </c>
      <c r="G727" s="15" t="s">
        <v>6164</v>
      </c>
      <c r="H727" s="15"/>
      <c r="I727" s="15" t="s">
        <v>96</v>
      </c>
      <c r="J727" s="7" t="str">
        <f>HYPERLINK("https://www.codechef.com/problems/PREP57", "https://www.codechef.com/problems/PREP57")</f>
        <v>https://www.codechef.com/problems/PREP57</v>
      </c>
      <c r="K727" s="15"/>
      <c r="L727" s="15"/>
      <c r="M727" s="15"/>
      <c r="N727" s="15" t="s">
        <v>50</v>
      </c>
      <c r="O727" s="15" t="s">
        <v>51</v>
      </c>
    </row>
    <row r="728" spans="1:15">
      <c r="A728" s="14" t="s">
        <v>13</v>
      </c>
      <c r="B728" s="14" t="s">
        <v>6042</v>
      </c>
      <c r="C728" s="14" t="s">
        <v>6043</v>
      </c>
      <c r="D728" s="14" t="s">
        <v>6153</v>
      </c>
      <c r="E728" s="14">
        <v>78</v>
      </c>
      <c r="F728" s="14" t="s">
        <v>6165</v>
      </c>
      <c r="G728" s="14" t="s">
        <v>6166</v>
      </c>
      <c r="H728" s="14"/>
      <c r="I728" s="14" t="s">
        <v>96</v>
      </c>
      <c r="J728" s="11" t="str">
        <f>HYPERLINK("https://www.codechef.com/problems/PREP54", "https://www.codechef.com/problems/PREP54")</f>
        <v>https://www.codechef.com/problems/PREP54</v>
      </c>
      <c r="K728" s="14"/>
      <c r="L728" s="14"/>
      <c r="M728" s="14"/>
      <c r="N728" s="14" t="s">
        <v>50</v>
      </c>
      <c r="O728" s="14" t="s">
        <v>51</v>
      </c>
    </row>
    <row r="729" spans="1:15">
      <c r="A729" s="15" t="s">
        <v>13</v>
      </c>
      <c r="B729" s="15" t="s">
        <v>6042</v>
      </c>
      <c r="C729" s="15" t="s">
        <v>6043</v>
      </c>
      <c r="D729" s="15" t="s">
        <v>6167</v>
      </c>
      <c r="E729" s="15">
        <v>79</v>
      </c>
      <c r="F729" s="15" t="s">
        <v>393</v>
      </c>
      <c r="G729" s="15" t="s">
        <v>394</v>
      </c>
      <c r="H729" s="15" t="s">
        <v>340</v>
      </c>
      <c r="I729" s="15" t="s">
        <v>96</v>
      </c>
      <c r="J729" s="7" t="str">
        <f>HYPERLINK("https://www.codechef.com/problems/STKSORT", "https://www.codechef.com/problems/STKSORT")</f>
        <v>https://www.codechef.com/problems/STKSORT</v>
      </c>
      <c r="K729" s="15"/>
      <c r="L729" s="15"/>
      <c r="M729" s="15"/>
      <c r="N729" s="15" t="s">
        <v>50</v>
      </c>
      <c r="O729" s="15" t="s">
        <v>51</v>
      </c>
    </row>
    <row r="730" spans="1:15">
      <c r="A730" s="14" t="s">
        <v>13</v>
      </c>
      <c r="B730" s="14" t="s">
        <v>6042</v>
      </c>
      <c r="C730" s="14" t="s">
        <v>6043</v>
      </c>
      <c r="D730" s="14" t="s">
        <v>6167</v>
      </c>
      <c r="E730" s="14">
        <v>80</v>
      </c>
      <c r="F730" s="14" t="s">
        <v>6168</v>
      </c>
      <c r="G730" s="14" t="s">
        <v>6169</v>
      </c>
      <c r="H730" s="14"/>
      <c r="I730" s="14" t="s">
        <v>96</v>
      </c>
      <c r="J730" s="11" t="str">
        <f>HYPERLINK("https://www.codechef.com/problems/BRFISE", "https://www.codechef.com/problems/BRFISE")</f>
        <v>https://www.codechef.com/problems/BRFISE</v>
      </c>
      <c r="K730" s="14"/>
      <c r="L730" s="14"/>
      <c r="M730" s="14"/>
      <c r="N730" s="14" t="s">
        <v>50</v>
      </c>
      <c r="O730" s="14" t="s">
        <v>51</v>
      </c>
    </row>
    <row r="731" spans="1:15">
      <c r="A731" s="15" t="s">
        <v>13</v>
      </c>
      <c r="B731" s="15" t="s">
        <v>6042</v>
      </c>
      <c r="C731" s="15" t="s">
        <v>6043</v>
      </c>
      <c r="D731" s="15" t="s">
        <v>6167</v>
      </c>
      <c r="E731" s="15">
        <v>81</v>
      </c>
      <c r="F731" s="15" t="s">
        <v>424</v>
      </c>
      <c r="G731" s="15" t="s">
        <v>425</v>
      </c>
      <c r="H731" s="15" t="s">
        <v>413</v>
      </c>
      <c r="I731" s="15" t="s">
        <v>96</v>
      </c>
      <c r="J731" s="7" t="str">
        <f>HYPERLINK("https://www.codechef.com/problems/MXWATR", "https://www.codechef.com/problems/MXWATR")</f>
        <v>https://www.codechef.com/problems/MXWATR</v>
      </c>
      <c r="K731" s="15"/>
      <c r="L731" s="15"/>
      <c r="M731" s="15"/>
      <c r="N731" s="15" t="s">
        <v>50</v>
      </c>
      <c r="O731" s="15" t="s">
        <v>51</v>
      </c>
    </row>
    <row r="732" spans="1:15">
      <c r="A732" s="14" t="s">
        <v>13</v>
      </c>
      <c r="B732" s="14" t="s">
        <v>6042</v>
      </c>
      <c r="C732" s="14" t="s">
        <v>6043</v>
      </c>
      <c r="D732" s="14" t="s">
        <v>6167</v>
      </c>
      <c r="E732" s="14">
        <v>82</v>
      </c>
      <c r="F732" s="14" t="s">
        <v>426</v>
      </c>
      <c r="G732" s="14" t="s">
        <v>427</v>
      </c>
      <c r="H732" s="14" t="s">
        <v>361</v>
      </c>
      <c r="I732" s="14" t="s">
        <v>96</v>
      </c>
      <c r="J732" s="11" t="str">
        <f>HYPERLINK("https://www.codechef.com/problems/MAXREC", "https://www.codechef.com/problems/MAXREC")</f>
        <v>https://www.codechef.com/problems/MAXREC</v>
      </c>
      <c r="K732" s="14"/>
      <c r="L732" s="14"/>
      <c r="M732" s="14"/>
      <c r="N732" s="14" t="s">
        <v>50</v>
      </c>
      <c r="O732" s="14" t="s">
        <v>51</v>
      </c>
    </row>
    <row r="733" spans="1:15">
      <c r="A733" s="15" t="s">
        <v>13</v>
      </c>
      <c r="B733" s="15" t="s">
        <v>6042</v>
      </c>
      <c r="C733" s="15" t="s">
        <v>6043</v>
      </c>
      <c r="D733" s="15" t="s">
        <v>6167</v>
      </c>
      <c r="E733" s="15">
        <v>83</v>
      </c>
      <c r="F733" s="15" t="s">
        <v>6170</v>
      </c>
      <c r="G733" s="15" t="s">
        <v>6171</v>
      </c>
      <c r="H733" s="15"/>
      <c r="I733" s="15" t="s">
        <v>322</v>
      </c>
      <c r="J733" s="7" t="str">
        <f>HYPERLINK("https://www.codechef.com/problems/BRACQUER", "https://www.codechef.com/problems/BRACQUER")</f>
        <v>https://www.codechef.com/problems/BRACQUER</v>
      </c>
      <c r="K733" s="15"/>
      <c r="L733" s="15"/>
      <c r="M733" s="15"/>
      <c r="N733" s="15" t="s">
        <v>50</v>
      </c>
      <c r="O733" s="15" t="s">
        <v>51</v>
      </c>
    </row>
    <row r="734" spans="1:15">
      <c r="A734" s="14" t="s">
        <v>13</v>
      </c>
      <c r="B734" s="14" t="s">
        <v>6042</v>
      </c>
      <c r="C734" s="14" t="s">
        <v>6043</v>
      </c>
      <c r="D734" s="14" t="s">
        <v>6167</v>
      </c>
      <c r="E734" s="14">
        <v>84</v>
      </c>
      <c r="F734" s="14" t="s">
        <v>6172</v>
      </c>
      <c r="G734" s="14" t="s">
        <v>6173</v>
      </c>
      <c r="H734" s="14"/>
      <c r="I734" s="14" t="s">
        <v>322</v>
      </c>
      <c r="J734" s="11" t="str">
        <f>HYPERLINK("https://www.codechef.com/problems/SUBASUM", "https://www.codechef.com/problems/SUBASUM")</f>
        <v>https://www.codechef.com/problems/SUBASUM</v>
      </c>
      <c r="K734" s="14"/>
      <c r="L734" s="14"/>
      <c r="M734" s="14"/>
      <c r="N734" s="14" t="s">
        <v>50</v>
      </c>
      <c r="O734" s="14" t="s">
        <v>51</v>
      </c>
    </row>
    <row r="735" spans="1:15">
      <c r="A735" s="15" t="s">
        <v>13</v>
      </c>
      <c r="B735" s="15" t="s">
        <v>6042</v>
      </c>
      <c r="C735" s="15" t="s">
        <v>6043</v>
      </c>
      <c r="D735" s="15" t="s">
        <v>6167</v>
      </c>
      <c r="E735" s="15">
        <v>85</v>
      </c>
      <c r="F735" s="15" t="s">
        <v>6174</v>
      </c>
      <c r="G735" s="15" t="s">
        <v>6175</v>
      </c>
      <c r="H735" s="15"/>
      <c r="I735" s="15" t="s">
        <v>322</v>
      </c>
      <c r="J735" s="7" t="str">
        <f>HYPERLINK("https://www.codechef.com/problems/MXMIN", "https://www.codechef.com/problems/MXMIN")</f>
        <v>https://www.codechef.com/problems/MXMIN</v>
      </c>
      <c r="K735" s="15"/>
      <c r="L735" s="15"/>
      <c r="M735" s="15"/>
      <c r="N735" s="15" t="s">
        <v>50</v>
      </c>
      <c r="O735" s="15" t="s">
        <v>51</v>
      </c>
    </row>
    <row r="736" spans="1:15">
      <c r="A736" s="14" t="s">
        <v>13</v>
      </c>
      <c r="B736" s="14" t="s">
        <v>6042</v>
      </c>
      <c r="C736" s="14" t="s">
        <v>6043</v>
      </c>
      <c r="D736" s="14" t="s">
        <v>6167</v>
      </c>
      <c r="E736" s="14">
        <v>86</v>
      </c>
      <c r="F736" s="14" t="s">
        <v>391</v>
      </c>
      <c r="G736" s="14" t="s">
        <v>392</v>
      </c>
      <c r="H736" s="14" t="s">
        <v>180</v>
      </c>
      <c r="I736" s="14" t="s">
        <v>49</v>
      </c>
      <c r="J736" s="11" t="str">
        <f>HYPERLINK("https://www.codechef.com/problems/PREP21", "https://www.codechef.com/problems/PREP21")</f>
        <v>https://www.codechef.com/problems/PREP21</v>
      </c>
      <c r="K736" s="14"/>
      <c r="L736" s="14"/>
      <c r="M736" s="14"/>
      <c r="N736" s="14" t="s">
        <v>50</v>
      </c>
      <c r="O736" s="14" t="s">
        <v>51</v>
      </c>
    </row>
    <row r="737" spans="1:15">
      <c r="A737" s="15" t="s">
        <v>13</v>
      </c>
      <c r="B737" s="15" t="s">
        <v>6042</v>
      </c>
      <c r="C737" s="15" t="s">
        <v>6043</v>
      </c>
      <c r="D737" s="15" t="s">
        <v>6167</v>
      </c>
      <c r="E737" s="15">
        <v>87</v>
      </c>
      <c r="F737" s="15" t="s">
        <v>411</v>
      </c>
      <c r="G737" s="15" t="s">
        <v>412</v>
      </c>
      <c r="H737" s="15" t="s">
        <v>413</v>
      </c>
      <c r="I737" s="15" t="s">
        <v>96</v>
      </c>
      <c r="J737" s="7" t="str">
        <f>HYPERLINK("https://www.codechef.com/problems/PREP22", "https://www.codechef.com/problems/PREP22")</f>
        <v>https://www.codechef.com/problems/PREP22</v>
      </c>
      <c r="K737" s="15"/>
      <c r="L737" s="15" t="s">
        <v>414</v>
      </c>
      <c r="M737" s="15"/>
      <c r="N737" s="15" t="s">
        <v>50</v>
      </c>
      <c r="O737" s="15" t="s">
        <v>51</v>
      </c>
    </row>
    <row r="738" spans="1:15">
      <c r="A738" s="14" t="s">
        <v>13</v>
      </c>
      <c r="B738" s="14" t="s">
        <v>6042</v>
      </c>
      <c r="C738" s="14" t="s">
        <v>6043</v>
      </c>
      <c r="D738" s="14" t="s">
        <v>6167</v>
      </c>
      <c r="E738" s="14">
        <v>88</v>
      </c>
      <c r="F738" s="14" t="s">
        <v>407</v>
      </c>
      <c r="G738" s="14" t="s">
        <v>408</v>
      </c>
      <c r="H738" s="14" t="s">
        <v>348</v>
      </c>
      <c r="I738" s="14" t="s">
        <v>96</v>
      </c>
      <c r="J738" s="11" t="str">
        <f>HYPERLINK("https://www.codechef.com/problems/PREP23", "https://www.codechef.com/problems/PREP23")</f>
        <v>https://www.codechef.com/problems/PREP23</v>
      </c>
      <c r="K738" s="14"/>
      <c r="L738" s="14"/>
      <c r="M738" s="14"/>
      <c r="N738" s="14" t="s">
        <v>50</v>
      </c>
      <c r="O738" s="14" t="s">
        <v>51</v>
      </c>
    </row>
    <row r="739" spans="1:15">
      <c r="A739" s="15" t="s">
        <v>13</v>
      </c>
      <c r="B739" s="15" t="s">
        <v>6042</v>
      </c>
      <c r="C739" s="15" t="s">
        <v>6043</v>
      </c>
      <c r="D739" s="15" t="s">
        <v>6167</v>
      </c>
      <c r="E739" s="15">
        <v>89</v>
      </c>
      <c r="F739" s="15" t="s">
        <v>376</v>
      </c>
      <c r="G739" s="15" t="s">
        <v>377</v>
      </c>
      <c r="H739" s="15" t="s">
        <v>312</v>
      </c>
      <c r="I739" s="15" t="s">
        <v>49</v>
      </c>
      <c r="J739" s="7" t="str">
        <f>HYPERLINK("https://www.codechef.com/problems/PREP59", "https://www.codechef.com/problems/PREP59")</f>
        <v>https://www.codechef.com/problems/PREP59</v>
      </c>
      <c r="K739" s="15"/>
      <c r="L739" s="15"/>
      <c r="M739" s="15"/>
      <c r="N739" s="15" t="s">
        <v>50</v>
      </c>
      <c r="O739" s="15" t="s">
        <v>51</v>
      </c>
    </row>
    <row r="740" spans="1:15">
      <c r="A740" s="14" t="s">
        <v>13</v>
      </c>
      <c r="B740" s="14" t="s">
        <v>6042</v>
      </c>
      <c r="C740" s="14" t="s">
        <v>6043</v>
      </c>
      <c r="D740" s="14" t="s">
        <v>6167</v>
      </c>
      <c r="E740" s="14">
        <v>90</v>
      </c>
      <c r="F740" s="14" t="s">
        <v>396</v>
      </c>
      <c r="G740" s="14" t="s">
        <v>397</v>
      </c>
      <c r="H740" s="14" t="s">
        <v>180</v>
      </c>
      <c r="I740" s="14" t="s">
        <v>49</v>
      </c>
      <c r="J740" s="11" t="str">
        <f>HYPERLINK("https://www.codechef.com/problems/PREP60", "https://www.codechef.com/problems/PREP60")</f>
        <v>https://www.codechef.com/problems/PREP60</v>
      </c>
      <c r="K740" s="14"/>
      <c r="L740" s="14"/>
      <c r="M740" s="14"/>
      <c r="N740" s="14" t="s">
        <v>50</v>
      </c>
      <c r="O740" s="14" t="s">
        <v>51</v>
      </c>
    </row>
    <row r="741" spans="1:15">
      <c r="A741" s="15" t="s">
        <v>13</v>
      </c>
      <c r="B741" s="15" t="s">
        <v>6042</v>
      </c>
      <c r="C741" s="15" t="s">
        <v>6043</v>
      </c>
      <c r="D741" s="15" t="s">
        <v>6176</v>
      </c>
      <c r="E741" s="15">
        <v>91</v>
      </c>
      <c r="F741" s="15" t="s">
        <v>378</v>
      </c>
      <c r="G741" s="15" t="s">
        <v>379</v>
      </c>
      <c r="H741" s="15" t="s">
        <v>380</v>
      </c>
      <c r="I741" s="15" t="s">
        <v>49</v>
      </c>
      <c r="J741" s="7" t="str">
        <f>HYPERLINK("https://www.codechef.com/problems/NEC", "https://www.codechef.com/problems/NEC")</f>
        <v>https://www.codechef.com/problems/NEC</v>
      </c>
      <c r="K741" s="15"/>
      <c r="L741" s="15"/>
      <c r="M741" s="15"/>
      <c r="N741" s="15" t="s">
        <v>50</v>
      </c>
      <c r="O741" s="15" t="s">
        <v>51</v>
      </c>
    </row>
    <row r="742" spans="1:15">
      <c r="A742" s="14" t="s">
        <v>13</v>
      </c>
      <c r="B742" s="14" t="s">
        <v>6042</v>
      </c>
      <c r="C742" s="14" t="s">
        <v>6043</v>
      </c>
      <c r="D742" s="14" t="s">
        <v>6176</v>
      </c>
      <c r="E742" s="14">
        <v>92</v>
      </c>
      <c r="F742" s="14" t="s">
        <v>6177</v>
      </c>
      <c r="G742" s="14" t="s">
        <v>6178</v>
      </c>
      <c r="H742" s="14"/>
      <c r="I742" s="14" t="s">
        <v>96</v>
      </c>
      <c r="J742" s="11" t="str">
        <f>HYPERLINK("https://www.codechef.com/problems/EVNMX", "https://www.codechef.com/problems/EVNMX")</f>
        <v>https://www.codechef.com/problems/EVNMX</v>
      </c>
      <c r="K742" s="14"/>
      <c r="L742" s="14"/>
      <c r="M742" s="14"/>
      <c r="N742" s="14" t="s">
        <v>50</v>
      </c>
      <c r="O742" s="14" t="s">
        <v>51</v>
      </c>
    </row>
    <row r="743" spans="1:15">
      <c r="A743" s="15" t="s">
        <v>13</v>
      </c>
      <c r="B743" s="15" t="s">
        <v>6042</v>
      </c>
      <c r="C743" s="15" t="s">
        <v>6043</v>
      </c>
      <c r="D743" s="15" t="s">
        <v>6176</v>
      </c>
      <c r="E743" s="15">
        <v>93</v>
      </c>
      <c r="F743" s="15" t="s">
        <v>381</v>
      </c>
      <c r="G743" s="15" t="s">
        <v>382</v>
      </c>
      <c r="H743" s="15" t="s">
        <v>180</v>
      </c>
      <c r="I743" s="15" t="s">
        <v>49</v>
      </c>
      <c r="J743" s="7" t="str">
        <f>HYPERLINK("https://www.codechef.com/problems/STONE_PILE", "https://www.codechef.com/problems/STONE_PILE")</f>
        <v>https://www.codechef.com/problems/STONE_PILE</v>
      </c>
      <c r="K743" s="15"/>
      <c r="L743" s="15"/>
      <c r="M743" s="15"/>
      <c r="N743" s="15" t="s">
        <v>50</v>
      </c>
      <c r="O743" s="15" t="s">
        <v>51</v>
      </c>
    </row>
    <row r="744" spans="1:15">
      <c r="A744" s="14" t="s">
        <v>13</v>
      </c>
      <c r="B744" s="14" t="s">
        <v>6042</v>
      </c>
      <c r="C744" s="14" t="s">
        <v>6043</v>
      </c>
      <c r="D744" s="14" t="s">
        <v>6176</v>
      </c>
      <c r="E744" s="14">
        <v>94</v>
      </c>
      <c r="F744" s="14" t="s">
        <v>6179</v>
      </c>
      <c r="G744" s="14" t="s">
        <v>6180</v>
      </c>
      <c r="H744" s="14" t="s">
        <v>340</v>
      </c>
      <c r="I744" s="14" t="s">
        <v>96</v>
      </c>
      <c r="J744" s="11" t="str">
        <f>HYPERLINK("https://www.codechef.com/problems/ARRBUF", "https://www.codechef.com/problems/ARRBUF")</f>
        <v>https://www.codechef.com/problems/ARRBUF</v>
      </c>
      <c r="K744" s="14"/>
      <c r="L744" s="14"/>
      <c r="M744" s="14"/>
      <c r="N744" s="14" t="s">
        <v>50</v>
      </c>
      <c r="O744" s="14" t="s">
        <v>51</v>
      </c>
    </row>
    <row r="745" spans="1:15">
      <c r="A745" s="15" t="s">
        <v>13</v>
      </c>
      <c r="B745" s="15" t="s">
        <v>6042</v>
      </c>
      <c r="C745" s="15" t="s">
        <v>6043</v>
      </c>
      <c r="D745" s="15" t="s">
        <v>6176</v>
      </c>
      <c r="E745" s="15">
        <v>95</v>
      </c>
      <c r="F745" s="15" t="s">
        <v>6181</v>
      </c>
      <c r="G745" s="15" t="s">
        <v>6182</v>
      </c>
      <c r="H745" s="15"/>
      <c r="I745" s="15" t="s">
        <v>96</v>
      </c>
      <c r="J745" s="7" t="str">
        <f>HYPERLINK("https://www.codechef.com/problems/CHNGCOL", "https://www.codechef.com/problems/CHNGCOL")</f>
        <v>https://www.codechef.com/problems/CHNGCOL</v>
      </c>
      <c r="K745" s="15"/>
      <c r="L745" s="15"/>
      <c r="M745" s="15"/>
      <c r="N745" s="15" t="s">
        <v>50</v>
      </c>
      <c r="O745" s="15" t="s">
        <v>51</v>
      </c>
    </row>
    <row r="746" spans="1:15">
      <c r="A746" s="14" t="s">
        <v>13</v>
      </c>
      <c r="B746" s="14" t="s">
        <v>6042</v>
      </c>
      <c r="C746" s="14" t="s">
        <v>6043</v>
      </c>
      <c r="D746" s="14" t="s">
        <v>6176</v>
      </c>
      <c r="E746" s="14">
        <v>96</v>
      </c>
      <c r="F746" s="14" t="s">
        <v>547</v>
      </c>
      <c r="G746" s="14" t="s">
        <v>548</v>
      </c>
      <c r="H746" s="14" t="s">
        <v>413</v>
      </c>
      <c r="I746" s="14" t="s">
        <v>96</v>
      </c>
      <c r="J746" s="11" t="str">
        <f>HYPERLINK("https://www.codechef.com/problems/INC_HEIGHTS", "https://www.codechef.com/problems/INC_HEIGHTS")</f>
        <v>https://www.codechef.com/problems/INC_HEIGHTS</v>
      </c>
      <c r="K746" s="14"/>
      <c r="L746" s="14"/>
      <c r="M746" s="14"/>
      <c r="N746" s="14" t="s">
        <v>50</v>
      </c>
      <c r="O746" s="14" t="s">
        <v>51</v>
      </c>
    </row>
    <row r="747" spans="1:15">
      <c r="A747" s="15" t="s">
        <v>13</v>
      </c>
      <c r="B747" s="15" t="s">
        <v>6042</v>
      </c>
      <c r="C747" s="15" t="s">
        <v>6043</v>
      </c>
      <c r="D747" s="15" t="s">
        <v>6176</v>
      </c>
      <c r="E747" s="15">
        <v>97</v>
      </c>
      <c r="F747" s="15" t="s">
        <v>6183</v>
      </c>
      <c r="G747" s="15" t="s">
        <v>6184</v>
      </c>
      <c r="H747" s="15"/>
      <c r="I747" s="15" t="s">
        <v>322</v>
      </c>
      <c r="J747" s="7" t="str">
        <f>HYPERLINK("https://www.codechef.com/problems/MINDIG", "https://www.codechef.com/problems/MINDIG")</f>
        <v>https://www.codechef.com/problems/MINDIG</v>
      </c>
      <c r="K747" s="15"/>
      <c r="L747" s="15"/>
      <c r="M747" s="15"/>
      <c r="N747" s="15" t="s">
        <v>50</v>
      </c>
      <c r="O747" s="15" t="s">
        <v>51</v>
      </c>
    </row>
    <row r="748" spans="1:15">
      <c r="A748" s="14" t="s">
        <v>13</v>
      </c>
      <c r="B748" s="14" t="s">
        <v>6042</v>
      </c>
      <c r="C748" s="14" t="s">
        <v>6043</v>
      </c>
      <c r="D748" s="14" t="s">
        <v>6176</v>
      </c>
      <c r="E748" s="14">
        <v>98</v>
      </c>
      <c r="F748" s="14" t="s">
        <v>529</v>
      </c>
      <c r="G748" s="14" t="s">
        <v>530</v>
      </c>
      <c r="H748" s="14" t="s">
        <v>343</v>
      </c>
      <c r="I748" s="14" t="s">
        <v>96</v>
      </c>
      <c r="J748" s="11" t="str">
        <f>HYPERLINK("https://www.codechef.com/problems/AIRTRAV", "https://www.codechef.com/problems/AIRTRAV")</f>
        <v>https://www.codechef.com/problems/AIRTRAV</v>
      </c>
      <c r="K748" s="14"/>
      <c r="L748" s="14"/>
      <c r="M748" s="14"/>
      <c r="N748" s="14" t="s">
        <v>50</v>
      </c>
      <c r="O748" s="14" t="s">
        <v>51</v>
      </c>
    </row>
    <row r="749" spans="1:15">
      <c r="A749" s="15" t="s">
        <v>13</v>
      </c>
      <c r="B749" s="15" t="s">
        <v>6042</v>
      </c>
      <c r="C749" s="15" t="s">
        <v>6043</v>
      </c>
      <c r="D749" s="15" t="s">
        <v>6185</v>
      </c>
      <c r="E749" s="15">
        <v>99</v>
      </c>
      <c r="F749" s="15" t="s">
        <v>579</v>
      </c>
      <c r="G749" s="15" t="s">
        <v>580</v>
      </c>
      <c r="H749" s="15"/>
      <c r="I749" s="15" t="s">
        <v>96</v>
      </c>
      <c r="J749" s="7" t="str">
        <f>HYPERLINK("https://www.codechef.com/problems/DIVNUMB", "https://www.codechef.com/problems/DIVNUMB")</f>
        <v>https://www.codechef.com/problems/DIVNUMB</v>
      </c>
      <c r="K749" s="15"/>
      <c r="L749" s="15"/>
      <c r="M749" s="15"/>
      <c r="N749" s="15" t="s">
        <v>50</v>
      </c>
      <c r="O749" s="15" t="s">
        <v>51</v>
      </c>
    </row>
    <row r="750" spans="1:15">
      <c r="A750" s="14" t="s">
        <v>13</v>
      </c>
      <c r="B750" s="14" t="s">
        <v>6042</v>
      </c>
      <c r="C750" s="14" t="s">
        <v>6043</v>
      </c>
      <c r="D750" s="14" t="s">
        <v>6185</v>
      </c>
      <c r="E750" s="14">
        <v>100</v>
      </c>
      <c r="F750" s="14" t="s">
        <v>6186</v>
      </c>
      <c r="G750" s="14" t="s">
        <v>6187</v>
      </c>
      <c r="H750" s="14"/>
      <c r="I750" s="14" t="s">
        <v>49</v>
      </c>
      <c r="J750" s="11" t="str">
        <f>HYPERLINK("https://www.codechef.com/problems/ARRINT", "https://www.codechef.com/problems/ARRINT")</f>
        <v>https://www.codechef.com/problems/ARRINT</v>
      </c>
      <c r="K750" s="14"/>
      <c r="L750" s="14"/>
      <c r="M750" s="14"/>
      <c r="N750" s="14" t="s">
        <v>50</v>
      </c>
      <c r="O750" s="14" t="s">
        <v>51</v>
      </c>
    </row>
    <row r="751" spans="1:15">
      <c r="A751" s="15" t="s">
        <v>13</v>
      </c>
      <c r="B751" s="15" t="s">
        <v>6042</v>
      </c>
      <c r="C751" s="15" t="s">
        <v>6043</v>
      </c>
      <c r="D751" s="15" t="s">
        <v>6185</v>
      </c>
      <c r="E751" s="15">
        <v>101</v>
      </c>
      <c r="F751" s="15" t="s">
        <v>6188</v>
      </c>
      <c r="G751" s="15" t="s">
        <v>6189</v>
      </c>
      <c r="H751" s="15"/>
      <c r="I751" s="15" t="s">
        <v>96</v>
      </c>
      <c r="J751" s="7" t="str">
        <f>HYPERLINK("https://www.codechef.com/problems/PRTSCH", "https://www.codechef.com/problems/PRTSCH")</f>
        <v>https://www.codechef.com/problems/PRTSCH</v>
      </c>
      <c r="K751" s="15"/>
      <c r="L751" s="15"/>
      <c r="M751" s="15"/>
      <c r="N751" s="15" t="s">
        <v>50</v>
      </c>
      <c r="O751" s="15" t="s">
        <v>51</v>
      </c>
    </row>
    <row r="752" spans="1:15">
      <c r="A752" s="14" t="s">
        <v>13</v>
      </c>
      <c r="B752" s="14" t="s">
        <v>6042</v>
      </c>
      <c r="C752" s="14" t="s">
        <v>6043</v>
      </c>
      <c r="D752" s="14" t="s">
        <v>6185</v>
      </c>
      <c r="E752" s="14">
        <v>102</v>
      </c>
      <c r="F752" s="14" t="s">
        <v>6190</v>
      </c>
      <c r="G752" s="14" t="s">
        <v>6191</v>
      </c>
      <c r="H752" s="14"/>
      <c r="I752" s="14" t="s">
        <v>96</v>
      </c>
      <c r="J752" s="11" t="str">
        <f>HYPERLINK("https://www.codechef.com/problems/IIT", "https://www.codechef.com/problems/IIT")</f>
        <v>https://www.codechef.com/problems/IIT</v>
      </c>
      <c r="K752" s="14"/>
      <c r="L752" s="14"/>
      <c r="M752" s="14"/>
      <c r="N752" s="14" t="s">
        <v>50</v>
      </c>
      <c r="O752" s="14" t="s">
        <v>51</v>
      </c>
    </row>
    <row r="753" spans="1:15">
      <c r="A753" s="15" t="s">
        <v>13</v>
      </c>
      <c r="B753" s="15" t="s">
        <v>6042</v>
      </c>
      <c r="C753" s="15" t="s">
        <v>6043</v>
      </c>
      <c r="D753" s="15" t="s">
        <v>6185</v>
      </c>
      <c r="E753" s="15">
        <v>103</v>
      </c>
      <c r="F753" s="15" t="s">
        <v>6192</v>
      </c>
      <c r="G753" s="15" t="s">
        <v>6193</v>
      </c>
      <c r="H753" s="15"/>
      <c r="I753" s="15" t="s">
        <v>96</v>
      </c>
      <c r="J753" s="7" t="str">
        <f>HYPERLINK("https://www.codechef.com/problems/SMININD", "https://www.codechef.com/problems/SMININD")</f>
        <v>https://www.codechef.com/problems/SMININD</v>
      </c>
      <c r="K753" s="15"/>
      <c r="L753" s="15"/>
      <c r="M753" s="15"/>
      <c r="N753" s="15" t="s">
        <v>50</v>
      </c>
      <c r="O753" s="15" t="s">
        <v>51</v>
      </c>
    </row>
    <row r="754" spans="1:15">
      <c r="A754" s="14" t="s">
        <v>13</v>
      </c>
      <c r="B754" s="14" t="s">
        <v>6042</v>
      </c>
      <c r="C754" s="14" t="s">
        <v>6043</v>
      </c>
      <c r="D754" s="14" t="s">
        <v>6185</v>
      </c>
      <c r="E754" s="14">
        <v>104</v>
      </c>
      <c r="F754" s="14" t="s">
        <v>6194</v>
      </c>
      <c r="G754" s="14" t="s">
        <v>6195</v>
      </c>
      <c r="H754" s="14"/>
      <c r="I754" s="14" t="s">
        <v>96</v>
      </c>
      <c r="J754" s="11" t="str">
        <f>HYPERLINK("https://www.codechef.com/problems/INCDECS", "https://www.codechef.com/problems/INCDECS")</f>
        <v>https://www.codechef.com/problems/INCDECS</v>
      </c>
      <c r="K754" s="14"/>
      <c r="L754" s="14"/>
      <c r="M754" s="14"/>
      <c r="N754" s="14" t="s">
        <v>50</v>
      </c>
      <c r="O754" s="14" t="s">
        <v>51</v>
      </c>
    </row>
    <row r="755" spans="1:15">
      <c r="A755" s="15" t="s">
        <v>13</v>
      </c>
      <c r="B755" s="15" t="s">
        <v>6042</v>
      </c>
      <c r="C755" s="15" t="s">
        <v>6043</v>
      </c>
      <c r="D755" s="15" t="s">
        <v>6185</v>
      </c>
      <c r="E755" s="15">
        <v>105</v>
      </c>
      <c r="F755" s="15" t="s">
        <v>6196</v>
      </c>
      <c r="G755" s="15" t="s">
        <v>6197</v>
      </c>
      <c r="H755" s="15"/>
      <c r="I755" s="15" t="s">
        <v>96</v>
      </c>
      <c r="J755" s="7" t="str">
        <f>HYPERLINK("https://www.codechef.com/problems/SDIGIT", "https://www.codechef.com/problems/SDIGIT")</f>
        <v>https://www.codechef.com/problems/SDIGIT</v>
      </c>
      <c r="K755" s="15"/>
      <c r="L755" s="15"/>
      <c r="M755" s="15"/>
      <c r="N755" s="15" t="s">
        <v>50</v>
      </c>
      <c r="O755" s="15" t="s">
        <v>51</v>
      </c>
    </row>
    <row r="756" spans="1:15">
      <c r="A756" s="14" t="s">
        <v>13</v>
      </c>
      <c r="B756" s="14" t="s">
        <v>6042</v>
      </c>
      <c r="C756" s="14" t="s">
        <v>6043</v>
      </c>
      <c r="D756" s="14" t="s">
        <v>6185</v>
      </c>
      <c r="E756" s="14">
        <v>106</v>
      </c>
      <c r="F756" s="14" t="s">
        <v>6198</v>
      </c>
      <c r="G756" s="14" t="s">
        <v>6199</v>
      </c>
      <c r="H756" s="14"/>
      <c r="I756" s="14" t="s">
        <v>96</v>
      </c>
      <c r="J756" s="11" t="str">
        <f>HYPERLINK("https://www.codechef.com/problems/PREP11", "https://www.codechef.com/problems/PREP11")</f>
        <v>https://www.codechef.com/problems/PREP11</v>
      </c>
      <c r="K756" s="14"/>
      <c r="L756" s="14"/>
      <c r="M756" s="14"/>
      <c r="N756" s="14" t="s">
        <v>50</v>
      </c>
      <c r="O756" s="14" t="s">
        <v>51</v>
      </c>
    </row>
    <row r="757" spans="1:15">
      <c r="A757" s="15" t="s">
        <v>13</v>
      </c>
      <c r="B757" s="15" t="s">
        <v>6042</v>
      </c>
      <c r="C757" s="15" t="s">
        <v>6043</v>
      </c>
      <c r="D757" s="15" t="s">
        <v>6185</v>
      </c>
      <c r="E757" s="15">
        <v>107</v>
      </c>
      <c r="F757" s="15" t="s">
        <v>6200</v>
      </c>
      <c r="G757" s="15" t="s">
        <v>6201</v>
      </c>
      <c r="H757" s="15"/>
      <c r="I757" s="15" t="s">
        <v>96</v>
      </c>
      <c r="J757" s="7" t="str">
        <f>HYPERLINK("https://www.codechef.com/problems/PREP08", "https://www.codechef.com/problems/PREP08")</f>
        <v>https://www.codechef.com/problems/PREP08</v>
      </c>
      <c r="K757" s="15"/>
      <c r="L757" s="15"/>
      <c r="M757" s="15"/>
      <c r="N757" s="15" t="s">
        <v>50</v>
      </c>
      <c r="O757" s="15" t="s">
        <v>51</v>
      </c>
    </row>
    <row r="758" spans="1:15">
      <c r="A758" s="14" t="s">
        <v>13</v>
      </c>
      <c r="B758" s="14" t="s">
        <v>6042</v>
      </c>
      <c r="C758" s="14" t="s">
        <v>6043</v>
      </c>
      <c r="D758" s="14" t="s">
        <v>6185</v>
      </c>
      <c r="E758" s="14">
        <v>108</v>
      </c>
      <c r="F758" s="14" t="s">
        <v>6202</v>
      </c>
      <c r="G758" s="14" t="s">
        <v>6203</v>
      </c>
      <c r="H758" s="14"/>
      <c r="I758" s="14" t="s">
        <v>96</v>
      </c>
      <c r="J758" s="11" t="str">
        <f>HYPERLINK("https://www.codechef.com/problems/PREP38", "https://www.codechef.com/problems/PREP38")</f>
        <v>https://www.codechef.com/problems/PREP38</v>
      </c>
      <c r="K758" s="14"/>
      <c r="L758" s="14"/>
      <c r="M758" s="14"/>
      <c r="N758" s="14" t="s">
        <v>50</v>
      </c>
      <c r="O758" s="14" t="s">
        <v>51</v>
      </c>
    </row>
    <row r="759" spans="1:15">
      <c r="A759" s="15" t="s">
        <v>13</v>
      </c>
      <c r="B759" s="15" t="s">
        <v>6042</v>
      </c>
      <c r="C759" s="15" t="s">
        <v>6043</v>
      </c>
      <c r="D759" s="15" t="s">
        <v>6185</v>
      </c>
      <c r="E759" s="15">
        <v>109</v>
      </c>
      <c r="F759" s="15" t="s">
        <v>932</v>
      </c>
      <c r="G759" s="15" t="s">
        <v>933</v>
      </c>
      <c r="H759" s="15"/>
      <c r="I759" s="15" t="s">
        <v>96</v>
      </c>
      <c r="J759" s="7" t="str">
        <f>HYPERLINK("https://www.codechef.com/problems/PREP39", "https://www.codechef.com/problems/PREP39")</f>
        <v>https://www.codechef.com/problems/PREP39</v>
      </c>
      <c r="K759" s="15"/>
      <c r="L759" s="15"/>
      <c r="M759" s="15"/>
      <c r="N759" s="15" t="s">
        <v>50</v>
      </c>
      <c r="O759" s="15" t="s">
        <v>51</v>
      </c>
    </row>
    <row r="760" spans="1:15">
      <c r="A760" s="14" t="s">
        <v>13</v>
      </c>
      <c r="B760" s="14" t="s">
        <v>6042</v>
      </c>
      <c r="C760" s="14" t="s">
        <v>6043</v>
      </c>
      <c r="D760" s="14" t="s">
        <v>6204</v>
      </c>
      <c r="E760" s="14">
        <v>110</v>
      </c>
      <c r="F760" s="14" t="s">
        <v>957</v>
      </c>
      <c r="G760" s="14" t="s">
        <v>958</v>
      </c>
      <c r="H760" s="14"/>
      <c r="I760" s="14" t="s">
        <v>96</v>
      </c>
      <c r="J760" s="11" t="str">
        <f>HYPERLINK("https://www.codechef.com/problems/PREP35", "https://www.codechef.com/problems/PREP35")</f>
        <v>https://www.codechef.com/problems/PREP35</v>
      </c>
      <c r="K760" s="14"/>
      <c r="L760" s="14"/>
      <c r="M760" s="14"/>
      <c r="N760" s="14" t="s">
        <v>50</v>
      </c>
      <c r="O760" s="14" t="s">
        <v>51</v>
      </c>
    </row>
    <row r="761" spans="1:15">
      <c r="A761" s="15" t="s">
        <v>13</v>
      </c>
      <c r="B761" s="15" t="s">
        <v>6042</v>
      </c>
      <c r="C761" s="15" t="s">
        <v>6043</v>
      </c>
      <c r="D761" s="15" t="s">
        <v>6204</v>
      </c>
      <c r="E761" s="15">
        <v>111</v>
      </c>
      <c r="F761" s="15" t="s">
        <v>6205</v>
      </c>
      <c r="G761" s="15" t="s">
        <v>6206</v>
      </c>
      <c r="H761" s="15"/>
      <c r="I761" s="15" t="s">
        <v>322</v>
      </c>
      <c r="J761" s="7" t="str">
        <f>HYPERLINK("https://www.codechef.com/problems/PREP36", "https://www.codechef.com/problems/PREP36")</f>
        <v>https://www.codechef.com/problems/PREP36</v>
      </c>
      <c r="K761" s="15"/>
      <c r="L761" s="15"/>
      <c r="M761" s="15"/>
      <c r="N761" s="15" t="s">
        <v>50</v>
      </c>
      <c r="O761" s="15" t="s">
        <v>51</v>
      </c>
    </row>
    <row r="762" spans="1:15">
      <c r="A762" s="14" t="s">
        <v>13</v>
      </c>
      <c r="B762" s="14" t="s">
        <v>6042</v>
      </c>
      <c r="C762" s="14" t="s">
        <v>6043</v>
      </c>
      <c r="D762" s="14" t="s">
        <v>6204</v>
      </c>
      <c r="E762" s="14">
        <v>112</v>
      </c>
      <c r="F762" s="14" t="s">
        <v>6207</v>
      </c>
      <c r="G762" s="14" t="s">
        <v>6208</v>
      </c>
      <c r="H762" s="14"/>
      <c r="I762" s="14" t="s">
        <v>96</v>
      </c>
      <c r="J762" s="11" t="str">
        <f>HYPERLINK("https://www.codechef.com/problems/PREP37", "https://www.codechef.com/problems/PREP37")</f>
        <v>https://www.codechef.com/problems/PREP37</v>
      </c>
      <c r="K762" s="14"/>
      <c r="L762" s="14"/>
      <c r="M762" s="14"/>
      <c r="N762" s="14" t="s">
        <v>50</v>
      </c>
      <c r="O762" s="14" t="s">
        <v>51</v>
      </c>
    </row>
    <row r="763" spans="1:15">
      <c r="A763" s="15" t="s">
        <v>13</v>
      </c>
      <c r="B763" s="15" t="s">
        <v>6042</v>
      </c>
      <c r="C763" s="15" t="s">
        <v>6043</v>
      </c>
      <c r="D763" s="15" t="s">
        <v>6204</v>
      </c>
      <c r="E763" s="15">
        <v>113</v>
      </c>
      <c r="F763" s="15" t="s">
        <v>6209</v>
      </c>
      <c r="G763" s="15" t="s">
        <v>6210</v>
      </c>
      <c r="H763" s="15"/>
      <c r="I763" s="15" t="s">
        <v>322</v>
      </c>
      <c r="J763" s="7" t="str">
        <f>HYPERLINK("https://www.codechef.com/problems/PREP50", "https://www.codechef.com/problems/PREP50")</f>
        <v>https://www.codechef.com/problems/PREP50</v>
      </c>
      <c r="K763" s="15"/>
      <c r="L763" s="15"/>
      <c r="M763" s="15"/>
      <c r="N763" s="15" t="s">
        <v>50</v>
      </c>
      <c r="O763" s="15" t="s">
        <v>51</v>
      </c>
    </row>
    <row r="764" spans="1:15">
      <c r="A764" s="14" t="s">
        <v>13</v>
      </c>
      <c r="B764" s="14" t="s">
        <v>6042</v>
      </c>
      <c r="C764" s="14" t="s">
        <v>6043</v>
      </c>
      <c r="D764" s="14" t="s">
        <v>6204</v>
      </c>
      <c r="E764" s="14">
        <v>114</v>
      </c>
      <c r="F764" s="14" t="s">
        <v>6211</v>
      </c>
      <c r="G764" s="14" t="s">
        <v>6212</v>
      </c>
      <c r="H764" s="14"/>
      <c r="I764" s="14" t="s">
        <v>322</v>
      </c>
      <c r="J764" s="11" t="str">
        <f>HYPERLINK("https://www.codechef.com/problems/PREP49", "https://www.codechef.com/problems/PREP49")</f>
        <v>https://www.codechef.com/problems/PREP49</v>
      </c>
      <c r="K764" s="14"/>
      <c r="L764" s="14"/>
      <c r="M764" s="14"/>
      <c r="N764" s="14" t="s">
        <v>50</v>
      </c>
      <c r="O764" s="14" t="s">
        <v>51</v>
      </c>
    </row>
    <row r="765" spans="1:15">
      <c r="A765" s="15" t="s">
        <v>13</v>
      </c>
      <c r="B765" s="15" t="s">
        <v>6042</v>
      </c>
      <c r="C765" s="15" t="s">
        <v>6043</v>
      </c>
      <c r="D765" s="15" t="s">
        <v>6213</v>
      </c>
      <c r="E765" s="15">
        <v>115</v>
      </c>
      <c r="F765" s="15" t="s">
        <v>6214</v>
      </c>
      <c r="G765" s="15" t="s">
        <v>6215</v>
      </c>
      <c r="H765" s="15"/>
      <c r="I765" s="15" t="s">
        <v>96</v>
      </c>
      <c r="J765" s="7" t="str">
        <f>HYPERLINK("https://www.codechef.com/problems/SUBTCH", "https://www.codechef.com/problems/SUBTCH")</f>
        <v>https://www.codechef.com/problems/SUBTCH</v>
      </c>
      <c r="K765" s="15"/>
      <c r="L765" s="15"/>
      <c r="M765" s="15"/>
      <c r="N765" s="15" t="s">
        <v>50</v>
      </c>
      <c r="O765" s="15" t="s">
        <v>51</v>
      </c>
    </row>
    <row r="766" spans="1:15">
      <c r="A766" s="14" t="s">
        <v>13</v>
      </c>
      <c r="B766" s="14" t="s">
        <v>6042</v>
      </c>
      <c r="C766" s="14" t="s">
        <v>6043</v>
      </c>
      <c r="D766" s="14" t="s">
        <v>6213</v>
      </c>
      <c r="E766" s="14">
        <v>116</v>
      </c>
      <c r="F766" s="14" t="s">
        <v>6216</v>
      </c>
      <c r="G766" s="14" t="s">
        <v>6217</v>
      </c>
      <c r="H766" s="14"/>
      <c r="I766" s="14" t="s">
        <v>96</v>
      </c>
      <c r="J766" s="11" t="str">
        <f>HYPERLINK("https://www.codechef.com/problems/RECTREE", "https://www.codechef.com/problems/RECTREE")</f>
        <v>https://www.codechef.com/problems/RECTREE</v>
      </c>
      <c r="K766" s="14"/>
      <c r="L766" s="14"/>
      <c r="M766" s="14"/>
      <c r="N766" s="14" t="s">
        <v>50</v>
      </c>
      <c r="O766" s="14" t="s">
        <v>51</v>
      </c>
    </row>
    <row r="767" spans="1:15">
      <c r="A767" s="15" t="s">
        <v>13</v>
      </c>
      <c r="B767" s="15" t="s">
        <v>6042</v>
      </c>
      <c r="C767" s="15" t="s">
        <v>6043</v>
      </c>
      <c r="D767" s="15" t="s">
        <v>6213</v>
      </c>
      <c r="E767" s="15">
        <v>117</v>
      </c>
      <c r="F767" s="15" t="s">
        <v>6218</v>
      </c>
      <c r="G767" s="15" t="s">
        <v>6219</v>
      </c>
      <c r="H767" s="15"/>
      <c r="I767" s="15" t="s">
        <v>96</v>
      </c>
      <c r="J767" s="7" t="str">
        <f>HYPERLINK("https://www.codechef.com/problems/CNTND", "https://www.codechef.com/problems/CNTND")</f>
        <v>https://www.codechef.com/problems/CNTND</v>
      </c>
      <c r="K767" s="15"/>
      <c r="L767" s="15"/>
      <c r="M767" s="15"/>
      <c r="N767" s="15" t="s">
        <v>50</v>
      </c>
      <c r="O767" s="15" t="s">
        <v>51</v>
      </c>
    </row>
    <row r="768" spans="1:15">
      <c r="A768" s="14" t="s">
        <v>13</v>
      </c>
      <c r="B768" s="14" t="s">
        <v>6042</v>
      </c>
      <c r="C768" s="14" t="s">
        <v>6043</v>
      </c>
      <c r="D768" s="14" t="s">
        <v>6213</v>
      </c>
      <c r="E768" s="14">
        <v>118</v>
      </c>
      <c r="F768" s="14" t="s">
        <v>6220</v>
      </c>
      <c r="G768" s="14" t="s">
        <v>6221</v>
      </c>
      <c r="H768" s="14"/>
      <c r="I768" s="14" t="s">
        <v>96</v>
      </c>
      <c r="J768" s="11" t="str">
        <f>HYPERLINK("https://www.codechef.com/problems/REGTRE", "https://www.codechef.com/problems/REGTRE")</f>
        <v>https://www.codechef.com/problems/REGTRE</v>
      </c>
      <c r="K768" s="14"/>
      <c r="L768" s="14"/>
      <c r="M768" s="14"/>
      <c r="N768" s="14" t="s">
        <v>50</v>
      </c>
      <c r="O768" s="14" t="s">
        <v>51</v>
      </c>
    </row>
    <row r="769" spans="1:15">
      <c r="A769" s="15" t="s">
        <v>13</v>
      </c>
      <c r="B769" s="15" t="s">
        <v>6042</v>
      </c>
      <c r="C769" s="15" t="s">
        <v>6043</v>
      </c>
      <c r="D769" s="15" t="s">
        <v>6213</v>
      </c>
      <c r="E769" s="15">
        <v>119</v>
      </c>
      <c r="F769" s="15" t="s">
        <v>6222</v>
      </c>
      <c r="G769" s="15" t="s">
        <v>6223</v>
      </c>
      <c r="H769" s="15"/>
      <c r="I769" s="15" t="s">
        <v>96</v>
      </c>
      <c r="J769" s="7" t="str">
        <f>HYPERLINK("https://www.codechef.com/problems/LCAN3", "https://www.codechef.com/problems/LCAN3")</f>
        <v>https://www.codechef.com/problems/LCAN3</v>
      </c>
      <c r="K769" s="15"/>
      <c r="L769" s="15"/>
      <c r="M769" s="15"/>
      <c r="N769" s="15" t="s">
        <v>50</v>
      </c>
      <c r="O769" s="15" t="s">
        <v>51</v>
      </c>
    </row>
    <row r="770" spans="1:15">
      <c r="A770" s="14" t="s">
        <v>13</v>
      </c>
      <c r="B770" s="14" t="s">
        <v>6042</v>
      </c>
      <c r="C770" s="14" t="s">
        <v>6043</v>
      </c>
      <c r="D770" s="14" t="s">
        <v>6213</v>
      </c>
      <c r="E770" s="14">
        <v>120</v>
      </c>
      <c r="F770" s="14" t="s">
        <v>6224</v>
      </c>
      <c r="G770" s="14" t="s">
        <v>6225</v>
      </c>
      <c r="H770" s="14"/>
      <c r="I770" s="14" t="s">
        <v>96</v>
      </c>
      <c r="J770" s="11" t="str">
        <f>HYPERLINK("https://www.codechef.com/problems/PREP64", "https://www.codechef.com/problems/PREP64")</f>
        <v>https://www.codechef.com/problems/PREP64</v>
      </c>
      <c r="K770" s="14"/>
      <c r="L770" s="14"/>
      <c r="M770" s="14"/>
      <c r="N770" s="14" t="s">
        <v>50</v>
      </c>
      <c r="O770" s="14" t="s">
        <v>51</v>
      </c>
    </row>
    <row r="771" spans="1:15">
      <c r="A771" s="15" t="s">
        <v>13</v>
      </c>
      <c r="B771" s="15" t="s">
        <v>6042</v>
      </c>
      <c r="C771" s="15" t="s">
        <v>6043</v>
      </c>
      <c r="D771" s="15" t="s">
        <v>6213</v>
      </c>
      <c r="E771" s="15">
        <v>121</v>
      </c>
      <c r="F771" s="15" t="s">
        <v>6226</v>
      </c>
      <c r="G771" s="15" t="s">
        <v>6227</v>
      </c>
      <c r="H771" s="15"/>
      <c r="I771" s="15" t="s">
        <v>96</v>
      </c>
      <c r="J771" s="7" t="str">
        <f>HYPERLINK("https://www.codechef.com/problems/PREP29", "https://www.codechef.com/problems/PREP29")</f>
        <v>https://www.codechef.com/problems/PREP29</v>
      </c>
      <c r="K771" s="15"/>
      <c r="L771" s="15"/>
      <c r="M771" s="15"/>
      <c r="N771" s="15" t="s">
        <v>50</v>
      </c>
      <c r="O771" s="15" t="s">
        <v>51</v>
      </c>
    </row>
    <row r="772" spans="1:15">
      <c r="A772" s="14" t="s">
        <v>13</v>
      </c>
      <c r="B772" s="14" t="s">
        <v>6042</v>
      </c>
      <c r="C772" s="14" t="s">
        <v>6043</v>
      </c>
      <c r="D772" s="14" t="s">
        <v>6213</v>
      </c>
      <c r="E772" s="14">
        <v>122</v>
      </c>
      <c r="F772" s="14" t="s">
        <v>6228</v>
      </c>
      <c r="G772" s="14" t="s">
        <v>6229</v>
      </c>
      <c r="H772" s="14"/>
      <c r="I772" s="14" t="s">
        <v>96</v>
      </c>
      <c r="J772" s="11" t="str">
        <f>HYPERLINK("https://www.codechef.com/problems/PREP65", "https://www.codechef.com/problems/PREP65")</f>
        <v>https://www.codechef.com/problems/PREP65</v>
      </c>
      <c r="K772" s="14"/>
      <c r="L772" s="14"/>
      <c r="M772" s="14"/>
      <c r="N772" s="14" t="s">
        <v>50</v>
      </c>
      <c r="O772" s="14" t="s">
        <v>51</v>
      </c>
    </row>
    <row r="773" spans="1:15">
      <c r="A773" s="15" t="s">
        <v>13</v>
      </c>
      <c r="B773" s="15" t="s">
        <v>6042</v>
      </c>
      <c r="C773" s="15" t="s">
        <v>6043</v>
      </c>
      <c r="D773" s="15" t="s">
        <v>6213</v>
      </c>
      <c r="E773" s="15">
        <v>123</v>
      </c>
      <c r="F773" s="15" t="s">
        <v>6230</v>
      </c>
      <c r="G773" s="15" t="s">
        <v>6231</v>
      </c>
      <c r="H773" s="15"/>
      <c r="I773" s="15" t="s">
        <v>96</v>
      </c>
      <c r="J773" s="7" t="str">
        <f>HYPERLINK("https://www.codechef.com/problems/PREP67", "https://www.codechef.com/problems/PREP67")</f>
        <v>https://www.codechef.com/problems/PREP67</v>
      </c>
      <c r="K773" s="15"/>
      <c r="L773" s="15"/>
      <c r="M773" s="15"/>
      <c r="N773" s="15" t="s">
        <v>50</v>
      </c>
      <c r="O773" s="15" t="s">
        <v>51</v>
      </c>
    </row>
    <row r="774" spans="1:15">
      <c r="A774" s="14" t="s">
        <v>13</v>
      </c>
      <c r="B774" s="14" t="s">
        <v>6042</v>
      </c>
      <c r="C774" s="14" t="s">
        <v>6043</v>
      </c>
      <c r="D774" s="14" t="s">
        <v>6213</v>
      </c>
      <c r="E774" s="14">
        <v>124</v>
      </c>
      <c r="F774" s="14" t="s">
        <v>6232</v>
      </c>
      <c r="G774" s="14" t="s">
        <v>6233</v>
      </c>
      <c r="H774" s="14"/>
      <c r="I774" s="14" t="s">
        <v>96</v>
      </c>
      <c r="J774" s="11" t="str">
        <f>HYPERLINK("https://www.codechef.com/problems/PREP66", "https://www.codechef.com/problems/PREP66")</f>
        <v>https://www.codechef.com/problems/PREP66</v>
      </c>
      <c r="K774" s="14"/>
      <c r="L774" s="14"/>
      <c r="M774" s="14"/>
      <c r="N774" s="14" t="s">
        <v>50</v>
      </c>
      <c r="O774" s="14" t="s">
        <v>51</v>
      </c>
    </row>
    <row r="775" spans="1:15">
      <c r="A775" s="15" t="s">
        <v>13</v>
      </c>
      <c r="B775" s="15" t="s">
        <v>6042</v>
      </c>
      <c r="C775" s="15" t="s">
        <v>6043</v>
      </c>
      <c r="D775" s="15" t="s">
        <v>6234</v>
      </c>
      <c r="E775" s="15">
        <v>125</v>
      </c>
      <c r="F775" s="15" t="s">
        <v>953</v>
      </c>
      <c r="G775" s="15" t="s">
        <v>954</v>
      </c>
      <c r="H775" s="15"/>
      <c r="I775" s="15" t="s">
        <v>96</v>
      </c>
      <c r="J775" s="7" t="str">
        <f>HYPERLINK("https://www.codechef.com/problems/PREP27", "https://www.codechef.com/problems/PREP27")</f>
        <v>https://www.codechef.com/problems/PREP27</v>
      </c>
      <c r="K775" s="15"/>
      <c r="L775" s="15"/>
      <c r="M775" s="15"/>
      <c r="N775" s="15" t="s">
        <v>50</v>
      </c>
      <c r="O775" s="15" t="s">
        <v>51</v>
      </c>
    </row>
    <row r="776" spans="1:15">
      <c r="A776" s="14" t="s">
        <v>13</v>
      </c>
      <c r="B776" s="14" t="s">
        <v>6042</v>
      </c>
      <c r="C776" s="14" t="s">
        <v>6043</v>
      </c>
      <c r="D776" s="14" t="s">
        <v>6234</v>
      </c>
      <c r="E776" s="14">
        <v>126</v>
      </c>
      <c r="F776" s="14" t="s">
        <v>6235</v>
      </c>
      <c r="G776" s="14" t="s">
        <v>6236</v>
      </c>
      <c r="H776" s="14"/>
      <c r="I776" s="14" t="s">
        <v>322</v>
      </c>
      <c r="J776" s="11" t="str">
        <f>HYPERLINK("https://www.codechef.com/problems/PREP28", "https://www.codechef.com/problems/PREP28")</f>
        <v>https://www.codechef.com/problems/PREP28</v>
      </c>
      <c r="K776" s="14"/>
      <c r="L776" s="14"/>
      <c r="M776" s="14"/>
      <c r="N776" s="14" t="s">
        <v>50</v>
      </c>
      <c r="O776" s="14" t="s">
        <v>51</v>
      </c>
    </row>
    <row r="777" spans="1:15">
      <c r="A777" s="15" t="s">
        <v>13</v>
      </c>
      <c r="B777" s="15" t="s">
        <v>6042</v>
      </c>
      <c r="C777" s="15" t="s">
        <v>6043</v>
      </c>
      <c r="D777" s="15" t="s">
        <v>6234</v>
      </c>
      <c r="E777" s="15">
        <v>127</v>
      </c>
      <c r="F777" s="15" t="s">
        <v>6237</v>
      </c>
      <c r="G777" s="15" t="s">
        <v>6238</v>
      </c>
      <c r="H777" s="15"/>
      <c r="I777" s="15" t="s">
        <v>96</v>
      </c>
      <c r="J777" s="7" t="str">
        <f>HYPERLINK("https://www.codechef.com/problems/PREP53", "https://www.codechef.com/problems/PREP53")</f>
        <v>https://www.codechef.com/problems/PREP53</v>
      </c>
      <c r="K777" s="15"/>
      <c r="L777" s="15"/>
      <c r="M777" s="15"/>
      <c r="N777" s="15" t="s">
        <v>50</v>
      </c>
      <c r="O777" s="15" t="s">
        <v>51</v>
      </c>
    </row>
    <row r="778" spans="1:15">
      <c r="A778" s="14" t="s">
        <v>13</v>
      </c>
      <c r="B778" s="14" t="s">
        <v>6042</v>
      </c>
      <c r="C778" s="14" t="s">
        <v>6043</v>
      </c>
      <c r="D778" s="14" t="s">
        <v>6234</v>
      </c>
      <c r="E778" s="14">
        <v>128</v>
      </c>
      <c r="F778" s="14" t="s">
        <v>943</v>
      </c>
      <c r="G778" s="14" t="s">
        <v>944</v>
      </c>
      <c r="H778" s="14"/>
      <c r="I778" s="14" t="s">
        <v>96</v>
      </c>
      <c r="J778" s="11" t="str">
        <f>HYPERLINK("https://www.codechef.com/problems/PREP51", "https://www.codechef.com/problems/PREP51")</f>
        <v>https://www.codechef.com/problems/PREP51</v>
      </c>
      <c r="K778" s="14"/>
      <c r="L778" s="14" t="s">
        <v>476</v>
      </c>
      <c r="M778" s="14"/>
      <c r="N778" s="14" t="s">
        <v>50</v>
      </c>
      <c r="O778" s="14" t="s">
        <v>51</v>
      </c>
    </row>
    <row r="779" spans="1:15">
      <c r="A779" s="15" t="s">
        <v>13</v>
      </c>
      <c r="B779" s="15" t="s">
        <v>6042</v>
      </c>
      <c r="C779" s="15" t="s">
        <v>6043</v>
      </c>
      <c r="D779" s="15" t="s">
        <v>6234</v>
      </c>
      <c r="E779" s="15">
        <v>129</v>
      </c>
      <c r="F779" s="15" t="s">
        <v>6239</v>
      </c>
      <c r="G779" s="15" t="s">
        <v>6240</v>
      </c>
      <c r="H779" s="15"/>
      <c r="I779" s="15" t="s">
        <v>96</v>
      </c>
      <c r="J779" s="7" t="str">
        <f>HYPERLINK("https://www.codechef.com/problems/PREP52", "https://www.codechef.com/problems/PREP52")</f>
        <v>https://www.codechef.com/problems/PREP52</v>
      </c>
      <c r="K779" s="15"/>
      <c r="L779" s="15"/>
      <c r="M779" s="15"/>
      <c r="N779" s="15" t="s">
        <v>50</v>
      </c>
      <c r="O779" s="15" t="s">
        <v>51</v>
      </c>
    </row>
    <row r="780" spans="1:15">
      <c r="A780" s="14" t="s">
        <v>13</v>
      </c>
      <c r="B780" s="14" t="s">
        <v>6042</v>
      </c>
      <c r="C780" s="14" t="s">
        <v>6043</v>
      </c>
      <c r="D780" s="14" t="s">
        <v>6241</v>
      </c>
      <c r="E780" s="14">
        <v>130</v>
      </c>
      <c r="F780" s="14" t="s">
        <v>6242</v>
      </c>
      <c r="G780" s="14" t="s">
        <v>6243</v>
      </c>
      <c r="H780" s="14"/>
      <c r="I780" s="14" t="s">
        <v>96</v>
      </c>
      <c r="J780" s="11" t="str">
        <f>HYPERLINK("https://www.codechef.com/problems/DTS", "https://www.codechef.com/problems/DTS")</f>
        <v>https://www.codechef.com/problems/DTS</v>
      </c>
      <c r="K780" s="14"/>
      <c r="L780" s="14"/>
      <c r="M780" s="14"/>
      <c r="N780" s="14" t="s">
        <v>50</v>
      </c>
      <c r="O780" s="14" t="s">
        <v>51</v>
      </c>
    </row>
    <row r="781" spans="1:15">
      <c r="A781" s="15" t="s">
        <v>13</v>
      </c>
      <c r="B781" s="15" t="s">
        <v>6042</v>
      </c>
      <c r="C781" s="15" t="s">
        <v>6043</v>
      </c>
      <c r="D781" s="15" t="s">
        <v>6241</v>
      </c>
      <c r="E781" s="15">
        <v>131</v>
      </c>
      <c r="F781" s="15" t="s">
        <v>693</v>
      </c>
      <c r="G781" s="15" t="s">
        <v>749</v>
      </c>
      <c r="H781" s="15" t="s">
        <v>340</v>
      </c>
      <c r="I781" s="15" t="s">
        <v>96</v>
      </c>
      <c r="J781" s="7" t="str">
        <f>HYPERLINK("https://www.codechef.com/problems/SPSBTR", "https://www.codechef.com/problems/SPSBTR")</f>
        <v>https://www.codechef.com/problems/SPSBTR</v>
      </c>
      <c r="K781" s="15"/>
      <c r="L781" s="15"/>
      <c r="M781" s="15"/>
      <c r="N781" s="15" t="s">
        <v>50</v>
      </c>
      <c r="O781" s="15" t="s">
        <v>51</v>
      </c>
    </row>
    <row r="782" spans="1:15">
      <c r="A782" s="14" t="s">
        <v>13</v>
      </c>
      <c r="B782" s="14" t="s">
        <v>6042</v>
      </c>
      <c r="C782" s="14" t="s">
        <v>6043</v>
      </c>
      <c r="D782" s="14" t="s">
        <v>6241</v>
      </c>
      <c r="E782" s="14">
        <v>132</v>
      </c>
      <c r="F782" s="14" t="s">
        <v>1328</v>
      </c>
      <c r="G782" s="14" t="s">
        <v>1329</v>
      </c>
      <c r="H782" s="14" t="s">
        <v>343</v>
      </c>
      <c r="I782" s="14" t="s">
        <v>96</v>
      </c>
      <c r="J782" s="11" t="str">
        <f>HYPERLINK("https://www.codechef.com/problems/MINSIM", "https://www.codechef.com/problems/MINSIM")</f>
        <v>https://www.codechef.com/problems/MINSIM</v>
      </c>
      <c r="K782" s="14"/>
      <c r="L782" s="14"/>
      <c r="M782" s="14"/>
      <c r="N782" s="14" t="s">
        <v>50</v>
      </c>
      <c r="O782" s="14" t="s">
        <v>51</v>
      </c>
    </row>
    <row r="783" spans="1:15">
      <c r="A783" s="15" t="s">
        <v>13</v>
      </c>
      <c r="B783" s="15" t="s">
        <v>6042</v>
      </c>
      <c r="C783" s="15" t="s">
        <v>6043</v>
      </c>
      <c r="D783" s="15" t="s">
        <v>6241</v>
      </c>
      <c r="E783" s="15">
        <v>133</v>
      </c>
      <c r="F783" s="15" t="s">
        <v>6244</v>
      </c>
      <c r="G783" s="15" t="s">
        <v>6245</v>
      </c>
      <c r="H783" s="15"/>
      <c r="I783" s="15" t="s">
        <v>322</v>
      </c>
      <c r="J783" s="7" t="str">
        <f>HYPERLINK("https://www.codechef.com/problems/LGDSTR", "https://www.codechef.com/problems/LGDSTR")</f>
        <v>https://www.codechef.com/problems/LGDSTR</v>
      </c>
      <c r="K783" s="15"/>
      <c r="L783" s="15"/>
      <c r="M783" s="15"/>
      <c r="N783" s="15" t="s">
        <v>50</v>
      </c>
      <c r="O783" s="15" t="s">
        <v>51</v>
      </c>
    </row>
    <row r="784" spans="1:15">
      <c r="A784" s="14" t="s">
        <v>13</v>
      </c>
      <c r="B784" s="14" t="s">
        <v>6042</v>
      </c>
      <c r="C784" s="14" t="s">
        <v>6043</v>
      </c>
      <c r="D784" s="14" t="s">
        <v>6241</v>
      </c>
      <c r="E784" s="14">
        <v>134</v>
      </c>
      <c r="F784" s="14" t="s">
        <v>1294</v>
      </c>
      <c r="G784" s="14" t="s">
        <v>1295</v>
      </c>
      <c r="H784" s="14" t="s">
        <v>312</v>
      </c>
      <c r="I784" s="14" t="s">
        <v>49</v>
      </c>
      <c r="J784" s="11" t="str">
        <f>HYPERLINK("https://www.codechef.com/problems/PREP17", "https://www.codechef.com/problems/PREP17")</f>
        <v>https://www.codechef.com/problems/PREP17</v>
      </c>
      <c r="K784" s="14"/>
      <c r="L784" s="14"/>
      <c r="M784" s="14"/>
      <c r="N784" s="14" t="s">
        <v>50</v>
      </c>
      <c r="O784" s="14" t="s">
        <v>51</v>
      </c>
    </row>
    <row r="785" spans="1:15">
      <c r="A785" s="15" t="s">
        <v>13</v>
      </c>
      <c r="B785" s="15" t="s">
        <v>6042</v>
      </c>
      <c r="C785" s="15" t="s">
        <v>6043</v>
      </c>
      <c r="D785" s="15" t="s">
        <v>6241</v>
      </c>
      <c r="E785" s="15">
        <v>135</v>
      </c>
      <c r="F785" s="15" t="s">
        <v>6246</v>
      </c>
      <c r="G785" s="15" t="s">
        <v>6247</v>
      </c>
      <c r="H785" s="15"/>
      <c r="I785" s="15" t="s">
        <v>96</v>
      </c>
      <c r="J785" s="7" t="str">
        <f>HYPERLINK("https://www.codechef.com/problems/PREP19", "https://www.codechef.com/problems/PREP19")</f>
        <v>https://www.codechef.com/problems/PREP19</v>
      </c>
      <c r="K785" s="15"/>
      <c r="L785" s="15"/>
      <c r="M785" s="15"/>
      <c r="N785" s="15" t="s">
        <v>50</v>
      </c>
      <c r="O785" s="15" t="s">
        <v>51</v>
      </c>
    </row>
    <row r="786" spans="1:15">
      <c r="A786" s="14" t="s">
        <v>13</v>
      </c>
      <c r="B786" s="14" t="s">
        <v>6042</v>
      </c>
      <c r="C786" s="14" t="s">
        <v>6043</v>
      </c>
      <c r="D786" s="14" t="s">
        <v>6241</v>
      </c>
      <c r="E786" s="14">
        <v>136</v>
      </c>
      <c r="F786" s="14" t="s">
        <v>1280</v>
      </c>
      <c r="G786" s="14" t="s">
        <v>1281</v>
      </c>
      <c r="H786" s="14" t="s">
        <v>60</v>
      </c>
      <c r="I786" s="14" t="s">
        <v>49</v>
      </c>
      <c r="J786" s="11" t="str">
        <f>HYPERLINK("https://www.codechef.com/problems/PREP69", "https://www.codechef.com/problems/PREP69")</f>
        <v>https://www.codechef.com/problems/PREP69</v>
      </c>
      <c r="K786" s="14"/>
      <c r="L786" s="14"/>
      <c r="M786" s="14"/>
      <c r="N786" s="14" t="s">
        <v>50</v>
      </c>
      <c r="O786" s="14" t="s">
        <v>51</v>
      </c>
    </row>
    <row r="787" spans="1:15">
      <c r="A787" s="15" t="s">
        <v>13</v>
      </c>
      <c r="B787" s="15" t="s">
        <v>6042</v>
      </c>
      <c r="C787" s="15" t="s">
        <v>6043</v>
      </c>
      <c r="D787" s="15" t="s">
        <v>6241</v>
      </c>
      <c r="E787" s="15">
        <v>137</v>
      </c>
      <c r="F787" s="15" t="s">
        <v>1291</v>
      </c>
      <c r="G787" s="15" t="s">
        <v>1292</v>
      </c>
      <c r="H787" s="15" t="s">
        <v>309</v>
      </c>
      <c r="I787" s="15" t="s">
        <v>49</v>
      </c>
      <c r="J787" s="7" t="str">
        <f>HYPERLINK("https://www.codechef.com/problems/PREP68", "https://www.codechef.com/problems/PREP68")</f>
        <v>https://www.codechef.com/problems/PREP68</v>
      </c>
      <c r="K787" s="15"/>
      <c r="L787" s="15" t="s">
        <v>1293</v>
      </c>
      <c r="M787" s="15"/>
      <c r="N787" s="15" t="s">
        <v>50</v>
      </c>
      <c r="O787" s="15" t="s">
        <v>51</v>
      </c>
    </row>
    <row r="788" spans="1:15">
      <c r="A788" s="14" t="s">
        <v>13</v>
      </c>
      <c r="B788" s="14" t="s">
        <v>6042</v>
      </c>
      <c r="C788" s="14" t="s">
        <v>6043</v>
      </c>
      <c r="D788" s="14" t="s">
        <v>6241</v>
      </c>
      <c r="E788" s="14">
        <v>138</v>
      </c>
      <c r="F788" s="14" t="s">
        <v>1302</v>
      </c>
      <c r="G788" s="14" t="s">
        <v>1303</v>
      </c>
      <c r="H788" s="14" t="s">
        <v>343</v>
      </c>
      <c r="I788" s="14" t="s">
        <v>96</v>
      </c>
      <c r="J788" s="11" t="str">
        <f>HYPERLINK("https://www.codechef.com/problems/PREP18", "https://www.codechef.com/problems/PREP18")</f>
        <v>https://www.codechef.com/problems/PREP18</v>
      </c>
      <c r="K788" s="14"/>
      <c r="L788" s="14"/>
      <c r="M788" s="14"/>
      <c r="N788" s="14" t="s">
        <v>50</v>
      </c>
      <c r="O788" s="14" t="s">
        <v>51</v>
      </c>
    </row>
    <row r="789" spans="1:15">
      <c r="A789" s="15" t="s">
        <v>13</v>
      </c>
      <c r="B789" s="15" t="s">
        <v>6042</v>
      </c>
      <c r="C789" s="15" t="s">
        <v>6043</v>
      </c>
      <c r="D789" s="15" t="s">
        <v>6248</v>
      </c>
      <c r="E789" s="15">
        <v>139</v>
      </c>
      <c r="F789" s="15" t="s">
        <v>6249</v>
      </c>
      <c r="G789" s="15" t="s">
        <v>6250</v>
      </c>
      <c r="H789" s="15"/>
      <c r="I789" s="15" t="s">
        <v>96</v>
      </c>
      <c r="J789" s="7" t="str">
        <f>HYPERLINK("https://www.codechef.com/problems/PREP32", "https://www.codechef.com/problems/PREP32")</f>
        <v>https://www.codechef.com/problems/PREP32</v>
      </c>
      <c r="K789" s="15"/>
      <c r="L789" s="15"/>
      <c r="M789" s="15"/>
      <c r="N789" s="15" t="s">
        <v>50</v>
      </c>
      <c r="O789" s="15" t="s">
        <v>51</v>
      </c>
    </row>
    <row r="790" spans="1:15">
      <c r="A790" s="14" t="s">
        <v>13</v>
      </c>
      <c r="B790" s="14" t="s">
        <v>6042</v>
      </c>
      <c r="C790" s="14" t="s">
        <v>6043</v>
      </c>
      <c r="D790" s="14" t="s">
        <v>6248</v>
      </c>
      <c r="E790" s="14">
        <v>140</v>
      </c>
      <c r="F790" s="14" t="s">
        <v>936</v>
      </c>
      <c r="G790" s="14" t="s">
        <v>937</v>
      </c>
      <c r="H790" s="14"/>
      <c r="I790" s="14" t="s">
        <v>96</v>
      </c>
      <c r="J790" s="11" t="str">
        <f>HYPERLINK("https://www.codechef.com/problems/PREP31", "https://www.codechef.com/problems/PREP31")</f>
        <v>https://www.codechef.com/problems/PREP31</v>
      </c>
      <c r="K790" s="14"/>
      <c r="L790" s="14"/>
      <c r="M790" s="14"/>
      <c r="N790" s="14" t="s">
        <v>50</v>
      </c>
      <c r="O790" s="14" t="s">
        <v>51</v>
      </c>
    </row>
    <row r="791" spans="1:15">
      <c r="A791" s="15" t="s">
        <v>13</v>
      </c>
      <c r="B791" s="15" t="s">
        <v>6042</v>
      </c>
      <c r="C791" s="15" t="s">
        <v>6043</v>
      </c>
      <c r="D791" s="15" t="s">
        <v>6248</v>
      </c>
      <c r="E791" s="15">
        <v>141</v>
      </c>
      <c r="F791" s="15" t="s">
        <v>6251</v>
      </c>
      <c r="G791" s="15" t="s">
        <v>6252</v>
      </c>
      <c r="H791" s="15"/>
      <c r="I791" s="15" t="s">
        <v>322</v>
      </c>
      <c r="J791" s="7" t="str">
        <f>HYPERLINK("https://www.codechef.com/problems/PREP34", "https://www.codechef.com/problems/PREP34")</f>
        <v>https://www.codechef.com/problems/PREP34</v>
      </c>
      <c r="K791" s="15"/>
      <c r="L791" s="15"/>
      <c r="M791" s="15"/>
      <c r="N791" s="15" t="s">
        <v>50</v>
      </c>
      <c r="O791" s="15" t="s">
        <v>51</v>
      </c>
    </row>
    <row r="792" spans="1:15">
      <c r="A792" s="14" t="s">
        <v>13</v>
      </c>
      <c r="B792" s="14" t="s">
        <v>6042</v>
      </c>
      <c r="C792" s="14" t="s">
        <v>6043</v>
      </c>
      <c r="D792" s="14" t="s">
        <v>6248</v>
      </c>
      <c r="E792" s="14">
        <v>142</v>
      </c>
      <c r="F792" s="14" t="s">
        <v>6253</v>
      </c>
      <c r="G792" s="14" t="s">
        <v>6254</v>
      </c>
      <c r="H792" s="14"/>
      <c r="I792" s="14" t="s">
        <v>96</v>
      </c>
      <c r="J792" s="11" t="str">
        <f>HYPERLINK("https://www.codechef.com/problems/PREP33", "https://www.codechef.com/problems/PREP33")</f>
        <v>https://www.codechef.com/problems/PREP33</v>
      </c>
      <c r="K792" s="14"/>
      <c r="L792" s="14"/>
      <c r="M792" s="14"/>
      <c r="N792" s="14" t="s">
        <v>50</v>
      </c>
      <c r="O792" s="14" t="s">
        <v>51</v>
      </c>
    </row>
    <row r="793" spans="1:15">
      <c r="A793" s="15" t="s">
        <v>13</v>
      </c>
      <c r="B793" s="15" t="s">
        <v>6042</v>
      </c>
      <c r="C793" s="15" t="s">
        <v>6043</v>
      </c>
      <c r="D793" s="15" t="s">
        <v>6248</v>
      </c>
      <c r="E793" s="15">
        <v>143</v>
      </c>
      <c r="F793" s="15" t="s">
        <v>6255</v>
      </c>
      <c r="G793" s="15" t="s">
        <v>6256</v>
      </c>
      <c r="H793" s="15"/>
      <c r="I793" s="15" t="s">
        <v>96</v>
      </c>
      <c r="J793" s="7" t="str">
        <f>HYPERLINK("https://www.codechef.com/problems/PREP48", "https://www.codechef.com/problems/PREP48")</f>
        <v>https://www.codechef.com/problems/PREP48</v>
      </c>
      <c r="K793" s="15"/>
      <c r="L793" s="15"/>
      <c r="M793" s="15"/>
      <c r="N793" s="15" t="s">
        <v>50</v>
      </c>
      <c r="O793" s="15" t="s">
        <v>51</v>
      </c>
    </row>
    <row r="794" spans="1:15">
      <c r="A794" s="14" t="s">
        <v>13</v>
      </c>
      <c r="B794" s="14" t="s">
        <v>6042</v>
      </c>
      <c r="C794" s="14" t="s">
        <v>6043</v>
      </c>
      <c r="D794" s="14" t="s">
        <v>6257</v>
      </c>
      <c r="E794" s="14">
        <v>144</v>
      </c>
      <c r="F794" s="14" t="s">
        <v>6258</v>
      </c>
      <c r="G794" s="14" t="s">
        <v>6259</v>
      </c>
      <c r="H794" s="14"/>
      <c r="I794" s="14" t="s">
        <v>49</v>
      </c>
      <c r="J794" s="11" t="str">
        <f>HYPERLINK("https://www.codechef.com/problems/PREP44", "https://www.codechef.com/problems/PREP44")</f>
        <v>https://www.codechef.com/problems/PREP44</v>
      </c>
      <c r="K794" s="14"/>
      <c r="L794" s="14"/>
      <c r="M794" s="14"/>
      <c r="N794" s="14" t="s">
        <v>50</v>
      </c>
      <c r="O794" s="14" t="s">
        <v>51</v>
      </c>
    </row>
    <row r="795" spans="1:15">
      <c r="A795" s="15" t="s">
        <v>13</v>
      </c>
      <c r="B795" s="15" t="s">
        <v>6042</v>
      </c>
      <c r="C795" s="15" t="s">
        <v>6043</v>
      </c>
      <c r="D795" s="15" t="s">
        <v>6257</v>
      </c>
      <c r="E795" s="15">
        <v>145</v>
      </c>
      <c r="F795" s="15" t="s">
        <v>1355</v>
      </c>
      <c r="G795" s="15" t="s">
        <v>1356</v>
      </c>
      <c r="H795" s="15"/>
      <c r="I795" s="15" t="s">
        <v>96</v>
      </c>
      <c r="J795" s="7" t="str">
        <f>HYPERLINK("https://www.codechef.com/problems/PREP45", "https://www.codechef.com/problems/PREP45")</f>
        <v>https://www.codechef.com/problems/PREP45</v>
      </c>
      <c r="K795" s="15"/>
      <c r="L795" s="15"/>
      <c r="M795" s="15"/>
      <c r="N795" s="15" t="s">
        <v>50</v>
      </c>
      <c r="O795" s="15" t="s">
        <v>51</v>
      </c>
    </row>
    <row r="796" spans="1:15">
      <c r="A796" s="14" t="s">
        <v>13</v>
      </c>
      <c r="B796" s="14" t="s">
        <v>6042</v>
      </c>
      <c r="C796" s="14" t="s">
        <v>6043</v>
      </c>
      <c r="D796" s="14" t="s">
        <v>6257</v>
      </c>
      <c r="E796" s="14">
        <v>146</v>
      </c>
      <c r="F796" s="14" t="s">
        <v>1391</v>
      </c>
      <c r="G796" s="14" t="s">
        <v>1392</v>
      </c>
      <c r="H796" s="14" t="s">
        <v>343</v>
      </c>
      <c r="I796" s="14" t="s">
        <v>96</v>
      </c>
      <c r="J796" s="11" t="str">
        <f>HYPERLINK("https://www.codechef.com/problems/PREP16", "https://www.codechef.com/problems/PREP16")</f>
        <v>https://www.codechef.com/problems/PREP16</v>
      </c>
      <c r="K796" s="14"/>
      <c r="L796" s="14"/>
      <c r="M796" s="14"/>
      <c r="N796" s="14" t="s">
        <v>50</v>
      </c>
      <c r="O796" s="14" t="s">
        <v>51</v>
      </c>
    </row>
    <row r="797" spans="1:15">
      <c r="A797" s="15" t="s">
        <v>13</v>
      </c>
      <c r="B797" s="15" t="s">
        <v>6042</v>
      </c>
      <c r="C797" s="15" t="s">
        <v>6043</v>
      </c>
      <c r="D797" s="15" t="s">
        <v>6257</v>
      </c>
      <c r="E797" s="15">
        <v>147</v>
      </c>
      <c r="F797" s="15" t="s">
        <v>1351</v>
      </c>
      <c r="G797" s="15" t="s">
        <v>1352</v>
      </c>
      <c r="H797" s="15"/>
      <c r="I797" s="15" t="s">
        <v>96</v>
      </c>
      <c r="J797" s="7" t="str">
        <f>HYPERLINK("https://www.codechef.com/problems/PREP46", "https://www.codechef.com/problems/PREP46")</f>
        <v>https://www.codechef.com/problems/PREP46</v>
      </c>
      <c r="K797" s="15"/>
      <c r="L797" s="15"/>
      <c r="M797" s="15"/>
      <c r="N797" s="15" t="s">
        <v>50</v>
      </c>
      <c r="O797" s="15" t="s">
        <v>51</v>
      </c>
    </row>
    <row r="798" spans="1:15">
      <c r="A798" s="14" t="s">
        <v>13</v>
      </c>
      <c r="B798" s="14" t="s">
        <v>6042</v>
      </c>
      <c r="C798" s="14" t="s">
        <v>6043</v>
      </c>
      <c r="D798" s="14" t="s">
        <v>6257</v>
      </c>
      <c r="E798" s="14">
        <v>148</v>
      </c>
      <c r="F798" s="14" t="s">
        <v>6260</v>
      </c>
      <c r="G798" s="14" t="s">
        <v>6261</v>
      </c>
      <c r="H798" s="14"/>
      <c r="I798" s="14" t="s">
        <v>96</v>
      </c>
      <c r="J798" s="11" t="str">
        <f>HYPERLINK("https://www.codechef.com/problems/PREP47", "https://www.codechef.com/problems/PREP47")</f>
        <v>https://www.codechef.com/problems/PREP47</v>
      </c>
      <c r="K798" s="14"/>
      <c r="L798" s="14"/>
      <c r="M798" s="14"/>
      <c r="N798" s="14" t="s">
        <v>50</v>
      </c>
      <c r="O798" s="14" t="s">
        <v>51</v>
      </c>
    </row>
    <row r="799" spans="1:15">
      <c r="A799" s="15" t="s">
        <v>13</v>
      </c>
      <c r="B799" s="15" t="s">
        <v>6042</v>
      </c>
      <c r="C799" s="15" t="s">
        <v>6043</v>
      </c>
      <c r="D799" s="15" t="s">
        <v>6262</v>
      </c>
      <c r="E799" s="15">
        <v>149</v>
      </c>
      <c r="F799" s="15" t="s">
        <v>6263</v>
      </c>
      <c r="G799" s="15" t="s">
        <v>6264</v>
      </c>
      <c r="H799" s="15"/>
      <c r="I799" s="15" t="s">
        <v>322</v>
      </c>
      <c r="J799" s="7" t="str">
        <f>HYPERLINK("https://www.codechef.com/problems/PREP24", "https://www.codechef.com/problems/PREP24")</f>
        <v>https://www.codechef.com/problems/PREP24</v>
      </c>
      <c r="K799" s="15"/>
      <c r="L799" s="15"/>
      <c r="M799" s="15"/>
      <c r="N799" s="15" t="s">
        <v>50</v>
      </c>
      <c r="O799" s="15" t="s">
        <v>51</v>
      </c>
    </row>
    <row r="800" spans="1:15">
      <c r="A800" s="14" t="s">
        <v>13</v>
      </c>
      <c r="B800" s="14" t="s">
        <v>6042</v>
      </c>
      <c r="C800" s="14" t="s">
        <v>6043</v>
      </c>
      <c r="D800" s="14" t="s">
        <v>6262</v>
      </c>
      <c r="E800" s="14">
        <v>150</v>
      </c>
      <c r="F800" s="14" t="s">
        <v>6265</v>
      </c>
      <c r="G800" s="14" t="s">
        <v>6266</v>
      </c>
      <c r="H800" s="14"/>
      <c r="I800" s="14" t="s">
        <v>96</v>
      </c>
      <c r="J800" s="11" t="str">
        <f>HYPERLINK("https://www.codechef.com/problems/PREP42", "https://www.codechef.com/problems/PREP42")</f>
        <v>https://www.codechef.com/problems/PREP42</v>
      </c>
      <c r="K800" s="14"/>
      <c r="L800" s="14"/>
      <c r="M800" s="14"/>
      <c r="N800" s="14" t="s">
        <v>50</v>
      </c>
      <c r="O800" s="14" t="s">
        <v>51</v>
      </c>
    </row>
    <row r="801" spans="1:15">
      <c r="A801" s="15" t="s">
        <v>13</v>
      </c>
      <c r="B801" s="15" t="s">
        <v>6042</v>
      </c>
      <c r="C801" s="15" t="s">
        <v>6043</v>
      </c>
      <c r="D801" s="15" t="s">
        <v>6262</v>
      </c>
      <c r="E801" s="15">
        <v>151</v>
      </c>
      <c r="F801" s="15" t="s">
        <v>6267</v>
      </c>
      <c r="G801" s="15" t="s">
        <v>6268</v>
      </c>
      <c r="H801" s="15"/>
      <c r="I801" s="15" t="s">
        <v>322</v>
      </c>
      <c r="J801" s="7" t="str">
        <f>HYPERLINK("https://www.codechef.com/problems/PREP41", "https://www.codechef.com/problems/PREP41")</f>
        <v>https://www.codechef.com/problems/PREP41</v>
      </c>
      <c r="K801" s="15"/>
      <c r="L801" s="15"/>
      <c r="M801" s="15"/>
      <c r="N801" s="15" t="s">
        <v>50</v>
      </c>
      <c r="O801" s="15" t="s">
        <v>51</v>
      </c>
    </row>
    <row r="802" spans="1:15">
      <c r="A802" s="14" t="s">
        <v>13</v>
      </c>
      <c r="B802" s="14" t="s">
        <v>6042</v>
      </c>
      <c r="C802" s="14" t="s">
        <v>6043</v>
      </c>
      <c r="D802" s="14" t="s">
        <v>6262</v>
      </c>
      <c r="E802" s="14">
        <v>152</v>
      </c>
      <c r="F802" s="14" t="s">
        <v>6269</v>
      </c>
      <c r="G802" s="14" t="s">
        <v>6270</v>
      </c>
      <c r="H802" s="14"/>
      <c r="I802" s="14" t="s">
        <v>96</v>
      </c>
      <c r="J802" s="11" t="str">
        <f>HYPERLINK("https://www.codechef.com/problems/PREP40", "https://www.codechef.com/problems/PREP40")</f>
        <v>https://www.codechef.com/problems/PREP40</v>
      </c>
      <c r="K802" s="14"/>
      <c r="L802" s="14"/>
      <c r="M802" s="14"/>
      <c r="N802" s="14" t="s">
        <v>50</v>
      </c>
      <c r="O802" s="14" t="s">
        <v>51</v>
      </c>
    </row>
    <row r="803" spans="1:15">
      <c r="A803" s="15" t="s">
        <v>13</v>
      </c>
      <c r="B803" s="15" t="s">
        <v>6042</v>
      </c>
      <c r="C803" s="15" t="s">
        <v>6043</v>
      </c>
      <c r="D803" s="15" t="s">
        <v>6262</v>
      </c>
      <c r="E803" s="15">
        <v>153</v>
      </c>
      <c r="F803" s="15" t="s">
        <v>6271</v>
      </c>
      <c r="G803" s="15" t="s">
        <v>6272</v>
      </c>
      <c r="H803" s="15"/>
      <c r="I803" s="15" t="s">
        <v>96</v>
      </c>
      <c r="J803" s="7" t="str">
        <f>HYPERLINK("https://www.codechef.com/problems/PREP43", "https://www.codechef.com/problems/PREP43")</f>
        <v>https://www.codechef.com/problems/PREP43</v>
      </c>
      <c r="K803" s="15"/>
      <c r="L803" s="15"/>
      <c r="M803" s="15"/>
      <c r="N803" s="15" t="s">
        <v>50</v>
      </c>
      <c r="O803" s="15" t="s">
        <v>51</v>
      </c>
    </row>
    <row r="804" spans="1:15">
      <c r="A804" s="14" t="s">
        <v>13</v>
      </c>
      <c r="B804" s="14" t="s">
        <v>6273</v>
      </c>
      <c r="C804" s="14" t="s">
        <v>6274</v>
      </c>
      <c r="D804" s="14" t="s">
        <v>6275</v>
      </c>
      <c r="E804" s="14">
        <v>1</v>
      </c>
      <c r="F804" s="14" t="s">
        <v>6276</v>
      </c>
      <c r="G804" s="14" t="s">
        <v>6277</v>
      </c>
      <c r="H804" s="14"/>
      <c r="I804" s="14" t="s">
        <v>49</v>
      </c>
      <c r="J804" s="11" t="str">
        <f>HYPERLINK("https://www.codechef.com/problems/PPREPCS01", "https://www.codechef.com/problems/PPREPCS01")</f>
        <v>https://www.codechef.com/problems/PPREPCS01</v>
      </c>
      <c r="K804" s="14"/>
      <c r="L804" s="14"/>
      <c r="M804" s="14"/>
      <c r="N804" s="14" t="s">
        <v>50</v>
      </c>
      <c r="O804" s="14" t="s">
        <v>51</v>
      </c>
    </row>
    <row r="805" spans="1:15">
      <c r="A805" s="15" t="s">
        <v>13</v>
      </c>
      <c r="B805" s="15" t="s">
        <v>6273</v>
      </c>
      <c r="C805" s="15" t="s">
        <v>6274</v>
      </c>
      <c r="D805" s="15" t="s">
        <v>6275</v>
      </c>
      <c r="E805" s="15">
        <v>2</v>
      </c>
      <c r="F805" s="15" t="s">
        <v>6278</v>
      </c>
      <c r="G805" s="15" t="s">
        <v>6279</v>
      </c>
      <c r="H805" s="15"/>
      <c r="I805" s="15" t="s">
        <v>49</v>
      </c>
      <c r="J805" s="7" t="str">
        <f>HYPERLINK("https://www.codechef.com/problems/PPREPCS02", "https://www.codechef.com/problems/PPREPCS02")</f>
        <v>https://www.codechef.com/problems/PPREPCS02</v>
      </c>
      <c r="K805" s="15"/>
      <c r="L805" s="15"/>
      <c r="M805" s="15"/>
      <c r="N805" s="15" t="s">
        <v>50</v>
      </c>
      <c r="O805" s="15" t="s">
        <v>51</v>
      </c>
    </row>
    <row r="806" spans="1:15">
      <c r="A806" s="14" t="s">
        <v>13</v>
      </c>
      <c r="B806" s="14" t="s">
        <v>6273</v>
      </c>
      <c r="C806" s="14" t="s">
        <v>6274</v>
      </c>
      <c r="D806" s="14" t="s">
        <v>6275</v>
      </c>
      <c r="E806" s="14">
        <v>3</v>
      </c>
      <c r="F806" s="14" t="s">
        <v>6280</v>
      </c>
      <c r="G806" s="14" t="s">
        <v>6281</v>
      </c>
      <c r="H806" s="14"/>
      <c r="I806" s="14" t="s">
        <v>49</v>
      </c>
      <c r="J806" s="11" t="str">
        <f>HYPERLINK("https://www.codechef.com/problems/PPREPCS03", "https://www.codechef.com/problems/PPREPCS03")</f>
        <v>https://www.codechef.com/problems/PPREPCS03</v>
      </c>
      <c r="K806" s="14"/>
      <c r="L806" s="14"/>
      <c r="M806" s="14"/>
      <c r="N806" s="14" t="s">
        <v>50</v>
      </c>
      <c r="O806" s="14" t="s">
        <v>51</v>
      </c>
    </row>
    <row r="807" spans="1:15">
      <c r="A807" s="15" t="s">
        <v>13</v>
      </c>
      <c r="B807" s="15" t="s">
        <v>6273</v>
      </c>
      <c r="C807" s="15" t="s">
        <v>6274</v>
      </c>
      <c r="D807" s="15" t="s">
        <v>6275</v>
      </c>
      <c r="E807" s="15">
        <v>4</v>
      </c>
      <c r="F807" s="15" t="s">
        <v>6282</v>
      </c>
      <c r="G807" s="15" t="s">
        <v>6283</v>
      </c>
      <c r="H807" s="15"/>
      <c r="I807" s="15" t="s">
        <v>96</v>
      </c>
      <c r="J807" s="7" t="str">
        <f>HYPERLINK("https://www.codechef.com/problems/PPREPCS03A", "https://www.codechef.com/problems/PPREPCS03A")</f>
        <v>https://www.codechef.com/problems/PPREPCS03A</v>
      </c>
      <c r="K807" s="15"/>
      <c r="L807" s="15"/>
      <c r="M807" s="15"/>
      <c r="N807" s="15" t="s">
        <v>50</v>
      </c>
      <c r="O807" s="15" t="s">
        <v>51</v>
      </c>
    </row>
    <row r="808" spans="1:15">
      <c r="A808" s="14" t="s">
        <v>13</v>
      </c>
      <c r="B808" s="14" t="s">
        <v>6273</v>
      </c>
      <c r="C808" s="14" t="s">
        <v>6274</v>
      </c>
      <c r="D808" s="14" t="s">
        <v>6275</v>
      </c>
      <c r="E808" s="14">
        <v>5</v>
      </c>
      <c r="F808" s="14" t="s">
        <v>6284</v>
      </c>
      <c r="G808" s="14" t="s">
        <v>6285</v>
      </c>
      <c r="H808" s="14"/>
      <c r="I808" s="14" t="s">
        <v>49</v>
      </c>
      <c r="J808" s="11" t="str">
        <f>HYPERLINK("https://www.codechef.com/problems/PPREPCS04", "https://www.codechef.com/problems/PPREPCS04")</f>
        <v>https://www.codechef.com/problems/PPREPCS04</v>
      </c>
      <c r="K808" s="14"/>
      <c r="L808" s="14"/>
      <c r="M808" s="14"/>
      <c r="N808" s="14" t="s">
        <v>50</v>
      </c>
      <c r="O808" s="14" t="s">
        <v>51</v>
      </c>
    </row>
    <row r="809" spans="1:15">
      <c r="A809" s="15" t="s">
        <v>13</v>
      </c>
      <c r="B809" s="15" t="s">
        <v>6273</v>
      </c>
      <c r="C809" s="15" t="s">
        <v>6274</v>
      </c>
      <c r="D809" s="15" t="s">
        <v>6275</v>
      </c>
      <c r="E809" s="15">
        <v>6</v>
      </c>
      <c r="F809" s="15" t="s">
        <v>6286</v>
      </c>
      <c r="G809" s="15" t="s">
        <v>6287</v>
      </c>
      <c r="H809" s="15"/>
      <c r="I809" s="15" t="s">
        <v>96</v>
      </c>
      <c r="J809" s="7" t="str">
        <f>HYPERLINK("https://www.codechef.com/problems/PPREPCS05", "https://www.codechef.com/problems/PPREPCS05")</f>
        <v>https://www.codechef.com/problems/PPREPCS05</v>
      </c>
      <c r="K809" s="15"/>
      <c r="L809" s="15"/>
      <c r="M809" s="15"/>
      <c r="N809" s="15" t="s">
        <v>50</v>
      </c>
      <c r="O809" s="15" t="s">
        <v>51</v>
      </c>
    </row>
    <row r="810" spans="1:15">
      <c r="A810" s="14" t="s">
        <v>13</v>
      </c>
      <c r="B810" s="14" t="s">
        <v>6273</v>
      </c>
      <c r="C810" s="14" t="s">
        <v>6274</v>
      </c>
      <c r="D810" s="14" t="s">
        <v>6275</v>
      </c>
      <c r="E810" s="14">
        <v>7</v>
      </c>
      <c r="F810" s="14" t="s">
        <v>6288</v>
      </c>
      <c r="G810" s="14" t="s">
        <v>6289</v>
      </c>
      <c r="H810" s="14"/>
      <c r="I810" s="14" t="s">
        <v>49</v>
      </c>
      <c r="J810" s="11" t="str">
        <f>HYPERLINK("https://www.codechef.com/problems/PPREPCS06", "https://www.codechef.com/problems/PPREPCS06")</f>
        <v>https://www.codechef.com/problems/PPREPCS06</v>
      </c>
      <c r="K810" s="14"/>
      <c r="L810" s="14"/>
      <c r="M810" s="14"/>
      <c r="N810" s="14" t="s">
        <v>50</v>
      </c>
      <c r="O810" s="14" t="s">
        <v>51</v>
      </c>
    </row>
    <row r="811" spans="1:15">
      <c r="A811" s="15" t="s">
        <v>13</v>
      </c>
      <c r="B811" s="15" t="s">
        <v>6273</v>
      </c>
      <c r="C811" s="15" t="s">
        <v>6274</v>
      </c>
      <c r="D811" s="15" t="s">
        <v>6275</v>
      </c>
      <c r="E811" s="15">
        <v>8</v>
      </c>
      <c r="F811" s="15" t="s">
        <v>6290</v>
      </c>
      <c r="G811" s="15" t="s">
        <v>6291</v>
      </c>
      <c r="H811" s="15"/>
      <c r="I811" s="15" t="s">
        <v>49</v>
      </c>
      <c r="J811" s="7" t="str">
        <f>HYPERLINK("https://www.codechef.com/problems/PPREPCS07", "https://www.codechef.com/problems/PPREPCS07")</f>
        <v>https://www.codechef.com/problems/PPREPCS07</v>
      </c>
      <c r="K811" s="15"/>
      <c r="L811" s="15"/>
      <c r="M811" s="15"/>
      <c r="N811" s="15" t="s">
        <v>50</v>
      </c>
      <c r="O811" s="15" t="s">
        <v>51</v>
      </c>
    </row>
    <row r="812" spans="1:15">
      <c r="A812" s="14" t="s">
        <v>13</v>
      </c>
      <c r="B812" s="14" t="s">
        <v>6273</v>
      </c>
      <c r="C812" s="14" t="s">
        <v>6274</v>
      </c>
      <c r="D812" s="14" t="s">
        <v>6275</v>
      </c>
      <c r="E812" s="14">
        <v>9</v>
      </c>
      <c r="F812" s="14" t="s">
        <v>6292</v>
      </c>
      <c r="G812" s="14" t="s">
        <v>6293</v>
      </c>
      <c r="H812" s="14"/>
      <c r="I812" s="14" t="s">
        <v>49</v>
      </c>
      <c r="J812" s="11" t="str">
        <f>HYPERLINK("https://www.codechef.com/problems/PPREPCS08", "https://www.codechef.com/problems/PPREPCS08")</f>
        <v>https://www.codechef.com/problems/PPREPCS08</v>
      </c>
      <c r="K812" s="14"/>
      <c r="L812" s="14"/>
      <c r="M812" s="14"/>
      <c r="N812" s="14" t="s">
        <v>50</v>
      </c>
      <c r="O812" s="14" t="s">
        <v>51</v>
      </c>
    </row>
    <row r="813" spans="1:15">
      <c r="A813" s="15" t="s">
        <v>13</v>
      </c>
      <c r="B813" s="15" t="s">
        <v>6273</v>
      </c>
      <c r="C813" s="15" t="s">
        <v>6274</v>
      </c>
      <c r="D813" s="15" t="s">
        <v>6275</v>
      </c>
      <c r="E813" s="15">
        <v>10</v>
      </c>
      <c r="F813" s="15" t="s">
        <v>6294</v>
      </c>
      <c r="G813" s="15" t="s">
        <v>6295</v>
      </c>
      <c r="H813" s="15"/>
      <c r="I813" s="15" t="s">
        <v>49</v>
      </c>
      <c r="J813" s="7" t="str">
        <f>HYPERLINK("https://www.codechef.com/problems/PPREPCS09", "https://www.codechef.com/problems/PPREPCS09")</f>
        <v>https://www.codechef.com/problems/PPREPCS09</v>
      </c>
      <c r="K813" s="15"/>
      <c r="L813" s="15"/>
      <c r="M813" s="15"/>
      <c r="N813" s="15" t="s">
        <v>50</v>
      </c>
      <c r="O813" s="15" t="s">
        <v>51</v>
      </c>
    </row>
    <row r="814" spans="1:15">
      <c r="A814" s="14" t="s">
        <v>13</v>
      </c>
      <c r="B814" s="14" t="s">
        <v>6273</v>
      </c>
      <c r="C814" s="14" t="s">
        <v>6274</v>
      </c>
      <c r="D814" s="14" t="s">
        <v>6275</v>
      </c>
      <c r="E814" s="14">
        <v>11</v>
      </c>
      <c r="F814" s="14" t="s">
        <v>6296</v>
      </c>
      <c r="G814" s="14" t="s">
        <v>6297</v>
      </c>
      <c r="H814" s="14"/>
      <c r="I814" s="14" t="s">
        <v>49</v>
      </c>
      <c r="J814" s="11" t="str">
        <f>HYPERLINK("https://www.codechef.com/problems/PPREPCS10", "https://www.codechef.com/problems/PPREPCS10")</f>
        <v>https://www.codechef.com/problems/PPREPCS10</v>
      </c>
      <c r="K814" s="14"/>
      <c r="L814" s="14"/>
      <c r="M814" s="14"/>
      <c r="N814" s="14" t="s">
        <v>50</v>
      </c>
      <c r="O814" s="14" t="s">
        <v>51</v>
      </c>
    </row>
    <row r="815" spans="1:15">
      <c r="A815" s="15" t="s">
        <v>13</v>
      </c>
      <c r="B815" s="15" t="s">
        <v>6273</v>
      </c>
      <c r="C815" s="15" t="s">
        <v>6274</v>
      </c>
      <c r="D815" s="15" t="s">
        <v>6275</v>
      </c>
      <c r="E815" s="15">
        <v>12</v>
      </c>
      <c r="F815" s="15" t="s">
        <v>6298</v>
      </c>
      <c r="G815" s="15" t="s">
        <v>6299</v>
      </c>
      <c r="H815" s="15"/>
      <c r="I815" s="15" t="s">
        <v>49</v>
      </c>
      <c r="J815" s="7" t="str">
        <f>HYPERLINK("https://www.codechef.com/problems/PPREPCS11", "https://www.codechef.com/problems/PPREPCS11")</f>
        <v>https://www.codechef.com/problems/PPREPCS11</v>
      </c>
      <c r="K815" s="15"/>
      <c r="L815" s="15"/>
      <c r="M815" s="15"/>
      <c r="N815" s="15" t="s">
        <v>50</v>
      </c>
      <c r="O815" s="15" t="s">
        <v>51</v>
      </c>
    </row>
    <row r="816" spans="1:15">
      <c r="A816" s="14" t="s">
        <v>13</v>
      </c>
      <c r="B816" s="14" t="s">
        <v>6273</v>
      </c>
      <c r="C816" s="14" t="s">
        <v>6274</v>
      </c>
      <c r="D816" s="14" t="s">
        <v>6275</v>
      </c>
      <c r="E816" s="14">
        <v>13</v>
      </c>
      <c r="F816" s="14" t="s">
        <v>6300</v>
      </c>
      <c r="G816" s="14" t="s">
        <v>6301</v>
      </c>
      <c r="H816" s="14"/>
      <c r="I816" s="14" t="s">
        <v>49</v>
      </c>
      <c r="J816" s="11" t="str">
        <f>HYPERLINK("https://www.codechef.com/problems/PPREPCS12", "https://www.codechef.com/problems/PPREPCS12")</f>
        <v>https://www.codechef.com/problems/PPREPCS12</v>
      </c>
      <c r="K816" s="14"/>
      <c r="L816" s="14"/>
      <c r="M816" s="14"/>
      <c r="N816" s="14" t="s">
        <v>50</v>
      </c>
      <c r="O816" s="14" t="s">
        <v>51</v>
      </c>
    </row>
    <row r="817" spans="1:15">
      <c r="A817" s="15" t="s">
        <v>13</v>
      </c>
      <c r="B817" s="15" t="s">
        <v>6273</v>
      </c>
      <c r="C817" s="15" t="s">
        <v>6274</v>
      </c>
      <c r="D817" s="15" t="s">
        <v>6302</v>
      </c>
      <c r="E817" s="15">
        <v>14</v>
      </c>
      <c r="F817" s="15" t="s">
        <v>6303</v>
      </c>
      <c r="G817" s="15" t="s">
        <v>6304</v>
      </c>
      <c r="H817" s="15"/>
      <c r="I817" s="15" t="s">
        <v>49</v>
      </c>
      <c r="J817" s="7" t="str">
        <f>HYPERLINK("https://www.codechef.com/problems/PPREPCS12A", "https://www.codechef.com/problems/PPREPCS12A")</f>
        <v>https://www.codechef.com/problems/PPREPCS12A</v>
      </c>
      <c r="K817" s="15"/>
      <c r="L817" s="15"/>
      <c r="M817" s="15"/>
      <c r="N817" s="15" t="s">
        <v>50</v>
      </c>
      <c r="O817" s="15" t="s">
        <v>51</v>
      </c>
    </row>
    <row r="818" spans="1:15">
      <c r="A818" s="14" t="s">
        <v>13</v>
      </c>
      <c r="B818" s="14" t="s">
        <v>6273</v>
      </c>
      <c r="C818" s="14" t="s">
        <v>6274</v>
      </c>
      <c r="D818" s="14" t="s">
        <v>6302</v>
      </c>
      <c r="E818" s="14">
        <v>15</v>
      </c>
      <c r="F818" s="14" t="s">
        <v>6305</v>
      </c>
      <c r="G818" s="14" t="s">
        <v>6306</v>
      </c>
      <c r="H818" s="14"/>
      <c r="I818" s="14" t="s">
        <v>49</v>
      </c>
      <c r="J818" s="11" t="str">
        <f>HYPERLINK("https://www.codechef.com/problems/PPREPCS13", "https://www.codechef.com/problems/PPREPCS13")</f>
        <v>https://www.codechef.com/problems/PPREPCS13</v>
      </c>
      <c r="K818" s="14"/>
      <c r="L818" s="14"/>
      <c r="M818" s="14"/>
      <c r="N818" s="14" t="s">
        <v>50</v>
      </c>
      <c r="O818" s="14" t="s">
        <v>51</v>
      </c>
    </row>
    <row r="819" spans="1:15">
      <c r="A819" s="15" t="s">
        <v>13</v>
      </c>
      <c r="B819" s="15" t="s">
        <v>6273</v>
      </c>
      <c r="C819" s="15" t="s">
        <v>6274</v>
      </c>
      <c r="D819" s="15" t="s">
        <v>6302</v>
      </c>
      <c r="E819" s="15">
        <v>16</v>
      </c>
      <c r="F819" s="15" t="s">
        <v>6307</v>
      </c>
      <c r="G819" s="15" t="s">
        <v>6308</v>
      </c>
      <c r="H819" s="15"/>
      <c r="I819" s="15" t="s">
        <v>49</v>
      </c>
      <c r="J819" s="7" t="str">
        <f>HYPERLINK("https://www.codechef.com/problems/PPREPCS14", "https://www.codechef.com/problems/PPREPCS14")</f>
        <v>https://www.codechef.com/problems/PPREPCS14</v>
      </c>
      <c r="K819" s="15"/>
      <c r="L819" s="15"/>
      <c r="M819" s="15"/>
      <c r="N819" s="15" t="s">
        <v>50</v>
      </c>
      <c r="O819" s="15" t="s">
        <v>51</v>
      </c>
    </row>
    <row r="820" spans="1:15">
      <c r="A820" s="14" t="s">
        <v>13</v>
      </c>
      <c r="B820" s="14" t="s">
        <v>6273</v>
      </c>
      <c r="C820" s="14" t="s">
        <v>6274</v>
      </c>
      <c r="D820" s="14" t="s">
        <v>6302</v>
      </c>
      <c r="E820" s="14">
        <v>17</v>
      </c>
      <c r="F820" s="14" t="s">
        <v>6309</v>
      </c>
      <c r="G820" s="14" t="s">
        <v>6310</v>
      </c>
      <c r="H820" s="14"/>
      <c r="I820" s="14" t="s">
        <v>49</v>
      </c>
      <c r="J820" s="11" t="str">
        <f>HYPERLINK("https://www.codechef.com/problems/PPREPCS15", "https://www.codechef.com/problems/PPREPCS15")</f>
        <v>https://www.codechef.com/problems/PPREPCS15</v>
      </c>
      <c r="K820" s="14"/>
      <c r="L820" s="14"/>
      <c r="M820" s="14"/>
      <c r="N820" s="14" t="s">
        <v>50</v>
      </c>
      <c r="O820" s="14" t="s">
        <v>51</v>
      </c>
    </row>
    <row r="821" spans="1:15">
      <c r="A821" s="15" t="s">
        <v>13</v>
      </c>
      <c r="B821" s="15" t="s">
        <v>6273</v>
      </c>
      <c r="C821" s="15" t="s">
        <v>6274</v>
      </c>
      <c r="D821" s="15" t="s">
        <v>6302</v>
      </c>
      <c r="E821" s="15">
        <v>18</v>
      </c>
      <c r="F821" s="15" t="s">
        <v>6311</v>
      </c>
      <c r="G821" s="15" t="s">
        <v>6312</v>
      </c>
      <c r="H821" s="15"/>
      <c r="I821" s="15" t="s">
        <v>49</v>
      </c>
      <c r="J821" s="7" t="str">
        <f>HYPERLINK("https://www.codechef.com/problems/PPREPCS16", "https://www.codechef.com/problems/PPREPCS16")</f>
        <v>https://www.codechef.com/problems/PPREPCS16</v>
      </c>
      <c r="K821" s="15"/>
      <c r="L821" s="15"/>
      <c r="M821" s="15"/>
      <c r="N821" s="15" t="s">
        <v>50</v>
      </c>
      <c r="O821" s="15" t="s">
        <v>51</v>
      </c>
    </row>
    <row r="822" spans="1:15">
      <c r="A822" s="14" t="s">
        <v>13</v>
      </c>
      <c r="B822" s="14" t="s">
        <v>6273</v>
      </c>
      <c r="C822" s="14" t="s">
        <v>6274</v>
      </c>
      <c r="D822" s="14" t="s">
        <v>6302</v>
      </c>
      <c r="E822" s="14">
        <v>19</v>
      </c>
      <c r="F822" s="14" t="s">
        <v>6313</v>
      </c>
      <c r="G822" s="14" t="s">
        <v>6314</v>
      </c>
      <c r="H822" s="14"/>
      <c r="I822" s="14" t="s">
        <v>96</v>
      </c>
      <c r="J822" s="11" t="str">
        <f>HYPERLINK("https://www.codechef.com/problems/PPREPCS17", "https://www.codechef.com/problems/PPREPCS17")</f>
        <v>https://www.codechef.com/problems/PPREPCS17</v>
      </c>
      <c r="K822" s="14"/>
      <c r="L822" s="14"/>
      <c r="M822" s="14"/>
      <c r="N822" s="14" t="s">
        <v>50</v>
      </c>
      <c r="O822" s="14" t="s">
        <v>51</v>
      </c>
    </row>
    <row r="823" spans="1:15">
      <c r="A823" s="15" t="s">
        <v>13</v>
      </c>
      <c r="B823" s="15" t="s">
        <v>6273</v>
      </c>
      <c r="C823" s="15" t="s">
        <v>6274</v>
      </c>
      <c r="D823" s="15" t="s">
        <v>6302</v>
      </c>
      <c r="E823" s="15">
        <v>20</v>
      </c>
      <c r="F823" s="15" t="s">
        <v>6315</v>
      </c>
      <c r="G823" s="15" t="s">
        <v>6316</v>
      </c>
      <c r="H823" s="15"/>
      <c r="I823" s="15" t="s">
        <v>49</v>
      </c>
      <c r="J823" s="7" t="str">
        <f>HYPERLINK("https://www.codechef.com/problems/PPREPCS18", "https://www.codechef.com/problems/PPREPCS18")</f>
        <v>https://www.codechef.com/problems/PPREPCS18</v>
      </c>
      <c r="K823" s="15"/>
      <c r="L823" s="15"/>
      <c r="M823" s="15"/>
      <c r="N823" s="15" t="s">
        <v>50</v>
      </c>
      <c r="O823" s="15" t="s">
        <v>51</v>
      </c>
    </row>
    <row r="824" spans="1:15">
      <c r="A824" s="14" t="s">
        <v>13</v>
      </c>
      <c r="B824" s="14" t="s">
        <v>6273</v>
      </c>
      <c r="C824" s="14" t="s">
        <v>6274</v>
      </c>
      <c r="D824" s="14" t="s">
        <v>6317</v>
      </c>
      <c r="E824" s="14">
        <v>21</v>
      </c>
      <c r="F824" s="14" t="s">
        <v>6318</v>
      </c>
      <c r="G824" s="14" t="s">
        <v>6319</v>
      </c>
      <c r="H824" s="14"/>
      <c r="I824" s="14" t="s">
        <v>96</v>
      </c>
      <c r="J824" s="11" t="str">
        <f>HYPERLINK("https://www.codechef.com/problems/PPREPCS19", "https://www.codechef.com/problems/PPREPCS19")</f>
        <v>https://www.codechef.com/problems/PPREPCS19</v>
      </c>
      <c r="K824" s="14"/>
      <c r="L824" s="14"/>
      <c r="M824" s="14"/>
      <c r="N824" s="14" t="s">
        <v>50</v>
      </c>
      <c r="O824" s="14" t="s">
        <v>51</v>
      </c>
    </row>
    <row r="825" spans="1:15">
      <c r="A825" s="15" t="s">
        <v>13</v>
      </c>
      <c r="B825" s="15" t="s">
        <v>6273</v>
      </c>
      <c r="C825" s="15" t="s">
        <v>6274</v>
      </c>
      <c r="D825" s="15" t="s">
        <v>6317</v>
      </c>
      <c r="E825" s="15">
        <v>22</v>
      </c>
      <c r="F825" s="15" t="s">
        <v>6320</v>
      </c>
      <c r="G825" s="15" t="s">
        <v>6321</v>
      </c>
      <c r="H825" s="15"/>
      <c r="I825" s="15" t="s">
        <v>49</v>
      </c>
      <c r="J825" s="7" t="str">
        <f>HYPERLINK("https://www.codechef.com/problems/PPREPCS20", "https://www.codechef.com/problems/PPREPCS20")</f>
        <v>https://www.codechef.com/problems/PPREPCS20</v>
      </c>
      <c r="K825" s="15"/>
      <c r="L825" s="15"/>
      <c r="M825" s="15"/>
      <c r="N825" s="15" t="s">
        <v>50</v>
      </c>
      <c r="O825" s="15" t="s">
        <v>51</v>
      </c>
    </row>
    <row r="826" spans="1:15">
      <c r="A826" s="14" t="s">
        <v>13</v>
      </c>
      <c r="B826" s="14" t="s">
        <v>6273</v>
      </c>
      <c r="C826" s="14" t="s">
        <v>6274</v>
      </c>
      <c r="D826" s="14" t="s">
        <v>6317</v>
      </c>
      <c r="E826" s="14">
        <v>23</v>
      </c>
      <c r="F826" s="14" t="s">
        <v>6322</v>
      </c>
      <c r="G826" s="14" t="s">
        <v>6323</v>
      </c>
      <c r="H826" s="14"/>
      <c r="I826" s="14" t="s">
        <v>49</v>
      </c>
      <c r="J826" s="11" t="str">
        <f>HYPERLINK("https://www.codechef.com/problems/PPREPCS21", "https://www.codechef.com/problems/PPREPCS21")</f>
        <v>https://www.codechef.com/problems/PPREPCS21</v>
      </c>
      <c r="K826" s="14"/>
      <c r="L826" s="14"/>
      <c r="M826" s="14"/>
      <c r="N826" s="14" t="s">
        <v>50</v>
      </c>
      <c r="O826" s="14" t="s">
        <v>51</v>
      </c>
    </row>
    <row r="827" spans="1:15">
      <c r="A827" s="15" t="s">
        <v>13</v>
      </c>
      <c r="B827" s="15" t="s">
        <v>6273</v>
      </c>
      <c r="C827" s="15" t="s">
        <v>6274</v>
      </c>
      <c r="D827" s="15" t="s">
        <v>6317</v>
      </c>
      <c r="E827" s="15">
        <v>24</v>
      </c>
      <c r="F827" s="15" t="s">
        <v>6324</v>
      </c>
      <c r="G827" s="15" t="s">
        <v>6325</v>
      </c>
      <c r="H827" s="15"/>
      <c r="I827" s="15" t="s">
        <v>49</v>
      </c>
      <c r="J827" s="7" t="str">
        <f>HYPERLINK("https://www.codechef.com/problems/PPREPCS22", "https://www.codechef.com/problems/PPREPCS22")</f>
        <v>https://www.codechef.com/problems/PPREPCS22</v>
      </c>
      <c r="K827" s="15"/>
      <c r="L827" s="15"/>
      <c r="M827" s="15"/>
      <c r="N827" s="15" t="s">
        <v>50</v>
      </c>
      <c r="O827" s="15" t="s">
        <v>51</v>
      </c>
    </row>
    <row r="828" spans="1:15">
      <c r="A828" s="14" t="s">
        <v>13</v>
      </c>
      <c r="B828" s="14" t="s">
        <v>6273</v>
      </c>
      <c r="C828" s="14" t="s">
        <v>6274</v>
      </c>
      <c r="D828" s="14" t="s">
        <v>6317</v>
      </c>
      <c r="E828" s="14">
        <v>25</v>
      </c>
      <c r="F828" s="14" t="s">
        <v>6326</v>
      </c>
      <c r="G828" s="14" t="s">
        <v>6327</v>
      </c>
      <c r="H828" s="14"/>
      <c r="I828" s="14" t="s">
        <v>49</v>
      </c>
      <c r="J828" s="11" t="str">
        <f>HYPERLINK("https://www.codechef.com/problems/PPREPCS23", "https://www.codechef.com/problems/PPREPCS23")</f>
        <v>https://www.codechef.com/problems/PPREPCS23</v>
      </c>
      <c r="K828" s="14"/>
      <c r="L828" s="14"/>
      <c r="M828" s="14"/>
      <c r="N828" s="14" t="s">
        <v>50</v>
      </c>
      <c r="O828" s="14" t="s">
        <v>51</v>
      </c>
    </row>
    <row r="829" spans="1:15">
      <c r="A829" s="15" t="s">
        <v>13</v>
      </c>
      <c r="B829" s="15" t="s">
        <v>6273</v>
      </c>
      <c r="C829" s="15" t="s">
        <v>6274</v>
      </c>
      <c r="D829" s="15" t="s">
        <v>6317</v>
      </c>
      <c r="E829" s="15">
        <v>26</v>
      </c>
      <c r="F829" s="15" t="s">
        <v>6328</v>
      </c>
      <c r="G829" s="15" t="s">
        <v>6329</v>
      </c>
      <c r="H829" s="15"/>
      <c r="I829" s="15" t="s">
        <v>96</v>
      </c>
      <c r="J829" s="7" t="str">
        <f>HYPERLINK("https://www.codechef.com/problems/PPREPCS24", "https://www.codechef.com/problems/PPREPCS24")</f>
        <v>https://www.codechef.com/problems/PPREPCS24</v>
      </c>
      <c r="K829" s="15"/>
      <c r="L829" s="15"/>
      <c r="M829" s="15"/>
      <c r="N829" s="15" t="s">
        <v>50</v>
      </c>
      <c r="O829" s="15" t="s">
        <v>51</v>
      </c>
    </row>
    <row r="830" spans="1:15">
      <c r="A830" s="14" t="s">
        <v>13</v>
      </c>
      <c r="B830" s="14" t="s">
        <v>6273</v>
      </c>
      <c r="C830" s="14" t="s">
        <v>6274</v>
      </c>
      <c r="D830" s="14" t="s">
        <v>6317</v>
      </c>
      <c r="E830" s="14">
        <v>27</v>
      </c>
      <c r="F830" s="14" t="s">
        <v>6330</v>
      </c>
      <c r="G830" s="14" t="s">
        <v>6331</v>
      </c>
      <c r="H830" s="14"/>
      <c r="I830" s="14" t="s">
        <v>49</v>
      </c>
      <c r="J830" s="11" t="str">
        <f>HYPERLINK("https://www.codechef.com/problems/PPREPCS25", "https://www.codechef.com/problems/PPREPCS25")</f>
        <v>https://www.codechef.com/problems/PPREPCS25</v>
      </c>
      <c r="K830" s="14"/>
      <c r="L830" s="14"/>
      <c r="M830" s="14"/>
      <c r="N830" s="14" t="s">
        <v>50</v>
      </c>
      <c r="O830" s="14" t="s">
        <v>51</v>
      </c>
    </row>
    <row r="831" spans="1:15">
      <c r="A831" s="15" t="s">
        <v>13</v>
      </c>
      <c r="B831" s="15" t="s">
        <v>6273</v>
      </c>
      <c r="C831" s="15" t="s">
        <v>6274</v>
      </c>
      <c r="D831" s="15" t="s">
        <v>6317</v>
      </c>
      <c r="E831" s="15">
        <v>28</v>
      </c>
      <c r="F831" s="15" t="s">
        <v>6332</v>
      </c>
      <c r="G831" s="15" t="s">
        <v>6333</v>
      </c>
      <c r="H831" s="15"/>
      <c r="I831" s="15" t="s">
        <v>96</v>
      </c>
      <c r="J831" s="7" t="str">
        <f>HYPERLINK("https://www.codechef.com/problems/PPREPCS26", "https://www.codechef.com/problems/PPREPCS26")</f>
        <v>https://www.codechef.com/problems/PPREPCS26</v>
      </c>
      <c r="K831" s="15"/>
      <c r="L831" s="15"/>
      <c r="M831" s="15"/>
      <c r="N831" s="15" t="s">
        <v>50</v>
      </c>
      <c r="O831" s="15" t="s">
        <v>51</v>
      </c>
    </row>
    <row r="832" spans="1:15">
      <c r="A832" s="14" t="s">
        <v>13</v>
      </c>
      <c r="B832" s="14" t="s">
        <v>6273</v>
      </c>
      <c r="C832" s="14" t="s">
        <v>6274</v>
      </c>
      <c r="D832" s="14" t="s">
        <v>6317</v>
      </c>
      <c r="E832" s="14">
        <v>29</v>
      </c>
      <c r="F832" s="14" t="s">
        <v>6334</v>
      </c>
      <c r="G832" s="14" t="s">
        <v>6335</v>
      </c>
      <c r="H832" s="14"/>
      <c r="I832" s="14" t="s">
        <v>96</v>
      </c>
      <c r="J832" s="11" t="str">
        <f>HYPERLINK("https://www.codechef.com/problems/PPREPCS27", "https://www.codechef.com/problems/PPREPCS27")</f>
        <v>https://www.codechef.com/problems/PPREPCS27</v>
      </c>
      <c r="K832" s="14"/>
      <c r="L832" s="14"/>
      <c r="M832" s="14"/>
      <c r="N832" s="14" t="s">
        <v>50</v>
      </c>
      <c r="O832" s="14" t="s">
        <v>51</v>
      </c>
    </row>
    <row r="833" spans="1:15">
      <c r="A833" s="15" t="s">
        <v>13</v>
      </c>
      <c r="B833" s="15" t="s">
        <v>6273</v>
      </c>
      <c r="C833" s="15" t="s">
        <v>6274</v>
      </c>
      <c r="D833" s="15" t="s">
        <v>6336</v>
      </c>
      <c r="E833" s="15">
        <v>30</v>
      </c>
      <c r="F833" s="15" t="s">
        <v>6337</v>
      </c>
      <c r="G833" s="15" t="s">
        <v>6338</v>
      </c>
      <c r="H833" s="15"/>
      <c r="I833" s="15" t="s">
        <v>96</v>
      </c>
      <c r="J833" s="7" t="str">
        <f>HYPERLINK("https://www.codechef.com/problems/PPREPCS28", "https://www.codechef.com/problems/PPREPCS28")</f>
        <v>https://www.codechef.com/problems/PPREPCS28</v>
      </c>
      <c r="K833" s="15"/>
      <c r="L833" s="15"/>
      <c r="M833" s="15"/>
      <c r="N833" s="15" t="s">
        <v>50</v>
      </c>
      <c r="O833" s="15" t="s">
        <v>51</v>
      </c>
    </row>
    <row r="834" spans="1:15">
      <c r="A834" s="14" t="s">
        <v>13</v>
      </c>
      <c r="B834" s="14" t="s">
        <v>6273</v>
      </c>
      <c r="C834" s="14" t="s">
        <v>6274</v>
      </c>
      <c r="D834" s="14" t="s">
        <v>6336</v>
      </c>
      <c r="E834" s="14">
        <v>31</v>
      </c>
      <c r="F834" s="14" t="s">
        <v>6339</v>
      </c>
      <c r="G834" s="14" t="s">
        <v>6340</v>
      </c>
      <c r="H834" s="14"/>
      <c r="I834" s="14" t="s">
        <v>96</v>
      </c>
      <c r="J834" s="11" t="str">
        <f>HYPERLINK("https://www.codechef.com/problems/PPREPCS29", "https://www.codechef.com/problems/PPREPCS29")</f>
        <v>https://www.codechef.com/problems/PPREPCS29</v>
      </c>
      <c r="K834" s="14"/>
      <c r="L834" s="14"/>
      <c r="M834" s="14"/>
      <c r="N834" s="14" t="s">
        <v>50</v>
      </c>
      <c r="O834" s="14" t="s">
        <v>51</v>
      </c>
    </row>
    <row r="835" spans="1:15">
      <c r="A835" s="15" t="s">
        <v>13</v>
      </c>
      <c r="B835" s="15" t="s">
        <v>6273</v>
      </c>
      <c r="C835" s="15" t="s">
        <v>6274</v>
      </c>
      <c r="D835" s="15" t="s">
        <v>6336</v>
      </c>
      <c r="E835" s="15">
        <v>32</v>
      </c>
      <c r="F835" s="15" t="s">
        <v>6341</v>
      </c>
      <c r="G835" s="15" t="s">
        <v>6342</v>
      </c>
      <c r="H835" s="15"/>
      <c r="I835" s="15" t="s">
        <v>96</v>
      </c>
      <c r="J835" s="7" t="str">
        <f>HYPERLINK("https://www.codechef.com/problems/PPREPCS30", "https://www.codechef.com/problems/PPREPCS30")</f>
        <v>https://www.codechef.com/problems/PPREPCS30</v>
      </c>
      <c r="K835" s="15"/>
      <c r="L835" s="15"/>
      <c r="M835" s="15"/>
      <c r="N835" s="15" t="s">
        <v>50</v>
      </c>
      <c r="O835" s="15" t="s">
        <v>51</v>
      </c>
    </row>
    <row r="836" spans="1:15">
      <c r="A836" s="14" t="s">
        <v>13</v>
      </c>
      <c r="B836" s="14" t="s">
        <v>6273</v>
      </c>
      <c r="C836" s="14" t="s">
        <v>6274</v>
      </c>
      <c r="D836" s="14" t="s">
        <v>6336</v>
      </c>
      <c r="E836" s="14">
        <v>33</v>
      </c>
      <c r="F836" s="14" t="s">
        <v>6343</v>
      </c>
      <c r="G836" s="14" t="s">
        <v>6344</v>
      </c>
      <c r="H836" s="14"/>
      <c r="I836" s="14" t="s">
        <v>96</v>
      </c>
      <c r="J836" s="11" t="str">
        <f>HYPERLINK("https://www.codechef.com/problems/PPREPCS31", "https://www.codechef.com/problems/PPREPCS31")</f>
        <v>https://www.codechef.com/problems/PPREPCS31</v>
      </c>
      <c r="K836" s="14"/>
      <c r="L836" s="14"/>
      <c r="M836" s="14"/>
      <c r="N836" s="14" t="s">
        <v>50</v>
      </c>
      <c r="O836" s="14" t="s">
        <v>51</v>
      </c>
    </row>
    <row r="837" spans="1:15">
      <c r="A837" s="15" t="s">
        <v>13</v>
      </c>
      <c r="B837" s="15" t="s">
        <v>6273</v>
      </c>
      <c r="C837" s="15" t="s">
        <v>6274</v>
      </c>
      <c r="D837" s="15" t="s">
        <v>6336</v>
      </c>
      <c r="E837" s="15">
        <v>34</v>
      </c>
      <c r="F837" s="15" t="s">
        <v>6345</v>
      </c>
      <c r="G837" s="15" t="s">
        <v>6346</v>
      </c>
      <c r="H837" s="15"/>
      <c r="I837" s="15" t="s">
        <v>96</v>
      </c>
      <c r="J837" s="7" t="str">
        <f>HYPERLINK("https://www.codechef.com/problems/PPREPCS32", "https://www.codechef.com/problems/PPREPCS32")</f>
        <v>https://www.codechef.com/problems/PPREPCS32</v>
      </c>
      <c r="K837" s="15"/>
      <c r="L837" s="15"/>
      <c r="M837" s="15"/>
      <c r="N837" s="15" t="s">
        <v>50</v>
      </c>
      <c r="O837" s="15" t="s">
        <v>51</v>
      </c>
    </row>
    <row r="838" spans="1:15">
      <c r="A838" s="14" t="s">
        <v>13</v>
      </c>
      <c r="B838" s="14" t="s">
        <v>6273</v>
      </c>
      <c r="C838" s="14" t="s">
        <v>6274</v>
      </c>
      <c r="D838" s="14" t="s">
        <v>6336</v>
      </c>
      <c r="E838" s="14">
        <v>35</v>
      </c>
      <c r="F838" s="14" t="s">
        <v>6347</v>
      </c>
      <c r="G838" s="14" t="s">
        <v>6348</v>
      </c>
      <c r="H838" s="14"/>
      <c r="I838" s="14" t="s">
        <v>96</v>
      </c>
      <c r="J838" s="11" t="str">
        <f>HYPERLINK("https://www.codechef.com/problems/PPREPCS33", "https://www.codechef.com/problems/PPREPCS33")</f>
        <v>https://www.codechef.com/problems/PPREPCS33</v>
      </c>
      <c r="K838" s="14"/>
      <c r="L838" s="14"/>
      <c r="M838" s="14"/>
      <c r="N838" s="14" t="s">
        <v>50</v>
      </c>
      <c r="O838" s="14" t="s">
        <v>51</v>
      </c>
    </row>
    <row r="839" spans="1:15">
      <c r="A839" s="15" t="s">
        <v>13</v>
      </c>
      <c r="B839" s="15" t="s">
        <v>6273</v>
      </c>
      <c r="C839" s="15" t="s">
        <v>6274</v>
      </c>
      <c r="D839" s="15" t="s">
        <v>6336</v>
      </c>
      <c r="E839" s="15">
        <v>36</v>
      </c>
      <c r="F839" s="15" t="s">
        <v>6349</v>
      </c>
      <c r="G839" s="15" t="s">
        <v>6350</v>
      </c>
      <c r="H839" s="15"/>
      <c r="I839" s="15" t="s">
        <v>49</v>
      </c>
      <c r="J839" s="7" t="str">
        <f>HYPERLINK("https://www.codechef.com/problems/PPREPCS34", "https://www.codechef.com/problems/PPREPCS34")</f>
        <v>https://www.codechef.com/problems/PPREPCS34</v>
      </c>
      <c r="K839" s="15"/>
      <c r="L839" s="15"/>
      <c r="M839" s="15"/>
      <c r="N839" s="15" t="s">
        <v>50</v>
      </c>
      <c r="O839" s="15" t="s">
        <v>51</v>
      </c>
    </row>
    <row r="840" spans="1:15">
      <c r="A840" s="14" t="s">
        <v>13</v>
      </c>
      <c r="B840" s="14" t="s">
        <v>6273</v>
      </c>
      <c r="C840" s="14" t="s">
        <v>6274</v>
      </c>
      <c r="D840" s="14" t="s">
        <v>6336</v>
      </c>
      <c r="E840" s="14">
        <v>37</v>
      </c>
      <c r="F840" s="14" t="s">
        <v>6351</v>
      </c>
      <c r="G840" s="14" t="s">
        <v>6352</v>
      </c>
      <c r="H840" s="14"/>
      <c r="I840" s="14" t="s">
        <v>96</v>
      </c>
      <c r="J840" s="11" t="str">
        <f>HYPERLINK("https://www.codechef.com/problems/PPREPCS36", "https://www.codechef.com/problems/PPREPCS36")</f>
        <v>https://www.codechef.com/problems/PPREPCS36</v>
      </c>
      <c r="K840" s="14"/>
      <c r="L840" s="14"/>
      <c r="M840" s="14"/>
      <c r="N840" s="14" t="s">
        <v>50</v>
      </c>
      <c r="O840" s="14" t="s">
        <v>51</v>
      </c>
    </row>
    <row r="841" spans="1:15">
      <c r="A841" s="15" t="s">
        <v>13</v>
      </c>
      <c r="B841" s="15" t="s">
        <v>6273</v>
      </c>
      <c r="C841" s="15" t="s">
        <v>6274</v>
      </c>
      <c r="D841" s="15" t="s">
        <v>6336</v>
      </c>
      <c r="E841" s="15">
        <v>38</v>
      </c>
      <c r="F841" s="15" t="s">
        <v>6353</v>
      </c>
      <c r="G841" s="15" t="s">
        <v>6354</v>
      </c>
      <c r="H841" s="15"/>
      <c r="I841" s="15" t="s">
        <v>96</v>
      </c>
      <c r="J841" s="7" t="str">
        <f>HYPERLINK("https://www.codechef.com/problems/PPREPCS37", "https://www.codechef.com/problems/PPREPCS37")</f>
        <v>https://www.codechef.com/problems/PPREPCS37</v>
      </c>
      <c r="K841" s="15"/>
      <c r="L841" s="15"/>
      <c r="M841" s="15"/>
      <c r="N841" s="15" t="s">
        <v>50</v>
      </c>
      <c r="O841" s="15" t="s">
        <v>51</v>
      </c>
    </row>
    <row r="842" spans="1:15">
      <c r="A842" s="14" t="s">
        <v>13</v>
      </c>
      <c r="B842" s="14" t="s">
        <v>6273</v>
      </c>
      <c r="C842" s="14" t="s">
        <v>6274</v>
      </c>
      <c r="D842" s="14" t="s">
        <v>6355</v>
      </c>
      <c r="E842" s="14">
        <v>39</v>
      </c>
      <c r="F842" s="14" t="s">
        <v>6356</v>
      </c>
      <c r="G842" s="14" t="s">
        <v>6357</v>
      </c>
      <c r="H842" s="14"/>
      <c r="I842" s="14" t="s">
        <v>49</v>
      </c>
      <c r="J842" s="11" t="str">
        <f>HYPERLINK("https://www.codechef.com/problems/PPREPCS38", "https://www.codechef.com/problems/PPREPCS38")</f>
        <v>https://www.codechef.com/problems/PPREPCS38</v>
      </c>
      <c r="K842" s="14"/>
      <c r="L842" s="14"/>
      <c r="M842" s="14"/>
      <c r="N842" s="14" t="s">
        <v>50</v>
      </c>
      <c r="O842" s="14" t="s">
        <v>51</v>
      </c>
    </row>
    <row r="843" spans="1:15">
      <c r="A843" s="15" t="s">
        <v>13</v>
      </c>
      <c r="B843" s="15" t="s">
        <v>6273</v>
      </c>
      <c r="C843" s="15" t="s">
        <v>6274</v>
      </c>
      <c r="D843" s="15" t="s">
        <v>6355</v>
      </c>
      <c r="E843" s="15">
        <v>40</v>
      </c>
      <c r="F843" s="15" t="s">
        <v>6358</v>
      </c>
      <c r="G843" s="15" t="s">
        <v>6359</v>
      </c>
      <c r="H843" s="15"/>
      <c r="I843" s="15" t="s">
        <v>49</v>
      </c>
      <c r="J843" s="7" t="str">
        <f>HYPERLINK("https://www.codechef.com/problems/PPREPCS39", "https://www.codechef.com/problems/PPREPCS39")</f>
        <v>https://www.codechef.com/problems/PPREPCS39</v>
      </c>
      <c r="K843" s="15"/>
      <c r="L843" s="15"/>
      <c r="M843" s="15"/>
      <c r="N843" s="15" t="s">
        <v>50</v>
      </c>
      <c r="O843" s="15" t="s">
        <v>51</v>
      </c>
    </row>
    <row r="844" spans="1:15">
      <c r="A844" s="14" t="s">
        <v>13</v>
      </c>
      <c r="B844" s="14" t="s">
        <v>6273</v>
      </c>
      <c r="C844" s="14" t="s">
        <v>6274</v>
      </c>
      <c r="D844" s="14" t="s">
        <v>6355</v>
      </c>
      <c r="E844" s="14">
        <v>41</v>
      </c>
      <c r="F844" s="14" t="s">
        <v>6360</v>
      </c>
      <c r="G844" s="14" t="s">
        <v>6361</v>
      </c>
      <c r="H844" s="14"/>
      <c r="I844" s="14" t="s">
        <v>49</v>
      </c>
      <c r="J844" s="11" t="str">
        <f>HYPERLINK("https://www.codechef.com/problems/PPREPCS40", "https://www.codechef.com/problems/PPREPCS40")</f>
        <v>https://www.codechef.com/problems/PPREPCS40</v>
      </c>
      <c r="K844" s="14"/>
      <c r="L844" s="14"/>
      <c r="M844" s="14"/>
      <c r="N844" s="14" t="s">
        <v>50</v>
      </c>
      <c r="O844" s="14" t="s">
        <v>51</v>
      </c>
    </row>
    <row r="845" spans="1:15">
      <c r="A845" s="15" t="s">
        <v>13</v>
      </c>
      <c r="B845" s="15" t="s">
        <v>6273</v>
      </c>
      <c r="C845" s="15" t="s">
        <v>6274</v>
      </c>
      <c r="D845" s="15" t="s">
        <v>6355</v>
      </c>
      <c r="E845" s="15">
        <v>42</v>
      </c>
      <c r="F845" s="15" t="s">
        <v>6362</v>
      </c>
      <c r="G845" s="15" t="s">
        <v>6363</v>
      </c>
      <c r="H845" s="15"/>
      <c r="I845" s="15" t="s">
        <v>49</v>
      </c>
      <c r="J845" s="7" t="str">
        <f>HYPERLINK("https://www.codechef.com/problems/PPREPCS41", "https://www.codechef.com/problems/PPREPCS41")</f>
        <v>https://www.codechef.com/problems/PPREPCS41</v>
      </c>
      <c r="K845" s="15"/>
      <c r="L845" s="15"/>
      <c r="M845" s="15"/>
      <c r="N845" s="15" t="s">
        <v>50</v>
      </c>
      <c r="O845" s="15" t="s">
        <v>51</v>
      </c>
    </row>
    <row r="846" spans="1:15">
      <c r="A846" s="14" t="s">
        <v>13</v>
      </c>
      <c r="B846" s="14" t="s">
        <v>6273</v>
      </c>
      <c r="C846" s="14" t="s">
        <v>6274</v>
      </c>
      <c r="D846" s="14" t="s">
        <v>6355</v>
      </c>
      <c r="E846" s="14">
        <v>43</v>
      </c>
      <c r="F846" s="14" t="s">
        <v>6364</v>
      </c>
      <c r="G846" s="14" t="s">
        <v>6365</v>
      </c>
      <c r="H846" s="14"/>
      <c r="I846" s="14" t="s">
        <v>49</v>
      </c>
      <c r="J846" s="11" t="str">
        <f>HYPERLINK("https://www.codechef.com/problems/PPREPCS42", "https://www.codechef.com/problems/PPREPCS42")</f>
        <v>https://www.codechef.com/problems/PPREPCS42</v>
      </c>
      <c r="K846" s="14"/>
      <c r="L846" s="14"/>
      <c r="M846" s="14"/>
      <c r="N846" s="14" t="s">
        <v>50</v>
      </c>
      <c r="O846" s="14" t="s">
        <v>51</v>
      </c>
    </row>
    <row r="847" spans="1:15">
      <c r="A847" s="15" t="s">
        <v>13</v>
      </c>
      <c r="B847" s="15" t="s">
        <v>6273</v>
      </c>
      <c r="C847" s="15" t="s">
        <v>6274</v>
      </c>
      <c r="D847" s="15" t="s">
        <v>6355</v>
      </c>
      <c r="E847" s="15">
        <v>44</v>
      </c>
      <c r="F847" s="15" t="s">
        <v>6366</v>
      </c>
      <c r="G847" s="15" t="s">
        <v>6367</v>
      </c>
      <c r="H847" s="15"/>
      <c r="I847" s="15" t="s">
        <v>49</v>
      </c>
      <c r="J847" s="7" t="str">
        <f>HYPERLINK("https://www.codechef.com/problems/PPREPCS43", "https://www.codechef.com/problems/PPREPCS43")</f>
        <v>https://www.codechef.com/problems/PPREPCS43</v>
      </c>
      <c r="K847" s="15"/>
      <c r="L847" s="15"/>
      <c r="M847" s="15"/>
      <c r="N847" s="15" t="s">
        <v>50</v>
      </c>
      <c r="O847" s="15" t="s">
        <v>51</v>
      </c>
    </row>
    <row r="848" spans="1:15">
      <c r="A848" s="14" t="s">
        <v>13</v>
      </c>
      <c r="B848" s="14" t="s">
        <v>6273</v>
      </c>
      <c r="C848" s="14" t="s">
        <v>6274</v>
      </c>
      <c r="D848" s="14" t="s">
        <v>6368</v>
      </c>
      <c r="E848" s="14">
        <v>45</v>
      </c>
      <c r="F848" s="14" t="s">
        <v>6369</v>
      </c>
      <c r="G848" s="14" t="s">
        <v>6370</v>
      </c>
      <c r="H848" s="14"/>
      <c r="I848" s="14" t="s">
        <v>49</v>
      </c>
      <c r="J848" s="11" t="str">
        <f>HYPERLINK("https://www.codechef.com/problems/PPREPCS44", "https://www.codechef.com/problems/PPREPCS44")</f>
        <v>https://www.codechef.com/problems/PPREPCS44</v>
      </c>
      <c r="K848" s="14"/>
      <c r="L848" s="14"/>
      <c r="M848" s="14"/>
      <c r="N848" s="14" t="s">
        <v>50</v>
      </c>
      <c r="O848" s="14" t="s">
        <v>51</v>
      </c>
    </row>
    <row r="849" spans="1:15">
      <c r="A849" s="15" t="s">
        <v>13</v>
      </c>
      <c r="B849" s="15" t="s">
        <v>6273</v>
      </c>
      <c r="C849" s="15" t="s">
        <v>6274</v>
      </c>
      <c r="D849" s="15" t="s">
        <v>6368</v>
      </c>
      <c r="E849" s="15">
        <v>46</v>
      </c>
      <c r="F849" s="15" t="s">
        <v>6371</v>
      </c>
      <c r="G849" s="15" t="s">
        <v>6372</v>
      </c>
      <c r="H849" s="15"/>
      <c r="I849" s="15" t="s">
        <v>96</v>
      </c>
      <c r="J849" s="7" t="str">
        <f>HYPERLINK("https://www.codechef.com/problems/PPREPCS45", "https://www.codechef.com/problems/PPREPCS45")</f>
        <v>https://www.codechef.com/problems/PPREPCS45</v>
      </c>
      <c r="K849" s="15"/>
      <c r="L849" s="15"/>
      <c r="M849" s="15"/>
      <c r="N849" s="15" t="s">
        <v>50</v>
      </c>
      <c r="O849" s="15" t="s">
        <v>51</v>
      </c>
    </row>
    <row r="850" spans="1:15">
      <c r="A850" s="14" t="s">
        <v>13</v>
      </c>
      <c r="B850" s="14" t="s">
        <v>6273</v>
      </c>
      <c r="C850" s="14" t="s">
        <v>6274</v>
      </c>
      <c r="D850" s="14" t="s">
        <v>6368</v>
      </c>
      <c r="E850" s="14">
        <v>47</v>
      </c>
      <c r="F850" s="14" t="s">
        <v>6373</v>
      </c>
      <c r="G850" s="14" t="s">
        <v>6374</v>
      </c>
      <c r="H850" s="14"/>
      <c r="I850" s="14" t="s">
        <v>49</v>
      </c>
      <c r="J850" s="11" t="str">
        <f>HYPERLINK("https://www.codechef.com/problems/PPREPCS46", "https://www.codechef.com/problems/PPREPCS46")</f>
        <v>https://www.codechef.com/problems/PPREPCS46</v>
      </c>
      <c r="K850" s="14"/>
      <c r="L850" s="14"/>
      <c r="M850" s="14"/>
      <c r="N850" s="14" t="s">
        <v>50</v>
      </c>
      <c r="O850" s="14" t="s">
        <v>51</v>
      </c>
    </row>
    <row r="851" spans="1:15">
      <c r="A851" s="15" t="s">
        <v>13</v>
      </c>
      <c r="B851" s="15" t="s">
        <v>6273</v>
      </c>
      <c r="C851" s="15" t="s">
        <v>6274</v>
      </c>
      <c r="D851" s="15" t="s">
        <v>6368</v>
      </c>
      <c r="E851" s="15">
        <v>48</v>
      </c>
      <c r="F851" s="15" t="s">
        <v>6375</v>
      </c>
      <c r="G851" s="15" t="s">
        <v>6376</v>
      </c>
      <c r="H851" s="15"/>
      <c r="I851" s="15" t="s">
        <v>49</v>
      </c>
      <c r="J851" s="7" t="str">
        <f>HYPERLINK("https://www.codechef.com/problems/PPREPCS47", "https://www.codechef.com/problems/PPREPCS47")</f>
        <v>https://www.codechef.com/problems/PPREPCS47</v>
      </c>
      <c r="K851" s="15"/>
      <c r="L851" s="15"/>
      <c r="M851" s="15"/>
      <c r="N851" s="15" t="s">
        <v>50</v>
      </c>
      <c r="O851" s="15" t="s">
        <v>51</v>
      </c>
    </row>
    <row r="852" spans="1:15">
      <c r="A852" s="14" t="s">
        <v>13</v>
      </c>
      <c r="B852" s="14" t="s">
        <v>6273</v>
      </c>
      <c r="C852" s="14" t="s">
        <v>6274</v>
      </c>
      <c r="D852" s="14" t="s">
        <v>6368</v>
      </c>
      <c r="E852" s="14">
        <v>49</v>
      </c>
      <c r="F852" s="14" t="s">
        <v>6377</v>
      </c>
      <c r="G852" s="14" t="s">
        <v>6378</v>
      </c>
      <c r="H852" s="14"/>
      <c r="I852" s="14" t="s">
        <v>96</v>
      </c>
      <c r="J852" s="11" t="str">
        <f>HYPERLINK("https://www.codechef.com/problems/PPREPCS48", "https://www.codechef.com/problems/PPREPCS48")</f>
        <v>https://www.codechef.com/problems/PPREPCS48</v>
      </c>
      <c r="K852" s="14"/>
      <c r="L852" s="14"/>
      <c r="M852" s="14"/>
      <c r="N852" s="14" t="s">
        <v>50</v>
      </c>
      <c r="O852" s="14" t="s">
        <v>51</v>
      </c>
    </row>
    <row r="853" spans="1:15">
      <c r="A853" s="15" t="s">
        <v>13</v>
      </c>
      <c r="B853" s="15" t="s">
        <v>6273</v>
      </c>
      <c r="C853" s="15" t="s">
        <v>6274</v>
      </c>
      <c r="D853" s="15" t="s">
        <v>6368</v>
      </c>
      <c r="E853" s="15">
        <v>50</v>
      </c>
      <c r="F853" s="15" t="s">
        <v>6379</v>
      </c>
      <c r="G853" s="15" t="s">
        <v>6380</v>
      </c>
      <c r="H853" s="15"/>
      <c r="I853" s="15" t="s">
        <v>49</v>
      </c>
      <c r="J853" s="7" t="str">
        <f>HYPERLINK("https://www.codechef.com/problems/PPREPCS49", "https://www.codechef.com/problems/PPREPCS49")</f>
        <v>https://www.codechef.com/problems/PPREPCS49</v>
      </c>
      <c r="K853" s="15"/>
      <c r="L853" s="15"/>
      <c r="M853" s="15"/>
      <c r="N853" s="15" t="s">
        <v>50</v>
      </c>
      <c r="O853" s="15" t="s">
        <v>51</v>
      </c>
    </row>
    <row r="854" spans="1:15">
      <c r="A854" s="14" t="s">
        <v>13</v>
      </c>
      <c r="B854" s="14" t="s">
        <v>6273</v>
      </c>
      <c r="C854" s="14" t="s">
        <v>6274</v>
      </c>
      <c r="D854" s="14" t="s">
        <v>6368</v>
      </c>
      <c r="E854" s="14">
        <v>51</v>
      </c>
      <c r="F854" s="14" t="s">
        <v>6381</v>
      </c>
      <c r="G854" s="14" t="s">
        <v>6382</v>
      </c>
      <c r="H854" s="14"/>
      <c r="I854" s="14" t="s">
        <v>96</v>
      </c>
      <c r="J854" s="11" t="str">
        <f>HYPERLINK("https://www.codechef.com/problems/PPREPCS50", "https://www.codechef.com/problems/PPREPCS50")</f>
        <v>https://www.codechef.com/problems/PPREPCS50</v>
      </c>
      <c r="K854" s="14"/>
      <c r="L854" s="14"/>
      <c r="M854" s="14"/>
      <c r="N854" s="14" t="s">
        <v>50</v>
      </c>
      <c r="O854" s="14" t="s">
        <v>51</v>
      </c>
    </row>
    <row r="855" spans="1:15">
      <c r="A855" s="15" t="s">
        <v>13</v>
      </c>
      <c r="B855" s="15" t="s">
        <v>6273</v>
      </c>
      <c r="C855" s="15" t="s">
        <v>6274</v>
      </c>
      <c r="D855" s="15" t="s">
        <v>6368</v>
      </c>
      <c r="E855" s="15">
        <v>52</v>
      </c>
      <c r="F855" s="15" t="s">
        <v>6383</v>
      </c>
      <c r="G855" s="15" t="s">
        <v>6384</v>
      </c>
      <c r="H855" s="15"/>
      <c r="I855" s="15" t="s">
        <v>49</v>
      </c>
      <c r="J855" s="7" t="str">
        <f>HYPERLINK("https://www.codechef.com/problems/PPREPCS51", "https://www.codechef.com/problems/PPREPCS51")</f>
        <v>https://www.codechef.com/problems/PPREPCS51</v>
      </c>
      <c r="K855" s="15"/>
      <c r="L855" s="15"/>
      <c r="M855" s="15"/>
      <c r="N855" s="15" t="s">
        <v>50</v>
      </c>
      <c r="O855" s="15" t="s">
        <v>51</v>
      </c>
    </row>
    <row r="856" spans="1:15">
      <c r="A856" s="14" t="s">
        <v>13</v>
      </c>
      <c r="B856" s="14" t="s">
        <v>6273</v>
      </c>
      <c r="C856" s="14" t="s">
        <v>6274</v>
      </c>
      <c r="D856" s="14" t="s">
        <v>6368</v>
      </c>
      <c r="E856" s="14">
        <v>53</v>
      </c>
      <c r="F856" s="14" t="s">
        <v>6385</v>
      </c>
      <c r="G856" s="14" t="s">
        <v>6386</v>
      </c>
      <c r="H856" s="14"/>
      <c r="I856" s="14" t="s">
        <v>96</v>
      </c>
      <c r="J856" s="11" t="str">
        <f>HYPERLINK("https://www.codechef.com/problems/PPREPCS52", "https://www.codechef.com/problems/PPREPCS52")</f>
        <v>https://www.codechef.com/problems/PPREPCS52</v>
      </c>
      <c r="K856" s="14"/>
      <c r="L856" s="14"/>
      <c r="M856" s="14"/>
      <c r="N856" s="14" t="s">
        <v>50</v>
      </c>
      <c r="O856" s="14" t="s">
        <v>51</v>
      </c>
    </row>
    <row r="857" spans="1:15">
      <c r="A857" s="15" t="s">
        <v>13</v>
      </c>
      <c r="B857" s="15" t="s">
        <v>6273</v>
      </c>
      <c r="C857" s="15" t="s">
        <v>6274</v>
      </c>
      <c r="D857" s="15" t="s">
        <v>6387</v>
      </c>
      <c r="E857" s="15">
        <v>54</v>
      </c>
      <c r="F857" s="15" t="s">
        <v>6388</v>
      </c>
      <c r="G857" s="15" t="s">
        <v>6389</v>
      </c>
      <c r="H857" s="15"/>
      <c r="I857" s="15" t="s">
        <v>49</v>
      </c>
      <c r="J857" s="7" t="str">
        <f>HYPERLINK("https://www.codechef.com/problems/PPREPCS53", "https://www.codechef.com/problems/PPREPCS53")</f>
        <v>https://www.codechef.com/problems/PPREPCS53</v>
      </c>
      <c r="K857" s="15"/>
      <c r="L857" s="15"/>
      <c r="M857" s="15"/>
      <c r="N857" s="15" t="s">
        <v>50</v>
      </c>
      <c r="O857" s="15" t="s">
        <v>51</v>
      </c>
    </row>
    <row r="858" spans="1:15">
      <c r="A858" s="14" t="s">
        <v>13</v>
      </c>
      <c r="B858" s="14" t="s">
        <v>6273</v>
      </c>
      <c r="C858" s="14" t="s">
        <v>6274</v>
      </c>
      <c r="D858" s="14" t="s">
        <v>6387</v>
      </c>
      <c r="E858" s="14">
        <v>55</v>
      </c>
      <c r="F858" s="14" t="s">
        <v>6390</v>
      </c>
      <c r="G858" s="14" t="s">
        <v>6391</v>
      </c>
      <c r="H858" s="14"/>
      <c r="I858" s="14" t="s">
        <v>96</v>
      </c>
      <c r="J858" s="11" t="str">
        <f>HYPERLINK("https://www.codechef.com/problems/PPREPCS54", "https://www.codechef.com/problems/PPREPCS54")</f>
        <v>https://www.codechef.com/problems/PPREPCS54</v>
      </c>
      <c r="K858" s="14"/>
      <c r="L858" s="14"/>
      <c r="M858" s="14"/>
      <c r="N858" s="14" t="s">
        <v>50</v>
      </c>
      <c r="O858" s="14" t="s">
        <v>51</v>
      </c>
    </row>
    <row r="859" spans="1:15">
      <c r="A859" s="15" t="s">
        <v>13</v>
      </c>
      <c r="B859" s="15" t="s">
        <v>6273</v>
      </c>
      <c r="C859" s="15" t="s">
        <v>6274</v>
      </c>
      <c r="D859" s="15" t="s">
        <v>6387</v>
      </c>
      <c r="E859" s="15">
        <v>56</v>
      </c>
      <c r="F859" s="15" t="s">
        <v>6392</v>
      </c>
      <c r="G859" s="15" t="s">
        <v>6393</v>
      </c>
      <c r="H859" s="15"/>
      <c r="I859" s="15" t="s">
        <v>96</v>
      </c>
      <c r="J859" s="7" t="str">
        <f>HYPERLINK("https://www.codechef.com/problems/PPREPCS55", "https://www.codechef.com/problems/PPREPCS55")</f>
        <v>https://www.codechef.com/problems/PPREPCS55</v>
      </c>
      <c r="K859" s="15"/>
      <c r="L859" s="15"/>
      <c r="M859" s="15"/>
      <c r="N859" s="15" t="s">
        <v>50</v>
      </c>
      <c r="O859" s="15" t="s">
        <v>51</v>
      </c>
    </row>
    <row r="860" spans="1:15">
      <c r="A860" s="14" t="s">
        <v>13</v>
      </c>
      <c r="B860" s="14" t="s">
        <v>6273</v>
      </c>
      <c r="C860" s="14" t="s">
        <v>6274</v>
      </c>
      <c r="D860" s="14" t="s">
        <v>6387</v>
      </c>
      <c r="E860" s="14">
        <v>57</v>
      </c>
      <c r="F860" s="14" t="s">
        <v>6394</v>
      </c>
      <c r="G860" s="14" t="s">
        <v>6395</v>
      </c>
      <c r="H860" s="14"/>
      <c r="I860" s="14" t="s">
        <v>96</v>
      </c>
      <c r="J860" s="11" t="str">
        <f>HYPERLINK("https://www.codechef.com/problems/PPREPCS56", "https://www.codechef.com/problems/PPREPCS56")</f>
        <v>https://www.codechef.com/problems/PPREPCS56</v>
      </c>
      <c r="K860" s="14"/>
      <c r="L860" s="14"/>
      <c r="M860" s="14"/>
      <c r="N860" s="14" t="s">
        <v>50</v>
      </c>
      <c r="O860" s="14" t="s">
        <v>51</v>
      </c>
    </row>
    <row r="861" spans="1:15">
      <c r="A861" s="15" t="s">
        <v>13</v>
      </c>
      <c r="B861" s="15" t="s">
        <v>6273</v>
      </c>
      <c r="C861" s="15" t="s">
        <v>6274</v>
      </c>
      <c r="D861" s="15" t="s">
        <v>6387</v>
      </c>
      <c r="E861" s="15">
        <v>58</v>
      </c>
      <c r="F861" s="15" t="s">
        <v>6396</v>
      </c>
      <c r="G861" s="15" t="s">
        <v>6397</v>
      </c>
      <c r="H861" s="15"/>
      <c r="I861" s="15" t="s">
        <v>49</v>
      </c>
      <c r="J861" s="7" t="str">
        <f>HYPERLINK("https://www.codechef.com/problems/PPREPCS57", "https://www.codechef.com/problems/PPREPCS57")</f>
        <v>https://www.codechef.com/problems/PPREPCS57</v>
      </c>
      <c r="K861" s="15"/>
      <c r="L861" s="15"/>
      <c r="M861" s="15"/>
      <c r="N861" s="15" t="s">
        <v>50</v>
      </c>
      <c r="O861" s="15" t="s">
        <v>51</v>
      </c>
    </row>
    <row r="862" spans="1:15">
      <c r="A862" s="14" t="s">
        <v>13</v>
      </c>
      <c r="B862" s="14" t="s">
        <v>6273</v>
      </c>
      <c r="C862" s="14" t="s">
        <v>6274</v>
      </c>
      <c r="D862" s="14" t="s">
        <v>6387</v>
      </c>
      <c r="E862" s="14">
        <v>59</v>
      </c>
      <c r="F862" s="14" t="s">
        <v>6398</v>
      </c>
      <c r="G862" s="14" t="s">
        <v>6399</v>
      </c>
      <c r="H862" s="14"/>
      <c r="I862" s="14" t="s">
        <v>49</v>
      </c>
      <c r="J862" s="11" t="str">
        <f>HYPERLINK("https://www.codechef.com/problems/PPREPCS58", "https://www.codechef.com/problems/PPREPCS58")</f>
        <v>https://www.codechef.com/problems/PPREPCS58</v>
      </c>
      <c r="K862" s="14"/>
      <c r="L862" s="14"/>
      <c r="M862" s="14"/>
      <c r="N862" s="14" t="s">
        <v>50</v>
      </c>
      <c r="O862" s="14" t="s">
        <v>51</v>
      </c>
    </row>
    <row r="863" spans="1:15">
      <c r="A863" s="15" t="s">
        <v>13</v>
      </c>
      <c r="B863" s="15" t="s">
        <v>6273</v>
      </c>
      <c r="C863" s="15" t="s">
        <v>6274</v>
      </c>
      <c r="D863" s="15" t="s">
        <v>6387</v>
      </c>
      <c r="E863" s="15">
        <v>60</v>
      </c>
      <c r="F863" s="15" t="s">
        <v>6400</v>
      </c>
      <c r="G863" s="15" t="s">
        <v>6401</v>
      </c>
      <c r="H863" s="15"/>
      <c r="I863" s="15" t="s">
        <v>96</v>
      </c>
      <c r="J863" s="7" t="str">
        <f>HYPERLINK("https://www.codechef.com/problems/PPREPCS59", "https://www.codechef.com/problems/PPREPCS59")</f>
        <v>https://www.codechef.com/problems/PPREPCS59</v>
      </c>
      <c r="K863" s="15"/>
      <c r="L863" s="15"/>
      <c r="M863" s="15"/>
      <c r="N863" s="15" t="s">
        <v>50</v>
      </c>
      <c r="O863" s="15" t="s">
        <v>51</v>
      </c>
    </row>
    <row r="864" spans="1:15">
      <c r="A864" s="14" t="s">
        <v>13</v>
      </c>
      <c r="B864" s="14" t="s">
        <v>6273</v>
      </c>
      <c r="C864" s="14" t="s">
        <v>6274</v>
      </c>
      <c r="D864" s="14" t="s">
        <v>6387</v>
      </c>
      <c r="E864" s="14">
        <v>61</v>
      </c>
      <c r="F864" s="14" t="s">
        <v>6402</v>
      </c>
      <c r="G864" s="14" t="s">
        <v>6403</v>
      </c>
      <c r="H864" s="14"/>
      <c r="I864" s="14" t="s">
        <v>96</v>
      </c>
      <c r="J864" s="11" t="str">
        <f>HYPERLINK("https://www.codechef.com/problems/PPREPCS60", "https://www.codechef.com/problems/PPREPCS60")</f>
        <v>https://www.codechef.com/problems/PPREPCS60</v>
      </c>
      <c r="K864" s="14"/>
      <c r="L864" s="14"/>
      <c r="M864" s="14"/>
      <c r="N864" s="14" t="s">
        <v>50</v>
      </c>
      <c r="O864" s="14" t="s">
        <v>51</v>
      </c>
    </row>
    <row r="865" spans="1:15">
      <c r="A865" s="15" t="s">
        <v>13</v>
      </c>
      <c r="B865" s="15" t="s">
        <v>6273</v>
      </c>
      <c r="C865" s="15" t="s">
        <v>6274</v>
      </c>
      <c r="D865" s="15" t="s">
        <v>6387</v>
      </c>
      <c r="E865" s="15">
        <v>62</v>
      </c>
      <c r="F865" s="15" t="s">
        <v>6404</v>
      </c>
      <c r="G865" s="15" t="s">
        <v>6405</v>
      </c>
      <c r="H865" s="15"/>
      <c r="I865" s="15" t="s">
        <v>322</v>
      </c>
      <c r="J865" s="7" t="str">
        <f>HYPERLINK("https://www.codechef.com/problems/PPREPCS61", "https://www.codechef.com/problems/PPREPCS61")</f>
        <v>https://www.codechef.com/problems/PPREPCS61</v>
      </c>
      <c r="K865" s="15"/>
      <c r="L865" s="15"/>
      <c r="M865" s="15"/>
      <c r="N865" s="15" t="s">
        <v>50</v>
      </c>
      <c r="O865" s="15" t="s">
        <v>51</v>
      </c>
    </row>
    <row r="866" spans="1:15">
      <c r="A866" s="14" t="s">
        <v>13</v>
      </c>
      <c r="B866" s="14" t="s">
        <v>6273</v>
      </c>
      <c r="C866" s="14" t="s">
        <v>6274</v>
      </c>
      <c r="D866" s="14" t="s">
        <v>6387</v>
      </c>
      <c r="E866" s="14">
        <v>63</v>
      </c>
      <c r="F866" s="14" t="s">
        <v>6406</v>
      </c>
      <c r="G866" s="14" t="s">
        <v>6407</v>
      </c>
      <c r="H866" s="14"/>
      <c r="I866" s="14" t="s">
        <v>322</v>
      </c>
      <c r="J866" s="11" t="str">
        <f>HYPERLINK("https://www.codechef.com/problems/PPREPCS62", "https://www.codechef.com/problems/PPREPCS62")</f>
        <v>https://www.codechef.com/problems/PPREPCS62</v>
      </c>
      <c r="K866" s="14"/>
      <c r="L866" s="14"/>
      <c r="M866" s="14"/>
      <c r="N866" s="14" t="s">
        <v>50</v>
      </c>
      <c r="O866" s="14" t="s">
        <v>51</v>
      </c>
    </row>
    <row r="867" spans="1:15">
      <c r="A867" s="15" t="s">
        <v>13</v>
      </c>
      <c r="B867" s="15" t="s">
        <v>6273</v>
      </c>
      <c r="C867" s="15" t="s">
        <v>6274</v>
      </c>
      <c r="D867" s="15" t="s">
        <v>6387</v>
      </c>
      <c r="E867" s="15">
        <v>64</v>
      </c>
      <c r="F867" s="15" t="s">
        <v>6408</v>
      </c>
      <c r="G867" s="15" t="s">
        <v>6409</v>
      </c>
      <c r="H867" s="15"/>
      <c r="I867" s="15" t="s">
        <v>322</v>
      </c>
      <c r="J867" s="7" t="str">
        <f>HYPERLINK("https://www.codechef.com/problems/PPREPCS63", "https://www.codechef.com/problems/PPREPCS63")</f>
        <v>https://www.codechef.com/problems/PPREPCS63</v>
      </c>
      <c r="K867" s="15"/>
      <c r="L867" s="15"/>
      <c r="M867" s="15"/>
      <c r="N867" s="15" t="s">
        <v>50</v>
      </c>
      <c r="O867" s="15" t="s">
        <v>51</v>
      </c>
    </row>
    <row r="868" spans="1:15">
      <c r="A868" s="14" t="s">
        <v>13</v>
      </c>
      <c r="B868" s="14" t="s">
        <v>6273</v>
      </c>
      <c r="C868" s="14" t="s">
        <v>6274</v>
      </c>
      <c r="D868" s="14" t="s">
        <v>6410</v>
      </c>
      <c r="E868" s="14">
        <v>65</v>
      </c>
      <c r="F868" s="14" t="s">
        <v>6411</v>
      </c>
      <c r="G868" s="14" t="s">
        <v>6412</v>
      </c>
      <c r="H868" s="14"/>
      <c r="I868" s="14" t="s">
        <v>49</v>
      </c>
      <c r="J868" s="11" t="str">
        <f>HYPERLINK("https://www.codechef.com/problems/PPREPCS64", "https://www.codechef.com/problems/PPREPCS64")</f>
        <v>https://www.codechef.com/problems/PPREPCS64</v>
      </c>
      <c r="K868" s="14"/>
      <c r="L868" s="14"/>
      <c r="M868" s="14"/>
      <c r="N868" s="14" t="s">
        <v>50</v>
      </c>
      <c r="O868" s="14" t="s">
        <v>51</v>
      </c>
    </row>
    <row r="869" spans="1:15">
      <c r="A869" s="15" t="s">
        <v>13</v>
      </c>
      <c r="B869" s="15" t="s">
        <v>6273</v>
      </c>
      <c r="C869" s="15" t="s">
        <v>6274</v>
      </c>
      <c r="D869" s="15" t="s">
        <v>6410</v>
      </c>
      <c r="E869" s="15">
        <v>66</v>
      </c>
      <c r="F869" s="15" t="s">
        <v>6413</v>
      </c>
      <c r="G869" s="15" t="s">
        <v>6414</v>
      </c>
      <c r="H869" s="15"/>
      <c r="I869" s="15" t="s">
        <v>96</v>
      </c>
      <c r="J869" s="7" t="str">
        <f>HYPERLINK("https://www.codechef.com/problems/PPREPCS65", "https://www.codechef.com/problems/PPREPCS65")</f>
        <v>https://www.codechef.com/problems/PPREPCS65</v>
      </c>
      <c r="K869" s="15"/>
      <c r="L869" s="15"/>
      <c r="M869" s="15"/>
      <c r="N869" s="15" t="s">
        <v>50</v>
      </c>
      <c r="O869" s="15" t="s">
        <v>51</v>
      </c>
    </row>
    <row r="870" spans="1:15">
      <c r="A870" s="14" t="s">
        <v>13</v>
      </c>
      <c r="B870" s="14" t="s">
        <v>6273</v>
      </c>
      <c r="C870" s="14" t="s">
        <v>6274</v>
      </c>
      <c r="D870" s="14" t="s">
        <v>6410</v>
      </c>
      <c r="E870" s="14">
        <v>67</v>
      </c>
      <c r="F870" s="14" t="s">
        <v>6415</v>
      </c>
      <c r="G870" s="14" t="s">
        <v>6416</v>
      </c>
      <c r="H870" s="14"/>
      <c r="I870" s="14" t="s">
        <v>96</v>
      </c>
      <c r="J870" s="11" t="str">
        <f>HYPERLINK("https://www.codechef.com/problems/PPREPCS67", "https://www.codechef.com/problems/PPREPCS67")</f>
        <v>https://www.codechef.com/problems/PPREPCS67</v>
      </c>
      <c r="K870" s="14"/>
      <c r="L870" s="14"/>
      <c r="M870" s="14"/>
      <c r="N870" s="14" t="s">
        <v>50</v>
      </c>
      <c r="O870" s="14" t="s">
        <v>51</v>
      </c>
    </row>
    <row r="871" spans="1:15">
      <c r="A871" s="15" t="s">
        <v>13</v>
      </c>
      <c r="B871" s="15" t="s">
        <v>6273</v>
      </c>
      <c r="C871" s="15" t="s">
        <v>6274</v>
      </c>
      <c r="D871" s="15" t="s">
        <v>6410</v>
      </c>
      <c r="E871" s="15">
        <v>68</v>
      </c>
      <c r="F871" s="15" t="s">
        <v>6417</v>
      </c>
      <c r="G871" s="15" t="s">
        <v>6418</v>
      </c>
      <c r="H871" s="15"/>
      <c r="I871" s="15" t="s">
        <v>96</v>
      </c>
      <c r="J871" s="7" t="str">
        <f>HYPERLINK("https://www.codechef.com/problems/PPREPCS68", "https://www.codechef.com/problems/PPREPCS68")</f>
        <v>https://www.codechef.com/problems/PPREPCS68</v>
      </c>
      <c r="K871" s="15"/>
      <c r="L871" s="15"/>
      <c r="M871" s="15"/>
      <c r="N871" s="15" t="s">
        <v>50</v>
      </c>
      <c r="O871" s="15" t="s">
        <v>51</v>
      </c>
    </row>
    <row r="872" spans="1:15">
      <c r="A872" s="14" t="s">
        <v>13</v>
      </c>
      <c r="B872" s="14" t="s">
        <v>6273</v>
      </c>
      <c r="C872" s="14" t="s">
        <v>6274</v>
      </c>
      <c r="D872" s="14" t="s">
        <v>6410</v>
      </c>
      <c r="E872" s="14">
        <v>69</v>
      </c>
      <c r="F872" s="14" t="s">
        <v>6419</v>
      </c>
      <c r="G872" s="14" t="s">
        <v>6420</v>
      </c>
      <c r="H872" s="14"/>
      <c r="I872" s="14" t="s">
        <v>322</v>
      </c>
      <c r="J872" s="11" t="str">
        <f>HYPERLINK("https://www.codechef.com/problems/PPREPCS69", "https://www.codechef.com/problems/PPREPCS69")</f>
        <v>https://www.codechef.com/problems/PPREPCS69</v>
      </c>
      <c r="K872" s="14"/>
      <c r="L872" s="14"/>
      <c r="M872" s="14"/>
      <c r="N872" s="14" t="s">
        <v>50</v>
      </c>
      <c r="O872" s="14" t="s">
        <v>51</v>
      </c>
    </row>
    <row r="873" spans="1:15">
      <c r="A873" s="15" t="s">
        <v>13</v>
      </c>
      <c r="B873" s="15" t="s">
        <v>6273</v>
      </c>
      <c r="C873" s="15" t="s">
        <v>6274</v>
      </c>
      <c r="D873" s="15" t="s">
        <v>6410</v>
      </c>
      <c r="E873" s="15">
        <v>70</v>
      </c>
      <c r="F873" s="15" t="s">
        <v>6421</v>
      </c>
      <c r="G873" s="15" t="s">
        <v>6422</v>
      </c>
      <c r="H873" s="15"/>
      <c r="I873" s="15" t="s">
        <v>322</v>
      </c>
      <c r="J873" s="7" t="str">
        <f>HYPERLINK("https://www.codechef.com/problems/PPREPCS70", "https://www.codechef.com/problems/PPREPCS70")</f>
        <v>https://www.codechef.com/problems/PPREPCS70</v>
      </c>
      <c r="K873" s="15"/>
      <c r="L873" s="15"/>
      <c r="M873" s="15"/>
      <c r="N873" s="15" t="s">
        <v>50</v>
      </c>
      <c r="O873" s="15" t="s">
        <v>51</v>
      </c>
    </row>
    <row r="874" spans="1:15">
      <c r="A874" s="14" t="s">
        <v>13</v>
      </c>
      <c r="B874" s="14" t="s">
        <v>6273</v>
      </c>
      <c r="C874" s="14" t="s">
        <v>6274</v>
      </c>
      <c r="D874" s="14" t="s">
        <v>6410</v>
      </c>
      <c r="E874" s="14">
        <v>71</v>
      </c>
      <c r="F874" s="14" t="s">
        <v>6423</v>
      </c>
      <c r="G874" s="14" t="s">
        <v>6424</v>
      </c>
      <c r="H874" s="14"/>
      <c r="I874" s="14" t="s">
        <v>49</v>
      </c>
      <c r="J874" s="11" t="str">
        <f>HYPERLINK("https://www.codechef.com/problems/PPREPCS71", "https://www.codechef.com/problems/PPREPCS71")</f>
        <v>https://www.codechef.com/problems/PPREPCS71</v>
      </c>
      <c r="K874" s="14"/>
      <c r="L874" s="14"/>
      <c r="M874" s="14"/>
      <c r="N874" s="14" t="s">
        <v>50</v>
      </c>
      <c r="O874" s="14" t="s">
        <v>51</v>
      </c>
    </row>
    <row r="875" spans="1:15">
      <c r="A875" s="15" t="s">
        <v>13</v>
      </c>
      <c r="B875" s="15" t="s">
        <v>6273</v>
      </c>
      <c r="C875" s="15" t="s">
        <v>6274</v>
      </c>
      <c r="D875" s="15" t="s">
        <v>6410</v>
      </c>
      <c r="E875" s="15">
        <v>72</v>
      </c>
      <c r="F875" s="15" t="s">
        <v>6425</v>
      </c>
      <c r="G875" s="15" t="s">
        <v>6426</v>
      </c>
      <c r="H875" s="15"/>
      <c r="I875" s="15" t="s">
        <v>96</v>
      </c>
      <c r="J875" s="7" t="str">
        <f>HYPERLINK("https://www.codechef.com/problems/PPREPCS72", "https://www.codechef.com/problems/PPREPCS72")</f>
        <v>https://www.codechef.com/problems/PPREPCS72</v>
      </c>
      <c r="K875" s="15"/>
      <c r="L875" s="15"/>
      <c r="M875" s="15"/>
      <c r="N875" s="15" t="s">
        <v>50</v>
      </c>
      <c r="O875" s="15" t="s">
        <v>51</v>
      </c>
    </row>
    <row r="876" spans="1:15">
      <c r="A876" s="14" t="s">
        <v>13</v>
      </c>
      <c r="B876" s="14" t="s">
        <v>6273</v>
      </c>
      <c r="C876" s="14" t="s">
        <v>6274</v>
      </c>
      <c r="D876" s="14" t="s">
        <v>6410</v>
      </c>
      <c r="E876" s="14">
        <v>73</v>
      </c>
      <c r="F876" s="14" t="s">
        <v>6427</v>
      </c>
      <c r="G876" s="14" t="s">
        <v>6428</v>
      </c>
      <c r="H876" s="14"/>
      <c r="I876" s="14" t="s">
        <v>49</v>
      </c>
      <c r="J876" s="11" t="str">
        <f>HYPERLINK("https://www.codechef.com/problems/PPREPCS73", "https://www.codechef.com/problems/PPREPCS73")</f>
        <v>https://www.codechef.com/problems/PPREPCS73</v>
      </c>
      <c r="K876" s="14"/>
      <c r="L876" s="14"/>
      <c r="M876" s="14"/>
      <c r="N876" s="14" t="s">
        <v>50</v>
      </c>
      <c r="O876" s="14" t="s">
        <v>51</v>
      </c>
    </row>
    <row r="877" spans="1:15">
      <c r="A877" s="15" t="s">
        <v>13</v>
      </c>
      <c r="B877" s="15" t="s">
        <v>6273</v>
      </c>
      <c r="C877" s="15" t="s">
        <v>6274</v>
      </c>
      <c r="D877" s="15" t="s">
        <v>6429</v>
      </c>
      <c r="E877" s="15">
        <v>74</v>
      </c>
      <c r="F877" s="15" t="s">
        <v>6430</v>
      </c>
      <c r="G877" s="15" t="s">
        <v>6431</v>
      </c>
      <c r="H877" s="15"/>
      <c r="I877" s="15" t="s">
        <v>49</v>
      </c>
      <c r="J877" s="7" t="str">
        <f>HYPERLINK("https://www.codechef.com/problems/PPREPCS74", "https://www.codechef.com/problems/PPREPCS74")</f>
        <v>https://www.codechef.com/problems/PPREPCS74</v>
      </c>
      <c r="K877" s="15"/>
      <c r="L877" s="15"/>
      <c r="M877" s="15"/>
      <c r="N877" s="15" t="s">
        <v>50</v>
      </c>
      <c r="O877" s="15" t="s">
        <v>51</v>
      </c>
    </row>
    <row r="878" spans="1:15">
      <c r="A878" s="14" t="s">
        <v>13</v>
      </c>
      <c r="B878" s="14" t="s">
        <v>6273</v>
      </c>
      <c r="C878" s="14" t="s">
        <v>6274</v>
      </c>
      <c r="D878" s="14" t="s">
        <v>6429</v>
      </c>
      <c r="E878" s="14">
        <v>75</v>
      </c>
      <c r="F878" s="14" t="s">
        <v>6432</v>
      </c>
      <c r="G878" s="14" t="s">
        <v>6433</v>
      </c>
      <c r="H878" s="14"/>
      <c r="I878" s="14" t="s">
        <v>49</v>
      </c>
      <c r="J878" s="11" t="str">
        <f>HYPERLINK("https://www.codechef.com/problems/PPREPCS75", "https://www.codechef.com/problems/PPREPCS75")</f>
        <v>https://www.codechef.com/problems/PPREPCS75</v>
      </c>
      <c r="K878" s="14"/>
      <c r="L878" s="14"/>
      <c r="M878" s="14"/>
      <c r="N878" s="14" t="s">
        <v>50</v>
      </c>
      <c r="O878" s="14" t="s">
        <v>51</v>
      </c>
    </row>
    <row r="879" spans="1:15">
      <c r="A879" s="15" t="s">
        <v>13</v>
      </c>
      <c r="B879" s="15" t="s">
        <v>6273</v>
      </c>
      <c r="C879" s="15" t="s">
        <v>6274</v>
      </c>
      <c r="D879" s="15" t="s">
        <v>6429</v>
      </c>
      <c r="E879" s="15">
        <v>76</v>
      </c>
      <c r="F879" s="15" t="s">
        <v>6434</v>
      </c>
      <c r="G879" s="15" t="s">
        <v>6435</v>
      </c>
      <c r="H879" s="15"/>
      <c r="I879" s="15" t="s">
        <v>49</v>
      </c>
      <c r="J879" s="7" t="str">
        <f>HYPERLINK("https://www.codechef.com/problems/PPREPCS76", "https://www.codechef.com/problems/PPREPCS76")</f>
        <v>https://www.codechef.com/problems/PPREPCS76</v>
      </c>
      <c r="K879" s="15"/>
      <c r="L879" s="15"/>
      <c r="M879" s="15"/>
      <c r="N879" s="15" t="s">
        <v>50</v>
      </c>
      <c r="O879" s="15" t="s">
        <v>51</v>
      </c>
    </row>
    <row r="880" spans="1:15">
      <c r="A880" s="14" t="s">
        <v>13</v>
      </c>
      <c r="B880" s="14" t="s">
        <v>6273</v>
      </c>
      <c r="C880" s="14" t="s">
        <v>6274</v>
      </c>
      <c r="D880" s="14" t="s">
        <v>6429</v>
      </c>
      <c r="E880" s="14">
        <v>77</v>
      </c>
      <c r="F880" s="14" t="s">
        <v>6436</v>
      </c>
      <c r="G880" s="14" t="s">
        <v>6437</v>
      </c>
      <c r="H880" s="14"/>
      <c r="I880" s="14" t="s">
        <v>49</v>
      </c>
      <c r="J880" s="11" t="str">
        <f>HYPERLINK("https://www.codechef.com/problems/PPREPCS77", "https://www.codechef.com/problems/PPREPCS77")</f>
        <v>https://www.codechef.com/problems/PPREPCS77</v>
      </c>
      <c r="K880" s="14"/>
      <c r="L880" s="14"/>
      <c r="M880" s="14"/>
      <c r="N880" s="14" t="s">
        <v>50</v>
      </c>
      <c r="O880" s="14" t="s">
        <v>51</v>
      </c>
    </row>
    <row r="881" spans="1:15">
      <c r="A881" s="15" t="s">
        <v>13</v>
      </c>
      <c r="B881" s="15" t="s">
        <v>6273</v>
      </c>
      <c r="C881" s="15" t="s">
        <v>6274</v>
      </c>
      <c r="D881" s="15" t="s">
        <v>6429</v>
      </c>
      <c r="E881" s="15">
        <v>78</v>
      </c>
      <c r="F881" s="15" t="s">
        <v>6438</v>
      </c>
      <c r="G881" s="15" t="s">
        <v>6439</v>
      </c>
      <c r="H881" s="15"/>
      <c r="I881" s="15" t="s">
        <v>49</v>
      </c>
      <c r="J881" s="7" t="str">
        <f>HYPERLINK("https://www.codechef.com/problems/PPREPCS78", "https://www.codechef.com/problems/PPREPCS78")</f>
        <v>https://www.codechef.com/problems/PPREPCS78</v>
      </c>
      <c r="K881" s="15"/>
      <c r="L881" s="15"/>
      <c r="M881" s="15"/>
      <c r="N881" s="15" t="s">
        <v>50</v>
      </c>
      <c r="O881" s="15" t="s">
        <v>51</v>
      </c>
    </row>
    <row r="882" spans="1:15">
      <c r="A882" s="14" t="s">
        <v>13</v>
      </c>
      <c r="B882" s="14" t="s">
        <v>6273</v>
      </c>
      <c r="C882" s="14" t="s">
        <v>6274</v>
      </c>
      <c r="D882" s="14" t="s">
        <v>6429</v>
      </c>
      <c r="E882" s="14">
        <v>79</v>
      </c>
      <c r="F882" s="14" t="s">
        <v>6440</v>
      </c>
      <c r="G882" s="14" t="s">
        <v>6441</v>
      </c>
      <c r="H882" s="14"/>
      <c r="I882" s="14" t="s">
        <v>49</v>
      </c>
      <c r="J882" s="11" t="str">
        <f>HYPERLINK("https://www.codechef.com/problems/PPREPCS79", "https://www.codechef.com/problems/PPREPCS79")</f>
        <v>https://www.codechef.com/problems/PPREPCS79</v>
      </c>
      <c r="K882" s="14"/>
      <c r="L882" s="14"/>
      <c r="M882" s="14"/>
      <c r="N882" s="14" t="s">
        <v>50</v>
      </c>
      <c r="O882" s="14" t="s">
        <v>51</v>
      </c>
    </row>
    <row r="883" spans="1:15">
      <c r="A883" s="15" t="s">
        <v>13</v>
      </c>
      <c r="B883" s="15" t="s">
        <v>6273</v>
      </c>
      <c r="C883" s="15" t="s">
        <v>6274</v>
      </c>
      <c r="D883" s="15" t="s">
        <v>6429</v>
      </c>
      <c r="E883" s="15">
        <v>80</v>
      </c>
      <c r="F883" s="15" t="s">
        <v>6442</v>
      </c>
      <c r="G883" s="15" t="s">
        <v>6443</v>
      </c>
      <c r="H883" s="15"/>
      <c r="I883" s="15" t="s">
        <v>49</v>
      </c>
      <c r="J883" s="7" t="str">
        <f>HYPERLINK("https://www.codechef.com/problems/PPREPCS80", "https://www.codechef.com/problems/PPREPCS80")</f>
        <v>https://www.codechef.com/problems/PPREPCS80</v>
      </c>
      <c r="K883" s="15"/>
      <c r="L883" s="15"/>
      <c r="M883" s="15"/>
      <c r="N883" s="15" t="s">
        <v>50</v>
      </c>
      <c r="O883" s="15" t="s">
        <v>51</v>
      </c>
    </row>
    <row r="884" spans="1:15">
      <c r="A884" s="14" t="s">
        <v>13</v>
      </c>
      <c r="B884" s="14" t="s">
        <v>6273</v>
      </c>
      <c r="C884" s="14" t="s">
        <v>6274</v>
      </c>
      <c r="D884" s="14" t="s">
        <v>6429</v>
      </c>
      <c r="E884" s="14">
        <v>81</v>
      </c>
      <c r="F884" s="14" t="s">
        <v>6444</v>
      </c>
      <c r="G884" s="14" t="s">
        <v>6445</v>
      </c>
      <c r="H884" s="14"/>
      <c r="I884" s="14" t="s">
        <v>49</v>
      </c>
      <c r="J884" s="11" t="str">
        <f>HYPERLINK("https://www.codechef.com/problems/PPREPCS80A", "https://www.codechef.com/problems/PPREPCS80A")</f>
        <v>https://www.codechef.com/problems/PPREPCS80A</v>
      </c>
      <c r="K884" s="14"/>
      <c r="L884" s="14"/>
      <c r="M884" s="14"/>
      <c r="N884" s="14" t="s">
        <v>50</v>
      </c>
      <c r="O884" s="14" t="s">
        <v>51</v>
      </c>
    </row>
    <row r="885" spans="1:15">
      <c r="A885" s="15" t="s">
        <v>13</v>
      </c>
      <c r="B885" s="15" t="s">
        <v>6273</v>
      </c>
      <c r="C885" s="15" t="s">
        <v>6274</v>
      </c>
      <c r="D885" s="15" t="s">
        <v>6429</v>
      </c>
      <c r="E885" s="15">
        <v>82</v>
      </c>
      <c r="F885" s="15" t="s">
        <v>6446</v>
      </c>
      <c r="G885" s="15" t="s">
        <v>6447</v>
      </c>
      <c r="H885" s="15"/>
      <c r="I885" s="15" t="s">
        <v>49</v>
      </c>
      <c r="J885" s="7" t="str">
        <f>HYPERLINK("https://www.codechef.com/problems/PPREPCS81", "https://www.codechef.com/problems/PPREPCS81")</f>
        <v>https://www.codechef.com/problems/PPREPCS81</v>
      </c>
      <c r="K885" s="15"/>
      <c r="L885" s="15"/>
      <c r="M885" s="15"/>
      <c r="N885" s="15" t="s">
        <v>50</v>
      </c>
      <c r="O885" s="15" t="s">
        <v>51</v>
      </c>
    </row>
    <row r="886" spans="1:15">
      <c r="A886" s="14" t="s">
        <v>13</v>
      </c>
      <c r="B886" s="14" t="s">
        <v>6273</v>
      </c>
      <c r="C886" s="14" t="s">
        <v>6274</v>
      </c>
      <c r="D886" s="14" t="s">
        <v>6429</v>
      </c>
      <c r="E886" s="14">
        <v>83</v>
      </c>
      <c r="F886" s="14" t="s">
        <v>6448</v>
      </c>
      <c r="G886" s="14" t="s">
        <v>6449</v>
      </c>
      <c r="H886" s="14"/>
      <c r="I886" s="14" t="s">
        <v>49</v>
      </c>
      <c r="J886" s="11" t="str">
        <f>HYPERLINK("https://www.codechef.com/problems/PPREPCS82", "https://www.codechef.com/problems/PPREPCS82")</f>
        <v>https://www.codechef.com/problems/PPREPCS82</v>
      </c>
      <c r="K886" s="14"/>
      <c r="L886" s="14"/>
      <c r="M886" s="14"/>
      <c r="N886" s="14" t="s">
        <v>50</v>
      </c>
      <c r="O886" s="14" t="s">
        <v>51</v>
      </c>
    </row>
    <row r="887" spans="1:15">
      <c r="A887" s="15" t="s">
        <v>13</v>
      </c>
      <c r="B887" s="15" t="s">
        <v>6273</v>
      </c>
      <c r="C887" s="15" t="s">
        <v>6274</v>
      </c>
      <c r="D887" s="15" t="s">
        <v>6429</v>
      </c>
      <c r="E887" s="15">
        <v>84</v>
      </c>
      <c r="F887" s="15" t="s">
        <v>6450</v>
      </c>
      <c r="G887" s="15" t="s">
        <v>6451</v>
      </c>
      <c r="H887" s="15"/>
      <c r="I887" s="15" t="s">
        <v>49</v>
      </c>
      <c r="J887" s="7" t="str">
        <f>HYPERLINK("https://www.codechef.com/problems/PPREPCS83", "https://www.codechef.com/problems/PPREPCS83")</f>
        <v>https://www.codechef.com/problems/PPREPCS83</v>
      </c>
      <c r="K887" s="15"/>
      <c r="L887" s="15"/>
      <c r="M887" s="15"/>
      <c r="N887" s="15" t="s">
        <v>50</v>
      </c>
      <c r="O887" s="15" t="s">
        <v>51</v>
      </c>
    </row>
    <row r="888" spans="1:15">
      <c r="A888" s="14" t="s">
        <v>13</v>
      </c>
      <c r="B888" s="14" t="s">
        <v>6273</v>
      </c>
      <c r="C888" s="14" t="s">
        <v>6274</v>
      </c>
      <c r="D888" s="14" t="s">
        <v>6429</v>
      </c>
      <c r="E888" s="14">
        <v>85</v>
      </c>
      <c r="F888" s="14" t="s">
        <v>6452</v>
      </c>
      <c r="G888" s="14" t="s">
        <v>6453</v>
      </c>
      <c r="H888" s="14"/>
      <c r="I888" s="14" t="s">
        <v>96</v>
      </c>
      <c r="J888" s="11" t="str">
        <f>HYPERLINK("https://www.codechef.com/problems/PPREPCS84", "https://www.codechef.com/problems/PPREPCS84")</f>
        <v>https://www.codechef.com/problems/PPREPCS84</v>
      </c>
      <c r="K888" s="14"/>
      <c r="L888" s="14"/>
      <c r="M888" s="14"/>
      <c r="N888" s="14" t="s">
        <v>50</v>
      </c>
      <c r="O888" s="14" t="s">
        <v>51</v>
      </c>
    </row>
    <row r="889" spans="1:15">
      <c r="A889" s="15" t="s">
        <v>13</v>
      </c>
      <c r="B889" s="15" t="s">
        <v>6273</v>
      </c>
      <c r="C889" s="15" t="s">
        <v>6274</v>
      </c>
      <c r="D889" s="15" t="s">
        <v>6429</v>
      </c>
      <c r="E889" s="15">
        <v>86</v>
      </c>
      <c r="F889" s="15" t="s">
        <v>6454</v>
      </c>
      <c r="G889" s="15" t="s">
        <v>6455</v>
      </c>
      <c r="H889" s="15"/>
      <c r="I889" s="15" t="s">
        <v>49</v>
      </c>
      <c r="J889" s="7" t="str">
        <f>HYPERLINK("https://www.codechef.com/problems/PPREPCS85", "https://www.codechef.com/problems/PPREPCS85")</f>
        <v>https://www.codechef.com/problems/PPREPCS85</v>
      </c>
      <c r="K889" s="15"/>
      <c r="L889" s="15"/>
      <c r="M889" s="15"/>
      <c r="N889" s="15" t="s">
        <v>50</v>
      </c>
      <c r="O889" s="15" t="s">
        <v>51</v>
      </c>
    </row>
    <row r="890" spans="1:15">
      <c r="A890" s="14" t="s">
        <v>13</v>
      </c>
      <c r="B890" s="14" t="s">
        <v>6273</v>
      </c>
      <c r="C890" s="14" t="s">
        <v>6274</v>
      </c>
      <c r="D890" s="14" t="s">
        <v>6456</v>
      </c>
      <c r="E890" s="14">
        <v>87</v>
      </c>
      <c r="F890" s="14" t="s">
        <v>6457</v>
      </c>
      <c r="G890" s="14" t="s">
        <v>6458</v>
      </c>
      <c r="H890" s="14"/>
      <c r="I890" s="14" t="s">
        <v>96</v>
      </c>
      <c r="J890" s="11" t="str">
        <f>HYPERLINK("https://www.codechef.com/problems/PPREPCS86", "https://www.codechef.com/problems/PPREPCS86")</f>
        <v>https://www.codechef.com/problems/PPREPCS86</v>
      </c>
      <c r="K890" s="14"/>
      <c r="L890" s="14"/>
      <c r="M890" s="14"/>
      <c r="N890" s="14" t="s">
        <v>50</v>
      </c>
      <c r="O890" s="14" t="s">
        <v>51</v>
      </c>
    </row>
    <row r="891" spans="1:15">
      <c r="A891" s="15" t="s">
        <v>13</v>
      </c>
      <c r="B891" s="15" t="s">
        <v>6273</v>
      </c>
      <c r="C891" s="15" t="s">
        <v>6274</v>
      </c>
      <c r="D891" s="15" t="s">
        <v>6456</v>
      </c>
      <c r="E891" s="15">
        <v>88</v>
      </c>
      <c r="F891" s="15" t="s">
        <v>6459</v>
      </c>
      <c r="G891" s="15" t="s">
        <v>6460</v>
      </c>
      <c r="H891" s="15"/>
      <c r="I891" s="15" t="s">
        <v>49</v>
      </c>
      <c r="J891" s="7" t="str">
        <f>HYPERLINK("https://www.codechef.com/problems/PPREPCS87", "https://www.codechef.com/problems/PPREPCS87")</f>
        <v>https://www.codechef.com/problems/PPREPCS87</v>
      </c>
      <c r="K891" s="15"/>
      <c r="L891" s="15"/>
      <c r="M891" s="15"/>
      <c r="N891" s="15" t="s">
        <v>50</v>
      </c>
      <c r="O891" s="15" t="s">
        <v>51</v>
      </c>
    </row>
    <row r="892" spans="1:15">
      <c r="A892" s="14" t="s">
        <v>13</v>
      </c>
      <c r="B892" s="14" t="s">
        <v>6273</v>
      </c>
      <c r="C892" s="14" t="s">
        <v>6274</v>
      </c>
      <c r="D892" s="14" t="s">
        <v>6456</v>
      </c>
      <c r="E892" s="14">
        <v>89</v>
      </c>
      <c r="F892" s="14" t="s">
        <v>6461</v>
      </c>
      <c r="G892" s="14" t="s">
        <v>6462</v>
      </c>
      <c r="H892" s="14"/>
      <c r="I892" s="14" t="s">
        <v>49</v>
      </c>
      <c r="J892" s="11" t="str">
        <f>HYPERLINK("https://www.codechef.com/problems/PPREPCS88", "https://www.codechef.com/problems/PPREPCS88")</f>
        <v>https://www.codechef.com/problems/PPREPCS88</v>
      </c>
      <c r="K892" s="14"/>
      <c r="L892" s="14"/>
      <c r="M892" s="14"/>
      <c r="N892" s="14" t="s">
        <v>50</v>
      </c>
      <c r="O892" s="14" t="s">
        <v>51</v>
      </c>
    </row>
    <row r="893" spans="1:15">
      <c r="A893" s="15" t="s">
        <v>13</v>
      </c>
      <c r="B893" s="15" t="s">
        <v>6273</v>
      </c>
      <c r="C893" s="15" t="s">
        <v>6274</v>
      </c>
      <c r="D893" s="15" t="s">
        <v>6456</v>
      </c>
      <c r="E893" s="15">
        <v>90</v>
      </c>
      <c r="F893" s="15" t="s">
        <v>6463</v>
      </c>
      <c r="G893" s="15" t="s">
        <v>6464</v>
      </c>
      <c r="H893" s="15"/>
      <c r="I893" s="15" t="s">
        <v>49</v>
      </c>
      <c r="J893" s="7" t="str">
        <f>HYPERLINK("https://www.codechef.com/problems/PPREPCS89", "https://www.codechef.com/problems/PPREPCS89")</f>
        <v>https://www.codechef.com/problems/PPREPCS89</v>
      </c>
      <c r="K893" s="15"/>
      <c r="L893" s="15"/>
      <c r="M893" s="15"/>
      <c r="N893" s="15" t="s">
        <v>50</v>
      </c>
      <c r="O893" s="15" t="s">
        <v>51</v>
      </c>
    </row>
    <row r="894" spans="1:15">
      <c r="A894" s="14" t="s">
        <v>13</v>
      </c>
      <c r="B894" s="14" t="s">
        <v>6273</v>
      </c>
      <c r="C894" s="14" t="s">
        <v>6274</v>
      </c>
      <c r="D894" s="14" t="s">
        <v>6456</v>
      </c>
      <c r="E894" s="14">
        <v>91</v>
      </c>
      <c r="F894" s="14" t="s">
        <v>6465</v>
      </c>
      <c r="G894" s="14" t="s">
        <v>6466</v>
      </c>
      <c r="H894" s="14"/>
      <c r="I894" s="14" t="s">
        <v>49</v>
      </c>
      <c r="J894" s="11" t="str">
        <f>HYPERLINK("https://www.codechef.com/problems/PPREPCS90", "https://www.codechef.com/problems/PPREPCS90")</f>
        <v>https://www.codechef.com/problems/PPREPCS90</v>
      </c>
      <c r="K894" s="14"/>
      <c r="L894" s="14"/>
      <c r="M894" s="14"/>
      <c r="N894" s="14" t="s">
        <v>50</v>
      </c>
      <c r="O894" s="14" t="s">
        <v>51</v>
      </c>
    </row>
    <row r="895" spans="1:15">
      <c r="A895" s="15" t="s">
        <v>13</v>
      </c>
      <c r="B895" s="15" t="s">
        <v>6273</v>
      </c>
      <c r="C895" s="15" t="s">
        <v>6274</v>
      </c>
      <c r="D895" s="15" t="s">
        <v>6456</v>
      </c>
      <c r="E895" s="15">
        <v>92</v>
      </c>
      <c r="F895" s="15" t="s">
        <v>6467</v>
      </c>
      <c r="G895" s="15" t="s">
        <v>6468</v>
      </c>
      <c r="H895" s="15"/>
      <c r="I895" s="15" t="s">
        <v>96</v>
      </c>
      <c r="J895" s="7" t="str">
        <f>HYPERLINK("https://www.codechef.com/problems/PPREPCS91", "https://www.codechef.com/problems/PPREPCS91")</f>
        <v>https://www.codechef.com/problems/PPREPCS91</v>
      </c>
      <c r="K895" s="15"/>
      <c r="L895" s="15"/>
      <c r="M895" s="15"/>
      <c r="N895" s="15" t="s">
        <v>50</v>
      </c>
      <c r="O895" s="15" t="s">
        <v>51</v>
      </c>
    </row>
    <row r="896" spans="1:15">
      <c r="A896" s="14" t="s">
        <v>13</v>
      </c>
      <c r="B896" s="14" t="s">
        <v>6273</v>
      </c>
      <c r="C896" s="14" t="s">
        <v>6274</v>
      </c>
      <c r="D896" s="14" t="s">
        <v>6456</v>
      </c>
      <c r="E896" s="14">
        <v>93</v>
      </c>
      <c r="F896" s="14" t="s">
        <v>6469</v>
      </c>
      <c r="G896" s="14" t="s">
        <v>6470</v>
      </c>
      <c r="H896" s="14"/>
      <c r="I896" s="14" t="s">
        <v>49</v>
      </c>
      <c r="J896" s="11" t="str">
        <f>HYPERLINK("https://www.codechef.com/problems/PPREPCS92", "https://www.codechef.com/problems/PPREPCS92")</f>
        <v>https://www.codechef.com/problems/PPREPCS92</v>
      </c>
      <c r="K896" s="14"/>
      <c r="L896" s="14"/>
      <c r="M896" s="14"/>
      <c r="N896" s="14" t="s">
        <v>50</v>
      </c>
      <c r="O896" s="14" t="s">
        <v>51</v>
      </c>
    </row>
    <row r="897" spans="1:15">
      <c r="A897" s="15" t="s">
        <v>13</v>
      </c>
      <c r="B897" s="15" t="s">
        <v>6273</v>
      </c>
      <c r="C897" s="15" t="s">
        <v>6274</v>
      </c>
      <c r="D897" s="15" t="s">
        <v>6456</v>
      </c>
      <c r="E897" s="15">
        <v>94</v>
      </c>
      <c r="F897" s="15" t="s">
        <v>6471</v>
      </c>
      <c r="G897" s="15" t="s">
        <v>6472</v>
      </c>
      <c r="H897" s="15"/>
      <c r="I897" s="15" t="s">
        <v>96</v>
      </c>
      <c r="J897" s="7" t="str">
        <f>HYPERLINK("https://www.codechef.com/problems/PPREPCS93", "https://www.codechef.com/problems/PPREPCS93")</f>
        <v>https://www.codechef.com/problems/PPREPCS93</v>
      </c>
      <c r="K897" s="15"/>
      <c r="L897" s="15"/>
      <c r="M897" s="15"/>
      <c r="N897" s="15" t="s">
        <v>50</v>
      </c>
      <c r="O897" s="15" t="s">
        <v>51</v>
      </c>
    </row>
    <row r="898" spans="1:15">
      <c r="A898" s="14" t="s">
        <v>13</v>
      </c>
      <c r="B898" s="14" t="s">
        <v>6273</v>
      </c>
      <c r="C898" s="14" t="s">
        <v>6274</v>
      </c>
      <c r="D898" s="14" t="s">
        <v>6456</v>
      </c>
      <c r="E898" s="14">
        <v>95</v>
      </c>
      <c r="F898" s="14" t="s">
        <v>6473</v>
      </c>
      <c r="G898" s="14" t="s">
        <v>6474</v>
      </c>
      <c r="H898" s="14"/>
      <c r="I898" s="14" t="s">
        <v>322</v>
      </c>
      <c r="J898" s="11" t="str">
        <f>HYPERLINK("https://www.codechef.com/problems/PPREPCS94", "https://www.codechef.com/problems/PPREPCS94")</f>
        <v>https://www.codechef.com/problems/PPREPCS94</v>
      </c>
      <c r="K898" s="14"/>
      <c r="L898" s="14"/>
      <c r="M898" s="14"/>
      <c r="N898" s="14" t="s">
        <v>50</v>
      </c>
      <c r="O898" s="14" t="s">
        <v>51</v>
      </c>
    </row>
    <row r="899" spans="1:15">
      <c r="A899" s="15" t="s">
        <v>13</v>
      </c>
      <c r="B899" s="15" t="s">
        <v>6273</v>
      </c>
      <c r="C899" s="15" t="s">
        <v>6274</v>
      </c>
      <c r="D899" s="15" t="s">
        <v>6456</v>
      </c>
      <c r="E899" s="15">
        <v>96</v>
      </c>
      <c r="F899" s="15" t="s">
        <v>6475</v>
      </c>
      <c r="G899" s="15" t="s">
        <v>6476</v>
      </c>
      <c r="H899" s="15"/>
      <c r="I899" s="15" t="s">
        <v>49</v>
      </c>
      <c r="J899" s="7" t="str">
        <f>HYPERLINK("https://www.codechef.com/problems/PPREPCS95", "https://www.codechef.com/problems/PPREPCS95")</f>
        <v>https://www.codechef.com/problems/PPREPCS95</v>
      </c>
      <c r="K899" s="15"/>
      <c r="L899" s="15"/>
      <c r="M899" s="15"/>
      <c r="N899" s="15" t="s">
        <v>50</v>
      </c>
      <c r="O899" s="15" t="s">
        <v>51</v>
      </c>
    </row>
    <row r="900" spans="1:15">
      <c r="A900" s="14" t="s">
        <v>13</v>
      </c>
      <c r="B900" s="14" t="s">
        <v>6273</v>
      </c>
      <c r="C900" s="14" t="s">
        <v>6274</v>
      </c>
      <c r="D900" s="14" t="s">
        <v>6477</v>
      </c>
      <c r="E900" s="14">
        <v>97</v>
      </c>
      <c r="F900" s="14" t="s">
        <v>6478</v>
      </c>
      <c r="G900" s="14" t="s">
        <v>6479</v>
      </c>
      <c r="H900" s="14"/>
      <c r="I900" s="14" t="s">
        <v>49</v>
      </c>
      <c r="J900" s="11" t="str">
        <f>HYPERLINK("https://www.codechef.com/problems/PPREPCS96", "https://www.codechef.com/problems/PPREPCS96")</f>
        <v>https://www.codechef.com/problems/PPREPCS96</v>
      </c>
      <c r="K900" s="14"/>
      <c r="L900" s="14"/>
      <c r="M900" s="14"/>
      <c r="N900" s="14" t="s">
        <v>50</v>
      </c>
      <c r="O900" s="14" t="s">
        <v>51</v>
      </c>
    </row>
    <row r="901" spans="1:15">
      <c r="A901" s="15" t="s">
        <v>13</v>
      </c>
      <c r="B901" s="15" t="s">
        <v>6273</v>
      </c>
      <c r="C901" s="15" t="s">
        <v>6274</v>
      </c>
      <c r="D901" s="15" t="s">
        <v>6477</v>
      </c>
      <c r="E901" s="15">
        <v>98</v>
      </c>
      <c r="F901" s="15" t="s">
        <v>6480</v>
      </c>
      <c r="G901" s="15" t="s">
        <v>6481</v>
      </c>
      <c r="H901" s="15"/>
      <c r="I901" s="15" t="s">
        <v>49</v>
      </c>
      <c r="J901" s="7" t="str">
        <f>HYPERLINK("https://www.codechef.com/problems/PPREPCS97", "https://www.codechef.com/problems/PPREPCS97")</f>
        <v>https://www.codechef.com/problems/PPREPCS97</v>
      </c>
      <c r="K901" s="15"/>
      <c r="L901" s="15"/>
      <c r="M901" s="15"/>
      <c r="N901" s="15" t="s">
        <v>50</v>
      </c>
      <c r="O901" s="15" t="s">
        <v>51</v>
      </c>
    </row>
    <row r="902" spans="1:15">
      <c r="A902" s="14" t="s">
        <v>13</v>
      </c>
      <c r="B902" s="14" t="s">
        <v>6273</v>
      </c>
      <c r="C902" s="14" t="s">
        <v>6274</v>
      </c>
      <c r="D902" s="14" t="s">
        <v>6477</v>
      </c>
      <c r="E902" s="14">
        <v>99</v>
      </c>
      <c r="F902" s="14" t="s">
        <v>6482</v>
      </c>
      <c r="G902" s="14" t="s">
        <v>6483</v>
      </c>
      <c r="H902" s="14"/>
      <c r="I902" s="14" t="s">
        <v>96</v>
      </c>
      <c r="J902" s="11" t="str">
        <f>HYPERLINK("https://www.codechef.com/problems/PPREPCS98", "https://www.codechef.com/problems/PPREPCS98")</f>
        <v>https://www.codechef.com/problems/PPREPCS98</v>
      </c>
      <c r="K902" s="14"/>
      <c r="L902" s="14"/>
      <c r="M902" s="14"/>
      <c r="N902" s="14" t="s">
        <v>50</v>
      </c>
      <c r="O902" s="14" t="s">
        <v>51</v>
      </c>
    </row>
    <row r="903" spans="1:15">
      <c r="A903" s="15" t="s">
        <v>13</v>
      </c>
      <c r="B903" s="15" t="s">
        <v>6273</v>
      </c>
      <c r="C903" s="15" t="s">
        <v>6274</v>
      </c>
      <c r="D903" s="15" t="s">
        <v>6477</v>
      </c>
      <c r="E903" s="15">
        <v>100</v>
      </c>
      <c r="F903" s="15" t="s">
        <v>6484</v>
      </c>
      <c r="G903" s="15" t="s">
        <v>6485</v>
      </c>
      <c r="H903" s="15"/>
      <c r="I903" s="15" t="s">
        <v>49</v>
      </c>
      <c r="J903" s="7" t="str">
        <f>HYPERLINK("https://www.codechef.com/problems/PPREPCS99", "https://www.codechef.com/problems/PPREPCS99")</f>
        <v>https://www.codechef.com/problems/PPREPCS99</v>
      </c>
      <c r="K903" s="15"/>
      <c r="L903" s="15"/>
      <c r="M903" s="15"/>
      <c r="N903" s="15" t="s">
        <v>50</v>
      </c>
      <c r="O903" s="15" t="s">
        <v>51</v>
      </c>
    </row>
    <row r="904" spans="1:15">
      <c r="A904" s="14" t="s">
        <v>13</v>
      </c>
      <c r="B904" s="14" t="s">
        <v>6273</v>
      </c>
      <c r="C904" s="14" t="s">
        <v>6274</v>
      </c>
      <c r="D904" s="14" t="s">
        <v>6477</v>
      </c>
      <c r="E904" s="14">
        <v>101</v>
      </c>
      <c r="F904" s="14" t="s">
        <v>6486</v>
      </c>
      <c r="G904" s="14" t="s">
        <v>6487</v>
      </c>
      <c r="H904" s="14"/>
      <c r="I904" s="14" t="s">
        <v>322</v>
      </c>
      <c r="J904" s="11" t="str">
        <f>HYPERLINK("https://www.codechef.com/problems/PPREPCS100", "https://www.codechef.com/problems/PPREPCS100")</f>
        <v>https://www.codechef.com/problems/PPREPCS100</v>
      </c>
      <c r="K904" s="14"/>
      <c r="L904" s="14"/>
      <c r="M904" s="14"/>
      <c r="N904" s="14" t="s">
        <v>50</v>
      </c>
      <c r="O904" s="14" t="s">
        <v>51</v>
      </c>
    </row>
    <row r="905" spans="1:15">
      <c r="A905" s="15" t="s">
        <v>13</v>
      </c>
      <c r="B905" s="15" t="s">
        <v>6273</v>
      </c>
      <c r="C905" s="15" t="s">
        <v>6274</v>
      </c>
      <c r="D905" s="15" t="s">
        <v>6477</v>
      </c>
      <c r="E905" s="15">
        <v>102</v>
      </c>
      <c r="F905" s="15" t="s">
        <v>6488</v>
      </c>
      <c r="G905" s="15" t="s">
        <v>6489</v>
      </c>
      <c r="H905" s="15"/>
      <c r="I905" s="15" t="s">
        <v>96</v>
      </c>
      <c r="J905" s="7" t="str">
        <f>HYPERLINK("https://www.codechef.com/problems/PPREPCS101", "https://www.codechef.com/problems/PPREPCS101")</f>
        <v>https://www.codechef.com/problems/PPREPCS101</v>
      </c>
      <c r="K905" s="15"/>
      <c r="L905" s="15"/>
      <c r="M905" s="15"/>
      <c r="N905" s="15" t="s">
        <v>50</v>
      </c>
      <c r="O905" s="15" t="s">
        <v>51</v>
      </c>
    </row>
    <row r="906" spans="1:15">
      <c r="A906" s="14" t="s">
        <v>13</v>
      </c>
      <c r="B906" s="14" t="s">
        <v>6273</v>
      </c>
      <c r="C906" s="14" t="s">
        <v>6274</v>
      </c>
      <c r="D906" s="14" t="s">
        <v>6477</v>
      </c>
      <c r="E906" s="14">
        <v>103</v>
      </c>
      <c r="F906" s="14" t="s">
        <v>6490</v>
      </c>
      <c r="G906" s="14" t="s">
        <v>6491</v>
      </c>
      <c r="H906" s="14"/>
      <c r="I906" s="14" t="s">
        <v>322</v>
      </c>
      <c r="J906" s="11" t="str">
        <f>HYPERLINK("https://www.codechef.com/problems/PPREPCS102", "https://www.codechef.com/problems/PPREPCS102")</f>
        <v>https://www.codechef.com/problems/PPREPCS102</v>
      </c>
      <c r="K906" s="14"/>
      <c r="L906" s="14"/>
      <c r="M906" s="14"/>
      <c r="N906" s="14" t="s">
        <v>50</v>
      </c>
      <c r="O906" s="14" t="s">
        <v>51</v>
      </c>
    </row>
    <row r="907" spans="1:15">
      <c r="A907" s="15" t="s">
        <v>13</v>
      </c>
      <c r="B907" s="15" t="s">
        <v>6273</v>
      </c>
      <c r="C907" s="15" t="s">
        <v>6274</v>
      </c>
      <c r="D907" s="15" t="s">
        <v>6477</v>
      </c>
      <c r="E907" s="15">
        <v>104</v>
      </c>
      <c r="F907" s="15" t="s">
        <v>6492</v>
      </c>
      <c r="G907" s="15" t="s">
        <v>6493</v>
      </c>
      <c r="H907" s="15"/>
      <c r="I907" s="15" t="s">
        <v>49</v>
      </c>
      <c r="J907" s="7" t="str">
        <f>HYPERLINK("https://www.codechef.com/problems/PPREPCS103", "https://www.codechef.com/problems/PPREPCS103")</f>
        <v>https://www.codechef.com/problems/PPREPCS103</v>
      </c>
      <c r="K907" s="15"/>
      <c r="L907" s="15"/>
      <c r="M907" s="15"/>
      <c r="N907" s="15" t="s">
        <v>50</v>
      </c>
      <c r="O907" s="15" t="s">
        <v>51</v>
      </c>
    </row>
    <row r="908" spans="1:15">
      <c r="A908" s="14" t="s">
        <v>13</v>
      </c>
      <c r="B908" s="14" t="s">
        <v>6273</v>
      </c>
      <c r="C908" s="14" t="s">
        <v>6274</v>
      </c>
      <c r="D908" s="14" t="s">
        <v>6477</v>
      </c>
      <c r="E908" s="14">
        <v>105</v>
      </c>
      <c r="F908" s="14" t="s">
        <v>6494</v>
      </c>
      <c r="G908" s="14" t="s">
        <v>6495</v>
      </c>
      <c r="H908" s="14"/>
      <c r="I908" s="14" t="s">
        <v>322</v>
      </c>
      <c r="J908" s="11" t="str">
        <f>HYPERLINK("https://www.codechef.com/problems/PPREPCS104", "https://www.codechef.com/problems/PPREPCS104")</f>
        <v>https://www.codechef.com/problems/PPREPCS104</v>
      </c>
      <c r="K908" s="14"/>
      <c r="L908" s="14"/>
      <c r="M908" s="14"/>
      <c r="N908" s="14" t="s">
        <v>50</v>
      </c>
      <c r="O908" s="14" t="s">
        <v>51</v>
      </c>
    </row>
    <row r="909" spans="1:15">
      <c r="A909" s="15" t="s">
        <v>13</v>
      </c>
      <c r="B909" s="15" t="s">
        <v>6273</v>
      </c>
      <c r="C909" s="15" t="s">
        <v>6274</v>
      </c>
      <c r="D909" s="15" t="s">
        <v>6477</v>
      </c>
      <c r="E909" s="15">
        <v>106</v>
      </c>
      <c r="F909" s="15" t="s">
        <v>6496</v>
      </c>
      <c r="G909" s="15" t="s">
        <v>6497</v>
      </c>
      <c r="H909" s="15"/>
      <c r="I909" s="15" t="s">
        <v>322</v>
      </c>
      <c r="J909" s="7" t="str">
        <f>HYPERLINK("https://www.codechef.com/problems/PPREPCS105", "https://www.codechef.com/problems/PPREPCS105")</f>
        <v>https://www.codechef.com/problems/PPREPCS105</v>
      </c>
      <c r="K909" s="15"/>
      <c r="L909" s="15"/>
      <c r="M909" s="15"/>
      <c r="N909" s="15" t="s">
        <v>50</v>
      </c>
      <c r="O909" s="15" t="s">
        <v>51</v>
      </c>
    </row>
    <row r="910" spans="1:15">
      <c r="A910" s="14" t="s">
        <v>13</v>
      </c>
      <c r="B910" s="14" t="s">
        <v>6273</v>
      </c>
      <c r="C910" s="14" t="s">
        <v>6274</v>
      </c>
      <c r="D910" s="14" t="s">
        <v>6477</v>
      </c>
      <c r="E910" s="14">
        <v>107</v>
      </c>
      <c r="F910" s="14" t="s">
        <v>6498</v>
      </c>
      <c r="G910" s="14" t="s">
        <v>6499</v>
      </c>
      <c r="H910" s="14"/>
      <c r="I910" s="14" t="s">
        <v>96</v>
      </c>
      <c r="J910" s="11" t="str">
        <f>HYPERLINK("https://www.codechef.com/problems/PPREPCS106", "https://www.codechef.com/problems/PPREPCS106")</f>
        <v>https://www.codechef.com/problems/PPREPCS106</v>
      </c>
      <c r="K910" s="14"/>
      <c r="L910" s="14"/>
      <c r="M910" s="14"/>
      <c r="N910" s="14" t="s">
        <v>50</v>
      </c>
      <c r="O910" s="14" t="s">
        <v>51</v>
      </c>
    </row>
    <row r="911" spans="1:15">
      <c r="A911" s="15" t="s">
        <v>13</v>
      </c>
      <c r="B911" s="15" t="s">
        <v>6273</v>
      </c>
      <c r="C911" s="15" t="s">
        <v>6274</v>
      </c>
      <c r="D911" s="15" t="s">
        <v>6477</v>
      </c>
      <c r="E911" s="15">
        <v>108</v>
      </c>
      <c r="F911" s="15" t="s">
        <v>6500</v>
      </c>
      <c r="G911" s="15" t="s">
        <v>6501</v>
      </c>
      <c r="H911" s="15"/>
      <c r="I911" s="15" t="s">
        <v>49</v>
      </c>
      <c r="J911" s="7" t="str">
        <f>HYPERLINK("https://www.codechef.com/problems/PPREPCS107", "https://www.codechef.com/problems/PPREPCS107")</f>
        <v>https://www.codechef.com/problems/PPREPCS107</v>
      </c>
      <c r="K911" s="15"/>
      <c r="L911" s="15"/>
      <c r="M911" s="15"/>
      <c r="N911" s="15" t="s">
        <v>50</v>
      </c>
      <c r="O911" s="15" t="s">
        <v>51</v>
      </c>
    </row>
    <row r="912" spans="1:15">
      <c r="A912" s="14" t="s">
        <v>13</v>
      </c>
      <c r="B912" s="14" t="s">
        <v>6273</v>
      </c>
      <c r="C912" s="14" t="s">
        <v>6274</v>
      </c>
      <c r="D912" s="14" t="s">
        <v>6502</v>
      </c>
      <c r="E912" s="14">
        <v>109</v>
      </c>
      <c r="F912" s="14" t="s">
        <v>6503</v>
      </c>
      <c r="G912" s="14" t="s">
        <v>6504</v>
      </c>
      <c r="H912" s="14"/>
      <c r="I912" s="14" t="s">
        <v>322</v>
      </c>
      <c r="J912" s="11" t="str">
        <f>HYPERLINK("https://www.codechef.com/problems/PPREPCS108", "https://www.codechef.com/problems/PPREPCS108")</f>
        <v>https://www.codechef.com/problems/PPREPCS108</v>
      </c>
      <c r="K912" s="14"/>
      <c r="L912" s="14"/>
      <c r="M912" s="14"/>
      <c r="N912" s="14" t="s">
        <v>50</v>
      </c>
      <c r="O912" s="14" t="s">
        <v>51</v>
      </c>
    </row>
    <row r="913" spans="1:15">
      <c r="A913" s="15" t="s">
        <v>13</v>
      </c>
      <c r="B913" s="15" t="s">
        <v>6273</v>
      </c>
      <c r="C913" s="15" t="s">
        <v>6274</v>
      </c>
      <c r="D913" s="15" t="s">
        <v>6502</v>
      </c>
      <c r="E913" s="15">
        <v>110</v>
      </c>
      <c r="F913" s="15" t="s">
        <v>6505</v>
      </c>
      <c r="G913" s="15" t="s">
        <v>6506</v>
      </c>
      <c r="H913" s="15"/>
      <c r="I913" s="15" t="s">
        <v>49</v>
      </c>
      <c r="J913" s="7" t="str">
        <f>HYPERLINK("https://www.codechef.com/problems/PPREPCS109", "https://www.codechef.com/problems/PPREPCS109")</f>
        <v>https://www.codechef.com/problems/PPREPCS109</v>
      </c>
      <c r="K913" s="15"/>
      <c r="L913" s="15"/>
      <c r="M913" s="15"/>
      <c r="N913" s="15" t="s">
        <v>50</v>
      </c>
      <c r="O913" s="15" t="s">
        <v>51</v>
      </c>
    </row>
    <row r="914" spans="1:15">
      <c r="A914" s="14" t="s">
        <v>13</v>
      </c>
      <c r="B914" s="14" t="s">
        <v>6273</v>
      </c>
      <c r="C914" s="14" t="s">
        <v>6274</v>
      </c>
      <c r="D914" s="14" t="s">
        <v>6502</v>
      </c>
      <c r="E914" s="14">
        <v>111</v>
      </c>
      <c r="F914" s="14" t="s">
        <v>6507</v>
      </c>
      <c r="G914" s="14" t="s">
        <v>6508</v>
      </c>
      <c r="H914" s="14"/>
      <c r="I914" s="14" t="s">
        <v>322</v>
      </c>
      <c r="J914" s="11" t="str">
        <f>HYPERLINK("https://www.codechef.com/problems/PPREPCS110", "https://www.codechef.com/problems/PPREPCS110")</f>
        <v>https://www.codechef.com/problems/PPREPCS110</v>
      </c>
      <c r="K914" s="14"/>
      <c r="L914" s="14"/>
      <c r="M914" s="14"/>
      <c r="N914" s="14" t="s">
        <v>50</v>
      </c>
      <c r="O914" s="14" t="s">
        <v>51</v>
      </c>
    </row>
    <row r="915" spans="1:15">
      <c r="A915" s="15" t="s">
        <v>13</v>
      </c>
      <c r="B915" s="15" t="s">
        <v>6273</v>
      </c>
      <c r="C915" s="15" t="s">
        <v>6274</v>
      </c>
      <c r="D915" s="15" t="s">
        <v>6502</v>
      </c>
      <c r="E915" s="15">
        <v>112</v>
      </c>
      <c r="F915" s="15" t="s">
        <v>6509</v>
      </c>
      <c r="G915" s="15" t="s">
        <v>6510</v>
      </c>
      <c r="H915" s="15"/>
      <c r="I915" s="15" t="s">
        <v>322</v>
      </c>
      <c r="J915" s="7" t="str">
        <f>HYPERLINK("https://www.codechef.com/problems/PPREPCS111", "https://www.codechef.com/problems/PPREPCS111")</f>
        <v>https://www.codechef.com/problems/PPREPCS111</v>
      </c>
      <c r="K915" s="15"/>
      <c r="L915" s="15"/>
      <c r="M915" s="15"/>
      <c r="N915" s="15" t="s">
        <v>50</v>
      </c>
      <c r="O915" s="15" t="s">
        <v>51</v>
      </c>
    </row>
    <row r="916" spans="1:15">
      <c r="A916" s="14" t="s">
        <v>13</v>
      </c>
      <c r="B916" s="14" t="s">
        <v>6273</v>
      </c>
      <c r="C916" s="14" t="s">
        <v>6274</v>
      </c>
      <c r="D916" s="14" t="s">
        <v>6502</v>
      </c>
      <c r="E916" s="14">
        <v>113</v>
      </c>
      <c r="F916" s="14" t="s">
        <v>6511</v>
      </c>
      <c r="G916" s="14" t="s">
        <v>6512</v>
      </c>
      <c r="H916" s="14"/>
      <c r="I916" s="14" t="s">
        <v>322</v>
      </c>
      <c r="J916" s="11" t="str">
        <f>HYPERLINK("https://www.codechef.com/problems/PPREPCS112", "https://www.codechef.com/problems/PPREPCS112")</f>
        <v>https://www.codechef.com/problems/PPREPCS112</v>
      </c>
      <c r="K916" s="14"/>
      <c r="L916" s="14"/>
      <c r="M916" s="14"/>
      <c r="N916" s="14" t="s">
        <v>50</v>
      </c>
      <c r="O916" s="14" t="s">
        <v>51</v>
      </c>
    </row>
    <row r="917" spans="1:15">
      <c r="A917" s="15" t="s">
        <v>13</v>
      </c>
      <c r="B917" s="15" t="s">
        <v>6273</v>
      </c>
      <c r="C917" s="15" t="s">
        <v>6274</v>
      </c>
      <c r="D917" s="15" t="s">
        <v>6502</v>
      </c>
      <c r="E917" s="15">
        <v>114</v>
      </c>
      <c r="F917" s="15" t="s">
        <v>6513</v>
      </c>
      <c r="G917" s="15" t="s">
        <v>6514</v>
      </c>
      <c r="H917" s="15"/>
      <c r="I917" s="15" t="s">
        <v>96</v>
      </c>
      <c r="J917" s="7" t="str">
        <f>HYPERLINK("https://www.codechef.com/problems/PPREPCS113", "https://www.codechef.com/problems/PPREPCS113")</f>
        <v>https://www.codechef.com/problems/PPREPCS113</v>
      </c>
      <c r="K917" s="15"/>
      <c r="L917" s="15"/>
      <c r="M917" s="15"/>
      <c r="N917" s="15" t="s">
        <v>50</v>
      </c>
      <c r="O917" s="15" t="s">
        <v>51</v>
      </c>
    </row>
    <row r="918" spans="1:15">
      <c r="A918" s="14" t="s">
        <v>13</v>
      </c>
      <c r="B918" s="14" t="s">
        <v>6273</v>
      </c>
      <c r="C918" s="14" t="s">
        <v>6274</v>
      </c>
      <c r="D918" s="14" t="s">
        <v>6502</v>
      </c>
      <c r="E918" s="14">
        <v>115</v>
      </c>
      <c r="F918" s="14" t="s">
        <v>6515</v>
      </c>
      <c r="G918" s="14" t="s">
        <v>6516</v>
      </c>
      <c r="H918" s="14"/>
      <c r="I918" s="14" t="s">
        <v>96</v>
      </c>
      <c r="J918" s="11" t="str">
        <f>HYPERLINK("https://www.codechef.com/problems/PPREPCS114", "https://www.codechef.com/problems/PPREPCS114")</f>
        <v>https://www.codechef.com/problems/PPREPCS114</v>
      </c>
      <c r="K918" s="14"/>
      <c r="L918" s="14"/>
      <c r="M918" s="14"/>
      <c r="N918" s="14" t="s">
        <v>50</v>
      </c>
      <c r="O918" s="14" t="s">
        <v>51</v>
      </c>
    </row>
    <row r="919" spans="1:15">
      <c r="A919" s="15" t="s">
        <v>13</v>
      </c>
      <c r="B919" s="15" t="s">
        <v>6273</v>
      </c>
      <c r="C919" s="15" t="s">
        <v>6274</v>
      </c>
      <c r="D919" s="15" t="s">
        <v>6502</v>
      </c>
      <c r="E919" s="15">
        <v>116</v>
      </c>
      <c r="F919" s="15" t="s">
        <v>6517</v>
      </c>
      <c r="G919" s="15" t="s">
        <v>6518</v>
      </c>
      <c r="H919" s="15"/>
      <c r="I919" s="15" t="s">
        <v>322</v>
      </c>
      <c r="J919" s="7" t="str">
        <f>HYPERLINK("https://www.codechef.com/problems/PPREPCS115", "https://www.codechef.com/problems/PPREPCS115")</f>
        <v>https://www.codechef.com/problems/PPREPCS115</v>
      </c>
      <c r="K919" s="15"/>
      <c r="L919" s="15"/>
      <c r="M919" s="15"/>
      <c r="N919" s="15" t="s">
        <v>50</v>
      </c>
      <c r="O919" s="15" t="s">
        <v>51</v>
      </c>
    </row>
    <row r="920" spans="1:15">
      <c r="A920" s="14" t="s">
        <v>13</v>
      </c>
      <c r="B920" s="14" t="s">
        <v>6273</v>
      </c>
      <c r="C920" s="14" t="s">
        <v>6274</v>
      </c>
      <c r="D920" s="14" t="s">
        <v>6502</v>
      </c>
      <c r="E920" s="14">
        <v>117</v>
      </c>
      <c r="F920" s="14" t="s">
        <v>6519</v>
      </c>
      <c r="G920" s="14" t="s">
        <v>6520</v>
      </c>
      <c r="H920" s="14"/>
      <c r="I920" s="14" t="s">
        <v>322</v>
      </c>
      <c r="J920" s="11" t="str">
        <f>HYPERLINK("https://www.codechef.com/problems/PPREPCS116", "https://www.codechef.com/problems/PPREPCS116")</f>
        <v>https://www.codechef.com/problems/PPREPCS116</v>
      </c>
      <c r="K920" s="14"/>
      <c r="L920" s="14"/>
      <c r="M920" s="14"/>
      <c r="N920" s="14" t="s">
        <v>50</v>
      </c>
      <c r="O920" s="14" t="s">
        <v>51</v>
      </c>
    </row>
    <row r="921" spans="1:15">
      <c r="A921" s="15" t="s">
        <v>13</v>
      </c>
      <c r="B921" s="15" t="s">
        <v>6273</v>
      </c>
      <c r="C921" s="15" t="s">
        <v>6274</v>
      </c>
      <c r="D921" s="15" t="s">
        <v>6502</v>
      </c>
      <c r="E921" s="15">
        <v>118</v>
      </c>
      <c r="F921" s="15" t="s">
        <v>6521</v>
      </c>
      <c r="G921" s="15" t="s">
        <v>6522</v>
      </c>
      <c r="H921" s="15"/>
      <c r="I921" s="15" t="s">
        <v>322</v>
      </c>
      <c r="J921" s="7" t="str">
        <f>HYPERLINK("https://www.codechef.com/problems/PPREPCS117", "https://www.codechef.com/problems/PPREPCS117")</f>
        <v>https://www.codechef.com/problems/PPREPCS117</v>
      </c>
      <c r="K921" s="15"/>
      <c r="L921" s="15"/>
      <c r="M921" s="15"/>
      <c r="N921" s="15" t="s">
        <v>50</v>
      </c>
      <c r="O921" s="15" t="s">
        <v>51</v>
      </c>
    </row>
    <row r="922" spans="1:15">
      <c r="A922" s="14" t="s">
        <v>13</v>
      </c>
      <c r="B922" s="14" t="s">
        <v>6273</v>
      </c>
      <c r="C922" s="14" t="s">
        <v>6274</v>
      </c>
      <c r="D922" s="14" t="s">
        <v>6523</v>
      </c>
      <c r="E922" s="14">
        <v>119</v>
      </c>
      <c r="F922" s="14" t="s">
        <v>6524</v>
      </c>
      <c r="G922" s="14" t="s">
        <v>6525</v>
      </c>
      <c r="H922" s="14"/>
      <c r="I922" s="14" t="s">
        <v>49</v>
      </c>
      <c r="J922" s="11" t="str">
        <f>HYPERLINK("https://www.codechef.com/problems/PPREPCS118", "https://www.codechef.com/problems/PPREPCS118")</f>
        <v>https://www.codechef.com/problems/PPREPCS118</v>
      </c>
      <c r="K922" s="14"/>
      <c r="L922" s="14"/>
      <c r="M922" s="14"/>
      <c r="N922" s="14" t="s">
        <v>50</v>
      </c>
      <c r="O922" s="14" t="s">
        <v>51</v>
      </c>
    </row>
    <row r="923" spans="1:15">
      <c r="A923" s="15" t="s">
        <v>13</v>
      </c>
      <c r="B923" s="15" t="s">
        <v>6273</v>
      </c>
      <c r="C923" s="15" t="s">
        <v>6274</v>
      </c>
      <c r="D923" s="15" t="s">
        <v>6523</v>
      </c>
      <c r="E923" s="15">
        <v>120</v>
      </c>
      <c r="F923" s="15" t="s">
        <v>6526</v>
      </c>
      <c r="G923" s="15" t="s">
        <v>6527</v>
      </c>
      <c r="H923" s="15"/>
      <c r="I923" s="15" t="s">
        <v>49</v>
      </c>
      <c r="J923" s="7" t="str">
        <f>HYPERLINK("https://www.codechef.com/problems/PPREPCS119", "https://www.codechef.com/problems/PPREPCS119")</f>
        <v>https://www.codechef.com/problems/PPREPCS119</v>
      </c>
      <c r="K923" s="15"/>
      <c r="L923" s="15"/>
      <c r="M923" s="15"/>
      <c r="N923" s="15" t="s">
        <v>50</v>
      </c>
      <c r="O923" s="15" t="s">
        <v>51</v>
      </c>
    </row>
    <row r="924" spans="1:15">
      <c r="A924" s="14" t="s">
        <v>13</v>
      </c>
      <c r="B924" s="14" t="s">
        <v>6273</v>
      </c>
      <c r="C924" s="14" t="s">
        <v>6274</v>
      </c>
      <c r="D924" s="14" t="s">
        <v>6523</v>
      </c>
      <c r="E924" s="14">
        <v>121</v>
      </c>
      <c r="F924" s="14" t="s">
        <v>6528</v>
      </c>
      <c r="G924" s="14" t="s">
        <v>6529</v>
      </c>
      <c r="H924" s="14"/>
      <c r="I924" s="14" t="s">
        <v>49</v>
      </c>
      <c r="J924" s="11" t="str">
        <f>HYPERLINK("https://www.codechef.com/problems/PPREPCS120", "https://www.codechef.com/problems/PPREPCS120")</f>
        <v>https://www.codechef.com/problems/PPREPCS120</v>
      </c>
      <c r="K924" s="14"/>
      <c r="L924" s="14"/>
      <c r="M924" s="14"/>
      <c r="N924" s="14" t="s">
        <v>50</v>
      </c>
      <c r="O924" s="14" t="s">
        <v>51</v>
      </c>
    </row>
    <row r="925" spans="1:15">
      <c r="A925" s="15" t="s">
        <v>13</v>
      </c>
      <c r="B925" s="15" t="s">
        <v>6273</v>
      </c>
      <c r="C925" s="15" t="s">
        <v>6274</v>
      </c>
      <c r="D925" s="15" t="s">
        <v>6523</v>
      </c>
      <c r="E925" s="15">
        <v>122</v>
      </c>
      <c r="F925" s="15" t="s">
        <v>6530</v>
      </c>
      <c r="G925" s="15" t="s">
        <v>6531</v>
      </c>
      <c r="H925" s="15"/>
      <c r="I925" s="15" t="s">
        <v>49</v>
      </c>
      <c r="J925" s="7" t="str">
        <f>HYPERLINK("https://www.codechef.com/problems/PPREPCS121", "https://www.codechef.com/problems/PPREPCS121")</f>
        <v>https://www.codechef.com/problems/PPREPCS121</v>
      </c>
      <c r="K925" s="15"/>
      <c r="L925" s="15"/>
      <c r="M925" s="15"/>
      <c r="N925" s="15" t="s">
        <v>50</v>
      </c>
      <c r="O925" s="15" t="s">
        <v>51</v>
      </c>
    </row>
    <row r="926" spans="1:15">
      <c r="A926" s="14" t="s">
        <v>13</v>
      </c>
      <c r="B926" s="14" t="s">
        <v>6273</v>
      </c>
      <c r="C926" s="14" t="s">
        <v>6274</v>
      </c>
      <c r="D926" s="14" t="s">
        <v>6532</v>
      </c>
      <c r="E926" s="14">
        <v>123</v>
      </c>
      <c r="F926" s="14" t="s">
        <v>6533</v>
      </c>
      <c r="G926" s="14" t="s">
        <v>6534</v>
      </c>
      <c r="H926" s="14"/>
      <c r="I926" s="14" t="s">
        <v>49</v>
      </c>
      <c r="J926" s="11" t="str">
        <f>HYPERLINK("https://www.codechef.com/problems/PPREPCS122", "https://www.codechef.com/problems/PPREPCS122")</f>
        <v>https://www.codechef.com/problems/PPREPCS122</v>
      </c>
      <c r="K926" s="14"/>
      <c r="L926" s="14"/>
      <c r="M926" s="14"/>
      <c r="N926" s="14" t="s">
        <v>50</v>
      </c>
      <c r="O926" s="14" t="s">
        <v>51</v>
      </c>
    </row>
    <row r="927" spans="1:15">
      <c r="A927" s="15" t="s">
        <v>13</v>
      </c>
      <c r="B927" s="15" t="s">
        <v>6273</v>
      </c>
      <c r="C927" s="15" t="s">
        <v>6274</v>
      </c>
      <c r="D927" s="15" t="s">
        <v>6532</v>
      </c>
      <c r="E927" s="15">
        <v>124</v>
      </c>
      <c r="F927" s="15" t="s">
        <v>6535</v>
      </c>
      <c r="G927" s="15" t="s">
        <v>6536</v>
      </c>
      <c r="H927" s="15"/>
      <c r="I927" s="15" t="s">
        <v>49</v>
      </c>
      <c r="J927" s="7" t="str">
        <f>HYPERLINK("https://www.codechef.com/problems/PPREPCS123", "https://www.codechef.com/problems/PPREPCS123")</f>
        <v>https://www.codechef.com/problems/PPREPCS123</v>
      </c>
      <c r="K927" s="15"/>
      <c r="L927" s="15"/>
      <c r="M927" s="15"/>
      <c r="N927" s="15" t="s">
        <v>50</v>
      </c>
      <c r="O927" s="15" t="s">
        <v>51</v>
      </c>
    </row>
    <row r="928" spans="1:15">
      <c r="A928" s="14" t="s">
        <v>13</v>
      </c>
      <c r="B928" s="14" t="s">
        <v>6273</v>
      </c>
      <c r="C928" s="14" t="s">
        <v>6274</v>
      </c>
      <c r="D928" s="14" t="s">
        <v>6532</v>
      </c>
      <c r="E928" s="14">
        <v>125</v>
      </c>
      <c r="F928" s="14" t="s">
        <v>6537</v>
      </c>
      <c r="G928" s="14" t="s">
        <v>6538</v>
      </c>
      <c r="H928" s="14"/>
      <c r="I928" s="14" t="s">
        <v>49</v>
      </c>
      <c r="J928" s="11" t="str">
        <f>HYPERLINK("https://www.codechef.com/problems/PPREPCS124", "https://www.codechef.com/problems/PPREPCS124")</f>
        <v>https://www.codechef.com/problems/PPREPCS124</v>
      </c>
      <c r="K928" s="14"/>
      <c r="L928" s="14"/>
      <c r="M928" s="14"/>
      <c r="N928" s="14" t="s">
        <v>50</v>
      </c>
      <c r="O928" s="14" t="s">
        <v>51</v>
      </c>
    </row>
    <row r="929" spans="1:15">
      <c r="A929" s="15" t="s">
        <v>13</v>
      </c>
      <c r="B929" s="15" t="s">
        <v>6273</v>
      </c>
      <c r="C929" s="15" t="s">
        <v>6274</v>
      </c>
      <c r="D929" s="15" t="s">
        <v>6532</v>
      </c>
      <c r="E929" s="15">
        <v>126</v>
      </c>
      <c r="F929" s="15" t="s">
        <v>6539</v>
      </c>
      <c r="G929" s="15" t="s">
        <v>6540</v>
      </c>
      <c r="H929" s="15"/>
      <c r="I929" s="15" t="s">
        <v>49</v>
      </c>
      <c r="J929" s="7" t="str">
        <f>HYPERLINK("https://www.codechef.com/problems/PPREPCS125", "https://www.codechef.com/problems/PPREPCS125")</f>
        <v>https://www.codechef.com/problems/PPREPCS125</v>
      </c>
      <c r="K929" s="15"/>
      <c r="L929" s="15"/>
      <c r="M929" s="15"/>
      <c r="N929" s="15" t="s">
        <v>50</v>
      </c>
      <c r="O929" s="15" t="s">
        <v>51</v>
      </c>
    </row>
    <row r="930" spans="1:15">
      <c r="A930" s="14" t="s">
        <v>13</v>
      </c>
      <c r="B930" s="14" t="s">
        <v>6273</v>
      </c>
      <c r="C930" s="14" t="s">
        <v>6274</v>
      </c>
      <c r="D930" s="14" t="s">
        <v>6532</v>
      </c>
      <c r="E930" s="14">
        <v>127</v>
      </c>
      <c r="F930" s="14" t="s">
        <v>6541</v>
      </c>
      <c r="G930" s="14" t="s">
        <v>6542</v>
      </c>
      <c r="H930" s="14"/>
      <c r="I930" s="14" t="s">
        <v>49</v>
      </c>
      <c r="J930" s="11" t="str">
        <f>HYPERLINK("https://www.codechef.com/problems/PPREPCS126", "https://www.codechef.com/problems/PPREPCS126")</f>
        <v>https://www.codechef.com/problems/PPREPCS126</v>
      </c>
      <c r="K930" s="14"/>
      <c r="L930" s="14"/>
      <c r="M930" s="14"/>
      <c r="N930" s="14" t="s">
        <v>50</v>
      </c>
      <c r="O930" s="14" t="s">
        <v>51</v>
      </c>
    </row>
    <row r="931" spans="1:15">
      <c r="A931" s="15" t="s">
        <v>13</v>
      </c>
      <c r="B931" s="15" t="s">
        <v>6273</v>
      </c>
      <c r="C931" s="15" t="s">
        <v>6274</v>
      </c>
      <c r="D931" s="15" t="s">
        <v>6532</v>
      </c>
      <c r="E931" s="15">
        <v>128</v>
      </c>
      <c r="F931" s="15" t="s">
        <v>6543</v>
      </c>
      <c r="G931" s="15" t="s">
        <v>6544</v>
      </c>
      <c r="H931" s="15"/>
      <c r="I931" s="15" t="s">
        <v>49</v>
      </c>
      <c r="J931" s="7" t="str">
        <f>HYPERLINK("https://www.codechef.com/problems/PPREPCS127", "https://www.codechef.com/problems/PPREPCS127")</f>
        <v>https://www.codechef.com/problems/PPREPCS127</v>
      </c>
      <c r="K931" s="15"/>
      <c r="L931" s="15"/>
      <c r="M931" s="15"/>
      <c r="N931" s="15" t="s">
        <v>50</v>
      </c>
      <c r="O931" s="15" t="s">
        <v>51</v>
      </c>
    </row>
    <row r="932" spans="1:15">
      <c r="A932" s="14" t="s">
        <v>13</v>
      </c>
      <c r="B932" s="14" t="s">
        <v>6273</v>
      </c>
      <c r="C932" s="14" t="s">
        <v>6274</v>
      </c>
      <c r="D932" s="14" t="s">
        <v>6532</v>
      </c>
      <c r="E932" s="14">
        <v>129</v>
      </c>
      <c r="F932" s="14" t="s">
        <v>6545</v>
      </c>
      <c r="G932" s="14" t="s">
        <v>6546</v>
      </c>
      <c r="H932" s="14"/>
      <c r="I932" s="14" t="s">
        <v>49</v>
      </c>
      <c r="J932" s="11" t="str">
        <f>HYPERLINK("https://www.codechef.com/problems/PPREPCS128", "https://www.codechef.com/problems/PPREPCS128")</f>
        <v>https://www.codechef.com/problems/PPREPCS128</v>
      </c>
      <c r="K932" s="14"/>
      <c r="L932" s="14"/>
      <c r="M932" s="14"/>
      <c r="N932" s="14" t="s">
        <v>50</v>
      </c>
      <c r="O932" s="14" t="s">
        <v>51</v>
      </c>
    </row>
    <row r="933" spans="1:15">
      <c r="A933" s="15" t="s">
        <v>13</v>
      </c>
      <c r="B933" s="15" t="s">
        <v>6273</v>
      </c>
      <c r="C933" s="15" t="s">
        <v>6274</v>
      </c>
      <c r="D933" s="15" t="s">
        <v>6532</v>
      </c>
      <c r="E933" s="15">
        <v>130</v>
      </c>
      <c r="F933" s="15" t="s">
        <v>6547</v>
      </c>
      <c r="G933" s="15" t="s">
        <v>6548</v>
      </c>
      <c r="H933" s="15"/>
      <c r="I933" s="15" t="s">
        <v>49</v>
      </c>
      <c r="J933" s="7" t="str">
        <f>HYPERLINK("https://www.codechef.com/problems/PPREPCS129", "https://www.codechef.com/problems/PPREPCS129")</f>
        <v>https://www.codechef.com/problems/PPREPCS129</v>
      </c>
      <c r="K933" s="15"/>
      <c r="L933" s="15"/>
      <c r="M933" s="15"/>
      <c r="N933" s="15" t="s">
        <v>50</v>
      </c>
      <c r="O933" s="15" t="s">
        <v>51</v>
      </c>
    </row>
    <row r="934" spans="1:15">
      <c r="A934" s="14" t="s">
        <v>13</v>
      </c>
      <c r="B934" s="14" t="s">
        <v>6273</v>
      </c>
      <c r="C934" s="14" t="s">
        <v>6274</v>
      </c>
      <c r="D934" s="14" t="s">
        <v>6532</v>
      </c>
      <c r="E934" s="14">
        <v>131</v>
      </c>
      <c r="F934" s="14" t="s">
        <v>6549</v>
      </c>
      <c r="G934" s="14" t="s">
        <v>6550</v>
      </c>
      <c r="H934" s="14"/>
      <c r="I934" s="14" t="s">
        <v>49</v>
      </c>
      <c r="J934" s="11" t="str">
        <f>HYPERLINK("https://www.codechef.com/problems/PPREPCS130", "https://www.codechef.com/problems/PPREPCS130")</f>
        <v>https://www.codechef.com/problems/PPREPCS130</v>
      </c>
      <c r="K934" s="14"/>
      <c r="L934" s="14"/>
      <c r="M934" s="14"/>
      <c r="N934" s="14" t="s">
        <v>50</v>
      </c>
      <c r="O934" s="14" t="s">
        <v>51</v>
      </c>
    </row>
    <row r="935" spans="1:15">
      <c r="A935" s="15" t="s">
        <v>13</v>
      </c>
      <c r="B935" s="15" t="s">
        <v>6273</v>
      </c>
      <c r="C935" s="15" t="s">
        <v>6274</v>
      </c>
      <c r="D935" s="15" t="s">
        <v>6532</v>
      </c>
      <c r="E935" s="15">
        <v>132</v>
      </c>
      <c r="F935" s="15" t="s">
        <v>6551</v>
      </c>
      <c r="G935" s="15" t="s">
        <v>6552</v>
      </c>
      <c r="H935" s="15"/>
      <c r="I935" s="15" t="s">
        <v>49</v>
      </c>
      <c r="J935" s="7" t="str">
        <f>HYPERLINK("https://www.codechef.com/problems/PPREPCS131", "https://www.codechef.com/problems/PPREPCS131")</f>
        <v>https://www.codechef.com/problems/PPREPCS131</v>
      </c>
      <c r="K935" s="15"/>
      <c r="L935" s="15"/>
      <c r="M935" s="15"/>
      <c r="N935" s="15" t="s">
        <v>50</v>
      </c>
      <c r="O935" s="15" t="s">
        <v>51</v>
      </c>
    </row>
    <row r="936" spans="1:15">
      <c r="A936" s="14" t="s">
        <v>13</v>
      </c>
      <c r="B936" s="14" t="s">
        <v>6273</v>
      </c>
      <c r="C936" s="14" t="s">
        <v>6274</v>
      </c>
      <c r="D936" s="14" t="s">
        <v>6532</v>
      </c>
      <c r="E936" s="14">
        <v>133</v>
      </c>
      <c r="F936" s="14" t="s">
        <v>6553</v>
      </c>
      <c r="G936" s="14" t="s">
        <v>6554</v>
      </c>
      <c r="H936" s="14"/>
      <c r="I936" s="14" t="s">
        <v>49</v>
      </c>
      <c r="J936" s="11" t="str">
        <f>HYPERLINK("https://www.codechef.com/problems/PPREPCS132", "https://www.codechef.com/problems/PPREPCS132")</f>
        <v>https://www.codechef.com/problems/PPREPCS132</v>
      </c>
      <c r="K936" s="14"/>
      <c r="L936" s="14"/>
      <c r="M936" s="14"/>
      <c r="N936" s="14" t="s">
        <v>50</v>
      </c>
      <c r="O936" s="14" t="s">
        <v>51</v>
      </c>
    </row>
    <row r="937" spans="1:15">
      <c r="A937" s="15" t="s">
        <v>13</v>
      </c>
      <c r="B937" s="15" t="s">
        <v>6273</v>
      </c>
      <c r="C937" s="15" t="s">
        <v>6274</v>
      </c>
      <c r="D937" s="15" t="s">
        <v>6532</v>
      </c>
      <c r="E937" s="15">
        <v>134</v>
      </c>
      <c r="F937" s="15" t="s">
        <v>6555</v>
      </c>
      <c r="G937" s="15" t="s">
        <v>6556</v>
      </c>
      <c r="H937" s="15"/>
      <c r="I937" s="15" t="s">
        <v>49</v>
      </c>
      <c r="J937" s="7" t="str">
        <f>HYPERLINK("https://www.codechef.com/problems/PPREPCS133", "https://www.codechef.com/problems/PPREPCS133")</f>
        <v>https://www.codechef.com/problems/PPREPCS133</v>
      </c>
      <c r="K937" s="15"/>
      <c r="L937" s="15"/>
      <c r="M937" s="15"/>
      <c r="N937" s="15" t="s">
        <v>50</v>
      </c>
      <c r="O937" s="15" t="s">
        <v>51</v>
      </c>
    </row>
    <row r="938" spans="1:15">
      <c r="A938" s="14" t="s">
        <v>13</v>
      </c>
      <c r="B938" s="14" t="s">
        <v>6273</v>
      </c>
      <c r="C938" s="14" t="s">
        <v>6274</v>
      </c>
      <c r="D938" s="14" t="s">
        <v>6532</v>
      </c>
      <c r="E938" s="14">
        <v>135</v>
      </c>
      <c r="F938" s="14" t="s">
        <v>6557</v>
      </c>
      <c r="G938" s="14" t="s">
        <v>6558</v>
      </c>
      <c r="H938" s="14"/>
      <c r="I938" s="14" t="s">
        <v>49</v>
      </c>
      <c r="J938" s="11" t="str">
        <f>HYPERLINK("https://www.codechef.com/problems/PPREPCS137", "https://www.codechef.com/problems/PPREPCS137")</f>
        <v>https://www.codechef.com/problems/PPREPCS137</v>
      </c>
      <c r="K938" s="14"/>
      <c r="L938" s="14"/>
      <c r="M938" s="14"/>
      <c r="N938" s="14" t="s">
        <v>50</v>
      </c>
      <c r="O938" s="14" t="s">
        <v>51</v>
      </c>
    </row>
    <row r="939" spans="1:15">
      <c r="A939" s="15" t="s">
        <v>13</v>
      </c>
      <c r="B939" s="15" t="s">
        <v>6273</v>
      </c>
      <c r="C939" s="15" t="s">
        <v>6274</v>
      </c>
      <c r="D939" s="15" t="s">
        <v>6532</v>
      </c>
      <c r="E939" s="15">
        <v>136</v>
      </c>
      <c r="F939" s="15" t="s">
        <v>6559</v>
      </c>
      <c r="G939" s="15" t="s">
        <v>6560</v>
      </c>
      <c r="H939" s="15"/>
      <c r="I939" s="15" t="s">
        <v>49</v>
      </c>
      <c r="J939" s="7" t="str">
        <f>HYPERLINK("https://www.codechef.com/problems/PPREPCS138", "https://www.codechef.com/problems/PPREPCS138")</f>
        <v>https://www.codechef.com/problems/PPREPCS138</v>
      </c>
      <c r="K939" s="15"/>
      <c r="L939" s="15"/>
      <c r="M939" s="15"/>
      <c r="N939" s="15" t="s">
        <v>50</v>
      </c>
      <c r="O939" s="15" t="s">
        <v>51</v>
      </c>
    </row>
    <row r="940" spans="1:15">
      <c r="A940" s="14" t="s">
        <v>13</v>
      </c>
      <c r="B940" s="14" t="s">
        <v>6561</v>
      </c>
      <c r="C940" s="14" t="s">
        <v>6562</v>
      </c>
      <c r="D940" s="14" t="s">
        <v>6563</v>
      </c>
      <c r="E940" s="14">
        <v>1</v>
      </c>
      <c r="F940" s="14" t="s">
        <v>6564</v>
      </c>
      <c r="G940" s="14" t="s">
        <v>6565</v>
      </c>
      <c r="H940" s="14"/>
      <c r="I940" s="14" t="s">
        <v>49</v>
      </c>
      <c r="J940" s="11" t="str">
        <f>HYPERLINK("https://www.codechef.com/problems/OSP01", "https://www.codechef.com/problems/OSP01")</f>
        <v>https://www.codechef.com/problems/OSP01</v>
      </c>
      <c r="K940" s="14"/>
      <c r="L940" s="14"/>
      <c r="M940" s="14"/>
      <c r="N940" s="14" t="s">
        <v>50</v>
      </c>
      <c r="O940" s="14" t="s">
        <v>51</v>
      </c>
    </row>
    <row r="941" spans="1:15">
      <c r="A941" s="15" t="s">
        <v>13</v>
      </c>
      <c r="B941" s="15" t="s">
        <v>6561</v>
      </c>
      <c r="C941" s="15" t="s">
        <v>6562</v>
      </c>
      <c r="D941" s="15" t="s">
        <v>6563</v>
      </c>
      <c r="E941" s="15">
        <v>2</v>
      </c>
      <c r="F941" s="15" t="s">
        <v>6566</v>
      </c>
      <c r="G941" s="15" t="s">
        <v>6567</v>
      </c>
      <c r="H941" s="15"/>
      <c r="I941" s="15" t="s">
        <v>49</v>
      </c>
      <c r="J941" s="7" t="str">
        <f>HYPERLINK("https://www.codechef.com/problems/OSMCQ001", "https://www.codechef.com/problems/OSMCQ001")</f>
        <v>https://www.codechef.com/problems/OSMCQ001</v>
      </c>
      <c r="K941" s="15"/>
      <c r="L941" s="15"/>
      <c r="M941" s="15"/>
      <c r="N941" s="15" t="s">
        <v>50</v>
      </c>
      <c r="O941" s="15" t="s">
        <v>51</v>
      </c>
    </row>
    <row r="942" spans="1:15">
      <c r="A942" s="14" t="s">
        <v>13</v>
      </c>
      <c r="B942" s="14" t="s">
        <v>6561</v>
      </c>
      <c r="C942" s="14" t="s">
        <v>6562</v>
      </c>
      <c r="D942" s="14" t="s">
        <v>6563</v>
      </c>
      <c r="E942" s="14">
        <v>3</v>
      </c>
      <c r="F942" s="14" t="s">
        <v>6568</v>
      </c>
      <c r="G942" s="14" t="s">
        <v>6569</v>
      </c>
      <c r="H942" s="14"/>
      <c r="I942" s="14" t="s">
        <v>49</v>
      </c>
      <c r="J942" s="11" t="str">
        <f>HYPERLINK("https://www.codechef.com/problems/OSMCQ002", "https://www.codechef.com/problems/OSMCQ002")</f>
        <v>https://www.codechef.com/problems/OSMCQ002</v>
      </c>
      <c r="K942" s="14"/>
      <c r="L942" s="14"/>
      <c r="M942" s="14"/>
      <c r="N942" s="14" t="s">
        <v>50</v>
      </c>
      <c r="O942" s="14" t="s">
        <v>51</v>
      </c>
    </row>
    <row r="943" spans="1:15">
      <c r="A943" s="15" t="s">
        <v>13</v>
      </c>
      <c r="B943" s="15" t="s">
        <v>6561</v>
      </c>
      <c r="C943" s="15" t="s">
        <v>6562</v>
      </c>
      <c r="D943" s="15" t="s">
        <v>6563</v>
      </c>
      <c r="E943" s="15">
        <v>4</v>
      </c>
      <c r="F943" s="15" t="s">
        <v>6570</v>
      </c>
      <c r="G943" s="15" t="s">
        <v>6571</v>
      </c>
      <c r="H943" s="15"/>
      <c r="I943" s="15" t="s">
        <v>49</v>
      </c>
      <c r="J943" s="7" t="str">
        <f>HYPERLINK("https://www.codechef.com/problems/OSMCQ003", "https://www.codechef.com/problems/OSMCQ003")</f>
        <v>https://www.codechef.com/problems/OSMCQ003</v>
      </c>
      <c r="K943" s="15"/>
      <c r="L943" s="15"/>
      <c r="M943" s="15"/>
      <c r="N943" s="15" t="s">
        <v>50</v>
      </c>
      <c r="O943" s="15" t="s">
        <v>51</v>
      </c>
    </row>
    <row r="944" spans="1:15">
      <c r="A944" s="14" t="s">
        <v>13</v>
      </c>
      <c r="B944" s="14" t="s">
        <v>6561</v>
      </c>
      <c r="C944" s="14" t="s">
        <v>6562</v>
      </c>
      <c r="D944" s="14" t="s">
        <v>6563</v>
      </c>
      <c r="E944" s="14">
        <v>5</v>
      </c>
      <c r="F944" s="14" t="s">
        <v>6572</v>
      </c>
      <c r="G944" s="14" t="s">
        <v>6573</v>
      </c>
      <c r="H944" s="14"/>
      <c r="I944" s="14" t="s">
        <v>96</v>
      </c>
      <c r="J944" s="11" t="str">
        <f>HYPERLINK("https://www.codechef.com/problems/OSP03", "https://www.codechef.com/problems/OSP03")</f>
        <v>https://www.codechef.com/problems/OSP03</v>
      </c>
      <c r="K944" s="14"/>
      <c r="L944" s="14"/>
      <c r="M944" s="14"/>
      <c r="N944" s="14" t="s">
        <v>50</v>
      </c>
      <c r="O944" s="14" t="s">
        <v>51</v>
      </c>
    </row>
    <row r="945" spans="1:15">
      <c r="A945" s="15" t="s">
        <v>13</v>
      </c>
      <c r="B945" s="15" t="s">
        <v>6561</v>
      </c>
      <c r="C945" s="15" t="s">
        <v>6562</v>
      </c>
      <c r="D945" s="15" t="s">
        <v>6563</v>
      </c>
      <c r="E945" s="15">
        <v>6</v>
      </c>
      <c r="F945" s="15" t="s">
        <v>6574</v>
      </c>
      <c r="G945" s="15" t="s">
        <v>6575</v>
      </c>
      <c r="H945" s="15"/>
      <c r="I945" s="15" t="s">
        <v>49</v>
      </c>
      <c r="J945" s="7" t="str">
        <f>HYPERLINK("https://www.codechef.com/problems/OSMCQ004", "https://www.codechef.com/problems/OSMCQ004")</f>
        <v>https://www.codechef.com/problems/OSMCQ004</v>
      </c>
      <c r="K945" s="15"/>
      <c r="L945" s="15"/>
      <c r="M945" s="15"/>
      <c r="N945" s="15" t="s">
        <v>50</v>
      </c>
      <c r="O945" s="15" t="s">
        <v>51</v>
      </c>
    </row>
    <row r="946" spans="1:15">
      <c r="A946" s="14" t="s">
        <v>13</v>
      </c>
      <c r="B946" s="14" t="s">
        <v>6561</v>
      </c>
      <c r="C946" s="14" t="s">
        <v>6562</v>
      </c>
      <c r="D946" s="14" t="s">
        <v>6563</v>
      </c>
      <c r="E946" s="14">
        <v>7</v>
      </c>
      <c r="F946" s="14" t="s">
        <v>6576</v>
      </c>
      <c r="G946" s="14" t="s">
        <v>6577</v>
      </c>
      <c r="H946" s="14"/>
      <c r="I946" s="14" t="s">
        <v>49</v>
      </c>
      <c r="J946" s="11" t="str">
        <f>HYPERLINK("https://www.codechef.com/problems/OSMCQ005", "https://www.codechef.com/problems/OSMCQ005")</f>
        <v>https://www.codechef.com/problems/OSMCQ005</v>
      </c>
      <c r="K946" s="14"/>
      <c r="L946" s="14"/>
      <c r="M946" s="14"/>
      <c r="N946" s="14" t="s">
        <v>50</v>
      </c>
      <c r="O946" s="14" t="s">
        <v>51</v>
      </c>
    </row>
    <row r="947" spans="1:15">
      <c r="A947" s="15" t="s">
        <v>13</v>
      </c>
      <c r="B947" s="15" t="s">
        <v>6561</v>
      </c>
      <c r="C947" s="15" t="s">
        <v>6562</v>
      </c>
      <c r="D947" s="15" t="s">
        <v>6563</v>
      </c>
      <c r="E947" s="15">
        <v>8</v>
      </c>
      <c r="F947" s="15" t="s">
        <v>6578</v>
      </c>
      <c r="G947" s="15" t="s">
        <v>6579</v>
      </c>
      <c r="H947" s="15"/>
      <c r="I947" s="15" t="s">
        <v>49</v>
      </c>
      <c r="J947" s="7" t="str">
        <f>HYPERLINK("https://www.codechef.com/problems/OSMCQ006", "https://www.codechef.com/problems/OSMCQ006")</f>
        <v>https://www.codechef.com/problems/OSMCQ006</v>
      </c>
      <c r="K947" s="15"/>
      <c r="L947" s="15"/>
      <c r="M947" s="15"/>
      <c r="N947" s="15" t="s">
        <v>50</v>
      </c>
      <c r="O947" s="15" t="s">
        <v>51</v>
      </c>
    </row>
    <row r="948" spans="1:15">
      <c r="A948" s="14" t="s">
        <v>13</v>
      </c>
      <c r="B948" s="14" t="s">
        <v>6561</v>
      </c>
      <c r="C948" s="14" t="s">
        <v>6562</v>
      </c>
      <c r="D948" s="14" t="s">
        <v>6563</v>
      </c>
      <c r="E948" s="14">
        <v>9</v>
      </c>
      <c r="F948" s="14" t="s">
        <v>6580</v>
      </c>
      <c r="G948" s="14" t="s">
        <v>6581</v>
      </c>
      <c r="H948" s="14"/>
      <c r="I948" s="14" t="s">
        <v>49</v>
      </c>
      <c r="J948" s="11" t="str">
        <f>HYPERLINK("https://www.codechef.com/problems/OSP02", "https://www.codechef.com/problems/OSP02")</f>
        <v>https://www.codechef.com/problems/OSP02</v>
      </c>
      <c r="K948" s="14"/>
      <c r="L948" s="14"/>
      <c r="M948" s="14"/>
      <c r="N948" s="14" t="s">
        <v>50</v>
      </c>
      <c r="O948" s="14" t="s">
        <v>51</v>
      </c>
    </row>
    <row r="949" spans="1:15">
      <c r="A949" s="15" t="s">
        <v>13</v>
      </c>
      <c r="B949" s="15" t="s">
        <v>6561</v>
      </c>
      <c r="C949" s="15" t="s">
        <v>6562</v>
      </c>
      <c r="D949" s="15" t="s">
        <v>6563</v>
      </c>
      <c r="E949" s="15">
        <v>10</v>
      </c>
      <c r="F949" s="15" t="s">
        <v>6582</v>
      </c>
      <c r="G949" s="15" t="s">
        <v>6583</v>
      </c>
      <c r="H949" s="15"/>
      <c r="I949" s="15" t="s">
        <v>49</v>
      </c>
      <c r="J949" s="7" t="str">
        <f>HYPERLINK("https://www.codechef.com/problems/OSMCQ007", "https://www.codechef.com/problems/OSMCQ007")</f>
        <v>https://www.codechef.com/problems/OSMCQ007</v>
      </c>
      <c r="K949" s="15"/>
      <c r="L949" s="15"/>
      <c r="M949" s="15"/>
      <c r="N949" s="15" t="s">
        <v>50</v>
      </c>
      <c r="O949" s="15" t="s">
        <v>51</v>
      </c>
    </row>
    <row r="950" spans="1:15">
      <c r="A950" s="14" t="s">
        <v>13</v>
      </c>
      <c r="B950" s="14" t="s">
        <v>6561</v>
      </c>
      <c r="C950" s="14" t="s">
        <v>6562</v>
      </c>
      <c r="D950" s="14" t="s">
        <v>6563</v>
      </c>
      <c r="E950" s="14">
        <v>11</v>
      </c>
      <c r="F950" s="14" t="s">
        <v>6584</v>
      </c>
      <c r="G950" s="14" t="s">
        <v>6585</v>
      </c>
      <c r="H950" s="14"/>
      <c r="I950" s="14" t="s">
        <v>49</v>
      </c>
      <c r="J950" s="11" t="str">
        <f>HYPERLINK("https://www.codechef.com/problems/OSMCQ008", "https://www.codechef.com/problems/OSMCQ008")</f>
        <v>https://www.codechef.com/problems/OSMCQ008</v>
      </c>
      <c r="K950" s="14"/>
      <c r="L950" s="14"/>
      <c r="M950" s="14"/>
      <c r="N950" s="14" t="s">
        <v>50</v>
      </c>
      <c r="O950" s="14" t="s">
        <v>51</v>
      </c>
    </row>
    <row r="951" spans="1:15">
      <c r="A951" s="15" t="s">
        <v>13</v>
      </c>
      <c r="B951" s="15" t="s">
        <v>6561</v>
      </c>
      <c r="C951" s="15" t="s">
        <v>6562</v>
      </c>
      <c r="D951" s="15" t="s">
        <v>6563</v>
      </c>
      <c r="E951" s="15">
        <v>12</v>
      </c>
      <c r="F951" s="15" t="s">
        <v>6586</v>
      </c>
      <c r="G951" s="15" t="s">
        <v>6587</v>
      </c>
      <c r="H951" s="15"/>
      <c r="I951" s="15" t="s">
        <v>96</v>
      </c>
      <c r="J951" s="7" t="str">
        <f>HYPERLINK("https://www.codechef.com/problems/OSMCQ009", "https://www.codechef.com/problems/OSMCQ009")</f>
        <v>https://www.codechef.com/problems/OSMCQ009</v>
      </c>
      <c r="K951" s="15"/>
      <c r="L951" s="15"/>
      <c r="M951" s="15"/>
      <c r="N951" s="15" t="s">
        <v>50</v>
      </c>
      <c r="O951" s="15" t="s">
        <v>51</v>
      </c>
    </row>
    <row r="952" spans="1:15">
      <c r="A952" s="14" t="s">
        <v>13</v>
      </c>
      <c r="B952" s="14" t="s">
        <v>6561</v>
      </c>
      <c r="C952" s="14" t="s">
        <v>6562</v>
      </c>
      <c r="D952" s="14" t="s">
        <v>6563</v>
      </c>
      <c r="E952" s="14">
        <v>13</v>
      </c>
      <c r="F952" s="14" t="s">
        <v>6588</v>
      </c>
      <c r="G952" s="14" t="s">
        <v>6589</v>
      </c>
      <c r="H952" s="14"/>
      <c r="I952" s="14" t="s">
        <v>49</v>
      </c>
      <c r="J952" s="11" t="str">
        <f>HYPERLINK("https://www.codechef.com/problems/OSP04", "https://www.codechef.com/problems/OSP04")</f>
        <v>https://www.codechef.com/problems/OSP04</v>
      </c>
      <c r="K952" s="14"/>
      <c r="L952" s="14"/>
      <c r="M952" s="14"/>
      <c r="N952" s="14" t="s">
        <v>50</v>
      </c>
      <c r="O952" s="14" t="s">
        <v>51</v>
      </c>
    </row>
    <row r="953" spans="1:15">
      <c r="A953" s="15" t="s">
        <v>13</v>
      </c>
      <c r="B953" s="15" t="s">
        <v>6561</v>
      </c>
      <c r="C953" s="15" t="s">
        <v>6562</v>
      </c>
      <c r="D953" s="15" t="s">
        <v>6563</v>
      </c>
      <c r="E953" s="15">
        <v>14</v>
      </c>
      <c r="F953" s="15" t="s">
        <v>6590</v>
      </c>
      <c r="G953" s="15" t="s">
        <v>6591</v>
      </c>
      <c r="H953" s="15"/>
      <c r="I953" s="15" t="s">
        <v>49</v>
      </c>
      <c r="J953" s="7" t="str">
        <f>HYPERLINK("https://www.codechef.com/problems/OSMCQ010", "https://www.codechef.com/problems/OSMCQ010")</f>
        <v>https://www.codechef.com/problems/OSMCQ010</v>
      </c>
      <c r="K953" s="15"/>
      <c r="L953" s="15"/>
      <c r="M953" s="15"/>
      <c r="N953" s="15" t="s">
        <v>50</v>
      </c>
      <c r="O953" s="15" t="s">
        <v>51</v>
      </c>
    </row>
    <row r="954" spans="1:15">
      <c r="A954" s="14" t="s">
        <v>13</v>
      </c>
      <c r="B954" s="14" t="s">
        <v>6561</v>
      </c>
      <c r="C954" s="14" t="s">
        <v>6562</v>
      </c>
      <c r="D954" s="14" t="s">
        <v>6563</v>
      </c>
      <c r="E954" s="14">
        <v>15</v>
      </c>
      <c r="F954" s="14" t="s">
        <v>6592</v>
      </c>
      <c r="G954" s="14" t="s">
        <v>6593</v>
      </c>
      <c r="H954" s="14"/>
      <c r="I954" s="14" t="s">
        <v>49</v>
      </c>
      <c r="J954" s="11" t="str">
        <f>HYPERLINK("https://www.codechef.com/problems/OSMCQ011", "https://www.codechef.com/problems/OSMCQ011")</f>
        <v>https://www.codechef.com/problems/OSMCQ011</v>
      </c>
      <c r="K954" s="14"/>
      <c r="L954" s="14"/>
      <c r="M954" s="14"/>
      <c r="N954" s="14" t="s">
        <v>50</v>
      </c>
      <c r="O954" s="14" t="s">
        <v>51</v>
      </c>
    </row>
    <row r="955" spans="1:15">
      <c r="A955" s="15" t="s">
        <v>13</v>
      </c>
      <c r="B955" s="15" t="s">
        <v>6561</v>
      </c>
      <c r="C955" s="15" t="s">
        <v>6562</v>
      </c>
      <c r="D955" s="15" t="s">
        <v>6563</v>
      </c>
      <c r="E955" s="15">
        <v>16</v>
      </c>
      <c r="F955" s="15" t="s">
        <v>6594</v>
      </c>
      <c r="G955" s="15" t="s">
        <v>6595</v>
      </c>
      <c r="H955" s="15"/>
      <c r="I955" s="15" t="s">
        <v>96</v>
      </c>
      <c r="J955" s="7" t="str">
        <f>HYPERLINK("https://www.codechef.com/problems/OSMCQ012", "https://www.codechef.com/problems/OSMCQ012")</f>
        <v>https://www.codechef.com/problems/OSMCQ012</v>
      </c>
      <c r="K955" s="15"/>
      <c r="L955" s="15"/>
      <c r="M955" s="15"/>
      <c r="N955" s="15" t="s">
        <v>50</v>
      </c>
      <c r="O955" s="15" t="s">
        <v>51</v>
      </c>
    </row>
    <row r="956" spans="1:15">
      <c r="A956" s="14" t="s">
        <v>13</v>
      </c>
      <c r="B956" s="14" t="s">
        <v>6561</v>
      </c>
      <c r="C956" s="14" t="s">
        <v>6562</v>
      </c>
      <c r="D956" s="14" t="s">
        <v>6563</v>
      </c>
      <c r="E956" s="14">
        <v>17</v>
      </c>
      <c r="F956" s="14" t="s">
        <v>6596</v>
      </c>
      <c r="G956" s="14" t="s">
        <v>6597</v>
      </c>
      <c r="H956" s="14"/>
      <c r="I956" s="14" t="s">
        <v>49</v>
      </c>
      <c r="J956" s="11" t="str">
        <f>HYPERLINK("https://www.codechef.com/problems/OSP05", "https://www.codechef.com/problems/OSP05")</f>
        <v>https://www.codechef.com/problems/OSP05</v>
      </c>
      <c r="K956" s="14"/>
      <c r="L956" s="14"/>
      <c r="M956" s="14"/>
      <c r="N956" s="14" t="s">
        <v>50</v>
      </c>
      <c r="O956" s="14" t="s">
        <v>51</v>
      </c>
    </row>
    <row r="957" spans="1:15">
      <c r="A957" s="15" t="s">
        <v>13</v>
      </c>
      <c r="B957" s="15" t="s">
        <v>6561</v>
      </c>
      <c r="C957" s="15" t="s">
        <v>6562</v>
      </c>
      <c r="D957" s="15" t="s">
        <v>6563</v>
      </c>
      <c r="E957" s="15">
        <v>18</v>
      </c>
      <c r="F957" s="15" t="s">
        <v>6598</v>
      </c>
      <c r="G957" s="15" t="s">
        <v>6599</v>
      </c>
      <c r="H957" s="15"/>
      <c r="I957" s="15" t="s">
        <v>49</v>
      </c>
      <c r="J957" s="7" t="str">
        <f>HYPERLINK("https://www.codechef.com/problems/OSMCQ013", "https://www.codechef.com/problems/OSMCQ013")</f>
        <v>https://www.codechef.com/problems/OSMCQ013</v>
      </c>
      <c r="K957" s="15"/>
      <c r="L957" s="15"/>
      <c r="M957" s="15"/>
      <c r="N957" s="15" t="s">
        <v>50</v>
      </c>
      <c r="O957" s="15" t="s">
        <v>51</v>
      </c>
    </row>
    <row r="958" spans="1:15">
      <c r="A958" s="14" t="s">
        <v>13</v>
      </c>
      <c r="B958" s="14" t="s">
        <v>6561</v>
      </c>
      <c r="C958" s="14" t="s">
        <v>6562</v>
      </c>
      <c r="D958" s="14" t="s">
        <v>6563</v>
      </c>
      <c r="E958" s="14">
        <v>19</v>
      </c>
      <c r="F958" s="14" t="s">
        <v>6600</v>
      </c>
      <c r="G958" s="14" t="s">
        <v>6601</v>
      </c>
      <c r="H958" s="14"/>
      <c r="I958" s="14" t="s">
        <v>49</v>
      </c>
      <c r="J958" s="11" t="str">
        <f>HYPERLINK("https://www.codechef.com/problems/OSMCQ014", "https://www.codechef.com/problems/OSMCQ014")</f>
        <v>https://www.codechef.com/problems/OSMCQ014</v>
      </c>
      <c r="K958" s="14"/>
      <c r="L958" s="14"/>
      <c r="M958" s="14"/>
      <c r="N958" s="14" t="s">
        <v>50</v>
      </c>
      <c r="O958" s="14" t="s">
        <v>51</v>
      </c>
    </row>
    <row r="959" spans="1:15">
      <c r="A959" s="15" t="s">
        <v>13</v>
      </c>
      <c r="B959" s="15" t="s">
        <v>6561</v>
      </c>
      <c r="C959" s="15" t="s">
        <v>6562</v>
      </c>
      <c r="D959" s="15" t="s">
        <v>6563</v>
      </c>
      <c r="E959" s="15">
        <v>20</v>
      </c>
      <c r="F959" s="15" t="s">
        <v>6602</v>
      </c>
      <c r="G959" s="15" t="s">
        <v>6603</v>
      </c>
      <c r="H959" s="15"/>
      <c r="I959" s="15" t="s">
        <v>96</v>
      </c>
      <c r="J959" s="7" t="str">
        <f>HYPERLINK("https://www.codechef.com/problems/OSMCQ015", "https://www.codechef.com/problems/OSMCQ015")</f>
        <v>https://www.codechef.com/problems/OSMCQ015</v>
      </c>
      <c r="K959" s="15"/>
      <c r="L959" s="15"/>
      <c r="M959" s="15"/>
      <c r="N959" s="15" t="s">
        <v>50</v>
      </c>
      <c r="O959" s="15" t="s">
        <v>51</v>
      </c>
    </row>
    <row r="960" spans="1:15">
      <c r="A960" s="14" t="s">
        <v>13</v>
      </c>
      <c r="B960" s="14" t="s">
        <v>6561</v>
      </c>
      <c r="C960" s="14" t="s">
        <v>6562</v>
      </c>
      <c r="D960" s="14" t="s">
        <v>6563</v>
      </c>
      <c r="E960" s="14">
        <v>21</v>
      </c>
      <c r="F960" s="14" t="s">
        <v>6604</v>
      </c>
      <c r="G960" s="14" t="s">
        <v>6605</v>
      </c>
      <c r="H960" s="14"/>
      <c r="I960" s="14" t="s">
        <v>49</v>
      </c>
      <c r="J960" s="11" t="str">
        <f>HYPERLINK("https://www.codechef.com/problems/OSP06", "https://www.codechef.com/problems/OSP06")</f>
        <v>https://www.codechef.com/problems/OSP06</v>
      </c>
      <c r="K960" s="14"/>
      <c r="L960" s="14"/>
      <c r="M960" s="14"/>
      <c r="N960" s="14" t="s">
        <v>50</v>
      </c>
      <c r="O960" s="14" t="s">
        <v>51</v>
      </c>
    </row>
    <row r="961" spans="1:15">
      <c r="A961" s="15" t="s">
        <v>13</v>
      </c>
      <c r="B961" s="15" t="s">
        <v>6561</v>
      </c>
      <c r="C961" s="15" t="s">
        <v>6562</v>
      </c>
      <c r="D961" s="15" t="s">
        <v>6563</v>
      </c>
      <c r="E961" s="15">
        <v>22</v>
      </c>
      <c r="F961" s="15" t="s">
        <v>6606</v>
      </c>
      <c r="G961" s="15" t="s">
        <v>6607</v>
      </c>
      <c r="H961" s="15"/>
      <c r="I961" s="15" t="s">
        <v>49</v>
      </c>
      <c r="J961" s="7" t="str">
        <f>HYPERLINK("https://www.codechef.com/problems/OSMCQ016", "https://www.codechef.com/problems/OSMCQ016")</f>
        <v>https://www.codechef.com/problems/OSMCQ016</v>
      </c>
      <c r="K961" s="15"/>
      <c r="L961" s="15"/>
      <c r="M961" s="15"/>
      <c r="N961" s="15" t="s">
        <v>50</v>
      </c>
      <c r="O961" s="15" t="s">
        <v>51</v>
      </c>
    </row>
    <row r="962" spans="1:15">
      <c r="A962" s="14" t="s">
        <v>13</v>
      </c>
      <c r="B962" s="14" t="s">
        <v>6561</v>
      </c>
      <c r="C962" s="14" t="s">
        <v>6562</v>
      </c>
      <c r="D962" s="14" t="s">
        <v>6563</v>
      </c>
      <c r="E962" s="14">
        <v>23</v>
      </c>
      <c r="F962" s="14" t="s">
        <v>6608</v>
      </c>
      <c r="G962" s="14" t="s">
        <v>6609</v>
      </c>
      <c r="H962" s="14"/>
      <c r="I962" s="14" t="s">
        <v>49</v>
      </c>
      <c r="J962" s="11" t="str">
        <f>HYPERLINK("https://www.codechef.com/problems/OSMCQ017", "https://www.codechef.com/problems/OSMCQ017")</f>
        <v>https://www.codechef.com/problems/OSMCQ017</v>
      </c>
      <c r="K962" s="14"/>
      <c r="L962" s="14"/>
      <c r="M962" s="14"/>
      <c r="N962" s="14" t="s">
        <v>50</v>
      </c>
      <c r="O962" s="14" t="s">
        <v>51</v>
      </c>
    </row>
    <row r="963" spans="1:15">
      <c r="A963" s="15" t="s">
        <v>13</v>
      </c>
      <c r="B963" s="15" t="s">
        <v>6561</v>
      </c>
      <c r="C963" s="15" t="s">
        <v>6562</v>
      </c>
      <c r="D963" s="15" t="s">
        <v>6563</v>
      </c>
      <c r="E963" s="15">
        <v>24</v>
      </c>
      <c r="F963" s="15" t="s">
        <v>6610</v>
      </c>
      <c r="G963" s="15" t="s">
        <v>6611</v>
      </c>
      <c r="H963" s="15"/>
      <c r="I963" s="15" t="s">
        <v>49</v>
      </c>
      <c r="J963" s="7" t="str">
        <f>HYPERLINK("https://www.codechef.com/problems/OSMCQ018", "https://www.codechef.com/problems/OSMCQ018")</f>
        <v>https://www.codechef.com/problems/OSMCQ018</v>
      </c>
      <c r="K963" s="15"/>
      <c r="L963" s="15"/>
      <c r="M963" s="15"/>
      <c r="N963" s="15" t="s">
        <v>50</v>
      </c>
      <c r="O963" s="15" t="s">
        <v>51</v>
      </c>
    </row>
    <row r="964" spans="1:15">
      <c r="A964" s="14" t="s">
        <v>13</v>
      </c>
      <c r="B964" s="14" t="s">
        <v>6561</v>
      </c>
      <c r="C964" s="14" t="s">
        <v>6562</v>
      </c>
      <c r="D964" s="14" t="s">
        <v>5276</v>
      </c>
      <c r="E964" s="14">
        <v>25</v>
      </c>
      <c r="F964" s="14" t="s">
        <v>6612</v>
      </c>
      <c r="G964" s="14" t="s">
        <v>6613</v>
      </c>
      <c r="H964" s="14"/>
      <c r="I964" s="14" t="s">
        <v>49</v>
      </c>
      <c r="J964" s="11" t="str">
        <f>HYPERLINK("https://www.codechef.com/problems/OSP07", "https://www.codechef.com/problems/OSP07")</f>
        <v>https://www.codechef.com/problems/OSP07</v>
      </c>
      <c r="K964" s="14"/>
      <c r="L964" s="14"/>
      <c r="M964" s="14"/>
      <c r="N964" s="14" t="s">
        <v>50</v>
      </c>
      <c r="O964" s="14" t="s">
        <v>51</v>
      </c>
    </row>
    <row r="965" spans="1:15">
      <c r="A965" s="15" t="s">
        <v>13</v>
      </c>
      <c r="B965" s="15" t="s">
        <v>6561</v>
      </c>
      <c r="C965" s="15" t="s">
        <v>6562</v>
      </c>
      <c r="D965" s="15" t="s">
        <v>5276</v>
      </c>
      <c r="E965" s="15">
        <v>26</v>
      </c>
      <c r="F965" s="15" t="s">
        <v>6614</v>
      </c>
      <c r="G965" s="15" t="s">
        <v>6615</v>
      </c>
      <c r="H965" s="15"/>
      <c r="I965" s="15" t="s">
        <v>49</v>
      </c>
      <c r="J965" s="7" t="str">
        <f>HYPERLINK("https://www.codechef.com/problems/OSMCQ019", "https://www.codechef.com/problems/OSMCQ019")</f>
        <v>https://www.codechef.com/problems/OSMCQ019</v>
      </c>
      <c r="K965" s="15"/>
      <c r="L965" s="15"/>
      <c r="M965" s="15"/>
      <c r="N965" s="15" t="s">
        <v>50</v>
      </c>
      <c r="O965" s="15" t="s">
        <v>51</v>
      </c>
    </row>
    <row r="966" spans="1:15">
      <c r="A966" s="14" t="s">
        <v>13</v>
      </c>
      <c r="B966" s="14" t="s">
        <v>6561</v>
      </c>
      <c r="C966" s="14" t="s">
        <v>6562</v>
      </c>
      <c r="D966" s="14" t="s">
        <v>5276</v>
      </c>
      <c r="E966" s="14">
        <v>27</v>
      </c>
      <c r="F966" s="14" t="s">
        <v>6616</v>
      </c>
      <c r="G966" s="14" t="s">
        <v>6617</v>
      </c>
      <c r="H966" s="14"/>
      <c r="I966" s="14" t="s">
        <v>49</v>
      </c>
      <c r="J966" s="11" t="str">
        <f>HYPERLINK("https://www.codechef.com/problems/OSMCQ020", "https://www.codechef.com/problems/OSMCQ020")</f>
        <v>https://www.codechef.com/problems/OSMCQ020</v>
      </c>
      <c r="K966" s="14"/>
      <c r="L966" s="14"/>
      <c r="M966" s="14"/>
      <c r="N966" s="14" t="s">
        <v>50</v>
      </c>
      <c r="O966" s="14" t="s">
        <v>51</v>
      </c>
    </row>
    <row r="967" spans="1:15">
      <c r="A967" s="15" t="s">
        <v>13</v>
      </c>
      <c r="B967" s="15" t="s">
        <v>6561</v>
      </c>
      <c r="C967" s="15" t="s">
        <v>6562</v>
      </c>
      <c r="D967" s="15" t="s">
        <v>5276</v>
      </c>
      <c r="E967" s="15">
        <v>28</v>
      </c>
      <c r="F967" s="15" t="s">
        <v>6618</v>
      </c>
      <c r="G967" s="15" t="s">
        <v>6619</v>
      </c>
      <c r="H967" s="15"/>
      <c r="I967" s="15" t="s">
        <v>49</v>
      </c>
      <c r="J967" s="7" t="str">
        <f>HYPERLINK("https://www.codechef.com/problems/OSMCQ021", "https://www.codechef.com/problems/OSMCQ021")</f>
        <v>https://www.codechef.com/problems/OSMCQ021</v>
      </c>
      <c r="K967" s="15"/>
      <c r="L967" s="15"/>
      <c r="M967" s="15"/>
      <c r="N967" s="15" t="s">
        <v>50</v>
      </c>
      <c r="O967" s="15" t="s">
        <v>51</v>
      </c>
    </row>
    <row r="968" spans="1:15">
      <c r="A968" s="14" t="s">
        <v>13</v>
      </c>
      <c r="B968" s="14" t="s">
        <v>6561</v>
      </c>
      <c r="C968" s="14" t="s">
        <v>6562</v>
      </c>
      <c r="D968" s="14" t="s">
        <v>5276</v>
      </c>
      <c r="E968" s="14">
        <v>29</v>
      </c>
      <c r="F968" s="14" t="s">
        <v>6620</v>
      </c>
      <c r="G968" s="14" t="s">
        <v>6621</v>
      </c>
      <c r="H968" s="14"/>
      <c r="I968" s="14" t="s">
        <v>96</v>
      </c>
      <c r="J968" s="11" t="str">
        <f>HYPERLINK("https://www.codechef.com/problems/OSP08", "https://www.codechef.com/problems/OSP08")</f>
        <v>https://www.codechef.com/problems/OSP08</v>
      </c>
      <c r="K968" s="14"/>
      <c r="L968" s="14"/>
      <c r="M968" s="14"/>
      <c r="N968" s="14" t="s">
        <v>50</v>
      </c>
      <c r="O968" s="14" t="s">
        <v>51</v>
      </c>
    </row>
    <row r="969" spans="1:15">
      <c r="A969" s="15" t="s">
        <v>13</v>
      </c>
      <c r="B969" s="15" t="s">
        <v>6561</v>
      </c>
      <c r="C969" s="15" t="s">
        <v>6562</v>
      </c>
      <c r="D969" s="15" t="s">
        <v>5276</v>
      </c>
      <c r="E969" s="15">
        <v>30</v>
      </c>
      <c r="F969" s="15" t="s">
        <v>6622</v>
      </c>
      <c r="G969" s="15" t="s">
        <v>6623</v>
      </c>
      <c r="H969" s="15"/>
      <c r="I969" s="15" t="s">
        <v>49</v>
      </c>
      <c r="J969" s="7" t="str">
        <f>HYPERLINK("https://www.codechef.com/problems/OSMCQ022", "https://www.codechef.com/problems/OSMCQ022")</f>
        <v>https://www.codechef.com/problems/OSMCQ022</v>
      </c>
      <c r="K969" s="15"/>
      <c r="L969" s="15"/>
      <c r="M969" s="15"/>
      <c r="N969" s="15" t="s">
        <v>50</v>
      </c>
      <c r="O969" s="15" t="s">
        <v>51</v>
      </c>
    </row>
    <row r="970" spans="1:15">
      <c r="A970" s="14" t="s">
        <v>13</v>
      </c>
      <c r="B970" s="14" t="s">
        <v>6561</v>
      </c>
      <c r="C970" s="14" t="s">
        <v>6562</v>
      </c>
      <c r="D970" s="14" t="s">
        <v>5276</v>
      </c>
      <c r="E970" s="14">
        <v>31</v>
      </c>
      <c r="F970" s="14" t="s">
        <v>6624</v>
      </c>
      <c r="G970" s="14" t="s">
        <v>6625</v>
      </c>
      <c r="H970" s="14"/>
      <c r="I970" s="14" t="s">
        <v>322</v>
      </c>
      <c r="J970" s="11" t="str">
        <f>HYPERLINK("https://www.codechef.com/problems/OSMCQ023", "https://www.codechef.com/problems/OSMCQ023")</f>
        <v>https://www.codechef.com/problems/OSMCQ023</v>
      </c>
      <c r="K970" s="14"/>
      <c r="L970" s="14"/>
      <c r="M970" s="14"/>
      <c r="N970" s="14" t="s">
        <v>50</v>
      </c>
      <c r="O970" s="14" t="s">
        <v>51</v>
      </c>
    </row>
    <row r="971" spans="1:15">
      <c r="A971" s="15" t="s">
        <v>13</v>
      </c>
      <c r="B971" s="15" t="s">
        <v>6561</v>
      </c>
      <c r="C971" s="15" t="s">
        <v>6562</v>
      </c>
      <c r="D971" s="15" t="s">
        <v>5276</v>
      </c>
      <c r="E971" s="15">
        <v>32</v>
      </c>
      <c r="F971" s="15" t="s">
        <v>6626</v>
      </c>
      <c r="G971" s="15" t="s">
        <v>6627</v>
      </c>
      <c r="H971" s="15"/>
      <c r="I971" s="15" t="s">
        <v>49</v>
      </c>
      <c r="J971" s="7" t="str">
        <f>HYPERLINK("https://www.codechef.com/problems/OSMCQ024", "https://www.codechef.com/problems/OSMCQ024")</f>
        <v>https://www.codechef.com/problems/OSMCQ024</v>
      </c>
      <c r="K971" s="15"/>
      <c r="L971" s="15"/>
      <c r="M971" s="15"/>
      <c r="N971" s="15" t="s">
        <v>50</v>
      </c>
      <c r="O971" s="15" t="s">
        <v>51</v>
      </c>
    </row>
    <row r="972" spans="1:15">
      <c r="A972" s="14" t="s">
        <v>13</v>
      </c>
      <c r="B972" s="14" t="s">
        <v>6561</v>
      </c>
      <c r="C972" s="14" t="s">
        <v>6562</v>
      </c>
      <c r="D972" s="14" t="s">
        <v>5276</v>
      </c>
      <c r="E972" s="14">
        <v>33</v>
      </c>
      <c r="F972" s="14" t="s">
        <v>6628</v>
      </c>
      <c r="G972" s="14" t="s">
        <v>6629</v>
      </c>
      <c r="H972" s="14"/>
      <c r="I972" s="14" t="s">
        <v>96</v>
      </c>
      <c r="J972" s="11" t="str">
        <f>HYPERLINK("https://www.codechef.com/problems/OSP09", "https://www.codechef.com/problems/OSP09")</f>
        <v>https://www.codechef.com/problems/OSP09</v>
      </c>
      <c r="K972" s="14"/>
      <c r="L972" s="14"/>
      <c r="M972" s="14"/>
      <c r="N972" s="14" t="s">
        <v>50</v>
      </c>
      <c r="O972" s="14" t="s">
        <v>51</v>
      </c>
    </row>
    <row r="973" spans="1:15">
      <c r="A973" s="15" t="s">
        <v>13</v>
      </c>
      <c r="B973" s="15" t="s">
        <v>6561</v>
      </c>
      <c r="C973" s="15" t="s">
        <v>6562</v>
      </c>
      <c r="D973" s="15" t="s">
        <v>5276</v>
      </c>
      <c r="E973" s="15">
        <v>34</v>
      </c>
      <c r="F973" s="15" t="s">
        <v>6630</v>
      </c>
      <c r="G973" s="15" t="s">
        <v>6631</v>
      </c>
      <c r="H973" s="15"/>
      <c r="I973" s="15" t="s">
        <v>49</v>
      </c>
      <c r="J973" s="7" t="str">
        <f>HYPERLINK("https://www.codechef.com/problems/OSMCQ025", "https://www.codechef.com/problems/OSMCQ025")</f>
        <v>https://www.codechef.com/problems/OSMCQ025</v>
      </c>
      <c r="K973" s="15"/>
      <c r="L973" s="15"/>
      <c r="M973" s="15"/>
      <c r="N973" s="15" t="s">
        <v>50</v>
      </c>
      <c r="O973" s="15" t="s">
        <v>51</v>
      </c>
    </row>
    <row r="974" spans="1:15">
      <c r="A974" s="14" t="s">
        <v>13</v>
      </c>
      <c r="B974" s="14" t="s">
        <v>6561</v>
      </c>
      <c r="C974" s="14" t="s">
        <v>6562</v>
      </c>
      <c r="D974" s="14" t="s">
        <v>5276</v>
      </c>
      <c r="E974" s="14">
        <v>35</v>
      </c>
      <c r="F974" s="14" t="s">
        <v>6632</v>
      </c>
      <c r="G974" s="14" t="s">
        <v>6633</v>
      </c>
      <c r="H974" s="14"/>
      <c r="I974" s="14" t="s">
        <v>96</v>
      </c>
      <c r="J974" s="11" t="str">
        <f>HYPERLINK("https://www.codechef.com/problems/OSMCQ026", "https://www.codechef.com/problems/OSMCQ026")</f>
        <v>https://www.codechef.com/problems/OSMCQ026</v>
      </c>
      <c r="K974" s="14"/>
      <c r="L974" s="14"/>
      <c r="M974" s="14"/>
      <c r="N974" s="14" t="s">
        <v>50</v>
      </c>
      <c r="O974" s="14" t="s">
        <v>51</v>
      </c>
    </row>
    <row r="975" spans="1:15">
      <c r="A975" s="15" t="s">
        <v>13</v>
      </c>
      <c r="B975" s="15" t="s">
        <v>6561</v>
      </c>
      <c r="C975" s="15" t="s">
        <v>6562</v>
      </c>
      <c r="D975" s="15" t="s">
        <v>5276</v>
      </c>
      <c r="E975" s="15">
        <v>36</v>
      </c>
      <c r="F975" s="15" t="s">
        <v>6634</v>
      </c>
      <c r="G975" s="15" t="s">
        <v>6635</v>
      </c>
      <c r="H975" s="15"/>
      <c r="I975" s="15" t="s">
        <v>96</v>
      </c>
      <c r="J975" s="7" t="str">
        <f>HYPERLINK("https://www.codechef.com/problems/OSMCQ027", "https://www.codechef.com/problems/OSMCQ027")</f>
        <v>https://www.codechef.com/problems/OSMCQ027</v>
      </c>
      <c r="K975" s="15"/>
      <c r="L975" s="15"/>
      <c r="M975" s="15"/>
      <c r="N975" s="15" t="s">
        <v>50</v>
      </c>
      <c r="O975" s="15" t="s">
        <v>51</v>
      </c>
    </row>
    <row r="976" spans="1:15">
      <c r="A976" s="14" t="s">
        <v>13</v>
      </c>
      <c r="B976" s="14" t="s">
        <v>6561</v>
      </c>
      <c r="C976" s="14" t="s">
        <v>6562</v>
      </c>
      <c r="D976" s="14" t="s">
        <v>5276</v>
      </c>
      <c r="E976" s="14">
        <v>37</v>
      </c>
      <c r="F976" s="14" t="s">
        <v>6636</v>
      </c>
      <c r="G976" s="14" t="s">
        <v>6637</v>
      </c>
      <c r="H976" s="14"/>
      <c r="I976" s="14" t="s">
        <v>96</v>
      </c>
      <c r="J976" s="11" t="str">
        <f>HYPERLINK("https://www.codechef.com/problems/OSP10", "https://www.codechef.com/problems/OSP10")</f>
        <v>https://www.codechef.com/problems/OSP10</v>
      </c>
      <c r="K976" s="14"/>
      <c r="L976" s="14"/>
      <c r="M976" s="14"/>
      <c r="N976" s="14" t="s">
        <v>50</v>
      </c>
      <c r="O976" s="14" t="s">
        <v>51</v>
      </c>
    </row>
    <row r="977" spans="1:15">
      <c r="A977" s="15" t="s">
        <v>13</v>
      </c>
      <c r="B977" s="15" t="s">
        <v>6561</v>
      </c>
      <c r="C977" s="15" t="s">
        <v>6562</v>
      </c>
      <c r="D977" s="15" t="s">
        <v>5276</v>
      </c>
      <c r="E977" s="15">
        <v>38</v>
      </c>
      <c r="F977" s="15" t="s">
        <v>6636</v>
      </c>
      <c r="G977" s="15" t="s">
        <v>6638</v>
      </c>
      <c r="H977" s="15"/>
      <c r="I977" s="15" t="s">
        <v>49</v>
      </c>
      <c r="J977" s="7" t="str">
        <f>HYPERLINK("https://www.codechef.com/problems/OSMCQ028", "https://www.codechef.com/problems/OSMCQ028")</f>
        <v>https://www.codechef.com/problems/OSMCQ028</v>
      </c>
      <c r="K977" s="15"/>
      <c r="L977" s="15"/>
      <c r="M977" s="15"/>
      <c r="N977" s="15" t="s">
        <v>50</v>
      </c>
      <c r="O977" s="15" t="s">
        <v>51</v>
      </c>
    </row>
    <row r="978" spans="1:15">
      <c r="A978" s="14" t="s">
        <v>13</v>
      </c>
      <c r="B978" s="14" t="s">
        <v>6561</v>
      </c>
      <c r="C978" s="14" t="s">
        <v>6562</v>
      </c>
      <c r="D978" s="14" t="s">
        <v>5276</v>
      </c>
      <c r="E978" s="14">
        <v>39</v>
      </c>
      <c r="F978" s="14" t="s">
        <v>6639</v>
      </c>
      <c r="G978" s="14" t="s">
        <v>6640</v>
      </c>
      <c r="H978" s="14"/>
      <c r="I978" s="14" t="s">
        <v>49</v>
      </c>
      <c r="J978" s="11" t="str">
        <f>HYPERLINK("https://www.codechef.com/problems/OSMCQ029", "https://www.codechef.com/problems/OSMCQ029")</f>
        <v>https://www.codechef.com/problems/OSMCQ029</v>
      </c>
      <c r="K978" s="14"/>
      <c r="L978" s="14"/>
      <c r="M978" s="14"/>
      <c r="N978" s="14" t="s">
        <v>50</v>
      </c>
      <c r="O978" s="14" t="s">
        <v>51</v>
      </c>
    </row>
    <row r="979" spans="1:15">
      <c r="A979" s="15" t="s">
        <v>13</v>
      </c>
      <c r="B979" s="15" t="s">
        <v>6561</v>
      </c>
      <c r="C979" s="15" t="s">
        <v>6562</v>
      </c>
      <c r="D979" s="15" t="s">
        <v>5276</v>
      </c>
      <c r="E979" s="15">
        <v>40</v>
      </c>
      <c r="F979" s="15" t="s">
        <v>6620</v>
      </c>
      <c r="G979" s="15" t="s">
        <v>6641</v>
      </c>
      <c r="H979" s="15"/>
      <c r="I979" s="15" t="s">
        <v>49</v>
      </c>
      <c r="J979" s="7" t="str">
        <f>HYPERLINK("https://www.codechef.com/problems/OSMCQ030", "https://www.codechef.com/problems/OSMCQ030")</f>
        <v>https://www.codechef.com/problems/OSMCQ030</v>
      </c>
      <c r="K979" s="15"/>
      <c r="L979" s="15"/>
      <c r="M979" s="15"/>
      <c r="N979" s="15" t="s">
        <v>50</v>
      </c>
      <c r="O979" s="15" t="s">
        <v>51</v>
      </c>
    </row>
    <row r="980" spans="1:15">
      <c r="A980" s="14" t="s">
        <v>13</v>
      </c>
      <c r="B980" s="14" t="s">
        <v>6561</v>
      </c>
      <c r="C980" s="14" t="s">
        <v>6562</v>
      </c>
      <c r="D980" s="14" t="s">
        <v>5276</v>
      </c>
      <c r="E980" s="14">
        <v>41</v>
      </c>
      <c r="F980" s="14" t="s">
        <v>6642</v>
      </c>
      <c r="G980" s="14" t="s">
        <v>6643</v>
      </c>
      <c r="H980" s="14"/>
      <c r="I980" s="14" t="s">
        <v>96</v>
      </c>
      <c r="J980" s="11" t="str">
        <f>HYPERLINK("https://www.codechef.com/problems/OSP11", "https://www.codechef.com/problems/OSP11")</f>
        <v>https://www.codechef.com/problems/OSP11</v>
      </c>
      <c r="K980" s="14"/>
      <c r="L980" s="14"/>
      <c r="M980" s="14"/>
      <c r="N980" s="14" t="s">
        <v>50</v>
      </c>
      <c r="O980" s="14" t="s">
        <v>51</v>
      </c>
    </row>
    <row r="981" spans="1:15">
      <c r="A981" s="15" t="s">
        <v>13</v>
      </c>
      <c r="B981" s="15" t="s">
        <v>6561</v>
      </c>
      <c r="C981" s="15" t="s">
        <v>6562</v>
      </c>
      <c r="D981" s="15" t="s">
        <v>5276</v>
      </c>
      <c r="E981" s="15">
        <v>42</v>
      </c>
      <c r="F981" s="15" t="s">
        <v>6644</v>
      </c>
      <c r="G981" s="15" t="s">
        <v>6645</v>
      </c>
      <c r="H981" s="15"/>
      <c r="I981" s="15" t="s">
        <v>49</v>
      </c>
      <c r="J981" s="7" t="str">
        <f>HYPERLINK("https://www.codechef.com/problems/OSMCQ031", "https://www.codechef.com/problems/OSMCQ031")</f>
        <v>https://www.codechef.com/problems/OSMCQ031</v>
      </c>
      <c r="K981" s="15"/>
      <c r="L981" s="15"/>
      <c r="M981" s="15"/>
      <c r="N981" s="15" t="s">
        <v>50</v>
      </c>
      <c r="O981" s="15" t="s">
        <v>51</v>
      </c>
    </row>
    <row r="982" spans="1:15">
      <c r="A982" s="14" t="s">
        <v>13</v>
      </c>
      <c r="B982" s="14" t="s">
        <v>6561</v>
      </c>
      <c r="C982" s="14" t="s">
        <v>6562</v>
      </c>
      <c r="D982" s="14" t="s">
        <v>5276</v>
      </c>
      <c r="E982" s="14">
        <v>43</v>
      </c>
      <c r="F982" s="14" t="s">
        <v>6646</v>
      </c>
      <c r="G982" s="14" t="s">
        <v>6647</v>
      </c>
      <c r="H982" s="14"/>
      <c r="I982" s="14" t="s">
        <v>49</v>
      </c>
      <c r="J982" s="11" t="str">
        <f>HYPERLINK("https://www.codechef.com/problems/OSMCQ032", "https://www.codechef.com/problems/OSMCQ032")</f>
        <v>https://www.codechef.com/problems/OSMCQ032</v>
      </c>
      <c r="K982" s="14"/>
      <c r="L982" s="14"/>
      <c r="M982" s="14"/>
      <c r="N982" s="14" t="s">
        <v>50</v>
      </c>
      <c r="O982" s="14" t="s">
        <v>51</v>
      </c>
    </row>
    <row r="983" spans="1:15">
      <c r="A983" s="15" t="s">
        <v>13</v>
      </c>
      <c r="B983" s="15" t="s">
        <v>6561</v>
      </c>
      <c r="C983" s="15" t="s">
        <v>6562</v>
      </c>
      <c r="D983" s="15" t="s">
        <v>5276</v>
      </c>
      <c r="E983" s="15">
        <v>44</v>
      </c>
      <c r="F983" s="15" t="s">
        <v>6648</v>
      </c>
      <c r="G983" s="15" t="s">
        <v>6649</v>
      </c>
      <c r="H983" s="15"/>
      <c r="I983" s="15" t="s">
        <v>96</v>
      </c>
      <c r="J983" s="7" t="str">
        <f>HYPERLINK("https://www.codechef.com/problems/OSMCQ033", "https://www.codechef.com/problems/OSMCQ033")</f>
        <v>https://www.codechef.com/problems/OSMCQ033</v>
      </c>
      <c r="K983" s="15"/>
      <c r="L983" s="15"/>
      <c r="M983" s="15"/>
      <c r="N983" s="15" t="s">
        <v>50</v>
      </c>
      <c r="O983" s="15" t="s">
        <v>51</v>
      </c>
    </row>
    <row r="984" spans="1:15">
      <c r="A984" s="14" t="s">
        <v>13</v>
      </c>
      <c r="B984" s="14" t="s">
        <v>6561</v>
      </c>
      <c r="C984" s="14" t="s">
        <v>6562</v>
      </c>
      <c r="D984" s="14" t="s">
        <v>5276</v>
      </c>
      <c r="E984" s="14">
        <v>45</v>
      </c>
      <c r="F984" s="14" t="s">
        <v>6650</v>
      </c>
      <c r="G984" s="14" t="s">
        <v>6651</v>
      </c>
      <c r="H984" s="14"/>
      <c r="I984" s="14" t="s">
        <v>49</v>
      </c>
      <c r="J984" s="11" t="str">
        <f>HYPERLINK("https://www.codechef.com/problems/OSP12", "https://www.codechef.com/problems/OSP12")</f>
        <v>https://www.codechef.com/problems/OSP12</v>
      </c>
      <c r="K984" s="14"/>
      <c r="L984" s="14"/>
      <c r="M984" s="14"/>
      <c r="N984" s="14" t="s">
        <v>50</v>
      </c>
      <c r="O984" s="14" t="s">
        <v>51</v>
      </c>
    </row>
    <row r="985" spans="1:15">
      <c r="A985" s="15" t="s">
        <v>13</v>
      </c>
      <c r="B985" s="15" t="s">
        <v>6561</v>
      </c>
      <c r="C985" s="15" t="s">
        <v>6562</v>
      </c>
      <c r="D985" s="15" t="s">
        <v>5276</v>
      </c>
      <c r="E985" s="15">
        <v>46</v>
      </c>
      <c r="F985" s="15" t="s">
        <v>6652</v>
      </c>
      <c r="G985" s="15" t="s">
        <v>6653</v>
      </c>
      <c r="H985" s="15"/>
      <c r="I985" s="15" t="s">
        <v>49</v>
      </c>
      <c r="J985" s="7" t="str">
        <f>HYPERLINK("https://www.codechef.com/problems/OSMCQ034", "https://www.codechef.com/problems/OSMCQ034")</f>
        <v>https://www.codechef.com/problems/OSMCQ034</v>
      </c>
      <c r="K985" s="15"/>
      <c r="L985" s="15"/>
      <c r="M985" s="15"/>
      <c r="N985" s="15" t="s">
        <v>50</v>
      </c>
      <c r="O985" s="15" t="s">
        <v>51</v>
      </c>
    </row>
    <row r="986" spans="1:15">
      <c r="A986" s="14" t="s">
        <v>13</v>
      </c>
      <c r="B986" s="14" t="s">
        <v>6561</v>
      </c>
      <c r="C986" s="14" t="s">
        <v>6562</v>
      </c>
      <c r="D986" s="14" t="s">
        <v>5276</v>
      </c>
      <c r="E986" s="14">
        <v>47</v>
      </c>
      <c r="F986" s="14" t="s">
        <v>6654</v>
      </c>
      <c r="G986" s="14" t="s">
        <v>6655</v>
      </c>
      <c r="H986" s="14"/>
      <c r="I986" s="14" t="s">
        <v>96</v>
      </c>
      <c r="J986" s="11" t="str">
        <f>HYPERLINK("https://www.codechef.com/problems/OSMCQ035", "https://www.codechef.com/problems/OSMCQ035")</f>
        <v>https://www.codechef.com/problems/OSMCQ035</v>
      </c>
      <c r="K986" s="14"/>
      <c r="L986" s="14"/>
      <c r="M986" s="14"/>
      <c r="N986" s="14" t="s">
        <v>50</v>
      </c>
      <c r="O986" s="14" t="s">
        <v>51</v>
      </c>
    </row>
    <row r="987" spans="1:15">
      <c r="A987" s="15" t="s">
        <v>13</v>
      </c>
      <c r="B987" s="15" t="s">
        <v>6561</v>
      </c>
      <c r="C987" s="15" t="s">
        <v>6562</v>
      </c>
      <c r="D987" s="15" t="s">
        <v>5276</v>
      </c>
      <c r="E987" s="15">
        <v>48</v>
      </c>
      <c r="F987" s="15" t="s">
        <v>6656</v>
      </c>
      <c r="G987" s="15" t="s">
        <v>6657</v>
      </c>
      <c r="H987" s="15"/>
      <c r="I987" s="15" t="s">
        <v>96</v>
      </c>
      <c r="J987" s="7" t="str">
        <f>HYPERLINK("https://www.codechef.com/problems/OSMCQ036", "https://www.codechef.com/problems/OSMCQ036")</f>
        <v>https://www.codechef.com/problems/OSMCQ036</v>
      </c>
      <c r="K987" s="15"/>
      <c r="L987" s="15"/>
      <c r="M987" s="15"/>
      <c r="N987" s="15" t="s">
        <v>50</v>
      </c>
      <c r="O987" s="15" t="s">
        <v>51</v>
      </c>
    </row>
    <row r="988" spans="1:15">
      <c r="A988" s="14" t="s">
        <v>13</v>
      </c>
      <c r="B988" s="14" t="s">
        <v>6561</v>
      </c>
      <c r="C988" s="14" t="s">
        <v>6562</v>
      </c>
      <c r="D988" s="14" t="s">
        <v>6658</v>
      </c>
      <c r="E988" s="14">
        <v>49</v>
      </c>
      <c r="F988" s="14" t="s">
        <v>6659</v>
      </c>
      <c r="G988" s="14" t="s">
        <v>6660</v>
      </c>
      <c r="H988" s="14"/>
      <c r="I988" s="14" t="s">
        <v>49</v>
      </c>
      <c r="J988" s="11" t="str">
        <f>HYPERLINK("https://www.codechef.com/problems/OSP13", "https://www.codechef.com/problems/OSP13")</f>
        <v>https://www.codechef.com/problems/OSP13</v>
      </c>
      <c r="K988" s="14"/>
      <c r="L988" s="14"/>
      <c r="M988" s="14"/>
      <c r="N988" s="14" t="s">
        <v>50</v>
      </c>
      <c r="O988" s="14" t="s">
        <v>51</v>
      </c>
    </row>
    <row r="989" spans="1:15">
      <c r="A989" s="15" t="s">
        <v>13</v>
      </c>
      <c r="B989" s="15" t="s">
        <v>6561</v>
      </c>
      <c r="C989" s="15" t="s">
        <v>6562</v>
      </c>
      <c r="D989" s="15" t="s">
        <v>6658</v>
      </c>
      <c r="E989" s="15">
        <v>50</v>
      </c>
      <c r="F989" s="15" t="s">
        <v>6661</v>
      </c>
      <c r="G989" s="15" t="s">
        <v>6662</v>
      </c>
      <c r="H989" s="15"/>
      <c r="I989" s="15" t="s">
        <v>49</v>
      </c>
      <c r="J989" s="7" t="str">
        <f>HYPERLINK("https://www.codechef.com/problems/OSMCQ037", "https://www.codechef.com/problems/OSMCQ037")</f>
        <v>https://www.codechef.com/problems/OSMCQ037</v>
      </c>
      <c r="K989" s="15"/>
      <c r="L989" s="15"/>
      <c r="M989" s="15"/>
      <c r="N989" s="15" t="s">
        <v>50</v>
      </c>
      <c r="O989" s="15" t="s">
        <v>51</v>
      </c>
    </row>
    <row r="990" spans="1:15">
      <c r="A990" s="14" t="s">
        <v>13</v>
      </c>
      <c r="B990" s="14" t="s">
        <v>6561</v>
      </c>
      <c r="C990" s="14" t="s">
        <v>6562</v>
      </c>
      <c r="D990" s="14" t="s">
        <v>6658</v>
      </c>
      <c r="E990" s="14">
        <v>51</v>
      </c>
      <c r="F990" s="14" t="s">
        <v>6663</v>
      </c>
      <c r="G990" s="14" t="s">
        <v>6664</v>
      </c>
      <c r="H990" s="14"/>
      <c r="I990" s="14" t="s">
        <v>49</v>
      </c>
      <c r="J990" s="11" t="str">
        <f>HYPERLINK("https://www.codechef.com/problems/OSMCQ038", "https://www.codechef.com/problems/OSMCQ038")</f>
        <v>https://www.codechef.com/problems/OSMCQ038</v>
      </c>
      <c r="K990" s="14"/>
      <c r="L990" s="14"/>
      <c r="M990" s="14"/>
      <c r="N990" s="14" t="s">
        <v>50</v>
      </c>
      <c r="O990" s="14" t="s">
        <v>51</v>
      </c>
    </row>
    <row r="991" spans="1:15">
      <c r="A991" s="15" t="s">
        <v>13</v>
      </c>
      <c r="B991" s="15" t="s">
        <v>6561</v>
      </c>
      <c r="C991" s="15" t="s">
        <v>6562</v>
      </c>
      <c r="D991" s="15" t="s">
        <v>6658</v>
      </c>
      <c r="E991" s="15">
        <v>52</v>
      </c>
      <c r="F991" s="15" t="s">
        <v>6665</v>
      </c>
      <c r="G991" s="15" t="s">
        <v>6666</v>
      </c>
      <c r="H991" s="15"/>
      <c r="I991" s="15" t="s">
        <v>96</v>
      </c>
      <c r="J991" s="7" t="str">
        <f>HYPERLINK("https://www.codechef.com/problems/OSMCQ039", "https://www.codechef.com/problems/OSMCQ039")</f>
        <v>https://www.codechef.com/problems/OSMCQ039</v>
      </c>
      <c r="K991" s="15"/>
      <c r="L991" s="15"/>
      <c r="M991" s="15"/>
      <c r="N991" s="15" t="s">
        <v>50</v>
      </c>
      <c r="O991" s="15" t="s">
        <v>51</v>
      </c>
    </row>
    <row r="992" spans="1:15">
      <c r="A992" s="14" t="s">
        <v>13</v>
      </c>
      <c r="B992" s="14" t="s">
        <v>6561</v>
      </c>
      <c r="C992" s="14" t="s">
        <v>6562</v>
      </c>
      <c r="D992" s="14" t="s">
        <v>6658</v>
      </c>
      <c r="E992" s="14">
        <v>53</v>
      </c>
      <c r="F992" s="14" t="s">
        <v>6667</v>
      </c>
      <c r="G992" s="14" t="s">
        <v>6668</v>
      </c>
      <c r="H992" s="14"/>
      <c r="I992" s="14" t="s">
        <v>49</v>
      </c>
      <c r="J992" s="11" t="str">
        <f>HYPERLINK("https://www.codechef.com/problems/OSP14", "https://www.codechef.com/problems/OSP14")</f>
        <v>https://www.codechef.com/problems/OSP14</v>
      </c>
      <c r="K992" s="14"/>
      <c r="L992" s="14"/>
      <c r="M992" s="14"/>
      <c r="N992" s="14" t="s">
        <v>50</v>
      </c>
      <c r="O992" s="14" t="s">
        <v>51</v>
      </c>
    </row>
    <row r="993" spans="1:15">
      <c r="A993" s="15" t="s">
        <v>13</v>
      </c>
      <c r="B993" s="15" t="s">
        <v>6561</v>
      </c>
      <c r="C993" s="15" t="s">
        <v>6562</v>
      </c>
      <c r="D993" s="15" t="s">
        <v>6658</v>
      </c>
      <c r="E993" s="15">
        <v>54</v>
      </c>
      <c r="F993" s="15" t="s">
        <v>6669</v>
      </c>
      <c r="G993" s="15" t="s">
        <v>6670</v>
      </c>
      <c r="H993" s="15"/>
      <c r="I993" s="15" t="s">
        <v>49</v>
      </c>
      <c r="J993" s="7" t="str">
        <f>HYPERLINK("https://www.codechef.com/problems/OSMCQ040", "https://www.codechef.com/problems/OSMCQ040")</f>
        <v>https://www.codechef.com/problems/OSMCQ040</v>
      </c>
      <c r="K993" s="15"/>
      <c r="L993" s="15"/>
      <c r="M993" s="15"/>
      <c r="N993" s="15" t="s">
        <v>50</v>
      </c>
      <c r="O993" s="15" t="s">
        <v>51</v>
      </c>
    </row>
    <row r="994" spans="1:15">
      <c r="A994" s="14" t="s">
        <v>13</v>
      </c>
      <c r="B994" s="14" t="s">
        <v>6561</v>
      </c>
      <c r="C994" s="14" t="s">
        <v>6562</v>
      </c>
      <c r="D994" s="14" t="s">
        <v>6658</v>
      </c>
      <c r="E994" s="14">
        <v>55</v>
      </c>
      <c r="F994" s="14" t="s">
        <v>6671</v>
      </c>
      <c r="G994" s="14" t="s">
        <v>6672</v>
      </c>
      <c r="H994" s="14"/>
      <c r="I994" s="14" t="s">
        <v>49</v>
      </c>
      <c r="J994" s="11" t="str">
        <f>HYPERLINK("https://www.codechef.com/problems/OSMCQ041", "https://www.codechef.com/problems/OSMCQ041")</f>
        <v>https://www.codechef.com/problems/OSMCQ041</v>
      </c>
      <c r="K994" s="14"/>
      <c r="L994" s="14"/>
      <c r="M994" s="14"/>
      <c r="N994" s="14" t="s">
        <v>50</v>
      </c>
      <c r="O994" s="14" t="s">
        <v>51</v>
      </c>
    </row>
    <row r="995" spans="1:15">
      <c r="A995" s="15" t="s">
        <v>13</v>
      </c>
      <c r="B995" s="15" t="s">
        <v>6561</v>
      </c>
      <c r="C995" s="15" t="s">
        <v>6562</v>
      </c>
      <c r="D995" s="15" t="s">
        <v>6658</v>
      </c>
      <c r="E995" s="15">
        <v>56</v>
      </c>
      <c r="F995" s="15" t="s">
        <v>6673</v>
      </c>
      <c r="G995" s="15" t="s">
        <v>6674</v>
      </c>
      <c r="H995" s="15"/>
      <c r="I995" s="15" t="s">
        <v>49</v>
      </c>
      <c r="J995" s="7" t="str">
        <f>HYPERLINK("https://www.codechef.com/problems/OSMCQ042", "https://www.codechef.com/problems/OSMCQ042")</f>
        <v>https://www.codechef.com/problems/OSMCQ042</v>
      </c>
      <c r="K995" s="15"/>
      <c r="L995" s="15"/>
      <c r="M995" s="15"/>
      <c r="N995" s="15" t="s">
        <v>50</v>
      </c>
      <c r="O995" s="15" t="s">
        <v>51</v>
      </c>
    </row>
    <row r="996" spans="1:15">
      <c r="A996" s="14" t="s">
        <v>13</v>
      </c>
      <c r="B996" s="14" t="s">
        <v>6561</v>
      </c>
      <c r="C996" s="14" t="s">
        <v>6562</v>
      </c>
      <c r="D996" s="14" t="s">
        <v>6658</v>
      </c>
      <c r="E996" s="14">
        <v>57</v>
      </c>
      <c r="F996" s="14" t="s">
        <v>6675</v>
      </c>
      <c r="G996" s="14" t="s">
        <v>6676</v>
      </c>
      <c r="H996" s="14"/>
      <c r="I996" s="14" t="s">
        <v>49</v>
      </c>
      <c r="J996" s="11" t="str">
        <f>HYPERLINK("https://www.codechef.com/problems/OSP15", "https://www.codechef.com/problems/OSP15")</f>
        <v>https://www.codechef.com/problems/OSP15</v>
      </c>
      <c r="K996" s="14"/>
      <c r="L996" s="14"/>
      <c r="M996" s="14"/>
      <c r="N996" s="14" t="s">
        <v>50</v>
      </c>
      <c r="O996" s="14" t="s">
        <v>51</v>
      </c>
    </row>
    <row r="997" spans="1:15">
      <c r="A997" s="15" t="s">
        <v>13</v>
      </c>
      <c r="B997" s="15" t="s">
        <v>6561</v>
      </c>
      <c r="C997" s="15" t="s">
        <v>6562</v>
      </c>
      <c r="D997" s="15" t="s">
        <v>6658</v>
      </c>
      <c r="E997" s="15">
        <v>58</v>
      </c>
      <c r="F997" s="15" t="s">
        <v>6677</v>
      </c>
      <c r="G997" s="15" t="s">
        <v>6678</v>
      </c>
      <c r="H997" s="15"/>
      <c r="I997" s="15" t="s">
        <v>49</v>
      </c>
      <c r="J997" s="7" t="str">
        <f>HYPERLINK("https://www.codechef.com/problems/OSMCQ043", "https://www.codechef.com/problems/OSMCQ043")</f>
        <v>https://www.codechef.com/problems/OSMCQ043</v>
      </c>
      <c r="K997" s="15"/>
      <c r="L997" s="15"/>
      <c r="M997" s="15"/>
      <c r="N997" s="15" t="s">
        <v>50</v>
      </c>
      <c r="O997" s="15" t="s">
        <v>51</v>
      </c>
    </row>
    <row r="998" spans="1:15">
      <c r="A998" s="14" t="s">
        <v>13</v>
      </c>
      <c r="B998" s="14" t="s">
        <v>6561</v>
      </c>
      <c r="C998" s="14" t="s">
        <v>6562</v>
      </c>
      <c r="D998" s="14" t="s">
        <v>6658</v>
      </c>
      <c r="E998" s="14">
        <v>59</v>
      </c>
      <c r="F998" s="14" t="s">
        <v>6679</v>
      </c>
      <c r="G998" s="14" t="s">
        <v>6680</v>
      </c>
      <c r="H998" s="14"/>
      <c r="I998" s="14" t="s">
        <v>49</v>
      </c>
      <c r="J998" s="11" t="str">
        <f>HYPERLINK("https://www.codechef.com/problems/OSMCQ044", "https://www.codechef.com/problems/OSMCQ044")</f>
        <v>https://www.codechef.com/problems/OSMCQ044</v>
      </c>
      <c r="K998" s="14"/>
      <c r="L998" s="14"/>
      <c r="M998" s="14"/>
      <c r="N998" s="14" t="s">
        <v>50</v>
      </c>
      <c r="O998" s="14" t="s">
        <v>51</v>
      </c>
    </row>
    <row r="999" spans="1:15">
      <c r="A999" s="15" t="s">
        <v>13</v>
      </c>
      <c r="B999" s="15" t="s">
        <v>6561</v>
      </c>
      <c r="C999" s="15" t="s">
        <v>6562</v>
      </c>
      <c r="D999" s="15" t="s">
        <v>6658</v>
      </c>
      <c r="E999" s="15">
        <v>60</v>
      </c>
      <c r="F999" s="15" t="s">
        <v>6681</v>
      </c>
      <c r="G999" s="15" t="s">
        <v>6682</v>
      </c>
      <c r="H999" s="15"/>
      <c r="I999" s="15" t="s">
        <v>49</v>
      </c>
      <c r="J999" s="7" t="str">
        <f>HYPERLINK("https://www.codechef.com/problems/OSMCQ045", "https://www.codechef.com/problems/OSMCQ045")</f>
        <v>https://www.codechef.com/problems/OSMCQ045</v>
      </c>
      <c r="K999" s="15"/>
      <c r="L999" s="15"/>
      <c r="M999" s="15"/>
      <c r="N999" s="15" t="s">
        <v>50</v>
      </c>
      <c r="O999" s="15" t="s">
        <v>51</v>
      </c>
    </row>
    <row r="1000" spans="1:15">
      <c r="A1000" s="14" t="s">
        <v>13</v>
      </c>
      <c r="B1000" s="14" t="s">
        <v>6561</v>
      </c>
      <c r="C1000" s="14" t="s">
        <v>6562</v>
      </c>
      <c r="D1000" s="14" t="s">
        <v>6658</v>
      </c>
      <c r="E1000" s="14">
        <v>61</v>
      </c>
      <c r="F1000" s="14" t="s">
        <v>6683</v>
      </c>
      <c r="G1000" s="14" t="s">
        <v>6684</v>
      </c>
      <c r="H1000" s="14"/>
      <c r="I1000" s="14" t="s">
        <v>96</v>
      </c>
      <c r="J1000" s="11" t="str">
        <f>HYPERLINK("https://www.codechef.com/problems/OSP16", "https://www.codechef.com/problems/OSP16")</f>
        <v>https://www.codechef.com/problems/OSP16</v>
      </c>
      <c r="K1000" s="14"/>
      <c r="L1000" s="14"/>
      <c r="M1000" s="14"/>
      <c r="N1000" s="14" t="s">
        <v>50</v>
      </c>
      <c r="O1000" s="14" t="s">
        <v>51</v>
      </c>
    </row>
    <row r="1001" spans="1:15">
      <c r="A1001" s="15" t="s">
        <v>13</v>
      </c>
      <c r="B1001" s="15" t="s">
        <v>6561</v>
      </c>
      <c r="C1001" s="15" t="s">
        <v>6562</v>
      </c>
      <c r="D1001" s="15" t="s">
        <v>6658</v>
      </c>
      <c r="E1001" s="15">
        <v>62</v>
      </c>
      <c r="F1001" s="15" t="s">
        <v>6685</v>
      </c>
      <c r="G1001" s="15" t="s">
        <v>6686</v>
      </c>
      <c r="H1001" s="15"/>
      <c r="I1001" s="15" t="s">
        <v>49</v>
      </c>
      <c r="J1001" s="7" t="str">
        <f>HYPERLINK("https://www.codechef.com/problems/OSMCQ046", "https://www.codechef.com/problems/OSMCQ046")</f>
        <v>https://www.codechef.com/problems/OSMCQ046</v>
      </c>
      <c r="K1001" s="15"/>
      <c r="L1001" s="15"/>
      <c r="M1001" s="15"/>
      <c r="N1001" s="15" t="s">
        <v>50</v>
      </c>
      <c r="O1001" s="15" t="s">
        <v>51</v>
      </c>
    </row>
    <row r="1002" spans="1:15">
      <c r="A1002" s="14" t="s">
        <v>13</v>
      </c>
      <c r="B1002" s="14" t="s">
        <v>6561</v>
      </c>
      <c r="C1002" s="14" t="s">
        <v>6562</v>
      </c>
      <c r="D1002" s="14" t="s">
        <v>6658</v>
      </c>
      <c r="E1002" s="14">
        <v>63</v>
      </c>
      <c r="F1002" s="14" t="s">
        <v>6639</v>
      </c>
      <c r="G1002" s="14" t="s">
        <v>6687</v>
      </c>
      <c r="H1002" s="14"/>
      <c r="I1002" s="14" t="s">
        <v>49</v>
      </c>
      <c r="J1002" s="11" t="str">
        <f>HYPERLINK("https://www.codechef.com/problems/OSMCQ047", "https://www.codechef.com/problems/OSMCQ047")</f>
        <v>https://www.codechef.com/problems/OSMCQ047</v>
      </c>
      <c r="K1002" s="14"/>
      <c r="L1002" s="14"/>
      <c r="M1002" s="14"/>
      <c r="N1002" s="14" t="s">
        <v>50</v>
      </c>
      <c r="O1002" s="14" t="s">
        <v>51</v>
      </c>
    </row>
    <row r="1003" spans="1:15">
      <c r="A1003" s="15" t="s">
        <v>13</v>
      </c>
      <c r="B1003" s="15" t="s">
        <v>6561</v>
      </c>
      <c r="C1003" s="15" t="s">
        <v>6562</v>
      </c>
      <c r="D1003" s="15" t="s">
        <v>6658</v>
      </c>
      <c r="E1003" s="15">
        <v>64</v>
      </c>
      <c r="F1003" s="15" t="s">
        <v>6688</v>
      </c>
      <c r="G1003" s="15" t="s">
        <v>6689</v>
      </c>
      <c r="H1003" s="15"/>
      <c r="I1003" s="15" t="s">
        <v>49</v>
      </c>
      <c r="J1003" s="7" t="str">
        <f>HYPERLINK("https://www.codechef.com/problems/OSMCQ048", "https://www.codechef.com/problems/OSMCQ048")</f>
        <v>https://www.codechef.com/problems/OSMCQ048</v>
      </c>
      <c r="K1003" s="15"/>
      <c r="L1003" s="15"/>
      <c r="M1003" s="15"/>
      <c r="N1003" s="15" t="s">
        <v>50</v>
      </c>
      <c r="O1003" s="15" t="s">
        <v>51</v>
      </c>
    </row>
    <row r="1004" spans="1:15">
      <c r="A1004" s="14" t="s">
        <v>13</v>
      </c>
      <c r="B1004" s="14" t="s">
        <v>6561</v>
      </c>
      <c r="C1004" s="14" t="s">
        <v>6562</v>
      </c>
      <c r="D1004" s="14" t="s">
        <v>6658</v>
      </c>
      <c r="E1004" s="14">
        <v>65</v>
      </c>
      <c r="F1004" s="14" t="s">
        <v>6690</v>
      </c>
      <c r="G1004" s="14" t="s">
        <v>6691</v>
      </c>
      <c r="H1004" s="14"/>
      <c r="I1004" s="14" t="s">
        <v>96</v>
      </c>
      <c r="J1004" s="11" t="str">
        <f>HYPERLINK("https://www.codechef.com/problems/OSP17", "https://www.codechef.com/problems/OSP17")</f>
        <v>https://www.codechef.com/problems/OSP17</v>
      </c>
      <c r="K1004" s="14"/>
      <c r="L1004" s="14"/>
      <c r="M1004" s="14"/>
      <c r="N1004" s="14" t="s">
        <v>50</v>
      </c>
      <c r="O1004" s="14" t="s">
        <v>51</v>
      </c>
    </row>
    <row r="1005" spans="1:15">
      <c r="A1005" s="15" t="s">
        <v>13</v>
      </c>
      <c r="B1005" s="15" t="s">
        <v>6561</v>
      </c>
      <c r="C1005" s="15" t="s">
        <v>6562</v>
      </c>
      <c r="D1005" s="15" t="s">
        <v>6658</v>
      </c>
      <c r="E1005" s="15">
        <v>66</v>
      </c>
      <c r="F1005" s="15" t="s">
        <v>6692</v>
      </c>
      <c r="G1005" s="15" t="s">
        <v>6693</v>
      </c>
      <c r="H1005" s="15"/>
      <c r="I1005" s="15" t="s">
        <v>49</v>
      </c>
      <c r="J1005" s="7" t="str">
        <f>HYPERLINK("https://www.codechef.com/problems/OSMCQ049", "https://www.codechef.com/problems/OSMCQ049")</f>
        <v>https://www.codechef.com/problems/OSMCQ049</v>
      </c>
      <c r="K1005" s="15"/>
      <c r="L1005" s="15"/>
      <c r="M1005" s="15"/>
      <c r="N1005" s="15" t="s">
        <v>50</v>
      </c>
      <c r="O1005" s="15" t="s">
        <v>51</v>
      </c>
    </row>
    <row r="1006" spans="1:15">
      <c r="A1006" s="14" t="s">
        <v>13</v>
      </c>
      <c r="B1006" s="14" t="s">
        <v>6561</v>
      </c>
      <c r="C1006" s="14" t="s">
        <v>6562</v>
      </c>
      <c r="D1006" s="14" t="s">
        <v>6658</v>
      </c>
      <c r="E1006" s="14">
        <v>67</v>
      </c>
      <c r="F1006" s="14" t="s">
        <v>6694</v>
      </c>
      <c r="G1006" s="14" t="s">
        <v>6695</v>
      </c>
      <c r="H1006" s="14"/>
      <c r="I1006" s="14" t="s">
        <v>49</v>
      </c>
      <c r="J1006" s="11" t="str">
        <f>HYPERLINK("https://www.codechef.com/problems/OSMCQ050", "https://www.codechef.com/problems/OSMCQ050")</f>
        <v>https://www.codechef.com/problems/OSMCQ050</v>
      </c>
      <c r="K1006" s="14"/>
      <c r="L1006" s="14"/>
      <c r="M1006" s="14"/>
      <c r="N1006" s="14" t="s">
        <v>50</v>
      </c>
      <c r="O1006" s="14" t="s">
        <v>51</v>
      </c>
    </row>
    <row r="1007" spans="1:15">
      <c r="A1007" s="15" t="s">
        <v>13</v>
      </c>
      <c r="B1007" s="15" t="s">
        <v>6561</v>
      </c>
      <c r="C1007" s="15" t="s">
        <v>6562</v>
      </c>
      <c r="D1007" s="15" t="s">
        <v>6658</v>
      </c>
      <c r="E1007" s="15">
        <v>68</v>
      </c>
      <c r="F1007" s="15" t="s">
        <v>6696</v>
      </c>
      <c r="G1007" s="15" t="s">
        <v>6697</v>
      </c>
      <c r="H1007" s="15"/>
      <c r="I1007" s="15" t="s">
        <v>49</v>
      </c>
      <c r="J1007" s="7" t="str">
        <f>HYPERLINK("https://www.codechef.com/problems/OSMCQ051", "https://www.codechef.com/problems/OSMCQ051")</f>
        <v>https://www.codechef.com/problems/OSMCQ051</v>
      </c>
      <c r="K1007" s="15"/>
      <c r="L1007" s="15"/>
      <c r="M1007" s="15"/>
      <c r="N1007" s="15" t="s">
        <v>50</v>
      </c>
      <c r="O1007" s="15" t="s">
        <v>51</v>
      </c>
    </row>
    <row r="1008" spans="1:15">
      <c r="A1008" s="14" t="s">
        <v>13</v>
      </c>
      <c r="B1008" s="14" t="s">
        <v>6561</v>
      </c>
      <c r="C1008" s="14" t="s">
        <v>6562</v>
      </c>
      <c r="D1008" s="14" t="s">
        <v>6658</v>
      </c>
      <c r="E1008" s="14">
        <v>69</v>
      </c>
      <c r="F1008" s="14" t="s">
        <v>6698</v>
      </c>
      <c r="G1008" s="14" t="s">
        <v>6699</v>
      </c>
      <c r="H1008" s="14"/>
      <c r="I1008" s="14" t="s">
        <v>96</v>
      </c>
      <c r="J1008" s="11" t="str">
        <f>HYPERLINK("https://www.codechef.com/problems/OSP18", "https://www.codechef.com/problems/OSP18")</f>
        <v>https://www.codechef.com/problems/OSP18</v>
      </c>
      <c r="K1008" s="14"/>
      <c r="L1008" s="14"/>
      <c r="M1008" s="14"/>
      <c r="N1008" s="14" t="s">
        <v>50</v>
      </c>
      <c r="O1008" s="14" t="s">
        <v>51</v>
      </c>
    </row>
    <row r="1009" spans="1:15">
      <c r="A1009" s="15" t="s">
        <v>13</v>
      </c>
      <c r="B1009" s="15" t="s">
        <v>6561</v>
      </c>
      <c r="C1009" s="15" t="s">
        <v>6562</v>
      </c>
      <c r="D1009" s="15" t="s">
        <v>6658</v>
      </c>
      <c r="E1009" s="15">
        <v>70</v>
      </c>
      <c r="F1009" s="15" t="s">
        <v>6700</v>
      </c>
      <c r="G1009" s="15" t="s">
        <v>6701</v>
      </c>
      <c r="H1009" s="15"/>
      <c r="I1009" s="15" t="s">
        <v>49</v>
      </c>
      <c r="J1009" s="7" t="str">
        <f>HYPERLINK("https://www.codechef.com/problems/OSMCQ052", "https://www.codechef.com/problems/OSMCQ052")</f>
        <v>https://www.codechef.com/problems/OSMCQ052</v>
      </c>
      <c r="K1009" s="15"/>
      <c r="L1009" s="15"/>
      <c r="M1009" s="15"/>
      <c r="N1009" s="15" t="s">
        <v>50</v>
      </c>
      <c r="O1009" s="15" t="s">
        <v>51</v>
      </c>
    </row>
    <row r="1010" spans="1:15">
      <c r="A1010" s="14" t="s">
        <v>13</v>
      </c>
      <c r="B1010" s="14" t="s">
        <v>6561</v>
      </c>
      <c r="C1010" s="14" t="s">
        <v>6562</v>
      </c>
      <c r="D1010" s="14" t="s">
        <v>6658</v>
      </c>
      <c r="E1010" s="14">
        <v>71</v>
      </c>
      <c r="F1010" s="14" t="s">
        <v>6702</v>
      </c>
      <c r="G1010" s="14" t="s">
        <v>6703</v>
      </c>
      <c r="H1010" s="14"/>
      <c r="I1010" s="14" t="s">
        <v>49</v>
      </c>
      <c r="J1010" s="11" t="str">
        <f>HYPERLINK("https://www.codechef.com/problems/OSMCQ053", "https://www.codechef.com/problems/OSMCQ053")</f>
        <v>https://www.codechef.com/problems/OSMCQ053</v>
      </c>
      <c r="K1010" s="14"/>
      <c r="L1010" s="14"/>
      <c r="M1010" s="14"/>
      <c r="N1010" s="14" t="s">
        <v>50</v>
      </c>
      <c r="O1010" s="14" t="s">
        <v>51</v>
      </c>
    </row>
    <row r="1011" spans="1:15">
      <c r="A1011" s="15" t="s">
        <v>13</v>
      </c>
      <c r="B1011" s="15" t="s">
        <v>6561</v>
      </c>
      <c r="C1011" s="15" t="s">
        <v>6562</v>
      </c>
      <c r="D1011" s="15" t="s">
        <v>6658</v>
      </c>
      <c r="E1011" s="15">
        <v>72</v>
      </c>
      <c r="F1011" s="15" t="s">
        <v>6704</v>
      </c>
      <c r="G1011" s="15" t="s">
        <v>6705</v>
      </c>
      <c r="H1011" s="15"/>
      <c r="I1011" s="15" t="s">
        <v>49</v>
      </c>
      <c r="J1011" s="7" t="str">
        <f>HYPERLINK("https://www.codechef.com/problems/OSMCQ054", "https://www.codechef.com/problems/OSMCQ054")</f>
        <v>https://www.codechef.com/problems/OSMCQ054</v>
      </c>
      <c r="K1011" s="15"/>
      <c r="L1011" s="15"/>
      <c r="M1011" s="15"/>
      <c r="N1011" s="15" t="s">
        <v>50</v>
      </c>
      <c r="O1011" s="15" t="s">
        <v>51</v>
      </c>
    </row>
    <row r="1012" spans="1:15">
      <c r="A1012" s="14" t="s">
        <v>13</v>
      </c>
      <c r="B1012" s="14" t="s">
        <v>6561</v>
      </c>
      <c r="C1012" s="14" t="s">
        <v>6562</v>
      </c>
      <c r="D1012" s="14" t="s">
        <v>6706</v>
      </c>
      <c r="E1012" s="14">
        <v>73</v>
      </c>
      <c r="F1012" s="14" t="s">
        <v>6707</v>
      </c>
      <c r="G1012" s="14" t="s">
        <v>6708</v>
      </c>
      <c r="H1012" s="14"/>
      <c r="I1012" s="14" t="s">
        <v>49</v>
      </c>
      <c r="J1012" s="11" t="str">
        <f>HYPERLINK("https://www.codechef.com/problems/OSP19", "https://www.codechef.com/problems/OSP19")</f>
        <v>https://www.codechef.com/problems/OSP19</v>
      </c>
      <c r="K1012" s="14"/>
      <c r="L1012" s="14"/>
      <c r="M1012" s="14"/>
      <c r="N1012" s="14" t="s">
        <v>50</v>
      </c>
      <c r="O1012" s="14" t="s">
        <v>51</v>
      </c>
    </row>
    <row r="1013" spans="1:15">
      <c r="A1013" s="15" t="s">
        <v>13</v>
      </c>
      <c r="B1013" s="15" t="s">
        <v>6561</v>
      </c>
      <c r="C1013" s="15" t="s">
        <v>6562</v>
      </c>
      <c r="D1013" s="15" t="s">
        <v>6706</v>
      </c>
      <c r="E1013" s="15">
        <v>74</v>
      </c>
      <c r="F1013" s="15" t="s">
        <v>6709</v>
      </c>
      <c r="G1013" s="15" t="s">
        <v>6710</v>
      </c>
      <c r="H1013" s="15"/>
      <c r="I1013" s="15" t="s">
        <v>49</v>
      </c>
      <c r="J1013" s="7" t="str">
        <f>HYPERLINK("https://www.codechef.com/problems/OSMCQ055", "https://www.codechef.com/problems/OSMCQ055")</f>
        <v>https://www.codechef.com/problems/OSMCQ055</v>
      </c>
      <c r="K1013" s="15"/>
      <c r="L1013" s="15"/>
      <c r="M1013" s="15"/>
      <c r="N1013" s="15" t="s">
        <v>50</v>
      </c>
      <c r="O1013" s="15" t="s">
        <v>51</v>
      </c>
    </row>
    <row r="1014" spans="1:15">
      <c r="A1014" s="14" t="s">
        <v>13</v>
      </c>
      <c r="B1014" s="14" t="s">
        <v>6561</v>
      </c>
      <c r="C1014" s="14" t="s">
        <v>6562</v>
      </c>
      <c r="D1014" s="14" t="s">
        <v>6706</v>
      </c>
      <c r="E1014" s="14">
        <v>75</v>
      </c>
      <c r="F1014" s="14" t="s">
        <v>6711</v>
      </c>
      <c r="G1014" s="14" t="s">
        <v>6712</v>
      </c>
      <c r="H1014" s="14"/>
      <c r="I1014" s="14" t="s">
        <v>49</v>
      </c>
      <c r="J1014" s="11" t="str">
        <f>HYPERLINK("https://www.codechef.com/problems/OSMCQ056", "https://www.codechef.com/problems/OSMCQ056")</f>
        <v>https://www.codechef.com/problems/OSMCQ056</v>
      </c>
      <c r="K1014" s="14"/>
      <c r="L1014" s="14"/>
      <c r="M1014" s="14"/>
      <c r="N1014" s="14" t="s">
        <v>50</v>
      </c>
      <c r="O1014" s="14" t="s">
        <v>51</v>
      </c>
    </row>
    <row r="1015" spans="1:15">
      <c r="A1015" s="15" t="s">
        <v>13</v>
      </c>
      <c r="B1015" s="15" t="s">
        <v>6561</v>
      </c>
      <c r="C1015" s="15" t="s">
        <v>6562</v>
      </c>
      <c r="D1015" s="15" t="s">
        <v>6706</v>
      </c>
      <c r="E1015" s="15">
        <v>76</v>
      </c>
      <c r="F1015" s="15" t="s">
        <v>6713</v>
      </c>
      <c r="G1015" s="15" t="s">
        <v>6714</v>
      </c>
      <c r="H1015" s="15"/>
      <c r="I1015" s="15" t="s">
        <v>49</v>
      </c>
      <c r="J1015" s="7" t="str">
        <f>HYPERLINK("https://www.codechef.com/problems/OSMCQ057", "https://www.codechef.com/problems/OSMCQ057")</f>
        <v>https://www.codechef.com/problems/OSMCQ057</v>
      </c>
      <c r="K1015" s="15"/>
      <c r="L1015" s="15"/>
      <c r="M1015" s="15"/>
      <c r="N1015" s="15" t="s">
        <v>50</v>
      </c>
      <c r="O1015" s="15" t="s">
        <v>51</v>
      </c>
    </row>
    <row r="1016" spans="1:15">
      <c r="A1016" s="14" t="s">
        <v>13</v>
      </c>
      <c r="B1016" s="14" t="s">
        <v>6561</v>
      </c>
      <c r="C1016" s="14" t="s">
        <v>6562</v>
      </c>
      <c r="D1016" s="14" t="s">
        <v>6706</v>
      </c>
      <c r="E1016" s="14">
        <v>77</v>
      </c>
      <c r="F1016" s="14" t="s">
        <v>6715</v>
      </c>
      <c r="G1016" s="14" t="s">
        <v>6716</v>
      </c>
      <c r="H1016" s="14"/>
      <c r="I1016" s="14" t="s">
        <v>96</v>
      </c>
      <c r="J1016" s="11" t="str">
        <f>HYPERLINK("https://www.codechef.com/problems/OSP20", "https://www.codechef.com/problems/OSP20")</f>
        <v>https://www.codechef.com/problems/OSP20</v>
      </c>
      <c r="K1016" s="14"/>
      <c r="L1016" s="14"/>
      <c r="M1016" s="14"/>
      <c r="N1016" s="14" t="s">
        <v>50</v>
      </c>
      <c r="O1016" s="14" t="s">
        <v>51</v>
      </c>
    </row>
    <row r="1017" spans="1:15">
      <c r="A1017" s="15" t="s">
        <v>13</v>
      </c>
      <c r="B1017" s="15" t="s">
        <v>6561</v>
      </c>
      <c r="C1017" s="15" t="s">
        <v>6562</v>
      </c>
      <c r="D1017" s="15" t="s">
        <v>6706</v>
      </c>
      <c r="E1017" s="15">
        <v>78</v>
      </c>
      <c r="F1017" s="15" t="s">
        <v>6717</v>
      </c>
      <c r="G1017" s="15" t="s">
        <v>6718</v>
      </c>
      <c r="H1017" s="15"/>
      <c r="I1017" s="15" t="s">
        <v>49</v>
      </c>
      <c r="J1017" s="7" t="str">
        <f>HYPERLINK("https://www.codechef.com/problems/OSMCQ058", "https://www.codechef.com/problems/OSMCQ058")</f>
        <v>https://www.codechef.com/problems/OSMCQ058</v>
      </c>
      <c r="K1017" s="15"/>
      <c r="L1017" s="15"/>
      <c r="M1017" s="15"/>
      <c r="N1017" s="15" t="s">
        <v>50</v>
      </c>
      <c r="O1017" s="15" t="s">
        <v>51</v>
      </c>
    </row>
    <row r="1018" spans="1:15">
      <c r="A1018" s="14" t="s">
        <v>13</v>
      </c>
      <c r="B1018" s="14" t="s">
        <v>6561</v>
      </c>
      <c r="C1018" s="14" t="s">
        <v>6562</v>
      </c>
      <c r="D1018" s="14" t="s">
        <v>6706</v>
      </c>
      <c r="E1018" s="14">
        <v>79</v>
      </c>
      <c r="F1018" s="14" t="s">
        <v>6719</v>
      </c>
      <c r="G1018" s="14" t="s">
        <v>6720</v>
      </c>
      <c r="H1018" s="14"/>
      <c r="I1018" s="14" t="s">
        <v>96</v>
      </c>
      <c r="J1018" s="11" t="str">
        <f>HYPERLINK("https://www.codechef.com/problems/OSMCQ059", "https://www.codechef.com/problems/OSMCQ059")</f>
        <v>https://www.codechef.com/problems/OSMCQ059</v>
      </c>
      <c r="K1018" s="14"/>
      <c r="L1018" s="14"/>
      <c r="M1018" s="14"/>
      <c r="N1018" s="14" t="s">
        <v>50</v>
      </c>
      <c r="O1018" s="14" t="s">
        <v>51</v>
      </c>
    </row>
    <row r="1019" spans="1:15">
      <c r="A1019" s="15" t="s">
        <v>13</v>
      </c>
      <c r="B1019" s="15" t="s">
        <v>6561</v>
      </c>
      <c r="C1019" s="15" t="s">
        <v>6562</v>
      </c>
      <c r="D1019" s="15" t="s">
        <v>6706</v>
      </c>
      <c r="E1019" s="15">
        <v>80</v>
      </c>
      <c r="F1019" s="15" t="s">
        <v>6721</v>
      </c>
      <c r="G1019" s="15" t="s">
        <v>6722</v>
      </c>
      <c r="H1019" s="15"/>
      <c r="I1019" s="15" t="s">
        <v>49</v>
      </c>
      <c r="J1019" s="7" t="str">
        <f>HYPERLINK("https://www.codechef.com/problems/OSMCQ060", "https://www.codechef.com/problems/OSMCQ060")</f>
        <v>https://www.codechef.com/problems/OSMCQ060</v>
      </c>
      <c r="K1019" s="15"/>
      <c r="L1019" s="15"/>
      <c r="M1019" s="15"/>
      <c r="N1019" s="15" t="s">
        <v>50</v>
      </c>
      <c r="O1019" s="15" t="s">
        <v>51</v>
      </c>
    </row>
    <row r="1020" spans="1:15">
      <c r="A1020" s="14" t="s">
        <v>13</v>
      </c>
      <c r="B1020" s="14" t="s">
        <v>6561</v>
      </c>
      <c r="C1020" s="14" t="s">
        <v>6562</v>
      </c>
      <c r="D1020" s="14" t="s">
        <v>6706</v>
      </c>
      <c r="E1020" s="14">
        <v>81</v>
      </c>
      <c r="F1020" s="14" t="s">
        <v>6723</v>
      </c>
      <c r="G1020" s="14" t="s">
        <v>6724</v>
      </c>
      <c r="H1020" s="14"/>
      <c r="I1020" s="14" t="s">
        <v>49</v>
      </c>
      <c r="J1020" s="11" t="str">
        <f>HYPERLINK("https://www.codechef.com/problems/OSP21", "https://www.codechef.com/problems/OSP21")</f>
        <v>https://www.codechef.com/problems/OSP21</v>
      </c>
      <c r="K1020" s="14"/>
      <c r="L1020" s="14"/>
      <c r="M1020" s="14"/>
      <c r="N1020" s="14" t="s">
        <v>50</v>
      </c>
      <c r="O1020" s="14" t="s">
        <v>51</v>
      </c>
    </row>
    <row r="1021" spans="1:15">
      <c r="A1021" s="15" t="s">
        <v>13</v>
      </c>
      <c r="B1021" s="15" t="s">
        <v>6561</v>
      </c>
      <c r="C1021" s="15" t="s">
        <v>6562</v>
      </c>
      <c r="D1021" s="15" t="s">
        <v>6706</v>
      </c>
      <c r="E1021" s="15">
        <v>82</v>
      </c>
      <c r="F1021" s="15" t="s">
        <v>6725</v>
      </c>
      <c r="G1021" s="15" t="s">
        <v>6726</v>
      </c>
      <c r="H1021" s="15"/>
      <c r="I1021" s="15" t="s">
        <v>49</v>
      </c>
      <c r="J1021" s="7" t="str">
        <f>HYPERLINK("https://www.codechef.com/problems/OSMCQ061", "https://www.codechef.com/problems/OSMCQ061")</f>
        <v>https://www.codechef.com/problems/OSMCQ061</v>
      </c>
      <c r="K1021" s="15"/>
      <c r="L1021" s="15"/>
      <c r="M1021" s="15"/>
      <c r="N1021" s="15" t="s">
        <v>50</v>
      </c>
      <c r="O1021" s="15" t="s">
        <v>51</v>
      </c>
    </row>
    <row r="1022" spans="1:15">
      <c r="A1022" s="14" t="s">
        <v>13</v>
      </c>
      <c r="B1022" s="14" t="s">
        <v>6561</v>
      </c>
      <c r="C1022" s="14" t="s">
        <v>6562</v>
      </c>
      <c r="D1022" s="14" t="s">
        <v>6706</v>
      </c>
      <c r="E1022" s="14">
        <v>83</v>
      </c>
      <c r="F1022" s="14" t="s">
        <v>6727</v>
      </c>
      <c r="G1022" s="14" t="s">
        <v>6728</v>
      </c>
      <c r="H1022" s="14"/>
      <c r="I1022" s="14" t="s">
        <v>49</v>
      </c>
      <c r="J1022" s="11" t="str">
        <f>HYPERLINK("https://www.codechef.com/problems/OSMCQ062", "https://www.codechef.com/problems/OSMCQ062")</f>
        <v>https://www.codechef.com/problems/OSMCQ062</v>
      </c>
      <c r="K1022" s="14"/>
      <c r="L1022" s="14"/>
      <c r="M1022" s="14"/>
      <c r="N1022" s="14" t="s">
        <v>50</v>
      </c>
      <c r="O1022" s="14" t="s">
        <v>51</v>
      </c>
    </row>
    <row r="1023" spans="1:15">
      <c r="A1023" s="15" t="s">
        <v>13</v>
      </c>
      <c r="B1023" s="15" t="s">
        <v>6561</v>
      </c>
      <c r="C1023" s="15" t="s">
        <v>6562</v>
      </c>
      <c r="D1023" s="15" t="s">
        <v>6706</v>
      </c>
      <c r="E1023" s="15">
        <v>84</v>
      </c>
      <c r="F1023" s="15" t="s">
        <v>6729</v>
      </c>
      <c r="G1023" s="15" t="s">
        <v>6730</v>
      </c>
      <c r="H1023" s="15"/>
      <c r="I1023" s="15" t="s">
        <v>49</v>
      </c>
      <c r="J1023" s="7" t="str">
        <f>HYPERLINK("https://www.codechef.com/problems/OSMCQ063", "https://www.codechef.com/problems/OSMCQ063")</f>
        <v>https://www.codechef.com/problems/OSMCQ063</v>
      </c>
      <c r="K1023" s="15"/>
      <c r="L1023" s="15"/>
      <c r="M1023" s="15"/>
      <c r="N1023" s="15" t="s">
        <v>50</v>
      </c>
      <c r="O1023" s="15" t="s">
        <v>51</v>
      </c>
    </row>
    <row r="1024" spans="1:15">
      <c r="A1024" s="14" t="s">
        <v>13</v>
      </c>
      <c r="B1024" s="14" t="s">
        <v>6561</v>
      </c>
      <c r="C1024" s="14" t="s">
        <v>6562</v>
      </c>
      <c r="D1024" s="14" t="s">
        <v>6706</v>
      </c>
      <c r="E1024" s="14">
        <v>85</v>
      </c>
      <c r="F1024" s="14" t="s">
        <v>6731</v>
      </c>
      <c r="G1024" s="14" t="s">
        <v>6732</v>
      </c>
      <c r="H1024" s="14"/>
      <c r="I1024" s="14" t="s">
        <v>49</v>
      </c>
      <c r="J1024" s="11" t="str">
        <f>HYPERLINK("https://www.codechef.com/problems/OSP22", "https://www.codechef.com/problems/OSP22")</f>
        <v>https://www.codechef.com/problems/OSP22</v>
      </c>
      <c r="K1024" s="14"/>
      <c r="L1024" s="14"/>
      <c r="M1024" s="14"/>
      <c r="N1024" s="14" t="s">
        <v>50</v>
      </c>
      <c r="O1024" s="14" t="s">
        <v>51</v>
      </c>
    </row>
    <row r="1025" spans="1:15">
      <c r="A1025" s="15" t="s">
        <v>13</v>
      </c>
      <c r="B1025" s="15" t="s">
        <v>6561</v>
      </c>
      <c r="C1025" s="15" t="s">
        <v>6562</v>
      </c>
      <c r="D1025" s="15" t="s">
        <v>6706</v>
      </c>
      <c r="E1025" s="15">
        <v>86</v>
      </c>
      <c r="F1025" s="15" t="s">
        <v>6733</v>
      </c>
      <c r="G1025" s="15" t="s">
        <v>6734</v>
      </c>
      <c r="H1025" s="15"/>
      <c r="I1025" s="15" t="s">
        <v>49</v>
      </c>
      <c r="J1025" s="7" t="str">
        <f>HYPERLINK("https://www.codechef.com/problems/OSMCQ064", "https://www.codechef.com/problems/OSMCQ064")</f>
        <v>https://www.codechef.com/problems/OSMCQ064</v>
      </c>
      <c r="K1025" s="15"/>
      <c r="L1025" s="15"/>
      <c r="M1025" s="15"/>
      <c r="N1025" s="15" t="s">
        <v>50</v>
      </c>
      <c r="O1025" s="15" t="s">
        <v>51</v>
      </c>
    </row>
    <row r="1026" spans="1:15">
      <c r="A1026" s="14" t="s">
        <v>13</v>
      </c>
      <c r="B1026" s="14" t="s">
        <v>6561</v>
      </c>
      <c r="C1026" s="14" t="s">
        <v>6562</v>
      </c>
      <c r="D1026" s="14" t="s">
        <v>6706</v>
      </c>
      <c r="E1026" s="14">
        <v>87</v>
      </c>
      <c r="F1026" s="14" t="s">
        <v>6735</v>
      </c>
      <c r="G1026" s="14" t="s">
        <v>6736</v>
      </c>
      <c r="H1026" s="14"/>
      <c r="I1026" s="14" t="s">
        <v>49</v>
      </c>
      <c r="J1026" s="11" t="str">
        <f>HYPERLINK("https://www.codechef.com/problems/OSMCQ065", "https://www.codechef.com/problems/OSMCQ065")</f>
        <v>https://www.codechef.com/problems/OSMCQ065</v>
      </c>
      <c r="K1026" s="14"/>
      <c r="L1026" s="14"/>
      <c r="M1026" s="14"/>
      <c r="N1026" s="14" t="s">
        <v>50</v>
      </c>
      <c r="O1026" s="14" t="s">
        <v>51</v>
      </c>
    </row>
    <row r="1027" spans="1:15">
      <c r="A1027" s="15" t="s">
        <v>13</v>
      </c>
      <c r="B1027" s="15" t="s">
        <v>6561</v>
      </c>
      <c r="C1027" s="15" t="s">
        <v>6562</v>
      </c>
      <c r="D1027" s="15" t="s">
        <v>6706</v>
      </c>
      <c r="E1027" s="15">
        <v>88</v>
      </c>
      <c r="F1027" s="15" t="s">
        <v>6737</v>
      </c>
      <c r="G1027" s="15" t="s">
        <v>6738</v>
      </c>
      <c r="H1027" s="15"/>
      <c r="I1027" s="15" t="s">
        <v>49</v>
      </c>
      <c r="J1027" s="7" t="str">
        <f>HYPERLINK("https://www.codechef.com/problems/OSMCQ066", "https://www.codechef.com/problems/OSMCQ066")</f>
        <v>https://www.codechef.com/problems/OSMCQ066</v>
      </c>
      <c r="K1027" s="15"/>
      <c r="L1027" s="15"/>
      <c r="M1027" s="15"/>
      <c r="N1027" s="15" t="s">
        <v>50</v>
      </c>
      <c r="O1027" s="15" t="s">
        <v>51</v>
      </c>
    </row>
    <row r="1028" spans="1:15">
      <c r="A1028" s="14" t="s">
        <v>13</v>
      </c>
      <c r="B1028" s="14" t="s">
        <v>6561</v>
      </c>
      <c r="C1028" s="14" t="s">
        <v>6562</v>
      </c>
      <c r="D1028" s="14" t="s">
        <v>6706</v>
      </c>
      <c r="E1028" s="14">
        <v>89</v>
      </c>
      <c r="F1028" s="14" t="s">
        <v>6739</v>
      </c>
      <c r="G1028" s="14" t="s">
        <v>6740</v>
      </c>
      <c r="H1028" s="14"/>
      <c r="I1028" s="14" t="s">
        <v>96</v>
      </c>
      <c r="J1028" s="11" t="str">
        <f>HYPERLINK("https://www.codechef.com/problems/OSP23", "https://www.codechef.com/problems/OSP23")</f>
        <v>https://www.codechef.com/problems/OSP23</v>
      </c>
      <c r="K1028" s="14"/>
      <c r="L1028" s="14"/>
      <c r="M1028" s="14"/>
      <c r="N1028" s="14" t="s">
        <v>50</v>
      </c>
      <c r="O1028" s="14" t="s">
        <v>51</v>
      </c>
    </row>
    <row r="1029" spans="1:15">
      <c r="A1029" s="15" t="s">
        <v>13</v>
      </c>
      <c r="B1029" s="15" t="s">
        <v>6561</v>
      </c>
      <c r="C1029" s="15" t="s">
        <v>6562</v>
      </c>
      <c r="D1029" s="15" t="s">
        <v>6706</v>
      </c>
      <c r="E1029" s="15">
        <v>90</v>
      </c>
      <c r="F1029" s="15" t="s">
        <v>6741</v>
      </c>
      <c r="G1029" s="15" t="s">
        <v>6742</v>
      </c>
      <c r="H1029" s="15"/>
      <c r="I1029" s="15" t="s">
        <v>49</v>
      </c>
      <c r="J1029" s="7" t="str">
        <f>HYPERLINK("https://www.codechef.com/problems/OSMCQ067", "https://www.codechef.com/problems/OSMCQ067")</f>
        <v>https://www.codechef.com/problems/OSMCQ067</v>
      </c>
      <c r="K1029" s="15"/>
      <c r="L1029" s="15"/>
      <c r="M1029" s="15"/>
      <c r="N1029" s="15" t="s">
        <v>50</v>
      </c>
      <c r="O1029" s="15" t="s">
        <v>51</v>
      </c>
    </row>
    <row r="1030" spans="1:15">
      <c r="A1030" s="14" t="s">
        <v>13</v>
      </c>
      <c r="B1030" s="14" t="s">
        <v>6561</v>
      </c>
      <c r="C1030" s="14" t="s">
        <v>6562</v>
      </c>
      <c r="D1030" s="14" t="s">
        <v>6706</v>
      </c>
      <c r="E1030" s="14">
        <v>91</v>
      </c>
      <c r="F1030" s="14" t="s">
        <v>6743</v>
      </c>
      <c r="G1030" s="14" t="s">
        <v>6744</v>
      </c>
      <c r="H1030" s="14"/>
      <c r="I1030" s="14" t="s">
        <v>96</v>
      </c>
      <c r="J1030" s="11" t="str">
        <f>HYPERLINK("https://www.codechef.com/problems/OSMCQ068", "https://www.codechef.com/problems/OSMCQ068")</f>
        <v>https://www.codechef.com/problems/OSMCQ068</v>
      </c>
      <c r="K1030" s="14"/>
      <c r="L1030" s="14"/>
      <c r="M1030" s="14"/>
      <c r="N1030" s="14" t="s">
        <v>50</v>
      </c>
      <c r="O1030" s="14" t="s">
        <v>51</v>
      </c>
    </row>
    <row r="1031" spans="1:15">
      <c r="A1031" s="15" t="s">
        <v>13</v>
      </c>
      <c r="B1031" s="15" t="s">
        <v>6561</v>
      </c>
      <c r="C1031" s="15" t="s">
        <v>6562</v>
      </c>
      <c r="D1031" s="15" t="s">
        <v>6706</v>
      </c>
      <c r="E1031" s="15">
        <v>92</v>
      </c>
      <c r="F1031" s="15" t="s">
        <v>6745</v>
      </c>
      <c r="G1031" s="15" t="s">
        <v>6746</v>
      </c>
      <c r="H1031" s="15"/>
      <c r="I1031" s="15" t="s">
        <v>49</v>
      </c>
      <c r="J1031" s="7" t="str">
        <f>HYPERLINK("https://www.codechef.com/problems/OSMCQ069", "https://www.codechef.com/problems/OSMCQ069")</f>
        <v>https://www.codechef.com/problems/OSMCQ069</v>
      </c>
      <c r="K1031" s="15"/>
      <c r="L1031" s="15"/>
      <c r="M1031" s="15"/>
      <c r="N1031" s="15" t="s">
        <v>50</v>
      </c>
      <c r="O1031" s="15" t="s">
        <v>51</v>
      </c>
    </row>
    <row r="1032" spans="1:15">
      <c r="A1032" s="14" t="s">
        <v>13</v>
      </c>
      <c r="B1032" s="14" t="s">
        <v>6561</v>
      </c>
      <c r="C1032" s="14" t="s">
        <v>6562</v>
      </c>
      <c r="D1032" s="14" t="s">
        <v>6706</v>
      </c>
      <c r="E1032" s="14">
        <v>93</v>
      </c>
      <c r="F1032" s="14" t="s">
        <v>6747</v>
      </c>
      <c r="G1032" s="14" t="s">
        <v>6748</v>
      </c>
      <c r="H1032" s="14"/>
      <c r="I1032" s="14" t="s">
        <v>96</v>
      </c>
      <c r="J1032" s="11" t="str">
        <f>HYPERLINK("https://www.codechef.com/problems/OSP24", "https://www.codechef.com/problems/OSP24")</f>
        <v>https://www.codechef.com/problems/OSP24</v>
      </c>
      <c r="K1032" s="14"/>
      <c r="L1032" s="14"/>
      <c r="M1032" s="14"/>
      <c r="N1032" s="14" t="s">
        <v>50</v>
      </c>
      <c r="O1032" s="14" t="s">
        <v>51</v>
      </c>
    </row>
    <row r="1033" spans="1:15">
      <c r="A1033" s="15" t="s">
        <v>13</v>
      </c>
      <c r="B1033" s="15" t="s">
        <v>6561</v>
      </c>
      <c r="C1033" s="15" t="s">
        <v>6562</v>
      </c>
      <c r="D1033" s="15" t="s">
        <v>6706</v>
      </c>
      <c r="E1033" s="15">
        <v>94</v>
      </c>
      <c r="F1033" s="15" t="s">
        <v>6749</v>
      </c>
      <c r="G1033" s="15" t="s">
        <v>6750</v>
      </c>
      <c r="H1033" s="15"/>
      <c r="I1033" s="15" t="s">
        <v>49</v>
      </c>
      <c r="J1033" s="7" t="str">
        <f>HYPERLINK("https://www.codechef.com/problems/OSMCQ070", "https://www.codechef.com/problems/OSMCQ070")</f>
        <v>https://www.codechef.com/problems/OSMCQ070</v>
      </c>
      <c r="K1033" s="15"/>
      <c r="L1033" s="15"/>
      <c r="M1033" s="15"/>
      <c r="N1033" s="15" t="s">
        <v>50</v>
      </c>
      <c r="O1033" s="15" t="s">
        <v>51</v>
      </c>
    </row>
    <row r="1034" spans="1:15">
      <c r="A1034" s="14" t="s">
        <v>13</v>
      </c>
      <c r="B1034" s="14" t="s">
        <v>6561</v>
      </c>
      <c r="C1034" s="14" t="s">
        <v>6562</v>
      </c>
      <c r="D1034" s="14" t="s">
        <v>6706</v>
      </c>
      <c r="E1034" s="14">
        <v>95</v>
      </c>
      <c r="F1034" s="14" t="s">
        <v>6751</v>
      </c>
      <c r="G1034" s="14" t="s">
        <v>6752</v>
      </c>
      <c r="H1034" s="14"/>
      <c r="I1034" s="14" t="s">
        <v>49</v>
      </c>
      <c r="J1034" s="11" t="str">
        <f>HYPERLINK("https://www.codechef.com/problems/OSMCQ071", "https://www.codechef.com/problems/OSMCQ071")</f>
        <v>https://www.codechef.com/problems/OSMCQ071</v>
      </c>
      <c r="K1034" s="14"/>
      <c r="L1034" s="14"/>
      <c r="M1034" s="14"/>
      <c r="N1034" s="14" t="s">
        <v>50</v>
      </c>
      <c r="O1034" s="14" t="s">
        <v>51</v>
      </c>
    </row>
    <row r="1035" spans="1:15">
      <c r="A1035" s="15" t="s">
        <v>13</v>
      </c>
      <c r="B1035" s="15" t="s">
        <v>6561</v>
      </c>
      <c r="C1035" s="15" t="s">
        <v>6562</v>
      </c>
      <c r="D1035" s="15" t="s">
        <v>6706</v>
      </c>
      <c r="E1035" s="15">
        <v>96</v>
      </c>
      <c r="F1035" s="15" t="s">
        <v>6753</v>
      </c>
      <c r="G1035" s="15" t="s">
        <v>6754</v>
      </c>
      <c r="H1035" s="15"/>
      <c r="I1035" s="15" t="s">
        <v>49</v>
      </c>
      <c r="J1035" s="7" t="str">
        <f>HYPERLINK("https://www.codechef.com/problems/OSMCQ072", "https://www.codechef.com/problems/OSMCQ072")</f>
        <v>https://www.codechef.com/problems/OSMCQ072</v>
      </c>
      <c r="K1035" s="15"/>
      <c r="L1035" s="15"/>
      <c r="M1035" s="15"/>
      <c r="N1035" s="15" t="s">
        <v>50</v>
      </c>
      <c r="O1035" s="15" t="s">
        <v>51</v>
      </c>
    </row>
    <row r="1036" spans="1:15">
      <c r="A1036" s="14" t="s">
        <v>13</v>
      </c>
      <c r="B1036" s="14" t="s">
        <v>6561</v>
      </c>
      <c r="C1036" s="14" t="s">
        <v>6562</v>
      </c>
      <c r="D1036" s="14" t="s">
        <v>6755</v>
      </c>
      <c r="E1036" s="14">
        <v>97</v>
      </c>
      <c r="F1036" s="14" t="s">
        <v>6756</v>
      </c>
      <c r="G1036" s="14" t="s">
        <v>6757</v>
      </c>
      <c r="H1036" s="14"/>
      <c r="I1036" s="14" t="s">
        <v>49</v>
      </c>
      <c r="J1036" s="11" t="str">
        <f>HYPERLINK("https://www.codechef.com/problems/OSP25", "https://www.codechef.com/problems/OSP25")</f>
        <v>https://www.codechef.com/problems/OSP25</v>
      </c>
      <c r="K1036" s="14"/>
      <c r="L1036" s="14"/>
      <c r="M1036" s="14"/>
      <c r="N1036" s="14" t="s">
        <v>50</v>
      </c>
      <c r="O1036" s="14" t="s">
        <v>51</v>
      </c>
    </row>
    <row r="1037" spans="1:15">
      <c r="A1037" s="15" t="s">
        <v>13</v>
      </c>
      <c r="B1037" s="15" t="s">
        <v>6561</v>
      </c>
      <c r="C1037" s="15" t="s">
        <v>6562</v>
      </c>
      <c r="D1037" s="15" t="s">
        <v>6755</v>
      </c>
      <c r="E1037" s="15">
        <v>98</v>
      </c>
      <c r="F1037" s="15" t="s">
        <v>6758</v>
      </c>
      <c r="G1037" s="15" t="s">
        <v>6759</v>
      </c>
      <c r="H1037" s="15"/>
      <c r="I1037" s="15" t="s">
        <v>49</v>
      </c>
      <c r="J1037" s="7" t="str">
        <f>HYPERLINK("https://www.codechef.com/problems/OSMCQ073", "https://www.codechef.com/problems/OSMCQ073")</f>
        <v>https://www.codechef.com/problems/OSMCQ073</v>
      </c>
      <c r="K1037" s="15"/>
      <c r="L1037" s="15"/>
      <c r="M1037" s="15"/>
      <c r="N1037" s="15" t="s">
        <v>50</v>
      </c>
      <c r="O1037" s="15" t="s">
        <v>51</v>
      </c>
    </row>
    <row r="1038" spans="1:15">
      <c r="A1038" s="14" t="s">
        <v>13</v>
      </c>
      <c r="B1038" s="14" t="s">
        <v>6561</v>
      </c>
      <c r="C1038" s="14" t="s">
        <v>6562</v>
      </c>
      <c r="D1038" s="14" t="s">
        <v>6755</v>
      </c>
      <c r="E1038" s="14">
        <v>99</v>
      </c>
      <c r="F1038" s="14" t="s">
        <v>6760</v>
      </c>
      <c r="G1038" s="14" t="s">
        <v>6761</v>
      </c>
      <c r="H1038" s="14"/>
      <c r="I1038" s="14" t="s">
        <v>49</v>
      </c>
      <c r="J1038" s="11" t="str">
        <f>HYPERLINK("https://www.codechef.com/problems/OSMCQ074", "https://www.codechef.com/problems/OSMCQ074")</f>
        <v>https://www.codechef.com/problems/OSMCQ074</v>
      </c>
      <c r="K1038" s="14"/>
      <c r="L1038" s="14"/>
      <c r="M1038" s="14"/>
      <c r="N1038" s="14" t="s">
        <v>50</v>
      </c>
      <c r="O1038" s="14" t="s">
        <v>51</v>
      </c>
    </row>
    <row r="1039" spans="1:15">
      <c r="A1039" s="15" t="s">
        <v>13</v>
      </c>
      <c r="B1039" s="15" t="s">
        <v>6561</v>
      </c>
      <c r="C1039" s="15" t="s">
        <v>6562</v>
      </c>
      <c r="D1039" s="15" t="s">
        <v>6755</v>
      </c>
      <c r="E1039" s="15">
        <v>100</v>
      </c>
      <c r="F1039" s="15" t="s">
        <v>6762</v>
      </c>
      <c r="G1039" s="15" t="s">
        <v>6763</v>
      </c>
      <c r="H1039" s="15"/>
      <c r="I1039" s="15" t="s">
        <v>49</v>
      </c>
      <c r="J1039" s="7" t="str">
        <f>HYPERLINK("https://www.codechef.com/problems/OSMCQ075", "https://www.codechef.com/problems/OSMCQ075")</f>
        <v>https://www.codechef.com/problems/OSMCQ075</v>
      </c>
      <c r="K1039" s="15"/>
      <c r="L1039" s="15"/>
      <c r="M1039" s="15"/>
      <c r="N1039" s="15" t="s">
        <v>50</v>
      </c>
      <c r="O1039" s="15" t="s">
        <v>51</v>
      </c>
    </row>
    <row r="1040" spans="1:15">
      <c r="A1040" s="14" t="s">
        <v>13</v>
      </c>
      <c r="B1040" s="14" t="s">
        <v>6561</v>
      </c>
      <c r="C1040" s="14" t="s">
        <v>6562</v>
      </c>
      <c r="D1040" s="14" t="s">
        <v>6755</v>
      </c>
      <c r="E1040" s="14">
        <v>101</v>
      </c>
      <c r="F1040" s="14" t="s">
        <v>6764</v>
      </c>
      <c r="G1040" s="14" t="s">
        <v>6765</v>
      </c>
      <c r="H1040" s="14"/>
      <c r="I1040" s="14" t="s">
        <v>49</v>
      </c>
      <c r="J1040" s="11" t="str">
        <f>HYPERLINK("https://www.codechef.com/problems/OSP26", "https://www.codechef.com/problems/OSP26")</f>
        <v>https://www.codechef.com/problems/OSP26</v>
      </c>
      <c r="K1040" s="14"/>
      <c r="L1040" s="14"/>
      <c r="M1040" s="14"/>
      <c r="N1040" s="14" t="s">
        <v>50</v>
      </c>
      <c r="O1040" s="14" t="s">
        <v>51</v>
      </c>
    </row>
    <row r="1041" spans="1:15">
      <c r="A1041" s="15" t="s">
        <v>13</v>
      </c>
      <c r="B1041" s="15" t="s">
        <v>6561</v>
      </c>
      <c r="C1041" s="15" t="s">
        <v>6562</v>
      </c>
      <c r="D1041" s="15" t="s">
        <v>6755</v>
      </c>
      <c r="E1041" s="15">
        <v>102</v>
      </c>
      <c r="F1041" s="15" t="s">
        <v>6766</v>
      </c>
      <c r="G1041" s="15" t="s">
        <v>6767</v>
      </c>
      <c r="H1041" s="15"/>
      <c r="I1041" s="15" t="s">
        <v>49</v>
      </c>
      <c r="J1041" s="7" t="str">
        <f>HYPERLINK("https://www.codechef.com/problems/OSMCQ076", "https://www.codechef.com/problems/OSMCQ076")</f>
        <v>https://www.codechef.com/problems/OSMCQ076</v>
      </c>
      <c r="K1041" s="15"/>
      <c r="L1041" s="15"/>
      <c r="M1041" s="15"/>
      <c r="N1041" s="15" t="s">
        <v>50</v>
      </c>
      <c r="O1041" s="15" t="s">
        <v>51</v>
      </c>
    </row>
    <row r="1042" spans="1:15">
      <c r="A1042" s="14" t="s">
        <v>13</v>
      </c>
      <c r="B1042" s="14" t="s">
        <v>6561</v>
      </c>
      <c r="C1042" s="14" t="s">
        <v>6562</v>
      </c>
      <c r="D1042" s="14" t="s">
        <v>6755</v>
      </c>
      <c r="E1042" s="14">
        <v>103</v>
      </c>
      <c r="F1042" s="14" t="s">
        <v>6768</v>
      </c>
      <c r="G1042" s="14" t="s">
        <v>6769</v>
      </c>
      <c r="H1042" s="14"/>
      <c r="I1042" s="14" t="s">
        <v>49</v>
      </c>
      <c r="J1042" s="11" t="str">
        <f>HYPERLINK("https://www.codechef.com/problems/OSMCQ077", "https://www.codechef.com/problems/OSMCQ077")</f>
        <v>https://www.codechef.com/problems/OSMCQ077</v>
      </c>
      <c r="K1042" s="14"/>
      <c r="L1042" s="14"/>
      <c r="M1042" s="14"/>
      <c r="N1042" s="14" t="s">
        <v>50</v>
      </c>
      <c r="O1042" s="14" t="s">
        <v>51</v>
      </c>
    </row>
    <row r="1043" spans="1:15">
      <c r="A1043" s="15" t="s">
        <v>13</v>
      </c>
      <c r="B1043" s="15" t="s">
        <v>6561</v>
      </c>
      <c r="C1043" s="15" t="s">
        <v>6562</v>
      </c>
      <c r="D1043" s="15" t="s">
        <v>6755</v>
      </c>
      <c r="E1043" s="15">
        <v>104</v>
      </c>
      <c r="F1043" s="15" t="s">
        <v>6770</v>
      </c>
      <c r="G1043" s="15" t="s">
        <v>6771</v>
      </c>
      <c r="H1043" s="15"/>
      <c r="I1043" s="15" t="s">
        <v>96</v>
      </c>
      <c r="J1043" s="7" t="str">
        <f>HYPERLINK("https://www.codechef.com/problems/OSMCQ078", "https://www.codechef.com/problems/OSMCQ078")</f>
        <v>https://www.codechef.com/problems/OSMCQ078</v>
      </c>
      <c r="K1043" s="15"/>
      <c r="L1043" s="15"/>
      <c r="M1043" s="15"/>
      <c r="N1043" s="15" t="s">
        <v>50</v>
      </c>
      <c r="O1043" s="15" t="s">
        <v>51</v>
      </c>
    </row>
    <row r="1044" spans="1:15">
      <c r="A1044" s="14" t="s">
        <v>13</v>
      </c>
      <c r="B1044" s="14" t="s">
        <v>6561</v>
      </c>
      <c r="C1044" s="14" t="s">
        <v>6562</v>
      </c>
      <c r="D1044" s="14" t="s">
        <v>6755</v>
      </c>
      <c r="E1044" s="14">
        <v>105</v>
      </c>
      <c r="F1044" s="14" t="s">
        <v>6772</v>
      </c>
      <c r="G1044" s="14" t="s">
        <v>6773</v>
      </c>
      <c r="H1044" s="14"/>
      <c r="I1044" s="14" t="s">
        <v>49</v>
      </c>
      <c r="J1044" s="11" t="str">
        <f>HYPERLINK("https://www.codechef.com/problems/OSP27", "https://www.codechef.com/problems/OSP27")</f>
        <v>https://www.codechef.com/problems/OSP27</v>
      </c>
      <c r="K1044" s="14"/>
      <c r="L1044" s="14"/>
      <c r="M1044" s="14"/>
      <c r="N1044" s="14" t="s">
        <v>50</v>
      </c>
      <c r="O1044" s="14" t="s">
        <v>51</v>
      </c>
    </row>
    <row r="1045" spans="1:15">
      <c r="A1045" s="15" t="s">
        <v>13</v>
      </c>
      <c r="B1045" s="15" t="s">
        <v>6561</v>
      </c>
      <c r="C1045" s="15" t="s">
        <v>6562</v>
      </c>
      <c r="D1045" s="15" t="s">
        <v>6755</v>
      </c>
      <c r="E1045" s="15">
        <v>106</v>
      </c>
      <c r="F1045" s="15" t="s">
        <v>6774</v>
      </c>
      <c r="G1045" s="15" t="s">
        <v>6775</v>
      </c>
      <c r="H1045" s="15"/>
      <c r="I1045" s="15" t="s">
        <v>49</v>
      </c>
      <c r="J1045" s="7" t="str">
        <f>HYPERLINK("https://www.codechef.com/problems/OSMCQ079", "https://www.codechef.com/problems/OSMCQ079")</f>
        <v>https://www.codechef.com/problems/OSMCQ079</v>
      </c>
      <c r="K1045" s="15"/>
      <c r="L1045" s="15"/>
      <c r="M1045" s="15"/>
      <c r="N1045" s="15" t="s">
        <v>50</v>
      </c>
      <c r="O1045" s="15" t="s">
        <v>51</v>
      </c>
    </row>
    <row r="1046" spans="1:15">
      <c r="A1046" s="14" t="s">
        <v>13</v>
      </c>
      <c r="B1046" s="14" t="s">
        <v>6561</v>
      </c>
      <c r="C1046" s="14" t="s">
        <v>6562</v>
      </c>
      <c r="D1046" s="14" t="s">
        <v>6755</v>
      </c>
      <c r="E1046" s="14">
        <v>107</v>
      </c>
      <c r="F1046" s="14" t="s">
        <v>6776</v>
      </c>
      <c r="G1046" s="14" t="s">
        <v>6777</v>
      </c>
      <c r="H1046" s="14"/>
      <c r="I1046" s="14" t="s">
        <v>49</v>
      </c>
      <c r="J1046" s="11" t="str">
        <f>HYPERLINK("https://www.codechef.com/problems/OSMCQ080", "https://www.codechef.com/problems/OSMCQ080")</f>
        <v>https://www.codechef.com/problems/OSMCQ080</v>
      </c>
      <c r="K1046" s="14"/>
      <c r="L1046" s="14"/>
      <c r="M1046" s="14"/>
      <c r="N1046" s="14" t="s">
        <v>50</v>
      </c>
      <c r="O1046" s="14" t="s">
        <v>51</v>
      </c>
    </row>
    <row r="1047" spans="1:15">
      <c r="A1047" s="15" t="s">
        <v>13</v>
      </c>
      <c r="B1047" s="15" t="s">
        <v>6561</v>
      </c>
      <c r="C1047" s="15" t="s">
        <v>6562</v>
      </c>
      <c r="D1047" s="15" t="s">
        <v>6755</v>
      </c>
      <c r="E1047" s="15">
        <v>108</v>
      </c>
      <c r="F1047" s="15" t="s">
        <v>6778</v>
      </c>
      <c r="G1047" s="15" t="s">
        <v>6779</v>
      </c>
      <c r="H1047" s="15"/>
      <c r="I1047" s="15" t="s">
        <v>49</v>
      </c>
      <c r="J1047" s="7" t="str">
        <f>HYPERLINK("https://www.codechef.com/problems/OSMCQ081", "https://www.codechef.com/problems/OSMCQ081")</f>
        <v>https://www.codechef.com/problems/OSMCQ081</v>
      </c>
      <c r="K1047" s="15"/>
      <c r="L1047" s="15"/>
      <c r="M1047" s="15"/>
      <c r="N1047" s="15" t="s">
        <v>50</v>
      </c>
      <c r="O1047" s="15" t="s">
        <v>51</v>
      </c>
    </row>
    <row r="1048" spans="1:15">
      <c r="A1048" s="14" t="s">
        <v>13</v>
      </c>
      <c r="B1048" s="14" t="s">
        <v>6561</v>
      </c>
      <c r="C1048" s="14" t="s">
        <v>6562</v>
      </c>
      <c r="D1048" s="14" t="s">
        <v>6755</v>
      </c>
      <c r="E1048" s="14">
        <v>109</v>
      </c>
      <c r="F1048" s="14" t="s">
        <v>6780</v>
      </c>
      <c r="G1048" s="14" t="s">
        <v>6781</v>
      </c>
      <c r="H1048" s="14"/>
      <c r="I1048" s="14" t="s">
        <v>49</v>
      </c>
      <c r="J1048" s="11" t="str">
        <f>HYPERLINK("https://www.codechef.com/problems/OSP28", "https://www.codechef.com/problems/OSP28")</f>
        <v>https://www.codechef.com/problems/OSP28</v>
      </c>
      <c r="K1048" s="14"/>
      <c r="L1048" s="14"/>
      <c r="M1048" s="14"/>
      <c r="N1048" s="14" t="s">
        <v>50</v>
      </c>
      <c r="O1048" s="14" t="s">
        <v>51</v>
      </c>
    </row>
    <row r="1049" spans="1:15">
      <c r="A1049" s="15" t="s">
        <v>13</v>
      </c>
      <c r="B1049" s="15" t="s">
        <v>6561</v>
      </c>
      <c r="C1049" s="15" t="s">
        <v>6562</v>
      </c>
      <c r="D1049" s="15" t="s">
        <v>6755</v>
      </c>
      <c r="E1049" s="15">
        <v>110</v>
      </c>
      <c r="F1049" s="15" t="s">
        <v>6782</v>
      </c>
      <c r="G1049" s="15" t="s">
        <v>6783</v>
      </c>
      <c r="H1049" s="15"/>
      <c r="I1049" s="15" t="s">
        <v>49</v>
      </c>
      <c r="J1049" s="7" t="str">
        <f>HYPERLINK("https://www.codechef.com/problems/OSMCQ082", "https://www.codechef.com/problems/OSMCQ082")</f>
        <v>https://www.codechef.com/problems/OSMCQ082</v>
      </c>
      <c r="K1049" s="15"/>
      <c r="L1049" s="15"/>
      <c r="M1049" s="15"/>
      <c r="N1049" s="15" t="s">
        <v>50</v>
      </c>
      <c r="O1049" s="15" t="s">
        <v>51</v>
      </c>
    </row>
    <row r="1050" spans="1:15">
      <c r="A1050" s="14" t="s">
        <v>13</v>
      </c>
      <c r="B1050" s="14" t="s">
        <v>6561</v>
      </c>
      <c r="C1050" s="14" t="s">
        <v>6562</v>
      </c>
      <c r="D1050" s="14" t="s">
        <v>6755</v>
      </c>
      <c r="E1050" s="14">
        <v>111</v>
      </c>
      <c r="F1050" s="14" t="s">
        <v>6784</v>
      </c>
      <c r="G1050" s="14" t="s">
        <v>6785</v>
      </c>
      <c r="H1050" s="14"/>
      <c r="I1050" s="14" t="s">
        <v>49</v>
      </c>
      <c r="J1050" s="11" t="str">
        <f>HYPERLINK("https://www.codechef.com/problems/OSMCQ083", "https://www.codechef.com/problems/OSMCQ083")</f>
        <v>https://www.codechef.com/problems/OSMCQ083</v>
      </c>
      <c r="K1050" s="14"/>
      <c r="L1050" s="14"/>
      <c r="M1050" s="14"/>
      <c r="N1050" s="14" t="s">
        <v>50</v>
      </c>
      <c r="O1050" s="14" t="s">
        <v>51</v>
      </c>
    </row>
    <row r="1051" spans="1:15">
      <c r="A1051" s="15" t="s">
        <v>13</v>
      </c>
      <c r="B1051" s="15" t="s">
        <v>6561</v>
      </c>
      <c r="C1051" s="15" t="s">
        <v>6562</v>
      </c>
      <c r="D1051" s="15" t="s">
        <v>6755</v>
      </c>
      <c r="E1051" s="15">
        <v>112</v>
      </c>
      <c r="F1051" s="15" t="s">
        <v>6786</v>
      </c>
      <c r="G1051" s="15" t="s">
        <v>6787</v>
      </c>
      <c r="H1051" s="15"/>
      <c r="I1051" s="15" t="s">
        <v>49</v>
      </c>
      <c r="J1051" s="7" t="str">
        <f>HYPERLINK("https://www.codechef.com/problems/OSMCQ084", "https://www.codechef.com/problems/OSMCQ084")</f>
        <v>https://www.codechef.com/problems/OSMCQ084</v>
      </c>
      <c r="K1051" s="15"/>
      <c r="L1051" s="15"/>
      <c r="M1051" s="15"/>
      <c r="N1051" s="15" t="s">
        <v>50</v>
      </c>
      <c r="O1051" s="15" t="s">
        <v>51</v>
      </c>
    </row>
    <row r="1052" spans="1:15">
      <c r="A1052" s="14" t="s">
        <v>13</v>
      </c>
      <c r="B1052" s="14" t="s">
        <v>6561</v>
      </c>
      <c r="C1052" s="14" t="s">
        <v>6562</v>
      </c>
      <c r="D1052" s="14" t="s">
        <v>6788</v>
      </c>
      <c r="E1052" s="14">
        <v>113</v>
      </c>
      <c r="F1052" s="14" t="s">
        <v>6789</v>
      </c>
      <c r="G1052" s="14" t="s">
        <v>6790</v>
      </c>
      <c r="H1052" s="14"/>
      <c r="I1052" s="14" t="s">
        <v>49</v>
      </c>
      <c r="J1052" s="11" t="str">
        <f>HYPERLINK("https://www.codechef.com/problems/OSP29", "https://www.codechef.com/problems/OSP29")</f>
        <v>https://www.codechef.com/problems/OSP29</v>
      </c>
      <c r="K1052" s="14"/>
      <c r="L1052" s="14"/>
      <c r="M1052" s="14"/>
      <c r="N1052" s="14" t="s">
        <v>50</v>
      </c>
      <c r="O1052" s="14" t="s">
        <v>51</v>
      </c>
    </row>
    <row r="1053" spans="1:15">
      <c r="A1053" s="15" t="s">
        <v>13</v>
      </c>
      <c r="B1053" s="15" t="s">
        <v>6561</v>
      </c>
      <c r="C1053" s="15" t="s">
        <v>6562</v>
      </c>
      <c r="D1053" s="15" t="s">
        <v>6788</v>
      </c>
      <c r="E1053" s="15">
        <v>114</v>
      </c>
      <c r="F1053" s="15" t="s">
        <v>6791</v>
      </c>
      <c r="G1053" s="15" t="s">
        <v>6792</v>
      </c>
      <c r="H1053" s="15"/>
      <c r="I1053" s="15" t="s">
        <v>49</v>
      </c>
      <c r="J1053" s="7" t="str">
        <f>HYPERLINK("https://www.codechef.com/problems/OSMCQ085", "https://www.codechef.com/problems/OSMCQ085")</f>
        <v>https://www.codechef.com/problems/OSMCQ085</v>
      </c>
      <c r="K1053" s="15"/>
      <c r="L1053" s="15"/>
      <c r="M1053" s="15"/>
      <c r="N1053" s="15" t="s">
        <v>50</v>
      </c>
      <c r="O1053" s="15" t="s">
        <v>51</v>
      </c>
    </row>
    <row r="1054" spans="1:15">
      <c r="A1054" s="14" t="s">
        <v>13</v>
      </c>
      <c r="B1054" s="14" t="s">
        <v>6561</v>
      </c>
      <c r="C1054" s="14" t="s">
        <v>6562</v>
      </c>
      <c r="D1054" s="14" t="s">
        <v>6788</v>
      </c>
      <c r="E1054" s="14">
        <v>115</v>
      </c>
      <c r="F1054" s="14" t="s">
        <v>6793</v>
      </c>
      <c r="G1054" s="14" t="s">
        <v>6794</v>
      </c>
      <c r="H1054" s="14"/>
      <c r="I1054" s="14" t="s">
        <v>49</v>
      </c>
      <c r="J1054" s="11" t="str">
        <f>HYPERLINK("https://www.codechef.com/problems/OSMCQ086", "https://www.codechef.com/problems/OSMCQ086")</f>
        <v>https://www.codechef.com/problems/OSMCQ086</v>
      </c>
      <c r="K1054" s="14"/>
      <c r="L1054" s="14"/>
      <c r="M1054" s="14"/>
      <c r="N1054" s="14" t="s">
        <v>50</v>
      </c>
      <c r="O1054" s="14" t="s">
        <v>51</v>
      </c>
    </row>
    <row r="1055" spans="1:15">
      <c r="A1055" s="15" t="s">
        <v>13</v>
      </c>
      <c r="B1055" s="15" t="s">
        <v>6561</v>
      </c>
      <c r="C1055" s="15" t="s">
        <v>6562</v>
      </c>
      <c r="D1055" s="15" t="s">
        <v>6788</v>
      </c>
      <c r="E1055" s="15">
        <v>116</v>
      </c>
      <c r="F1055" s="15" t="s">
        <v>6795</v>
      </c>
      <c r="G1055" s="15" t="s">
        <v>6796</v>
      </c>
      <c r="H1055" s="15"/>
      <c r="I1055" s="15" t="s">
        <v>49</v>
      </c>
      <c r="J1055" s="7" t="str">
        <f>HYPERLINK("https://www.codechef.com/problems/OSMCQ087", "https://www.codechef.com/problems/OSMCQ087")</f>
        <v>https://www.codechef.com/problems/OSMCQ087</v>
      </c>
      <c r="K1055" s="15"/>
      <c r="L1055" s="15"/>
      <c r="M1055" s="15"/>
      <c r="N1055" s="15" t="s">
        <v>50</v>
      </c>
      <c r="O1055" s="15" t="s">
        <v>51</v>
      </c>
    </row>
    <row r="1056" spans="1:15">
      <c r="A1056" s="14" t="s">
        <v>13</v>
      </c>
      <c r="B1056" s="14" t="s">
        <v>6561</v>
      </c>
      <c r="C1056" s="14" t="s">
        <v>6562</v>
      </c>
      <c r="D1056" s="14" t="s">
        <v>6788</v>
      </c>
      <c r="E1056" s="14">
        <v>117</v>
      </c>
      <c r="F1056" s="14" t="s">
        <v>6797</v>
      </c>
      <c r="G1056" s="14" t="s">
        <v>6798</v>
      </c>
      <c r="H1056" s="14"/>
      <c r="I1056" s="14" t="s">
        <v>49</v>
      </c>
      <c r="J1056" s="11" t="str">
        <f>HYPERLINK("https://www.codechef.com/problems/OSP30", "https://www.codechef.com/problems/OSP30")</f>
        <v>https://www.codechef.com/problems/OSP30</v>
      </c>
      <c r="K1056" s="14"/>
      <c r="L1056" s="14"/>
      <c r="M1056" s="14"/>
      <c r="N1056" s="14" t="s">
        <v>50</v>
      </c>
      <c r="O1056" s="14" t="s">
        <v>51</v>
      </c>
    </row>
    <row r="1057" spans="1:15">
      <c r="A1057" s="15" t="s">
        <v>13</v>
      </c>
      <c r="B1057" s="15" t="s">
        <v>6561</v>
      </c>
      <c r="C1057" s="15" t="s">
        <v>6562</v>
      </c>
      <c r="D1057" s="15" t="s">
        <v>6788</v>
      </c>
      <c r="E1057" s="15">
        <v>118</v>
      </c>
      <c r="F1057" s="15" t="s">
        <v>6799</v>
      </c>
      <c r="G1057" s="15" t="s">
        <v>6800</v>
      </c>
      <c r="H1057" s="15"/>
      <c r="I1057" s="15" t="s">
        <v>49</v>
      </c>
      <c r="J1057" s="7" t="str">
        <f>HYPERLINK("https://www.codechef.com/problems/OSMCQ088", "https://www.codechef.com/problems/OSMCQ088")</f>
        <v>https://www.codechef.com/problems/OSMCQ088</v>
      </c>
      <c r="K1057" s="15"/>
      <c r="L1057" s="15"/>
      <c r="M1057" s="15"/>
      <c r="N1057" s="15" t="s">
        <v>50</v>
      </c>
      <c r="O1057" s="15" t="s">
        <v>51</v>
      </c>
    </row>
    <row r="1058" spans="1:15">
      <c r="A1058" s="14" t="s">
        <v>13</v>
      </c>
      <c r="B1058" s="14" t="s">
        <v>6561</v>
      </c>
      <c r="C1058" s="14" t="s">
        <v>6562</v>
      </c>
      <c r="D1058" s="14" t="s">
        <v>6788</v>
      </c>
      <c r="E1058" s="14">
        <v>119</v>
      </c>
      <c r="F1058" s="14" t="s">
        <v>6801</v>
      </c>
      <c r="G1058" s="14" t="s">
        <v>6802</v>
      </c>
      <c r="H1058" s="14"/>
      <c r="I1058" s="14" t="s">
        <v>49</v>
      </c>
      <c r="J1058" s="11" t="str">
        <f>HYPERLINK("https://www.codechef.com/problems/OSMCQ089", "https://www.codechef.com/problems/OSMCQ089")</f>
        <v>https://www.codechef.com/problems/OSMCQ089</v>
      </c>
      <c r="K1058" s="14"/>
      <c r="L1058" s="14"/>
      <c r="M1058" s="14"/>
      <c r="N1058" s="14" t="s">
        <v>50</v>
      </c>
      <c r="O1058" s="14" t="s">
        <v>51</v>
      </c>
    </row>
    <row r="1059" spans="1:15">
      <c r="A1059" s="15" t="s">
        <v>13</v>
      </c>
      <c r="B1059" s="15" t="s">
        <v>6561</v>
      </c>
      <c r="C1059" s="15" t="s">
        <v>6562</v>
      </c>
      <c r="D1059" s="15" t="s">
        <v>6788</v>
      </c>
      <c r="E1059" s="15">
        <v>120</v>
      </c>
      <c r="F1059" s="15" t="s">
        <v>6803</v>
      </c>
      <c r="G1059" s="15" t="s">
        <v>6804</v>
      </c>
      <c r="H1059" s="15"/>
      <c r="I1059" s="15" t="s">
        <v>49</v>
      </c>
      <c r="J1059" s="7" t="str">
        <f>HYPERLINK("https://www.codechef.com/problems/OSMCQ090", "https://www.codechef.com/problems/OSMCQ090")</f>
        <v>https://www.codechef.com/problems/OSMCQ090</v>
      </c>
      <c r="K1059" s="15"/>
      <c r="L1059" s="15"/>
      <c r="M1059" s="15"/>
      <c r="N1059" s="15" t="s">
        <v>50</v>
      </c>
      <c r="O1059" s="15" t="s">
        <v>51</v>
      </c>
    </row>
    <row r="1060" spans="1:15">
      <c r="A1060" s="14" t="s">
        <v>13</v>
      </c>
      <c r="B1060" s="14" t="s">
        <v>6561</v>
      </c>
      <c r="C1060" s="14" t="s">
        <v>6562</v>
      </c>
      <c r="D1060" s="14" t="s">
        <v>6788</v>
      </c>
      <c r="E1060" s="14">
        <v>121</v>
      </c>
      <c r="F1060" s="14" t="s">
        <v>6805</v>
      </c>
      <c r="G1060" s="14" t="s">
        <v>6806</v>
      </c>
      <c r="H1060" s="14"/>
      <c r="I1060" s="14" t="s">
        <v>96</v>
      </c>
      <c r="J1060" s="11" t="str">
        <f>HYPERLINK("https://www.codechef.com/problems/OSP31", "https://www.codechef.com/problems/OSP31")</f>
        <v>https://www.codechef.com/problems/OSP31</v>
      </c>
      <c r="K1060" s="14"/>
      <c r="L1060" s="14"/>
      <c r="M1060" s="14"/>
      <c r="N1060" s="14" t="s">
        <v>50</v>
      </c>
      <c r="O1060" s="14" t="s">
        <v>51</v>
      </c>
    </row>
    <row r="1061" spans="1:15">
      <c r="A1061" s="15" t="s">
        <v>13</v>
      </c>
      <c r="B1061" s="15" t="s">
        <v>6561</v>
      </c>
      <c r="C1061" s="15" t="s">
        <v>6562</v>
      </c>
      <c r="D1061" s="15" t="s">
        <v>6788</v>
      </c>
      <c r="E1061" s="15">
        <v>122</v>
      </c>
      <c r="F1061" s="15" t="s">
        <v>6807</v>
      </c>
      <c r="G1061" s="15" t="s">
        <v>6808</v>
      </c>
      <c r="H1061" s="15"/>
      <c r="I1061" s="15" t="s">
        <v>49</v>
      </c>
      <c r="J1061" s="7" t="str">
        <f>HYPERLINK("https://www.codechef.com/problems/OSMCQ091", "https://www.codechef.com/problems/OSMCQ091")</f>
        <v>https://www.codechef.com/problems/OSMCQ091</v>
      </c>
      <c r="K1061" s="15"/>
      <c r="L1061" s="15"/>
      <c r="M1061" s="15"/>
      <c r="N1061" s="15" t="s">
        <v>50</v>
      </c>
      <c r="O1061" s="15" t="s">
        <v>51</v>
      </c>
    </row>
    <row r="1062" spans="1:15">
      <c r="A1062" s="14" t="s">
        <v>13</v>
      </c>
      <c r="B1062" s="14" t="s">
        <v>6561</v>
      </c>
      <c r="C1062" s="14" t="s">
        <v>6562</v>
      </c>
      <c r="D1062" s="14" t="s">
        <v>6788</v>
      </c>
      <c r="E1062" s="14">
        <v>123</v>
      </c>
      <c r="F1062" s="14" t="s">
        <v>6809</v>
      </c>
      <c r="G1062" s="14" t="s">
        <v>6810</v>
      </c>
      <c r="H1062" s="14"/>
      <c r="I1062" s="14" t="s">
        <v>49</v>
      </c>
      <c r="J1062" s="11" t="str">
        <f>HYPERLINK("https://www.codechef.com/problems/OSMCQ092", "https://www.codechef.com/problems/OSMCQ092")</f>
        <v>https://www.codechef.com/problems/OSMCQ092</v>
      </c>
      <c r="K1062" s="14"/>
      <c r="L1062" s="14"/>
      <c r="M1062" s="14"/>
      <c r="N1062" s="14" t="s">
        <v>50</v>
      </c>
      <c r="O1062" s="14" t="s">
        <v>51</v>
      </c>
    </row>
    <row r="1063" spans="1:15">
      <c r="A1063" s="15" t="s">
        <v>13</v>
      </c>
      <c r="B1063" s="15" t="s">
        <v>6561</v>
      </c>
      <c r="C1063" s="15" t="s">
        <v>6562</v>
      </c>
      <c r="D1063" s="15" t="s">
        <v>6788</v>
      </c>
      <c r="E1063" s="15">
        <v>124</v>
      </c>
      <c r="F1063" s="15" t="s">
        <v>6811</v>
      </c>
      <c r="G1063" s="15" t="s">
        <v>6812</v>
      </c>
      <c r="H1063" s="15"/>
      <c r="I1063" s="15" t="s">
        <v>49</v>
      </c>
      <c r="J1063" s="7" t="str">
        <f>HYPERLINK("https://www.codechef.com/problems/OSMCQ093", "https://www.codechef.com/problems/OSMCQ093")</f>
        <v>https://www.codechef.com/problems/OSMCQ093</v>
      </c>
      <c r="K1063" s="15"/>
      <c r="L1063" s="15"/>
      <c r="M1063" s="15"/>
      <c r="N1063" s="15" t="s">
        <v>50</v>
      </c>
      <c r="O1063" s="15" t="s">
        <v>51</v>
      </c>
    </row>
    <row r="1064" spans="1:15">
      <c r="A1064" s="14" t="s">
        <v>13</v>
      </c>
      <c r="B1064" s="14" t="s">
        <v>6561</v>
      </c>
      <c r="C1064" s="14" t="s">
        <v>6562</v>
      </c>
      <c r="D1064" s="14" t="s">
        <v>6788</v>
      </c>
      <c r="E1064" s="14">
        <v>125</v>
      </c>
      <c r="F1064" s="14" t="s">
        <v>6813</v>
      </c>
      <c r="G1064" s="14" t="s">
        <v>6814</v>
      </c>
      <c r="H1064" s="14"/>
      <c r="I1064" s="14" t="s">
        <v>49</v>
      </c>
      <c r="J1064" s="11" t="str">
        <f>HYPERLINK("https://www.codechef.com/problems/OSP32", "https://www.codechef.com/problems/OSP32")</f>
        <v>https://www.codechef.com/problems/OSP32</v>
      </c>
      <c r="K1064" s="14"/>
      <c r="L1064" s="14"/>
      <c r="M1064" s="14"/>
      <c r="N1064" s="14" t="s">
        <v>50</v>
      </c>
      <c r="O1064" s="14" t="s">
        <v>51</v>
      </c>
    </row>
    <row r="1065" spans="1:15">
      <c r="A1065" s="15" t="s">
        <v>13</v>
      </c>
      <c r="B1065" s="15" t="s">
        <v>6561</v>
      </c>
      <c r="C1065" s="15" t="s">
        <v>6562</v>
      </c>
      <c r="D1065" s="15" t="s">
        <v>6788</v>
      </c>
      <c r="E1065" s="15">
        <v>126</v>
      </c>
      <c r="F1065" s="15" t="s">
        <v>6815</v>
      </c>
      <c r="G1065" s="15" t="s">
        <v>6816</v>
      </c>
      <c r="H1065" s="15"/>
      <c r="I1065" s="15" t="s">
        <v>49</v>
      </c>
      <c r="J1065" s="7" t="str">
        <f>HYPERLINK("https://www.codechef.com/problems/OSMCQ094", "https://www.codechef.com/problems/OSMCQ094")</f>
        <v>https://www.codechef.com/problems/OSMCQ094</v>
      </c>
      <c r="K1065" s="15"/>
      <c r="L1065" s="15"/>
      <c r="M1065" s="15"/>
      <c r="N1065" s="15" t="s">
        <v>50</v>
      </c>
      <c r="O1065" s="15" t="s">
        <v>51</v>
      </c>
    </row>
    <row r="1066" spans="1:15">
      <c r="A1066" s="14" t="s">
        <v>13</v>
      </c>
      <c r="B1066" s="14" t="s">
        <v>6561</v>
      </c>
      <c r="C1066" s="14" t="s">
        <v>6562</v>
      </c>
      <c r="D1066" s="14" t="s">
        <v>6788</v>
      </c>
      <c r="E1066" s="14">
        <v>127</v>
      </c>
      <c r="F1066" s="14" t="s">
        <v>6817</v>
      </c>
      <c r="G1066" s="14" t="s">
        <v>6818</v>
      </c>
      <c r="H1066" s="14"/>
      <c r="I1066" s="14" t="s">
        <v>96</v>
      </c>
      <c r="J1066" s="11" t="str">
        <f>HYPERLINK("https://www.codechef.com/problems/OSMCQ095", "https://www.codechef.com/problems/OSMCQ095")</f>
        <v>https://www.codechef.com/problems/OSMCQ095</v>
      </c>
      <c r="K1066" s="14"/>
      <c r="L1066" s="14"/>
      <c r="M1066" s="14"/>
      <c r="N1066" s="14" t="s">
        <v>50</v>
      </c>
      <c r="O1066" s="14" t="s">
        <v>51</v>
      </c>
    </row>
    <row r="1067" spans="1:15">
      <c r="A1067" s="15" t="s">
        <v>13</v>
      </c>
      <c r="B1067" s="15" t="s">
        <v>6561</v>
      </c>
      <c r="C1067" s="15" t="s">
        <v>6562</v>
      </c>
      <c r="D1067" s="15" t="s">
        <v>6788</v>
      </c>
      <c r="E1067" s="15">
        <v>128</v>
      </c>
      <c r="F1067" s="15" t="s">
        <v>6819</v>
      </c>
      <c r="G1067" s="15" t="s">
        <v>6820</v>
      </c>
      <c r="H1067" s="15"/>
      <c r="I1067" s="15" t="s">
        <v>49</v>
      </c>
      <c r="J1067" s="7" t="str">
        <f>HYPERLINK("https://www.codechef.com/problems/OSMCQ096", "https://www.codechef.com/problems/OSMCQ096")</f>
        <v>https://www.codechef.com/problems/OSMCQ096</v>
      </c>
      <c r="K1067" s="15"/>
      <c r="L1067" s="15"/>
      <c r="M1067" s="15"/>
      <c r="N1067" s="15" t="s">
        <v>50</v>
      </c>
      <c r="O1067" s="15" t="s">
        <v>51</v>
      </c>
    </row>
    <row r="1068" spans="1:15">
      <c r="A1068" s="14" t="s">
        <v>13</v>
      </c>
      <c r="B1068" s="14" t="s">
        <v>6561</v>
      </c>
      <c r="C1068" s="14" t="s">
        <v>6562</v>
      </c>
      <c r="D1068" s="14" t="s">
        <v>6788</v>
      </c>
      <c r="E1068" s="14">
        <v>129</v>
      </c>
      <c r="F1068" s="14" t="s">
        <v>6821</v>
      </c>
      <c r="G1068" s="14" t="s">
        <v>6822</v>
      </c>
      <c r="H1068" s="14"/>
      <c r="I1068" s="14" t="s">
        <v>96</v>
      </c>
      <c r="J1068" s="11" t="str">
        <f>HYPERLINK("https://www.codechef.com/problems/OSP33", "https://www.codechef.com/problems/OSP33")</f>
        <v>https://www.codechef.com/problems/OSP33</v>
      </c>
      <c r="K1068" s="14"/>
      <c r="L1068" s="14"/>
      <c r="M1068" s="14"/>
      <c r="N1068" s="14" t="s">
        <v>50</v>
      </c>
      <c r="O1068" s="14" t="s">
        <v>51</v>
      </c>
    </row>
    <row r="1069" spans="1:15">
      <c r="A1069" s="15" t="s">
        <v>13</v>
      </c>
      <c r="B1069" s="15" t="s">
        <v>6561</v>
      </c>
      <c r="C1069" s="15" t="s">
        <v>6562</v>
      </c>
      <c r="D1069" s="15" t="s">
        <v>6788</v>
      </c>
      <c r="E1069" s="15">
        <v>130</v>
      </c>
      <c r="F1069" s="15" t="s">
        <v>6823</v>
      </c>
      <c r="G1069" s="15" t="s">
        <v>6824</v>
      </c>
      <c r="H1069" s="15"/>
      <c r="I1069" s="15" t="s">
        <v>49</v>
      </c>
      <c r="J1069" s="7" t="str">
        <f>HYPERLINK("https://www.codechef.com/problems/OSMCQ097", "https://www.codechef.com/problems/OSMCQ097")</f>
        <v>https://www.codechef.com/problems/OSMCQ097</v>
      </c>
      <c r="K1069" s="15"/>
      <c r="L1069" s="15"/>
      <c r="M1069" s="15"/>
      <c r="N1069" s="15" t="s">
        <v>50</v>
      </c>
      <c r="O1069" s="15" t="s">
        <v>51</v>
      </c>
    </row>
    <row r="1070" spans="1:15">
      <c r="A1070" s="14" t="s">
        <v>13</v>
      </c>
      <c r="B1070" s="14" t="s">
        <v>6561</v>
      </c>
      <c r="C1070" s="14" t="s">
        <v>6562</v>
      </c>
      <c r="D1070" s="14" t="s">
        <v>6788</v>
      </c>
      <c r="E1070" s="14">
        <v>131</v>
      </c>
      <c r="F1070" s="14" t="s">
        <v>6825</v>
      </c>
      <c r="G1070" s="14" t="s">
        <v>6826</v>
      </c>
      <c r="H1070" s="14"/>
      <c r="I1070" s="14" t="s">
        <v>96</v>
      </c>
      <c r="J1070" s="11" t="str">
        <f>HYPERLINK("https://www.codechef.com/problems/OSMCQ098", "https://www.codechef.com/problems/OSMCQ098")</f>
        <v>https://www.codechef.com/problems/OSMCQ098</v>
      </c>
      <c r="K1070" s="14"/>
      <c r="L1070" s="14"/>
      <c r="M1070" s="14"/>
      <c r="N1070" s="14" t="s">
        <v>50</v>
      </c>
      <c r="O1070" s="14" t="s">
        <v>51</v>
      </c>
    </row>
    <row r="1071" spans="1:15">
      <c r="A1071" s="15" t="s">
        <v>13</v>
      </c>
      <c r="B1071" s="15" t="s">
        <v>6561</v>
      </c>
      <c r="C1071" s="15" t="s">
        <v>6562</v>
      </c>
      <c r="D1071" s="15" t="s">
        <v>6788</v>
      </c>
      <c r="E1071" s="15">
        <v>132</v>
      </c>
      <c r="F1071" s="15" t="s">
        <v>6827</v>
      </c>
      <c r="G1071" s="15" t="s">
        <v>6828</v>
      </c>
      <c r="H1071" s="15"/>
      <c r="I1071" s="15" t="s">
        <v>49</v>
      </c>
      <c r="J1071" s="7" t="str">
        <f>HYPERLINK("https://www.codechef.com/problems/OSMCQ099", "https://www.codechef.com/problems/OSMCQ099")</f>
        <v>https://www.codechef.com/problems/OSMCQ099</v>
      </c>
      <c r="K1071" s="15"/>
      <c r="L1071" s="15"/>
      <c r="M1071" s="15"/>
      <c r="N1071" s="15" t="s">
        <v>50</v>
      </c>
      <c r="O1071" s="15" t="s">
        <v>51</v>
      </c>
    </row>
    <row r="1072" spans="1:15">
      <c r="A1072" s="14" t="s">
        <v>13</v>
      </c>
      <c r="B1072" s="14" t="s">
        <v>6561</v>
      </c>
      <c r="C1072" s="14" t="s">
        <v>6562</v>
      </c>
      <c r="D1072" s="14" t="s">
        <v>6788</v>
      </c>
      <c r="E1072" s="14">
        <v>133</v>
      </c>
      <c r="F1072" s="14" t="s">
        <v>6829</v>
      </c>
      <c r="G1072" s="14" t="s">
        <v>6830</v>
      </c>
      <c r="H1072" s="14"/>
      <c r="I1072" s="14" t="s">
        <v>96</v>
      </c>
      <c r="J1072" s="11" t="str">
        <f>HYPERLINK("https://www.codechef.com/problems/OSP34", "https://www.codechef.com/problems/OSP34")</f>
        <v>https://www.codechef.com/problems/OSP34</v>
      </c>
      <c r="K1072" s="14"/>
      <c r="L1072" s="14"/>
      <c r="M1072" s="14"/>
      <c r="N1072" s="14" t="s">
        <v>50</v>
      </c>
      <c r="O1072" s="14" t="s">
        <v>51</v>
      </c>
    </row>
    <row r="1073" spans="1:15">
      <c r="A1073" s="15" t="s">
        <v>13</v>
      </c>
      <c r="B1073" s="15" t="s">
        <v>6561</v>
      </c>
      <c r="C1073" s="15" t="s">
        <v>6562</v>
      </c>
      <c r="D1073" s="15" t="s">
        <v>6788</v>
      </c>
      <c r="E1073" s="15">
        <v>134</v>
      </c>
      <c r="F1073" s="15" t="s">
        <v>6831</v>
      </c>
      <c r="G1073" s="15" t="s">
        <v>6832</v>
      </c>
      <c r="H1073" s="15"/>
      <c r="I1073" s="15" t="s">
        <v>49</v>
      </c>
      <c r="J1073" s="7" t="str">
        <f>HYPERLINK("https://www.codechef.com/problems/OSMCQ100", "https://www.codechef.com/problems/OSMCQ100")</f>
        <v>https://www.codechef.com/problems/OSMCQ100</v>
      </c>
      <c r="K1073" s="15"/>
      <c r="L1073" s="15"/>
      <c r="M1073" s="15"/>
      <c r="N1073" s="15" t="s">
        <v>50</v>
      </c>
      <c r="O1073" s="15" t="s">
        <v>51</v>
      </c>
    </row>
    <row r="1074" spans="1:15">
      <c r="A1074" s="14" t="s">
        <v>13</v>
      </c>
      <c r="B1074" s="14" t="s">
        <v>6561</v>
      </c>
      <c r="C1074" s="14" t="s">
        <v>6562</v>
      </c>
      <c r="D1074" s="14" t="s">
        <v>6788</v>
      </c>
      <c r="E1074" s="14">
        <v>135</v>
      </c>
      <c r="F1074" s="14" t="s">
        <v>6833</v>
      </c>
      <c r="G1074" s="14" t="s">
        <v>6834</v>
      </c>
      <c r="H1074" s="14"/>
      <c r="I1074" s="14" t="s">
        <v>49</v>
      </c>
      <c r="J1074" s="11" t="str">
        <f>HYPERLINK("https://www.codechef.com/problems/OSMCQ101", "https://www.codechef.com/problems/OSMCQ101")</f>
        <v>https://www.codechef.com/problems/OSMCQ101</v>
      </c>
      <c r="K1074" s="14"/>
      <c r="L1074" s="14"/>
      <c r="M1074" s="14"/>
      <c r="N1074" s="14" t="s">
        <v>50</v>
      </c>
      <c r="O1074" s="14" t="s">
        <v>51</v>
      </c>
    </row>
    <row r="1075" spans="1:15">
      <c r="A1075" s="15" t="s">
        <v>13</v>
      </c>
      <c r="B1075" s="15" t="s">
        <v>6561</v>
      </c>
      <c r="C1075" s="15" t="s">
        <v>6562</v>
      </c>
      <c r="D1075" s="15" t="s">
        <v>6788</v>
      </c>
      <c r="E1075" s="15">
        <v>136</v>
      </c>
      <c r="F1075" s="15" t="s">
        <v>6835</v>
      </c>
      <c r="G1075" s="15" t="s">
        <v>6836</v>
      </c>
      <c r="H1075" s="15"/>
      <c r="I1075" s="15" t="s">
        <v>96</v>
      </c>
      <c r="J1075" s="7" t="str">
        <f>HYPERLINK("https://www.codechef.com/problems/OSMCQ102", "https://www.codechef.com/problems/OSMCQ102")</f>
        <v>https://www.codechef.com/problems/OSMCQ102</v>
      </c>
      <c r="K1075" s="15"/>
      <c r="L1075" s="15"/>
      <c r="M1075" s="15"/>
      <c r="N1075" s="15" t="s">
        <v>50</v>
      </c>
      <c r="O1075" s="15" t="s">
        <v>51</v>
      </c>
    </row>
    <row r="1076" spans="1:15">
      <c r="A1076" s="14" t="s">
        <v>13</v>
      </c>
      <c r="B1076" s="14" t="s">
        <v>6561</v>
      </c>
      <c r="C1076" s="14" t="s">
        <v>6562</v>
      </c>
      <c r="D1076" s="14" t="s">
        <v>6837</v>
      </c>
      <c r="E1076" s="14">
        <v>137</v>
      </c>
      <c r="F1076" s="14" t="s">
        <v>6838</v>
      </c>
      <c r="G1076" s="14" t="s">
        <v>6839</v>
      </c>
      <c r="H1076" s="14"/>
      <c r="I1076" s="14" t="s">
        <v>49</v>
      </c>
      <c r="J1076" s="11" t="str">
        <f>HYPERLINK("https://www.codechef.com/problems/OSP35", "https://www.codechef.com/problems/OSP35")</f>
        <v>https://www.codechef.com/problems/OSP35</v>
      </c>
      <c r="K1076" s="14"/>
      <c r="L1076" s="14"/>
      <c r="M1076" s="14"/>
      <c r="N1076" s="14" t="s">
        <v>50</v>
      </c>
      <c r="O1076" s="14" t="s">
        <v>51</v>
      </c>
    </row>
    <row r="1077" spans="1:15">
      <c r="A1077" s="15" t="s">
        <v>13</v>
      </c>
      <c r="B1077" s="15" t="s">
        <v>6561</v>
      </c>
      <c r="C1077" s="15" t="s">
        <v>6562</v>
      </c>
      <c r="D1077" s="15" t="s">
        <v>6837</v>
      </c>
      <c r="E1077" s="15">
        <v>138</v>
      </c>
      <c r="F1077" s="15" t="s">
        <v>6840</v>
      </c>
      <c r="G1077" s="15" t="s">
        <v>6841</v>
      </c>
      <c r="H1077" s="15"/>
      <c r="I1077" s="15" t="s">
        <v>49</v>
      </c>
      <c r="J1077" s="7" t="str">
        <f>HYPERLINK("https://www.codechef.com/problems/OSMCQ103", "https://www.codechef.com/problems/OSMCQ103")</f>
        <v>https://www.codechef.com/problems/OSMCQ103</v>
      </c>
      <c r="K1077" s="15"/>
      <c r="L1077" s="15"/>
      <c r="M1077" s="15"/>
      <c r="N1077" s="15" t="s">
        <v>50</v>
      </c>
      <c r="O1077" s="15" t="s">
        <v>51</v>
      </c>
    </row>
    <row r="1078" spans="1:15">
      <c r="A1078" s="14" t="s">
        <v>13</v>
      </c>
      <c r="B1078" s="14" t="s">
        <v>6561</v>
      </c>
      <c r="C1078" s="14" t="s">
        <v>6562</v>
      </c>
      <c r="D1078" s="14" t="s">
        <v>6837</v>
      </c>
      <c r="E1078" s="14">
        <v>139</v>
      </c>
      <c r="F1078" s="14" t="s">
        <v>6842</v>
      </c>
      <c r="G1078" s="14" t="s">
        <v>6843</v>
      </c>
      <c r="H1078" s="14"/>
      <c r="I1078" s="14" t="s">
        <v>49</v>
      </c>
      <c r="J1078" s="11" t="str">
        <f>HYPERLINK("https://www.codechef.com/problems/OSMCQ104", "https://www.codechef.com/problems/OSMCQ104")</f>
        <v>https://www.codechef.com/problems/OSMCQ104</v>
      </c>
      <c r="K1078" s="14"/>
      <c r="L1078" s="14"/>
      <c r="M1078" s="14"/>
      <c r="N1078" s="14" t="s">
        <v>50</v>
      </c>
      <c r="O1078" s="14" t="s">
        <v>51</v>
      </c>
    </row>
    <row r="1079" spans="1:15">
      <c r="A1079" s="15" t="s">
        <v>13</v>
      </c>
      <c r="B1079" s="15" t="s">
        <v>6561</v>
      </c>
      <c r="C1079" s="15" t="s">
        <v>6562</v>
      </c>
      <c r="D1079" s="15" t="s">
        <v>6837</v>
      </c>
      <c r="E1079" s="15">
        <v>140</v>
      </c>
      <c r="F1079" s="15" t="s">
        <v>6844</v>
      </c>
      <c r="G1079" s="15" t="s">
        <v>6845</v>
      </c>
      <c r="H1079" s="15"/>
      <c r="I1079" s="15" t="s">
        <v>49</v>
      </c>
      <c r="J1079" s="7" t="str">
        <f>HYPERLINK("https://www.codechef.com/problems/OSMCQ105", "https://www.codechef.com/problems/OSMCQ105")</f>
        <v>https://www.codechef.com/problems/OSMCQ105</v>
      </c>
      <c r="K1079" s="15"/>
      <c r="L1079" s="15"/>
      <c r="M1079" s="15"/>
      <c r="N1079" s="15" t="s">
        <v>50</v>
      </c>
      <c r="O1079" s="15" t="s">
        <v>51</v>
      </c>
    </row>
    <row r="1080" spans="1:15">
      <c r="A1080" s="14" t="s">
        <v>13</v>
      </c>
      <c r="B1080" s="14" t="s">
        <v>6561</v>
      </c>
      <c r="C1080" s="14" t="s">
        <v>6562</v>
      </c>
      <c r="D1080" s="14" t="s">
        <v>6837</v>
      </c>
      <c r="E1080" s="14">
        <v>141</v>
      </c>
      <c r="F1080" s="14" t="s">
        <v>6846</v>
      </c>
      <c r="G1080" s="14" t="s">
        <v>6847</v>
      </c>
      <c r="H1080" s="14"/>
      <c r="I1080" s="14" t="s">
        <v>96</v>
      </c>
      <c r="J1080" s="11" t="str">
        <f>HYPERLINK("https://www.codechef.com/problems/OSP36", "https://www.codechef.com/problems/OSP36")</f>
        <v>https://www.codechef.com/problems/OSP36</v>
      </c>
      <c r="K1080" s="14"/>
      <c r="L1080" s="14"/>
      <c r="M1080" s="14"/>
      <c r="N1080" s="14" t="s">
        <v>50</v>
      </c>
      <c r="O1080" s="14" t="s">
        <v>51</v>
      </c>
    </row>
    <row r="1081" spans="1:15">
      <c r="A1081" s="15" t="s">
        <v>13</v>
      </c>
      <c r="B1081" s="15" t="s">
        <v>6561</v>
      </c>
      <c r="C1081" s="15" t="s">
        <v>6562</v>
      </c>
      <c r="D1081" s="15" t="s">
        <v>6837</v>
      </c>
      <c r="E1081" s="15">
        <v>142</v>
      </c>
      <c r="F1081" s="15" t="s">
        <v>6848</v>
      </c>
      <c r="G1081" s="15" t="s">
        <v>6849</v>
      </c>
      <c r="H1081" s="15"/>
      <c r="I1081" s="15" t="s">
        <v>49</v>
      </c>
      <c r="J1081" s="7" t="str">
        <f>HYPERLINK("https://www.codechef.com/problems/OSMCQ106", "https://www.codechef.com/problems/OSMCQ106")</f>
        <v>https://www.codechef.com/problems/OSMCQ106</v>
      </c>
      <c r="K1081" s="15"/>
      <c r="L1081" s="15"/>
      <c r="M1081" s="15"/>
      <c r="N1081" s="15" t="s">
        <v>50</v>
      </c>
      <c r="O1081" s="15" t="s">
        <v>51</v>
      </c>
    </row>
    <row r="1082" spans="1:15">
      <c r="A1082" s="14" t="s">
        <v>13</v>
      </c>
      <c r="B1082" s="14" t="s">
        <v>6561</v>
      </c>
      <c r="C1082" s="14" t="s">
        <v>6562</v>
      </c>
      <c r="D1082" s="14" t="s">
        <v>6837</v>
      </c>
      <c r="E1082" s="14">
        <v>143</v>
      </c>
      <c r="F1082" s="14" t="s">
        <v>6844</v>
      </c>
      <c r="G1082" s="14" t="s">
        <v>6850</v>
      </c>
      <c r="H1082" s="14"/>
      <c r="I1082" s="14" t="s">
        <v>49</v>
      </c>
      <c r="J1082" s="11" t="str">
        <f>HYPERLINK("https://www.codechef.com/problems/OSMCQ107", "https://www.codechef.com/problems/OSMCQ107")</f>
        <v>https://www.codechef.com/problems/OSMCQ107</v>
      </c>
      <c r="K1082" s="14"/>
      <c r="L1082" s="14"/>
      <c r="M1082" s="14"/>
      <c r="N1082" s="14" t="s">
        <v>50</v>
      </c>
      <c r="O1082" s="14" t="s">
        <v>51</v>
      </c>
    </row>
    <row r="1083" spans="1:15">
      <c r="A1083" s="15" t="s">
        <v>13</v>
      </c>
      <c r="B1083" s="15" t="s">
        <v>6561</v>
      </c>
      <c r="C1083" s="15" t="s">
        <v>6562</v>
      </c>
      <c r="D1083" s="15" t="s">
        <v>6837</v>
      </c>
      <c r="E1083" s="15">
        <v>144</v>
      </c>
      <c r="F1083" s="15" t="s">
        <v>5187</v>
      </c>
      <c r="G1083" s="15" t="s">
        <v>6851</v>
      </c>
      <c r="H1083" s="15"/>
      <c r="I1083" s="15" t="s">
        <v>49</v>
      </c>
      <c r="J1083" s="7" t="str">
        <f>HYPERLINK("https://www.codechef.com/problems/OSMCQ108", "https://www.codechef.com/problems/OSMCQ108")</f>
        <v>https://www.codechef.com/problems/OSMCQ108</v>
      </c>
      <c r="K1083" s="15"/>
      <c r="L1083" s="15"/>
      <c r="M1083" s="15"/>
      <c r="N1083" s="15" t="s">
        <v>50</v>
      </c>
      <c r="O1083" s="15" t="s">
        <v>51</v>
      </c>
    </row>
    <row r="1084" spans="1:15">
      <c r="A1084" s="14" t="s">
        <v>13</v>
      </c>
      <c r="B1084" s="14" t="s">
        <v>6561</v>
      </c>
      <c r="C1084" s="14" t="s">
        <v>6562</v>
      </c>
      <c r="D1084" s="14" t="s">
        <v>6837</v>
      </c>
      <c r="E1084" s="14">
        <v>145</v>
      </c>
      <c r="F1084" s="14" t="s">
        <v>6852</v>
      </c>
      <c r="G1084" s="14" t="s">
        <v>6853</v>
      </c>
      <c r="H1084" s="14"/>
      <c r="I1084" s="14" t="s">
        <v>322</v>
      </c>
      <c r="J1084" s="11" t="str">
        <f>HYPERLINK("https://www.codechef.com/problems/OSP37", "https://www.codechef.com/problems/OSP37")</f>
        <v>https://www.codechef.com/problems/OSP37</v>
      </c>
      <c r="K1084" s="14"/>
      <c r="L1084" s="14"/>
      <c r="M1084" s="14"/>
      <c r="N1084" s="14" t="s">
        <v>50</v>
      </c>
      <c r="O1084" s="14" t="s">
        <v>51</v>
      </c>
    </row>
    <row r="1085" spans="1:15">
      <c r="A1085" s="15" t="s">
        <v>13</v>
      </c>
      <c r="B1085" s="15" t="s">
        <v>6561</v>
      </c>
      <c r="C1085" s="15" t="s">
        <v>6562</v>
      </c>
      <c r="D1085" s="15" t="s">
        <v>6837</v>
      </c>
      <c r="E1085" s="15">
        <v>146</v>
      </c>
      <c r="F1085" s="15" t="s">
        <v>6854</v>
      </c>
      <c r="G1085" s="15" t="s">
        <v>6855</v>
      </c>
      <c r="H1085" s="15"/>
      <c r="I1085" s="15" t="s">
        <v>49</v>
      </c>
      <c r="J1085" s="7" t="str">
        <f>HYPERLINK("https://www.codechef.com/problems/OSMCQ109", "https://www.codechef.com/problems/OSMCQ109")</f>
        <v>https://www.codechef.com/problems/OSMCQ109</v>
      </c>
      <c r="K1085" s="15"/>
      <c r="L1085" s="15"/>
      <c r="M1085" s="15"/>
      <c r="N1085" s="15" t="s">
        <v>50</v>
      </c>
      <c r="O1085" s="15" t="s">
        <v>51</v>
      </c>
    </row>
    <row r="1086" spans="1:15">
      <c r="A1086" s="14" t="s">
        <v>13</v>
      </c>
      <c r="B1086" s="14" t="s">
        <v>6561</v>
      </c>
      <c r="C1086" s="14" t="s">
        <v>6562</v>
      </c>
      <c r="D1086" s="14" t="s">
        <v>6837</v>
      </c>
      <c r="E1086" s="14">
        <v>147</v>
      </c>
      <c r="F1086" s="14" t="s">
        <v>6856</v>
      </c>
      <c r="G1086" s="14" t="s">
        <v>6857</v>
      </c>
      <c r="H1086" s="14"/>
      <c r="I1086" s="14" t="s">
        <v>49</v>
      </c>
      <c r="J1086" s="11" t="str">
        <f>HYPERLINK("https://www.codechef.com/problems/OSMCQ110", "https://www.codechef.com/problems/OSMCQ110")</f>
        <v>https://www.codechef.com/problems/OSMCQ110</v>
      </c>
      <c r="K1086" s="14"/>
      <c r="L1086" s="14"/>
      <c r="M1086" s="14"/>
      <c r="N1086" s="14" t="s">
        <v>50</v>
      </c>
      <c r="O1086" s="14" t="s">
        <v>51</v>
      </c>
    </row>
    <row r="1087" spans="1:15">
      <c r="A1087" s="15" t="s">
        <v>13</v>
      </c>
      <c r="B1087" s="15" t="s">
        <v>6561</v>
      </c>
      <c r="C1087" s="15" t="s">
        <v>6562</v>
      </c>
      <c r="D1087" s="15" t="s">
        <v>6837</v>
      </c>
      <c r="E1087" s="15">
        <v>148</v>
      </c>
      <c r="F1087" s="15" t="s">
        <v>6858</v>
      </c>
      <c r="G1087" s="15" t="s">
        <v>6859</v>
      </c>
      <c r="H1087" s="15"/>
      <c r="I1087" s="15" t="s">
        <v>96</v>
      </c>
      <c r="J1087" s="7" t="str">
        <f>HYPERLINK("https://www.codechef.com/problems/OSMCQ111", "https://www.codechef.com/problems/OSMCQ111")</f>
        <v>https://www.codechef.com/problems/OSMCQ111</v>
      </c>
      <c r="K1087" s="15"/>
      <c r="L1087" s="15"/>
      <c r="M1087" s="15"/>
      <c r="N1087" s="15" t="s">
        <v>50</v>
      </c>
      <c r="O1087" s="15" t="s">
        <v>51</v>
      </c>
    </row>
    <row r="1088" spans="1:15">
      <c r="A1088" s="14" t="s">
        <v>13</v>
      </c>
      <c r="B1088" s="14" t="s">
        <v>6561</v>
      </c>
      <c r="C1088" s="14" t="s">
        <v>6562</v>
      </c>
      <c r="D1088" s="14" t="s">
        <v>6837</v>
      </c>
      <c r="E1088" s="14">
        <v>149</v>
      </c>
      <c r="F1088" s="14" t="s">
        <v>6860</v>
      </c>
      <c r="G1088" s="14" t="s">
        <v>6861</v>
      </c>
      <c r="H1088" s="14"/>
      <c r="I1088" s="14" t="s">
        <v>322</v>
      </c>
      <c r="J1088" s="11" t="str">
        <f>HYPERLINK("https://www.codechef.com/problems/OSP38", "https://www.codechef.com/problems/OSP38")</f>
        <v>https://www.codechef.com/problems/OSP38</v>
      </c>
      <c r="K1088" s="14"/>
      <c r="L1088" s="14"/>
      <c r="M1088" s="14"/>
      <c r="N1088" s="14" t="s">
        <v>50</v>
      </c>
      <c r="O1088" s="14" t="s">
        <v>51</v>
      </c>
    </row>
    <row r="1089" spans="1:15">
      <c r="A1089" s="15" t="s">
        <v>13</v>
      </c>
      <c r="B1089" s="15" t="s">
        <v>6561</v>
      </c>
      <c r="C1089" s="15" t="s">
        <v>6562</v>
      </c>
      <c r="D1089" s="15" t="s">
        <v>6837</v>
      </c>
      <c r="E1089" s="15">
        <v>150</v>
      </c>
      <c r="F1089" s="15" t="s">
        <v>6862</v>
      </c>
      <c r="G1089" s="15" t="s">
        <v>6863</v>
      </c>
      <c r="H1089" s="15"/>
      <c r="I1089" s="15" t="s">
        <v>49</v>
      </c>
      <c r="J1089" s="7" t="str">
        <f>HYPERLINK("https://www.codechef.com/problems/OSMCQ112", "https://www.codechef.com/problems/OSMCQ112")</f>
        <v>https://www.codechef.com/problems/OSMCQ112</v>
      </c>
      <c r="K1089" s="15"/>
      <c r="L1089" s="15"/>
      <c r="M1089" s="15"/>
      <c r="N1089" s="15" t="s">
        <v>50</v>
      </c>
      <c r="O1089" s="15" t="s">
        <v>51</v>
      </c>
    </row>
    <row r="1090" spans="1:15">
      <c r="A1090" s="14" t="s">
        <v>13</v>
      </c>
      <c r="B1090" s="14" t="s">
        <v>6561</v>
      </c>
      <c r="C1090" s="14" t="s">
        <v>6562</v>
      </c>
      <c r="D1090" s="14" t="s">
        <v>6837</v>
      </c>
      <c r="E1090" s="14">
        <v>151</v>
      </c>
      <c r="F1090" s="14" t="s">
        <v>6864</v>
      </c>
      <c r="G1090" s="14" t="s">
        <v>6865</v>
      </c>
      <c r="H1090" s="14"/>
      <c r="I1090" s="14" t="s">
        <v>49</v>
      </c>
      <c r="J1090" s="11" t="str">
        <f>HYPERLINK("https://www.codechef.com/problems/OSMCQ113", "https://www.codechef.com/problems/OSMCQ113")</f>
        <v>https://www.codechef.com/problems/OSMCQ113</v>
      </c>
      <c r="K1090" s="14"/>
      <c r="L1090" s="14"/>
      <c r="M1090" s="14"/>
      <c r="N1090" s="14" t="s">
        <v>50</v>
      </c>
      <c r="O1090" s="14" t="s">
        <v>51</v>
      </c>
    </row>
    <row r="1091" spans="1:15">
      <c r="A1091" s="15" t="s">
        <v>13</v>
      </c>
      <c r="B1091" s="15" t="s">
        <v>6561</v>
      </c>
      <c r="C1091" s="15" t="s">
        <v>6562</v>
      </c>
      <c r="D1091" s="15" t="s">
        <v>6837</v>
      </c>
      <c r="E1091" s="15">
        <v>152</v>
      </c>
      <c r="F1091" s="15" t="s">
        <v>6866</v>
      </c>
      <c r="G1091" s="15" t="s">
        <v>6867</v>
      </c>
      <c r="H1091" s="15"/>
      <c r="I1091" s="15" t="s">
        <v>49</v>
      </c>
      <c r="J1091" s="7" t="str">
        <f>HYPERLINK("https://www.codechef.com/problems/OSMCQ114", "https://www.codechef.com/problems/OSMCQ114")</f>
        <v>https://www.codechef.com/problems/OSMCQ114</v>
      </c>
      <c r="K1091" s="15"/>
      <c r="L1091" s="15"/>
      <c r="M1091" s="15"/>
      <c r="N1091" s="15" t="s">
        <v>50</v>
      </c>
      <c r="O1091" s="15" t="s">
        <v>51</v>
      </c>
    </row>
    <row r="1092" spans="1:15">
      <c r="A1092" s="14" t="s">
        <v>13</v>
      </c>
      <c r="B1092" s="14" t="s">
        <v>6561</v>
      </c>
      <c r="C1092" s="14" t="s">
        <v>6562</v>
      </c>
      <c r="D1092" s="14" t="s">
        <v>6837</v>
      </c>
      <c r="E1092" s="14">
        <v>153</v>
      </c>
      <c r="F1092" s="14" t="s">
        <v>6868</v>
      </c>
      <c r="G1092" s="14" t="s">
        <v>6869</v>
      </c>
      <c r="H1092" s="14"/>
      <c r="I1092" s="14" t="s">
        <v>322</v>
      </c>
      <c r="J1092" s="11" t="str">
        <f>HYPERLINK("https://www.codechef.com/problems/OSP39", "https://www.codechef.com/problems/OSP39")</f>
        <v>https://www.codechef.com/problems/OSP39</v>
      </c>
      <c r="K1092" s="14"/>
      <c r="L1092" s="14"/>
      <c r="M1092" s="14"/>
      <c r="N1092" s="14" t="s">
        <v>50</v>
      </c>
      <c r="O1092" s="14" t="s">
        <v>51</v>
      </c>
    </row>
    <row r="1093" spans="1:15">
      <c r="A1093" s="15" t="s">
        <v>13</v>
      </c>
      <c r="B1093" s="15" t="s">
        <v>6561</v>
      </c>
      <c r="C1093" s="15" t="s">
        <v>6562</v>
      </c>
      <c r="D1093" s="15" t="s">
        <v>6837</v>
      </c>
      <c r="E1093" s="15">
        <v>154</v>
      </c>
      <c r="F1093" s="15" t="s">
        <v>6870</v>
      </c>
      <c r="G1093" s="15" t="s">
        <v>6871</v>
      </c>
      <c r="H1093" s="15"/>
      <c r="I1093" s="15" t="s">
        <v>49</v>
      </c>
      <c r="J1093" s="7" t="str">
        <f>HYPERLINK("https://www.codechef.com/problems/OSMCQ115", "https://www.codechef.com/problems/OSMCQ115")</f>
        <v>https://www.codechef.com/problems/OSMCQ115</v>
      </c>
      <c r="K1093" s="15"/>
      <c r="L1093" s="15"/>
      <c r="M1093" s="15"/>
      <c r="N1093" s="15" t="s">
        <v>50</v>
      </c>
      <c r="O1093" s="15" t="s">
        <v>51</v>
      </c>
    </row>
    <row r="1094" spans="1:15">
      <c r="A1094" s="14" t="s">
        <v>13</v>
      </c>
      <c r="B1094" s="14" t="s">
        <v>6561</v>
      </c>
      <c r="C1094" s="14" t="s">
        <v>6562</v>
      </c>
      <c r="D1094" s="14" t="s">
        <v>6837</v>
      </c>
      <c r="E1094" s="14">
        <v>155</v>
      </c>
      <c r="F1094" s="14" t="s">
        <v>6872</v>
      </c>
      <c r="G1094" s="14" t="s">
        <v>6873</v>
      </c>
      <c r="H1094" s="14"/>
      <c r="I1094" s="14" t="s">
        <v>96</v>
      </c>
      <c r="J1094" s="11" t="str">
        <f>HYPERLINK("https://www.codechef.com/problems/OSMCQ116", "https://www.codechef.com/problems/OSMCQ116")</f>
        <v>https://www.codechef.com/problems/OSMCQ116</v>
      </c>
      <c r="K1094" s="14"/>
      <c r="L1094" s="14"/>
      <c r="M1094" s="14"/>
      <c r="N1094" s="14" t="s">
        <v>50</v>
      </c>
      <c r="O1094" s="14" t="s">
        <v>51</v>
      </c>
    </row>
    <row r="1095" spans="1:15">
      <c r="A1095" s="15" t="s">
        <v>13</v>
      </c>
      <c r="B1095" s="15" t="s">
        <v>6561</v>
      </c>
      <c r="C1095" s="15" t="s">
        <v>6562</v>
      </c>
      <c r="D1095" s="15" t="s">
        <v>6837</v>
      </c>
      <c r="E1095" s="15">
        <v>156</v>
      </c>
      <c r="F1095" s="15" t="s">
        <v>6874</v>
      </c>
      <c r="G1095" s="15" t="s">
        <v>6875</v>
      </c>
      <c r="H1095" s="15"/>
      <c r="I1095" s="15" t="s">
        <v>96</v>
      </c>
      <c r="J1095" s="7" t="str">
        <f>HYPERLINK("https://www.codechef.com/problems/OSMCQ117", "https://www.codechef.com/problems/OSMCQ117")</f>
        <v>https://www.codechef.com/problems/OSMCQ117</v>
      </c>
      <c r="K1095" s="15"/>
      <c r="L1095" s="15"/>
      <c r="M1095" s="15"/>
      <c r="N1095" s="15" t="s">
        <v>50</v>
      </c>
      <c r="O1095" s="15" t="s">
        <v>51</v>
      </c>
    </row>
    <row r="1096" spans="1:15">
      <c r="A1096" s="14" t="s">
        <v>13</v>
      </c>
      <c r="B1096" s="14" t="s">
        <v>6561</v>
      </c>
      <c r="C1096" s="14" t="s">
        <v>6562</v>
      </c>
      <c r="D1096" s="14" t="s">
        <v>6837</v>
      </c>
      <c r="E1096" s="14">
        <v>157</v>
      </c>
      <c r="F1096" s="14" t="s">
        <v>6876</v>
      </c>
      <c r="G1096" s="14" t="s">
        <v>6877</v>
      </c>
      <c r="H1096" s="14"/>
      <c r="I1096" s="14" t="s">
        <v>322</v>
      </c>
      <c r="J1096" s="11" t="str">
        <f>HYPERLINK("https://www.codechef.com/problems/OSP40", "https://www.codechef.com/problems/OSP40")</f>
        <v>https://www.codechef.com/problems/OSP40</v>
      </c>
      <c r="K1096" s="14"/>
      <c r="L1096" s="14"/>
      <c r="M1096" s="14"/>
      <c r="N1096" s="14" t="s">
        <v>50</v>
      </c>
      <c r="O1096" s="14" t="s">
        <v>51</v>
      </c>
    </row>
    <row r="1097" spans="1:15">
      <c r="A1097" s="15" t="s">
        <v>13</v>
      </c>
      <c r="B1097" s="15" t="s">
        <v>6561</v>
      </c>
      <c r="C1097" s="15" t="s">
        <v>6562</v>
      </c>
      <c r="D1097" s="15" t="s">
        <v>6837</v>
      </c>
      <c r="E1097" s="15">
        <v>158</v>
      </c>
      <c r="F1097" s="15" t="s">
        <v>6878</v>
      </c>
      <c r="G1097" s="15" t="s">
        <v>6879</v>
      </c>
      <c r="H1097" s="15"/>
      <c r="I1097" s="15" t="s">
        <v>49</v>
      </c>
      <c r="J1097" s="7" t="str">
        <f>HYPERLINK("https://www.codechef.com/problems/OSMCQ118", "https://www.codechef.com/problems/OSMCQ118")</f>
        <v>https://www.codechef.com/problems/OSMCQ118</v>
      </c>
      <c r="K1097" s="15"/>
      <c r="L1097" s="15"/>
      <c r="M1097" s="15"/>
      <c r="N1097" s="15" t="s">
        <v>50</v>
      </c>
      <c r="O1097" s="15" t="s">
        <v>51</v>
      </c>
    </row>
    <row r="1098" spans="1:15">
      <c r="A1098" s="14" t="s">
        <v>13</v>
      </c>
      <c r="B1098" s="14" t="s">
        <v>6561</v>
      </c>
      <c r="C1098" s="14" t="s">
        <v>6562</v>
      </c>
      <c r="D1098" s="14" t="s">
        <v>6837</v>
      </c>
      <c r="E1098" s="14">
        <v>159</v>
      </c>
      <c r="F1098" s="14" t="s">
        <v>6880</v>
      </c>
      <c r="G1098" s="14" t="s">
        <v>6881</v>
      </c>
      <c r="H1098" s="14"/>
      <c r="I1098" s="14" t="s">
        <v>96</v>
      </c>
      <c r="J1098" s="11" t="str">
        <f>HYPERLINK("https://www.codechef.com/problems/OSMCQ119", "https://www.codechef.com/problems/OSMCQ119")</f>
        <v>https://www.codechef.com/problems/OSMCQ119</v>
      </c>
      <c r="K1098" s="14"/>
      <c r="L1098" s="14"/>
      <c r="M1098" s="14"/>
      <c r="N1098" s="14" t="s">
        <v>50</v>
      </c>
      <c r="O1098" s="14" t="s">
        <v>51</v>
      </c>
    </row>
    <row r="1099" spans="1:15">
      <c r="A1099" s="15" t="s">
        <v>13</v>
      </c>
      <c r="B1099" s="15" t="s">
        <v>6561</v>
      </c>
      <c r="C1099" s="15" t="s">
        <v>6562</v>
      </c>
      <c r="D1099" s="15" t="s">
        <v>6837</v>
      </c>
      <c r="E1099" s="15">
        <v>160</v>
      </c>
      <c r="F1099" s="15" t="s">
        <v>6882</v>
      </c>
      <c r="G1099" s="15" t="s">
        <v>6883</v>
      </c>
      <c r="H1099" s="15"/>
      <c r="I1099" s="15" t="s">
        <v>49</v>
      </c>
      <c r="J1099" s="7" t="str">
        <f>HYPERLINK("https://www.codechef.com/problems/OSMCQ120", "https://www.codechef.com/problems/OSMCQ120")</f>
        <v>https://www.codechef.com/problems/OSMCQ120</v>
      </c>
      <c r="K1099" s="15"/>
      <c r="L1099" s="15"/>
      <c r="M1099" s="15"/>
      <c r="N1099" s="15" t="s">
        <v>50</v>
      </c>
      <c r="O1099" s="15" t="s">
        <v>51</v>
      </c>
    </row>
    <row r="1100" spans="1:15">
      <c r="A1100" s="14" t="s">
        <v>13</v>
      </c>
      <c r="B1100" s="14" t="s">
        <v>6884</v>
      </c>
      <c r="C1100" s="14" t="s">
        <v>6885</v>
      </c>
      <c r="D1100" s="14" t="s">
        <v>6886</v>
      </c>
      <c r="E1100" s="14">
        <v>1</v>
      </c>
      <c r="F1100" s="14" t="s">
        <v>6887</v>
      </c>
      <c r="G1100" s="14" t="s">
        <v>6888</v>
      </c>
      <c r="H1100" s="14"/>
      <c r="I1100" s="14" t="s">
        <v>49</v>
      </c>
      <c r="J1100" s="11" t="str">
        <f>HYPERLINK("https://www.codechef.com/problems/REACTJSMCQ01", "https://www.codechef.com/problems/REACTJSMCQ01")</f>
        <v>https://www.codechef.com/problems/REACTJSMCQ01</v>
      </c>
      <c r="K1100" s="14"/>
      <c r="L1100" s="14"/>
      <c r="M1100" s="14"/>
      <c r="N1100" s="14" t="s">
        <v>50</v>
      </c>
      <c r="O1100" s="14" t="s">
        <v>51</v>
      </c>
    </row>
    <row r="1101" spans="1:15">
      <c r="A1101" s="15" t="s">
        <v>13</v>
      </c>
      <c r="B1101" s="15" t="s">
        <v>6884</v>
      </c>
      <c r="C1101" s="15" t="s">
        <v>6885</v>
      </c>
      <c r="D1101" s="15" t="s">
        <v>6886</v>
      </c>
      <c r="E1101" s="15">
        <v>2</v>
      </c>
      <c r="F1101" s="15" t="s">
        <v>6889</v>
      </c>
      <c r="G1101" s="15" t="s">
        <v>6890</v>
      </c>
      <c r="H1101" s="15"/>
      <c r="I1101" s="15" t="s">
        <v>96</v>
      </c>
      <c r="J1101" s="7" t="str">
        <f>HYPERLINK("https://www.codechef.com/problems/REACTJSMCQ02", "https://www.codechef.com/problems/REACTJSMCQ02")</f>
        <v>https://www.codechef.com/problems/REACTJSMCQ02</v>
      </c>
      <c r="K1101" s="15"/>
      <c r="L1101" s="15"/>
      <c r="M1101" s="15"/>
      <c r="N1101" s="15" t="s">
        <v>50</v>
      </c>
      <c r="O1101" s="15" t="s">
        <v>51</v>
      </c>
    </row>
    <row r="1102" spans="1:15">
      <c r="A1102" s="14" t="s">
        <v>13</v>
      </c>
      <c r="B1102" s="14" t="s">
        <v>6884</v>
      </c>
      <c r="C1102" s="14" t="s">
        <v>6885</v>
      </c>
      <c r="D1102" s="14" t="s">
        <v>6886</v>
      </c>
      <c r="E1102" s="14">
        <v>3</v>
      </c>
      <c r="F1102" s="14" t="s">
        <v>6891</v>
      </c>
      <c r="G1102" s="14" t="s">
        <v>6892</v>
      </c>
      <c r="H1102" s="14"/>
      <c r="I1102" s="14" t="s">
        <v>96</v>
      </c>
      <c r="J1102" s="11" t="str">
        <f>HYPERLINK("https://www.codechef.com/problems/REACTJSMCQ03", "https://www.codechef.com/problems/REACTJSMCQ03")</f>
        <v>https://www.codechef.com/problems/REACTJSMCQ03</v>
      </c>
      <c r="K1102" s="14"/>
      <c r="L1102" s="14"/>
      <c r="M1102" s="14"/>
      <c r="N1102" s="14" t="s">
        <v>50</v>
      </c>
      <c r="O1102" s="14" t="s">
        <v>51</v>
      </c>
    </row>
    <row r="1103" spans="1:15">
      <c r="A1103" s="15" t="s">
        <v>13</v>
      </c>
      <c r="B1103" s="15" t="s">
        <v>6884</v>
      </c>
      <c r="C1103" s="15" t="s">
        <v>6885</v>
      </c>
      <c r="D1103" s="15" t="s">
        <v>6886</v>
      </c>
      <c r="E1103" s="15">
        <v>4</v>
      </c>
      <c r="F1103" s="15" t="s">
        <v>6893</v>
      </c>
      <c r="G1103" s="15" t="s">
        <v>6894</v>
      </c>
      <c r="H1103" s="15"/>
      <c r="I1103" s="15" t="s">
        <v>96</v>
      </c>
      <c r="J1103" s="7" t="str">
        <f>HYPERLINK("https://www.codechef.com/problems/REACTJSMCQ04", "https://www.codechef.com/problems/REACTJSMCQ04")</f>
        <v>https://www.codechef.com/problems/REACTJSMCQ04</v>
      </c>
      <c r="K1103" s="15"/>
      <c r="L1103" s="15"/>
      <c r="M1103" s="15"/>
      <c r="N1103" s="15" t="s">
        <v>50</v>
      </c>
      <c r="O1103" s="15" t="s">
        <v>51</v>
      </c>
    </row>
    <row r="1104" spans="1:15">
      <c r="A1104" s="14" t="s">
        <v>13</v>
      </c>
      <c r="B1104" s="14" t="s">
        <v>6884</v>
      </c>
      <c r="C1104" s="14" t="s">
        <v>6885</v>
      </c>
      <c r="D1104" s="14" t="s">
        <v>6886</v>
      </c>
      <c r="E1104" s="14">
        <v>5</v>
      </c>
      <c r="F1104" s="14" t="s">
        <v>6895</v>
      </c>
      <c r="G1104" s="14" t="s">
        <v>6896</v>
      </c>
      <c r="H1104" s="14"/>
      <c r="I1104" s="14" t="s">
        <v>96</v>
      </c>
      <c r="J1104" s="11" t="str">
        <f>HYPERLINK("https://www.codechef.com/problems/REACTJSMCQ05", "https://www.codechef.com/problems/REACTJSMCQ05")</f>
        <v>https://www.codechef.com/problems/REACTJSMCQ05</v>
      </c>
      <c r="K1104" s="14"/>
      <c r="L1104" s="14"/>
      <c r="M1104" s="14"/>
      <c r="N1104" s="14" t="s">
        <v>50</v>
      </c>
      <c r="O1104" s="14" t="s">
        <v>51</v>
      </c>
    </row>
    <row r="1105" spans="1:15">
      <c r="A1105" s="15" t="s">
        <v>13</v>
      </c>
      <c r="B1105" s="15" t="s">
        <v>6884</v>
      </c>
      <c r="C1105" s="15" t="s">
        <v>6885</v>
      </c>
      <c r="D1105" s="15" t="s">
        <v>6886</v>
      </c>
      <c r="E1105" s="15">
        <v>6</v>
      </c>
      <c r="F1105" s="15" t="s">
        <v>6897</v>
      </c>
      <c r="G1105" s="15" t="s">
        <v>6898</v>
      </c>
      <c r="H1105" s="15"/>
      <c r="I1105" s="15" t="s">
        <v>96</v>
      </c>
      <c r="J1105" s="7" t="str">
        <f>HYPERLINK("https://www.codechef.com/problems/REACTJSMCQ08", "https://www.codechef.com/problems/REACTJSMCQ08")</f>
        <v>https://www.codechef.com/problems/REACTJSMCQ08</v>
      </c>
      <c r="K1105" s="15"/>
      <c r="L1105" s="15"/>
      <c r="M1105" s="15"/>
      <c r="N1105" s="15" t="s">
        <v>50</v>
      </c>
      <c r="O1105" s="15" t="s">
        <v>51</v>
      </c>
    </row>
    <row r="1106" spans="1:15">
      <c r="A1106" s="14" t="s">
        <v>13</v>
      </c>
      <c r="B1106" s="14" t="s">
        <v>6884</v>
      </c>
      <c r="C1106" s="14" t="s">
        <v>6885</v>
      </c>
      <c r="D1106" s="14" t="s">
        <v>6886</v>
      </c>
      <c r="E1106" s="14">
        <v>7</v>
      </c>
      <c r="F1106" s="14" t="s">
        <v>6899</v>
      </c>
      <c r="G1106" s="14" t="s">
        <v>6900</v>
      </c>
      <c r="H1106" s="14"/>
      <c r="I1106" s="14" t="s">
        <v>96</v>
      </c>
      <c r="J1106" s="11" t="str">
        <f>HYPERLINK("https://www.codechef.com/problems/REACTJSMCQ06", "https://www.codechef.com/problems/REACTJSMCQ06")</f>
        <v>https://www.codechef.com/problems/REACTJSMCQ06</v>
      </c>
      <c r="K1106" s="14"/>
      <c r="L1106" s="14"/>
      <c r="M1106" s="14"/>
      <c r="N1106" s="14" t="s">
        <v>50</v>
      </c>
      <c r="O1106" s="14" t="s">
        <v>51</v>
      </c>
    </row>
    <row r="1107" spans="1:15">
      <c r="A1107" s="15" t="s">
        <v>13</v>
      </c>
      <c r="B1107" s="15" t="s">
        <v>6884</v>
      </c>
      <c r="C1107" s="15" t="s">
        <v>6885</v>
      </c>
      <c r="D1107" s="15" t="s">
        <v>6886</v>
      </c>
      <c r="E1107" s="15">
        <v>8</v>
      </c>
      <c r="F1107" s="15" t="s">
        <v>6901</v>
      </c>
      <c r="G1107" s="15" t="s">
        <v>6902</v>
      </c>
      <c r="H1107" s="15"/>
      <c r="I1107" s="15" t="s">
        <v>96</v>
      </c>
      <c r="J1107" s="7" t="str">
        <f>HYPERLINK("https://www.codechef.com/problems/REACTJSMCQ07", "https://www.codechef.com/problems/REACTJSMCQ07")</f>
        <v>https://www.codechef.com/problems/REACTJSMCQ07</v>
      </c>
      <c r="K1107" s="15"/>
      <c r="L1107" s="15"/>
      <c r="M1107" s="15"/>
      <c r="N1107" s="15" t="s">
        <v>50</v>
      </c>
      <c r="O1107" s="15" t="s">
        <v>51</v>
      </c>
    </row>
    <row r="1108" spans="1:15">
      <c r="A1108" s="14" t="s">
        <v>13</v>
      </c>
      <c r="B1108" s="14" t="s">
        <v>6884</v>
      </c>
      <c r="C1108" s="14" t="s">
        <v>6885</v>
      </c>
      <c r="D1108" s="14" t="s">
        <v>6886</v>
      </c>
      <c r="E1108" s="14">
        <v>9</v>
      </c>
      <c r="F1108" s="14" t="s">
        <v>6903</v>
      </c>
      <c r="G1108" s="14" t="s">
        <v>6904</v>
      </c>
      <c r="H1108" s="14"/>
      <c r="I1108" s="14" t="s">
        <v>96</v>
      </c>
      <c r="J1108" s="11" t="str">
        <f>HYPERLINK("https://www.codechef.com/problems/REACTJSMCQ09", "https://www.codechef.com/problems/REACTJSMCQ09")</f>
        <v>https://www.codechef.com/problems/REACTJSMCQ09</v>
      </c>
      <c r="K1108" s="14"/>
      <c r="L1108" s="14"/>
      <c r="M1108" s="14"/>
      <c r="N1108" s="14" t="s">
        <v>50</v>
      </c>
      <c r="O1108" s="14" t="s">
        <v>51</v>
      </c>
    </row>
    <row r="1109" spans="1:15">
      <c r="A1109" s="15" t="s">
        <v>13</v>
      </c>
      <c r="B1109" s="15" t="s">
        <v>6884</v>
      </c>
      <c r="C1109" s="15" t="s">
        <v>6885</v>
      </c>
      <c r="D1109" s="15" t="s">
        <v>6886</v>
      </c>
      <c r="E1109" s="15">
        <v>10</v>
      </c>
      <c r="F1109" s="15" t="s">
        <v>6905</v>
      </c>
      <c r="G1109" s="15" t="s">
        <v>6906</v>
      </c>
      <c r="H1109" s="15"/>
      <c r="I1109" s="15" t="s">
        <v>96</v>
      </c>
      <c r="J1109" s="7" t="str">
        <f>HYPERLINK("https://www.codechef.com/problems/REACTJSMCQ10", "https://www.codechef.com/problems/REACTJSMCQ10")</f>
        <v>https://www.codechef.com/problems/REACTJSMCQ10</v>
      </c>
      <c r="K1109" s="15"/>
      <c r="L1109" s="15"/>
      <c r="M1109" s="15"/>
      <c r="N1109" s="15" t="s">
        <v>50</v>
      </c>
      <c r="O1109" s="15" t="s">
        <v>51</v>
      </c>
    </row>
    <row r="1110" spans="1:15">
      <c r="A1110" s="14" t="s">
        <v>13</v>
      </c>
      <c r="B1110" s="14" t="s">
        <v>6884</v>
      </c>
      <c r="C1110" s="14" t="s">
        <v>6885</v>
      </c>
      <c r="D1110" s="14" t="s">
        <v>6886</v>
      </c>
      <c r="E1110" s="14">
        <v>11</v>
      </c>
      <c r="F1110" s="14" t="s">
        <v>6907</v>
      </c>
      <c r="G1110" s="14" t="s">
        <v>6908</v>
      </c>
      <c r="H1110" s="14"/>
      <c r="I1110" s="14" t="s">
        <v>49</v>
      </c>
      <c r="J1110" s="11" t="str">
        <f>HYPERLINK("https://www.codechef.com/problems/REACTJSMCQ11", "https://www.codechef.com/problems/REACTJSMCQ11")</f>
        <v>https://www.codechef.com/problems/REACTJSMCQ11</v>
      </c>
      <c r="K1110" s="14"/>
      <c r="L1110" s="14"/>
      <c r="M1110" s="14"/>
      <c r="N1110" s="14" t="s">
        <v>50</v>
      </c>
      <c r="O1110" s="14" t="s">
        <v>51</v>
      </c>
    </row>
    <row r="1111" spans="1:15">
      <c r="A1111" s="15" t="s">
        <v>13</v>
      </c>
      <c r="B1111" s="15" t="s">
        <v>6884</v>
      </c>
      <c r="C1111" s="15" t="s">
        <v>6885</v>
      </c>
      <c r="D1111" s="15" t="s">
        <v>6886</v>
      </c>
      <c r="E1111" s="15">
        <v>12</v>
      </c>
      <c r="F1111" s="15" t="s">
        <v>6909</v>
      </c>
      <c r="G1111" s="15" t="s">
        <v>6910</v>
      </c>
      <c r="H1111" s="15"/>
      <c r="I1111" s="15" t="s">
        <v>96</v>
      </c>
      <c r="J1111" s="7" t="str">
        <f>HYPERLINK("https://www.codechef.com/problems/REACTJSMCQ12", "https://www.codechef.com/problems/REACTJSMCQ12")</f>
        <v>https://www.codechef.com/problems/REACTJSMCQ12</v>
      </c>
      <c r="K1111" s="15"/>
      <c r="L1111" s="15"/>
      <c r="M1111" s="15"/>
      <c r="N1111" s="15" t="s">
        <v>50</v>
      </c>
      <c r="O1111" s="15" t="s">
        <v>51</v>
      </c>
    </row>
    <row r="1112" spans="1:15">
      <c r="A1112" s="14" t="s">
        <v>13</v>
      </c>
      <c r="B1112" s="14" t="s">
        <v>6884</v>
      </c>
      <c r="C1112" s="14" t="s">
        <v>6885</v>
      </c>
      <c r="D1112" s="14" t="s">
        <v>6886</v>
      </c>
      <c r="E1112" s="14">
        <v>13</v>
      </c>
      <c r="F1112" s="14" t="s">
        <v>6911</v>
      </c>
      <c r="G1112" s="14" t="s">
        <v>6912</v>
      </c>
      <c r="H1112" s="14"/>
      <c r="I1112" s="14" t="s">
        <v>96</v>
      </c>
      <c r="J1112" s="11" t="str">
        <f>HYPERLINK("https://www.codechef.com/problems/REACTJSMCQ13", "https://www.codechef.com/problems/REACTJSMCQ13")</f>
        <v>https://www.codechef.com/problems/REACTJSMCQ13</v>
      </c>
      <c r="K1112" s="14"/>
      <c r="L1112" s="14"/>
      <c r="M1112" s="14"/>
      <c r="N1112" s="14" t="s">
        <v>50</v>
      </c>
      <c r="O1112" s="14" t="s">
        <v>51</v>
      </c>
    </row>
    <row r="1113" spans="1:15">
      <c r="A1113" s="15" t="s">
        <v>13</v>
      </c>
      <c r="B1113" s="15" t="s">
        <v>6884</v>
      </c>
      <c r="C1113" s="15" t="s">
        <v>6885</v>
      </c>
      <c r="D1113" s="15" t="s">
        <v>6886</v>
      </c>
      <c r="E1113" s="15">
        <v>14</v>
      </c>
      <c r="F1113" s="15" t="s">
        <v>6913</v>
      </c>
      <c r="G1113" s="15" t="s">
        <v>6914</v>
      </c>
      <c r="H1113" s="15"/>
      <c r="I1113" s="15" t="s">
        <v>96</v>
      </c>
      <c r="J1113" s="7" t="str">
        <f>HYPERLINK("https://www.codechef.com/problems/REACTJSMCQ14", "https://www.codechef.com/problems/REACTJSMCQ14")</f>
        <v>https://www.codechef.com/problems/REACTJSMCQ14</v>
      </c>
      <c r="K1113" s="15"/>
      <c r="L1113" s="15"/>
      <c r="M1113" s="15"/>
      <c r="N1113" s="15" t="s">
        <v>50</v>
      </c>
      <c r="O1113" s="15" t="s">
        <v>51</v>
      </c>
    </row>
    <row r="1114" spans="1:15">
      <c r="A1114" s="14" t="s">
        <v>13</v>
      </c>
      <c r="B1114" s="14" t="s">
        <v>6884</v>
      </c>
      <c r="C1114" s="14" t="s">
        <v>6885</v>
      </c>
      <c r="D1114" s="14" t="s">
        <v>6886</v>
      </c>
      <c r="E1114" s="14">
        <v>15</v>
      </c>
      <c r="F1114" s="14" t="s">
        <v>6915</v>
      </c>
      <c r="G1114" s="14" t="s">
        <v>6916</v>
      </c>
      <c r="H1114" s="14"/>
      <c r="I1114" s="14" t="s">
        <v>96</v>
      </c>
      <c r="J1114" s="11" t="str">
        <f>HYPERLINK("https://www.codechef.com/problems/REACTJSMCQ15", "https://www.codechef.com/problems/REACTJSMCQ15")</f>
        <v>https://www.codechef.com/problems/REACTJSMCQ15</v>
      </c>
      <c r="K1114" s="14"/>
      <c r="L1114" s="14"/>
      <c r="M1114" s="14"/>
      <c r="N1114" s="14" t="s">
        <v>50</v>
      </c>
      <c r="O1114" s="14" t="s">
        <v>51</v>
      </c>
    </row>
    <row r="1115" spans="1:15">
      <c r="A1115" s="15" t="s">
        <v>13</v>
      </c>
      <c r="B1115" s="15" t="s">
        <v>6884</v>
      </c>
      <c r="C1115" s="15" t="s">
        <v>6885</v>
      </c>
      <c r="D1115" s="15" t="s">
        <v>6886</v>
      </c>
      <c r="E1115" s="15">
        <v>16</v>
      </c>
      <c r="F1115" s="15" t="s">
        <v>6917</v>
      </c>
      <c r="G1115" s="15" t="s">
        <v>6918</v>
      </c>
      <c r="H1115" s="15"/>
      <c r="I1115" s="15" t="s">
        <v>96</v>
      </c>
      <c r="J1115" s="7" t="str">
        <f>HYPERLINK("https://www.codechef.com/problems/REACTJSMCQ16", "https://www.codechef.com/problems/REACTJSMCQ16")</f>
        <v>https://www.codechef.com/problems/REACTJSMCQ16</v>
      </c>
      <c r="K1115" s="15"/>
      <c r="L1115" s="15"/>
      <c r="M1115" s="15"/>
      <c r="N1115" s="15" t="s">
        <v>50</v>
      </c>
      <c r="O1115" s="15" t="s">
        <v>51</v>
      </c>
    </row>
    <row r="1116" spans="1:15">
      <c r="A1116" s="14" t="s">
        <v>13</v>
      </c>
      <c r="B1116" s="14" t="s">
        <v>6884</v>
      </c>
      <c r="C1116" s="14" t="s">
        <v>6885</v>
      </c>
      <c r="D1116" s="14" t="s">
        <v>6886</v>
      </c>
      <c r="E1116" s="14">
        <v>17</v>
      </c>
      <c r="F1116" s="14" t="s">
        <v>6919</v>
      </c>
      <c r="G1116" s="14" t="s">
        <v>6920</v>
      </c>
      <c r="H1116" s="14"/>
      <c r="I1116" s="14" t="s">
        <v>96</v>
      </c>
      <c r="J1116" s="11" t="str">
        <f>HYPERLINK("https://www.codechef.com/problems/REACTJSMCQ17", "https://www.codechef.com/problems/REACTJSMCQ17")</f>
        <v>https://www.codechef.com/problems/REACTJSMCQ17</v>
      </c>
      <c r="K1116" s="14"/>
      <c r="L1116" s="14"/>
      <c r="M1116" s="14"/>
      <c r="N1116" s="14" t="s">
        <v>50</v>
      </c>
      <c r="O1116" s="14" t="s">
        <v>51</v>
      </c>
    </row>
    <row r="1117" spans="1:15">
      <c r="A1117" s="15" t="s">
        <v>13</v>
      </c>
      <c r="B1117" s="15" t="s">
        <v>6884</v>
      </c>
      <c r="C1117" s="15" t="s">
        <v>6885</v>
      </c>
      <c r="D1117" s="15" t="s">
        <v>6886</v>
      </c>
      <c r="E1117" s="15">
        <v>18</v>
      </c>
      <c r="F1117" s="15" t="s">
        <v>6921</v>
      </c>
      <c r="G1117" s="15" t="s">
        <v>6922</v>
      </c>
      <c r="H1117" s="15"/>
      <c r="I1117" s="15" t="s">
        <v>96</v>
      </c>
      <c r="J1117" s="7" t="str">
        <f>HYPERLINK("https://www.codechef.com/problems/REACTJSMCQ18", "https://www.codechef.com/problems/REACTJSMCQ18")</f>
        <v>https://www.codechef.com/problems/REACTJSMCQ18</v>
      </c>
      <c r="K1117" s="15"/>
      <c r="L1117" s="15"/>
      <c r="M1117" s="15"/>
      <c r="N1117" s="15" t="s">
        <v>50</v>
      </c>
      <c r="O1117" s="15" t="s">
        <v>51</v>
      </c>
    </row>
    <row r="1118" spans="1:15">
      <c r="A1118" s="14" t="s">
        <v>13</v>
      </c>
      <c r="B1118" s="14" t="s">
        <v>6884</v>
      </c>
      <c r="C1118" s="14" t="s">
        <v>6885</v>
      </c>
      <c r="D1118" s="14" t="s">
        <v>6886</v>
      </c>
      <c r="E1118" s="14">
        <v>19</v>
      </c>
      <c r="F1118" s="14" t="s">
        <v>6923</v>
      </c>
      <c r="G1118" s="14" t="s">
        <v>6924</v>
      </c>
      <c r="H1118" s="14"/>
      <c r="I1118" s="14" t="s">
        <v>96</v>
      </c>
      <c r="J1118" s="11" t="str">
        <f>HYPERLINK("https://www.codechef.com/problems/REACTJSMCQ19", "https://www.codechef.com/problems/REACTJSMCQ19")</f>
        <v>https://www.codechef.com/problems/REACTJSMCQ19</v>
      </c>
      <c r="K1118" s="14"/>
      <c r="L1118" s="14"/>
      <c r="M1118" s="14"/>
      <c r="N1118" s="14" t="s">
        <v>50</v>
      </c>
      <c r="O1118" s="14" t="s">
        <v>51</v>
      </c>
    </row>
    <row r="1119" spans="1:15">
      <c r="A1119" s="15" t="s">
        <v>13</v>
      </c>
      <c r="B1119" s="15" t="s">
        <v>6884</v>
      </c>
      <c r="C1119" s="15" t="s">
        <v>6885</v>
      </c>
      <c r="D1119" s="15" t="s">
        <v>6886</v>
      </c>
      <c r="E1119" s="15">
        <v>20</v>
      </c>
      <c r="F1119" s="15" t="s">
        <v>6925</v>
      </c>
      <c r="G1119" s="15" t="s">
        <v>6926</v>
      </c>
      <c r="H1119" s="15"/>
      <c r="I1119" s="15" t="s">
        <v>96</v>
      </c>
      <c r="J1119" s="7" t="str">
        <f>HYPERLINK("https://www.codechef.com/problems/REACTJSMCQ20", "https://www.codechef.com/problems/REACTJSMCQ20")</f>
        <v>https://www.codechef.com/problems/REACTJSMCQ20</v>
      </c>
      <c r="K1119" s="15"/>
      <c r="L1119" s="15"/>
      <c r="M1119" s="15"/>
      <c r="N1119" s="15" t="s">
        <v>50</v>
      </c>
      <c r="O1119" s="15" t="s">
        <v>51</v>
      </c>
    </row>
    <row r="1120" spans="1:15">
      <c r="A1120" s="14" t="s">
        <v>13</v>
      </c>
      <c r="B1120" s="14" t="s">
        <v>6884</v>
      </c>
      <c r="C1120" s="14" t="s">
        <v>6885</v>
      </c>
      <c r="D1120" s="14" t="s">
        <v>6927</v>
      </c>
      <c r="E1120" s="14">
        <v>21</v>
      </c>
      <c r="F1120" s="14" t="s">
        <v>6928</v>
      </c>
      <c r="G1120" s="14" t="s">
        <v>6929</v>
      </c>
      <c r="H1120" s="14"/>
      <c r="I1120" s="14" t="s">
        <v>96</v>
      </c>
      <c r="J1120" s="11" t="str">
        <f>HYPERLINK("https://www.codechef.com/problems/REACTJSMCQ21", "https://www.codechef.com/problems/REACTJSMCQ21")</f>
        <v>https://www.codechef.com/problems/REACTJSMCQ21</v>
      </c>
      <c r="K1120" s="14"/>
      <c r="L1120" s="14"/>
      <c r="M1120" s="14"/>
      <c r="N1120" s="14" t="s">
        <v>50</v>
      </c>
      <c r="O1120" s="14" t="s">
        <v>51</v>
      </c>
    </row>
    <row r="1121" spans="1:15">
      <c r="A1121" s="15" t="s">
        <v>13</v>
      </c>
      <c r="B1121" s="15" t="s">
        <v>6884</v>
      </c>
      <c r="C1121" s="15" t="s">
        <v>6885</v>
      </c>
      <c r="D1121" s="15" t="s">
        <v>6927</v>
      </c>
      <c r="E1121" s="15">
        <v>22</v>
      </c>
      <c r="F1121" s="15" t="s">
        <v>6930</v>
      </c>
      <c r="G1121" s="15" t="s">
        <v>6931</v>
      </c>
      <c r="H1121" s="15"/>
      <c r="I1121" s="15" t="s">
        <v>96</v>
      </c>
      <c r="J1121" s="7" t="str">
        <f>HYPERLINK("https://www.codechef.com/problems/REACTJSMCQ22", "https://www.codechef.com/problems/REACTJSMCQ22")</f>
        <v>https://www.codechef.com/problems/REACTJSMCQ22</v>
      </c>
      <c r="K1121" s="15"/>
      <c r="L1121" s="15"/>
      <c r="M1121" s="15"/>
      <c r="N1121" s="15" t="s">
        <v>50</v>
      </c>
      <c r="O1121" s="15" t="s">
        <v>51</v>
      </c>
    </row>
    <row r="1122" spans="1:15">
      <c r="A1122" s="14" t="s">
        <v>13</v>
      </c>
      <c r="B1122" s="14" t="s">
        <v>6884</v>
      </c>
      <c r="C1122" s="14" t="s">
        <v>6885</v>
      </c>
      <c r="D1122" s="14" t="s">
        <v>6927</v>
      </c>
      <c r="E1122" s="14">
        <v>23</v>
      </c>
      <c r="F1122" s="14" t="s">
        <v>6932</v>
      </c>
      <c r="G1122" s="14" t="s">
        <v>6933</v>
      </c>
      <c r="H1122" s="14"/>
      <c r="I1122" s="14" t="s">
        <v>49</v>
      </c>
      <c r="J1122" s="11" t="str">
        <f>HYPERLINK("https://www.codechef.com/problems/REACTJSMCQ23", "https://www.codechef.com/problems/REACTJSMCQ23")</f>
        <v>https://www.codechef.com/problems/REACTJSMCQ23</v>
      </c>
      <c r="K1122" s="14"/>
      <c r="L1122" s="14"/>
      <c r="M1122" s="14"/>
      <c r="N1122" s="14" t="s">
        <v>50</v>
      </c>
      <c r="O1122" s="14" t="s">
        <v>51</v>
      </c>
    </row>
    <row r="1123" spans="1:15">
      <c r="A1123" s="15" t="s">
        <v>13</v>
      </c>
      <c r="B1123" s="15" t="s">
        <v>6884</v>
      </c>
      <c r="C1123" s="15" t="s">
        <v>6885</v>
      </c>
      <c r="D1123" s="15" t="s">
        <v>6927</v>
      </c>
      <c r="E1123" s="15">
        <v>24</v>
      </c>
      <c r="F1123" s="15" t="s">
        <v>6934</v>
      </c>
      <c r="G1123" s="15" t="s">
        <v>6935</v>
      </c>
      <c r="H1123" s="15"/>
      <c r="I1123" s="15" t="s">
        <v>96</v>
      </c>
      <c r="J1123" s="7" t="str">
        <f>HYPERLINK("https://www.codechef.com/problems/REACTJSMCQ24", "https://www.codechef.com/problems/REACTJSMCQ24")</f>
        <v>https://www.codechef.com/problems/REACTJSMCQ24</v>
      </c>
      <c r="K1123" s="15"/>
      <c r="L1123" s="15"/>
      <c r="M1123" s="15"/>
      <c r="N1123" s="15" t="s">
        <v>50</v>
      </c>
      <c r="O1123" s="15" t="s">
        <v>51</v>
      </c>
    </row>
    <row r="1124" spans="1:15">
      <c r="A1124" s="14" t="s">
        <v>13</v>
      </c>
      <c r="B1124" s="14" t="s">
        <v>6884</v>
      </c>
      <c r="C1124" s="14" t="s">
        <v>6885</v>
      </c>
      <c r="D1124" s="14" t="s">
        <v>6927</v>
      </c>
      <c r="E1124" s="14">
        <v>25</v>
      </c>
      <c r="F1124" s="14" t="s">
        <v>6936</v>
      </c>
      <c r="G1124" s="14" t="s">
        <v>6937</v>
      </c>
      <c r="H1124" s="14"/>
      <c r="I1124" s="14" t="s">
        <v>49</v>
      </c>
      <c r="J1124" s="11" t="str">
        <f>HYPERLINK("https://www.codechef.com/problems/REACTJSMCQ25", "https://www.codechef.com/problems/REACTJSMCQ25")</f>
        <v>https://www.codechef.com/problems/REACTJSMCQ25</v>
      </c>
      <c r="K1124" s="14"/>
      <c r="L1124" s="14"/>
      <c r="M1124" s="14"/>
      <c r="N1124" s="14" t="s">
        <v>50</v>
      </c>
      <c r="O1124" s="14" t="s">
        <v>51</v>
      </c>
    </row>
    <row r="1125" spans="1:15">
      <c r="A1125" s="15" t="s">
        <v>13</v>
      </c>
      <c r="B1125" s="15" t="s">
        <v>6938</v>
      </c>
      <c r="C1125" s="15" t="s">
        <v>6939</v>
      </c>
      <c r="D1125" s="15" t="s">
        <v>6940</v>
      </c>
      <c r="E1125" s="15">
        <v>1</v>
      </c>
      <c r="F1125" s="15" t="s">
        <v>6941</v>
      </c>
      <c r="G1125" s="15" t="s">
        <v>6942</v>
      </c>
      <c r="H1125" s="15"/>
      <c r="I1125" s="15" t="s">
        <v>49</v>
      </c>
      <c r="J1125" s="7" t="str">
        <f>HYPERLINK("https://www.codechef.com/problems/SHRTPROB90", "https://www.codechef.com/problems/SHRTPROB90")</f>
        <v>https://www.codechef.com/problems/SHRTPROB90</v>
      </c>
      <c r="K1125" s="15"/>
      <c r="L1125" s="15"/>
      <c r="M1125" s="15"/>
      <c r="N1125" s="15" t="s">
        <v>50</v>
      </c>
      <c r="O1125" s="15" t="s">
        <v>51</v>
      </c>
    </row>
    <row r="1126" spans="1:15">
      <c r="A1126" s="14" t="s">
        <v>13</v>
      </c>
      <c r="B1126" s="14" t="s">
        <v>6938</v>
      </c>
      <c r="C1126" s="14" t="s">
        <v>6939</v>
      </c>
      <c r="D1126" s="14" t="s">
        <v>6940</v>
      </c>
      <c r="E1126" s="14">
        <v>2</v>
      </c>
      <c r="F1126" s="14" t="s">
        <v>6943</v>
      </c>
      <c r="G1126" s="14" t="s">
        <v>6944</v>
      </c>
      <c r="H1126" s="14"/>
      <c r="I1126" s="14" t="s">
        <v>96</v>
      </c>
      <c r="J1126" s="11" t="str">
        <f>HYPERLINK("https://www.codechef.com/problems/SHRTPROB91", "https://www.codechef.com/problems/SHRTPROB91")</f>
        <v>https://www.codechef.com/problems/SHRTPROB91</v>
      </c>
      <c r="K1126" s="14"/>
      <c r="L1126" s="14"/>
      <c r="M1126" s="14"/>
      <c r="N1126" s="14" t="s">
        <v>50</v>
      </c>
      <c r="O1126" s="14" t="s">
        <v>51</v>
      </c>
    </row>
    <row r="1127" spans="1:15">
      <c r="A1127" s="15" t="s">
        <v>13</v>
      </c>
      <c r="B1127" s="15" t="s">
        <v>6938</v>
      </c>
      <c r="C1127" s="15" t="s">
        <v>6939</v>
      </c>
      <c r="D1127" s="15" t="s">
        <v>6940</v>
      </c>
      <c r="E1127" s="15">
        <v>3</v>
      </c>
      <c r="F1127" s="15" t="s">
        <v>6945</v>
      </c>
      <c r="G1127" s="15" t="s">
        <v>6946</v>
      </c>
      <c r="H1127" s="15"/>
      <c r="I1127" s="15" t="s">
        <v>96</v>
      </c>
      <c r="J1127" s="7" t="str">
        <f>HYPERLINK("https://www.codechef.com/problems/SHRTPROB92", "https://www.codechef.com/problems/SHRTPROB92")</f>
        <v>https://www.codechef.com/problems/SHRTPROB92</v>
      </c>
      <c r="K1127" s="15"/>
      <c r="L1127" s="15"/>
      <c r="M1127" s="15"/>
      <c r="N1127" s="15" t="s">
        <v>50</v>
      </c>
      <c r="O1127" s="15" t="s">
        <v>51</v>
      </c>
    </row>
    <row r="1128" spans="1:15">
      <c r="A1128" s="14" t="s">
        <v>13</v>
      </c>
      <c r="B1128" s="14" t="s">
        <v>6938</v>
      </c>
      <c r="C1128" s="14" t="s">
        <v>6939</v>
      </c>
      <c r="D1128" s="14" t="s">
        <v>6940</v>
      </c>
      <c r="E1128" s="14">
        <v>4</v>
      </c>
      <c r="F1128" s="14" t="s">
        <v>6947</v>
      </c>
      <c r="G1128" s="14" t="s">
        <v>6948</v>
      </c>
      <c r="H1128" s="14"/>
      <c r="I1128" s="14" t="s">
        <v>322</v>
      </c>
      <c r="J1128" s="11" t="str">
        <f>HYPERLINK("https://www.codechef.com/problems/SHRTPROB93", "https://www.codechef.com/problems/SHRTPROB93")</f>
        <v>https://www.codechef.com/problems/SHRTPROB93</v>
      </c>
      <c r="K1128" s="14"/>
      <c r="L1128" s="14"/>
      <c r="M1128" s="14"/>
      <c r="N1128" s="14" t="s">
        <v>50</v>
      </c>
      <c r="O1128" s="14" t="s">
        <v>51</v>
      </c>
    </row>
    <row r="1129" spans="1:15">
      <c r="A1129" s="15" t="s">
        <v>13</v>
      </c>
      <c r="B1129" s="15" t="s">
        <v>6938</v>
      </c>
      <c r="C1129" s="15" t="s">
        <v>6939</v>
      </c>
      <c r="D1129" s="15" t="s">
        <v>6940</v>
      </c>
      <c r="E1129" s="15">
        <v>5</v>
      </c>
      <c r="F1129" s="15" t="s">
        <v>6949</v>
      </c>
      <c r="G1129" s="15" t="s">
        <v>6950</v>
      </c>
      <c r="H1129" s="15"/>
      <c r="I1129" s="15" t="s">
        <v>49</v>
      </c>
      <c r="J1129" s="7" t="str">
        <f>HYPERLINK("https://www.codechef.com/problems/SHRTPROB94", "https://www.codechef.com/problems/SHRTPROB94")</f>
        <v>https://www.codechef.com/problems/SHRTPROB94</v>
      </c>
      <c r="K1129" s="15"/>
      <c r="L1129" s="15"/>
      <c r="M1129" s="15"/>
      <c r="N1129" s="15" t="s">
        <v>50</v>
      </c>
      <c r="O1129" s="15" t="s">
        <v>51</v>
      </c>
    </row>
    <row r="1130" spans="1:15">
      <c r="A1130" s="14" t="s">
        <v>13</v>
      </c>
      <c r="B1130" s="14" t="s">
        <v>6938</v>
      </c>
      <c r="C1130" s="14" t="s">
        <v>6939</v>
      </c>
      <c r="D1130" s="14" t="s">
        <v>6940</v>
      </c>
      <c r="E1130" s="14">
        <v>6</v>
      </c>
      <c r="F1130" s="14" t="s">
        <v>6951</v>
      </c>
      <c r="G1130" s="14" t="s">
        <v>6952</v>
      </c>
      <c r="H1130" s="14"/>
      <c r="I1130" s="14" t="s">
        <v>49</v>
      </c>
      <c r="J1130" s="11" t="str">
        <f>HYPERLINK("https://www.codechef.com/problems/SHRTPROB95", "https://www.codechef.com/problems/SHRTPROB95")</f>
        <v>https://www.codechef.com/problems/SHRTPROB95</v>
      </c>
      <c r="K1130" s="14"/>
      <c r="L1130" s="14"/>
      <c r="M1130" s="14"/>
      <c r="N1130" s="14" t="s">
        <v>50</v>
      </c>
      <c r="O1130" s="14" t="s">
        <v>51</v>
      </c>
    </row>
    <row r="1131" spans="1:15">
      <c r="A1131" s="15" t="s">
        <v>13</v>
      </c>
      <c r="B1131" s="15" t="s">
        <v>6938</v>
      </c>
      <c r="C1131" s="15" t="s">
        <v>6939</v>
      </c>
      <c r="D1131" s="15" t="s">
        <v>6940</v>
      </c>
      <c r="E1131" s="15">
        <v>7</v>
      </c>
      <c r="F1131" s="15" t="s">
        <v>6953</v>
      </c>
      <c r="G1131" s="15" t="s">
        <v>6954</v>
      </c>
      <c r="H1131" s="15"/>
      <c r="I1131" s="15" t="s">
        <v>49</v>
      </c>
      <c r="J1131" s="7" t="str">
        <f>HYPERLINK("https://www.codechef.com/problems/SHRTPROB96", "https://www.codechef.com/problems/SHRTPROB96")</f>
        <v>https://www.codechef.com/problems/SHRTPROB96</v>
      </c>
      <c r="K1131" s="15"/>
      <c r="L1131" s="15"/>
      <c r="M1131" s="15"/>
      <c r="N1131" s="15" t="s">
        <v>50</v>
      </c>
      <c r="O1131" s="15" t="s">
        <v>51</v>
      </c>
    </row>
    <row r="1132" spans="1:15">
      <c r="A1132" s="14" t="s">
        <v>13</v>
      </c>
      <c r="B1132" s="14" t="s">
        <v>6938</v>
      </c>
      <c r="C1132" s="14" t="s">
        <v>6939</v>
      </c>
      <c r="D1132" s="14" t="s">
        <v>6940</v>
      </c>
      <c r="E1132" s="14">
        <v>8</v>
      </c>
      <c r="F1132" s="14" t="s">
        <v>6955</v>
      </c>
      <c r="G1132" s="14" t="s">
        <v>6956</v>
      </c>
      <c r="H1132" s="14"/>
      <c r="I1132" s="14" t="s">
        <v>96</v>
      </c>
      <c r="J1132" s="11" t="str">
        <f>HYPERLINK("https://www.codechef.com/problems/SHRTPROB97", "https://www.codechef.com/problems/SHRTPROB97")</f>
        <v>https://www.codechef.com/problems/SHRTPROB97</v>
      </c>
      <c r="K1132" s="14"/>
      <c r="L1132" s="14"/>
      <c r="M1132" s="14"/>
      <c r="N1132" s="14" t="s">
        <v>50</v>
      </c>
      <c r="O1132" s="14" t="s">
        <v>51</v>
      </c>
    </row>
    <row r="1133" spans="1:15">
      <c r="A1133" s="15" t="s">
        <v>13</v>
      </c>
      <c r="B1133" s="15" t="s">
        <v>6938</v>
      </c>
      <c r="C1133" s="15" t="s">
        <v>6939</v>
      </c>
      <c r="D1133" s="15" t="s">
        <v>6940</v>
      </c>
      <c r="E1133" s="15">
        <v>9</v>
      </c>
      <c r="F1133" s="15" t="s">
        <v>5785</v>
      </c>
      <c r="G1133" s="15" t="s">
        <v>6957</v>
      </c>
      <c r="H1133" s="15"/>
      <c r="I1133" s="15" t="s">
        <v>96</v>
      </c>
      <c r="J1133" s="7" t="str">
        <f>HYPERLINK("https://www.codechef.com/problems/SHRTPROB98", "https://www.codechef.com/problems/SHRTPROB98")</f>
        <v>https://www.codechef.com/problems/SHRTPROB98</v>
      </c>
      <c r="K1133" s="15"/>
      <c r="L1133" s="15"/>
      <c r="M1133" s="15"/>
      <c r="N1133" s="15" t="s">
        <v>50</v>
      </c>
      <c r="O1133" s="15" t="s">
        <v>51</v>
      </c>
    </row>
    <row r="1134" spans="1:15">
      <c r="A1134" s="14" t="s">
        <v>13</v>
      </c>
      <c r="B1134" s="14" t="s">
        <v>6938</v>
      </c>
      <c r="C1134" s="14" t="s">
        <v>6939</v>
      </c>
      <c r="D1134" s="14" t="s">
        <v>6940</v>
      </c>
      <c r="E1134" s="14">
        <v>10</v>
      </c>
      <c r="F1134" s="14" t="s">
        <v>6958</v>
      </c>
      <c r="G1134" s="14" t="s">
        <v>6959</v>
      </c>
      <c r="H1134" s="14"/>
      <c r="I1134" s="14" t="s">
        <v>49</v>
      </c>
      <c r="J1134" s="11" t="str">
        <f>HYPERLINK("https://www.codechef.com/problems/SHRTPROB99", "https://www.codechef.com/problems/SHRTPROB99")</f>
        <v>https://www.codechef.com/problems/SHRTPROB99</v>
      </c>
      <c r="K1134" s="14"/>
      <c r="L1134" s="14"/>
      <c r="M1134" s="14"/>
      <c r="N1134" s="14" t="s">
        <v>50</v>
      </c>
      <c r="O1134" s="14" t="s">
        <v>51</v>
      </c>
    </row>
    <row r="1135" spans="1:15">
      <c r="A1135" s="15" t="s">
        <v>13</v>
      </c>
      <c r="B1135" s="15" t="s">
        <v>6938</v>
      </c>
      <c r="C1135" s="15" t="s">
        <v>6939</v>
      </c>
      <c r="D1135" s="15" t="s">
        <v>6940</v>
      </c>
      <c r="E1135" s="15">
        <v>11</v>
      </c>
      <c r="F1135" s="15" t="s">
        <v>6960</v>
      </c>
      <c r="G1135" s="15" t="s">
        <v>6961</v>
      </c>
      <c r="H1135" s="15"/>
      <c r="I1135" s="15" t="s">
        <v>96</v>
      </c>
      <c r="J1135" s="7" t="str">
        <f>HYPERLINK("https://www.codechef.com/problems/SHRTPROB100", "https://www.codechef.com/problems/SHRTPROB100")</f>
        <v>https://www.codechef.com/problems/SHRTPROB100</v>
      </c>
      <c r="K1135" s="15"/>
      <c r="L1135" s="15"/>
      <c r="M1135" s="15"/>
      <c r="N1135" s="15" t="s">
        <v>50</v>
      </c>
      <c r="O1135" s="15" t="s">
        <v>51</v>
      </c>
    </row>
    <row r="1136" spans="1:15">
      <c r="A1136" s="14" t="s">
        <v>13</v>
      </c>
      <c r="B1136" s="14" t="s">
        <v>6938</v>
      </c>
      <c r="C1136" s="14" t="s">
        <v>6939</v>
      </c>
      <c r="D1136" s="14" t="s">
        <v>6940</v>
      </c>
      <c r="E1136" s="14">
        <v>12</v>
      </c>
      <c r="F1136" s="14" t="s">
        <v>6962</v>
      </c>
      <c r="G1136" s="14" t="s">
        <v>6963</v>
      </c>
      <c r="H1136" s="14"/>
      <c r="I1136" s="14" t="s">
        <v>96</v>
      </c>
      <c r="J1136" s="11" t="str">
        <f>HYPERLINK("https://www.codechef.com/problems/SHRTPROB101", "https://www.codechef.com/problems/SHRTPROB101")</f>
        <v>https://www.codechef.com/problems/SHRTPROB101</v>
      </c>
      <c r="K1136" s="14"/>
      <c r="L1136" s="14"/>
      <c r="M1136" s="14"/>
      <c r="N1136" s="14" t="s">
        <v>50</v>
      </c>
      <c r="O1136" s="14" t="s">
        <v>51</v>
      </c>
    </row>
    <row r="1137" spans="1:15">
      <c r="A1137" s="15" t="s">
        <v>13</v>
      </c>
      <c r="B1137" s="15" t="s">
        <v>6938</v>
      </c>
      <c r="C1137" s="15" t="s">
        <v>6939</v>
      </c>
      <c r="D1137" s="15" t="s">
        <v>6940</v>
      </c>
      <c r="E1137" s="15">
        <v>13</v>
      </c>
      <c r="F1137" s="15" t="s">
        <v>6964</v>
      </c>
      <c r="G1137" s="15" t="s">
        <v>6965</v>
      </c>
      <c r="H1137" s="15"/>
      <c r="I1137" s="15" t="s">
        <v>96</v>
      </c>
      <c r="J1137" s="7" t="str">
        <f>HYPERLINK("https://www.codechef.com/problems/SHRTPROB102", "https://www.codechef.com/problems/SHRTPROB102")</f>
        <v>https://www.codechef.com/problems/SHRTPROB102</v>
      </c>
      <c r="K1137" s="15"/>
      <c r="L1137" s="15"/>
      <c r="M1137" s="15"/>
      <c r="N1137" s="15" t="s">
        <v>50</v>
      </c>
      <c r="O1137" s="15" t="s">
        <v>51</v>
      </c>
    </row>
    <row r="1138" spans="1:15">
      <c r="A1138" s="14" t="s">
        <v>13</v>
      </c>
      <c r="B1138" s="14" t="s">
        <v>6938</v>
      </c>
      <c r="C1138" s="14" t="s">
        <v>6939</v>
      </c>
      <c r="D1138" s="14" t="s">
        <v>6940</v>
      </c>
      <c r="E1138" s="14">
        <v>14</v>
      </c>
      <c r="F1138" s="14" t="s">
        <v>6966</v>
      </c>
      <c r="G1138" s="14" t="s">
        <v>6967</v>
      </c>
      <c r="H1138" s="14"/>
      <c r="I1138" s="14" t="s">
        <v>96</v>
      </c>
      <c r="J1138" s="11" t="str">
        <f>HYPERLINK("https://www.codechef.com/problems/SHRTPROB103", "https://www.codechef.com/problems/SHRTPROB103")</f>
        <v>https://www.codechef.com/problems/SHRTPROB103</v>
      </c>
      <c r="K1138" s="14"/>
      <c r="L1138" s="14"/>
      <c r="M1138" s="14"/>
      <c r="N1138" s="14" t="s">
        <v>50</v>
      </c>
      <c r="O1138" s="14" t="s">
        <v>51</v>
      </c>
    </row>
    <row r="1139" spans="1:15">
      <c r="A1139" s="15" t="s">
        <v>13</v>
      </c>
      <c r="B1139" s="15" t="s">
        <v>6938</v>
      </c>
      <c r="C1139" s="15" t="s">
        <v>6939</v>
      </c>
      <c r="D1139" s="15" t="s">
        <v>6940</v>
      </c>
      <c r="E1139" s="15">
        <v>15</v>
      </c>
      <c r="F1139" s="15" t="s">
        <v>6968</v>
      </c>
      <c r="G1139" s="15" t="s">
        <v>6969</v>
      </c>
      <c r="H1139" s="15"/>
      <c r="I1139" s="15" t="s">
        <v>96</v>
      </c>
      <c r="J1139" s="7" t="str">
        <f>HYPERLINK("https://www.codechef.com/problems/SHRTPROB104", "https://www.codechef.com/problems/SHRTPROB104")</f>
        <v>https://www.codechef.com/problems/SHRTPROB104</v>
      </c>
      <c r="K1139" s="15"/>
      <c r="L1139" s="15"/>
      <c r="M1139" s="15"/>
      <c r="N1139" s="15" t="s">
        <v>50</v>
      </c>
      <c r="O1139" s="15" t="s">
        <v>51</v>
      </c>
    </row>
    <row r="1140" spans="1:15">
      <c r="A1140" s="14" t="s">
        <v>13</v>
      </c>
      <c r="B1140" s="14" t="s">
        <v>6938</v>
      </c>
      <c r="C1140" s="14" t="s">
        <v>6939</v>
      </c>
      <c r="D1140" s="14" t="s">
        <v>6940</v>
      </c>
      <c r="E1140" s="14">
        <v>16</v>
      </c>
      <c r="F1140" s="14" t="s">
        <v>6970</v>
      </c>
      <c r="G1140" s="14" t="s">
        <v>6971</v>
      </c>
      <c r="H1140" s="14"/>
      <c r="I1140" s="14" t="s">
        <v>96</v>
      </c>
      <c r="J1140" s="11" t="str">
        <f>HYPERLINK("https://www.codechef.com/problems/SHRTPROB105", "https://www.codechef.com/problems/SHRTPROB105")</f>
        <v>https://www.codechef.com/problems/SHRTPROB105</v>
      </c>
      <c r="K1140" s="14"/>
      <c r="L1140" s="14"/>
      <c r="M1140" s="14"/>
      <c r="N1140" s="14" t="s">
        <v>50</v>
      </c>
      <c r="O1140" s="14" t="s">
        <v>51</v>
      </c>
    </row>
    <row r="1141" spans="1:15">
      <c r="A1141" s="15" t="s">
        <v>13</v>
      </c>
      <c r="B1141" s="15" t="s">
        <v>6938</v>
      </c>
      <c r="C1141" s="15" t="s">
        <v>6939</v>
      </c>
      <c r="D1141" s="15" t="s">
        <v>6940</v>
      </c>
      <c r="E1141" s="15">
        <v>17</v>
      </c>
      <c r="F1141" s="15" t="s">
        <v>6972</v>
      </c>
      <c r="G1141" s="15" t="s">
        <v>6973</v>
      </c>
      <c r="H1141" s="15"/>
      <c r="I1141" s="15" t="s">
        <v>49</v>
      </c>
      <c r="J1141" s="7" t="str">
        <f>HYPERLINK("https://www.codechef.com/problems/SHRTPROB106", "https://www.codechef.com/problems/SHRTPROB106")</f>
        <v>https://www.codechef.com/problems/SHRTPROB106</v>
      </c>
      <c r="K1141" s="15"/>
      <c r="L1141" s="15"/>
      <c r="M1141" s="15"/>
      <c r="N1141" s="15" t="s">
        <v>50</v>
      </c>
      <c r="O1141" s="15" t="s">
        <v>51</v>
      </c>
    </row>
    <row r="1142" spans="1:15">
      <c r="A1142" s="14" t="s">
        <v>13</v>
      </c>
      <c r="B1142" s="14" t="s">
        <v>6938</v>
      </c>
      <c r="C1142" s="14" t="s">
        <v>6939</v>
      </c>
      <c r="D1142" s="14" t="s">
        <v>6940</v>
      </c>
      <c r="E1142" s="14">
        <v>18</v>
      </c>
      <c r="F1142" s="14" t="s">
        <v>6974</v>
      </c>
      <c r="G1142" s="14" t="s">
        <v>6975</v>
      </c>
      <c r="H1142" s="14"/>
      <c r="I1142" s="14" t="s">
        <v>96</v>
      </c>
      <c r="J1142" s="11" t="str">
        <f>HYPERLINK("https://www.codechef.com/problems/SHRTPROB108", "https://www.codechef.com/problems/SHRTPROB108")</f>
        <v>https://www.codechef.com/problems/SHRTPROB108</v>
      </c>
      <c r="K1142" s="14"/>
      <c r="L1142" s="14"/>
      <c r="M1142" s="14"/>
      <c r="N1142" s="14" t="s">
        <v>50</v>
      </c>
      <c r="O1142" s="14" t="s">
        <v>51</v>
      </c>
    </row>
    <row r="1143" spans="1:15">
      <c r="A1143" s="15" t="s">
        <v>13</v>
      </c>
      <c r="B1143" s="15" t="s">
        <v>6938</v>
      </c>
      <c r="C1143" s="15" t="s">
        <v>6939</v>
      </c>
      <c r="D1143" s="15" t="s">
        <v>6940</v>
      </c>
      <c r="E1143" s="15">
        <v>19</v>
      </c>
      <c r="F1143" s="15" t="s">
        <v>6976</v>
      </c>
      <c r="G1143" s="15" t="s">
        <v>6977</v>
      </c>
      <c r="H1143" s="15"/>
      <c r="I1143" s="15" t="s">
        <v>96</v>
      </c>
      <c r="J1143" s="7" t="str">
        <f>HYPERLINK("https://www.codechef.com/problems/SHRTPROB109", "https://www.codechef.com/problems/SHRTPROB109")</f>
        <v>https://www.codechef.com/problems/SHRTPROB109</v>
      </c>
      <c r="K1143" s="15"/>
      <c r="L1143" s="15"/>
      <c r="M1143" s="15"/>
      <c r="N1143" s="15" t="s">
        <v>50</v>
      </c>
      <c r="O1143" s="15" t="s">
        <v>51</v>
      </c>
    </row>
    <row r="1144" spans="1:15">
      <c r="A1144" s="14" t="s">
        <v>13</v>
      </c>
      <c r="B1144" s="14" t="s">
        <v>6938</v>
      </c>
      <c r="C1144" s="14" t="s">
        <v>6939</v>
      </c>
      <c r="D1144" s="14" t="s">
        <v>6978</v>
      </c>
      <c r="E1144" s="14">
        <v>20</v>
      </c>
      <c r="F1144" s="14" t="s">
        <v>315</v>
      </c>
      <c r="G1144" s="14" t="s">
        <v>316</v>
      </c>
      <c r="H1144" s="14" t="s">
        <v>180</v>
      </c>
      <c r="I1144" s="14" t="s">
        <v>49</v>
      </c>
      <c r="J1144" s="11" t="str">
        <f>HYPERLINK("https://www.codechef.com/problems/LLMID", "https://www.codechef.com/problems/LLMID")</f>
        <v>https://www.codechef.com/problems/LLMID</v>
      </c>
      <c r="K1144" s="14"/>
      <c r="L1144" s="14"/>
      <c r="M1144" s="14"/>
      <c r="N1144" s="14" t="s">
        <v>50</v>
      </c>
      <c r="O1144" s="14" t="s">
        <v>51</v>
      </c>
    </row>
    <row r="1145" spans="1:15">
      <c r="A1145" s="15" t="s">
        <v>13</v>
      </c>
      <c r="B1145" s="15" t="s">
        <v>6938</v>
      </c>
      <c r="C1145" s="15" t="s">
        <v>6939</v>
      </c>
      <c r="D1145" s="15" t="s">
        <v>6978</v>
      </c>
      <c r="E1145" s="15">
        <v>21</v>
      </c>
      <c r="F1145" s="15" t="s">
        <v>346</v>
      </c>
      <c r="G1145" s="15" t="s">
        <v>347</v>
      </c>
      <c r="H1145" s="15" t="s">
        <v>348</v>
      </c>
      <c r="I1145" s="15" t="s">
        <v>96</v>
      </c>
      <c r="J1145" s="7" t="str">
        <f>HYPERLINK("https://www.codechef.com/problems/NSELL", "https://www.codechef.com/problems/NSELL")</f>
        <v>https://www.codechef.com/problems/NSELL</v>
      </c>
      <c r="K1145" s="15"/>
      <c r="L1145" s="15"/>
      <c r="M1145" s="15"/>
      <c r="N1145" s="15" t="s">
        <v>50</v>
      </c>
      <c r="O1145" s="15" t="s">
        <v>51</v>
      </c>
    </row>
    <row r="1146" spans="1:15">
      <c r="A1146" s="14" t="s">
        <v>13</v>
      </c>
      <c r="B1146" s="14" t="s">
        <v>6938</v>
      </c>
      <c r="C1146" s="14" t="s">
        <v>6939</v>
      </c>
      <c r="D1146" s="14" t="s">
        <v>6978</v>
      </c>
      <c r="E1146" s="14">
        <v>22</v>
      </c>
      <c r="F1146" s="14" t="s">
        <v>338</v>
      </c>
      <c r="G1146" s="14" t="s">
        <v>339</v>
      </c>
      <c r="H1146" s="14" t="s">
        <v>340</v>
      </c>
      <c r="I1146" s="14" t="s">
        <v>96</v>
      </c>
      <c r="J1146" s="11" t="str">
        <f>HYPERLINK("https://www.codechef.com/problems/RTLL", "https://www.codechef.com/problems/RTLL")</f>
        <v>https://www.codechef.com/problems/RTLL</v>
      </c>
      <c r="K1146" s="14"/>
      <c r="L1146" s="14"/>
      <c r="M1146" s="14"/>
      <c r="N1146" s="14" t="s">
        <v>50</v>
      </c>
      <c r="O1146" s="14" t="s">
        <v>51</v>
      </c>
    </row>
    <row r="1147" spans="1:15">
      <c r="A1147" s="15" t="s">
        <v>13</v>
      </c>
      <c r="B1147" s="15" t="s">
        <v>6938</v>
      </c>
      <c r="C1147" s="15" t="s">
        <v>6939</v>
      </c>
      <c r="D1147" s="15" t="s">
        <v>6978</v>
      </c>
      <c r="E1147" s="15">
        <v>23</v>
      </c>
      <c r="F1147" s="15" t="s">
        <v>648</v>
      </c>
      <c r="G1147" s="15" t="s">
        <v>649</v>
      </c>
      <c r="H1147" s="15" t="s">
        <v>650</v>
      </c>
      <c r="I1147" s="15" t="s">
        <v>96</v>
      </c>
      <c r="J1147" s="7" t="str">
        <f>HYPERLINK("https://www.codechef.com/problems/MAXLCS", "https://www.codechef.com/problems/MAXLCS")</f>
        <v>https://www.codechef.com/problems/MAXLCS</v>
      </c>
      <c r="K1147" s="15"/>
      <c r="L1147" s="15"/>
      <c r="M1147" s="15"/>
      <c r="N1147" s="15" t="s">
        <v>50</v>
      </c>
      <c r="O1147" s="15" t="s">
        <v>51</v>
      </c>
    </row>
    <row r="1148" spans="1:15">
      <c r="A1148" s="14" t="s">
        <v>13</v>
      </c>
      <c r="B1148" s="14" t="s">
        <v>6938</v>
      </c>
      <c r="C1148" s="14" t="s">
        <v>6939</v>
      </c>
      <c r="D1148" s="14" t="s">
        <v>6978</v>
      </c>
      <c r="E1148" s="14">
        <v>24</v>
      </c>
      <c r="F1148" s="14" t="s">
        <v>6979</v>
      </c>
      <c r="G1148" s="14" t="s">
        <v>6980</v>
      </c>
      <c r="H1148" s="14" t="s">
        <v>565</v>
      </c>
      <c r="I1148" s="14" t="s">
        <v>49</v>
      </c>
      <c r="J1148" s="11" t="str">
        <f>HYPERLINK("https://www.codechef.com/problems/DAA109", "https://www.codechef.com/problems/DAA109")</f>
        <v>https://www.codechef.com/problems/DAA109</v>
      </c>
      <c r="K1148" s="14"/>
      <c r="L1148" s="14"/>
      <c r="M1148" s="14"/>
      <c r="N1148" s="14" t="s">
        <v>50</v>
      </c>
      <c r="O1148" s="14" t="s">
        <v>51</v>
      </c>
    </row>
    <row r="1149" spans="1:15">
      <c r="A1149" s="15" t="s">
        <v>13</v>
      </c>
      <c r="B1149" s="15" t="s">
        <v>6938</v>
      </c>
      <c r="C1149" s="15" t="s">
        <v>6939</v>
      </c>
      <c r="D1149" s="15" t="s">
        <v>6978</v>
      </c>
      <c r="E1149" s="15">
        <v>25</v>
      </c>
      <c r="F1149" s="15" t="s">
        <v>6981</v>
      </c>
      <c r="G1149" s="15" t="s">
        <v>6982</v>
      </c>
      <c r="H1149" s="15" t="s">
        <v>565</v>
      </c>
      <c r="I1149" s="15" t="s">
        <v>49</v>
      </c>
      <c r="J1149" s="7" t="str">
        <f>HYPERLINK("https://www.codechef.com/problems/DAA119", "https://www.codechef.com/problems/DAA119")</f>
        <v>https://www.codechef.com/problems/DAA119</v>
      </c>
      <c r="K1149" s="15"/>
      <c r="L1149" s="15"/>
      <c r="M1149" s="15"/>
      <c r="N1149" s="15" t="s">
        <v>50</v>
      </c>
      <c r="O1149" s="15" t="s">
        <v>51</v>
      </c>
    </row>
    <row r="1150" spans="1:15">
      <c r="A1150" s="14" t="s">
        <v>13</v>
      </c>
      <c r="B1150" s="14" t="s">
        <v>6938</v>
      </c>
      <c r="C1150" s="14" t="s">
        <v>6939</v>
      </c>
      <c r="D1150" s="14" t="s">
        <v>6978</v>
      </c>
      <c r="E1150" s="14">
        <v>26</v>
      </c>
      <c r="F1150" s="14" t="s">
        <v>6983</v>
      </c>
      <c r="G1150" s="14" t="s">
        <v>6984</v>
      </c>
      <c r="H1150" s="14"/>
      <c r="I1150" s="14" t="s">
        <v>96</v>
      </c>
      <c r="J1150" s="11" t="str">
        <f>HYPERLINK("https://www.codechef.com/problems/HEAP06", "https://www.codechef.com/problems/HEAP06")</f>
        <v>https://www.codechef.com/problems/HEAP06</v>
      </c>
      <c r="K1150" s="14"/>
      <c r="L1150" s="14"/>
      <c r="M1150" s="14"/>
      <c r="N1150" s="14" t="s">
        <v>50</v>
      </c>
      <c r="O1150" s="14" t="s">
        <v>51</v>
      </c>
    </row>
    <row r="1151" spans="1:15">
      <c r="A1151" s="15" t="s">
        <v>13</v>
      </c>
      <c r="B1151" s="15" t="s">
        <v>6938</v>
      </c>
      <c r="C1151" s="15" t="s">
        <v>6939</v>
      </c>
      <c r="D1151" s="15" t="s">
        <v>6978</v>
      </c>
      <c r="E1151" s="15">
        <v>27</v>
      </c>
      <c r="F1151" s="15" t="s">
        <v>6985</v>
      </c>
      <c r="G1151" s="15" t="s">
        <v>6986</v>
      </c>
      <c r="H1151" s="15" t="s">
        <v>565</v>
      </c>
      <c r="I1151" s="15" t="s">
        <v>49</v>
      </c>
      <c r="J1151" s="7" t="str">
        <f>HYPERLINK("https://www.codechef.com/problems/QUEUE06", "https://www.codechef.com/problems/QUEUE06")</f>
        <v>https://www.codechef.com/problems/QUEUE06</v>
      </c>
      <c r="K1151" s="15"/>
      <c r="L1151" s="15"/>
      <c r="M1151" s="15"/>
      <c r="N1151" s="15" t="s">
        <v>50</v>
      </c>
      <c r="O1151" s="15" t="s">
        <v>51</v>
      </c>
    </row>
    <row r="1152" spans="1:15">
      <c r="A1152" s="14" t="s">
        <v>13</v>
      </c>
      <c r="B1152" s="14" t="s">
        <v>6938</v>
      </c>
      <c r="C1152" s="14" t="s">
        <v>6939</v>
      </c>
      <c r="D1152" s="14" t="s">
        <v>6978</v>
      </c>
      <c r="E1152" s="14">
        <v>28</v>
      </c>
      <c r="F1152" s="14" t="s">
        <v>6987</v>
      </c>
      <c r="G1152" s="14" t="s">
        <v>6988</v>
      </c>
      <c r="H1152" s="14"/>
      <c r="I1152" s="14" t="s">
        <v>96</v>
      </c>
      <c r="J1152" s="11" t="str">
        <f>HYPERLINK("https://www.codechef.com/problems/TRIE11", "https://www.codechef.com/problems/TRIE11")</f>
        <v>https://www.codechef.com/problems/TRIE11</v>
      </c>
      <c r="K1152" s="14"/>
      <c r="L1152" s="14"/>
      <c r="M1152" s="14"/>
      <c r="N1152" s="14" t="s">
        <v>50</v>
      </c>
      <c r="O1152" s="14" t="s">
        <v>51</v>
      </c>
    </row>
    <row r="1153" spans="1:15">
      <c r="A1153" s="15" t="s">
        <v>13</v>
      </c>
      <c r="B1153" s="15" t="s">
        <v>6938</v>
      </c>
      <c r="C1153" s="15" t="s">
        <v>6939</v>
      </c>
      <c r="D1153" s="15" t="s">
        <v>6978</v>
      </c>
      <c r="E1153" s="15">
        <v>29</v>
      </c>
      <c r="F1153" s="15" t="s">
        <v>6989</v>
      </c>
      <c r="G1153" s="15" t="s">
        <v>6990</v>
      </c>
      <c r="H1153" s="15"/>
      <c r="I1153" s="15" t="s">
        <v>49</v>
      </c>
      <c r="J1153" s="7" t="str">
        <f>HYPERLINK("https://www.codechef.com/problems/BTPREORDER", "https://www.codechef.com/problems/BTPREORDER")</f>
        <v>https://www.codechef.com/problems/BTPREORDER</v>
      </c>
      <c r="K1153" s="15"/>
      <c r="L1153" s="15"/>
      <c r="M1153" s="15"/>
      <c r="N1153" s="15" t="s">
        <v>50</v>
      </c>
      <c r="O1153" s="15" t="s">
        <v>51</v>
      </c>
    </row>
    <row r="1154" spans="1:15">
      <c r="A1154" s="14" t="s">
        <v>13</v>
      </c>
      <c r="B1154" s="14" t="s">
        <v>6938</v>
      </c>
      <c r="C1154" s="14" t="s">
        <v>6939</v>
      </c>
      <c r="D1154" s="14" t="s">
        <v>6978</v>
      </c>
      <c r="E1154" s="14">
        <v>30</v>
      </c>
      <c r="F1154" s="14" t="s">
        <v>621</v>
      </c>
      <c r="G1154" s="14" t="s">
        <v>622</v>
      </c>
      <c r="H1154" s="14"/>
      <c r="I1154" s="14" t="s">
        <v>96</v>
      </c>
      <c r="J1154" s="11" t="str">
        <f>HYPERLINK("https://www.codechef.com/problems/BSTKTHMAX", "https://www.codechef.com/problems/BSTKTHMAX")</f>
        <v>https://www.codechef.com/problems/BSTKTHMAX</v>
      </c>
      <c r="K1154" s="14"/>
      <c r="L1154" s="14"/>
      <c r="M1154" s="14"/>
      <c r="N1154" s="14" t="s">
        <v>50</v>
      </c>
      <c r="O1154" s="14" t="s">
        <v>51</v>
      </c>
    </row>
    <row r="1155" spans="1:15">
      <c r="A1155" s="15" t="s">
        <v>13</v>
      </c>
      <c r="B1155" s="15" t="s">
        <v>6938</v>
      </c>
      <c r="C1155" s="15" t="s">
        <v>6939</v>
      </c>
      <c r="D1155" s="15" t="s">
        <v>6978</v>
      </c>
      <c r="E1155" s="15">
        <v>31</v>
      </c>
      <c r="F1155" s="15" t="s">
        <v>6991</v>
      </c>
      <c r="G1155" s="15" t="s">
        <v>6992</v>
      </c>
      <c r="H1155" s="15"/>
      <c r="I1155" s="15" t="s">
        <v>322</v>
      </c>
      <c r="J1155" s="7" t="str">
        <f>HYPERLINK("https://www.codechef.com/problems/SESO43", "https://www.codechef.com/problems/SESO43")</f>
        <v>https://www.codechef.com/problems/SESO43</v>
      </c>
      <c r="K1155" s="15"/>
      <c r="L1155" s="15"/>
      <c r="M1155" s="15"/>
      <c r="N1155" s="15" t="s">
        <v>50</v>
      </c>
      <c r="O1155" s="15" t="s">
        <v>51</v>
      </c>
    </row>
    <row r="1156" spans="1:15">
      <c r="A1156" s="14" t="s">
        <v>13</v>
      </c>
      <c r="B1156" s="14" t="s">
        <v>6938</v>
      </c>
      <c r="C1156" s="14" t="s">
        <v>6939</v>
      </c>
      <c r="D1156" s="14" t="s">
        <v>6978</v>
      </c>
      <c r="E1156" s="14">
        <v>32</v>
      </c>
      <c r="F1156" s="14" t="s">
        <v>1304</v>
      </c>
      <c r="G1156" s="14" t="s">
        <v>1305</v>
      </c>
      <c r="H1156" s="14"/>
      <c r="I1156" s="14" t="s">
        <v>96</v>
      </c>
      <c r="J1156" s="11" t="str">
        <f>HYPERLINK("https://www.codechef.com/problems/DSAPROB15", "https://www.codechef.com/problems/DSAPROB15")</f>
        <v>https://www.codechef.com/problems/DSAPROB15</v>
      </c>
      <c r="K1156" s="14"/>
      <c r="L1156" s="14"/>
      <c r="M1156" s="14"/>
      <c r="N1156" s="14" t="s">
        <v>50</v>
      </c>
      <c r="O1156" s="14" t="s">
        <v>51</v>
      </c>
    </row>
    <row r="1157" spans="1:15">
      <c r="A1157" s="15" t="s">
        <v>13</v>
      </c>
      <c r="B1157" s="15" t="s">
        <v>6938</v>
      </c>
      <c r="C1157" s="15" t="s">
        <v>6939</v>
      </c>
      <c r="D1157" s="15" t="s">
        <v>6978</v>
      </c>
      <c r="E1157" s="15">
        <v>33</v>
      </c>
      <c r="F1157" s="15" t="s">
        <v>6993</v>
      </c>
      <c r="G1157" s="15" t="s">
        <v>6994</v>
      </c>
      <c r="H1157" s="15" t="s">
        <v>565</v>
      </c>
      <c r="I1157" s="15" t="s">
        <v>49</v>
      </c>
      <c r="J1157" s="7" t="str">
        <f>HYPERLINK("https://www.codechef.com/problems/DSAAGP58", "https://www.codechef.com/problems/DSAAGP58")</f>
        <v>https://www.codechef.com/problems/DSAAGP58</v>
      </c>
      <c r="K1157" s="15"/>
      <c r="L1157" s="15"/>
      <c r="M1157" s="15"/>
      <c r="N1157" s="15" t="s">
        <v>50</v>
      </c>
      <c r="O1157" s="15" t="s">
        <v>51</v>
      </c>
    </row>
    <row r="1158" spans="1:15">
      <c r="A1158" s="14" t="s">
        <v>13</v>
      </c>
      <c r="B1158" s="14" t="s">
        <v>6938</v>
      </c>
      <c r="C1158" s="14" t="s">
        <v>6939</v>
      </c>
      <c r="D1158" s="14" t="s">
        <v>6978</v>
      </c>
      <c r="E1158" s="14">
        <v>34</v>
      </c>
      <c r="F1158" s="14" t="s">
        <v>6995</v>
      </c>
      <c r="G1158" s="14" t="s">
        <v>6996</v>
      </c>
      <c r="H1158" s="14" t="s">
        <v>565</v>
      </c>
      <c r="I1158" s="14" t="s">
        <v>49</v>
      </c>
      <c r="J1158" s="11" t="str">
        <f>HYPERLINK("https://www.codechef.com/problems/DSAAGP1093", "https://www.codechef.com/problems/DSAAGP1093")</f>
        <v>https://www.codechef.com/problems/DSAAGP1093</v>
      </c>
      <c r="K1158" s="14"/>
      <c r="L1158" s="14"/>
      <c r="M1158" s="14"/>
      <c r="N1158" s="14" t="s">
        <v>50</v>
      </c>
      <c r="O1158" s="14" t="s">
        <v>51</v>
      </c>
    </row>
    <row r="1159" spans="1:15">
      <c r="A1159" s="15" t="s">
        <v>13</v>
      </c>
      <c r="B1159" s="15" t="s">
        <v>6938</v>
      </c>
      <c r="C1159" s="15" t="s">
        <v>6939</v>
      </c>
      <c r="D1159" s="15" t="s">
        <v>6978</v>
      </c>
      <c r="E1159" s="15">
        <v>35</v>
      </c>
      <c r="F1159" s="15" t="s">
        <v>376</v>
      </c>
      <c r="G1159" s="15" t="s">
        <v>6997</v>
      </c>
      <c r="H1159" s="15" t="s">
        <v>565</v>
      </c>
      <c r="I1159" s="15" t="s">
        <v>49</v>
      </c>
      <c r="J1159" s="7" t="str">
        <f>HYPERLINK("https://www.codechef.com/problems/DSAAGP119A", "https://www.codechef.com/problems/DSAAGP119A")</f>
        <v>https://www.codechef.com/problems/DSAAGP119A</v>
      </c>
      <c r="K1159" s="15"/>
      <c r="L1159" s="15"/>
      <c r="M1159" s="15"/>
      <c r="N1159" s="15" t="s">
        <v>50</v>
      </c>
      <c r="O1159" s="15" t="s">
        <v>51</v>
      </c>
    </row>
    <row r="1160" spans="1:15">
      <c r="A1160" s="14" t="s">
        <v>13</v>
      </c>
      <c r="B1160" s="14" t="s">
        <v>6938</v>
      </c>
      <c r="C1160" s="14" t="s">
        <v>6939</v>
      </c>
      <c r="D1160" s="14" t="s">
        <v>6998</v>
      </c>
      <c r="E1160" s="14">
        <v>36</v>
      </c>
      <c r="F1160" s="14" t="s">
        <v>6999</v>
      </c>
      <c r="G1160" s="14" t="s">
        <v>7000</v>
      </c>
      <c r="H1160" s="14"/>
      <c r="I1160" s="14" t="s">
        <v>49</v>
      </c>
      <c r="J1160" s="11" t="str">
        <f>HYPERLINK("https://www.codechef.com/problems/SHRTPROB120", "https://www.codechef.com/problems/SHRTPROB120")</f>
        <v>https://www.codechef.com/problems/SHRTPROB120</v>
      </c>
      <c r="K1160" s="14"/>
      <c r="L1160" s="14"/>
      <c r="M1160" s="14"/>
      <c r="N1160" s="14" t="s">
        <v>50</v>
      </c>
      <c r="O1160" s="14" t="s">
        <v>51</v>
      </c>
    </row>
    <row r="1161" spans="1:15">
      <c r="A1161" s="15" t="s">
        <v>13</v>
      </c>
      <c r="B1161" s="15" t="s">
        <v>6938</v>
      </c>
      <c r="C1161" s="15" t="s">
        <v>6939</v>
      </c>
      <c r="D1161" s="15" t="s">
        <v>6998</v>
      </c>
      <c r="E1161" s="15">
        <v>37</v>
      </c>
      <c r="F1161" s="15" t="s">
        <v>7001</v>
      </c>
      <c r="G1161" s="15" t="s">
        <v>7002</v>
      </c>
      <c r="H1161" s="15"/>
      <c r="I1161" s="15" t="s">
        <v>49</v>
      </c>
      <c r="J1161" s="7" t="str">
        <f>HYPERLINK("https://www.codechef.com/problems/GSQ35", "https://www.codechef.com/problems/GSQ35")</f>
        <v>https://www.codechef.com/problems/GSQ35</v>
      </c>
      <c r="K1161" s="15"/>
      <c r="L1161" s="15"/>
      <c r="M1161" s="15"/>
      <c r="N1161" s="15" t="s">
        <v>50</v>
      </c>
      <c r="O1161" s="15" t="s">
        <v>51</v>
      </c>
    </row>
    <row r="1162" spans="1:15">
      <c r="A1162" s="14" t="s">
        <v>13</v>
      </c>
      <c r="B1162" s="14" t="s">
        <v>6938</v>
      </c>
      <c r="C1162" s="14" t="s">
        <v>6939</v>
      </c>
      <c r="D1162" s="14" t="s">
        <v>6998</v>
      </c>
      <c r="E1162" s="14">
        <v>38</v>
      </c>
      <c r="F1162" s="14" t="s">
        <v>7003</v>
      </c>
      <c r="G1162" s="14" t="s">
        <v>7004</v>
      </c>
      <c r="H1162" s="14"/>
      <c r="I1162" s="14" t="s">
        <v>96</v>
      </c>
      <c r="J1162" s="11" t="str">
        <f>HYPERLINK("https://www.codechef.com/problems/SHRTPROB121", "https://www.codechef.com/problems/SHRTPROB121")</f>
        <v>https://www.codechef.com/problems/SHRTPROB121</v>
      </c>
      <c r="K1162" s="14"/>
      <c r="L1162" s="14"/>
      <c r="M1162" s="14"/>
      <c r="N1162" s="14" t="s">
        <v>50</v>
      </c>
      <c r="O1162" s="14" t="s">
        <v>51</v>
      </c>
    </row>
    <row r="1163" spans="1:15">
      <c r="A1163" s="15" t="s">
        <v>13</v>
      </c>
      <c r="B1163" s="15" t="s">
        <v>6938</v>
      </c>
      <c r="C1163" s="15" t="s">
        <v>6939</v>
      </c>
      <c r="D1163" s="15" t="s">
        <v>6998</v>
      </c>
      <c r="E1163" s="15">
        <v>39</v>
      </c>
      <c r="F1163" s="15" t="s">
        <v>7005</v>
      </c>
      <c r="G1163" s="15" t="s">
        <v>7006</v>
      </c>
      <c r="H1163" s="15"/>
      <c r="I1163" s="15" t="s">
        <v>96</v>
      </c>
      <c r="J1163" s="7" t="str">
        <f>HYPERLINK("https://www.codechef.com/problems/ASQLPR109", "https://www.codechef.com/problems/ASQLPR109")</f>
        <v>https://www.codechef.com/problems/ASQLPR109</v>
      </c>
      <c r="K1163" s="15"/>
      <c r="L1163" s="15"/>
      <c r="M1163" s="15"/>
      <c r="N1163" s="15" t="s">
        <v>50</v>
      </c>
      <c r="O1163" s="15" t="s">
        <v>51</v>
      </c>
    </row>
    <row r="1164" spans="1:15">
      <c r="A1164" s="14" t="s">
        <v>13</v>
      </c>
      <c r="B1164" s="14" t="s">
        <v>6938</v>
      </c>
      <c r="C1164" s="14" t="s">
        <v>6939</v>
      </c>
      <c r="D1164" s="14" t="s">
        <v>6998</v>
      </c>
      <c r="E1164" s="14">
        <v>40</v>
      </c>
      <c r="F1164" s="14" t="s">
        <v>7007</v>
      </c>
      <c r="G1164" s="14" t="s">
        <v>7008</v>
      </c>
      <c r="H1164" s="14"/>
      <c r="I1164" s="14" t="s">
        <v>96</v>
      </c>
      <c r="J1164" s="11" t="str">
        <f>HYPERLINK("https://www.codechef.com/problems/SHRTPROB122", "https://www.codechef.com/problems/SHRTPROB122")</f>
        <v>https://www.codechef.com/problems/SHRTPROB122</v>
      </c>
      <c r="K1164" s="14"/>
      <c r="L1164" s="14"/>
      <c r="M1164" s="14"/>
      <c r="N1164" s="14" t="s">
        <v>50</v>
      </c>
      <c r="O1164" s="14" t="s">
        <v>51</v>
      </c>
    </row>
    <row r="1165" spans="1:15">
      <c r="A1165" s="15" t="s">
        <v>13</v>
      </c>
      <c r="B1165" s="15" t="s">
        <v>6938</v>
      </c>
      <c r="C1165" s="15" t="s">
        <v>6939</v>
      </c>
      <c r="D1165" s="15" t="s">
        <v>6998</v>
      </c>
      <c r="E1165" s="15">
        <v>41</v>
      </c>
      <c r="F1165" s="15" t="s">
        <v>7009</v>
      </c>
      <c r="G1165" s="15" t="s">
        <v>7010</v>
      </c>
      <c r="H1165" s="15"/>
      <c r="I1165" s="15" t="s">
        <v>49</v>
      </c>
      <c r="J1165" s="7" t="str">
        <f>HYPERLINK("https://www.codechef.com/problems/ASQLPR111", "https://www.codechef.com/problems/ASQLPR111")</f>
        <v>https://www.codechef.com/problems/ASQLPR111</v>
      </c>
      <c r="K1165" s="15"/>
      <c r="L1165" s="15"/>
      <c r="M1165" s="15"/>
      <c r="N1165" s="15" t="s">
        <v>50</v>
      </c>
      <c r="O1165" s="15" t="s">
        <v>51</v>
      </c>
    </row>
    <row r="1166" spans="1:15">
      <c r="A1166" s="14" t="s">
        <v>13</v>
      </c>
      <c r="B1166" s="14" t="s">
        <v>6938</v>
      </c>
      <c r="C1166" s="14" t="s">
        <v>6939</v>
      </c>
      <c r="D1166" s="14" t="s">
        <v>6998</v>
      </c>
      <c r="E1166" s="14">
        <v>42</v>
      </c>
      <c r="F1166" s="14" t="s">
        <v>7011</v>
      </c>
      <c r="G1166" s="14" t="s">
        <v>7012</v>
      </c>
      <c r="H1166" s="14"/>
      <c r="I1166" s="14" t="s">
        <v>96</v>
      </c>
      <c r="J1166" s="11" t="str">
        <f>HYPERLINK("https://www.codechef.com/problems/SHRTPROB124", "https://www.codechef.com/problems/SHRTPROB124")</f>
        <v>https://www.codechef.com/problems/SHRTPROB124</v>
      </c>
      <c r="K1166" s="14"/>
      <c r="L1166" s="14"/>
      <c r="M1166" s="14"/>
      <c r="N1166" s="14" t="s">
        <v>50</v>
      </c>
      <c r="O1166" s="14" t="s">
        <v>51</v>
      </c>
    </row>
    <row r="1167" spans="1:15">
      <c r="A1167" s="15" t="s">
        <v>13</v>
      </c>
      <c r="B1167" s="15" t="s">
        <v>6938</v>
      </c>
      <c r="C1167" s="15" t="s">
        <v>6939</v>
      </c>
      <c r="D1167" s="15" t="s">
        <v>6998</v>
      </c>
      <c r="E1167" s="15">
        <v>43</v>
      </c>
      <c r="F1167" s="15" t="s">
        <v>7013</v>
      </c>
      <c r="G1167" s="15" t="s">
        <v>7014</v>
      </c>
      <c r="H1167" s="15"/>
      <c r="I1167" s="15" t="s">
        <v>49</v>
      </c>
      <c r="J1167" s="7" t="str">
        <f>HYPERLINK("https://www.codechef.com/problems/RSMSPR03C", "https://www.codechef.com/problems/RSMSPR03C")</f>
        <v>https://www.codechef.com/problems/RSMSPR03C</v>
      </c>
      <c r="K1167" s="15"/>
      <c r="L1167" s="15"/>
      <c r="M1167" s="15"/>
      <c r="N1167" s="15" t="s">
        <v>50</v>
      </c>
      <c r="O1167" s="15" t="s">
        <v>51</v>
      </c>
    </row>
    <row r="1168" spans="1:15">
      <c r="A1168" s="14" t="s">
        <v>13</v>
      </c>
      <c r="B1168" s="14" t="s">
        <v>6938</v>
      </c>
      <c r="C1168" s="14" t="s">
        <v>6939</v>
      </c>
      <c r="D1168" s="14" t="s">
        <v>6998</v>
      </c>
      <c r="E1168" s="14">
        <v>44</v>
      </c>
      <c r="F1168" s="14" t="s">
        <v>7015</v>
      </c>
      <c r="G1168" s="14" t="s">
        <v>7016</v>
      </c>
      <c r="H1168" s="14"/>
      <c r="I1168" s="14" t="s">
        <v>96</v>
      </c>
      <c r="J1168" s="11" t="str">
        <f>HYPERLINK("https://www.codechef.com/problems/SHRTPROB125", "https://www.codechef.com/problems/SHRTPROB125")</f>
        <v>https://www.codechef.com/problems/SHRTPROB125</v>
      </c>
      <c r="K1168" s="14"/>
      <c r="L1168" s="14"/>
      <c r="M1168" s="14"/>
      <c r="N1168" s="14" t="s">
        <v>50</v>
      </c>
      <c r="O1168" s="14" t="s">
        <v>51</v>
      </c>
    </row>
    <row r="1169" spans="1:15">
      <c r="A1169" s="15" t="s">
        <v>13</v>
      </c>
      <c r="B1169" s="15" t="s">
        <v>6938</v>
      </c>
      <c r="C1169" s="15" t="s">
        <v>6939</v>
      </c>
      <c r="D1169" s="15" t="s">
        <v>6998</v>
      </c>
      <c r="E1169" s="15">
        <v>45</v>
      </c>
      <c r="F1169" s="15" t="s">
        <v>7017</v>
      </c>
      <c r="G1169" s="15" t="s">
        <v>7018</v>
      </c>
      <c r="H1169" s="15"/>
      <c r="I1169" s="15" t="s">
        <v>49</v>
      </c>
      <c r="J1169" s="7" t="str">
        <f>HYPERLINK("https://www.codechef.com/problems/RSMSPR04D", "https://www.codechef.com/problems/RSMSPR04D")</f>
        <v>https://www.codechef.com/problems/RSMSPR04D</v>
      </c>
      <c r="K1169" s="15"/>
      <c r="L1169" s="15"/>
      <c r="M1169" s="15"/>
      <c r="N1169" s="15" t="s">
        <v>50</v>
      </c>
      <c r="O1169" s="15" t="s">
        <v>51</v>
      </c>
    </row>
    <row r="1170" spans="1:15">
      <c r="A1170" s="14" t="s">
        <v>13</v>
      </c>
      <c r="B1170" s="14" t="s">
        <v>6938</v>
      </c>
      <c r="C1170" s="14" t="s">
        <v>6939</v>
      </c>
      <c r="D1170" s="14" t="s">
        <v>6998</v>
      </c>
      <c r="E1170" s="14">
        <v>46</v>
      </c>
      <c r="F1170" s="14" t="s">
        <v>7019</v>
      </c>
      <c r="G1170" s="14" t="s">
        <v>7020</v>
      </c>
      <c r="H1170" s="14"/>
      <c r="I1170" s="14" t="s">
        <v>49</v>
      </c>
      <c r="J1170" s="11" t="str">
        <f>HYPERLINK("https://www.codechef.com/problems/SHRTPROB126", "https://www.codechef.com/problems/SHRTPROB126")</f>
        <v>https://www.codechef.com/problems/SHRTPROB126</v>
      </c>
      <c r="K1170" s="14"/>
      <c r="L1170" s="14"/>
      <c r="M1170" s="14"/>
      <c r="N1170" s="14" t="s">
        <v>50</v>
      </c>
      <c r="O1170" s="14" t="s">
        <v>51</v>
      </c>
    </row>
    <row r="1171" spans="1:15">
      <c r="A1171" s="15" t="s">
        <v>13</v>
      </c>
      <c r="B1171" s="15" t="s">
        <v>6938</v>
      </c>
      <c r="C1171" s="15" t="s">
        <v>6939</v>
      </c>
      <c r="D1171" s="15" t="s">
        <v>6998</v>
      </c>
      <c r="E1171" s="15">
        <v>47</v>
      </c>
      <c r="F1171" s="15" t="s">
        <v>5193</v>
      </c>
      <c r="G1171" s="15" t="s">
        <v>7021</v>
      </c>
      <c r="H1171" s="15"/>
      <c r="I1171" s="15" t="s">
        <v>96</v>
      </c>
      <c r="J1171" s="7" t="str">
        <f>HYPERLINK("https://www.codechef.com/problems/SHRTPROB127", "https://www.codechef.com/problems/SHRTPROB127")</f>
        <v>https://www.codechef.com/problems/SHRTPROB127</v>
      </c>
      <c r="K1171" s="15"/>
      <c r="L1171" s="15"/>
      <c r="M1171" s="15"/>
      <c r="N1171" s="15" t="s">
        <v>50</v>
      </c>
      <c r="O1171" s="15" t="s">
        <v>51</v>
      </c>
    </row>
    <row r="1172" spans="1:15">
      <c r="A1172" s="14" t="s">
        <v>13</v>
      </c>
      <c r="B1172" s="14" t="s">
        <v>6938</v>
      </c>
      <c r="C1172" s="14" t="s">
        <v>6939</v>
      </c>
      <c r="D1172" s="14" t="s">
        <v>7022</v>
      </c>
      <c r="E1172" s="14">
        <v>48</v>
      </c>
      <c r="F1172" s="14" t="s">
        <v>7023</v>
      </c>
      <c r="G1172" s="14" t="s">
        <v>7024</v>
      </c>
      <c r="H1172" s="14"/>
      <c r="I1172" s="14" t="s">
        <v>49</v>
      </c>
      <c r="J1172" s="11" t="str">
        <f>HYPERLINK("https://www.codechef.com/problems/SHRTPROB128", "https://www.codechef.com/problems/SHRTPROB128")</f>
        <v>https://www.codechef.com/problems/SHRTPROB128</v>
      </c>
      <c r="K1172" s="14"/>
      <c r="L1172" s="14"/>
      <c r="M1172" s="14"/>
      <c r="N1172" s="14" t="s">
        <v>50</v>
      </c>
      <c r="O1172" s="14" t="s">
        <v>51</v>
      </c>
    </row>
    <row r="1173" spans="1:15">
      <c r="A1173" s="15" t="s">
        <v>13</v>
      </c>
      <c r="B1173" s="15" t="s">
        <v>6938</v>
      </c>
      <c r="C1173" s="15" t="s">
        <v>6939</v>
      </c>
      <c r="D1173" s="15" t="s">
        <v>7022</v>
      </c>
      <c r="E1173" s="15">
        <v>49</v>
      </c>
      <c r="F1173" s="15" t="s">
        <v>7025</v>
      </c>
      <c r="G1173" s="15" t="s">
        <v>7026</v>
      </c>
      <c r="H1173" s="15"/>
      <c r="I1173" s="15" t="s">
        <v>96</v>
      </c>
      <c r="J1173" s="7" t="str">
        <f>HYPERLINK("https://www.codechef.com/problems/SHRTPROB129", "https://www.codechef.com/problems/SHRTPROB129")</f>
        <v>https://www.codechef.com/problems/SHRTPROB129</v>
      </c>
      <c r="K1173" s="15"/>
      <c r="L1173" s="15"/>
      <c r="M1173" s="15"/>
      <c r="N1173" s="15" t="s">
        <v>50</v>
      </c>
      <c r="O1173" s="15" t="s">
        <v>51</v>
      </c>
    </row>
    <row r="1174" spans="1:15">
      <c r="A1174" s="14" t="s">
        <v>13</v>
      </c>
      <c r="B1174" s="14" t="s">
        <v>6938</v>
      </c>
      <c r="C1174" s="14" t="s">
        <v>6939</v>
      </c>
      <c r="D1174" s="14" t="s">
        <v>7022</v>
      </c>
      <c r="E1174" s="14">
        <v>50</v>
      </c>
      <c r="F1174" s="14" t="s">
        <v>7027</v>
      </c>
      <c r="G1174" s="14" t="s">
        <v>7028</v>
      </c>
      <c r="H1174" s="14"/>
      <c r="I1174" s="14" t="s">
        <v>49</v>
      </c>
      <c r="J1174" s="11" t="str">
        <f>HYPERLINK("https://www.codechef.com/problems/SHRTPROB130", "https://www.codechef.com/problems/SHRTPROB130")</f>
        <v>https://www.codechef.com/problems/SHRTPROB130</v>
      </c>
      <c r="K1174" s="14"/>
      <c r="L1174" s="14"/>
      <c r="M1174" s="14"/>
      <c r="N1174" s="14" t="s">
        <v>50</v>
      </c>
      <c r="O1174" s="14" t="s">
        <v>51</v>
      </c>
    </row>
    <row r="1175" spans="1:15">
      <c r="A1175" s="15" t="s">
        <v>13</v>
      </c>
      <c r="B1175" s="15" t="s">
        <v>6938</v>
      </c>
      <c r="C1175" s="15" t="s">
        <v>6939</v>
      </c>
      <c r="D1175" s="15" t="s">
        <v>7022</v>
      </c>
      <c r="E1175" s="15">
        <v>51</v>
      </c>
      <c r="F1175" s="15" t="s">
        <v>7029</v>
      </c>
      <c r="G1175" s="15" t="s">
        <v>7030</v>
      </c>
      <c r="H1175" s="15"/>
      <c r="I1175" s="15" t="s">
        <v>96</v>
      </c>
      <c r="J1175" s="7" t="str">
        <f>HYPERLINK("https://www.codechef.com/problems/SHRTPROB131", "https://www.codechef.com/problems/SHRTPROB131")</f>
        <v>https://www.codechef.com/problems/SHRTPROB131</v>
      </c>
      <c r="K1175" s="15"/>
      <c r="L1175" s="15"/>
      <c r="M1175" s="15"/>
      <c r="N1175" s="15" t="s">
        <v>50</v>
      </c>
      <c r="O1175" s="15" t="s">
        <v>51</v>
      </c>
    </row>
    <row r="1176" spans="1:15">
      <c r="A1176" s="14" t="s">
        <v>13</v>
      </c>
      <c r="B1176" s="14" t="s">
        <v>6938</v>
      </c>
      <c r="C1176" s="14" t="s">
        <v>6939</v>
      </c>
      <c r="D1176" s="14" t="s">
        <v>7022</v>
      </c>
      <c r="E1176" s="14">
        <v>52</v>
      </c>
      <c r="F1176" s="14" t="s">
        <v>7031</v>
      </c>
      <c r="G1176" s="14" t="s">
        <v>7032</v>
      </c>
      <c r="H1176" s="14"/>
      <c r="I1176" s="14" t="s">
        <v>49</v>
      </c>
      <c r="J1176" s="11" t="str">
        <f>HYPERLINK("https://www.codechef.com/problems/SHRTPROB132", "https://www.codechef.com/problems/SHRTPROB132")</f>
        <v>https://www.codechef.com/problems/SHRTPROB132</v>
      </c>
      <c r="K1176" s="14"/>
      <c r="L1176" s="14"/>
      <c r="M1176" s="14"/>
      <c r="N1176" s="14" t="s">
        <v>50</v>
      </c>
      <c r="O1176" s="14" t="s">
        <v>51</v>
      </c>
    </row>
    <row r="1177" spans="1:15">
      <c r="A1177" s="15" t="s">
        <v>13</v>
      </c>
      <c r="B1177" s="15" t="s">
        <v>6938</v>
      </c>
      <c r="C1177" s="15" t="s">
        <v>6939</v>
      </c>
      <c r="D1177" s="15" t="s">
        <v>7022</v>
      </c>
      <c r="E1177" s="15">
        <v>53</v>
      </c>
      <c r="F1177" s="15" t="s">
        <v>7033</v>
      </c>
      <c r="G1177" s="15" t="s">
        <v>7034</v>
      </c>
      <c r="H1177" s="15"/>
      <c r="I1177" s="15" t="s">
        <v>96</v>
      </c>
      <c r="J1177" s="7" t="str">
        <f>HYPERLINK("https://www.codechef.com/problems/SHRTPROB133", "https://www.codechef.com/problems/SHRTPROB133")</f>
        <v>https://www.codechef.com/problems/SHRTPROB133</v>
      </c>
      <c r="K1177" s="15"/>
      <c r="L1177" s="15"/>
      <c r="M1177" s="15"/>
      <c r="N1177" s="15" t="s">
        <v>50</v>
      </c>
      <c r="O1177" s="15" t="s">
        <v>51</v>
      </c>
    </row>
    <row r="1178" spans="1:15">
      <c r="A1178" s="14" t="s">
        <v>13</v>
      </c>
      <c r="B1178" s="14" t="s">
        <v>6938</v>
      </c>
      <c r="C1178" s="14" t="s">
        <v>6939</v>
      </c>
      <c r="D1178" s="14" t="s">
        <v>7022</v>
      </c>
      <c r="E1178" s="14">
        <v>54</v>
      </c>
      <c r="F1178" s="14" t="s">
        <v>7035</v>
      </c>
      <c r="G1178" s="14" t="s">
        <v>7036</v>
      </c>
      <c r="H1178" s="14"/>
      <c r="I1178" s="14" t="s">
        <v>96</v>
      </c>
      <c r="J1178" s="11" t="str">
        <f>HYPERLINK("https://www.codechef.com/problems/SHRTPROB134", "https://www.codechef.com/problems/SHRTPROB134")</f>
        <v>https://www.codechef.com/problems/SHRTPROB134</v>
      </c>
      <c r="K1178" s="14"/>
      <c r="L1178" s="14"/>
      <c r="M1178" s="14"/>
      <c r="N1178" s="14" t="s">
        <v>50</v>
      </c>
      <c r="O1178" s="14" t="s">
        <v>51</v>
      </c>
    </row>
    <row r="1179" spans="1:15">
      <c r="A1179" s="15" t="s">
        <v>13</v>
      </c>
      <c r="B1179" s="15" t="s">
        <v>6938</v>
      </c>
      <c r="C1179" s="15" t="s">
        <v>6939</v>
      </c>
      <c r="D1179" s="15" t="s">
        <v>7022</v>
      </c>
      <c r="E1179" s="15">
        <v>55</v>
      </c>
      <c r="F1179" s="15" t="s">
        <v>7037</v>
      </c>
      <c r="G1179" s="15" t="s">
        <v>7038</v>
      </c>
      <c r="H1179" s="15"/>
      <c r="I1179" s="15" t="s">
        <v>96</v>
      </c>
      <c r="J1179" s="7" t="str">
        <f>HYPERLINK("https://www.codechef.com/problems/SHRTPROB135", "https://www.codechef.com/problems/SHRTPROB135")</f>
        <v>https://www.codechef.com/problems/SHRTPROB135</v>
      </c>
      <c r="K1179" s="15"/>
      <c r="L1179" s="15"/>
      <c r="M1179" s="15"/>
      <c r="N1179" s="15" t="s">
        <v>50</v>
      </c>
      <c r="O1179" s="15" t="s">
        <v>51</v>
      </c>
    </row>
    <row r="1180" spans="1:15">
      <c r="A1180" s="14" t="s">
        <v>13</v>
      </c>
      <c r="B1180" s="14" t="s">
        <v>6938</v>
      </c>
      <c r="C1180" s="14" t="s">
        <v>6939</v>
      </c>
      <c r="D1180" s="14" t="s">
        <v>7022</v>
      </c>
      <c r="E1180" s="14">
        <v>56</v>
      </c>
      <c r="F1180" s="14" t="s">
        <v>7039</v>
      </c>
      <c r="G1180" s="14" t="s">
        <v>7040</v>
      </c>
      <c r="H1180" s="14"/>
      <c r="I1180" s="14" t="s">
        <v>96</v>
      </c>
      <c r="J1180" s="11" t="str">
        <f>HYPERLINK("https://www.codechef.com/problems/SHRTPROB136", "https://www.codechef.com/problems/SHRTPROB136")</f>
        <v>https://www.codechef.com/problems/SHRTPROB136</v>
      </c>
      <c r="K1180" s="14"/>
      <c r="L1180" s="14"/>
      <c r="M1180" s="14"/>
      <c r="N1180" s="14" t="s">
        <v>50</v>
      </c>
      <c r="O1180" s="14" t="s">
        <v>51</v>
      </c>
    </row>
    <row r="1181" spans="1:15">
      <c r="A1181" s="15" t="s">
        <v>13</v>
      </c>
      <c r="B1181" s="15" t="s">
        <v>6938</v>
      </c>
      <c r="C1181" s="15" t="s">
        <v>6939</v>
      </c>
      <c r="D1181" s="15" t="s">
        <v>7022</v>
      </c>
      <c r="E1181" s="15">
        <v>57</v>
      </c>
      <c r="F1181" s="15" t="s">
        <v>7041</v>
      </c>
      <c r="G1181" s="15" t="s">
        <v>7042</v>
      </c>
      <c r="H1181" s="15"/>
      <c r="I1181" s="15" t="s">
        <v>96</v>
      </c>
      <c r="J1181" s="7" t="str">
        <f>HYPERLINK("https://www.codechef.com/problems/SHRTPROB137", "https://www.codechef.com/problems/SHRTPROB137")</f>
        <v>https://www.codechef.com/problems/SHRTPROB137</v>
      </c>
      <c r="K1181" s="15"/>
      <c r="L1181" s="15"/>
      <c r="M1181" s="15"/>
      <c r="N1181" s="15" t="s">
        <v>50</v>
      </c>
      <c r="O1181" s="15" t="s">
        <v>51</v>
      </c>
    </row>
    <row r="1182" spans="1:15">
      <c r="A1182" s="14" t="s">
        <v>13</v>
      </c>
      <c r="B1182" s="14" t="s">
        <v>6938</v>
      </c>
      <c r="C1182" s="14" t="s">
        <v>6939</v>
      </c>
      <c r="D1182" s="14" t="s">
        <v>7043</v>
      </c>
      <c r="E1182" s="14">
        <v>58</v>
      </c>
      <c r="F1182" s="14" t="s">
        <v>7044</v>
      </c>
      <c r="G1182" s="14" t="s">
        <v>7045</v>
      </c>
      <c r="H1182" s="14"/>
      <c r="I1182" s="14" t="s">
        <v>49</v>
      </c>
      <c r="J1182" s="11" t="str">
        <f>HYPERLINK("https://www.codechef.com/problems/SHRTPROB138", "https://www.codechef.com/problems/SHRTPROB138")</f>
        <v>https://www.codechef.com/problems/SHRTPROB138</v>
      </c>
      <c r="K1182" s="14"/>
      <c r="L1182" s="14"/>
      <c r="M1182" s="14"/>
      <c r="N1182" s="14" t="s">
        <v>50</v>
      </c>
      <c r="O1182" s="14" t="s">
        <v>51</v>
      </c>
    </row>
    <row r="1183" spans="1:15">
      <c r="A1183" s="15" t="s">
        <v>13</v>
      </c>
      <c r="B1183" s="15" t="s">
        <v>6938</v>
      </c>
      <c r="C1183" s="15" t="s">
        <v>6939</v>
      </c>
      <c r="D1183" s="15" t="s">
        <v>7043</v>
      </c>
      <c r="E1183" s="15">
        <v>59</v>
      </c>
      <c r="F1183" s="15" t="s">
        <v>7046</v>
      </c>
      <c r="G1183" s="15" t="s">
        <v>7047</v>
      </c>
      <c r="H1183" s="15"/>
      <c r="I1183" s="15" t="s">
        <v>96</v>
      </c>
      <c r="J1183" s="7" t="str">
        <f>HYPERLINK("https://www.codechef.com/problems/SHRTPROB139", "https://www.codechef.com/problems/SHRTPROB139")</f>
        <v>https://www.codechef.com/problems/SHRTPROB139</v>
      </c>
      <c r="K1183" s="15"/>
      <c r="L1183" s="15"/>
      <c r="M1183" s="15"/>
      <c r="N1183" s="15" t="s">
        <v>50</v>
      </c>
      <c r="O1183" s="15" t="s">
        <v>51</v>
      </c>
    </row>
    <row r="1184" spans="1:15">
      <c r="A1184" s="14" t="s">
        <v>13</v>
      </c>
      <c r="B1184" s="14" t="s">
        <v>6938</v>
      </c>
      <c r="C1184" s="14" t="s">
        <v>6939</v>
      </c>
      <c r="D1184" s="14" t="s">
        <v>7043</v>
      </c>
      <c r="E1184" s="14">
        <v>60</v>
      </c>
      <c r="F1184" s="14" t="s">
        <v>7048</v>
      </c>
      <c r="G1184" s="14" t="s">
        <v>7049</v>
      </c>
      <c r="H1184" s="14"/>
      <c r="I1184" s="14" t="s">
        <v>96</v>
      </c>
      <c r="J1184" s="11" t="str">
        <f>HYPERLINK("https://www.codechef.com/problems/SHRTPROB140", "https://www.codechef.com/problems/SHRTPROB140")</f>
        <v>https://www.codechef.com/problems/SHRTPROB140</v>
      </c>
      <c r="K1184" s="14"/>
      <c r="L1184" s="14"/>
      <c r="M1184" s="14"/>
      <c r="N1184" s="14" t="s">
        <v>50</v>
      </c>
      <c r="O1184" s="14" t="s">
        <v>51</v>
      </c>
    </row>
    <row r="1185" spans="1:15">
      <c r="A1185" s="15" t="s">
        <v>13</v>
      </c>
      <c r="B1185" s="15" t="s">
        <v>6938</v>
      </c>
      <c r="C1185" s="15" t="s">
        <v>6939</v>
      </c>
      <c r="D1185" s="15" t="s">
        <v>7043</v>
      </c>
      <c r="E1185" s="15">
        <v>61</v>
      </c>
      <c r="F1185" s="15" t="s">
        <v>7050</v>
      </c>
      <c r="G1185" s="15" t="s">
        <v>7051</v>
      </c>
      <c r="H1185" s="15"/>
      <c r="I1185" s="15" t="s">
        <v>96</v>
      </c>
      <c r="J1185" s="7" t="str">
        <f>HYPERLINK("https://www.codechef.com/problems/SHRTPROB141", "https://www.codechef.com/problems/SHRTPROB141")</f>
        <v>https://www.codechef.com/problems/SHRTPROB141</v>
      </c>
      <c r="K1185" s="15"/>
      <c r="L1185" s="15"/>
      <c r="M1185" s="15"/>
      <c r="N1185" s="15" t="s">
        <v>50</v>
      </c>
      <c r="O1185" s="15" t="s">
        <v>51</v>
      </c>
    </row>
    <row r="1186" spans="1:15">
      <c r="A1186" s="14" t="s">
        <v>13</v>
      </c>
      <c r="B1186" s="14" t="s">
        <v>6938</v>
      </c>
      <c r="C1186" s="14" t="s">
        <v>6939</v>
      </c>
      <c r="D1186" s="14" t="s">
        <v>7043</v>
      </c>
      <c r="E1186" s="14">
        <v>62</v>
      </c>
      <c r="F1186" s="14" t="s">
        <v>7052</v>
      </c>
      <c r="G1186" s="14" t="s">
        <v>7053</v>
      </c>
      <c r="H1186" s="14"/>
      <c r="I1186" s="14" t="s">
        <v>96</v>
      </c>
      <c r="J1186" s="11" t="str">
        <f>HYPERLINK("https://www.codechef.com/problems/SHRTPROB142", "https://www.codechef.com/problems/SHRTPROB142")</f>
        <v>https://www.codechef.com/problems/SHRTPROB142</v>
      </c>
      <c r="K1186" s="14"/>
      <c r="L1186" s="14"/>
      <c r="M1186" s="14"/>
      <c r="N1186" s="14" t="s">
        <v>50</v>
      </c>
      <c r="O1186" s="14" t="s">
        <v>51</v>
      </c>
    </row>
    <row r="1187" spans="1:15">
      <c r="A1187" s="15" t="s">
        <v>13</v>
      </c>
      <c r="B1187" s="15" t="s">
        <v>6938</v>
      </c>
      <c r="C1187" s="15" t="s">
        <v>6939</v>
      </c>
      <c r="D1187" s="15" t="s">
        <v>7043</v>
      </c>
      <c r="E1187" s="15">
        <v>63</v>
      </c>
      <c r="F1187" s="15" t="s">
        <v>7054</v>
      </c>
      <c r="G1187" s="15" t="s">
        <v>7055</v>
      </c>
      <c r="H1187" s="15"/>
      <c r="I1187" s="15" t="s">
        <v>49</v>
      </c>
      <c r="J1187" s="7" t="str">
        <f>HYPERLINK("https://www.codechef.com/problems/SHRTPROB143", "https://www.codechef.com/problems/SHRTPROB143")</f>
        <v>https://www.codechef.com/problems/SHRTPROB143</v>
      </c>
      <c r="K1187" s="15"/>
      <c r="L1187" s="15"/>
      <c r="M1187" s="15"/>
      <c r="N1187" s="15" t="s">
        <v>50</v>
      </c>
      <c r="O1187" s="15" t="s">
        <v>51</v>
      </c>
    </row>
    <row r="1188" spans="1:15">
      <c r="A1188" s="14" t="s">
        <v>13</v>
      </c>
      <c r="B1188" s="14" t="s">
        <v>6938</v>
      </c>
      <c r="C1188" s="14" t="s">
        <v>6939</v>
      </c>
      <c r="D1188" s="14" t="s">
        <v>7043</v>
      </c>
      <c r="E1188" s="14">
        <v>64</v>
      </c>
      <c r="F1188" s="14" t="s">
        <v>7056</v>
      </c>
      <c r="G1188" s="14" t="s">
        <v>7057</v>
      </c>
      <c r="H1188" s="14"/>
      <c r="I1188" s="14" t="s">
        <v>49</v>
      </c>
      <c r="J1188" s="11" t="str">
        <f>HYPERLINK("https://www.codechef.com/problems/SHRTPROB144", "https://www.codechef.com/problems/SHRTPROB144")</f>
        <v>https://www.codechef.com/problems/SHRTPROB144</v>
      </c>
      <c r="K1188" s="14"/>
      <c r="L1188" s="14"/>
      <c r="M1188" s="14"/>
      <c r="N1188" s="14" t="s">
        <v>50</v>
      </c>
      <c r="O1188" s="14" t="s">
        <v>51</v>
      </c>
    </row>
    <row r="1189" spans="1:15">
      <c r="A1189" s="15" t="s">
        <v>13</v>
      </c>
      <c r="B1189" s="15" t="s">
        <v>6938</v>
      </c>
      <c r="C1189" s="15" t="s">
        <v>6939</v>
      </c>
      <c r="D1189" s="15" t="s">
        <v>7043</v>
      </c>
      <c r="E1189" s="15">
        <v>65</v>
      </c>
      <c r="F1189" s="15" t="s">
        <v>7058</v>
      </c>
      <c r="G1189" s="15" t="s">
        <v>7059</v>
      </c>
      <c r="H1189" s="15"/>
      <c r="I1189" s="15" t="s">
        <v>96</v>
      </c>
      <c r="J1189" s="7" t="str">
        <f>HYPERLINK("https://www.codechef.com/problems/SHRTPROB145", "https://www.codechef.com/problems/SHRTPROB145")</f>
        <v>https://www.codechef.com/problems/SHRTPROB145</v>
      </c>
      <c r="K1189" s="15"/>
      <c r="L1189" s="15"/>
      <c r="M1189" s="15"/>
      <c r="N1189" s="15" t="s">
        <v>50</v>
      </c>
      <c r="O1189" s="15" t="s">
        <v>51</v>
      </c>
    </row>
    <row r="1190" spans="1:15">
      <c r="A1190" s="14" t="s">
        <v>13</v>
      </c>
      <c r="B1190" s="14" t="s">
        <v>6938</v>
      </c>
      <c r="C1190" s="14" t="s">
        <v>6939</v>
      </c>
      <c r="D1190" s="14" t="s">
        <v>7043</v>
      </c>
      <c r="E1190" s="14">
        <v>66</v>
      </c>
      <c r="F1190" s="14" t="s">
        <v>7060</v>
      </c>
      <c r="G1190" s="14" t="s">
        <v>7061</v>
      </c>
      <c r="H1190" s="14"/>
      <c r="I1190" s="14" t="s">
        <v>96</v>
      </c>
      <c r="J1190" s="11" t="str">
        <f>HYPERLINK("https://www.codechef.com/problems/SHRTPROB147", "https://www.codechef.com/problems/SHRTPROB147")</f>
        <v>https://www.codechef.com/problems/SHRTPROB147</v>
      </c>
      <c r="K1190" s="14"/>
      <c r="L1190" s="14"/>
      <c r="M1190" s="14"/>
      <c r="N1190" s="14" t="s">
        <v>50</v>
      </c>
      <c r="O1190" s="14" t="s">
        <v>51</v>
      </c>
    </row>
    <row r="1191" spans="1:15">
      <c r="A1191" s="15" t="s">
        <v>13</v>
      </c>
      <c r="B1191" s="15" t="s">
        <v>6938</v>
      </c>
      <c r="C1191" s="15" t="s">
        <v>6939</v>
      </c>
      <c r="D1191" s="15" t="s">
        <v>7062</v>
      </c>
      <c r="E1191" s="15">
        <v>67</v>
      </c>
      <c r="F1191" s="15" t="s">
        <v>7063</v>
      </c>
      <c r="G1191" s="15" t="s">
        <v>7064</v>
      </c>
      <c r="H1191" s="15"/>
      <c r="I1191" s="15" t="s">
        <v>322</v>
      </c>
      <c r="J1191" s="7" t="str">
        <f>HYPERLINK("https://www.codechef.com/problems/SHRTPROB148", "https://www.codechef.com/problems/SHRTPROB148")</f>
        <v>https://www.codechef.com/problems/SHRTPROB148</v>
      </c>
      <c r="K1191" s="15"/>
      <c r="L1191" s="15"/>
      <c r="M1191" s="15"/>
      <c r="N1191" s="15" t="s">
        <v>50</v>
      </c>
      <c r="O1191" s="15" t="s">
        <v>51</v>
      </c>
    </row>
    <row r="1192" spans="1:15">
      <c r="A1192" s="14" t="s">
        <v>13</v>
      </c>
      <c r="B1192" s="14" t="s">
        <v>6938</v>
      </c>
      <c r="C1192" s="14" t="s">
        <v>6939</v>
      </c>
      <c r="D1192" s="14" t="s">
        <v>7062</v>
      </c>
      <c r="E1192" s="14">
        <v>68</v>
      </c>
      <c r="F1192" s="14" t="s">
        <v>7065</v>
      </c>
      <c r="G1192" s="14" t="s">
        <v>7066</v>
      </c>
      <c r="H1192" s="14"/>
      <c r="I1192" s="14" t="s">
        <v>96</v>
      </c>
      <c r="J1192" s="11" t="str">
        <f>HYPERLINK("https://www.codechef.com/problems/SHRTPROB149", "https://www.codechef.com/problems/SHRTPROB149")</f>
        <v>https://www.codechef.com/problems/SHRTPROB149</v>
      </c>
      <c r="K1192" s="14"/>
      <c r="L1192" s="14"/>
      <c r="M1192" s="14"/>
      <c r="N1192" s="14" t="s">
        <v>50</v>
      </c>
      <c r="O1192" s="14" t="s">
        <v>51</v>
      </c>
    </row>
    <row r="1193" spans="1:15">
      <c r="A1193" s="15" t="s">
        <v>13</v>
      </c>
      <c r="B1193" s="15" t="s">
        <v>6938</v>
      </c>
      <c r="C1193" s="15" t="s">
        <v>6939</v>
      </c>
      <c r="D1193" s="15" t="s">
        <v>7062</v>
      </c>
      <c r="E1193" s="15">
        <v>69</v>
      </c>
      <c r="F1193" s="15" t="s">
        <v>7067</v>
      </c>
      <c r="G1193" s="15" t="s">
        <v>7068</v>
      </c>
      <c r="H1193" s="15"/>
      <c r="I1193" s="15" t="s">
        <v>322</v>
      </c>
      <c r="J1193" s="7" t="str">
        <f>HYPERLINK("https://www.codechef.com/problems/SHRTPROB150", "https://www.codechef.com/problems/SHRTPROB150")</f>
        <v>https://www.codechef.com/problems/SHRTPROB150</v>
      </c>
      <c r="K1193" s="15"/>
      <c r="L1193" s="15"/>
      <c r="M1193" s="15"/>
      <c r="N1193" s="15" t="s">
        <v>50</v>
      </c>
      <c r="O1193" s="15" t="s">
        <v>51</v>
      </c>
    </row>
    <row r="1194" spans="1:15">
      <c r="A1194" s="14" t="s">
        <v>13</v>
      </c>
      <c r="B1194" s="14" t="s">
        <v>6938</v>
      </c>
      <c r="C1194" s="14" t="s">
        <v>6939</v>
      </c>
      <c r="D1194" s="14" t="s">
        <v>7062</v>
      </c>
      <c r="E1194" s="14">
        <v>70</v>
      </c>
      <c r="F1194" s="14" t="s">
        <v>7069</v>
      </c>
      <c r="G1194" s="14" t="s">
        <v>7070</v>
      </c>
      <c r="H1194" s="14"/>
      <c r="I1194" s="14" t="s">
        <v>96</v>
      </c>
      <c r="J1194" s="11" t="str">
        <f>HYPERLINK("https://www.codechef.com/problems/SHRTPROB151", "https://www.codechef.com/problems/SHRTPROB151")</f>
        <v>https://www.codechef.com/problems/SHRTPROB151</v>
      </c>
      <c r="K1194" s="14"/>
      <c r="L1194" s="14"/>
      <c r="M1194" s="14"/>
      <c r="N1194" s="14" t="s">
        <v>50</v>
      </c>
      <c r="O1194" s="14" t="s">
        <v>51</v>
      </c>
    </row>
    <row r="1195" spans="1:15">
      <c r="A1195" s="15" t="s">
        <v>13</v>
      </c>
      <c r="B1195" s="15" t="s">
        <v>6938</v>
      </c>
      <c r="C1195" s="15" t="s">
        <v>6939</v>
      </c>
      <c r="D1195" s="15" t="s">
        <v>7062</v>
      </c>
      <c r="E1195" s="15">
        <v>71</v>
      </c>
      <c r="F1195" s="15" t="s">
        <v>7071</v>
      </c>
      <c r="G1195" s="15" t="s">
        <v>7072</v>
      </c>
      <c r="H1195" s="15"/>
      <c r="I1195" s="15" t="s">
        <v>322</v>
      </c>
      <c r="J1195" s="7" t="str">
        <f>HYPERLINK("https://www.codechef.com/problems/SHRTPROB152", "https://www.codechef.com/problems/SHRTPROB152")</f>
        <v>https://www.codechef.com/problems/SHRTPROB152</v>
      </c>
      <c r="K1195" s="15"/>
      <c r="L1195" s="15"/>
      <c r="M1195" s="15"/>
      <c r="N1195" s="15" t="s">
        <v>50</v>
      </c>
      <c r="O1195" s="15" t="s">
        <v>51</v>
      </c>
    </row>
    <row r="1196" spans="1:15">
      <c r="A1196" s="14" t="s">
        <v>13</v>
      </c>
      <c r="B1196" s="14" t="s">
        <v>6938</v>
      </c>
      <c r="C1196" s="14" t="s">
        <v>6939</v>
      </c>
      <c r="D1196" s="14" t="s">
        <v>7062</v>
      </c>
      <c r="E1196" s="14">
        <v>72</v>
      </c>
      <c r="F1196" s="14" t="s">
        <v>7073</v>
      </c>
      <c r="G1196" s="14" t="s">
        <v>7074</v>
      </c>
      <c r="H1196" s="14"/>
      <c r="I1196" s="14" t="s">
        <v>96</v>
      </c>
      <c r="J1196" s="11" t="str">
        <f>HYPERLINK("https://www.codechef.com/problems/SHRTPROB153", "https://www.codechef.com/problems/SHRTPROB153")</f>
        <v>https://www.codechef.com/problems/SHRTPROB153</v>
      </c>
      <c r="K1196" s="14"/>
      <c r="L1196" s="14"/>
      <c r="M1196" s="14"/>
      <c r="N1196" s="14" t="s">
        <v>50</v>
      </c>
      <c r="O1196" s="14" t="s">
        <v>51</v>
      </c>
    </row>
    <row r="1197" spans="1:15">
      <c r="A1197" s="15" t="s">
        <v>13</v>
      </c>
      <c r="B1197" s="15" t="s">
        <v>6938</v>
      </c>
      <c r="C1197" s="15" t="s">
        <v>6939</v>
      </c>
      <c r="D1197" s="15" t="s">
        <v>7062</v>
      </c>
      <c r="E1197" s="15">
        <v>73</v>
      </c>
      <c r="F1197" s="15" t="s">
        <v>7075</v>
      </c>
      <c r="G1197" s="15" t="s">
        <v>7076</v>
      </c>
      <c r="H1197" s="15"/>
      <c r="I1197" s="15" t="s">
        <v>322</v>
      </c>
      <c r="J1197" s="7" t="str">
        <f>HYPERLINK("https://www.codechef.com/problems/SHRTPROB154", "https://www.codechef.com/problems/SHRTPROB154")</f>
        <v>https://www.codechef.com/problems/SHRTPROB154</v>
      </c>
      <c r="K1197" s="15"/>
      <c r="L1197" s="15"/>
      <c r="M1197" s="15"/>
      <c r="N1197" s="15" t="s">
        <v>50</v>
      </c>
      <c r="O1197" s="15" t="s">
        <v>51</v>
      </c>
    </row>
    <row r="1198" spans="1:15">
      <c r="A1198" s="14" t="s">
        <v>13</v>
      </c>
      <c r="B1198" s="14" t="s">
        <v>6938</v>
      </c>
      <c r="C1198" s="14" t="s">
        <v>6939</v>
      </c>
      <c r="D1198" s="14" t="s">
        <v>7062</v>
      </c>
      <c r="E1198" s="14">
        <v>74</v>
      </c>
      <c r="F1198" s="14" t="s">
        <v>7077</v>
      </c>
      <c r="G1198" s="14" t="s">
        <v>7078</v>
      </c>
      <c r="H1198" s="14"/>
      <c r="I1198" s="14" t="s">
        <v>96</v>
      </c>
      <c r="J1198" s="11" t="str">
        <f>HYPERLINK("https://www.codechef.com/problems/SHRTPROB155", "https://www.codechef.com/problems/SHRTPROB155")</f>
        <v>https://www.codechef.com/problems/SHRTPROB155</v>
      </c>
      <c r="K1198" s="14"/>
      <c r="L1198" s="14"/>
      <c r="M1198" s="14"/>
      <c r="N1198" s="14" t="s">
        <v>50</v>
      </c>
      <c r="O1198" s="14" t="s">
        <v>51</v>
      </c>
    </row>
    <row r="1199" spans="1:15">
      <c r="A1199" s="15" t="s">
        <v>13</v>
      </c>
      <c r="B1199" s="15" t="s">
        <v>6938</v>
      </c>
      <c r="C1199" s="15" t="s">
        <v>6939</v>
      </c>
      <c r="D1199" s="15" t="s">
        <v>7062</v>
      </c>
      <c r="E1199" s="15">
        <v>75</v>
      </c>
      <c r="F1199" s="15" t="s">
        <v>7079</v>
      </c>
      <c r="G1199" s="15" t="s">
        <v>7080</v>
      </c>
      <c r="H1199" s="15"/>
      <c r="I1199" s="15" t="s">
        <v>96</v>
      </c>
      <c r="J1199" s="7" t="str">
        <f>HYPERLINK("https://www.codechef.com/problems/SHRTPROB156", "https://www.codechef.com/problems/SHRTPROB156")</f>
        <v>https://www.codechef.com/problems/SHRTPROB156</v>
      </c>
      <c r="K1199" s="15"/>
      <c r="L1199" s="15"/>
      <c r="M1199" s="15"/>
      <c r="N1199" s="15" t="s">
        <v>50</v>
      </c>
      <c r="O1199" s="15" t="s">
        <v>51</v>
      </c>
    </row>
    <row r="1200" spans="1:15">
      <c r="A1200" s="14" t="s">
        <v>13</v>
      </c>
      <c r="B1200" s="14" t="s">
        <v>6938</v>
      </c>
      <c r="C1200" s="14" t="s">
        <v>6939</v>
      </c>
      <c r="D1200" s="14" t="s">
        <v>7062</v>
      </c>
      <c r="E1200" s="14">
        <v>76</v>
      </c>
      <c r="F1200" s="14" t="s">
        <v>7081</v>
      </c>
      <c r="G1200" s="14" t="s">
        <v>7082</v>
      </c>
      <c r="H1200" s="14"/>
      <c r="I1200" s="14" t="s">
        <v>322</v>
      </c>
      <c r="J1200" s="11" t="str">
        <f>HYPERLINK("https://www.codechef.com/problems/SHRTPROB157", "https://www.codechef.com/problems/SHRTPROB157")</f>
        <v>https://www.codechef.com/problems/SHRTPROB157</v>
      </c>
      <c r="K1200" s="14"/>
      <c r="L1200" s="14"/>
      <c r="M1200" s="14"/>
      <c r="N1200" s="14" t="s">
        <v>50</v>
      </c>
      <c r="O1200" s="14" t="s">
        <v>51</v>
      </c>
    </row>
    <row r="1201" spans="1:15">
      <c r="A1201" s="15" t="s">
        <v>13</v>
      </c>
      <c r="B1201" s="15" t="s">
        <v>6938</v>
      </c>
      <c r="C1201" s="15" t="s">
        <v>6939</v>
      </c>
      <c r="D1201" s="15" t="s">
        <v>7062</v>
      </c>
      <c r="E1201" s="15">
        <v>77</v>
      </c>
      <c r="F1201" s="15" t="s">
        <v>7083</v>
      </c>
      <c r="G1201" s="15" t="s">
        <v>7084</v>
      </c>
      <c r="H1201" s="15"/>
      <c r="I1201" s="15" t="s">
        <v>96</v>
      </c>
      <c r="J1201" s="7" t="str">
        <f>HYPERLINK("https://www.codechef.com/problems/SHRTPROB158", "https://www.codechef.com/problems/SHRTPROB158")</f>
        <v>https://www.codechef.com/problems/SHRTPROB158</v>
      </c>
      <c r="K1201" s="15"/>
      <c r="L1201" s="15"/>
      <c r="M1201" s="15"/>
      <c r="N1201" s="15" t="s">
        <v>50</v>
      </c>
      <c r="O1201" s="15" t="s">
        <v>51</v>
      </c>
    </row>
    <row r="1202" spans="1:15">
      <c r="A1202" s="14" t="s">
        <v>13</v>
      </c>
      <c r="B1202" s="14" t="s">
        <v>6938</v>
      </c>
      <c r="C1202" s="14" t="s">
        <v>6939</v>
      </c>
      <c r="D1202" s="14" t="s">
        <v>7062</v>
      </c>
      <c r="E1202" s="14">
        <v>78</v>
      </c>
      <c r="F1202" s="14" t="s">
        <v>7085</v>
      </c>
      <c r="G1202" s="14" t="s">
        <v>7086</v>
      </c>
      <c r="H1202" s="14"/>
      <c r="I1202" s="14" t="s">
        <v>96</v>
      </c>
      <c r="J1202" s="11" t="str">
        <f>HYPERLINK("https://www.codechef.com/problems/SHRTPROB159", "https://www.codechef.com/problems/SHRTPROB159")</f>
        <v>https://www.codechef.com/problems/SHRTPROB159</v>
      </c>
      <c r="K1202" s="14"/>
      <c r="L1202" s="14"/>
      <c r="M1202" s="14"/>
      <c r="N1202" s="14" t="s">
        <v>50</v>
      </c>
      <c r="O1202" s="14" t="s">
        <v>51</v>
      </c>
    </row>
    <row r="1203" spans="1:15">
      <c r="A1203" s="15" t="s">
        <v>13</v>
      </c>
      <c r="B1203" s="15" t="s">
        <v>6938</v>
      </c>
      <c r="C1203" s="15" t="s">
        <v>6939</v>
      </c>
      <c r="D1203" s="15" t="s">
        <v>7062</v>
      </c>
      <c r="E1203" s="15">
        <v>79</v>
      </c>
      <c r="F1203" s="15" t="s">
        <v>7087</v>
      </c>
      <c r="G1203" s="15" t="s">
        <v>7088</v>
      </c>
      <c r="H1203" s="15"/>
      <c r="I1203" s="15" t="s">
        <v>322</v>
      </c>
      <c r="J1203" s="7" t="str">
        <f>HYPERLINK("https://www.codechef.com/problems/SHRTPROB160", "https://www.codechef.com/problems/SHRTPROB160")</f>
        <v>https://www.codechef.com/problems/SHRTPROB160</v>
      </c>
      <c r="K1203" s="15"/>
      <c r="L1203" s="15"/>
      <c r="M1203" s="15"/>
      <c r="N1203" s="15" t="s">
        <v>50</v>
      </c>
      <c r="O1203" s="15" t="s">
        <v>51</v>
      </c>
    </row>
    <row r="1204" spans="1:15">
      <c r="A1204" s="14" t="s">
        <v>13</v>
      </c>
      <c r="B1204" s="14" t="s">
        <v>6938</v>
      </c>
      <c r="C1204" s="14" t="s">
        <v>6939</v>
      </c>
      <c r="D1204" s="14" t="s">
        <v>7062</v>
      </c>
      <c r="E1204" s="14">
        <v>80</v>
      </c>
      <c r="F1204" s="14" t="s">
        <v>7089</v>
      </c>
      <c r="G1204" s="14" t="s">
        <v>7090</v>
      </c>
      <c r="H1204" s="14"/>
      <c r="I1204" s="14" t="s">
        <v>96</v>
      </c>
      <c r="J1204" s="11" t="str">
        <f>HYPERLINK("https://www.codechef.com/problems/SHRTPROB161", "https://www.codechef.com/problems/SHRTPROB161")</f>
        <v>https://www.codechef.com/problems/SHRTPROB161</v>
      </c>
      <c r="K1204" s="14"/>
      <c r="L1204" s="14"/>
      <c r="M1204" s="14"/>
      <c r="N1204" s="14" t="s">
        <v>50</v>
      </c>
      <c r="O1204" s="14" t="s">
        <v>51</v>
      </c>
    </row>
    <row r="1205" spans="1:15">
      <c r="A1205" s="15" t="s">
        <v>13</v>
      </c>
      <c r="B1205" s="15" t="s">
        <v>6938</v>
      </c>
      <c r="C1205" s="15" t="s">
        <v>6939</v>
      </c>
      <c r="D1205" s="15" t="s">
        <v>7091</v>
      </c>
      <c r="E1205" s="15">
        <v>81</v>
      </c>
      <c r="F1205" s="15" t="s">
        <v>7092</v>
      </c>
      <c r="G1205" s="15" t="s">
        <v>7093</v>
      </c>
      <c r="H1205" s="15"/>
      <c r="I1205" s="15" t="s">
        <v>96</v>
      </c>
      <c r="J1205" s="7" t="str">
        <f>HYPERLINK("https://www.codechef.com/problems/SHRTPROB162", "https://www.codechef.com/problems/SHRTPROB162")</f>
        <v>https://www.codechef.com/problems/SHRTPROB162</v>
      </c>
      <c r="K1205" s="15"/>
      <c r="L1205" s="15"/>
      <c r="M1205" s="15"/>
      <c r="N1205" s="15" t="s">
        <v>50</v>
      </c>
      <c r="O1205" s="15" t="s">
        <v>51</v>
      </c>
    </row>
    <row r="1206" spans="1:15">
      <c r="A1206" s="14" t="s">
        <v>13</v>
      </c>
      <c r="B1206" s="14" t="s">
        <v>6938</v>
      </c>
      <c r="C1206" s="14" t="s">
        <v>6939</v>
      </c>
      <c r="D1206" s="14" t="s">
        <v>7091</v>
      </c>
      <c r="E1206" s="14">
        <v>82</v>
      </c>
      <c r="F1206" s="14" t="s">
        <v>7094</v>
      </c>
      <c r="G1206" s="14" t="s">
        <v>7095</v>
      </c>
      <c r="H1206" s="14"/>
      <c r="I1206" s="14" t="s">
        <v>96</v>
      </c>
      <c r="J1206" s="11" t="str">
        <f>HYPERLINK("https://www.codechef.com/problems/SHRTPROB163", "https://www.codechef.com/problems/SHRTPROB163")</f>
        <v>https://www.codechef.com/problems/SHRTPROB163</v>
      </c>
      <c r="K1206" s="14"/>
      <c r="L1206" s="14"/>
      <c r="M1206" s="14"/>
      <c r="N1206" s="14" t="s">
        <v>50</v>
      </c>
      <c r="O1206" s="14" t="s">
        <v>51</v>
      </c>
    </row>
    <row r="1207" spans="1:15">
      <c r="A1207" s="15" t="s">
        <v>13</v>
      </c>
      <c r="B1207" s="15" t="s">
        <v>6938</v>
      </c>
      <c r="C1207" s="15" t="s">
        <v>6939</v>
      </c>
      <c r="D1207" s="15" t="s">
        <v>7091</v>
      </c>
      <c r="E1207" s="15">
        <v>83</v>
      </c>
      <c r="F1207" s="15" t="s">
        <v>7096</v>
      </c>
      <c r="G1207" s="15" t="s">
        <v>7097</v>
      </c>
      <c r="H1207" s="15"/>
      <c r="I1207" s="15" t="s">
        <v>96</v>
      </c>
      <c r="J1207" s="7" t="str">
        <f>HYPERLINK("https://www.codechef.com/problems/SHRTPROB164", "https://www.codechef.com/problems/SHRTPROB164")</f>
        <v>https://www.codechef.com/problems/SHRTPROB164</v>
      </c>
      <c r="K1207" s="15"/>
      <c r="L1207" s="15"/>
      <c r="M1207" s="15"/>
      <c r="N1207" s="15" t="s">
        <v>50</v>
      </c>
      <c r="O1207" s="15" t="s">
        <v>51</v>
      </c>
    </row>
    <row r="1208" spans="1:15">
      <c r="A1208" s="14" t="s">
        <v>13</v>
      </c>
      <c r="B1208" s="14" t="s">
        <v>6938</v>
      </c>
      <c r="C1208" s="14" t="s">
        <v>6939</v>
      </c>
      <c r="D1208" s="14" t="s">
        <v>7091</v>
      </c>
      <c r="E1208" s="14">
        <v>84</v>
      </c>
      <c r="F1208" s="14" t="s">
        <v>7098</v>
      </c>
      <c r="G1208" s="14" t="s">
        <v>7099</v>
      </c>
      <c r="H1208" s="14"/>
      <c r="I1208" s="14" t="s">
        <v>96</v>
      </c>
      <c r="J1208" s="11" t="str">
        <f>HYPERLINK("https://www.codechef.com/problems/SHRTPROB165", "https://www.codechef.com/problems/SHRTPROB165")</f>
        <v>https://www.codechef.com/problems/SHRTPROB165</v>
      </c>
      <c r="K1208" s="14"/>
      <c r="L1208" s="14"/>
      <c r="M1208" s="14"/>
      <c r="N1208" s="14" t="s">
        <v>50</v>
      </c>
      <c r="O1208" s="14" t="s">
        <v>51</v>
      </c>
    </row>
    <row r="1209" spans="1:15">
      <c r="A1209" s="15" t="s">
        <v>13</v>
      </c>
      <c r="B1209" s="15" t="s">
        <v>6938</v>
      </c>
      <c r="C1209" s="15" t="s">
        <v>6939</v>
      </c>
      <c r="D1209" s="15" t="s">
        <v>7091</v>
      </c>
      <c r="E1209" s="15">
        <v>85</v>
      </c>
      <c r="F1209" s="15" t="s">
        <v>7100</v>
      </c>
      <c r="G1209" s="15" t="s">
        <v>7101</v>
      </c>
      <c r="H1209" s="15"/>
      <c r="I1209" s="15" t="s">
        <v>49</v>
      </c>
      <c r="J1209" s="7" t="str">
        <f>HYPERLINK("https://www.codechef.com/problems/SHRTPROB166", "https://www.codechef.com/problems/SHRTPROB166")</f>
        <v>https://www.codechef.com/problems/SHRTPROB166</v>
      </c>
      <c r="K1209" s="15"/>
      <c r="L1209" s="15"/>
      <c r="M1209" s="15"/>
      <c r="N1209" s="15" t="s">
        <v>50</v>
      </c>
      <c r="O1209" s="15" t="s">
        <v>51</v>
      </c>
    </row>
    <row r="1210" spans="1:15">
      <c r="A1210" s="14" t="s">
        <v>13</v>
      </c>
      <c r="B1210" s="14" t="s">
        <v>6938</v>
      </c>
      <c r="C1210" s="14" t="s">
        <v>6939</v>
      </c>
      <c r="D1210" s="14" t="s">
        <v>7091</v>
      </c>
      <c r="E1210" s="14">
        <v>86</v>
      </c>
      <c r="F1210" s="14" t="s">
        <v>7102</v>
      </c>
      <c r="G1210" s="14" t="s">
        <v>7103</v>
      </c>
      <c r="H1210" s="14"/>
      <c r="I1210" s="14" t="s">
        <v>96</v>
      </c>
      <c r="J1210" s="11" t="str">
        <f>HYPERLINK("https://www.codechef.com/problems/SHRTPROB167", "https://www.codechef.com/problems/SHRTPROB167")</f>
        <v>https://www.codechef.com/problems/SHRTPROB167</v>
      </c>
      <c r="K1210" s="14"/>
      <c r="L1210" s="14"/>
      <c r="M1210" s="14"/>
      <c r="N1210" s="14" t="s">
        <v>50</v>
      </c>
      <c r="O1210" s="14" t="s">
        <v>51</v>
      </c>
    </row>
    <row r="1211" spans="1:15">
      <c r="A1211" s="15" t="s">
        <v>13</v>
      </c>
      <c r="B1211" s="15" t="s">
        <v>6938</v>
      </c>
      <c r="C1211" s="15" t="s">
        <v>6939</v>
      </c>
      <c r="D1211" s="15" t="s">
        <v>7091</v>
      </c>
      <c r="E1211" s="15">
        <v>87</v>
      </c>
      <c r="F1211" s="15" t="s">
        <v>7104</v>
      </c>
      <c r="G1211" s="15" t="s">
        <v>7105</v>
      </c>
      <c r="H1211" s="15"/>
      <c r="I1211" s="15" t="s">
        <v>96</v>
      </c>
      <c r="J1211" s="7" t="str">
        <f>HYPERLINK("https://www.codechef.com/problems/SHRTPROB168", "https://www.codechef.com/problems/SHRTPROB168")</f>
        <v>https://www.codechef.com/problems/SHRTPROB168</v>
      </c>
      <c r="K1211" s="15"/>
      <c r="L1211" s="15"/>
      <c r="M1211" s="15"/>
      <c r="N1211" s="15" t="s">
        <v>50</v>
      </c>
      <c r="O1211" s="15" t="s">
        <v>51</v>
      </c>
    </row>
    <row r="1212" spans="1:15">
      <c r="A1212" s="14" t="s">
        <v>13</v>
      </c>
      <c r="B1212" s="14" t="s">
        <v>6938</v>
      </c>
      <c r="C1212" s="14" t="s">
        <v>6939</v>
      </c>
      <c r="D1212" s="14" t="s">
        <v>7091</v>
      </c>
      <c r="E1212" s="14">
        <v>88</v>
      </c>
      <c r="F1212" s="14" t="s">
        <v>7106</v>
      </c>
      <c r="G1212" s="14" t="s">
        <v>7107</v>
      </c>
      <c r="H1212" s="14"/>
      <c r="I1212" s="14" t="s">
        <v>96</v>
      </c>
      <c r="J1212" s="11" t="str">
        <f>HYPERLINK("https://www.codechef.com/problems/SHRTPROB169", "https://www.codechef.com/problems/SHRTPROB169")</f>
        <v>https://www.codechef.com/problems/SHRTPROB169</v>
      </c>
      <c r="K1212" s="14"/>
      <c r="L1212" s="14"/>
      <c r="M1212" s="14"/>
      <c r="N1212" s="14" t="s">
        <v>50</v>
      </c>
      <c r="O1212" s="14" t="s">
        <v>51</v>
      </c>
    </row>
    <row r="1213" spans="1:15">
      <c r="A1213" s="15" t="s">
        <v>13</v>
      </c>
      <c r="B1213" s="15" t="s">
        <v>6938</v>
      </c>
      <c r="C1213" s="15" t="s">
        <v>6939</v>
      </c>
      <c r="D1213" s="15" t="s">
        <v>7091</v>
      </c>
      <c r="E1213" s="15">
        <v>89</v>
      </c>
      <c r="F1213" s="15" t="s">
        <v>7108</v>
      </c>
      <c r="G1213" s="15" t="s">
        <v>7109</v>
      </c>
      <c r="H1213" s="15"/>
      <c r="I1213" s="15" t="s">
        <v>96</v>
      </c>
      <c r="J1213" s="7" t="str">
        <f>HYPERLINK("https://www.codechef.com/problems/SHRTPROB170", "https://www.codechef.com/problems/SHRTPROB170")</f>
        <v>https://www.codechef.com/problems/SHRTPROB170</v>
      </c>
      <c r="K1213" s="15"/>
      <c r="L1213" s="15"/>
      <c r="M1213" s="15"/>
      <c r="N1213" s="15" t="s">
        <v>50</v>
      </c>
      <c r="O1213" s="15" t="s">
        <v>51</v>
      </c>
    </row>
    <row r="1214" spans="1:15">
      <c r="A1214" s="14" t="s">
        <v>13</v>
      </c>
      <c r="B1214" s="14" t="s">
        <v>6938</v>
      </c>
      <c r="C1214" s="14" t="s">
        <v>6939</v>
      </c>
      <c r="D1214" s="14" t="s">
        <v>7091</v>
      </c>
      <c r="E1214" s="14">
        <v>90</v>
      </c>
      <c r="F1214" s="14" t="s">
        <v>7110</v>
      </c>
      <c r="G1214" s="14" t="s">
        <v>7111</v>
      </c>
      <c r="H1214" s="14"/>
      <c r="I1214" s="14" t="s">
        <v>322</v>
      </c>
      <c r="J1214" s="11" t="str">
        <f>HYPERLINK("https://www.codechef.com/problems/SHRTPROB171", "https://www.codechef.com/problems/SHRTPROB171")</f>
        <v>https://www.codechef.com/problems/SHRTPROB171</v>
      </c>
      <c r="K1214" s="14"/>
      <c r="L1214" s="14"/>
      <c r="M1214" s="14"/>
      <c r="N1214" s="14" t="s">
        <v>50</v>
      </c>
      <c r="O1214" s="14" t="s">
        <v>51</v>
      </c>
    </row>
    <row r="1215" spans="1:15">
      <c r="A1215" s="15" t="s">
        <v>13</v>
      </c>
      <c r="B1215" s="15" t="s">
        <v>6938</v>
      </c>
      <c r="C1215" s="15" t="s">
        <v>6939</v>
      </c>
      <c r="D1215" s="15" t="s">
        <v>7091</v>
      </c>
      <c r="E1215" s="15">
        <v>91</v>
      </c>
      <c r="F1215" s="15" t="s">
        <v>7112</v>
      </c>
      <c r="G1215" s="15" t="s">
        <v>7113</v>
      </c>
      <c r="H1215" s="15"/>
      <c r="I1215" s="15" t="s">
        <v>322</v>
      </c>
      <c r="J1215" s="7" t="str">
        <f>HYPERLINK("https://www.codechef.com/problems/SHRTPROB172", "https://www.codechef.com/problems/SHRTPROB172")</f>
        <v>https://www.codechef.com/problems/SHRTPROB172</v>
      </c>
      <c r="K1215" s="15"/>
      <c r="L1215" s="15"/>
      <c r="M1215" s="15"/>
      <c r="N1215" s="15" t="s">
        <v>50</v>
      </c>
      <c r="O1215" s="15" t="s">
        <v>51</v>
      </c>
    </row>
    <row r="1216" spans="1:15">
      <c r="A1216" s="14" t="s">
        <v>13</v>
      </c>
      <c r="B1216" s="14" t="s">
        <v>6938</v>
      </c>
      <c r="C1216" s="14" t="s">
        <v>6939</v>
      </c>
      <c r="D1216" s="14" t="s">
        <v>7091</v>
      </c>
      <c r="E1216" s="14">
        <v>92</v>
      </c>
      <c r="F1216" s="14" t="s">
        <v>7114</v>
      </c>
      <c r="G1216" s="14" t="s">
        <v>7115</v>
      </c>
      <c r="H1216" s="14"/>
      <c r="I1216" s="14" t="s">
        <v>49</v>
      </c>
      <c r="J1216" s="11" t="str">
        <f>HYPERLINK("https://www.codechef.com/problems/SHRTPROB173", "https://www.codechef.com/problems/SHRTPROB173")</f>
        <v>https://www.codechef.com/problems/SHRTPROB173</v>
      </c>
      <c r="K1216" s="14"/>
      <c r="L1216" s="14"/>
      <c r="M1216" s="14"/>
      <c r="N1216" s="14" t="s">
        <v>50</v>
      </c>
      <c r="O1216" s="14" t="s">
        <v>51</v>
      </c>
    </row>
    <row r="1217" spans="1:15">
      <c r="A1217" s="15" t="s">
        <v>13</v>
      </c>
      <c r="B1217" s="15" t="s">
        <v>6938</v>
      </c>
      <c r="C1217" s="15" t="s">
        <v>6939</v>
      </c>
      <c r="D1217" s="15" t="s">
        <v>7091</v>
      </c>
      <c r="E1217" s="15">
        <v>93</v>
      </c>
      <c r="F1217" s="15" t="s">
        <v>7116</v>
      </c>
      <c r="G1217" s="15" t="s">
        <v>7117</v>
      </c>
      <c r="H1217" s="15"/>
      <c r="I1217" s="15" t="s">
        <v>96</v>
      </c>
      <c r="J1217" s="7" t="str">
        <f>HYPERLINK("https://www.codechef.com/problems/SHRTPROB174", "https://www.codechef.com/problems/SHRTPROB174")</f>
        <v>https://www.codechef.com/problems/SHRTPROB174</v>
      </c>
      <c r="K1217" s="15"/>
      <c r="L1217" s="15"/>
      <c r="M1217" s="15"/>
      <c r="N1217" s="15" t="s">
        <v>50</v>
      </c>
      <c r="O1217" s="15" t="s">
        <v>51</v>
      </c>
    </row>
    <row r="1218" spans="1:15">
      <c r="A1218" s="14" t="s">
        <v>13</v>
      </c>
      <c r="B1218" s="14" t="s">
        <v>6938</v>
      </c>
      <c r="C1218" s="14" t="s">
        <v>6939</v>
      </c>
      <c r="D1218" s="14" t="s">
        <v>7091</v>
      </c>
      <c r="E1218" s="14">
        <v>94</v>
      </c>
      <c r="F1218" s="14" t="s">
        <v>7118</v>
      </c>
      <c r="G1218" s="14" t="s">
        <v>7119</v>
      </c>
      <c r="H1218" s="14"/>
      <c r="I1218" s="14" t="s">
        <v>322</v>
      </c>
      <c r="J1218" s="11" t="str">
        <f>HYPERLINK("https://www.codechef.com/problems/SHRTPROB175", "https://www.codechef.com/problems/SHRTPROB175")</f>
        <v>https://www.codechef.com/problems/SHRTPROB175</v>
      </c>
      <c r="K1218" s="14"/>
      <c r="L1218" s="14"/>
      <c r="M1218" s="14"/>
      <c r="N1218" s="14" t="s">
        <v>50</v>
      </c>
      <c r="O1218" s="14" t="s">
        <v>51</v>
      </c>
    </row>
    <row r="1219" spans="1:15">
      <c r="A1219" s="15" t="s">
        <v>13</v>
      </c>
      <c r="B1219" s="15" t="s">
        <v>6938</v>
      </c>
      <c r="C1219" s="15" t="s">
        <v>6939</v>
      </c>
      <c r="D1219" s="15" t="s">
        <v>7091</v>
      </c>
      <c r="E1219" s="15">
        <v>95</v>
      </c>
      <c r="F1219" s="15" t="s">
        <v>7120</v>
      </c>
      <c r="G1219" s="15" t="s">
        <v>7121</v>
      </c>
      <c r="H1219" s="15"/>
      <c r="I1219" s="15" t="s">
        <v>96</v>
      </c>
      <c r="J1219" s="7" t="str">
        <f>HYPERLINK("https://www.codechef.com/problems/SHRTPROB176", "https://www.codechef.com/problems/SHRTPROB176")</f>
        <v>https://www.codechef.com/problems/SHRTPROB176</v>
      </c>
      <c r="K1219" s="15"/>
      <c r="L1219" s="15"/>
      <c r="M1219" s="15"/>
      <c r="N1219" s="15" t="s">
        <v>50</v>
      </c>
      <c r="O1219" s="15" t="s">
        <v>51</v>
      </c>
    </row>
    <row r="1220" spans="1:15">
      <c r="A1220" s="14" t="s">
        <v>13</v>
      </c>
      <c r="B1220" s="14" t="s">
        <v>6938</v>
      </c>
      <c r="C1220" s="14" t="s">
        <v>6939</v>
      </c>
      <c r="D1220" s="14" t="s">
        <v>7091</v>
      </c>
      <c r="E1220" s="14">
        <v>96</v>
      </c>
      <c r="F1220" s="14" t="s">
        <v>7122</v>
      </c>
      <c r="G1220" s="14" t="s">
        <v>7123</v>
      </c>
      <c r="H1220" s="14"/>
      <c r="I1220" s="14" t="s">
        <v>322</v>
      </c>
      <c r="J1220" s="11" t="str">
        <f>HYPERLINK("https://www.codechef.com/problems/SHRTPROB177", "https://www.codechef.com/problems/SHRTPROB177")</f>
        <v>https://www.codechef.com/problems/SHRTPROB177</v>
      </c>
      <c r="K1220" s="14"/>
      <c r="L1220" s="14"/>
      <c r="M1220" s="14"/>
      <c r="N1220" s="14" t="s">
        <v>50</v>
      </c>
      <c r="O1220" s="14" t="s">
        <v>51</v>
      </c>
    </row>
    <row r="1221" spans="1:15">
      <c r="A1221" s="15" t="s">
        <v>13</v>
      </c>
      <c r="B1221" s="15" t="s">
        <v>6938</v>
      </c>
      <c r="C1221" s="15" t="s">
        <v>6939</v>
      </c>
      <c r="D1221" s="15" t="s">
        <v>7091</v>
      </c>
      <c r="E1221" s="15">
        <v>97</v>
      </c>
      <c r="F1221" s="15" t="s">
        <v>7124</v>
      </c>
      <c r="G1221" s="15" t="s">
        <v>7125</v>
      </c>
      <c r="H1221" s="15"/>
      <c r="I1221" s="15" t="s">
        <v>322</v>
      </c>
      <c r="J1221" s="7" t="str">
        <f>HYPERLINK("https://www.codechef.com/problems/SHRTPROB178", "https://www.codechef.com/problems/SHRTPROB178")</f>
        <v>https://www.codechef.com/problems/SHRTPROB178</v>
      </c>
      <c r="K1221" s="15"/>
      <c r="L1221" s="15"/>
      <c r="M1221" s="15"/>
      <c r="N1221" s="15" t="s">
        <v>50</v>
      </c>
      <c r="O1221" s="15" t="s">
        <v>51</v>
      </c>
    </row>
    <row r="1222" spans="1:15">
      <c r="A1222" s="14" t="s">
        <v>13</v>
      </c>
      <c r="B1222" s="14" t="s">
        <v>6938</v>
      </c>
      <c r="C1222" s="14" t="s">
        <v>6939</v>
      </c>
      <c r="D1222" s="14" t="s">
        <v>7091</v>
      </c>
      <c r="E1222" s="14">
        <v>98</v>
      </c>
      <c r="F1222" s="14" t="s">
        <v>7126</v>
      </c>
      <c r="G1222" s="14" t="s">
        <v>7127</v>
      </c>
      <c r="H1222" s="14"/>
      <c r="I1222" s="14" t="s">
        <v>322</v>
      </c>
      <c r="J1222" s="11" t="str">
        <f>HYPERLINK("https://www.codechef.com/problems/SHRTPROB179", "https://www.codechef.com/problems/SHRTPROB179")</f>
        <v>https://www.codechef.com/problems/SHRTPROB179</v>
      </c>
      <c r="K1222" s="14"/>
      <c r="L1222" s="14"/>
      <c r="M1222" s="14"/>
      <c r="N1222" s="14" t="s">
        <v>50</v>
      </c>
      <c r="O1222" s="14" t="s">
        <v>51</v>
      </c>
    </row>
    <row r="1223" spans="1:15">
      <c r="A1223" s="15" t="s">
        <v>13</v>
      </c>
      <c r="B1223" s="15" t="s">
        <v>6938</v>
      </c>
      <c r="C1223" s="15" t="s">
        <v>6939</v>
      </c>
      <c r="D1223" s="15" t="s">
        <v>7091</v>
      </c>
      <c r="E1223" s="15">
        <v>99</v>
      </c>
      <c r="F1223" s="15" t="s">
        <v>7128</v>
      </c>
      <c r="G1223" s="15" t="s">
        <v>7129</v>
      </c>
      <c r="H1223" s="15"/>
      <c r="I1223" s="15" t="s">
        <v>49</v>
      </c>
      <c r="J1223" s="7" t="str">
        <f>HYPERLINK("https://www.codechef.com/problems/SHRTPROB180", "https://www.codechef.com/problems/SHRTPROB180")</f>
        <v>https://www.codechef.com/problems/SHRTPROB180</v>
      </c>
      <c r="K1223" s="15"/>
      <c r="L1223" s="15"/>
      <c r="M1223" s="15"/>
      <c r="N1223" s="15" t="s">
        <v>50</v>
      </c>
      <c r="O1223" s="15" t="s">
        <v>51</v>
      </c>
    </row>
    <row r="1224" spans="1:15">
      <c r="A1224" s="14" t="s">
        <v>13</v>
      </c>
      <c r="B1224" s="14" t="s">
        <v>6938</v>
      </c>
      <c r="C1224" s="14" t="s">
        <v>6939</v>
      </c>
      <c r="D1224" s="14" t="s">
        <v>7091</v>
      </c>
      <c r="E1224" s="14">
        <v>100</v>
      </c>
      <c r="F1224" s="14" t="s">
        <v>7130</v>
      </c>
      <c r="G1224" s="14" t="s">
        <v>7131</v>
      </c>
      <c r="H1224" s="14"/>
      <c r="I1224" s="14" t="s">
        <v>322</v>
      </c>
      <c r="J1224" s="11" t="str">
        <f>HYPERLINK("https://www.codechef.com/problems/SHRTPROB181", "https://www.codechef.com/problems/SHRTPROB181")</f>
        <v>https://www.codechef.com/problems/SHRTPROB181</v>
      </c>
      <c r="K1224" s="14"/>
      <c r="L1224" s="14"/>
      <c r="M1224" s="14"/>
      <c r="N1224" s="14" t="s">
        <v>50</v>
      </c>
      <c r="O1224" s="14" t="s">
        <v>51</v>
      </c>
    </row>
    <row r="1225" spans="1:15">
      <c r="A1225" s="15" t="s">
        <v>13</v>
      </c>
      <c r="B1225" s="15" t="s">
        <v>6938</v>
      </c>
      <c r="C1225" s="15" t="s">
        <v>6939</v>
      </c>
      <c r="D1225" s="15" t="s">
        <v>7132</v>
      </c>
      <c r="E1225" s="15">
        <v>101</v>
      </c>
      <c r="F1225" s="15" t="s">
        <v>7133</v>
      </c>
      <c r="G1225" s="15" t="s">
        <v>7134</v>
      </c>
      <c r="H1225" s="15"/>
      <c r="I1225" s="15" t="s">
        <v>96</v>
      </c>
      <c r="J1225" s="7" t="str">
        <f>HYPERLINK("https://www.codechef.com/problems/SHRTPROB182", "https://www.codechef.com/problems/SHRTPROB182")</f>
        <v>https://www.codechef.com/problems/SHRTPROB182</v>
      </c>
      <c r="K1225" s="15"/>
      <c r="L1225" s="15"/>
      <c r="M1225" s="15"/>
      <c r="N1225" s="15" t="s">
        <v>50</v>
      </c>
      <c r="O1225" s="15" t="s">
        <v>51</v>
      </c>
    </row>
    <row r="1226" spans="1:15">
      <c r="A1226" s="14" t="s">
        <v>13</v>
      </c>
      <c r="B1226" s="14" t="s">
        <v>6938</v>
      </c>
      <c r="C1226" s="14" t="s">
        <v>6939</v>
      </c>
      <c r="D1226" s="14" t="s">
        <v>7132</v>
      </c>
      <c r="E1226" s="14">
        <v>102</v>
      </c>
      <c r="F1226" s="14" t="s">
        <v>7135</v>
      </c>
      <c r="G1226" s="14" t="s">
        <v>7136</v>
      </c>
      <c r="H1226" s="14"/>
      <c r="I1226" s="14" t="s">
        <v>322</v>
      </c>
      <c r="J1226" s="11" t="str">
        <f>HYPERLINK("https://www.codechef.com/problems/SHRTPROB183", "https://www.codechef.com/problems/SHRTPROB183")</f>
        <v>https://www.codechef.com/problems/SHRTPROB183</v>
      </c>
      <c r="K1226" s="14"/>
      <c r="L1226" s="14"/>
      <c r="M1226" s="14"/>
      <c r="N1226" s="14" t="s">
        <v>50</v>
      </c>
      <c r="O1226" s="14" t="s">
        <v>51</v>
      </c>
    </row>
    <row r="1227" spans="1:15">
      <c r="A1227" s="15" t="s">
        <v>13</v>
      </c>
      <c r="B1227" s="15" t="s">
        <v>6938</v>
      </c>
      <c r="C1227" s="15" t="s">
        <v>6939</v>
      </c>
      <c r="D1227" s="15" t="s">
        <v>7132</v>
      </c>
      <c r="E1227" s="15">
        <v>103</v>
      </c>
      <c r="F1227" s="15" t="s">
        <v>7137</v>
      </c>
      <c r="G1227" s="15" t="s">
        <v>7138</v>
      </c>
      <c r="H1227" s="15"/>
      <c r="I1227" s="15" t="s">
        <v>322</v>
      </c>
      <c r="J1227" s="7" t="str">
        <f>HYPERLINK("https://www.codechef.com/problems/SHRTPROB184", "https://www.codechef.com/problems/SHRTPROB184")</f>
        <v>https://www.codechef.com/problems/SHRTPROB184</v>
      </c>
      <c r="K1227" s="15"/>
      <c r="L1227" s="15"/>
      <c r="M1227" s="15"/>
      <c r="N1227" s="15" t="s">
        <v>50</v>
      </c>
      <c r="O1227" s="15" t="s">
        <v>51</v>
      </c>
    </row>
    <row r="1228" spans="1:15">
      <c r="A1228" s="14" t="s">
        <v>13</v>
      </c>
      <c r="B1228" s="14" t="s">
        <v>6938</v>
      </c>
      <c r="C1228" s="14" t="s">
        <v>6939</v>
      </c>
      <c r="D1228" s="14" t="s">
        <v>7132</v>
      </c>
      <c r="E1228" s="14">
        <v>104</v>
      </c>
      <c r="F1228" s="14" t="s">
        <v>7139</v>
      </c>
      <c r="G1228" s="14" t="s">
        <v>7140</v>
      </c>
      <c r="H1228" s="14"/>
      <c r="I1228" s="14" t="s">
        <v>322</v>
      </c>
      <c r="J1228" s="11" t="str">
        <f>HYPERLINK("https://www.codechef.com/problems/SHRTPROB185", "https://www.codechef.com/problems/SHRTPROB185")</f>
        <v>https://www.codechef.com/problems/SHRTPROB185</v>
      </c>
      <c r="K1228" s="14"/>
      <c r="L1228" s="14"/>
      <c r="M1228" s="14"/>
      <c r="N1228" s="14" t="s">
        <v>50</v>
      </c>
      <c r="O1228" s="14" t="s">
        <v>51</v>
      </c>
    </row>
    <row r="1229" spans="1:15">
      <c r="A1229" s="15" t="s">
        <v>13</v>
      </c>
      <c r="B1229" s="15" t="s">
        <v>6938</v>
      </c>
      <c r="C1229" s="15" t="s">
        <v>6939</v>
      </c>
      <c r="D1229" s="15" t="s">
        <v>7132</v>
      </c>
      <c r="E1229" s="15">
        <v>105</v>
      </c>
      <c r="F1229" s="15" t="s">
        <v>7141</v>
      </c>
      <c r="G1229" s="15" t="s">
        <v>7142</v>
      </c>
      <c r="H1229" s="15"/>
      <c r="I1229" s="15" t="s">
        <v>322</v>
      </c>
      <c r="J1229" s="7" t="str">
        <f>HYPERLINK("https://www.codechef.com/problems/SHRTPROB186", "https://www.codechef.com/problems/SHRTPROB186")</f>
        <v>https://www.codechef.com/problems/SHRTPROB186</v>
      </c>
      <c r="K1229" s="15"/>
      <c r="L1229" s="15"/>
      <c r="M1229" s="15"/>
      <c r="N1229" s="15" t="s">
        <v>50</v>
      </c>
      <c r="O1229" s="15" t="s">
        <v>51</v>
      </c>
    </row>
    <row r="1230" spans="1:15">
      <c r="A1230" s="14" t="s">
        <v>13</v>
      </c>
      <c r="B1230" s="14" t="s">
        <v>6938</v>
      </c>
      <c r="C1230" s="14" t="s">
        <v>6939</v>
      </c>
      <c r="D1230" s="14" t="s">
        <v>7132</v>
      </c>
      <c r="E1230" s="14">
        <v>106</v>
      </c>
      <c r="F1230" s="14" t="s">
        <v>7143</v>
      </c>
      <c r="G1230" s="14" t="s">
        <v>7144</v>
      </c>
      <c r="H1230" s="14"/>
      <c r="I1230" s="14" t="s">
        <v>322</v>
      </c>
      <c r="J1230" s="11" t="str">
        <f>HYPERLINK("https://www.codechef.com/problems/SHRTPROB187", "https://www.codechef.com/problems/SHRTPROB187")</f>
        <v>https://www.codechef.com/problems/SHRTPROB187</v>
      </c>
      <c r="K1230" s="14"/>
      <c r="L1230" s="14"/>
      <c r="M1230" s="14"/>
      <c r="N1230" s="14" t="s">
        <v>50</v>
      </c>
      <c r="O1230" s="14" t="s">
        <v>51</v>
      </c>
    </row>
    <row r="1231" spans="1:15">
      <c r="A1231" s="15" t="s">
        <v>13</v>
      </c>
      <c r="B1231" s="15" t="s">
        <v>6938</v>
      </c>
      <c r="C1231" s="15" t="s">
        <v>6939</v>
      </c>
      <c r="D1231" s="15" t="s">
        <v>7132</v>
      </c>
      <c r="E1231" s="15">
        <v>107</v>
      </c>
      <c r="F1231" s="15" t="s">
        <v>7145</v>
      </c>
      <c r="G1231" s="15" t="s">
        <v>7146</v>
      </c>
      <c r="H1231" s="15"/>
      <c r="I1231" s="15" t="s">
        <v>322</v>
      </c>
      <c r="J1231" s="7" t="str">
        <f>HYPERLINK("https://www.codechef.com/problems/SHRTPROB188", "https://www.codechef.com/problems/SHRTPROB188")</f>
        <v>https://www.codechef.com/problems/SHRTPROB188</v>
      </c>
      <c r="K1231" s="15"/>
      <c r="L1231" s="15"/>
      <c r="M1231" s="15"/>
      <c r="N1231" s="15" t="s">
        <v>50</v>
      </c>
      <c r="O1231" s="15" t="s">
        <v>51</v>
      </c>
    </row>
    <row r="1232" spans="1:15">
      <c r="A1232" s="14" t="s">
        <v>13</v>
      </c>
      <c r="B1232" s="14" t="s">
        <v>6938</v>
      </c>
      <c r="C1232" s="14" t="s">
        <v>6939</v>
      </c>
      <c r="D1232" s="14" t="s">
        <v>7132</v>
      </c>
      <c r="E1232" s="14">
        <v>108</v>
      </c>
      <c r="F1232" s="14" t="s">
        <v>7147</v>
      </c>
      <c r="G1232" s="14" t="s">
        <v>7148</v>
      </c>
      <c r="H1232" s="14"/>
      <c r="I1232" s="14" t="s">
        <v>322</v>
      </c>
      <c r="J1232" s="11" t="str">
        <f>HYPERLINK("https://www.codechef.com/problems/SHRTPROB189", "https://www.codechef.com/problems/SHRTPROB189")</f>
        <v>https://www.codechef.com/problems/SHRTPROB189</v>
      </c>
      <c r="K1232" s="14"/>
      <c r="L1232" s="14"/>
      <c r="M1232" s="14"/>
      <c r="N1232" s="14" t="s">
        <v>50</v>
      </c>
      <c r="O1232" s="14" t="s">
        <v>51</v>
      </c>
    </row>
    <row r="1233" spans="1:15">
      <c r="A1233" s="15" t="s">
        <v>13</v>
      </c>
      <c r="B1233" s="15" t="s">
        <v>6938</v>
      </c>
      <c r="C1233" s="15" t="s">
        <v>6939</v>
      </c>
      <c r="D1233" s="15" t="s">
        <v>7132</v>
      </c>
      <c r="E1233" s="15">
        <v>109</v>
      </c>
      <c r="F1233" s="15" t="s">
        <v>7149</v>
      </c>
      <c r="G1233" s="15" t="s">
        <v>7150</v>
      </c>
      <c r="H1233" s="15"/>
      <c r="I1233" s="15" t="s">
        <v>96</v>
      </c>
      <c r="J1233" s="7" t="str">
        <f>HYPERLINK("https://www.codechef.com/problems/SHRTPROB190", "https://www.codechef.com/problems/SHRTPROB190")</f>
        <v>https://www.codechef.com/problems/SHRTPROB190</v>
      </c>
      <c r="K1233" s="15"/>
      <c r="L1233" s="15"/>
      <c r="M1233" s="15"/>
      <c r="N1233" s="15" t="s">
        <v>50</v>
      </c>
      <c r="O1233" s="15" t="s">
        <v>51</v>
      </c>
    </row>
    <row r="1234" spans="1:15">
      <c r="A1234" s="14" t="s">
        <v>13</v>
      </c>
      <c r="B1234" s="14" t="s">
        <v>6938</v>
      </c>
      <c r="C1234" s="14" t="s">
        <v>6939</v>
      </c>
      <c r="D1234" s="14" t="s">
        <v>7132</v>
      </c>
      <c r="E1234" s="14">
        <v>110</v>
      </c>
      <c r="F1234" s="14" t="s">
        <v>7151</v>
      </c>
      <c r="G1234" s="14" t="s">
        <v>7152</v>
      </c>
      <c r="H1234" s="14"/>
      <c r="I1234" s="14" t="s">
        <v>322</v>
      </c>
      <c r="J1234" s="11" t="str">
        <f>HYPERLINK("https://www.codechef.com/problems/SHRTPROB191", "https://www.codechef.com/problems/SHRTPROB191")</f>
        <v>https://www.codechef.com/problems/SHRTPROB191</v>
      </c>
      <c r="K1234" s="14"/>
      <c r="L1234" s="14"/>
      <c r="M1234" s="14"/>
      <c r="N1234" s="14" t="s">
        <v>50</v>
      </c>
      <c r="O1234" s="14" t="s">
        <v>51</v>
      </c>
    </row>
    <row r="1235" spans="1:15">
      <c r="A1235" s="15" t="s">
        <v>13</v>
      </c>
      <c r="B1235" s="15" t="s">
        <v>6938</v>
      </c>
      <c r="C1235" s="15" t="s">
        <v>6939</v>
      </c>
      <c r="D1235" s="15" t="s">
        <v>7132</v>
      </c>
      <c r="E1235" s="15">
        <v>111</v>
      </c>
      <c r="F1235" s="15" t="s">
        <v>7153</v>
      </c>
      <c r="G1235" s="15" t="s">
        <v>7154</v>
      </c>
      <c r="H1235" s="15"/>
      <c r="I1235" s="15" t="s">
        <v>322</v>
      </c>
      <c r="J1235" s="7" t="str">
        <f>HYPERLINK("https://www.codechef.com/problems/SHRTPROB192", "https://www.codechef.com/problems/SHRTPROB192")</f>
        <v>https://www.codechef.com/problems/SHRTPROB192</v>
      </c>
      <c r="K1235" s="15"/>
      <c r="L1235" s="15"/>
      <c r="M1235" s="15"/>
      <c r="N1235" s="15" t="s">
        <v>50</v>
      </c>
      <c r="O1235" s="15" t="s">
        <v>51</v>
      </c>
    </row>
    <row r="1236" spans="1:15">
      <c r="A1236" s="14" t="s">
        <v>13</v>
      </c>
      <c r="B1236" s="14" t="s">
        <v>6938</v>
      </c>
      <c r="C1236" s="14" t="s">
        <v>6939</v>
      </c>
      <c r="D1236" s="14" t="s">
        <v>7132</v>
      </c>
      <c r="E1236" s="14">
        <v>112</v>
      </c>
      <c r="F1236" s="14" t="s">
        <v>7155</v>
      </c>
      <c r="G1236" s="14" t="s">
        <v>7156</v>
      </c>
      <c r="H1236" s="14"/>
      <c r="I1236" s="14" t="s">
        <v>322</v>
      </c>
      <c r="J1236" s="11" t="str">
        <f>HYPERLINK("https://www.codechef.com/problems/SHRTPROB193", "https://www.codechef.com/problems/SHRTPROB193")</f>
        <v>https://www.codechef.com/problems/SHRTPROB193</v>
      </c>
      <c r="K1236" s="14"/>
      <c r="L1236" s="14"/>
      <c r="M1236" s="14"/>
      <c r="N1236" s="14" t="s">
        <v>50</v>
      </c>
      <c r="O1236" s="14" t="s">
        <v>51</v>
      </c>
    </row>
    <row r="1237" spans="1:15">
      <c r="A1237" s="15" t="s">
        <v>13</v>
      </c>
      <c r="B1237" s="15" t="s">
        <v>6938</v>
      </c>
      <c r="C1237" s="15" t="s">
        <v>6939</v>
      </c>
      <c r="D1237" s="15" t="s">
        <v>7132</v>
      </c>
      <c r="E1237" s="15">
        <v>113</v>
      </c>
      <c r="F1237" s="15" t="s">
        <v>7157</v>
      </c>
      <c r="G1237" s="15" t="s">
        <v>7158</v>
      </c>
      <c r="H1237" s="15"/>
      <c r="I1237" s="15" t="s">
        <v>322</v>
      </c>
      <c r="J1237" s="7" t="str">
        <f>HYPERLINK("https://www.codechef.com/problems/SHRTPROB194", "https://www.codechef.com/problems/SHRTPROB194")</f>
        <v>https://www.codechef.com/problems/SHRTPROB194</v>
      </c>
      <c r="K1237" s="15"/>
      <c r="L1237" s="15"/>
      <c r="M1237" s="15"/>
      <c r="N1237" s="15" t="s">
        <v>50</v>
      </c>
      <c r="O1237" s="15" t="s">
        <v>51</v>
      </c>
    </row>
    <row r="1238" spans="1:15">
      <c r="A1238" s="14" t="s">
        <v>13</v>
      </c>
      <c r="B1238" s="14" t="s">
        <v>6938</v>
      </c>
      <c r="C1238" s="14" t="s">
        <v>6939</v>
      </c>
      <c r="D1238" s="14" t="s">
        <v>7132</v>
      </c>
      <c r="E1238" s="14">
        <v>114</v>
      </c>
      <c r="F1238" s="14" t="s">
        <v>7155</v>
      </c>
      <c r="G1238" s="14" t="s">
        <v>7159</v>
      </c>
      <c r="H1238" s="14"/>
      <c r="I1238" s="14" t="s">
        <v>322</v>
      </c>
      <c r="J1238" s="11" t="str">
        <f>HYPERLINK("https://www.codechef.com/problems/SHRTPROB195", "https://www.codechef.com/problems/SHRTPROB195")</f>
        <v>https://www.codechef.com/problems/SHRTPROB195</v>
      </c>
      <c r="K1238" s="14"/>
      <c r="L1238" s="14"/>
      <c r="M1238" s="14"/>
      <c r="N1238" s="14" t="s">
        <v>50</v>
      </c>
      <c r="O1238" s="14" t="s">
        <v>51</v>
      </c>
    </row>
    <row r="1239" spans="1:15">
      <c r="A1239" s="15" t="s">
        <v>13</v>
      </c>
      <c r="B1239" s="15" t="s">
        <v>6938</v>
      </c>
      <c r="C1239" s="15" t="s">
        <v>6939</v>
      </c>
      <c r="D1239" s="15" t="s">
        <v>7132</v>
      </c>
      <c r="E1239" s="15">
        <v>115</v>
      </c>
      <c r="F1239" s="15" t="s">
        <v>7160</v>
      </c>
      <c r="G1239" s="15" t="s">
        <v>7161</v>
      </c>
      <c r="H1239" s="15"/>
      <c r="I1239" s="15" t="s">
        <v>322</v>
      </c>
      <c r="J1239" s="7" t="str">
        <f>HYPERLINK("https://www.codechef.com/problems/SHRTPROB196", "https://www.codechef.com/problems/SHRTPROB196")</f>
        <v>https://www.codechef.com/problems/SHRTPROB196</v>
      </c>
      <c r="K1239" s="15"/>
      <c r="L1239" s="15"/>
      <c r="M1239" s="15"/>
      <c r="N1239" s="15" t="s">
        <v>50</v>
      </c>
      <c r="O1239" s="15" t="s">
        <v>51</v>
      </c>
    </row>
    <row r="1240" spans="1:15">
      <c r="A1240" s="14" t="s">
        <v>13</v>
      </c>
      <c r="B1240" s="14" t="s">
        <v>6938</v>
      </c>
      <c r="C1240" s="14" t="s">
        <v>6939</v>
      </c>
      <c r="D1240" s="14" t="s">
        <v>7132</v>
      </c>
      <c r="E1240" s="14">
        <v>116</v>
      </c>
      <c r="F1240" s="14" t="s">
        <v>7162</v>
      </c>
      <c r="G1240" s="14" t="s">
        <v>7163</v>
      </c>
      <c r="H1240" s="14"/>
      <c r="I1240" s="14" t="s">
        <v>322</v>
      </c>
      <c r="J1240" s="11" t="str">
        <f>HYPERLINK("https://www.codechef.com/problems/SHRTPROB197", "https://www.codechef.com/problems/SHRTPROB197")</f>
        <v>https://www.codechef.com/problems/SHRTPROB197</v>
      </c>
      <c r="K1240" s="14"/>
      <c r="L1240" s="14"/>
      <c r="M1240" s="14"/>
      <c r="N1240" s="14" t="s">
        <v>50</v>
      </c>
      <c r="O1240" s="14" t="s">
        <v>51</v>
      </c>
    </row>
    <row r="1241" spans="1:15">
      <c r="A1241" s="15" t="s">
        <v>13</v>
      </c>
      <c r="B1241" s="15" t="s">
        <v>6938</v>
      </c>
      <c r="C1241" s="15" t="s">
        <v>6939</v>
      </c>
      <c r="D1241" s="15" t="s">
        <v>7132</v>
      </c>
      <c r="E1241" s="15">
        <v>117</v>
      </c>
      <c r="F1241" s="15" t="s">
        <v>7164</v>
      </c>
      <c r="G1241" s="15" t="s">
        <v>7165</v>
      </c>
      <c r="H1241" s="15"/>
      <c r="I1241" s="15" t="s">
        <v>96</v>
      </c>
      <c r="J1241" s="7" t="str">
        <f>HYPERLINK("https://www.codechef.com/problems/SHRTPROB198", "https://www.codechef.com/problems/SHRTPROB198")</f>
        <v>https://www.codechef.com/problems/SHRTPROB198</v>
      </c>
      <c r="K1241" s="15"/>
      <c r="L1241" s="15"/>
      <c r="M1241" s="15"/>
      <c r="N1241" s="15" t="s">
        <v>50</v>
      </c>
      <c r="O1241" s="15" t="s">
        <v>51</v>
      </c>
    </row>
    <row r="1242" spans="1:15">
      <c r="A1242" s="14" t="s">
        <v>13</v>
      </c>
      <c r="B1242" s="14" t="s">
        <v>6938</v>
      </c>
      <c r="C1242" s="14" t="s">
        <v>6939</v>
      </c>
      <c r="D1242" s="14" t="s">
        <v>7132</v>
      </c>
      <c r="E1242" s="14">
        <v>118</v>
      </c>
      <c r="F1242" s="14" t="s">
        <v>7166</v>
      </c>
      <c r="G1242" s="14" t="s">
        <v>7167</v>
      </c>
      <c r="H1242" s="14"/>
      <c r="I1242" s="14" t="s">
        <v>322</v>
      </c>
      <c r="J1242" s="11" t="str">
        <f>HYPERLINK("https://www.codechef.com/problems/SHRTPROB199", "https://www.codechef.com/problems/SHRTPROB199")</f>
        <v>https://www.codechef.com/problems/SHRTPROB199</v>
      </c>
      <c r="K1242" s="14"/>
      <c r="L1242" s="14"/>
      <c r="M1242" s="14"/>
      <c r="N1242" s="14" t="s">
        <v>50</v>
      </c>
      <c r="O1242" s="14" t="s">
        <v>51</v>
      </c>
    </row>
    <row r="1243" spans="1:15">
      <c r="A1243" s="15" t="s">
        <v>13</v>
      </c>
      <c r="B1243" s="15" t="s">
        <v>6938</v>
      </c>
      <c r="C1243" s="15" t="s">
        <v>6939</v>
      </c>
      <c r="D1243" s="15" t="s">
        <v>7132</v>
      </c>
      <c r="E1243" s="15">
        <v>119</v>
      </c>
      <c r="F1243" s="15" t="s">
        <v>7168</v>
      </c>
      <c r="G1243" s="15" t="s">
        <v>7169</v>
      </c>
      <c r="H1243" s="15"/>
      <c r="I1243" s="15" t="s">
        <v>96</v>
      </c>
      <c r="J1243" s="7" t="str">
        <f>HYPERLINK("https://www.codechef.com/problems/SHRTPROB200", "https://www.codechef.com/problems/SHRTPROB200")</f>
        <v>https://www.codechef.com/problems/SHRTPROB200</v>
      </c>
      <c r="K1243" s="15"/>
      <c r="L1243" s="15"/>
      <c r="M1243" s="15"/>
      <c r="N1243" s="15" t="s">
        <v>50</v>
      </c>
      <c r="O1243" s="15" t="s">
        <v>51</v>
      </c>
    </row>
    <row r="1244" spans="1:15">
      <c r="A1244" s="14" t="s">
        <v>13</v>
      </c>
      <c r="B1244" s="14" t="s">
        <v>6938</v>
      </c>
      <c r="C1244" s="14" t="s">
        <v>6939</v>
      </c>
      <c r="D1244" s="14" t="s">
        <v>7132</v>
      </c>
      <c r="E1244" s="14">
        <v>120</v>
      </c>
      <c r="F1244" s="14" t="s">
        <v>7170</v>
      </c>
      <c r="G1244" s="14" t="s">
        <v>7171</v>
      </c>
      <c r="H1244" s="14"/>
      <c r="I1244" s="14" t="s">
        <v>96</v>
      </c>
      <c r="J1244" s="11" t="str">
        <f>HYPERLINK("https://www.codechef.com/problems/SHRTPROB201", "https://www.codechef.com/problems/SHRTPROB201")</f>
        <v>https://www.codechef.com/problems/SHRTPROB201</v>
      </c>
      <c r="K1244" s="14"/>
      <c r="L1244" s="14"/>
      <c r="M1244" s="14"/>
      <c r="N1244" s="14" t="s">
        <v>50</v>
      </c>
      <c r="O1244" s="14" t="s">
        <v>51</v>
      </c>
    </row>
    <row r="1245" spans="1:15">
      <c r="A1245" s="15" t="s">
        <v>13</v>
      </c>
      <c r="B1245" s="15" t="s">
        <v>6938</v>
      </c>
      <c r="C1245" s="15" t="s">
        <v>6939</v>
      </c>
      <c r="D1245" s="15" t="s">
        <v>7172</v>
      </c>
      <c r="E1245" s="15">
        <v>121</v>
      </c>
      <c r="F1245" s="15" t="s">
        <v>7173</v>
      </c>
      <c r="G1245" s="15" t="s">
        <v>7174</v>
      </c>
      <c r="H1245" s="15"/>
      <c r="I1245" s="15" t="s">
        <v>322</v>
      </c>
      <c r="J1245" s="7" t="str">
        <f>HYPERLINK("https://www.codechef.com/problems/SHRTPROB202", "https://www.codechef.com/problems/SHRTPROB202")</f>
        <v>https://www.codechef.com/problems/SHRTPROB202</v>
      </c>
      <c r="K1245" s="15"/>
      <c r="L1245" s="15"/>
      <c r="M1245" s="15"/>
      <c r="N1245" s="15" t="s">
        <v>50</v>
      </c>
      <c r="O1245" s="15" t="s">
        <v>51</v>
      </c>
    </row>
    <row r="1246" spans="1:15">
      <c r="A1246" s="14" t="s">
        <v>13</v>
      </c>
      <c r="B1246" s="14" t="s">
        <v>6938</v>
      </c>
      <c r="C1246" s="14" t="s">
        <v>6939</v>
      </c>
      <c r="D1246" s="14" t="s">
        <v>7172</v>
      </c>
      <c r="E1246" s="14">
        <v>122</v>
      </c>
      <c r="F1246" s="14" t="s">
        <v>7175</v>
      </c>
      <c r="G1246" s="14" t="s">
        <v>7176</v>
      </c>
      <c r="H1246" s="14"/>
      <c r="I1246" s="14" t="s">
        <v>322</v>
      </c>
      <c r="J1246" s="11" t="str">
        <f>HYPERLINK("https://www.codechef.com/problems/SHRTPROB203", "https://www.codechef.com/problems/SHRTPROB203")</f>
        <v>https://www.codechef.com/problems/SHRTPROB203</v>
      </c>
      <c r="K1246" s="14"/>
      <c r="L1246" s="14"/>
      <c r="M1246" s="14"/>
      <c r="N1246" s="14" t="s">
        <v>50</v>
      </c>
      <c r="O1246" s="14" t="s">
        <v>51</v>
      </c>
    </row>
    <row r="1247" spans="1:15">
      <c r="A1247" s="15" t="s">
        <v>13</v>
      </c>
      <c r="B1247" s="15" t="s">
        <v>6938</v>
      </c>
      <c r="C1247" s="15" t="s">
        <v>6939</v>
      </c>
      <c r="D1247" s="15" t="s">
        <v>7172</v>
      </c>
      <c r="E1247" s="15">
        <v>123</v>
      </c>
      <c r="F1247" s="15" t="s">
        <v>7177</v>
      </c>
      <c r="G1247" s="15" t="s">
        <v>7178</v>
      </c>
      <c r="H1247" s="15"/>
      <c r="I1247" s="15" t="s">
        <v>322</v>
      </c>
      <c r="J1247" s="7" t="str">
        <f>HYPERLINK("https://www.codechef.com/problems/SHRTPROB204", "https://www.codechef.com/problems/SHRTPROB204")</f>
        <v>https://www.codechef.com/problems/SHRTPROB204</v>
      </c>
      <c r="K1247" s="15"/>
      <c r="L1247" s="15"/>
      <c r="M1247" s="15"/>
      <c r="N1247" s="15" t="s">
        <v>50</v>
      </c>
      <c r="O1247" s="15" t="s">
        <v>51</v>
      </c>
    </row>
    <row r="1248" spans="1:15">
      <c r="A1248" s="14" t="s">
        <v>13</v>
      </c>
      <c r="B1248" s="14" t="s">
        <v>6938</v>
      </c>
      <c r="C1248" s="14" t="s">
        <v>6939</v>
      </c>
      <c r="D1248" s="14" t="s">
        <v>7172</v>
      </c>
      <c r="E1248" s="14">
        <v>124</v>
      </c>
      <c r="F1248" s="14" t="s">
        <v>7179</v>
      </c>
      <c r="G1248" s="14" t="s">
        <v>7180</v>
      </c>
      <c r="H1248" s="14"/>
      <c r="I1248" s="14" t="s">
        <v>322</v>
      </c>
      <c r="J1248" s="11" t="str">
        <f>HYPERLINK("https://www.codechef.com/problems/SHRTPROB205", "https://www.codechef.com/problems/SHRTPROB205")</f>
        <v>https://www.codechef.com/problems/SHRTPROB205</v>
      </c>
      <c r="K1248" s="14"/>
      <c r="L1248" s="14"/>
      <c r="M1248" s="14"/>
      <c r="N1248" s="14" t="s">
        <v>50</v>
      </c>
      <c r="O1248" s="14" t="s">
        <v>51</v>
      </c>
    </row>
    <row r="1249" spans="1:15">
      <c r="A1249" s="15" t="s">
        <v>13</v>
      </c>
      <c r="B1249" s="15" t="s">
        <v>6938</v>
      </c>
      <c r="C1249" s="15" t="s">
        <v>6939</v>
      </c>
      <c r="D1249" s="15" t="s">
        <v>7172</v>
      </c>
      <c r="E1249" s="15">
        <v>125</v>
      </c>
      <c r="F1249" s="15" t="s">
        <v>7181</v>
      </c>
      <c r="G1249" s="15" t="s">
        <v>7182</v>
      </c>
      <c r="H1249" s="15"/>
      <c r="I1249" s="15" t="s">
        <v>322</v>
      </c>
      <c r="J1249" s="7" t="str">
        <f>HYPERLINK("https://www.codechef.com/problems/SHRTPROB206", "https://www.codechef.com/problems/SHRTPROB206")</f>
        <v>https://www.codechef.com/problems/SHRTPROB206</v>
      </c>
      <c r="K1249" s="15"/>
      <c r="L1249" s="15"/>
      <c r="M1249" s="15"/>
      <c r="N1249" s="15" t="s">
        <v>50</v>
      </c>
      <c r="O1249" s="15" t="s">
        <v>51</v>
      </c>
    </row>
    <row r="1250" spans="1:15">
      <c r="A1250" s="14" t="s">
        <v>13</v>
      </c>
      <c r="B1250" s="14" t="s">
        <v>6938</v>
      </c>
      <c r="C1250" s="14" t="s">
        <v>6939</v>
      </c>
      <c r="D1250" s="14" t="s">
        <v>7172</v>
      </c>
      <c r="E1250" s="14">
        <v>126</v>
      </c>
      <c r="F1250" s="14" t="s">
        <v>7183</v>
      </c>
      <c r="G1250" s="14" t="s">
        <v>7184</v>
      </c>
      <c r="H1250" s="14"/>
      <c r="I1250" s="14" t="s">
        <v>322</v>
      </c>
      <c r="J1250" s="11" t="str">
        <f>HYPERLINK("https://www.codechef.com/problems/SHRTPROB207", "https://www.codechef.com/problems/SHRTPROB207")</f>
        <v>https://www.codechef.com/problems/SHRTPROB207</v>
      </c>
      <c r="K1250" s="14"/>
      <c r="L1250" s="14"/>
      <c r="M1250" s="14"/>
      <c r="N1250" s="14" t="s">
        <v>50</v>
      </c>
      <c r="O1250" s="14" t="s">
        <v>51</v>
      </c>
    </row>
    <row r="1251" spans="1:15">
      <c r="A1251" s="15" t="s">
        <v>13</v>
      </c>
      <c r="B1251" s="15" t="s">
        <v>6938</v>
      </c>
      <c r="C1251" s="15" t="s">
        <v>6939</v>
      </c>
      <c r="D1251" s="15" t="s">
        <v>7172</v>
      </c>
      <c r="E1251" s="15">
        <v>127</v>
      </c>
      <c r="F1251" s="15" t="s">
        <v>7185</v>
      </c>
      <c r="G1251" s="15" t="s">
        <v>7186</v>
      </c>
      <c r="H1251" s="15"/>
      <c r="I1251" s="15" t="s">
        <v>96</v>
      </c>
      <c r="J1251" s="7" t="str">
        <f>HYPERLINK("https://www.codechef.com/problems/SHRTPROB208", "https://www.codechef.com/problems/SHRTPROB208")</f>
        <v>https://www.codechef.com/problems/SHRTPROB208</v>
      </c>
      <c r="K1251" s="15"/>
      <c r="L1251" s="15"/>
      <c r="M1251" s="15"/>
      <c r="N1251" s="15" t="s">
        <v>50</v>
      </c>
      <c r="O1251" s="15" t="s">
        <v>51</v>
      </c>
    </row>
    <row r="1252" spans="1:15">
      <c r="A1252" s="14" t="s">
        <v>13</v>
      </c>
      <c r="B1252" s="14" t="s">
        <v>6938</v>
      </c>
      <c r="C1252" s="14" t="s">
        <v>6939</v>
      </c>
      <c r="D1252" s="14" t="s">
        <v>7172</v>
      </c>
      <c r="E1252" s="14">
        <v>128</v>
      </c>
      <c r="F1252" s="14" t="s">
        <v>7187</v>
      </c>
      <c r="G1252" s="14" t="s">
        <v>7188</v>
      </c>
      <c r="H1252" s="14"/>
      <c r="I1252" s="14" t="s">
        <v>322</v>
      </c>
      <c r="J1252" s="11" t="str">
        <f>HYPERLINK("https://www.codechef.com/problems/SHRTPROB209", "https://www.codechef.com/problems/SHRTPROB209")</f>
        <v>https://www.codechef.com/problems/SHRTPROB209</v>
      </c>
      <c r="K1252" s="14"/>
      <c r="L1252" s="14"/>
      <c r="M1252" s="14"/>
      <c r="N1252" s="14" t="s">
        <v>50</v>
      </c>
      <c r="O1252" s="14" t="s">
        <v>51</v>
      </c>
    </row>
    <row r="1253" spans="1:15">
      <c r="A1253" s="15" t="s">
        <v>13</v>
      </c>
      <c r="B1253" s="15" t="s">
        <v>6938</v>
      </c>
      <c r="C1253" s="15" t="s">
        <v>6939</v>
      </c>
      <c r="D1253" s="15" t="s">
        <v>7172</v>
      </c>
      <c r="E1253" s="15">
        <v>129</v>
      </c>
      <c r="F1253" s="15" t="s">
        <v>7189</v>
      </c>
      <c r="G1253" s="15" t="s">
        <v>7190</v>
      </c>
      <c r="H1253" s="15"/>
      <c r="I1253" s="15" t="s">
        <v>96</v>
      </c>
      <c r="J1253" s="7" t="str">
        <f>HYPERLINK("https://www.codechef.com/problems/SHRTPROB210", "https://www.codechef.com/problems/SHRTPROB210")</f>
        <v>https://www.codechef.com/problems/SHRTPROB210</v>
      </c>
      <c r="K1253" s="15"/>
      <c r="L1253" s="15"/>
      <c r="M1253" s="15"/>
      <c r="N1253" s="15" t="s">
        <v>50</v>
      </c>
      <c r="O1253" s="15" t="s">
        <v>51</v>
      </c>
    </row>
    <row r="1254" spans="1:15">
      <c r="A1254" s="14" t="s">
        <v>13</v>
      </c>
      <c r="B1254" s="14" t="s">
        <v>6938</v>
      </c>
      <c r="C1254" s="14" t="s">
        <v>6939</v>
      </c>
      <c r="D1254" s="14" t="s">
        <v>7172</v>
      </c>
      <c r="E1254" s="14">
        <v>130</v>
      </c>
      <c r="F1254" s="14" t="s">
        <v>7069</v>
      </c>
      <c r="G1254" s="14" t="s">
        <v>7191</v>
      </c>
      <c r="H1254" s="14"/>
      <c r="I1254" s="14" t="s">
        <v>322</v>
      </c>
      <c r="J1254" s="11" t="str">
        <f>HYPERLINK("https://www.codechef.com/problems/SHRTPROB211", "https://www.codechef.com/problems/SHRTPROB211")</f>
        <v>https://www.codechef.com/problems/SHRTPROB211</v>
      </c>
      <c r="K1254" s="14"/>
      <c r="L1254" s="14"/>
      <c r="M1254" s="14"/>
      <c r="N1254" s="14" t="s">
        <v>50</v>
      </c>
      <c r="O1254" s="14" t="s">
        <v>51</v>
      </c>
    </row>
    <row r="1255" spans="1:15">
      <c r="A1255" s="15" t="s">
        <v>13</v>
      </c>
      <c r="B1255" s="15" t="s">
        <v>6938</v>
      </c>
      <c r="C1255" s="15" t="s">
        <v>6939</v>
      </c>
      <c r="D1255" s="15" t="s">
        <v>7172</v>
      </c>
      <c r="E1255" s="15">
        <v>131</v>
      </c>
      <c r="F1255" s="15" t="s">
        <v>7192</v>
      </c>
      <c r="G1255" s="15" t="s">
        <v>7193</v>
      </c>
      <c r="H1255" s="15"/>
      <c r="I1255" s="15" t="s">
        <v>322</v>
      </c>
      <c r="J1255" s="7" t="str">
        <f>HYPERLINK("https://www.codechef.com/problems/SHRTPROB212", "https://www.codechef.com/problems/SHRTPROB212")</f>
        <v>https://www.codechef.com/problems/SHRTPROB212</v>
      </c>
      <c r="K1255" s="15"/>
      <c r="L1255" s="15"/>
      <c r="M1255" s="15"/>
      <c r="N1255" s="15" t="s">
        <v>50</v>
      </c>
      <c r="O1255" s="15" t="s">
        <v>51</v>
      </c>
    </row>
    <row r="1256" spans="1:15">
      <c r="A1256" s="14" t="s">
        <v>13</v>
      </c>
      <c r="B1256" s="14" t="s">
        <v>6938</v>
      </c>
      <c r="C1256" s="14" t="s">
        <v>6939</v>
      </c>
      <c r="D1256" s="14" t="s">
        <v>7172</v>
      </c>
      <c r="E1256" s="14">
        <v>132</v>
      </c>
      <c r="F1256" s="14" t="s">
        <v>7194</v>
      </c>
      <c r="G1256" s="14" t="s">
        <v>7195</v>
      </c>
      <c r="H1256" s="14"/>
      <c r="I1256" s="14" t="s">
        <v>96</v>
      </c>
      <c r="J1256" s="11" t="str">
        <f>HYPERLINK("https://www.codechef.com/problems/SHRTPROB213", "https://www.codechef.com/problems/SHRTPROB213")</f>
        <v>https://www.codechef.com/problems/SHRTPROB213</v>
      </c>
      <c r="K1256" s="14"/>
      <c r="L1256" s="14"/>
      <c r="M1256" s="14"/>
      <c r="N1256" s="14" t="s">
        <v>50</v>
      </c>
      <c r="O1256" s="14" t="s">
        <v>51</v>
      </c>
    </row>
    <row r="1257" spans="1:15">
      <c r="A1257" s="15" t="s">
        <v>13</v>
      </c>
      <c r="B1257" s="15" t="s">
        <v>6938</v>
      </c>
      <c r="C1257" s="15" t="s">
        <v>6939</v>
      </c>
      <c r="D1257" s="15" t="s">
        <v>7172</v>
      </c>
      <c r="E1257" s="15">
        <v>133</v>
      </c>
      <c r="F1257" s="15" t="s">
        <v>7196</v>
      </c>
      <c r="G1257" s="15" t="s">
        <v>7197</v>
      </c>
      <c r="H1257" s="15"/>
      <c r="I1257" s="15" t="s">
        <v>322</v>
      </c>
      <c r="J1257" s="7" t="str">
        <f>HYPERLINK("https://www.codechef.com/problems/SHRTPROB214", "https://www.codechef.com/problems/SHRTPROB214")</f>
        <v>https://www.codechef.com/problems/SHRTPROB214</v>
      </c>
      <c r="K1257" s="15"/>
      <c r="L1257" s="15"/>
      <c r="M1257" s="15"/>
      <c r="N1257" s="15" t="s">
        <v>50</v>
      </c>
      <c r="O1257" s="15" t="s">
        <v>51</v>
      </c>
    </row>
    <row r="1258" spans="1:15">
      <c r="A1258" s="14" t="s">
        <v>13</v>
      </c>
      <c r="B1258" s="14" t="s">
        <v>6938</v>
      </c>
      <c r="C1258" s="14" t="s">
        <v>6939</v>
      </c>
      <c r="D1258" s="14" t="s">
        <v>7172</v>
      </c>
      <c r="E1258" s="14">
        <v>134</v>
      </c>
      <c r="F1258" s="14" t="s">
        <v>7198</v>
      </c>
      <c r="G1258" s="14" t="s">
        <v>7199</v>
      </c>
      <c r="H1258" s="14"/>
      <c r="I1258" s="14" t="s">
        <v>96</v>
      </c>
      <c r="J1258" s="11" t="str">
        <f>HYPERLINK("https://www.codechef.com/problems/SHRTPROB215", "https://www.codechef.com/problems/SHRTPROB215")</f>
        <v>https://www.codechef.com/problems/SHRTPROB215</v>
      </c>
      <c r="K1258" s="14"/>
      <c r="L1258" s="14"/>
      <c r="M1258" s="14"/>
      <c r="N1258" s="14" t="s">
        <v>50</v>
      </c>
      <c r="O1258" s="14" t="s">
        <v>51</v>
      </c>
    </row>
    <row r="1259" spans="1:15">
      <c r="A1259" s="15" t="s">
        <v>13</v>
      </c>
      <c r="B1259" s="15" t="s">
        <v>6938</v>
      </c>
      <c r="C1259" s="15" t="s">
        <v>6939</v>
      </c>
      <c r="D1259" s="15" t="s">
        <v>7172</v>
      </c>
      <c r="E1259" s="15">
        <v>135</v>
      </c>
      <c r="F1259" s="15" t="s">
        <v>7200</v>
      </c>
      <c r="G1259" s="15" t="s">
        <v>7201</v>
      </c>
      <c r="H1259" s="15"/>
      <c r="I1259" s="15" t="s">
        <v>322</v>
      </c>
      <c r="J1259" s="7" t="str">
        <f>HYPERLINK("https://www.codechef.com/problems/SHRTPROB216", "https://www.codechef.com/problems/SHRTPROB216")</f>
        <v>https://www.codechef.com/problems/SHRTPROB216</v>
      </c>
      <c r="K1259" s="15"/>
      <c r="L1259" s="15"/>
      <c r="M1259" s="15"/>
      <c r="N1259" s="15" t="s">
        <v>50</v>
      </c>
      <c r="O1259" s="15" t="s">
        <v>51</v>
      </c>
    </row>
    <row r="1260" spans="1:15">
      <c r="A1260" s="14" t="s">
        <v>13</v>
      </c>
      <c r="B1260" s="14" t="s">
        <v>6938</v>
      </c>
      <c r="C1260" s="14" t="s">
        <v>6939</v>
      </c>
      <c r="D1260" s="14" t="s">
        <v>7172</v>
      </c>
      <c r="E1260" s="14">
        <v>136</v>
      </c>
      <c r="F1260" s="14" t="s">
        <v>7202</v>
      </c>
      <c r="G1260" s="14" t="s">
        <v>7203</v>
      </c>
      <c r="H1260" s="14"/>
      <c r="I1260" s="14" t="s">
        <v>322</v>
      </c>
      <c r="J1260" s="11" t="str">
        <f>HYPERLINK("https://www.codechef.com/problems/SHRTPROB217", "https://www.codechef.com/problems/SHRTPROB217")</f>
        <v>https://www.codechef.com/problems/SHRTPROB217</v>
      </c>
      <c r="K1260" s="14"/>
      <c r="L1260" s="14"/>
      <c r="M1260" s="14"/>
      <c r="N1260" s="14" t="s">
        <v>50</v>
      </c>
      <c r="O1260" s="14" t="s">
        <v>51</v>
      </c>
    </row>
    <row r="1261" spans="1:15">
      <c r="A1261" s="15" t="s">
        <v>13</v>
      </c>
      <c r="B1261" s="15" t="s">
        <v>6938</v>
      </c>
      <c r="C1261" s="15" t="s">
        <v>6939</v>
      </c>
      <c r="D1261" s="15" t="s">
        <v>7172</v>
      </c>
      <c r="E1261" s="15">
        <v>137</v>
      </c>
      <c r="F1261" s="15" t="s">
        <v>7204</v>
      </c>
      <c r="G1261" s="15" t="s">
        <v>7205</v>
      </c>
      <c r="H1261" s="15"/>
      <c r="I1261" s="15" t="s">
        <v>322</v>
      </c>
      <c r="J1261" s="7" t="str">
        <f>HYPERLINK("https://www.codechef.com/problems/SHRTPROB218", "https://www.codechef.com/problems/SHRTPROB218")</f>
        <v>https://www.codechef.com/problems/SHRTPROB218</v>
      </c>
      <c r="K1261" s="15"/>
      <c r="L1261" s="15"/>
      <c r="M1261" s="15"/>
      <c r="N1261" s="15" t="s">
        <v>50</v>
      </c>
      <c r="O1261" s="15" t="s">
        <v>51</v>
      </c>
    </row>
    <row r="1262" spans="1:15">
      <c r="A1262" s="14" t="s">
        <v>13</v>
      </c>
      <c r="B1262" s="14" t="s">
        <v>6938</v>
      </c>
      <c r="C1262" s="14" t="s">
        <v>6939</v>
      </c>
      <c r="D1262" s="14" t="s">
        <v>7172</v>
      </c>
      <c r="E1262" s="14">
        <v>138</v>
      </c>
      <c r="F1262" s="14" t="s">
        <v>7206</v>
      </c>
      <c r="G1262" s="14" t="s">
        <v>7207</v>
      </c>
      <c r="H1262" s="14"/>
      <c r="I1262" s="14" t="s">
        <v>96</v>
      </c>
      <c r="J1262" s="11" t="str">
        <f>HYPERLINK("https://www.codechef.com/problems/SHRTPROB219", "https://www.codechef.com/problems/SHRTPROB219")</f>
        <v>https://www.codechef.com/problems/SHRTPROB219</v>
      </c>
      <c r="K1262" s="14"/>
      <c r="L1262" s="14"/>
      <c r="M1262" s="14"/>
      <c r="N1262" s="14" t="s">
        <v>50</v>
      </c>
      <c r="O1262" s="14" t="s">
        <v>51</v>
      </c>
    </row>
    <row r="1263" spans="1:15">
      <c r="A1263" s="15" t="s">
        <v>13</v>
      </c>
      <c r="B1263" s="15" t="s">
        <v>6938</v>
      </c>
      <c r="C1263" s="15" t="s">
        <v>6939</v>
      </c>
      <c r="D1263" s="15" t="s">
        <v>7172</v>
      </c>
      <c r="E1263" s="15">
        <v>139</v>
      </c>
      <c r="F1263" s="15" t="s">
        <v>7208</v>
      </c>
      <c r="G1263" s="15" t="s">
        <v>7209</v>
      </c>
      <c r="H1263" s="15"/>
      <c r="I1263" s="15" t="s">
        <v>322</v>
      </c>
      <c r="J1263" s="7" t="str">
        <f>HYPERLINK("https://www.codechef.com/problems/SHRTPROB220", "https://www.codechef.com/problems/SHRTPROB220")</f>
        <v>https://www.codechef.com/problems/SHRTPROB220</v>
      </c>
      <c r="K1263" s="15"/>
      <c r="L1263" s="15"/>
      <c r="M1263" s="15"/>
      <c r="N1263" s="15" t="s">
        <v>50</v>
      </c>
      <c r="O1263" s="15" t="s">
        <v>51</v>
      </c>
    </row>
    <row r="1264" spans="1:15">
      <c r="A1264" s="14" t="s">
        <v>13</v>
      </c>
      <c r="B1264" s="14" t="s">
        <v>6938</v>
      </c>
      <c r="C1264" s="14" t="s">
        <v>6939</v>
      </c>
      <c r="D1264" s="14" t="s">
        <v>7172</v>
      </c>
      <c r="E1264" s="14">
        <v>140</v>
      </c>
      <c r="F1264" s="14" t="s">
        <v>7210</v>
      </c>
      <c r="G1264" s="14" t="s">
        <v>7211</v>
      </c>
      <c r="H1264" s="14"/>
      <c r="I1264" s="14" t="s">
        <v>322</v>
      </c>
      <c r="J1264" s="11" t="str">
        <f>HYPERLINK("https://www.codechef.com/problems/SHRTPROB221", "https://www.codechef.com/problems/SHRTPROB221")</f>
        <v>https://www.codechef.com/problems/SHRTPROB221</v>
      </c>
      <c r="K1264" s="14"/>
      <c r="L1264" s="14"/>
      <c r="M1264" s="14"/>
      <c r="N1264" s="14" t="s">
        <v>50</v>
      </c>
      <c r="O1264" s="14" t="s">
        <v>51</v>
      </c>
    </row>
    <row r="1265" spans="1:15">
      <c r="A1265" s="15" t="s">
        <v>13</v>
      </c>
      <c r="B1265" s="15" t="s">
        <v>6938</v>
      </c>
      <c r="C1265" s="15" t="s">
        <v>6939</v>
      </c>
      <c r="D1265" s="15" t="s">
        <v>7212</v>
      </c>
      <c r="E1265" s="15">
        <v>141</v>
      </c>
      <c r="F1265" s="15" t="s">
        <v>7213</v>
      </c>
      <c r="G1265" s="15" t="s">
        <v>7214</v>
      </c>
      <c r="H1265" s="15"/>
      <c r="I1265" s="15" t="s">
        <v>322</v>
      </c>
      <c r="J1265" s="7" t="str">
        <f>HYPERLINK("https://www.codechef.com/problems/SHRTPROB222", "https://www.codechef.com/problems/SHRTPROB222")</f>
        <v>https://www.codechef.com/problems/SHRTPROB222</v>
      </c>
      <c r="K1265" s="15"/>
      <c r="L1265" s="15"/>
      <c r="M1265" s="15"/>
      <c r="N1265" s="15" t="s">
        <v>50</v>
      </c>
      <c r="O1265" s="15" t="s">
        <v>51</v>
      </c>
    </row>
    <row r="1266" spans="1:15">
      <c r="A1266" s="14" t="s">
        <v>13</v>
      </c>
      <c r="B1266" s="14" t="s">
        <v>6938</v>
      </c>
      <c r="C1266" s="14" t="s">
        <v>6939</v>
      </c>
      <c r="D1266" s="14" t="s">
        <v>7212</v>
      </c>
      <c r="E1266" s="14">
        <v>142</v>
      </c>
      <c r="F1266" s="14" t="s">
        <v>7215</v>
      </c>
      <c r="G1266" s="14" t="s">
        <v>7216</v>
      </c>
      <c r="H1266" s="14"/>
      <c r="I1266" s="14" t="s">
        <v>322</v>
      </c>
      <c r="J1266" s="11" t="str">
        <f>HYPERLINK("https://www.codechef.com/problems/SHRTPROB223", "https://www.codechef.com/problems/SHRTPROB223")</f>
        <v>https://www.codechef.com/problems/SHRTPROB223</v>
      </c>
      <c r="K1266" s="14"/>
      <c r="L1266" s="14"/>
      <c r="M1266" s="14"/>
      <c r="N1266" s="14" t="s">
        <v>50</v>
      </c>
      <c r="O1266" s="14" t="s">
        <v>51</v>
      </c>
    </row>
    <row r="1267" spans="1:15">
      <c r="A1267" s="15" t="s">
        <v>13</v>
      </c>
      <c r="B1267" s="15" t="s">
        <v>6938</v>
      </c>
      <c r="C1267" s="15" t="s">
        <v>6939</v>
      </c>
      <c r="D1267" s="15" t="s">
        <v>7212</v>
      </c>
      <c r="E1267" s="15">
        <v>143</v>
      </c>
      <c r="F1267" s="15" t="s">
        <v>7217</v>
      </c>
      <c r="G1267" s="15" t="s">
        <v>7218</v>
      </c>
      <c r="H1267" s="15"/>
      <c r="I1267" s="15" t="s">
        <v>322</v>
      </c>
      <c r="J1267" s="7" t="str">
        <f>HYPERLINK("https://www.codechef.com/problems/SHRTPROB224", "https://www.codechef.com/problems/SHRTPROB224")</f>
        <v>https://www.codechef.com/problems/SHRTPROB224</v>
      </c>
      <c r="K1267" s="15"/>
      <c r="L1267" s="15"/>
      <c r="M1267" s="15"/>
      <c r="N1267" s="15" t="s">
        <v>50</v>
      </c>
      <c r="O1267" s="15" t="s">
        <v>51</v>
      </c>
    </row>
    <row r="1268" spans="1:15">
      <c r="A1268" s="14" t="s">
        <v>13</v>
      </c>
      <c r="B1268" s="14" t="s">
        <v>6938</v>
      </c>
      <c r="C1268" s="14" t="s">
        <v>6939</v>
      </c>
      <c r="D1268" s="14" t="s">
        <v>7212</v>
      </c>
      <c r="E1268" s="14">
        <v>144</v>
      </c>
      <c r="F1268" s="14" t="s">
        <v>7219</v>
      </c>
      <c r="G1268" s="14" t="s">
        <v>7220</v>
      </c>
      <c r="H1268" s="14"/>
      <c r="I1268" s="14" t="s">
        <v>322</v>
      </c>
      <c r="J1268" s="11" t="str">
        <f>HYPERLINK("https://www.codechef.com/problems/SHRTPROB225", "https://www.codechef.com/problems/SHRTPROB225")</f>
        <v>https://www.codechef.com/problems/SHRTPROB225</v>
      </c>
      <c r="K1268" s="14"/>
      <c r="L1268" s="14"/>
      <c r="M1268" s="14"/>
      <c r="N1268" s="14" t="s">
        <v>50</v>
      </c>
      <c r="O1268" s="14" t="s">
        <v>51</v>
      </c>
    </row>
    <row r="1269" spans="1:15">
      <c r="A1269" s="15" t="s">
        <v>13</v>
      </c>
      <c r="B1269" s="15" t="s">
        <v>6938</v>
      </c>
      <c r="C1269" s="15" t="s">
        <v>6939</v>
      </c>
      <c r="D1269" s="15" t="s">
        <v>7212</v>
      </c>
      <c r="E1269" s="15">
        <v>145</v>
      </c>
      <c r="F1269" s="15" t="s">
        <v>7221</v>
      </c>
      <c r="G1269" s="15" t="s">
        <v>7222</v>
      </c>
      <c r="H1269" s="15"/>
      <c r="I1269" s="15" t="s">
        <v>96</v>
      </c>
      <c r="J1269" s="7" t="str">
        <f>HYPERLINK("https://www.codechef.com/problems/SHRTPROB226", "https://www.codechef.com/problems/SHRTPROB226")</f>
        <v>https://www.codechef.com/problems/SHRTPROB226</v>
      </c>
      <c r="K1269" s="15"/>
      <c r="L1269" s="15"/>
      <c r="M1269" s="15"/>
      <c r="N1269" s="15" t="s">
        <v>50</v>
      </c>
      <c r="O1269" s="15" t="s">
        <v>51</v>
      </c>
    </row>
    <row r="1270" spans="1:15">
      <c r="A1270" s="14" t="s">
        <v>13</v>
      </c>
      <c r="B1270" s="14" t="s">
        <v>6938</v>
      </c>
      <c r="C1270" s="14" t="s">
        <v>6939</v>
      </c>
      <c r="D1270" s="14" t="s">
        <v>7212</v>
      </c>
      <c r="E1270" s="14">
        <v>146</v>
      </c>
      <c r="F1270" s="14" t="s">
        <v>7223</v>
      </c>
      <c r="G1270" s="14" t="s">
        <v>7224</v>
      </c>
      <c r="H1270" s="14"/>
      <c r="I1270" s="14" t="s">
        <v>322</v>
      </c>
      <c r="J1270" s="11" t="str">
        <f>HYPERLINK("https://www.codechef.com/problems/SHRTPROB227", "https://www.codechef.com/problems/SHRTPROB227")</f>
        <v>https://www.codechef.com/problems/SHRTPROB227</v>
      </c>
      <c r="K1270" s="14"/>
      <c r="L1270" s="14"/>
      <c r="M1270" s="14"/>
      <c r="N1270" s="14" t="s">
        <v>50</v>
      </c>
      <c r="O1270" s="14" t="s">
        <v>51</v>
      </c>
    </row>
    <row r="1271" spans="1:15">
      <c r="A1271" s="15" t="s">
        <v>13</v>
      </c>
      <c r="B1271" s="15" t="s">
        <v>6938</v>
      </c>
      <c r="C1271" s="15" t="s">
        <v>6939</v>
      </c>
      <c r="D1271" s="15" t="s">
        <v>7212</v>
      </c>
      <c r="E1271" s="15">
        <v>147</v>
      </c>
      <c r="F1271" s="15" t="s">
        <v>7225</v>
      </c>
      <c r="G1271" s="15" t="s">
        <v>7226</v>
      </c>
      <c r="H1271" s="15"/>
      <c r="I1271" s="15" t="s">
        <v>322</v>
      </c>
      <c r="J1271" s="7" t="str">
        <f>HYPERLINK("https://www.codechef.com/problems/SHRTPROB228", "https://www.codechef.com/problems/SHRTPROB228")</f>
        <v>https://www.codechef.com/problems/SHRTPROB228</v>
      </c>
      <c r="K1271" s="15"/>
      <c r="L1271" s="15"/>
      <c r="M1271" s="15"/>
      <c r="N1271" s="15" t="s">
        <v>50</v>
      </c>
      <c r="O1271" s="15" t="s">
        <v>51</v>
      </c>
    </row>
    <row r="1272" spans="1:15">
      <c r="A1272" s="14" t="s">
        <v>13</v>
      </c>
      <c r="B1272" s="14" t="s">
        <v>6938</v>
      </c>
      <c r="C1272" s="14" t="s">
        <v>6939</v>
      </c>
      <c r="D1272" s="14" t="s">
        <v>7212</v>
      </c>
      <c r="E1272" s="14">
        <v>148</v>
      </c>
      <c r="F1272" s="14" t="s">
        <v>7227</v>
      </c>
      <c r="G1272" s="14" t="s">
        <v>7228</v>
      </c>
      <c r="H1272" s="14"/>
      <c r="I1272" s="14" t="s">
        <v>322</v>
      </c>
      <c r="J1272" s="11" t="str">
        <f>HYPERLINK("https://www.codechef.com/problems/SHRTPROB229", "https://www.codechef.com/problems/SHRTPROB229")</f>
        <v>https://www.codechef.com/problems/SHRTPROB229</v>
      </c>
      <c r="K1272" s="14"/>
      <c r="L1272" s="14"/>
      <c r="M1272" s="14"/>
      <c r="N1272" s="14" t="s">
        <v>50</v>
      </c>
      <c r="O1272" s="14" t="s">
        <v>51</v>
      </c>
    </row>
    <row r="1273" spans="1:15">
      <c r="A1273" s="15" t="s">
        <v>13</v>
      </c>
      <c r="B1273" s="15" t="s">
        <v>6938</v>
      </c>
      <c r="C1273" s="15" t="s">
        <v>6939</v>
      </c>
      <c r="D1273" s="15" t="s">
        <v>7212</v>
      </c>
      <c r="E1273" s="15">
        <v>149</v>
      </c>
      <c r="F1273" s="15" t="s">
        <v>7229</v>
      </c>
      <c r="G1273" s="15" t="s">
        <v>7230</v>
      </c>
      <c r="H1273" s="15"/>
      <c r="I1273" s="15" t="s">
        <v>322</v>
      </c>
      <c r="J1273" s="7" t="str">
        <f>HYPERLINK("https://www.codechef.com/problems/SHRTPROB230", "https://www.codechef.com/problems/SHRTPROB230")</f>
        <v>https://www.codechef.com/problems/SHRTPROB230</v>
      </c>
      <c r="K1273" s="15"/>
      <c r="L1273" s="15"/>
      <c r="M1273" s="15"/>
      <c r="N1273" s="15" t="s">
        <v>50</v>
      </c>
      <c r="O1273" s="15" t="s">
        <v>51</v>
      </c>
    </row>
    <row r="1274" spans="1:15">
      <c r="A1274" s="14" t="s">
        <v>13</v>
      </c>
      <c r="B1274" s="14" t="s">
        <v>6938</v>
      </c>
      <c r="C1274" s="14" t="s">
        <v>6939</v>
      </c>
      <c r="D1274" s="14" t="s">
        <v>7212</v>
      </c>
      <c r="E1274" s="14">
        <v>150</v>
      </c>
      <c r="F1274" s="14" t="s">
        <v>7231</v>
      </c>
      <c r="G1274" s="14" t="s">
        <v>7232</v>
      </c>
      <c r="H1274" s="14"/>
      <c r="I1274" s="14" t="s">
        <v>322</v>
      </c>
      <c r="J1274" s="11" t="str">
        <f>HYPERLINK("https://www.codechef.com/problems/SHRTPROB231", "https://www.codechef.com/problems/SHRTPROB231")</f>
        <v>https://www.codechef.com/problems/SHRTPROB231</v>
      </c>
      <c r="K1274" s="14"/>
      <c r="L1274" s="14"/>
      <c r="M1274" s="14"/>
      <c r="N1274" s="14" t="s">
        <v>50</v>
      </c>
      <c r="O1274" s="14" t="s">
        <v>51</v>
      </c>
    </row>
    <row r="1275" spans="1:15">
      <c r="A1275" s="15" t="s">
        <v>13</v>
      </c>
      <c r="B1275" s="15" t="s">
        <v>6938</v>
      </c>
      <c r="C1275" s="15" t="s">
        <v>6939</v>
      </c>
      <c r="D1275" s="15" t="s">
        <v>7212</v>
      </c>
      <c r="E1275" s="15">
        <v>151</v>
      </c>
      <c r="F1275" s="15" t="s">
        <v>7233</v>
      </c>
      <c r="G1275" s="15" t="s">
        <v>7234</v>
      </c>
      <c r="H1275" s="15"/>
      <c r="I1275" s="15" t="s">
        <v>96</v>
      </c>
      <c r="J1275" s="7" t="str">
        <f>HYPERLINK("https://www.codechef.com/problems/SHRTPROB232", "https://www.codechef.com/problems/SHRTPROB232")</f>
        <v>https://www.codechef.com/problems/SHRTPROB232</v>
      </c>
      <c r="K1275" s="15"/>
      <c r="L1275" s="15"/>
      <c r="M1275" s="15"/>
      <c r="N1275" s="15" t="s">
        <v>50</v>
      </c>
      <c r="O1275" s="15" t="s">
        <v>51</v>
      </c>
    </row>
    <row r="1276" spans="1:15">
      <c r="A1276" s="14" t="s">
        <v>13</v>
      </c>
      <c r="B1276" s="14" t="s">
        <v>6938</v>
      </c>
      <c r="C1276" s="14" t="s">
        <v>6939</v>
      </c>
      <c r="D1276" s="14" t="s">
        <v>7212</v>
      </c>
      <c r="E1276" s="14">
        <v>152</v>
      </c>
      <c r="F1276" s="14" t="s">
        <v>7235</v>
      </c>
      <c r="G1276" s="14" t="s">
        <v>7236</v>
      </c>
      <c r="H1276" s="14"/>
      <c r="I1276" s="14" t="s">
        <v>322</v>
      </c>
      <c r="J1276" s="11" t="str">
        <f>HYPERLINK("https://www.codechef.com/problems/SHRTPROB233", "https://www.codechef.com/problems/SHRTPROB233")</f>
        <v>https://www.codechef.com/problems/SHRTPROB233</v>
      </c>
      <c r="K1276" s="14"/>
      <c r="L1276" s="14"/>
      <c r="M1276" s="14"/>
      <c r="N1276" s="14" t="s">
        <v>50</v>
      </c>
      <c r="O1276" s="14" t="s">
        <v>51</v>
      </c>
    </row>
    <row r="1277" spans="1:15">
      <c r="A1277" s="15" t="s">
        <v>13</v>
      </c>
      <c r="B1277" s="15" t="s">
        <v>6938</v>
      </c>
      <c r="C1277" s="15" t="s">
        <v>6939</v>
      </c>
      <c r="D1277" s="15" t="s">
        <v>7212</v>
      </c>
      <c r="E1277" s="15">
        <v>153</v>
      </c>
      <c r="F1277" s="15" t="s">
        <v>7237</v>
      </c>
      <c r="G1277" s="15" t="s">
        <v>7238</v>
      </c>
      <c r="H1277" s="15"/>
      <c r="I1277" s="15" t="s">
        <v>96</v>
      </c>
      <c r="J1277" s="7" t="str">
        <f>HYPERLINK("https://www.codechef.com/problems/SHRTPROB234", "https://www.codechef.com/problems/SHRTPROB234")</f>
        <v>https://www.codechef.com/problems/SHRTPROB234</v>
      </c>
      <c r="K1277" s="15"/>
      <c r="L1277" s="15"/>
      <c r="M1277" s="15"/>
      <c r="N1277" s="15" t="s">
        <v>50</v>
      </c>
      <c r="O1277" s="15" t="s">
        <v>51</v>
      </c>
    </row>
    <row r="1278" spans="1:15">
      <c r="A1278" s="14" t="s">
        <v>13</v>
      </c>
      <c r="B1278" s="14" t="s">
        <v>6938</v>
      </c>
      <c r="C1278" s="14" t="s">
        <v>6939</v>
      </c>
      <c r="D1278" s="14" t="s">
        <v>7212</v>
      </c>
      <c r="E1278" s="14">
        <v>154</v>
      </c>
      <c r="F1278" s="14" t="s">
        <v>7239</v>
      </c>
      <c r="G1278" s="14" t="s">
        <v>7240</v>
      </c>
      <c r="H1278" s="14"/>
      <c r="I1278" s="14" t="s">
        <v>322</v>
      </c>
      <c r="J1278" s="11" t="str">
        <f>HYPERLINK("https://www.codechef.com/problems/SHRTPROB235", "https://www.codechef.com/problems/SHRTPROB235")</f>
        <v>https://www.codechef.com/problems/SHRTPROB235</v>
      </c>
      <c r="K1278" s="14"/>
      <c r="L1278" s="14"/>
      <c r="M1278" s="14"/>
      <c r="N1278" s="14" t="s">
        <v>50</v>
      </c>
      <c r="O1278" s="14" t="s">
        <v>51</v>
      </c>
    </row>
    <row r="1279" spans="1:15">
      <c r="A1279" s="15" t="s">
        <v>13</v>
      </c>
      <c r="B1279" s="15" t="s">
        <v>6938</v>
      </c>
      <c r="C1279" s="15" t="s">
        <v>6939</v>
      </c>
      <c r="D1279" s="15" t="s">
        <v>7212</v>
      </c>
      <c r="E1279" s="15">
        <v>155</v>
      </c>
      <c r="F1279" s="15" t="s">
        <v>7241</v>
      </c>
      <c r="G1279" s="15" t="s">
        <v>7242</v>
      </c>
      <c r="H1279" s="15"/>
      <c r="I1279" s="15" t="s">
        <v>96</v>
      </c>
      <c r="J1279" s="7" t="str">
        <f>HYPERLINK("https://www.codechef.com/problems/SHRTPROB236", "https://www.codechef.com/problems/SHRTPROB236")</f>
        <v>https://www.codechef.com/problems/SHRTPROB236</v>
      </c>
      <c r="K1279" s="15"/>
      <c r="L1279" s="15"/>
      <c r="M1279" s="15"/>
      <c r="N1279" s="15" t="s">
        <v>50</v>
      </c>
      <c r="O1279" s="15" t="s">
        <v>51</v>
      </c>
    </row>
    <row r="1280" spans="1:15">
      <c r="A1280" s="14" t="s">
        <v>13</v>
      </c>
      <c r="B1280" s="14" t="s">
        <v>6938</v>
      </c>
      <c r="C1280" s="14" t="s">
        <v>6939</v>
      </c>
      <c r="D1280" s="14" t="s">
        <v>7212</v>
      </c>
      <c r="E1280" s="14">
        <v>156</v>
      </c>
      <c r="F1280" s="14" t="s">
        <v>7243</v>
      </c>
      <c r="G1280" s="14" t="s">
        <v>7244</v>
      </c>
      <c r="H1280" s="14"/>
      <c r="I1280" s="14" t="s">
        <v>322</v>
      </c>
      <c r="J1280" s="11" t="str">
        <f>HYPERLINK("https://www.codechef.com/problems/SHRTPROB237", "https://www.codechef.com/problems/SHRTPROB237")</f>
        <v>https://www.codechef.com/problems/SHRTPROB237</v>
      </c>
      <c r="K1280" s="14"/>
      <c r="L1280" s="14"/>
      <c r="M1280" s="14"/>
      <c r="N1280" s="14" t="s">
        <v>50</v>
      </c>
      <c r="O1280" s="14" t="s">
        <v>51</v>
      </c>
    </row>
    <row r="1281" spans="1:15">
      <c r="A1281" s="15" t="s">
        <v>13</v>
      </c>
      <c r="B1281" s="15" t="s">
        <v>6938</v>
      </c>
      <c r="C1281" s="15" t="s">
        <v>6939</v>
      </c>
      <c r="D1281" s="15" t="s">
        <v>7212</v>
      </c>
      <c r="E1281" s="15">
        <v>157</v>
      </c>
      <c r="F1281" s="15" t="s">
        <v>7245</v>
      </c>
      <c r="G1281" s="15" t="s">
        <v>7246</v>
      </c>
      <c r="H1281" s="15"/>
      <c r="I1281" s="15" t="s">
        <v>96</v>
      </c>
      <c r="J1281" s="7" t="str">
        <f>HYPERLINK("https://www.codechef.com/problems/SHRTPROB238", "https://www.codechef.com/problems/SHRTPROB238")</f>
        <v>https://www.codechef.com/problems/SHRTPROB238</v>
      </c>
      <c r="K1281" s="15"/>
      <c r="L1281" s="15"/>
      <c r="M1281" s="15"/>
      <c r="N1281" s="15" t="s">
        <v>50</v>
      </c>
      <c r="O1281" s="15" t="s">
        <v>51</v>
      </c>
    </row>
    <row r="1282" spans="1:15">
      <c r="A1282" s="14" t="s">
        <v>13</v>
      </c>
      <c r="B1282" s="14" t="s">
        <v>6938</v>
      </c>
      <c r="C1282" s="14" t="s">
        <v>6939</v>
      </c>
      <c r="D1282" s="14" t="s">
        <v>7212</v>
      </c>
      <c r="E1282" s="14">
        <v>158</v>
      </c>
      <c r="F1282" s="14" t="s">
        <v>7247</v>
      </c>
      <c r="G1282" s="14" t="s">
        <v>7248</v>
      </c>
      <c r="H1282" s="14"/>
      <c r="I1282" s="14" t="s">
        <v>322</v>
      </c>
      <c r="J1282" s="11" t="str">
        <f>HYPERLINK("https://www.codechef.com/problems/SHRTPROB239", "https://www.codechef.com/problems/SHRTPROB239")</f>
        <v>https://www.codechef.com/problems/SHRTPROB239</v>
      </c>
      <c r="K1282" s="14"/>
      <c r="L1282" s="14"/>
      <c r="M1282" s="14"/>
      <c r="N1282" s="14" t="s">
        <v>50</v>
      </c>
      <c r="O1282" s="14" t="s">
        <v>51</v>
      </c>
    </row>
    <row r="1283" spans="1:15">
      <c r="A1283" s="15" t="s">
        <v>13</v>
      </c>
      <c r="B1283" s="15" t="s">
        <v>6938</v>
      </c>
      <c r="C1283" s="15" t="s">
        <v>6939</v>
      </c>
      <c r="D1283" s="15" t="s">
        <v>7212</v>
      </c>
      <c r="E1283" s="15">
        <v>159</v>
      </c>
      <c r="F1283" s="15" t="s">
        <v>7249</v>
      </c>
      <c r="G1283" s="15" t="s">
        <v>7250</v>
      </c>
      <c r="H1283" s="15"/>
      <c r="I1283" s="15" t="s">
        <v>49</v>
      </c>
      <c r="J1283" s="7" t="str">
        <f>HYPERLINK("https://www.codechef.com/problems/SHRTPROB240", "https://www.codechef.com/problems/SHRTPROB240")</f>
        <v>https://www.codechef.com/problems/SHRTPROB240</v>
      </c>
      <c r="K1283" s="15"/>
      <c r="L1283" s="15"/>
      <c r="M1283" s="15"/>
      <c r="N1283" s="15" t="s">
        <v>50</v>
      </c>
      <c r="O1283" s="15" t="s">
        <v>51</v>
      </c>
    </row>
    <row r="1284" spans="1:15">
      <c r="A1284" s="14" t="s">
        <v>13</v>
      </c>
      <c r="B1284" s="14" t="s">
        <v>6938</v>
      </c>
      <c r="C1284" s="14" t="s">
        <v>6939</v>
      </c>
      <c r="D1284" s="14" t="s">
        <v>7212</v>
      </c>
      <c r="E1284" s="14">
        <v>160</v>
      </c>
      <c r="F1284" s="14" t="s">
        <v>7251</v>
      </c>
      <c r="G1284" s="14" t="s">
        <v>7252</v>
      </c>
      <c r="H1284" s="14"/>
      <c r="I1284" s="14" t="s">
        <v>322</v>
      </c>
      <c r="J1284" s="11" t="str">
        <f>HYPERLINK("https://www.codechef.com/problems/SHRTPROB241", "https://www.codechef.com/problems/SHRTPROB241")</f>
        <v>https://www.codechef.com/problems/SHRTPROB241</v>
      </c>
      <c r="K1284" s="14"/>
      <c r="L1284" s="14"/>
      <c r="M1284" s="14"/>
      <c r="N1284" s="14" t="s">
        <v>50</v>
      </c>
      <c r="O1284" s="14" t="s">
        <v>51</v>
      </c>
    </row>
    <row r="1285" spans="1:15">
      <c r="A1285" s="15" t="s">
        <v>13</v>
      </c>
      <c r="B1285" s="15" t="s">
        <v>7253</v>
      </c>
      <c r="C1285" s="15" t="s">
        <v>7254</v>
      </c>
      <c r="D1285" s="15" t="s">
        <v>7255</v>
      </c>
      <c r="E1285" s="15">
        <v>1</v>
      </c>
      <c r="F1285" s="15" t="s">
        <v>7256</v>
      </c>
      <c r="G1285" s="15" t="s">
        <v>7257</v>
      </c>
      <c r="H1285" s="15"/>
      <c r="I1285" s="15" t="s">
        <v>96</v>
      </c>
      <c r="J1285" s="7" t="str">
        <f>HYPERLINK("https://www.codechef.com/problems/JVASHRTA05", "https://www.codechef.com/problems/JVASHRTA05")</f>
        <v>https://www.codechef.com/problems/JVASHRTA05</v>
      </c>
      <c r="K1285" s="15"/>
      <c r="L1285" s="15"/>
      <c r="M1285" s="15"/>
      <c r="N1285" s="15" t="s">
        <v>50</v>
      </c>
      <c r="O1285" s="15" t="s">
        <v>51</v>
      </c>
    </row>
    <row r="1286" spans="1:15">
      <c r="A1286" s="14" t="s">
        <v>13</v>
      </c>
      <c r="B1286" s="14" t="s">
        <v>7253</v>
      </c>
      <c r="C1286" s="14" t="s">
        <v>7254</v>
      </c>
      <c r="D1286" s="14" t="s">
        <v>7255</v>
      </c>
      <c r="E1286" s="14">
        <v>2</v>
      </c>
      <c r="F1286" s="14" t="s">
        <v>7258</v>
      </c>
      <c r="G1286" s="14" t="s">
        <v>7259</v>
      </c>
      <c r="H1286" s="14"/>
      <c r="I1286" s="14" t="s">
        <v>49</v>
      </c>
      <c r="J1286" s="11" t="str">
        <f>HYPERLINK("https://www.codechef.com/problems/JVASHRTA06", "https://www.codechef.com/problems/JVASHRTA06")</f>
        <v>https://www.codechef.com/problems/JVASHRTA06</v>
      </c>
      <c r="K1286" s="14"/>
      <c r="L1286" s="14"/>
      <c r="M1286" s="14"/>
      <c r="N1286" s="14" t="s">
        <v>50</v>
      </c>
      <c r="O1286" s="14" t="s">
        <v>51</v>
      </c>
    </row>
    <row r="1287" spans="1:15">
      <c r="A1287" s="15" t="s">
        <v>13</v>
      </c>
      <c r="B1287" s="15" t="s">
        <v>7253</v>
      </c>
      <c r="C1287" s="15" t="s">
        <v>7254</v>
      </c>
      <c r="D1287" s="15" t="s">
        <v>7255</v>
      </c>
      <c r="E1287" s="15">
        <v>3</v>
      </c>
      <c r="F1287" s="15" t="s">
        <v>7260</v>
      </c>
      <c r="G1287" s="15" t="s">
        <v>7261</v>
      </c>
      <c r="H1287" s="15"/>
      <c r="I1287" s="15" t="s">
        <v>49</v>
      </c>
      <c r="J1287" s="7" t="str">
        <f>HYPERLINK("https://www.codechef.com/problems/JVASHRTA07", "https://www.codechef.com/problems/JVASHRTA07")</f>
        <v>https://www.codechef.com/problems/JVASHRTA07</v>
      </c>
      <c r="K1287" s="15"/>
      <c r="L1287" s="15"/>
      <c r="M1287" s="15"/>
      <c r="N1287" s="15" t="s">
        <v>50</v>
      </c>
      <c r="O1287" s="15" t="s">
        <v>51</v>
      </c>
    </row>
    <row r="1288" spans="1:15">
      <c r="A1288" s="14" t="s">
        <v>13</v>
      </c>
      <c r="B1288" s="14" t="s">
        <v>7253</v>
      </c>
      <c r="C1288" s="14" t="s">
        <v>7254</v>
      </c>
      <c r="D1288" s="14" t="s">
        <v>7255</v>
      </c>
      <c r="E1288" s="14">
        <v>4</v>
      </c>
      <c r="F1288" s="14" t="s">
        <v>7262</v>
      </c>
      <c r="G1288" s="14" t="s">
        <v>7263</v>
      </c>
      <c r="H1288" s="14"/>
      <c r="I1288" s="14" t="s">
        <v>49</v>
      </c>
      <c r="J1288" s="11" t="str">
        <f>HYPERLINK("https://www.codechef.com/problems/JVASHRTA08", "https://www.codechef.com/problems/JVASHRTA08")</f>
        <v>https://www.codechef.com/problems/JVASHRTA08</v>
      </c>
      <c r="K1288" s="14"/>
      <c r="L1288" s="14"/>
      <c r="M1288" s="14"/>
      <c r="N1288" s="14" t="s">
        <v>50</v>
      </c>
      <c r="O1288" s="14" t="s">
        <v>51</v>
      </c>
    </row>
    <row r="1289" spans="1:15">
      <c r="A1289" s="15" t="s">
        <v>13</v>
      </c>
      <c r="B1289" s="15" t="s">
        <v>7253</v>
      </c>
      <c r="C1289" s="15" t="s">
        <v>7254</v>
      </c>
      <c r="D1289" s="15" t="s">
        <v>7255</v>
      </c>
      <c r="E1289" s="15">
        <v>5</v>
      </c>
      <c r="F1289" s="15" t="s">
        <v>7264</v>
      </c>
      <c r="G1289" s="15" t="s">
        <v>7265</v>
      </c>
      <c r="H1289" s="15"/>
      <c r="I1289" s="15" t="s">
        <v>49</v>
      </c>
      <c r="J1289" s="7" t="str">
        <f>HYPERLINK("https://www.codechef.com/problems/JVASHRTA09", "https://www.codechef.com/problems/JVASHRTA09")</f>
        <v>https://www.codechef.com/problems/JVASHRTA09</v>
      </c>
      <c r="K1289" s="15"/>
      <c r="L1289" s="15"/>
      <c r="M1289" s="15"/>
      <c r="N1289" s="15" t="s">
        <v>50</v>
      </c>
      <c r="O1289" s="15" t="s">
        <v>51</v>
      </c>
    </row>
    <row r="1290" spans="1:15">
      <c r="A1290" s="14" t="s">
        <v>13</v>
      </c>
      <c r="B1290" s="14" t="s">
        <v>7253</v>
      </c>
      <c r="C1290" s="14" t="s">
        <v>7254</v>
      </c>
      <c r="D1290" s="14" t="s">
        <v>7255</v>
      </c>
      <c r="E1290" s="14">
        <v>6</v>
      </c>
      <c r="F1290" s="14" t="s">
        <v>7266</v>
      </c>
      <c r="G1290" s="14" t="s">
        <v>7267</v>
      </c>
      <c r="H1290" s="14"/>
      <c r="I1290" s="14" t="s">
        <v>49</v>
      </c>
      <c r="J1290" s="11" t="str">
        <f>HYPERLINK("https://www.codechef.com/problems/JVASHRTA10", "https://www.codechef.com/problems/JVASHRTA10")</f>
        <v>https://www.codechef.com/problems/JVASHRTA10</v>
      </c>
      <c r="K1290" s="14"/>
      <c r="L1290" s="14"/>
      <c r="M1290" s="14"/>
      <c r="N1290" s="14" t="s">
        <v>50</v>
      </c>
      <c r="O1290" s="14" t="s">
        <v>51</v>
      </c>
    </row>
    <row r="1291" spans="1:15">
      <c r="A1291" s="15" t="s">
        <v>13</v>
      </c>
      <c r="B1291" s="15" t="s">
        <v>7253</v>
      </c>
      <c r="C1291" s="15" t="s">
        <v>7254</v>
      </c>
      <c r="D1291" s="15" t="s">
        <v>7255</v>
      </c>
      <c r="E1291" s="15">
        <v>7</v>
      </c>
      <c r="F1291" s="15" t="s">
        <v>7268</v>
      </c>
      <c r="G1291" s="15" t="s">
        <v>7269</v>
      </c>
      <c r="H1291" s="15"/>
      <c r="I1291" s="15" t="s">
        <v>49</v>
      </c>
      <c r="J1291" s="7" t="str">
        <f>HYPERLINK("https://www.codechef.com/problems/JVASHRTA11", "https://www.codechef.com/problems/JVASHRTA11")</f>
        <v>https://www.codechef.com/problems/JVASHRTA11</v>
      </c>
      <c r="K1291" s="15"/>
      <c r="L1291" s="15"/>
      <c r="M1291" s="15"/>
      <c r="N1291" s="15" t="s">
        <v>50</v>
      </c>
      <c r="O1291" s="15" t="s">
        <v>51</v>
      </c>
    </row>
    <row r="1292" spans="1:15">
      <c r="A1292" s="14" t="s">
        <v>13</v>
      </c>
      <c r="B1292" s="14" t="s">
        <v>7253</v>
      </c>
      <c r="C1292" s="14" t="s">
        <v>7254</v>
      </c>
      <c r="D1292" s="14" t="s">
        <v>7255</v>
      </c>
      <c r="E1292" s="14">
        <v>8</v>
      </c>
      <c r="F1292" s="14" t="s">
        <v>7270</v>
      </c>
      <c r="G1292" s="14" t="s">
        <v>7271</v>
      </c>
      <c r="H1292" s="14"/>
      <c r="I1292" s="14" t="s">
        <v>49</v>
      </c>
      <c r="J1292" s="11" t="str">
        <f>HYPERLINK("https://www.codechef.com/problems/JVASHRTA12", "https://www.codechef.com/problems/JVASHRTA12")</f>
        <v>https://www.codechef.com/problems/JVASHRTA12</v>
      </c>
      <c r="K1292" s="14"/>
      <c r="L1292" s="14"/>
      <c r="M1292" s="14"/>
      <c r="N1292" s="14" t="s">
        <v>50</v>
      </c>
      <c r="O1292" s="14" t="s">
        <v>51</v>
      </c>
    </row>
    <row r="1293" spans="1:15">
      <c r="A1293" s="15" t="s">
        <v>13</v>
      </c>
      <c r="B1293" s="15" t="s">
        <v>7253</v>
      </c>
      <c r="C1293" s="15" t="s">
        <v>7254</v>
      </c>
      <c r="D1293" s="15" t="s">
        <v>7255</v>
      </c>
      <c r="E1293" s="15">
        <v>9</v>
      </c>
      <c r="F1293" s="15" t="s">
        <v>7272</v>
      </c>
      <c r="G1293" s="15" t="s">
        <v>7273</v>
      </c>
      <c r="H1293" s="15"/>
      <c r="I1293" s="15" t="s">
        <v>96</v>
      </c>
      <c r="J1293" s="7" t="str">
        <f>HYPERLINK("https://www.codechef.com/problems/JVASHRTA13", "https://www.codechef.com/problems/JVASHRTA13")</f>
        <v>https://www.codechef.com/problems/JVASHRTA13</v>
      </c>
      <c r="K1293" s="15"/>
      <c r="L1293" s="15"/>
      <c r="M1293" s="15"/>
      <c r="N1293" s="15" t="s">
        <v>50</v>
      </c>
      <c r="O1293" s="15" t="s">
        <v>51</v>
      </c>
    </row>
    <row r="1294" spans="1:15">
      <c r="A1294" s="14" t="s">
        <v>13</v>
      </c>
      <c r="B1294" s="14" t="s">
        <v>7253</v>
      </c>
      <c r="C1294" s="14" t="s">
        <v>7254</v>
      </c>
      <c r="D1294" s="14" t="s">
        <v>7255</v>
      </c>
      <c r="E1294" s="14">
        <v>10</v>
      </c>
      <c r="F1294" s="14" t="s">
        <v>7274</v>
      </c>
      <c r="G1294" s="14" t="s">
        <v>7275</v>
      </c>
      <c r="H1294" s="14"/>
      <c r="I1294" s="14" t="s">
        <v>96</v>
      </c>
      <c r="J1294" s="11" t="str">
        <f>HYPERLINK("https://www.codechef.com/problems/JVASHRTA14", "https://www.codechef.com/problems/JVASHRTA14")</f>
        <v>https://www.codechef.com/problems/JVASHRTA14</v>
      </c>
      <c r="K1294" s="14"/>
      <c r="L1294" s="14"/>
      <c r="M1294" s="14"/>
      <c r="N1294" s="14" t="s">
        <v>50</v>
      </c>
      <c r="O1294" s="14" t="s">
        <v>51</v>
      </c>
    </row>
    <row r="1295" spans="1:15">
      <c r="A1295" s="15" t="s">
        <v>13</v>
      </c>
      <c r="B1295" s="15" t="s">
        <v>7253</v>
      </c>
      <c r="C1295" s="15" t="s">
        <v>7254</v>
      </c>
      <c r="D1295" s="15" t="s">
        <v>7255</v>
      </c>
      <c r="E1295" s="15">
        <v>11</v>
      </c>
      <c r="F1295" s="15" t="s">
        <v>7276</v>
      </c>
      <c r="G1295" s="15" t="s">
        <v>7277</v>
      </c>
      <c r="H1295" s="15"/>
      <c r="I1295" s="15" t="s">
        <v>96</v>
      </c>
      <c r="J1295" s="7" t="str">
        <f>HYPERLINK("https://www.codechef.com/problems/JVASHRTA15", "https://www.codechef.com/problems/JVASHRTA15")</f>
        <v>https://www.codechef.com/problems/JVASHRTA15</v>
      </c>
      <c r="K1295" s="15"/>
      <c r="L1295" s="15"/>
      <c r="M1295" s="15"/>
      <c r="N1295" s="15" t="s">
        <v>50</v>
      </c>
      <c r="O1295" s="15" t="s">
        <v>51</v>
      </c>
    </row>
    <row r="1296" spans="1:15">
      <c r="A1296" s="14" t="s">
        <v>13</v>
      </c>
      <c r="B1296" s="14" t="s">
        <v>7253</v>
      </c>
      <c r="C1296" s="14" t="s">
        <v>7254</v>
      </c>
      <c r="D1296" s="14" t="s">
        <v>7255</v>
      </c>
      <c r="E1296" s="14">
        <v>12</v>
      </c>
      <c r="F1296" s="14" t="s">
        <v>7278</v>
      </c>
      <c r="G1296" s="14" t="s">
        <v>7279</v>
      </c>
      <c r="H1296" s="14"/>
      <c r="I1296" s="14" t="s">
        <v>96</v>
      </c>
      <c r="J1296" s="11" t="str">
        <f>HYPERLINK("https://www.codechef.com/problems/JVASHRTA16", "https://www.codechef.com/problems/JVASHRTA16")</f>
        <v>https://www.codechef.com/problems/JVASHRTA16</v>
      </c>
      <c r="K1296" s="14"/>
      <c r="L1296" s="14"/>
      <c r="M1296" s="14"/>
      <c r="N1296" s="14" t="s">
        <v>50</v>
      </c>
      <c r="O1296" s="14" t="s">
        <v>51</v>
      </c>
    </row>
    <row r="1297" spans="1:15">
      <c r="A1297" s="15" t="s">
        <v>13</v>
      </c>
      <c r="B1297" s="15" t="s">
        <v>7253</v>
      </c>
      <c r="C1297" s="15" t="s">
        <v>7254</v>
      </c>
      <c r="D1297" s="15" t="s">
        <v>7280</v>
      </c>
      <c r="E1297" s="15">
        <v>13</v>
      </c>
      <c r="F1297" s="15" t="s">
        <v>7278</v>
      </c>
      <c r="G1297" s="15" t="s">
        <v>7279</v>
      </c>
      <c r="H1297" s="15"/>
      <c r="I1297" s="15" t="s">
        <v>96</v>
      </c>
      <c r="J1297" s="7" t="str">
        <f>HYPERLINK("https://www.codechef.com/problems/JVASHRTA16", "https://www.codechef.com/problems/JVASHRTA16")</f>
        <v>https://www.codechef.com/problems/JVASHRTA16</v>
      </c>
      <c r="K1297" s="15"/>
      <c r="L1297" s="15"/>
      <c r="M1297" s="15"/>
      <c r="N1297" s="15" t="s">
        <v>50</v>
      </c>
      <c r="O1297" s="15" t="s">
        <v>51</v>
      </c>
    </row>
    <row r="1298" spans="1:15">
      <c r="A1298" s="14" t="s">
        <v>13</v>
      </c>
      <c r="B1298" s="14" t="s">
        <v>7253</v>
      </c>
      <c r="C1298" s="14" t="s">
        <v>7254</v>
      </c>
      <c r="D1298" s="14" t="s">
        <v>7280</v>
      </c>
      <c r="E1298" s="14">
        <v>14</v>
      </c>
      <c r="F1298" s="14" t="s">
        <v>7281</v>
      </c>
      <c r="G1298" s="14" t="s">
        <v>7282</v>
      </c>
      <c r="H1298" s="14"/>
      <c r="I1298" s="14" t="s">
        <v>49</v>
      </c>
      <c r="J1298" s="11" t="str">
        <f>HYPERLINK("https://www.codechef.com/problems/JVPREPOOP01", "https://www.codechef.com/problems/JVPREPOOP01")</f>
        <v>https://www.codechef.com/problems/JVPREPOOP01</v>
      </c>
      <c r="K1298" s="14"/>
      <c r="L1298" s="14"/>
      <c r="M1298" s="14"/>
      <c r="N1298" s="14" t="s">
        <v>50</v>
      </c>
      <c r="O1298" s="14" t="s">
        <v>51</v>
      </c>
    </row>
    <row r="1299" spans="1:15">
      <c r="A1299" s="15" t="s">
        <v>13</v>
      </c>
      <c r="B1299" s="15" t="s">
        <v>7253</v>
      </c>
      <c r="C1299" s="15" t="s">
        <v>7254</v>
      </c>
      <c r="D1299" s="15" t="s">
        <v>7280</v>
      </c>
      <c r="E1299" s="15">
        <v>15</v>
      </c>
      <c r="F1299" s="15" t="s">
        <v>7283</v>
      </c>
      <c r="G1299" s="15" t="s">
        <v>7284</v>
      </c>
      <c r="H1299" s="15"/>
      <c r="I1299" s="15" t="s">
        <v>96</v>
      </c>
      <c r="J1299" s="7" t="str">
        <f>HYPERLINK("https://www.codechef.com/problems/JVASHRTA17", "https://www.codechef.com/problems/JVASHRTA17")</f>
        <v>https://www.codechef.com/problems/JVASHRTA17</v>
      </c>
      <c r="K1299" s="15"/>
      <c r="L1299" s="15"/>
      <c r="M1299" s="15"/>
      <c r="N1299" s="15" t="s">
        <v>50</v>
      </c>
      <c r="O1299" s="15" t="s">
        <v>51</v>
      </c>
    </row>
    <row r="1300" spans="1:15">
      <c r="A1300" s="14" t="s">
        <v>13</v>
      </c>
      <c r="B1300" s="14" t="s">
        <v>7253</v>
      </c>
      <c r="C1300" s="14" t="s">
        <v>7254</v>
      </c>
      <c r="D1300" s="14" t="s">
        <v>7280</v>
      </c>
      <c r="E1300" s="14">
        <v>16</v>
      </c>
      <c r="F1300" s="14" t="s">
        <v>7285</v>
      </c>
      <c r="G1300" s="14" t="s">
        <v>7286</v>
      </c>
      <c r="H1300" s="14"/>
      <c r="I1300" s="14" t="s">
        <v>96</v>
      </c>
      <c r="J1300" s="11" t="str">
        <f>HYPERLINK("https://www.codechef.com/problems/JVPREPOOP02", "https://www.codechef.com/problems/JVPREPOOP02")</f>
        <v>https://www.codechef.com/problems/JVPREPOOP02</v>
      </c>
      <c r="K1300" s="14"/>
      <c r="L1300" s="14"/>
      <c r="M1300" s="14"/>
      <c r="N1300" s="14" t="s">
        <v>50</v>
      </c>
      <c r="O1300" s="14" t="s">
        <v>51</v>
      </c>
    </row>
    <row r="1301" spans="1:15">
      <c r="A1301" s="15" t="s">
        <v>13</v>
      </c>
      <c r="B1301" s="15" t="s">
        <v>7253</v>
      </c>
      <c r="C1301" s="15" t="s">
        <v>7254</v>
      </c>
      <c r="D1301" s="15" t="s">
        <v>7280</v>
      </c>
      <c r="E1301" s="15">
        <v>17</v>
      </c>
      <c r="F1301" s="15" t="s">
        <v>7287</v>
      </c>
      <c r="G1301" s="15" t="s">
        <v>7288</v>
      </c>
      <c r="H1301" s="15"/>
      <c r="I1301" s="15" t="s">
        <v>96</v>
      </c>
      <c r="J1301" s="7" t="str">
        <f>HYPERLINK("https://www.codechef.com/problems/JVASHRTA18", "https://www.codechef.com/problems/JVASHRTA18")</f>
        <v>https://www.codechef.com/problems/JVASHRTA18</v>
      </c>
      <c r="K1301" s="15"/>
      <c r="L1301" s="15"/>
      <c r="M1301" s="15"/>
      <c r="N1301" s="15" t="s">
        <v>50</v>
      </c>
      <c r="O1301" s="15" t="s">
        <v>51</v>
      </c>
    </row>
    <row r="1302" spans="1:15">
      <c r="A1302" s="14" t="s">
        <v>13</v>
      </c>
      <c r="B1302" s="14" t="s">
        <v>7253</v>
      </c>
      <c r="C1302" s="14" t="s">
        <v>7254</v>
      </c>
      <c r="D1302" s="14" t="s">
        <v>7280</v>
      </c>
      <c r="E1302" s="14">
        <v>18</v>
      </c>
      <c r="F1302" s="14" t="s">
        <v>7289</v>
      </c>
      <c r="G1302" s="14" t="s">
        <v>7290</v>
      </c>
      <c r="H1302" s="14"/>
      <c r="I1302" s="14" t="s">
        <v>96</v>
      </c>
      <c r="J1302" s="11" t="str">
        <f>HYPERLINK("https://www.codechef.com/problems/JVPREPOOP03", "https://www.codechef.com/problems/JVPREPOOP03")</f>
        <v>https://www.codechef.com/problems/JVPREPOOP03</v>
      </c>
      <c r="K1302" s="14"/>
      <c r="L1302" s="14"/>
      <c r="M1302" s="14"/>
      <c r="N1302" s="14" t="s">
        <v>50</v>
      </c>
      <c r="O1302" s="14" t="s">
        <v>51</v>
      </c>
    </row>
    <row r="1303" spans="1:15">
      <c r="A1303" s="15" t="s">
        <v>13</v>
      </c>
      <c r="B1303" s="15" t="s">
        <v>7253</v>
      </c>
      <c r="C1303" s="15" t="s">
        <v>7254</v>
      </c>
      <c r="D1303" s="15" t="s">
        <v>7280</v>
      </c>
      <c r="E1303" s="15">
        <v>19</v>
      </c>
      <c r="F1303" s="15" t="s">
        <v>7291</v>
      </c>
      <c r="G1303" s="15" t="s">
        <v>7292</v>
      </c>
      <c r="H1303" s="15"/>
      <c r="I1303" s="15" t="s">
        <v>96</v>
      </c>
      <c r="J1303" s="7" t="str">
        <f>HYPERLINK("https://www.codechef.com/problems/JVASHRTA19", "https://www.codechef.com/problems/JVASHRTA19")</f>
        <v>https://www.codechef.com/problems/JVASHRTA19</v>
      </c>
      <c r="K1303" s="15"/>
      <c r="L1303" s="15"/>
      <c r="M1303" s="15"/>
      <c r="N1303" s="15" t="s">
        <v>50</v>
      </c>
      <c r="O1303" s="15" t="s">
        <v>51</v>
      </c>
    </row>
    <row r="1304" spans="1:15">
      <c r="A1304" s="14" t="s">
        <v>13</v>
      </c>
      <c r="B1304" s="14" t="s">
        <v>7253</v>
      </c>
      <c r="C1304" s="14" t="s">
        <v>7254</v>
      </c>
      <c r="D1304" s="14" t="s">
        <v>7280</v>
      </c>
      <c r="E1304" s="14">
        <v>20</v>
      </c>
      <c r="F1304" s="14" t="s">
        <v>7293</v>
      </c>
      <c r="G1304" s="14" t="s">
        <v>7294</v>
      </c>
      <c r="H1304" s="14"/>
      <c r="I1304" s="14" t="s">
        <v>96</v>
      </c>
      <c r="J1304" s="11" t="str">
        <f>HYPERLINK("https://www.codechef.com/problems/JVPREPOOP04", "https://www.codechef.com/problems/JVPREPOOP04")</f>
        <v>https://www.codechef.com/problems/JVPREPOOP04</v>
      </c>
      <c r="K1304" s="14"/>
      <c r="L1304" s="14"/>
      <c r="M1304" s="14"/>
      <c r="N1304" s="14" t="s">
        <v>50</v>
      </c>
      <c r="O1304" s="14" t="s">
        <v>51</v>
      </c>
    </row>
    <row r="1305" spans="1:15">
      <c r="A1305" s="15" t="s">
        <v>13</v>
      </c>
      <c r="B1305" s="15" t="s">
        <v>7253</v>
      </c>
      <c r="C1305" s="15" t="s">
        <v>7254</v>
      </c>
      <c r="D1305" s="15" t="s">
        <v>7280</v>
      </c>
      <c r="E1305" s="15">
        <v>21</v>
      </c>
      <c r="F1305" s="15" t="s">
        <v>4884</v>
      </c>
      <c r="G1305" s="15" t="s">
        <v>7295</v>
      </c>
      <c r="H1305" s="15"/>
      <c r="I1305" s="15" t="s">
        <v>96</v>
      </c>
      <c r="J1305" s="7" t="str">
        <f>HYPERLINK("https://www.codechef.com/problems/JVASHRTA20", "https://www.codechef.com/problems/JVASHRTA20")</f>
        <v>https://www.codechef.com/problems/JVASHRTA20</v>
      </c>
      <c r="K1305" s="15"/>
      <c r="L1305" s="15"/>
      <c r="M1305" s="15"/>
      <c r="N1305" s="15" t="s">
        <v>50</v>
      </c>
      <c r="O1305" s="15" t="s">
        <v>51</v>
      </c>
    </row>
    <row r="1306" spans="1:15">
      <c r="A1306" s="14" t="s">
        <v>13</v>
      </c>
      <c r="B1306" s="14" t="s">
        <v>7253</v>
      </c>
      <c r="C1306" s="14" t="s">
        <v>7254</v>
      </c>
      <c r="D1306" s="14" t="s">
        <v>7280</v>
      </c>
      <c r="E1306" s="14">
        <v>22</v>
      </c>
      <c r="F1306" s="14" t="s">
        <v>7296</v>
      </c>
      <c r="G1306" s="14" t="s">
        <v>7297</v>
      </c>
      <c r="H1306" s="14"/>
      <c r="I1306" s="14" t="s">
        <v>96</v>
      </c>
      <c r="J1306" s="11" t="str">
        <f>HYPERLINK("https://www.codechef.com/problems/JVPREPOOP05", "https://www.codechef.com/problems/JVPREPOOP05")</f>
        <v>https://www.codechef.com/problems/JVPREPOOP05</v>
      </c>
      <c r="K1306" s="14"/>
      <c r="L1306" s="14"/>
      <c r="M1306" s="14"/>
      <c r="N1306" s="14" t="s">
        <v>50</v>
      </c>
      <c r="O1306" s="14" t="s">
        <v>51</v>
      </c>
    </row>
    <row r="1307" spans="1:15">
      <c r="A1307" s="15" t="s">
        <v>13</v>
      </c>
      <c r="B1307" s="15" t="s">
        <v>7253</v>
      </c>
      <c r="C1307" s="15" t="s">
        <v>7254</v>
      </c>
      <c r="D1307" s="15" t="s">
        <v>7280</v>
      </c>
      <c r="E1307" s="15">
        <v>23</v>
      </c>
      <c r="F1307" s="15" t="s">
        <v>7298</v>
      </c>
      <c r="G1307" s="15" t="s">
        <v>7299</v>
      </c>
      <c r="H1307" s="15"/>
      <c r="I1307" s="15" t="s">
        <v>49</v>
      </c>
      <c r="J1307" s="7" t="str">
        <f>HYPERLINK("https://www.codechef.com/problems/JVASHRTA21", "https://www.codechef.com/problems/JVASHRTA21")</f>
        <v>https://www.codechef.com/problems/JVASHRTA21</v>
      </c>
      <c r="K1307" s="15"/>
      <c r="L1307" s="15"/>
      <c r="M1307" s="15"/>
      <c r="N1307" s="15" t="s">
        <v>50</v>
      </c>
      <c r="O1307" s="15" t="s">
        <v>51</v>
      </c>
    </row>
    <row r="1308" spans="1:15">
      <c r="A1308" s="14" t="s">
        <v>13</v>
      </c>
      <c r="B1308" s="14" t="s">
        <v>7253</v>
      </c>
      <c r="C1308" s="14" t="s">
        <v>7254</v>
      </c>
      <c r="D1308" s="14" t="s">
        <v>7300</v>
      </c>
      <c r="E1308" s="14">
        <v>24</v>
      </c>
      <c r="F1308" s="14" t="s">
        <v>7301</v>
      </c>
      <c r="G1308" s="14" t="s">
        <v>7302</v>
      </c>
      <c r="H1308" s="14" t="s">
        <v>7303</v>
      </c>
      <c r="I1308" s="14" t="s">
        <v>49</v>
      </c>
      <c r="J1308" s="11" t="str">
        <f>HYPERLINK("https://www.codechef.com/problems/TRICOIN", "https://www.codechef.com/problems/TRICOIN")</f>
        <v>https://www.codechef.com/problems/TRICOIN</v>
      </c>
      <c r="K1308" s="14"/>
      <c r="L1308" s="14"/>
      <c r="M1308" s="14"/>
      <c r="N1308" s="14" t="s">
        <v>50</v>
      </c>
      <c r="O1308" s="14" t="s">
        <v>51</v>
      </c>
    </row>
    <row r="1309" spans="1:15">
      <c r="A1309" s="15" t="s">
        <v>13</v>
      </c>
      <c r="B1309" s="15" t="s">
        <v>7253</v>
      </c>
      <c r="C1309" s="15" t="s">
        <v>7254</v>
      </c>
      <c r="D1309" s="15" t="s">
        <v>7300</v>
      </c>
      <c r="E1309" s="15">
        <v>25</v>
      </c>
      <c r="F1309" s="15" t="s">
        <v>338</v>
      </c>
      <c r="G1309" s="15" t="s">
        <v>339</v>
      </c>
      <c r="H1309" s="15" t="s">
        <v>340</v>
      </c>
      <c r="I1309" s="15" t="s">
        <v>96</v>
      </c>
      <c r="J1309" s="7" t="str">
        <f>HYPERLINK("https://www.codechef.com/problems/RTLL", "https://www.codechef.com/problems/RTLL")</f>
        <v>https://www.codechef.com/problems/RTLL</v>
      </c>
      <c r="K1309" s="15"/>
      <c r="L1309" s="15"/>
      <c r="M1309" s="15"/>
      <c r="N1309" s="15" t="s">
        <v>50</v>
      </c>
      <c r="O1309" s="15" t="s">
        <v>51</v>
      </c>
    </row>
    <row r="1310" spans="1:15">
      <c r="A1310" s="14" t="s">
        <v>13</v>
      </c>
      <c r="B1310" s="14" t="s">
        <v>7253</v>
      </c>
      <c r="C1310" s="14" t="s">
        <v>7254</v>
      </c>
      <c r="D1310" s="14" t="s">
        <v>7300</v>
      </c>
      <c r="E1310" s="14">
        <v>26</v>
      </c>
      <c r="F1310" s="14" t="s">
        <v>7304</v>
      </c>
      <c r="G1310" s="14" t="s">
        <v>7305</v>
      </c>
      <c r="H1310" s="14" t="s">
        <v>565</v>
      </c>
      <c r="I1310" s="14" t="s">
        <v>49</v>
      </c>
      <c r="J1310" s="11" t="str">
        <f>HYPERLINK("https://www.codechef.com/problems/STACK03", "https://www.codechef.com/problems/STACK03")</f>
        <v>https://www.codechef.com/problems/STACK03</v>
      </c>
      <c r="K1310" s="14"/>
      <c r="L1310" s="14"/>
      <c r="M1310" s="14"/>
      <c r="N1310" s="14" t="s">
        <v>50</v>
      </c>
      <c r="O1310" s="14" t="s">
        <v>51</v>
      </c>
    </row>
    <row r="1311" spans="1:15">
      <c r="A1311" s="15" t="s">
        <v>13</v>
      </c>
      <c r="B1311" s="15" t="s">
        <v>7253</v>
      </c>
      <c r="C1311" s="15" t="s">
        <v>7254</v>
      </c>
      <c r="D1311" s="15" t="s">
        <v>7300</v>
      </c>
      <c r="E1311" s="15">
        <v>27</v>
      </c>
      <c r="F1311" s="15" t="s">
        <v>7306</v>
      </c>
      <c r="G1311" s="15" t="s">
        <v>7307</v>
      </c>
      <c r="H1311" s="15"/>
      <c r="I1311" s="15" t="s">
        <v>96</v>
      </c>
      <c r="J1311" s="7" t="str">
        <f>HYPERLINK("https://www.codechef.com/problems/HBBTREE", "https://www.codechef.com/problems/HBBTREE")</f>
        <v>https://www.codechef.com/problems/HBBTREE</v>
      </c>
      <c r="K1311" s="15"/>
      <c r="L1311" s="15"/>
      <c r="M1311" s="15"/>
      <c r="N1311" s="15" t="s">
        <v>50</v>
      </c>
      <c r="O1311" s="15" t="s">
        <v>51</v>
      </c>
    </row>
    <row r="1312" spans="1:15">
      <c r="A1312" s="14" t="s">
        <v>13</v>
      </c>
      <c r="B1312" s="14" t="s">
        <v>7253</v>
      </c>
      <c r="C1312" s="14" t="s">
        <v>7254</v>
      </c>
      <c r="D1312" s="14" t="s">
        <v>7300</v>
      </c>
      <c r="E1312" s="14">
        <v>28</v>
      </c>
      <c r="F1312" s="14" t="s">
        <v>6991</v>
      </c>
      <c r="G1312" s="14" t="s">
        <v>7308</v>
      </c>
      <c r="H1312" s="14"/>
      <c r="I1312" s="14" t="s">
        <v>96</v>
      </c>
      <c r="J1312" s="11" t="str">
        <f>HYPERLINK("https://www.codechef.com/problems/SESO44", "https://www.codechef.com/problems/SESO44")</f>
        <v>https://www.codechef.com/problems/SESO44</v>
      </c>
      <c r="K1312" s="14"/>
      <c r="L1312" s="14"/>
      <c r="M1312" s="14"/>
      <c r="N1312" s="14" t="s">
        <v>50</v>
      </c>
      <c r="O1312" s="14" t="s">
        <v>51</v>
      </c>
    </row>
    <row r="1313" spans="1:15">
      <c r="A1313" s="15" t="s">
        <v>13</v>
      </c>
      <c r="B1313" s="15" t="s">
        <v>7253</v>
      </c>
      <c r="C1313" s="15" t="s">
        <v>7254</v>
      </c>
      <c r="D1313" s="15" t="s">
        <v>7300</v>
      </c>
      <c r="E1313" s="15">
        <v>29</v>
      </c>
      <c r="F1313" s="15" t="s">
        <v>1511</v>
      </c>
      <c r="G1313" s="15" t="s">
        <v>7309</v>
      </c>
      <c r="H1313" s="15"/>
      <c r="I1313" s="15" t="s">
        <v>96</v>
      </c>
      <c r="J1313" s="7" t="str">
        <f>HYPERLINK("https://www.codechef.com/problems/VISA06", "https://www.codechef.com/problems/VISA06")</f>
        <v>https://www.codechef.com/problems/VISA06</v>
      </c>
      <c r="K1313" s="15"/>
      <c r="L1313" s="15"/>
      <c r="M1313" s="15"/>
      <c r="N1313" s="15" t="s">
        <v>50</v>
      </c>
      <c r="O1313" s="15" t="s">
        <v>51</v>
      </c>
    </row>
    <row r="1314" spans="1:15">
      <c r="A1314" s="14" t="s">
        <v>13</v>
      </c>
      <c r="B1314" s="14" t="s">
        <v>7253</v>
      </c>
      <c r="C1314" s="14" t="s">
        <v>7254</v>
      </c>
      <c r="D1314" s="14" t="s">
        <v>7300</v>
      </c>
      <c r="E1314" s="14">
        <v>30</v>
      </c>
      <c r="F1314" s="14" t="s">
        <v>7310</v>
      </c>
      <c r="G1314" s="14" t="s">
        <v>7311</v>
      </c>
      <c r="H1314" s="14"/>
      <c r="I1314" s="14" t="s">
        <v>322</v>
      </c>
      <c r="J1314" s="11" t="str">
        <f>HYPERLINK("https://www.codechef.com/problems/ACCOLITE04", "https://www.codechef.com/problems/ACCOLITE04")</f>
        <v>https://www.codechef.com/problems/ACCOLITE04</v>
      </c>
      <c r="K1314" s="14"/>
      <c r="L1314" s="14"/>
      <c r="M1314" s="14"/>
      <c r="N1314" s="14" t="s">
        <v>50</v>
      </c>
      <c r="O1314" s="14" t="s">
        <v>51</v>
      </c>
    </row>
    <row r="1315" spans="1:15">
      <c r="A1315" s="15" t="s">
        <v>13</v>
      </c>
      <c r="B1315" s="15" t="s">
        <v>7253</v>
      </c>
      <c r="C1315" s="15" t="s">
        <v>7254</v>
      </c>
      <c r="D1315" s="15" t="s">
        <v>7300</v>
      </c>
      <c r="E1315" s="15">
        <v>31</v>
      </c>
      <c r="F1315" s="15" t="s">
        <v>325</v>
      </c>
      <c r="G1315" s="15" t="s">
        <v>7312</v>
      </c>
      <c r="H1315" s="15" t="s">
        <v>327</v>
      </c>
      <c r="I1315" s="15" t="s">
        <v>49</v>
      </c>
      <c r="J1315" s="7" t="str">
        <f>HYPERLINK("https://www.codechef.com/problems/DSAAGP96", "https://www.codechef.com/problems/DSAAGP96")</f>
        <v>https://www.codechef.com/problems/DSAAGP96</v>
      </c>
      <c r="K1315" s="15"/>
      <c r="L1315" s="15"/>
      <c r="M1315" s="15"/>
      <c r="N1315" s="15" t="s">
        <v>50</v>
      </c>
      <c r="O1315" s="15" t="s">
        <v>51</v>
      </c>
    </row>
    <row r="1316" spans="1:15">
      <c r="A1316" s="14" t="s">
        <v>13</v>
      </c>
      <c r="B1316" s="14" t="s">
        <v>7253</v>
      </c>
      <c r="C1316" s="14" t="s">
        <v>7254</v>
      </c>
      <c r="D1316" s="14" t="s">
        <v>7300</v>
      </c>
      <c r="E1316" s="14">
        <v>32</v>
      </c>
      <c r="F1316" s="14" t="s">
        <v>6246</v>
      </c>
      <c r="G1316" s="14" t="s">
        <v>7313</v>
      </c>
      <c r="H1316" s="14"/>
      <c r="I1316" s="14" t="s">
        <v>322</v>
      </c>
      <c r="J1316" s="11" t="str">
        <f>HYPERLINK("https://www.codechef.com/problems/DSAAGP105", "https://www.codechef.com/problems/DSAAGP105")</f>
        <v>https://www.codechef.com/problems/DSAAGP105</v>
      </c>
      <c r="K1316" s="14"/>
      <c r="L1316" s="14"/>
      <c r="M1316" s="14"/>
      <c r="N1316" s="14" t="s">
        <v>50</v>
      </c>
      <c r="O1316" s="14" t="s">
        <v>51</v>
      </c>
    </row>
    <row r="1317" spans="1:15">
      <c r="A1317" s="15" t="s">
        <v>13</v>
      </c>
      <c r="B1317" s="15" t="s">
        <v>7253</v>
      </c>
      <c r="C1317" s="15" t="s">
        <v>7254</v>
      </c>
      <c r="D1317" s="15" t="s">
        <v>7300</v>
      </c>
      <c r="E1317" s="15">
        <v>33</v>
      </c>
      <c r="F1317" s="15" t="s">
        <v>7314</v>
      </c>
      <c r="G1317" s="15" t="s">
        <v>7315</v>
      </c>
      <c r="H1317" s="15"/>
      <c r="I1317" s="15" t="s">
        <v>96</v>
      </c>
      <c r="J1317" s="7" t="str">
        <f>HYPERLINK("https://www.codechef.com/problems/SAVEKONO", "https://www.codechef.com/problems/SAVEKONO")</f>
        <v>https://www.codechef.com/problems/SAVEKONO</v>
      </c>
      <c r="K1317" s="15"/>
      <c r="L1317" s="15"/>
      <c r="M1317" s="15"/>
      <c r="N1317" s="15" t="s">
        <v>50</v>
      </c>
      <c r="O1317" s="15" t="s">
        <v>51</v>
      </c>
    </row>
    <row r="1318" spans="1:15">
      <c r="A1318" s="14" t="s">
        <v>13</v>
      </c>
      <c r="B1318" s="14" t="s">
        <v>7253</v>
      </c>
      <c r="C1318" s="14" t="s">
        <v>7254</v>
      </c>
      <c r="D1318" s="14" t="s">
        <v>7316</v>
      </c>
      <c r="E1318" s="14">
        <v>34</v>
      </c>
      <c r="F1318" s="14" t="s">
        <v>7317</v>
      </c>
      <c r="G1318" s="14" t="s">
        <v>7318</v>
      </c>
      <c r="H1318" s="14"/>
      <c r="I1318" s="14" t="s">
        <v>96</v>
      </c>
      <c r="J1318" s="11" t="str">
        <f>HYPERLINK("https://www.codechef.com/problems/JVASHRTA22", "https://www.codechef.com/problems/JVASHRTA22")</f>
        <v>https://www.codechef.com/problems/JVASHRTA22</v>
      </c>
      <c r="K1318" s="14"/>
      <c r="L1318" s="14"/>
      <c r="M1318" s="14"/>
      <c r="N1318" s="14" t="s">
        <v>50</v>
      </c>
      <c r="O1318" s="14" t="s">
        <v>51</v>
      </c>
    </row>
    <row r="1319" spans="1:15">
      <c r="A1319" s="15" t="s">
        <v>13</v>
      </c>
      <c r="B1319" s="15" t="s">
        <v>7253</v>
      </c>
      <c r="C1319" s="15" t="s">
        <v>7254</v>
      </c>
      <c r="D1319" s="15" t="s">
        <v>7316</v>
      </c>
      <c r="E1319" s="15">
        <v>35</v>
      </c>
      <c r="F1319" s="15" t="s">
        <v>7319</v>
      </c>
      <c r="G1319" s="15" t="s">
        <v>7320</v>
      </c>
      <c r="H1319" s="15"/>
      <c r="I1319" s="15" t="s">
        <v>96</v>
      </c>
      <c r="J1319" s="7" t="str">
        <f>HYPERLINK("https://www.codechef.com/problems/JVPREPJCF01", "https://www.codechef.com/problems/JVPREPJCF01")</f>
        <v>https://www.codechef.com/problems/JVPREPJCF01</v>
      </c>
      <c r="K1319" s="15"/>
      <c r="L1319" s="15"/>
      <c r="M1319" s="15"/>
      <c r="N1319" s="15" t="s">
        <v>50</v>
      </c>
      <c r="O1319" s="15" t="s">
        <v>51</v>
      </c>
    </row>
    <row r="1320" spans="1:15">
      <c r="A1320" s="14" t="s">
        <v>13</v>
      </c>
      <c r="B1320" s="14" t="s">
        <v>7253</v>
      </c>
      <c r="C1320" s="14" t="s">
        <v>7254</v>
      </c>
      <c r="D1320" s="14" t="s">
        <v>7316</v>
      </c>
      <c r="E1320" s="14">
        <v>36</v>
      </c>
      <c r="F1320" s="14" t="s">
        <v>7321</v>
      </c>
      <c r="G1320" s="14" t="s">
        <v>7322</v>
      </c>
      <c r="H1320" s="14"/>
      <c r="I1320" s="14" t="s">
        <v>96</v>
      </c>
      <c r="J1320" s="11" t="str">
        <f>HYPERLINK("https://www.codechef.com/problems/JVASHRTA23", "https://www.codechef.com/problems/JVASHRTA23")</f>
        <v>https://www.codechef.com/problems/JVASHRTA23</v>
      </c>
      <c r="K1320" s="14"/>
      <c r="L1320" s="14"/>
      <c r="M1320" s="14"/>
      <c r="N1320" s="14" t="s">
        <v>50</v>
      </c>
      <c r="O1320" s="14" t="s">
        <v>51</v>
      </c>
    </row>
    <row r="1321" spans="1:15">
      <c r="A1321" s="15" t="s">
        <v>13</v>
      </c>
      <c r="B1321" s="15" t="s">
        <v>7253</v>
      </c>
      <c r="C1321" s="15" t="s">
        <v>7254</v>
      </c>
      <c r="D1321" s="15" t="s">
        <v>7316</v>
      </c>
      <c r="E1321" s="15">
        <v>37</v>
      </c>
      <c r="F1321" s="15" t="s">
        <v>7323</v>
      </c>
      <c r="G1321" s="15" t="s">
        <v>7324</v>
      </c>
      <c r="H1321" s="15"/>
      <c r="I1321" s="15" t="s">
        <v>49</v>
      </c>
      <c r="J1321" s="7" t="str">
        <f>HYPERLINK("https://www.codechef.com/problems/JVPREPJCF02", "https://www.codechef.com/problems/JVPREPJCF02")</f>
        <v>https://www.codechef.com/problems/JVPREPJCF02</v>
      </c>
      <c r="K1321" s="15"/>
      <c r="L1321" s="15"/>
      <c r="M1321" s="15"/>
      <c r="N1321" s="15" t="s">
        <v>50</v>
      </c>
      <c r="O1321" s="15" t="s">
        <v>51</v>
      </c>
    </row>
    <row r="1322" spans="1:15">
      <c r="A1322" s="14" t="s">
        <v>13</v>
      </c>
      <c r="B1322" s="14" t="s">
        <v>7253</v>
      </c>
      <c r="C1322" s="14" t="s">
        <v>7254</v>
      </c>
      <c r="D1322" s="14" t="s">
        <v>7316</v>
      </c>
      <c r="E1322" s="14">
        <v>38</v>
      </c>
      <c r="F1322" s="14" t="s">
        <v>7325</v>
      </c>
      <c r="G1322" s="14" t="s">
        <v>7326</v>
      </c>
      <c r="H1322" s="14"/>
      <c r="I1322" s="14" t="s">
        <v>96</v>
      </c>
      <c r="J1322" s="11" t="str">
        <f>HYPERLINK("https://www.codechef.com/problems/JVASHRTA24", "https://www.codechef.com/problems/JVASHRTA24")</f>
        <v>https://www.codechef.com/problems/JVASHRTA24</v>
      </c>
      <c r="K1322" s="14"/>
      <c r="L1322" s="14"/>
      <c r="M1322" s="14"/>
      <c r="N1322" s="14" t="s">
        <v>50</v>
      </c>
      <c r="O1322" s="14" t="s">
        <v>51</v>
      </c>
    </row>
    <row r="1323" spans="1:15">
      <c r="A1323" s="15" t="s">
        <v>13</v>
      </c>
      <c r="B1323" s="15" t="s">
        <v>7253</v>
      </c>
      <c r="C1323" s="15" t="s">
        <v>7254</v>
      </c>
      <c r="D1323" s="15" t="s">
        <v>7316</v>
      </c>
      <c r="E1323" s="15">
        <v>39</v>
      </c>
      <c r="F1323" s="15" t="s">
        <v>7327</v>
      </c>
      <c r="G1323" s="15" t="s">
        <v>7328</v>
      </c>
      <c r="H1323" s="15"/>
      <c r="I1323" s="15" t="s">
        <v>96</v>
      </c>
      <c r="J1323" s="7" t="str">
        <f>HYPERLINK("https://www.codechef.com/problems/JVPREPJCF03", "https://www.codechef.com/problems/JVPREPJCF03")</f>
        <v>https://www.codechef.com/problems/JVPREPJCF03</v>
      </c>
      <c r="K1323" s="15"/>
      <c r="L1323" s="15"/>
      <c r="M1323" s="15"/>
      <c r="N1323" s="15" t="s">
        <v>50</v>
      </c>
      <c r="O1323" s="15" t="s">
        <v>51</v>
      </c>
    </row>
    <row r="1324" spans="1:15">
      <c r="A1324" s="14" t="s">
        <v>13</v>
      </c>
      <c r="B1324" s="14" t="s">
        <v>7253</v>
      </c>
      <c r="C1324" s="14" t="s">
        <v>7254</v>
      </c>
      <c r="D1324" s="14" t="s">
        <v>7316</v>
      </c>
      <c r="E1324" s="14">
        <v>40</v>
      </c>
      <c r="F1324" s="14" t="s">
        <v>7329</v>
      </c>
      <c r="G1324" s="14" t="s">
        <v>7330</v>
      </c>
      <c r="H1324" s="14"/>
      <c r="I1324" s="14" t="s">
        <v>49</v>
      </c>
      <c r="J1324" s="11" t="str">
        <f>HYPERLINK("https://www.codechef.com/problems/JVASHRTA25", "https://www.codechef.com/problems/JVASHRTA25")</f>
        <v>https://www.codechef.com/problems/JVASHRTA25</v>
      </c>
      <c r="K1324" s="14"/>
      <c r="L1324" s="14"/>
      <c r="M1324" s="14"/>
      <c r="N1324" s="14" t="s">
        <v>50</v>
      </c>
      <c r="O1324" s="14" t="s">
        <v>51</v>
      </c>
    </row>
    <row r="1325" spans="1:15">
      <c r="A1325" s="15" t="s">
        <v>13</v>
      </c>
      <c r="B1325" s="15" t="s">
        <v>7253</v>
      </c>
      <c r="C1325" s="15" t="s">
        <v>7254</v>
      </c>
      <c r="D1325" s="15" t="s">
        <v>7316</v>
      </c>
      <c r="E1325" s="15">
        <v>41</v>
      </c>
      <c r="F1325" s="15" t="s">
        <v>7331</v>
      </c>
      <c r="G1325" s="15" t="s">
        <v>7332</v>
      </c>
      <c r="H1325" s="15"/>
      <c r="I1325" s="15" t="s">
        <v>96</v>
      </c>
      <c r="J1325" s="7" t="str">
        <f>HYPERLINK("https://www.codechef.com/problems/JVPREPJCF04", "https://www.codechef.com/problems/JVPREPJCF04")</f>
        <v>https://www.codechef.com/problems/JVPREPJCF04</v>
      </c>
      <c r="K1325" s="15"/>
      <c r="L1325" s="15"/>
      <c r="M1325" s="15"/>
      <c r="N1325" s="15" t="s">
        <v>50</v>
      </c>
      <c r="O1325" s="15" t="s">
        <v>51</v>
      </c>
    </row>
    <row r="1326" spans="1:15">
      <c r="A1326" s="14" t="s">
        <v>13</v>
      </c>
      <c r="B1326" s="14" t="s">
        <v>7253</v>
      </c>
      <c r="C1326" s="14" t="s">
        <v>7254</v>
      </c>
      <c r="D1326" s="14" t="s">
        <v>7316</v>
      </c>
      <c r="E1326" s="14">
        <v>42</v>
      </c>
      <c r="F1326" s="14" t="s">
        <v>7333</v>
      </c>
      <c r="G1326" s="14" t="s">
        <v>7334</v>
      </c>
      <c r="H1326" s="14"/>
      <c r="I1326" s="14" t="s">
        <v>96</v>
      </c>
      <c r="J1326" s="11" t="str">
        <f>HYPERLINK("https://www.codechef.com/problems/JVASHRTA26", "https://www.codechef.com/problems/JVASHRTA26")</f>
        <v>https://www.codechef.com/problems/JVASHRTA26</v>
      </c>
      <c r="K1326" s="14"/>
      <c r="L1326" s="14"/>
      <c r="M1326" s="14"/>
      <c r="N1326" s="14" t="s">
        <v>50</v>
      </c>
      <c r="O1326" s="14" t="s">
        <v>51</v>
      </c>
    </row>
    <row r="1327" spans="1:15">
      <c r="A1327" s="15" t="s">
        <v>13</v>
      </c>
      <c r="B1327" s="15" t="s">
        <v>7253</v>
      </c>
      <c r="C1327" s="15" t="s">
        <v>7254</v>
      </c>
      <c r="D1327" s="15" t="s">
        <v>7316</v>
      </c>
      <c r="E1327" s="15">
        <v>43</v>
      </c>
      <c r="F1327" s="15" t="s">
        <v>7335</v>
      </c>
      <c r="G1327" s="15" t="s">
        <v>7336</v>
      </c>
      <c r="H1327" s="15"/>
      <c r="I1327" s="15" t="s">
        <v>96</v>
      </c>
      <c r="J1327" s="7" t="str">
        <f>HYPERLINK("https://www.codechef.com/problems/JVPREPJCF05", "https://www.codechef.com/problems/JVPREPJCF05")</f>
        <v>https://www.codechef.com/problems/JVPREPJCF05</v>
      </c>
      <c r="K1327" s="15"/>
      <c r="L1327" s="15"/>
      <c r="M1327" s="15"/>
      <c r="N1327" s="15" t="s">
        <v>50</v>
      </c>
      <c r="O1327" s="15" t="s">
        <v>51</v>
      </c>
    </row>
    <row r="1328" spans="1:15">
      <c r="A1328" s="14" t="s">
        <v>13</v>
      </c>
      <c r="B1328" s="14" t="s">
        <v>7253</v>
      </c>
      <c r="C1328" s="14" t="s">
        <v>7254</v>
      </c>
      <c r="D1328" s="14" t="s">
        <v>7337</v>
      </c>
      <c r="E1328" s="14">
        <v>44</v>
      </c>
      <c r="F1328" s="14" t="s">
        <v>7338</v>
      </c>
      <c r="G1328" s="14" t="s">
        <v>7339</v>
      </c>
      <c r="H1328" s="14"/>
      <c r="I1328" s="14" t="s">
        <v>96</v>
      </c>
      <c r="J1328" s="11" t="str">
        <f>HYPERLINK("https://www.codechef.com/problems/JVASHRTA28", "https://www.codechef.com/problems/JVASHRTA28")</f>
        <v>https://www.codechef.com/problems/JVASHRTA28</v>
      </c>
      <c r="K1328" s="14"/>
      <c r="L1328" s="14"/>
      <c r="M1328" s="14"/>
      <c r="N1328" s="14" t="s">
        <v>50</v>
      </c>
      <c r="O1328" s="14" t="s">
        <v>51</v>
      </c>
    </row>
    <row r="1329" spans="1:15">
      <c r="A1329" s="15" t="s">
        <v>13</v>
      </c>
      <c r="B1329" s="15" t="s">
        <v>7253</v>
      </c>
      <c r="C1329" s="15" t="s">
        <v>7254</v>
      </c>
      <c r="D1329" s="15" t="s">
        <v>7337</v>
      </c>
      <c r="E1329" s="15">
        <v>45</v>
      </c>
      <c r="F1329" s="15" t="s">
        <v>7340</v>
      </c>
      <c r="G1329" s="15" t="s">
        <v>7341</v>
      </c>
      <c r="H1329" s="15"/>
      <c r="I1329" s="15" t="s">
        <v>96</v>
      </c>
      <c r="J1329" s="7" t="str">
        <f>HYPERLINK("https://www.codechef.com/problems/JVPREPEXEP01", "https://www.codechef.com/problems/JVPREPEXEP01")</f>
        <v>https://www.codechef.com/problems/JVPREPEXEP01</v>
      </c>
      <c r="K1329" s="15"/>
      <c r="L1329" s="15"/>
      <c r="M1329" s="15"/>
      <c r="N1329" s="15" t="s">
        <v>50</v>
      </c>
      <c r="O1329" s="15" t="s">
        <v>51</v>
      </c>
    </row>
    <row r="1330" spans="1:15">
      <c r="A1330" s="14" t="s">
        <v>13</v>
      </c>
      <c r="B1330" s="14" t="s">
        <v>7253</v>
      </c>
      <c r="C1330" s="14" t="s">
        <v>7254</v>
      </c>
      <c r="D1330" s="14" t="s">
        <v>7337</v>
      </c>
      <c r="E1330" s="14">
        <v>46</v>
      </c>
      <c r="F1330" s="14" t="s">
        <v>7342</v>
      </c>
      <c r="G1330" s="14" t="s">
        <v>7343</v>
      </c>
      <c r="H1330" s="14"/>
      <c r="I1330" s="14" t="s">
        <v>96</v>
      </c>
      <c r="J1330" s="11" t="str">
        <f>HYPERLINK("https://www.codechef.com/problems/JVASHRTA29", "https://www.codechef.com/problems/JVASHRTA29")</f>
        <v>https://www.codechef.com/problems/JVASHRTA29</v>
      </c>
      <c r="K1330" s="14"/>
      <c r="L1330" s="14"/>
      <c r="M1330" s="14"/>
      <c r="N1330" s="14" t="s">
        <v>50</v>
      </c>
      <c r="O1330" s="14" t="s">
        <v>51</v>
      </c>
    </row>
    <row r="1331" spans="1:15">
      <c r="A1331" s="15" t="s">
        <v>13</v>
      </c>
      <c r="B1331" s="15" t="s">
        <v>7253</v>
      </c>
      <c r="C1331" s="15" t="s">
        <v>7254</v>
      </c>
      <c r="D1331" s="15" t="s">
        <v>7337</v>
      </c>
      <c r="E1331" s="15">
        <v>47</v>
      </c>
      <c r="F1331" s="15" t="s">
        <v>7344</v>
      </c>
      <c r="G1331" s="15" t="s">
        <v>7345</v>
      </c>
      <c r="H1331" s="15"/>
      <c r="I1331" s="15" t="s">
        <v>96</v>
      </c>
      <c r="J1331" s="7" t="str">
        <f>HYPERLINK("https://www.codechef.com/problems/JVPREPEXEP02", "https://www.codechef.com/problems/JVPREPEXEP02")</f>
        <v>https://www.codechef.com/problems/JVPREPEXEP02</v>
      </c>
      <c r="K1331" s="15"/>
      <c r="L1331" s="15"/>
      <c r="M1331" s="15"/>
      <c r="N1331" s="15" t="s">
        <v>50</v>
      </c>
      <c r="O1331" s="15" t="s">
        <v>51</v>
      </c>
    </row>
    <row r="1332" spans="1:15">
      <c r="A1332" s="14" t="s">
        <v>13</v>
      </c>
      <c r="B1332" s="14" t="s">
        <v>7253</v>
      </c>
      <c r="C1332" s="14" t="s">
        <v>7254</v>
      </c>
      <c r="D1332" s="14" t="s">
        <v>7337</v>
      </c>
      <c r="E1332" s="14">
        <v>48</v>
      </c>
      <c r="F1332" s="14" t="s">
        <v>7346</v>
      </c>
      <c r="G1332" s="14" t="s">
        <v>7347</v>
      </c>
      <c r="H1332" s="14"/>
      <c r="I1332" s="14" t="s">
        <v>49</v>
      </c>
      <c r="J1332" s="11" t="str">
        <f>HYPERLINK("https://www.codechef.com/problems/JVASHRTA30", "https://www.codechef.com/problems/JVASHRTA30")</f>
        <v>https://www.codechef.com/problems/JVASHRTA30</v>
      </c>
      <c r="K1332" s="14"/>
      <c r="L1332" s="14"/>
      <c r="M1332" s="14"/>
      <c r="N1332" s="14" t="s">
        <v>50</v>
      </c>
      <c r="O1332" s="14" t="s">
        <v>51</v>
      </c>
    </row>
    <row r="1333" spans="1:15">
      <c r="A1333" s="15" t="s">
        <v>13</v>
      </c>
      <c r="B1333" s="15" t="s">
        <v>7253</v>
      </c>
      <c r="C1333" s="15" t="s">
        <v>7254</v>
      </c>
      <c r="D1333" s="15" t="s">
        <v>7337</v>
      </c>
      <c r="E1333" s="15">
        <v>49</v>
      </c>
      <c r="F1333" s="15" t="s">
        <v>7348</v>
      </c>
      <c r="G1333" s="15" t="s">
        <v>7349</v>
      </c>
      <c r="H1333" s="15"/>
      <c r="I1333" s="15" t="s">
        <v>96</v>
      </c>
      <c r="J1333" s="7" t="str">
        <f>HYPERLINK("https://www.codechef.com/problems/JVPREPEXEP03", "https://www.codechef.com/problems/JVPREPEXEP03")</f>
        <v>https://www.codechef.com/problems/JVPREPEXEP03</v>
      </c>
      <c r="K1333" s="15"/>
      <c r="L1333" s="15"/>
      <c r="M1333" s="15"/>
      <c r="N1333" s="15" t="s">
        <v>50</v>
      </c>
      <c r="O1333" s="15" t="s">
        <v>51</v>
      </c>
    </row>
    <row r="1334" spans="1:15">
      <c r="A1334" s="14" t="s">
        <v>13</v>
      </c>
      <c r="B1334" s="14" t="s">
        <v>7253</v>
      </c>
      <c r="C1334" s="14" t="s">
        <v>7254</v>
      </c>
      <c r="D1334" s="14" t="s">
        <v>7337</v>
      </c>
      <c r="E1334" s="14">
        <v>50</v>
      </c>
      <c r="F1334" s="14" t="s">
        <v>7350</v>
      </c>
      <c r="G1334" s="14" t="s">
        <v>7351</v>
      </c>
      <c r="H1334" s="14"/>
      <c r="I1334" s="14" t="s">
        <v>96</v>
      </c>
      <c r="J1334" s="11" t="str">
        <f>HYPERLINK("https://www.codechef.com/problems/JVASHRTA31", "https://www.codechef.com/problems/JVASHRTA31")</f>
        <v>https://www.codechef.com/problems/JVASHRTA31</v>
      </c>
      <c r="K1334" s="14"/>
      <c r="L1334" s="14"/>
      <c r="M1334" s="14"/>
      <c r="N1334" s="14" t="s">
        <v>50</v>
      </c>
      <c r="O1334" s="14" t="s">
        <v>51</v>
      </c>
    </row>
    <row r="1335" spans="1:15">
      <c r="A1335" s="15" t="s">
        <v>13</v>
      </c>
      <c r="B1335" s="15" t="s">
        <v>7253</v>
      </c>
      <c r="C1335" s="15" t="s">
        <v>7254</v>
      </c>
      <c r="D1335" s="15" t="s">
        <v>7352</v>
      </c>
      <c r="E1335" s="15">
        <v>51</v>
      </c>
      <c r="F1335" s="15" t="s">
        <v>7353</v>
      </c>
      <c r="G1335" s="15" t="s">
        <v>7354</v>
      </c>
      <c r="H1335" s="15"/>
      <c r="I1335" s="15" t="s">
        <v>322</v>
      </c>
      <c r="J1335" s="7" t="str">
        <f>HYPERLINK("https://www.codechef.com/problems/JVASHRTA32", "https://www.codechef.com/problems/JVASHRTA32")</f>
        <v>https://www.codechef.com/problems/JVASHRTA32</v>
      </c>
      <c r="K1335" s="15"/>
      <c r="L1335" s="15"/>
      <c r="M1335" s="15"/>
      <c r="N1335" s="15" t="s">
        <v>50</v>
      </c>
      <c r="O1335" s="15" t="s">
        <v>51</v>
      </c>
    </row>
    <row r="1336" spans="1:15">
      <c r="A1336" s="14" t="s">
        <v>13</v>
      </c>
      <c r="B1336" s="14" t="s">
        <v>7253</v>
      </c>
      <c r="C1336" s="14" t="s">
        <v>7254</v>
      </c>
      <c r="D1336" s="14" t="s">
        <v>7352</v>
      </c>
      <c r="E1336" s="14">
        <v>52</v>
      </c>
      <c r="F1336" s="14" t="s">
        <v>7355</v>
      </c>
      <c r="G1336" s="14" t="s">
        <v>7356</v>
      </c>
      <c r="H1336" s="14"/>
      <c r="I1336" s="14" t="s">
        <v>49</v>
      </c>
      <c r="J1336" s="11" t="str">
        <f>HYPERLINK("https://www.codechef.com/problems/JVASHRTA33", "https://www.codechef.com/problems/JVASHRTA33")</f>
        <v>https://www.codechef.com/problems/JVASHRTA33</v>
      </c>
      <c r="K1336" s="14"/>
      <c r="L1336" s="14"/>
      <c r="M1336" s="14"/>
      <c r="N1336" s="14" t="s">
        <v>50</v>
      </c>
      <c r="O1336" s="14" t="s">
        <v>51</v>
      </c>
    </row>
    <row r="1337" spans="1:15">
      <c r="A1337" s="15" t="s">
        <v>13</v>
      </c>
      <c r="B1337" s="15" t="s">
        <v>7253</v>
      </c>
      <c r="C1337" s="15" t="s">
        <v>7254</v>
      </c>
      <c r="D1337" s="15" t="s">
        <v>7352</v>
      </c>
      <c r="E1337" s="15">
        <v>53</v>
      </c>
      <c r="F1337" s="15" t="s">
        <v>7357</v>
      </c>
      <c r="G1337" s="15" t="s">
        <v>7358</v>
      </c>
      <c r="H1337" s="15"/>
      <c r="I1337" s="15" t="s">
        <v>49</v>
      </c>
      <c r="J1337" s="7" t="str">
        <f>HYPERLINK("https://www.codechef.com/problems/JVASHRTA34", "https://www.codechef.com/problems/JVASHRTA34")</f>
        <v>https://www.codechef.com/problems/JVASHRTA34</v>
      </c>
      <c r="K1337" s="15"/>
      <c r="L1337" s="15"/>
      <c r="M1337" s="15"/>
      <c r="N1337" s="15" t="s">
        <v>50</v>
      </c>
      <c r="O1337" s="15" t="s">
        <v>51</v>
      </c>
    </row>
    <row r="1338" spans="1:15">
      <c r="A1338" s="14" t="s">
        <v>13</v>
      </c>
      <c r="B1338" s="14" t="s">
        <v>7253</v>
      </c>
      <c r="C1338" s="14" t="s">
        <v>7254</v>
      </c>
      <c r="D1338" s="14" t="s">
        <v>7352</v>
      </c>
      <c r="E1338" s="14">
        <v>54</v>
      </c>
      <c r="F1338" s="14" t="s">
        <v>7359</v>
      </c>
      <c r="G1338" s="14" t="s">
        <v>7360</v>
      </c>
      <c r="H1338" s="14"/>
      <c r="I1338" s="14" t="s">
        <v>49</v>
      </c>
      <c r="J1338" s="11" t="str">
        <f>HYPERLINK("https://www.codechef.com/problems/JVASHRTA36", "https://www.codechef.com/problems/JVASHRTA36")</f>
        <v>https://www.codechef.com/problems/JVASHRTA36</v>
      </c>
      <c r="K1338" s="14"/>
      <c r="L1338" s="14"/>
      <c r="M1338" s="14"/>
      <c r="N1338" s="14" t="s">
        <v>50</v>
      </c>
      <c r="O1338" s="14" t="s">
        <v>51</v>
      </c>
    </row>
    <row r="1339" spans="1:15">
      <c r="A1339" s="15" t="s">
        <v>13</v>
      </c>
      <c r="B1339" s="15" t="s">
        <v>7253</v>
      </c>
      <c r="C1339" s="15" t="s">
        <v>7254</v>
      </c>
      <c r="D1339" s="15" t="s">
        <v>7352</v>
      </c>
      <c r="E1339" s="15">
        <v>55</v>
      </c>
      <c r="F1339" s="15" t="s">
        <v>7361</v>
      </c>
      <c r="G1339" s="15" t="s">
        <v>7362</v>
      </c>
      <c r="H1339" s="15"/>
      <c r="I1339" s="15" t="s">
        <v>322</v>
      </c>
      <c r="J1339" s="7" t="str">
        <f>HYPERLINK("https://www.codechef.com/problems/JVASHRTA60", "https://www.codechef.com/problems/JVASHRTA60")</f>
        <v>https://www.codechef.com/problems/JVASHRTA60</v>
      </c>
      <c r="K1339" s="15"/>
      <c r="L1339" s="15"/>
      <c r="M1339" s="15"/>
      <c r="N1339" s="15" t="s">
        <v>50</v>
      </c>
      <c r="O1339" s="15" t="s">
        <v>51</v>
      </c>
    </row>
    <row r="1340" spans="1:15">
      <c r="A1340" s="14" t="s">
        <v>13</v>
      </c>
      <c r="B1340" s="14" t="s">
        <v>7253</v>
      </c>
      <c r="C1340" s="14" t="s">
        <v>7254</v>
      </c>
      <c r="D1340" s="14" t="s">
        <v>7352</v>
      </c>
      <c r="E1340" s="14">
        <v>56</v>
      </c>
      <c r="F1340" s="14" t="s">
        <v>7363</v>
      </c>
      <c r="G1340" s="14" t="s">
        <v>7364</v>
      </c>
      <c r="H1340" s="14"/>
      <c r="I1340" s="14" t="s">
        <v>322</v>
      </c>
      <c r="J1340" s="11" t="str">
        <f>HYPERLINK("https://www.codechef.com/problems/JVASHRTA61", "https://www.codechef.com/problems/JVASHRTA61")</f>
        <v>https://www.codechef.com/problems/JVASHRTA61</v>
      </c>
      <c r="K1340" s="14"/>
      <c r="L1340" s="14"/>
      <c r="M1340" s="14"/>
      <c r="N1340" s="14" t="s">
        <v>50</v>
      </c>
      <c r="O1340" s="14" t="s">
        <v>51</v>
      </c>
    </row>
    <row r="1341" spans="1:15">
      <c r="A1341" s="15" t="s">
        <v>13</v>
      </c>
      <c r="B1341" s="15" t="s">
        <v>7253</v>
      </c>
      <c r="C1341" s="15" t="s">
        <v>7254</v>
      </c>
      <c r="D1341" s="15" t="s">
        <v>7352</v>
      </c>
      <c r="E1341" s="15">
        <v>57</v>
      </c>
      <c r="F1341" s="15" t="s">
        <v>7365</v>
      </c>
      <c r="G1341" s="15" t="s">
        <v>7366</v>
      </c>
      <c r="H1341" s="15"/>
      <c r="I1341" s="15" t="s">
        <v>96</v>
      </c>
      <c r="J1341" s="7" t="str">
        <f>HYPERLINK("https://www.codechef.com/problems/JVASHRTA62", "https://www.codechef.com/problems/JVASHRTA62")</f>
        <v>https://www.codechef.com/problems/JVASHRTA62</v>
      </c>
      <c r="K1341" s="15"/>
      <c r="L1341" s="15"/>
      <c r="M1341" s="15"/>
      <c r="N1341" s="15" t="s">
        <v>50</v>
      </c>
      <c r="O1341" s="15" t="s">
        <v>51</v>
      </c>
    </row>
    <row r="1342" spans="1:15">
      <c r="A1342" s="14" t="s">
        <v>13</v>
      </c>
      <c r="B1342" s="14" t="s">
        <v>7253</v>
      </c>
      <c r="C1342" s="14" t="s">
        <v>7254</v>
      </c>
      <c r="D1342" s="14" t="s">
        <v>7367</v>
      </c>
      <c r="E1342" s="14">
        <v>58</v>
      </c>
      <c r="F1342" s="14" t="s">
        <v>7368</v>
      </c>
      <c r="G1342" s="14" t="s">
        <v>7369</v>
      </c>
      <c r="H1342" s="14"/>
      <c r="I1342" s="14" t="s">
        <v>96</v>
      </c>
      <c r="J1342" s="11" t="str">
        <f>HYPERLINK("https://www.codechef.com/problems/JVASHRTA37", "https://www.codechef.com/problems/JVASHRTA37")</f>
        <v>https://www.codechef.com/problems/JVASHRTA37</v>
      </c>
      <c r="K1342" s="14"/>
      <c r="L1342" s="14"/>
      <c r="M1342" s="14"/>
      <c r="N1342" s="14" t="s">
        <v>50</v>
      </c>
      <c r="O1342" s="14" t="s">
        <v>51</v>
      </c>
    </row>
    <row r="1343" spans="1:15">
      <c r="A1343" s="15" t="s">
        <v>13</v>
      </c>
      <c r="B1343" s="15" t="s">
        <v>7253</v>
      </c>
      <c r="C1343" s="15" t="s">
        <v>7254</v>
      </c>
      <c r="D1343" s="15" t="s">
        <v>7367</v>
      </c>
      <c r="E1343" s="15">
        <v>59</v>
      </c>
      <c r="F1343" s="15" t="s">
        <v>7370</v>
      </c>
      <c r="G1343" s="15" t="s">
        <v>7371</v>
      </c>
      <c r="H1343" s="15"/>
      <c r="I1343" s="15" t="s">
        <v>96</v>
      </c>
      <c r="J1343" s="7" t="str">
        <f>HYPERLINK("https://www.codechef.com/problems/JVASHRTA38", "https://www.codechef.com/problems/JVASHRTA38")</f>
        <v>https://www.codechef.com/problems/JVASHRTA38</v>
      </c>
      <c r="K1343" s="15"/>
      <c r="L1343" s="15"/>
      <c r="M1343" s="15"/>
      <c r="N1343" s="15" t="s">
        <v>50</v>
      </c>
      <c r="O1343" s="15" t="s">
        <v>51</v>
      </c>
    </row>
    <row r="1344" spans="1:15">
      <c r="A1344" s="14" t="s">
        <v>13</v>
      </c>
      <c r="B1344" s="14" t="s">
        <v>7253</v>
      </c>
      <c r="C1344" s="14" t="s">
        <v>7254</v>
      </c>
      <c r="D1344" s="14" t="s">
        <v>7367</v>
      </c>
      <c r="E1344" s="14">
        <v>60</v>
      </c>
      <c r="F1344" s="14" t="s">
        <v>7372</v>
      </c>
      <c r="G1344" s="14" t="s">
        <v>7373</v>
      </c>
      <c r="H1344" s="14"/>
      <c r="I1344" s="14" t="s">
        <v>96</v>
      </c>
      <c r="J1344" s="11" t="str">
        <f>HYPERLINK("https://www.codechef.com/problems/JVASHRTA39", "https://www.codechef.com/problems/JVASHRTA39")</f>
        <v>https://www.codechef.com/problems/JVASHRTA39</v>
      </c>
      <c r="K1344" s="14"/>
      <c r="L1344" s="14"/>
      <c r="M1344" s="14"/>
      <c r="N1344" s="14" t="s">
        <v>50</v>
      </c>
      <c r="O1344" s="14" t="s">
        <v>51</v>
      </c>
    </row>
    <row r="1345" spans="1:15">
      <c r="A1345" s="15" t="s">
        <v>13</v>
      </c>
      <c r="B1345" s="15" t="s">
        <v>7253</v>
      </c>
      <c r="C1345" s="15" t="s">
        <v>7254</v>
      </c>
      <c r="D1345" s="15" t="s">
        <v>7367</v>
      </c>
      <c r="E1345" s="15">
        <v>61</v>
      </c>
      <c r="F1345" s="15" t="s">
        <v>7374</v>
      </c>
      <c r="G1345" s="15" t="s">
        <v>7375</v>
      </c>
      <c r="H1345" s="15"/>
      <c r="I1345" s="15" t="s">
        <v>96</v>
      </c>
      <c r="J1345" s="7" t="str">
        <f>HYPERLINK("https://www.codechef.com/problems/JVASHRTA40", "https://www.codechef.com/problems/JVASHRTA40")</f>
        <v>https://www.codechef.com/problems/JVASHRTA40</v>
      </c>
      <c r="K1345" s="15"/>
      <c r="L1345" s="15"/>
      <c r="M1345" s="15"/>
      <c r="N1345" s="15" t="s">
        <v>50</v>
      </c>
      <c r="O1345" s="15" t="s">
        <v>51</v>
      </c>
    </row>
    <row r="1346" spans="1:15">
      <c r="A1346" s="14" t="s">
        <v>13</v>
      </c>
      <c r="B1346" s="14" t="s">
        <v>7253</v>
      </c>
      <c r="C1346" s="14" t="s">
        <v>7254</v>
      </c>
      <c r="D1346" s="14" t="s">
        <v>7367</v>
      </c>
      <c r="E1346" s="14">
        <v>62</v>
      </c>
      <c r="F1346" s="14" t="s">
        <v>7376</v>
      </c>
      <c r="G1346" s="14" t="s">
        <v>7377</v>
      </c>
      <c r="H1346" s="14"/>
      <c r="I1346" s="14" t="s">
        <v>322</v>
      </c>
      <c r="J1346" s="11" t="str">
        <f>HYPERLINK("https://www.codechef.com/problems/JVASHRTA63", "https://www.codechef.com/problems/JVASHRTA63")</f>
        <v>https://www.codechef.com/problems/JVASHRTA63</v>
      </c>
      <c r="K1346" s="14"/>
      <c r="L1346" s="14"/>
      <c r="M1346" s="14"/>
      <c r="N1346" s="14" t="s">
        <v>50</v>
      </c>
      <c r="O1346" s="14" t="s">
        <v>51</v>
      </c>
    </row>
    <row r="1347" spans="1:15">
      <c r="A1347" s="15" t="s">
        <v>13</v>
      </c>
      <c r="B1347" s="15" t="s">
        <v>7253</v>
      </c>
      <c r="C1347" s="15" t="s">
        <v>7254</v>
      </c>
      <c r="D1347" s="15" t="s">
        <v>7367</v>
      </c>
      <c r="E1347" s="15">
        <v>63</v>
      </c>
      <c r="F1347" s="15" t="s">
        <v>7378</v>
      </c>
      <c r="G1347" s="15" t="s">
        <v>7379</v>
      </c>
      <c r="H1347" s="15"/>
      <c r="I1347" s="15" t="s">
        <v>96</v>
      </c>
      <c r="J1347" s="7" t="str">
        <f>HYPERLINK("https://www.codechef.com/problems/JVASHRTA64", "https://www.codechef.com/problems/JVASHRTA64")</f>
        <v>https://www.codechef.com/problems/JVASHRTA64</v>
      </c>
      <c r="K1347" s="15"/>
      <c r="L1347" s="15"/>
      <c r="M1347" s="15"/>
      <c r="N1347" s="15" t="s">
        <v>50</v>
      </c>
      <c r="O1347" s="15" t="s">
        <v>51</v>
      </c>
    </row>
    <row r="1348" spans="1:15">
      <c r="A1348" s="14" t="s">
        <v>13</v>
      </c>
      <c r="B1348" s="14" t="s">
        <v>7253</v>
      </c>
      <c r="C1348" s="14" t="s">
        <v>7254</v>
      </c>
      <c r="D1348" s="14" t="s">
        <v>7367</v>
      </c>
      <c r="E1348" s="14">
        <v>64</v>
      </c>
      <c r="F1348" s="14" t="s">
        <v>7380</v>
      </c>
      <c r="G1348" s="14" t="s">
        <v>7381</v>
      </c>
      <c r="H1348" s="14"/>
      <c r="I1348" s="14" t="s">
        <v>96</v>
      </c>
      <c r="J1348" s="11" t="str">
        <f>HYPERLINK("https://www.codechef.com/problems/JVASHRTA65", "https://www.codechef.com/problems/JVASHRTA65")</f>
        <v>https://www.codechef.com/problems/JVASHRTA65</v>
      </c>
      <c r="K1348" s="14"/>
      <c r="L1348" s="14"/>
      <c r="M1348" s="14"/>
      <c r="N1348" s="14" t="s">
        <v>50</v>
      </c>
      <c r="O1348" s="14" t="s">
        <v>51</v>
      </c>
    </row>
    <row r="1349" spans="1:15">
      <c r="A1349" s="15" t="s">
        <v>13</v>
      </c>
      <c r="B1349" s="15" t="s">
        <v>7253</v>
      </c>
      <c r="C1349" s="15" t="s">
        <v>7254</v>
      </c>
      <c r="D1349" s="15" t="s">
        <v>7382</v>
      </c>
      <c r="E1349" s="15">
        <v>65</v>
      </c>
      <c r="F1349" s="15" t="s">
        <v>7383</v>
      </c>
      <c r="G1349" s="15" t="s">
        <v>7384</v>
      </c>
      <c r="H1349" s="15"/>
      <c r="I1349" s="15" t="s">
        <v>96</v>
      </c>
      <c r="J1349" s="7" t="str">
        <f>HYPERLINK("https://www.codechef.com/problems/JVASHRTA41", "https://www.codechef.com/problems/JVASHRTA41")</f>
        <v>https://www.codechef.com/problems/JVASHRTA41</v>
      </c>
      <c r="K1349" s="15"/>
      <c r="L1349" s="15"/>
      <c r="M1349" s="15"/>
      <c r="N1349" s="15" t="s">
        <v>50</v>
      </c>
      <c r="O1349" s="15" t="s">
        <v>51</v>
      </c>
    </row>
    <row r="1350" spans="1:15">
      <c r="A1350" s="14" t="s">
        <v>13</v>
      </c>
      <c r="B1350" s="14" t="s">
        <v>7253</v>
      </c>
      <c r="C1350" s="14" t="s">
        <v>7254</v>
      </c>
      <c r="D1350" s="14" t="s">
        <v>7382</v>
      </c>
      <c r="E1350" s="14">
        <v>66</v>
      </c>
      <c r="F1350" s="14" t="s">
        <v>7385</v>
      </c>
      <c r="G1350" s="14" t="s">
        <v>7386</v>
      </c>
      <c r="H1350" s="14"/>
      <c r="I1350" s="14" t="s">
        <v>96</v>
      </c>
      <c r="J1350" s="11" t="str">
        <f>HYPERLINK("https://www.codechef.com/problems/JVASHRTA43", "https://www.codechef.com/problems/JVASHRTA43")</f>
        <v>https://www.codechef.com/problems/JVASHRTA43</v>
      </c>
      <c r="K1350" s="14"/>
      <c r="L1350" s="14"/>
      <c r="M1350" s="14"/>
      <c r="N1350" s="14" t="s">
        <v>50</v>
      </c>
      <c r="O1350" s="14" t="s">
        <v>51</v>
      </c>
    </row>
    <row r="1351" spans="1:15">
      <c r="A1351" s="15" t="s">
        <v>13</v>
      </c>
      <c r="B1351" s="15" t="s">
        <v>7253</v>
      </c>
      <c r="C1351" s="15" t="s">
        <v>7254</v>
      </c>
      <c r="D1351" s="15" t="s">
        <v>7382</v>
      </c>
      <c r="E1351" s="15">
        <v>67</v>
      </c>
      <c r="F1351" s="15" t="s">
        <v>7387</v>
      </c>
      <c r="G1351" s="15" t="s">
        <v>7388</v>
      </c>
      <c r="H1351" s="15"/>
      <c r="I1351" s="15" t="s">
        <v>96</v>
      </c>
      <c r="J1351" s="7" t="str">
        <f>HYPERLINK("https://www.codechef.com/problems/JVASHRTA44", "https://www.codechef.com/problems/JVASHRTA44")</f>
        <v>https://www.codechef.com/problems/JVASHRTA44</v>
      </c>
      <c r="K1351" s="15"/>
      <c r="L1351" s="15"/>
      <c r="M1351" s="15"/>
      <c r="N1351" s="15" t="s">
        <v>50</v>
      </c>
      <c r="O1351" s="15" t="s">
        <v>51</v>
      </c>
    </row>
    <row r="1352" spans="1:15">
      <c r="A1352" s="14" t="s">
        <v>13</v>
      </c>
      <c r="B1352" s="14" t="s">
        <v>7253</v>
      </c>
      <c r="C1352" s="14" t="s">
        <v>7254</v>
      </c>
      <c r="D1352" s="14" t="s">
        <v>7382</v>
      </c>
      <c r="E1352" s="14">
        <v>68</v>
      </c>
      <c r="F1352" s="14" t="s">
        <v>7389</v>
      </c>
      <c r="G1352" s="14" t="s">
        <v>7390</v>
      </c>
      <c r="H1352" s="14"/>
      <c r="I1352" s="14" t="s">
        <v>96</v>
      </c>
      <c r="J1352" s="11" t="str">
        <f>HYPERLINK("https://www.codechef.com/problems/JVASHRTA45", "https://www.codechef.com/problems/JVASHRTA45")</f>
        <v>https://www.codechef.com/problems/JVASHRTA45</v>
      </c>
      <c r="K1352" s="14"/>
      <c r="L1352" s="14"/>
      <c r="M1352" s="14"/>
      <c r="N1352" s="14" t="s">
        <v>50</v>
      </c>
      <c r="O1352" s="14" t="s">
        <v>51</v>
      </c>
    </row>
    <row r="1353" spans="1:15">
      <c r="A1353" s="15" t="s">
        <v>13</v>
      </c>
      <c r="B1353" s="15" t="s">
        <v>7253</v>
      </c>
      <c r="C1353" s="15" t="s">
        <v>7254</v>
      </c>
      <c r="D1353" s="15" t="s">
        <v>7382</v>
      </c>
      <c r="E1353" s="15">
        <v>69</v>
      </c>
      <c r="F1353" s="15" t="s">
        <v>7391</v>
      </c>
      <c r="G1353" s="15" t="s">
        <v>7392</v>
      </c>
      <c r="H1353" s="15"/>
      <c r="I1353" s="15" t="s">
        <v>96</v>
      </c>
      <c r="J1353" s="7" t="str">
        <f>HYPERLINK("https://www.codechef.com/problems/JVASHRTA46", "https://www.codechef.com/problems/JVASHRTA46")</f>
        <v>https://www.codechef.com/problems/JVASHRTA46</v>
      </c>
      <c r="K1353" s="15"/>
      <c r="L1353" s="15"/>
      <c r="M1353" s="15"/>
      <c r="N1353" s="15" t="s">
        <v>50</v>
      </c>
      <c r="O1353" s="15" t="s">
        <v>51</v>
      </c>
    </row>
    <row r="1354" spans="1:15">
      <c r="A1354" s="14" t="s">
        <v>13</v>
      </c>
      <c r="B1354" s="14" t="s">
        <v>7253</v>
      </c>
      <c r="C1354" s="14" t="s">
        <v>7254</v>
      </c>
      <c r="D1354" s="14" t="s">
        <v>7393</v>
      </c>
      <c r="E1354" s="14">
        <v>70</v>
      </c>
      <c r="F1354" s="14" t="s">
        <v>7394</v>
      </c>
      <c r="G1354" s="14" t="s">
        <v>7395</v>
      </c>
      <c r="H1354" s="14"/>
      <c r="I1354" s="14" t="s">
        <v>96</v>
      </c>
      <c r="J1354" s="11" t="str">
        <f>HYPERLINK("https://www.codechef.com/problems/JVASHRTA47", "https://www.codechef.com/problems/JVASHRTA47")</f>
        <v>https://www.codechef.com/problems/JVASHRTA47</v>
      </c>
      <c r="K1354" s="14"/>
      <c r="L1354" s="14"/>
      <c r="M1354" s="14"/>
      <c r="N1354" s="14" t="s">
        <v>50</v>
      </c>
      <c r="O1354" s="14" t="s">
        <v>51</v>
      </c>
    </row>
    <row r="1355" spans="1:15">
      <c r="A1355" s="15" t="s">
        <v>13</v>
      </c>
      <c r="B1355" s="15" t="s">
        <v>7253</v>
      </c>
      <c r="C1355" s="15" t="s">
        <v>7254</v>
      </c>
      <c r="D1355" s="15" t="s">
        <v>7393</v>
      </c>
      <c r="E1355" s="15">
        <v>71</v>
      </c>
      <c r="F1355" s="15" t="s">
        <v>7396</v>
      </c>
      <c r="G1355" s="15" t="s">
        <v>7397</v>
      </c>
      <c r="H1355" s="15"/>
      <c r="I1355" s="15" t="s">
        <v>96</v>
      </c>
      <c r="J1355" s="7" t="str">
        <f>HYPERLINK("https://www.codechef.com/problems/JVASHRTA48", "https://www.codechef.com/problems/JVASHRTA48")</f>
        <v>https://www.codechef.com/problems/JVASHRTA48</v>
      </c>
      <c r="K1355" s="15"/>
      <c r="L1355" s="15"/>
      <c r="M1355" s="15"/>
      <c r="N1355" s="15" t="s">
        <v>50</v>
      </c>
      <c r="O1355" s="15" t="s">
        <v>51</v>
      </c>
    </row>
    <row r="1356" spans="1:15">
      <c r="A1356" s="14" t="s">
        <v>13</v>
      </c>
      <c r="B1356" s="14" t="s">
        <v>7253</v>
      </c>
      <c r="C1356" s="14" t="s">
        <v>7254</v>
      </c>
      <c r="D1356" s="14" t="s">
        <v>7393</v>
      </c>
      <c r="E1356" s="14">
        <v>72</v>
      </c>
      <c r="F1356" s="14" t="s">
        <v>7398</v>
      </c>
      <c r="G1356" s="14" t="s">
        <v>7399</v>
      </c>
      <c r="H1356" s="14"/>
      <c r="I1356" s="14" t="s">
        <v>96</v>
      </c>
      <c r="J1356" s="11" t="str">
        <f>HYPERLINK("https://www.codechef.com/problems/JVASHRTA49", "https://www.codechef.com/problems/JVASHRTA49")</f>
        <v>https://www.codechef.com/problems/JVASHRTA49</v>
      </c>
      <c r="K1356" s="14"/>
      <c r="L1356" s="14"/>
      <c r="M1356" s="14"/>
      <c r="N1356" s="14" t="s">
        <v>50</v>
      </c>
      <c r="O1356" s="14" t="s">
        <v>51</v>
      </c>
    </row>
    <row r="1357" spans="1:15">
      <c r="A1357" s="15" t="s">
        <v>13</v>
      </c>
      <c r="B1357" s="15" t="s">
        <v>7253</v>
      </c>
      <c r="C1357" s="15" t="s">
        <v>7254</v>
      </c>
      <c r="D1357" s="15" t="s">
        <v>7393</v>
      </c>
      <c r="E1357" s="15">
        <v>73</v>
      </c>
      <c r="F1357" s="15" t="s">
        <v>7400</v>
      </c>
      <c r="G1357" s="15" t="s">
        <v>7401</v>
      </c>
      <c r="H1357" s="15"/>
      <c r="I1357" s="15" t="s">
        <v>96</v>
      </c>
      <c r="J1357" s="7" t="str">
        <f>HYPERLINK("https://www.codechef.com/problems/JVASHRTA51", "https://www.codechef.com/problems/JVASHRTA51")</f>
        <v>https://www.codechef.com/problems/JVASHRTA51</v>
      </c>
      <c r="K1357" s="15"/>
      <c r="L1357" s="15"/>
      <c r="M1357" s="15"/>
      <c r="N1357" s="15" t="s">
        <v>50</v>
      </c>
      <c r="O1357" s="15" t="s">
        <v>51</v>
      </c>
    </row>
    <row r="1358" spans="1:15">
      <c r="A1358" s="14" t="s">
        <v>13</v>
      </c>
      <c r="B1358" s="14" t="s">
        <v>7253</v>
      </c>
      <c r="C1358" s="14" t="s">
        <v>7254</v>
      </c>
      <c r="D1358" s="14" t="s">
        <v>7393</v>
      </c>
      <c r="E1358" s="14">
        <v>74</v>
      </c>
      <c r="F1358" s="14" t="s">
        <v>7402</v>
      </c>
      <c r="G1358" s="14" t="s">
        <v>7403</v>
      </c>
      <c r="H1358" s="14"/>
      <c r="I1358" s="14" t="s">
        <v>96</v>
      </c>
      <c r="J1358" s="11" t="str">
        <f>HYPERLINK("https://www.codechef.com/problems/JVASHRTA52", "https://www.codechef.com/problems/JVASHRTA52")</f>
        <v>https://www.codechef.com/problems/JVASHRTA52</v>
      </c>
      <c r="K1358" s="14"/>
      <c r="L1358" s="14"/>
      <c r="M1358" s="14"/>
      <c r="N1358" s="14" t="s">
        <v>50</v>
      </c>
      <c r="O1358" s="14" t="s">
        <v>51</v>
      </c>
    </row>
    <row r="1359" spans="1:15">
      <c r="A1359" s="15" t="s">
        <v>13</v>
      </c>
      <c r="B1359" s="15" t="s">
        <v>7253</v>
      </c>
      <c r="C1359" s="15" t="s">
        <v>7254</v>
      </c>
      <c r="D1359" s="15" t="s">
        <v>7393</v>
      </c>
      <c r="E1359" s="15">
        <v>75</v>
      </c>
      <c r="F1359" s="15" t="s">
        <v>7404</v>
      </c>
      <c r="G1359" s="15" t="s">
        <v>7405</v>
      </c>
      <c r="H1359" s="15"/>
      <c r="I1359" s="15" t="s">
        <v>96</v>
      </c>
      <c r="J1359" s="7" t="str">
        <f>HYPERLINK("https://www.codechef.com/problems/JVASHRTA66", "https://www.codechef.com/problems/JVASHRTA66")</f>
        <v>https://www.codechef.com/problems/JVASHRTA66</v>
      </c>
      <c r="K1359" s="15"/>
      <c r="L1359" s="15"/>
      <c r="M1359" s="15"/>
      <c r="N1359" s="15" t="s">
        <v>50</v>
      </c>
      <c r="O1359" s="15" t="s">
        <v>51</v>
      </c>
    </row>
    <row r="1360" spans="1:15">
      <c r="A1360" s="14" t="s">
        <v>13</v>
      </c>
      <c r="B1360" s="14" t="s">
        <v>7253</v>
      </c>
      <c r="C1360" s="14" t="s">
        <v>7254</v>
      </c>
      <c r="D1360" s="14" t="s">
        <v>7393</v>
      </c>
      <c r="E1360" s="14">
        <v>76</v>
      </c>
      <c r="F1360" s="14" t="s">
        <v>7406</v>
      </c>
      <c r="G1360" s="14" t="s">
        <v>7407</v>
      </c>
      <c r="H1360" s="14"/>
      <c r="I1360" s="14" t="s">
        <v>96</v>
      </c>
      <c r="J1360" s="11" t="str">
        <f>HYPERLINK("https://www.codechef.com/problems/JVASHRTA67", "https://www.codechef.com/problems/JVASHRTA67")</f>
        <v>https://www.codechef.com/problems/JVASHRTA67</v>
      </c>
      <c r="K1360" s="14"/>
      <c r="L1360" s="14"/>
      <c r="M1360" s="14"/>
      <c r="N1360" s="14" t="s">
        <v>50</v>
      </c>
      <c r="O1360" s="14" t="s">
        <v>51</v>
      </c>
    </row>
    <row r="1361" spans="1:15">
      <c r="A1361" s="15" t="s">
        <v>13</v>
      </c>
      <c r="B1361" s="15" t="s">
        <v>7253</v>
      </c>
      <c r="C1361" s="15" t="s">
        <v>7254</v>
      </c>
      <c r="D1361" s="15" t="s">
        <v>7393</v>
      </c>
      <c r="E1361" s="15">
        <v>77</v>
      </c>
      <c r="F1361" s="15" t="s">
        <v>7408</v>
      </c>
      <c r="G1361" s="15" t="s">
        <v>7409</v>
      </c>
      <c r="H1361" s="15"/>
      <c r="I1361" s="15" t="s">
        <v>96</v>
      </c>
      <c r="J1361" s="7" t="str">
        <f>HYPERLINK("https://www.codechef.com/problems/JVASHRTA68", "https://www.codechef.com/problems/JVASHRTA68")</f>
        <v>https://www.codechef.com/problems/JVASHRTA68</v>
      </c>
      <c r="K1361" s="15"/>
      <c r="L1361" s="15"/>
      <c r="M1361" s="15"/>
      <c r="N1361" s="15" t="s">
        <v>50</v>
      </c>
      <c r="O1361" s="15" t="s">
        <v>51</v>
      </c>
    </row>
    <row r="1362" spans="1:15">
      <c r="A1362" s="14" t="s">
        <v>13</v>
      </c>
      <c r="B1362" s="14" t="s">
        <v>7253</v>
      </c>
      <c r="C1362" s="14" t="s">
        <v>7254</v>
      </c>
      <c r="D1362" s="14" t="s">
        <v>7393</v>
      </c>
      <c r="E1362" s="14">
        <v>78</v>
      </c>
      <c r="F1362" s="14" t="s">
        <v>7410</v>
      </c>
      <c r="G1362" s="14" t="s">
        <v>7411</v>
      </c>
      <c r="H1362" s="14"/>
      <c r="I1362" s="14" t="s">
        <v>96</v>
      </c>
      <c r="J1362" s="11" t="str">
        <f>HYPERLINK("https://www.codechef.com/problems/JDBCPROB0033", "https://www.codechef.com/problems/JDBCPROB0033")</f>
        <v>https://www.codechef.com/problems/JDBCPROB0033</v>
      </c>
      <c r="K1362" s="14"/>
      <c r="L1362" s="14"/>
      <c r="M1362" s="14"/>
      <c r="N1362" s="14" t="s">
        <v>50</v>
      </c>
      <c r="O1362" s="14" t="s">
        <v>51</v>
      </c>
    </row>
    <row r="1363" spans="1:15">
      <c r="A1363" s="15" t="s">
        <v>13</v>
      </c>
      <c r="B1363" s="15" t="s">
        <v>7253</v>
      </c>
      <c r="C1363" s="15" t="s">
        <v>7254</v>
      </c>
      <c r="D1363" s="15" t="s">
        <v>7393</v>
      </c>
      <c r="E1363" s="15">
        <v>79</v>
      </c>
      <c r="F1363" s="15" t="s">
        <v>7412</v>
      </c>
      <c r="G1363" s="15" t="s">
        <v>7413</v>
      </c>
      <c r="H1363" s="15"/>
      <c r="I1363" s="15" t="s">
        <v>96</v>
      </c>
      <c r="J1363" s="7" t="str">
        <f>HYPERLINK("https://www.codechef.com/problems/JDBCPROB0042", "https://www.codechef.com/problems/JDBCPROB0042")</f>
        <v>https://www.codechef.com/problems/JDBCPROB0042</v>
      </c>
      <c r="K1363" s="15"/>
      <c r="L1363" s="15"/>
      <c r="M1363" s="15"/>
      <c r="N1363" s="15" t="s">
        <v>50</v>
      </c>
      <c r="O1363" s="15" t="s">
        <v>51</v>
      </c>
    </row>
    <row r="1364" spans="1:15">
      <c r="A1364" s="14" t="s">
        <v>13</v>
      </c>
      <c r="B1364" s="14" t="s">
        <v>7253</v>
      </c>
      <c r="C1364" s="14" t="s">
        <v>7254</v>
      </c>
      <c r="D1364" s="14" t="s">
        <v>7414</v>
      </c>
      <c r="E1364" s="14">
        <v>80</v>
      </c>
      <c r="F1364" s="14" t="s">
        <v>7415</v>
      </c>
      <c r="G1364" s="14" t="s">
        <v>7416</v>
      </c>
      <c r="H1364" s="14"/>
      <c r="I1364" s="14" t="s">
        <v>49</v>
      </c>
      <c r="J1364" s="11" t="str">
        <f>HYPERLINK("https://www.codechef.com/problems/JVASHRTA53", "https://www.codechef.com/problems/JVASHRTA53")</f>
        <v>https://www.codechef.com/problems/JVASHRTA53</v>
      </c>
      <c r="K1364" s="14"/>
      <c r="L1364" s="14"/>
      <c r="M1364" s="14"/>
      <c r="N1364" s="14" t="s">
        <v>50</v>
      </c>
      <c r="O1364" s="14" t="s">
        <v>51</v>
      </c>
    </row>
    <row r="1365" spans="1:15">
      <c r="A1365" s="15" t="s">
        <v>13</v>
      </c>
      <c r="B1365" s="15" t="s">
        <v>7253</v>
      </c>
      <c r="C1365" s="15" t="s">
        <v>7254</v>
      </c>
      <c r="D1365" s="15" t="s">
        <v>7414</v>
      </c>
      <c r="E1365" s="15">
        <v>81</v>
      </c>
      <c r="F1365" s="15" t="s">
        <v>7417</v>
      </c>
      <c r="G1365" s="15" t="s">
        <v>7418</v>
      </c>
      <c r="H1365" s="15"/>
      <c r="I1365" s="15" t="s">
        <v>49</v>
      </c>
      <c r="J1365" s="7" t="str">
        <f>HYPERLINK("https://www.codechef.com/problems/JVASHRTA54", "https://www.codechef.com/problems/JVASHRTA54")</f>
        <v>https://www.codechef.com/problems/JVASHRTA54</v>
      </c>
      <c r="K1365" s="15"/>
      <c r="L1365" s="15"/>
      <c r="M1365" s="15"/>
      <c r="N1365" s="15" t="s">
        <v>50</v>
      </c>
      <c r="O1365" s="15" t="s">
        <v>51</v>
      </c>
    </row>
    <row r="1366" spans="1:15">
      <c r="A1366" s="14" t="s">
        <v>13</v>
      </c>
      <c r="B1366" s="14" t="s">
        <v>7253</v>
      </c>
      <c r="C1366" s="14" t="s">
        <v>7254</v>
      </c>
      <c r="D1366" s="14" t="s">
        <v>7414</v>
      </c>
      <c r="E1366" s="14">
        <v>82</v>
      </c>
      <c r="F1366" s="14" t="s">
        <v>7419</v>
      </c>
      <c r="G1366" s="14" t="s">
        <v>7420</v>
      </c>
      <c r="H1366" s="14"/>
      <c r="I1366" s="14" t="s">
        <v>49</v>
      </c>
      <c r="J1366" s="11" t="str">
        <f>HYPERLINK("https://www.codechef.com/problems/JVASHRTA55", "https://www.codechef.com/problems/JVASHRTA55")</f>
        <v>https://www.codechef.com/problems/JVASHRTA55</v>
      </c>
      <c r="K1366" s="14"/>
      <c r="L1366" s="14"/>
      <c r="M1366" s="14"/>
      <c r="N1366" s="14" t="s">
        <v>50</v>
      </c>
      <c r="O1366" s="14" t="s">
        <v>51</v>
      </c>
    </row>
    <row r="1367" spans="1:15">
      <c r="A1367" s="15" t="s">
        <v>13</v>
      </c>
      <c r="B1367" s="15" t="s">
        <v>7253</v>
      </c>
      <c r="C1367" s="15" t="s">
        <v>7254</v>
      </c>
      <c r="D1367" s="15" t="s">
        <v>7414</v>
      </c>
      <c r="E1367" s="15">
        <v>83</v>
      </c>
      <c r="F1367" s="15" t="s">
        <v>7421</v>
      </c>
      <c r="G1367" s="15" t="s">
        <v>7422</v>
      </c>
      <c r="H1367" s="15"/>
      <c r="I1367" s="15" t="s">
        <v>49</v>
      </c>
      <c r="J1367" s="7" t="str">
        <f>HYPERLINK("https://www.codechef.com/problems/JVASHRTA56", "https://www.codechef.com/problems/JVASHRTA56")</f>
        <v>https://www.codechef.com/problems/JVASHRTA56</v>
      </c>
      <c r="K1367" s="15"/>
      <c r="L1367" s="15"/>
      <c r="M1367" s="15"/>
      <c r="N1367" s="15" t="s">
        <v>50</v>
      </c>
      <c r="O1367" s="15" t="s">
        <v>51</v>
      </c>
    </row>
    <row r="1368" spans="1:15">
      <c r="A1368" s="14" t="s">
        <v>13</v>
      </c>
      <c r="B1368" s="14" t="s">
        <v>7253</v>
      </c>
      <c r="C1368" s="14" t="s">
        <v>7254</v>
      </c>
      <c r="D1368" s="14" t="s">
        <v>7414</v>
      </c>
      <c r="E1368" s="14">
        <v>84</v>
      </c>
      <c r="F1368" s="14" t="s">
        <v>7423</v>
      </c>
      <c r="G1368" s="14" t="s">
        <v>7424</v>
      </c>
      <c r="H1368" s="14"/>
      <c r="I1368" s="14" t="s">
        <v>49</v>
      </c>
      <c r="J1368" s="11" t="str">
        <f>HYPERLINK("https://www.codechef.com/problems/JVASHRTA57", "https://www.codechef.com/problems/JVASHRTA57")</f>
        <v>https://www.codechef.com/problems/JVASHRTA57</v>
      </c>
      <c r="K1368" s="14"/>
      <c r="L1368" s="14"/>
      <c r="M1368" s="14"/>
      <c r="N1368" s="14" t="s">
        <v>50</v>
      </c>
      <c r="O1368" s="14" t="s">
        <v>51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dimension ref="A1:O929"/>
  <sheetViews>
    <sheetView workbookViewId="0"/>
  </sheetViews>
  <sheetFormatPr defaultRowHeight="14.5"/>
  <cols>
    <col min="1" max="1" width="23" customWidth="1"/>
    <col min="2" max="2" width="50" customWidth="1"/>
    <col min="3" max="3" width="251" customWidth="1"/>
    <col min="4" max="4" width="100" customWidth="1"/>
    <col min="5" max="5" width="16" customWidth="1"/>
    <col min="6" max="6" width="52" customWidth="1"/>
    <col min="7" max="7" width="15" customWidth="1"/>
    <col min="8" max="8" width="20" customWidth="1"/>
    <col min="9" max="9" width="19" customWidth="1"/>
    <col min="10" max="10" width="15" customWidth="1"/>
    <col min="11" max="11" width="17" customWidth="1"/>
    <col min="12" max="12" width="216" customWidth="1"/>
    <col min="13"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14</v>
      </c>
      <c r="B2" s="14" t="s">
        <v>7425</v>
      </c>
      <c r="C2" s="14" t="s">
        <v>7426</v>
      </c>
      <c r="D2" s="14" t="s">
        <v>7427</v>
      </c>
      <c r="E2" s="14">
        <v>1</v>
      </c>
      <c r="F2" s="14" t="s">
        <v>7428</v>
      </c>
      <c r="G2" s="14" t="s">
        <v>7429</v>
      </c>
      <c r="H2" s="14"/>
      <c r="I2" s="14" t="s">
        <v>49</v>
      </c>
      <c r="J2" s="11" t="str">
        <f>HYPERLINK("https://www.codechef.com/problems/SQLP033", "https://www.codechef.com/problems/SQLP033")</f>
        <v>https://www.codechef.com/problems/SQLP033</v>
      </c>
      <c r="K2" s="14"/>
      <c r="L2" s="14"/>
      <c r="M2" s="14"/>
      <c r="N2" s="14" t="s">
        <v>50</v>
      </c>
      <c r="O2" s="14" t="s">
        <v>51</v>
      </c>
    </row>
    <row r="3" spans="1:15">
      <c r="A3" s="15" t="s">
        <v>14</v>
      </c>
      <c r="B3" s="15" t="s">
        <v>7425</v>
      </c>
      <c r="C3" s="15" t="s">
        <v>7426</v>
      </c>
      <c r="D3" s="15" t="s">
        <v>7427</v>
      </c>
      <c r="E3" s="15">
        <v>2</v>
      </c>
      <c r="F3" s="15" t="s">
        <v>7430</v>
      </c>
      <c r="G3" s="15" t="s">
        <v>7431</v>
      </c>
      <c r="H3" s="15"/>
      <c r="I3" s="15" t="s">
        <v>49</v>
      </c>
      <c r="J3" s="7" t="str">
        <f>HYPERLINK("https://www.codechef.com/problems/SQLP034", "https://www.codechef.com/problems/SQLP034")</f>
        <v>https://www.codechef.com/problems/SQLP034</v>
      </c>
      <c r="K3" s="15"/>
      <c r="L3" s="15"/>
      <c r="M3" s="15"/>
      <c r="N3" s="15" t="s">
        <v>50</v>
      </c>
      <c r="O3" s="15" t="s">
        <v>51</v>
      </c>
    </row>
    <row r="4" spans="1:15">
      <c r="A4" s="14" t="s">
        <v>14</v>
      </c>
      <c r="B4" s="14" t="s">
        <v>7425</v>
      </c>
      <c r="C4" s="14" t="s">
        <v>7426</v>
      </c>
      <c r="D4" s="14" t="s">
        <v>7427</v>
      </c>
      <c r="E4" s="14">
        <v>3</v>
      </c>
      <c r="F4" s="14" t="s">
        <v>7432</v>
      </c>
      <c r="G4" s="14" t="s">
        <v>7433</v>
      </c>
      <c r="H4" s="14"/>
      <c r="I4" s="14" t="s">
        <v>49</v>
      </c>
      <c r="J4" s="11" t="str">
        <f>HYPERLINK("https://www.codechef.com/problems/SQLP035", "https://www.codechef.com/problems/SQLP035")</f>
        <v>https://www.codechef.com/problems/SQLP035</v>
      </c>
      <c r="K4" s="14"/>
      <c r="L4" s="14"/>
      <c r="M4" s="14"/>
      <c r="N4" s="14" t="s">
        <v>50</v>
      </c>
      <c r="O4" s="14" t="s">
        <v>51</v>
      </c>
    </row>
    <row r="5" spans="1:15">
      <c r="A5" s="15" t="s">
        <v>14</v>
      </c>
      <c r="B5" s="15" t="s">
        <v>7425</v>
      </c>
      <c r="C5" s="15" t="s">
        <v>7426</v>
      </c>
      <c r="D5" s="15" t="s">
        <v>7427</v>
      </c>
      <c r="E5" s="15">
        <v>4</v>
      </c>
      <c r="F5" s="15" t="s">
        <v>7434</v>
      </c>
      <c r="G5" s="15" t="s">
        <v>7435</v>
      </c>
      <c r="H5" s="15"/>
      <c r="I5" s="15" t="s">
        <v>49</v>
      </c>
      <c r="J5" s="7" t="str">
        <f>HYPERLINK("https://www.codechef.com/problems/SQLP036", "https://www.codechef.com/problems/SQLP036")</f>
        <v>https://www.codechef.com/problems/SQLP036</v>
      </c>
      <c r="K5" s="15"/>
      <c r="L5" s="15"/>
      <c r="M5" s="15"/>
      <c r="N5" s="15" t="s">
        <v>50</v>
      </c>
      <c r="O5" s="15" t="s">
        <v>51</v>
      </c>
    </row>
    <row r="6" spans="1:15">
      <c r="A6" s="14" t="s">
        <v>14</v>
      </c>
      <c r="B6" s="14" t="s">
        <v>7425</v>
      </c>
      <c r="C6" s="14" t="s">
        <v>7426</v>
      </c>
      <c r="D6" s="14" t="s">
        <v>7427</v>
      </c>
      <c r="E6" s="14">
        <v>5</v>
      </c>
      <c r="F6" s="14" t="s">
        <v>7436</v>
      </c>
      <c r="G6" s="14" t="s">
        <v>7437</v>
      </c>
      <c r="H6" s="14"/>
      <c r="I6" s="14" t="s">
        <v>49</v>
      </c>
      <c r="J6" s="11" t="str">
        <f>HYPERLINK("https://www.codechef.com/problems/SQLP037", "https://www.codechef.com/problems/SQLP037")</f>
        <v>https://www.codechef.com/problems/SQLP037</v>
      </c>
      <c r="K6" s="14"/>
      <c r="L6" s="14"/>
      <c r="M6" s="14"/>
      <c r="N6" s="14" t="s">
        <v>50</v>
      </c>
      <c r="O6" s="14" t="s">
        <v>51</v>
      </c>
    </row>
    <row r="7" spans="1:15">
      <c r="A7" s="15" t="s">
        <v>14</v>
      </c>
      <c r="B7" s="15" t="s">
        <v>7425</v>
      </c>
      <c r="C7" s="15" t="s">
        <v>7426</v>
      </c>
      <c r="D7" s="15" t="s">
        <v>7427</v>
      </c>
      <c r="E7" s="15">
        <v>6</v>
      </c>
      <c r="F7" s="15" t="s">
        <v>7438</v>
      </c>
      <c r="G7" s="15" t="s">
        <v>7439</v>
      </c>
      <c r="H7" s="15"/>
      <c r="I7" s="15" t="s">
        <v>49</v>
      </c>
      <c r="J7" s="7" t="str">
        <f>HYPERLINK("https://www.codechef.com/problems/SQLP038", "https://www.codechef.com/problems/SQLP038")</f>
        <v>https://www.codechef.com/problems/SQLP038</v>
      </c>
      <c r="K7" s="15"/>
      <c r="L7" s="15"/>
      <c r="M7" s="15"/>
      <c r="N7" s="15" t="s">
        <v>50</v>
      </c>
      <c r="O7" s="15" t="s">
        <v>51</v>
      </c>
    </row>
    <row r="8" spans="1:15">
      <c r="A8" s="14" t="s">
        <v>14</v>
      </c>
      <c r="B8" s="14" t="s">
        <v>7425</v>
      </c>
      <c r="C8" s="14" t="s">
        <v>7426</v>
      </c>
      <c r="D8" s="14" t="s">
        <v>7427</v>
      </c>
      <c r="E8" s="14">
        <v>7</v>
      </c>
      <c r="F8" s="14" t="s">
        <v>7440</v>
      </c>
      <c r="G8" s="14" t="s">
        <v>7441</v>
      </c>
      <c r="H8" s="14"/>
      <c r="I8" s="14" t="s">
        <v>49</v>
      </c>
      <c r="J8" s="11" t="str">
        <f>HYPERLINK("https://www.codechef.com/problems/SQLP039", "https://www.codechef.com/problems/SQLP039")</f>
        <v>https://www.codechef.com/problems/SQLP039</v>
      </c>
      <c r="K8" s="14"/>
      <c r="L8" s="14"/>
      <c r="M8" s="14"/>
      <c r="N8" s="14" t="s">
        <v>50</v>
      </c>
      <c r="O8" s="14" t="s">
        <v>51</v>
      </c>
    </row>
    <row r="9" spans="1:15">
      <c r="A9" s="15" t="s">
        <v>14</v>
      </c>
      <c r="B9" s="15" t="s">
        <v>7425</v>
      </c>
      <c r="C9" s="15" t="s">
        <v>7426</v>
      </c>
      <c r="D9" s="15" t="s">
        <v>7427</v>
      </c>
      <c r="E9" s="15">
        <v>8</v>
      </c>
      <c r="F9" s="15" t="s">
        <v>7442</v>
      </c>
      <c r="G9" s="15" t="s">
        <v>7443</v>
      </c>
      <c r="H9" s="15"/>
      <c r="I9" s="15" t="s">
        <v>49</v>
      </c>
      <c r="J9" s="7" t="str">
        <f>HYPERLINK("https://www.codechef.com/problems/SQLP040", "https://www.codechef.com/problems/SQLP040")</f>
        <v>https://www.codechef.com/problems/SQLP040</v>
      </c>
      <c r="K9" s="15"/>
      <c r="L9" s="15"/>
      <c r="M9" s="15"/>
      <c r="N9" s="15" t="s">
        <v>50</v>
      </c>
      <c r="O9" s="15" t="s">
        <v>51</v>
      </c>
    </row>
    <row r="10" spans="1:15">
      <c r="A10" s="14" t="s">
        <v>14</v>
      </c>
      <c r="B10" s="14" t="s">
        <v>7425</v>
      </c>
      <c r="C10" s="14" t="s">
        <v>7426</v>
      </c>
      <c r="D10" s="14" t="s">
        <v>7427</v>
      </c>
      <c r="E10" s="14">
        <v>9</v>
      </c>
      <c r="F10" s="14" t="s">
        <v>7444</v>
      </c>
      <c r="G10" s="14" t="s">
        <v>7445</v>
      </c>
      <c r="H10" s="14"/>
      <c r="I10" s="14" t="s">
        <v>49</v>
      </c>
      <c r="J10" s="11" t="str">
        <f>HYPERLINK("https://www.codechef.com/problems/SQLP041", "https://www.codechef.com/problems/SQLP041")</f>
        <v>https://www.codechef.com/problems/SQLP041</v>
      </c>
      <c r="K10" s="14"/>
      <c r="L10" s="14"/>
      <c r="M10" s="14"/>
      <c r="N10" s="14" t="s">
        <v>50</v>
      </c>
      <c r="O10" s="14" t="s">
        <v>51</v>
      </c>
    </row>
    <row r="11" spans="1:15">
      <c r="A11" s="15" t="s">
        <v>14</v>
      </c>
      <c r="B11" s="15" t="s">
        <v>7425</v>
      </c>
      <c r="C11" s="15" t="s">
        <v>7426</v>
      </c>
      <c r="D11" s="15" t="s">
        <v>7427</v>
      </c>
      <c r="E11" s="15">
        <v>10</v>
      </c>
      <c r="F11" s="15" t="s">
        <v>7446</v>
      </c>
      <c r="G11" s="15" t="s">
        <v>7447</v>
      </c>
      <c r="H11" s="15"/>
      <c r="I11" s="15" t="s">
        <v>96</v>
      </c>
      <c r="J11" s="7" t="str">
        <f>HYPERLINK("https://www.codechef.com/problems/SQLP042", "https://www.codechef.com/problems/SQLP042")</f>
        <v>https://www.codechef.com/problems/SQLP042</v>
      </c>
      <c r="K11" s="15"/>
      <c r="L11" s="15"/>
      <c r="M11" s="15"/>
      <c r="N11" s="15" t="s">
        <v>50</v>
      </c>
      <c r="O11" s="15" t="s">
        <v>51</v>
      </c>
    </row>
    <row r="12" spans="1:15">
      <c r="A12" s="14" t="s">
        <v>14</v>
      </c>
      <c r="B12" s="14" t="s">
        <v>7425</v>
      </c>
      <c r="C12" s="14" t="s">
        <v>7426</v>
      </c>
      <c r="D12" s="14" t="s">
        <v>7427</v>
      </c>
      <c r="E12" s="14">
        <v>11</v>
      </c>
      <c r="F12" s="14" t="s">
        <v>7448</v>
      </c>
      <c r="G12" s="14" t="s">
        <v>7449</v>
      </c>
      <c r="H12" s="14"/>
      <c r="I12" s="14" t="s">
        <v>96</v>
      </c>
      <c r="J12" s="11" t="str">
        <f>HYPERLINK("https://www.codechef.com/problems/SQLP043", "https://www.codechef.com/problems/SQLP043")</f>
        <v>https://www.codechef.com/problems/SQLP043</v>
      </c>
      <c r="K12" s="14"/>
      <c r="L12" s="14"/>
      <c r="M12" s="14"/>
      <c r="N12" s="14" t="s">
        <v>50</v>
      </c>
      <c r="O12" s="14" t="s">
        <v>51</v>
      </c>
    </row>
    <row r="13" spans="1:15">
      <c r="A13" s="15" t="s">
        <v>14</v>
      </c>
      <c r="B13" s="15" t="s">
        <v>7425</v>
      </c>
      <c r="C13" s="15" t="s">
        <v>7426</v>
      </c>
      <c r="D13" s="15" t="s">
        <v>7427</v>
      </c>
      <c r="E13" s="15">
        <v>12</v>
      </c>
      <c r="F13" s="15" t="s">
        <v>7450</v>
      </c>
      <c r="G13" s="15" t="s">
        <v>7451</v>
      </c>
      <c r="H13" s="15"/>
      <c r="I13" s="15" t="s">
        <v>96</v>
      </c>
      <c r="J13" s="7" t="str">
        <f>HYPERLINK("https://www.codechef.com/problems/SQLP044", "https://www.codechef.com/problems/SQLP044")</f>
        <v>https://www.codechef.com/problems/SQLP044</v>
      </c>
      <c r="K13" s="15"/>
      <c r="L13" s="15"/>
      <c r="M13" s="15"/>
      <c r="N13" s="15" t="s">
        <v>50</v>
      </c>
      <c r="O13" s="15" t="s">
        <v>51</v>
      </c>
    </row>
    <row r="14" spans="1:15">
      <c r="A14" s="14" t="s">
        <v>14</v>
      </c>
      <c r="B14" s="14" t="s">
        <v>7425</v>
      </c>
      <c r="C14" s="14" t="s">
        <v>7426</v>
      </c>
      <c r="D14" s="14" t="s">
        <v>7427</v>
      </c>
      <c r="E14" s="14">
        <v>13</v>
      </c>
      <c r="F14" s="14" t="s">
        <v>7452</v>
      </c>
      <c r="G14" s="14" t="s">
        <v>7453</v>
      </c>
      <c r="H14" s="14"/>
      <c r="I14" s="14" t="s">
        <v>96</v>
      </c>
      <c r="J14" s="11" t="str">
        <f>HYPERLINK("https://www.codechef.com/problems/SQLP045", "https://www.codechef.com/problems/SQLP045")</f>
        <v>https://www.codechef.com/problems/SQLP045</v>
      </c>
      <c r="K14" s="14"/>
      <c r="L14" s="14"/>
      <c r="M14" s="14"/>
      <c r="N14" s="14" t="s">
        <v>50</v>
      </c>
      <c r="O14" s="14" t="s">
        <v>51</v>
      </c>
    </row>
    <row r="15" spans="1:15">
      <c r="A15" s="15" t="s">
        <v>14</v>
      </c>
      <c r="B15" s="15" t="s">
        <v>7425</v>
      </c>
      <c r="C15" s="15" t="s">
        <v>7426</v>
      </c>
      <c r="D15" s="15" t="s">
        <v>7427</v>
      </c>
      <c r="E15" s="15">
        <v>14</v>
      </c>
      <c r="F15" s="15" t="s">
        <v>7454</v>
      </c>
      <c r="G15" s="15" t="s">
        <v>7455</v>
      </c>
      <c r="H15" s="15"/>
      <c r="I15" s="15" t="s">
        <v>96</v>
      </c>
      <c r="J15" s="7" t="str">
        <f>HYPERLINK("https://www.codechef.com/problems/SQLP046", "https://www.codechef.com/problems/SQLP046")</f>
        <v>https://www.codechef.com/problems/SQLP046</v>
      </c>
      <c r="K15" s="15"/>
      <c r="L15" s="15"/>
      <c r="M15" s="15"/>
      <c r="N15" s="15" t="s">
        <v>50</v>
      </c>
      <c r="O15" s="15" t="s">
        <v>51</v>
      </c>
    </row>
    <row r="16" spans="1:15">
      <c r="A16" s="14" t="s">
        <v>14</v>
      </c>
      <c r="B16" s="14" t="s">
        <v>7425</v>
      </c>
      <c r="C16" s="14" t="s">
        <v>7426</v>
      </c>
      <c r="D16" s="14" t="s">
        <v>7427</v>
      </c>
      <c r="E16" s="14">
        <v>15</v>
      </c>
      <c r="F16" s="14" t="s">
        <v>7456</v>
      </c>
      <c r="G16" s="14" t="s">
        <v>7457</v>
      </c>
      <c r="H16" s="14"/>
      <c r="I16" s="14" t="s">
        <v>96</v>
      </c>
      <c r="J16" s="11" t="str">
        <f>HYPERLINK("https://www.codechef.com/problems/SQLP047", "https://www.codechef.com/problems/SQLP047")</f>
        <v>https://www.codechef.com/problems/SQLP047</v>
      </c>
      <c r="K16" s="14"/>
      <c r="L16" s="14"/>
      <c r="M16" s="14"/>
      <c r="N16" s="14" t="s">
        <v>50</v>
      </c>
      <c r="O16" s="14" t="s">
        <v>51</v>
      </c>
    </row>
    <row r="17" spans="1:15">
      <c r="A17" s="15" t="s">
        <v>14</v>
      </c>
      <c r="B17" s="15" t="s">
        <v>7425</v>
      </c>
      <c r="C17" s="15" t="s">
        <v>7426</v>
      </c>
      <c r="D17" s="15" t="s">
        <v>7427</v>
      </c>
      <c r="E17" s="15">
        <v>16</v>
      </c>
      <c r="F17" s="15" t="s">
        <v>7458</v>
      </c>
      <c r="G17" s="15" t="s">
        <v>7459</v>
      </c>
      <c r="H17" s="15"/>
      <c r="I17" s="15" t="s">
        <v>96</v>
      </c>
      <c r="J17" s="7" t="str">
        <f>HYPERLINK("https://www.codechef.com/problems/SQLP048", "https://www.codechef.com/problems/SQLP048")</f>
        <v>https://www.codechef.com/problems/SQLP048</v>
      </c>
      <c r="K17" s="15"/>
      <c r="L17" s="15"/>
      <c r="M17" s="15"/>
      <c r="N17" s="15" t="s">
        <v>50</v>
      </c>
      <c r="O17" s="15" t="s">
        <v>51</v>
      </c>
    </row>
    <row r="18" spans="1:15">
      <c r="A18" s="14" t="s">
        <v>14</v>
      </c>
      <c r="B18" s="14" t="s">
        <v>7425</v>
      </c>
      <c r="C18" s="14" t="s">
        <v>7426</v>
      </c>
      <c r="D18" s="14" t="s">
        <v>7427</v>
      </c>
      <c r="E18" s="14">
        <v>17</v>
      </c>
      <c r="F18" s="14" t="s">
        <v>7460</v>
      </c>
      <c r="G18" s="14" t="s">
        <v>7461</v>
      </c>
      <c r="H18" s="14"/>
      <c r="I18" s="14" t="s">
        <v>96</v>
      </c>
      <c r="J18" s="11" t="str">
        <f>HYPERLINK("https://www.codechef.com/problems/SQLP049", "https://www.codechef.com/problems/SQLP049")</f>
        <v>https://www.codechef.com/problems/SQLP049</v>
      </c>
      <c r="K18" s="14"/>
      <c r="L18" s="14"/>
      <c r="M18" s="14"/>
      <c r="N18" s="14" t="s">
        <v>50</v>
      </c>
      <c r="O18" s="14" t="s">
        <v>51</v>
      </c>
    </row>
    <row r="19" spans="1:15">
      <c r="A19" s="15" t="s">
        <v>14</v>
      </c>
      <c r="B19" s="15" t="s">
        <v>7425</v>
      </c>
      <c r="C19" s="15" t="s">
        <v>7426</v>
      </c>
      <c r="D19" s="15" t="s">
        <v>7427</v>
      </c>
      <c r="E19" s="15">
        <v>18</v>
      </c>
      <c r="F19" s="15" t="s">
        <v>7462</v>
      </c>
      <c r="G19" s="15" t="s">
        <v>7463</v>
      </c>
      <c r="H19" s="15"/>
      <c r="I19" s="15" t="s">
        <v>96</v>
      </c>
      <c r="J19" s="7" t="str">
        <f>HYPERLINK("https://www.codechef.com/problems/SQLP050", "https://www.codechef.com/problems/SQLP050")</f>
        <v>https://www.codechef.com/problems/SQLP050</v>
      </c>
      <c r="K19" s="15"/>
      <c r="L19" s="15"/>
      <c r="M19" s="15"/>
      <c r="N19" s="15" t="s">
        <v>50</v>
      </c>
      <c r="O19" s="15" t="s">
        <v>51</v>
      </c>
    </row>
    <row r="20" spans="1:15">
      <c r="A20" s="14" t="s">
        <v>14</v>
      </c>
      <c r="B20" s="14" t="s">
        <v>7425</v>
      </c>
      <c r="C20" s="14" t="s">
        <v>7426</v>
      </c>
      <c r="D20" s="14" t="s">
        <v>7427</v>
      </c>
      <c r="E20" s="14">
        <v>19</v>
      </c>
      <c r="F20" s="14" t="s">
        <v>7464</v>
      </c>
      <c r="G20" s="14" t="s">
        <v>7465</v>
      </c>
      <c r="H20" s="14"/>
      <c r="I20" s="14" t="s">
        <v>96</v>
      </c>
      <c r="J20" s="11" t="str">
        <f>HYPERLINK("https://www.codechef.com/problems/SQLP051", "https://www.codechef.com/problems/SQLP051")</f>
        <v>https://www.codechef.com/problems/SQLP051</v>
      </c>
      <c r="K20" s="14"/>
      <c r="L20" s="14"/>
      <c r="M20" s="14"/>
      <c r="N20" s="14" t="s">
        <v>50</v>
      </c>
      <c r="O20" s="14" t="s">
        <v>51</v>
      </c>
    </row>
    <row r="21" spans="1:15">
      <c r="A21" s="15" t="s">
        <v>14</v>
      </c>
      <c r="B21" s="15" t="s">
        <v>7425</v>
      </c>
      <c r="C21" s="15" t="s">
        <v>7426</v>
      </c>
      <c r="D21" s="15" t="s">
        <v>7427</v>
      </c>
      <c r="E21" s="15">
        <v>20</v>
      </c>
      <c r="F21" s="15" t="s">
        <v>7466</v>
      </c>
      <c r="G21" s="15" t="s">
        <v>7467</v>
      </c>
      <c r="H21" s="15"/>
      <c r="I21" s="15" t="s">
        <v>96</v>
      </c>
      <c r="J21" s="7" t="str">
        <f>HYPERLINK("https://www.codechef.com/problems/SQLP052", "https://www.codechef.com/problems/SQLP052")</f>
        <v>https://www.codechef.com/problems/SQLP052</v>
      </c>
      <c r="K21" s="15"/>
      <c r="L21" s="15"/>
      <c r="M21" s="15"/>
      <c r="N21" s="15" t="s">
        <v>50</v>
      </c>
      <c r="O21" s="15" t="s">
        <v>51</v>
      </c>
    </row>
    <row r="22" spans="1:15">
      <c r="A22" s="14" t="s">
        <v>14</v>
      </c>
      <c r="B22" s="14" t="s">
        <v>7425</v>
      </c>
      <c r="C22" s="14" t="s">
        <v>7426</v>
      </c>
      <c r="D22" s="14" t="s">
        <v>7468</v>
      </c>
      <c r="E22" s="14">
        <v>21</v>
      </c>
      <c r="F22" s="14" t="s">
        <v>7469</v>
      </c>
      <c r="G22" s="14" t="s">
        <v>7470</v>
      </c>
      <c r="H22" s="14"/>
      <c r="I22" s="14" t="s">
        <v>49</v>
      </c>
      <c r="J22" s="11" t="str">
        <f>HYPERLINK("https://www.codechef.com/problems/SQLP053", "https://www.codechef.com/problems/SQLP053")</f>
        <v>https://www.codechef.com/problems/SQLP053</v>
      </c>
      <c r="K22" s="14"/>
      <c r="L22" s="14"/>
      <c r="M22" s="14"/>
      <c r="N22" s="14" t="s">
        <v>50</v>
      </c>
      <c r="O22" s="14" t="s">
        <v>51</v>
      </c>
    </row>
    <row r="23" spans="1:15">
      <c r="A23" s="15" t="s">
        <v>14</v>
      </c>
      <c r="B23" s="15" t="s">
        <v>7425</v>
      </c>
      <c r="C23" s="15" t="s">
        <v>7426</v>
      </c>
      <c r="D23" s="15" t="s">
        <v>7468</v>
      </c>
      <c r="E23" s="15">
        <v>22</v>
      </c>
      <c r="F23" s="15" t="s">
        <v>7471</v>
      </c>
      <c r="G23" s="15" t="s">
        <v>7472</v>
      </c>
      <c r="H23" s="15"/>
      <c r="I23" s="15" t="s">
        <v>49</v>
      </c>
      <c r="J23" s="7" t="str">
        <f>HYPERLINK("https://www.codechef.com/problems/SQLP054", "https://www.codechef.com/problems/SQLP054")</f>
        <v>https://www.codechef.com/problems/SQLP054</v>
      </c>
      <c r="K23" s="15"/>
      <c r="L23" s="15"/>
      <c r="M23" s="15"/>
      <c r="N23" s="15" t="s">
        <v>50</v>
      </c>
      <c r="O23" s="15" t="s">
        <v>51</v>
      </c>
    </row>
    <row r="24" spans="1:15">
      <c r="A24" s="14" t="s">
        <v>14</v>
      </c>
      <c r="B24" s="14" t="s">
        <v>7425</v>
      </c>
      <c r="C24" s="14" t="s">
        <v>7426</v>
      </c>
      <c r="D24" s="14" t="s">
        <v>7468</v>
      </c>
      <c r="E24" s="14">
        <v>23</v>
      </c>
      <c r="F24" s="14" t="s">
        <v>7473</v>
      </c>
      <c r="G24" s="14" t="s">
        <v>7474</v>
      </c>
      <c r="H24" s="14"/>
      <c r="I24" s="14" t="s">
        <v>49</v>
      </c>
      <c r="J24" s="11" t="str">
        <f>HYPERLINK("https://www.codechef.com/problems/SQLP055", "https://www.codechef.com/problems/SQLP055")</f>
        <v>https://www.codechef.com/problems/SQLP055</v>
      </c>
      <c r="K24" s="14"/>
      <c r="L24" s="14"/>
      <c r="M24" s="14"/>
      <c r="N24" s="14" t="s">
        <v>50</v>
      </c>
      <c r="O24" s="14" t="s">
        <v>51</v>
      </c>
    </row>
    <row r="25" spans="1:15">
      <c r="A25" s="15" t="s">
        <v>14</v>
      </c>
      <c r="B25" s="15" t="s">
        <v>7425</v>
      </c>
      <c r="C25" s="15" t="s">
        <v>7426</v>
      </c>
      <c r="D25" s="15" t="s">
        <v>7468</v>
      </c>
      <c r="E25" s="15">
        <v>24</v>
      </c>
      <c r="F25" s="15" t="s">
        <v>7475</v>
      </c>
      <c r="G25" s="15" t="s">
        <v>7476</v>
      </c>
      <c r="H25" s="15"/>
      <c r="I25" s="15" t="s">
        <v>49</v>
      </c>
      <c r="J25" s="7" t="str">
        <f>HYPERLINK("https://www.codechef.com/problems/SQLP056", "https://www.codechef.com/problems/SQLP056")</f>
        <v>https://www.codechef.com/problems/SQLP056</v>
      </c>
      <c r="K25" s="15"/>
      <c r="L25" s="15"/>
      <c r="M25" s="15"/>
      <c r="N25" s="15" t="s">
        <v>50</v>
      </c>
      <c r="O25" s="15" t="s">
        <v>51</v>
      </c>
    </row>
    <row r="26" spans="1:15">
      <c r="A26" s="14" t="s">
        <v>14</v>
      </c>
      <c r="B26" s="14" t="s">
        <v>7425</v>
      </c>
      <c r="C26" s="14" t="s">
        <v>7426</v>
      </c>
      <c r="D26" s="14" t="s">
        <v>7468</v>
      </c>
      <c r="E26" s="14">
        <v>25</v>
      </c>
      <c r="F26" s="14" t="s">
        <v>7477</v>
      </c>
      <c r="G26" s="14" t="s">
        <v>7478</v>
      </c>
      <c r="H26" s="14"/>
      <c r="I26" s="14" t="s">
        <v>49</v>
      </c>
      <c r="J26" s="11" t="str">
        <f>HYPERLINK("https://www.codechef.com/problems/SQLP057", "https://www.codechef.com/problems/SQLP057")</f>
        <v>https://www.codechef.com/problems/SQLP057</v>
      </c>
      <c r="K26" s="14"/>
      <c r="L26" s="14"/>
      <c r="M26" s="14"/>
      <c r="N26" s="14" t="s">
        <v>50</v>
      </c>
      <c r="O26" s="14" t="s">
        <v>51</v>
      </c>
    </row>
    <row r="27" spans="1:15">
      <c r="A27" s="15" t="s">
        <v>14</v>
      </c>
      <c r="B27" s="15" t="s">
        <v>7425</v>
      </c>
      <c r="C27" s="15" t="s">
        <v>7426</v>
      </c>
      <c r="D27" s="15" t="s">
        <v>7468</v>
      </c>
      <c r="E27" s="15">
        <v>26</v>
      </c>
      <c r="F27" s="15" t="s">
        <v>7479</v>
      </c>
      <c r="G27" s="15" t="s">
        <v>7480</v>
      </c>
      <c r="H27" s="15"/>
      <c r="I27" s="15" t="s">
        <v>49</v>
      </c>
      <c r="J27" s="7" t="str">
        <f>HYPERLINK("https://www.codechef.com/problems/SQLP058", "https://www.codechef.com/problems/SQLP058")</f>
        <v>https://www.codechef.com/problems/SQLP058</v>
      </c>
      <c r="K27" s="15"/>
      <c r="L27" s="15"/>
      <c r="M27" s="15"/>
      <c r="N27" s="15" t="s">
        <v>50</v>
      </c>
      <c r="O27" s="15" t="s">
        <v>51</v>
      </c>
    </row>
    <row r="28" spans="1:15">
      <c r="A28" s="14" t="s">
        <v>14</v>
      </c>
      <c r="B28" s="14" t="s">
        <v>7425</v>
      </c>
      <c r="C28" s="14" t="s">
        <v>7426</v>
      </c>
      <c r="D28" s="14" t="s">
        <v>7468</v>
      </c>
      <c r="E28" s="14">
        <v>27</v>
      </c>
      <c r="F28" s="14" t="s">
        <v>7481</v>
      </c>
      <c r="G28" s="14" t="s">
        <v>7482</v>
      </c>
      <c r="H28" s="14"/>
      <c r="I28" s="14" t="s">
        <v>96</v>
      </c>
      <c r="J28" s="11" t="str">
        <f>HYPERLINK("https://www.codechef.com/problems/SQLP059", "https://www.codechef.com/problems/SQLP059")</f>
        <v>https://www.codechef.com/problems/SQLP059</v>
      </c>
      <c r="K28" s="14"/>
      <c r="L28" s="14"/>
      <c r="M28" s="14"/>
      <c r="N28" s="14" t="s">
        <v>50</v>
      </c>
      <c r="O28" s="14" t="s">
        <v>51</v>
      </c>
    </row>
    <row r="29" spans="1:15">
      <c r="A29" s="15" t="s">
        <v>14</v>
      </c>
      <c r="B29" s="15" t="s">
        <v>7425</v>
      </c>
      <c r="C29" s="15" t="s">
        <v>7426</v>
      </c>
      <c r="D29" s="15" t="s">
        <v>7468</v>
      </c>
      <c r="E29" s="15">
        <v>28</v>
      </c>
      <c r="F29" s="15" t="s">
        <v>7483</v>
      </c>
      <c r="G29" s="15" t="s">
        <v>7484</v>
      </c>
      <c r="H29" s="15"/>
      <c r="I29" s="15" t="s">
        <v>96</v>
      </c>
      <c r="J29" s="7" t="str">
        <f>HYPERLINK("https://www.codechef.com/problems/SQLP060", "https://www.codechef.com/problems/SQLP060")</f>
        <v>https://www.codechef.com/problems/SQLP060</v>
      </c>
      <c r="K29" s="15"/>
      <c r="L29" s="15"/>
      <c r="M29" s="15"/>
      <c r="N29" s="15" t="s">
        <v>50</v>
      </c>
      <c r="O29" s="15" t="s">
        <v>51</v>
      </c>
    </row>
    <row r="30" spans="1:15">
      <c r="A30" s="14" t="s">
        <v>14</v>
      </c>
      <c r="B30" s="14" t="s">
        <v>7425</v>
      </c>
      <c r="C30" s="14" t="s">
        <v>7426</v>
      </c>
      <c r="D30" s="14" t="s">
        <v>7468</v>
      </c>
      <c r="E30" s="14">
        <v>29</v>
      </c>
      <c r="F30" s="14" t="s">
        <v>7485</v>
      </c>
      <c r="G30" s="14" t="s">
        <v>7486</v>
      </c>
      <c r="H30" s="14"/>
      <c r="I30" s="14" t="s">
        <v>96</v>
      </c>
      <c r="J30" s="11" t="str">
        <f>HYPERLINK("https://www.codechef.com/problems/SQLP061", "https://www.codechef.com/problems/SQLP061")</f>
        <v>https://www.codechef.com/problems/SQLP061</v>
      </c>
      <c r="K30" s="14"/>
      <c r="L30" s="14"/>
      <c r="M30" s="14"/>
      <c r="N30" s="14" t="s">
        <v>50</v>
      </c>
      <c r="O30" s="14" t="s">
        <v>51</v>
      </c>
    </row>
    <row r="31" spans="1:15">
      <c r="A31" s="15" t="s">
        <v>14</v>
      </c>
      <c r="B31" s="15" t="s">
        <v>7425</v>
      </c>
      <c r="C31" s="15" t="s">
        <v>7426</v>
      </c>
      <c r="D31" s="15" t="s">
        <v>7468</v>
      </c>
      <c r="E31" s="15">
        <v>30</v>
      </c>
      <c r="F31" s="15" t="s">
        <v>7487</v>
      </c>
      <c r="G31" s="15" t="s">
        <v>7488</v>
      </c>
      <c r="H31" s="15"/>
      <c r="I31" s="15" t="s">
        <v>96</v>
      </c>
      <c r="J31" s="7" t="str">
        <f>HYPERLINK("https://www.codechef.com/problems/SQLP062", "https://www.codechef.com/problems/SQLP062")</f>
        <v>https://www.codechef.com/problems/SQLP062</v>
      </c>
      <c r="K31" s="15"/>
      <c r="L31" s="15"/>
      <c r="M31" s="15"/>
      <c r="N31" s="15" t="s">
        <v>50</v>
      </c>
      <c r="O31" s="15" t="s">
        <v>51</v>
      </c>
    </row>
    <row r="32" spans="1:15">
      <c r="A32" s="14" t="s">
        <v>14</v>
      </c>
      <c r="B32" s="14" t="s">
        <v>7425</v>
      </c>
      <c r="C32" s="14" t="s">
        <v>7426</v>
      </c>
      <c r="D32" s="14" t="s">
        <v>7468</v>
      </c>
      <c r="E32" s="14">
        <v>31</v>
      </c>
      <c r="F32" s="14" t="s">
        <v>7489</v>
      </c>
      <c r="G32" s="14" t="s">
        <v>7490</v>
      </c>
      <c r="H32" s="14"/>
      <c r="I32" s="14" t="s">
        <v>96</v>
      </c>
      <c r="J32" s="11" t="str">
        <f>HYPERLINK("https://www.codechef.com/problems/SQLP063", "https://www.codechef.com/problems/SQLP063")</f>
        <v>https://www.codechef.com/problems/SQLP063</v>
      </c>
      <c r="K32" s="14"/>
      <c r="L32" s="14"/>
      <c r="M32" s="14"/>
      <c r="N32" s="14" t="s">
        <v>50</v>
      </c>
      <c r="O32" s="14" t="s">
        <v>51</v>
      </c>
    </row>
    <row r="33" spans="1:15">
      <c r="A33" s="15" t="s">
        <v>14</v>
      </c>
      <c r="B33" s="15" t="s">
        <v>7425</v>
      </c>
      <c r="C33" s="15" t="s">
        <v>7426</v>
      </c>
      <c r="D33" s="15" t="s">
        <v>7468</v>
      </c>
      <c r="E33" s="15">
        <v>32</v>
      </c>
      <c r="F33" s="15" t="s">
        <v>7491</v>
      </c>
      <c r="G33" s="15" t="s">
        <v>7492</v>
      </c>
      <c r="H33" s="15"/>
      <c r="I33" s="15" t="s">
        <v>96</v>
      </c>
      <c r="J33" s="7" t="str">
        <f>HYPERLINK("https://www.codechef.com/problems/SQLP064", "https://www.codechef.com/problems/SQLP064")</f>
        <v>https://www.codechef.com/problems/SQLP064</v>
      </c>
      <c r="K33" s="15"/>
      <c r="L33" s="15"/>
      <c r="M33" s="15"/>
      <c r="N33" s="15" t="s">
        <v>50</v>
      </c>
      <c r="O33" s="15" t="s">
        <v>51</v>
      </c>
    </row>
    <row r="34" spans="1:15">
      <c r="A34" s="14" t="s">
        <v>14</v>
      </c>
      <c r="B34" s="14" t="s">
        <v>7425</v>
      </c>
      <c r="C34" s="14" t="s">
        <v>7426</v>
      </c>
      <c r="D34" s="14" t="s">
        <v>7493</v>
      </c>
      <c r="E34" s="14">
        <v>33</v>
      </c>
      <c r="F34" s="14" t="s">
        <v>7494</v>
      </c>
      <c r="G34" s="14" t="s">
        <v>7495</v>
      </c>
      <c r="H34" s="14"/>
      <c r="I34" s="14" t="s">
        <v>96</v>
      </c>
      <c r="J34" s="11" t="str">
        <f>HYPERLINK("https://www.codechef.com/problems/SQLP085", "https://www.codechef.com/problems/SQLP085")</f>
        <v>https://www.codechef.com/problems/SQLP085</v>
      </c>
      <c r="K34" s="14"/>
      <c r="L34" s="14"/>
      <c r="M34" s="14"/>
      <c r="N34" s="14" t="s">
        <v>50</v>
      </c>
      <c r="O34" s="14" t="s">
        <v>51</v>
      </c>
    </row>
    <row r="35" spans="1:15">
      <c r="A35" s="15" t="s">
        <v>14</v>
      </c>
      <c r="B35" s="15" t="s">
        <v>7425</v>
      </c>
      <c r="C35" s="15" t="s">
        <v>7426</v>
      </c>
      <c r="D35" s="15" t="s">
        <v>7493</v>
      </c>
      <c r="E35" s="15">
        <v>34</v>
      </c>
      <c r="F35" s="15" t="s">
        <v>7496</v>
      </c>
      <c r="G35" s="15" t="s">
        <v>7497</v>
      </c>
      <c r="H35" s="15"/>
      <c r="I35" s="15" t="s">
        <v>96</v>
      </c>
      <c r="J35" s="7" t="str">
        <f>HYPERLINK("https://www.codechef.com/problems/SQLP086", "https://www.codechef.com/problems/SQLP086")</f>
        <v>https://www.codechef.com/problems/SQLP086</v>
      </c>
      <c r="K35" s="15"/>
      <c r="L35" s="15"/>
      <c r="M35" s="15"/>
      <c r="N35" s="15" t="s">
        <v>50</v>
      </c>
      <c r="O35" s="15" t="s">
        <v>51</v>
      </c>
    </row>
    <row r="36" spans="1:15">
      <c r="A36" s="14" t="s">
        <v>14</v>
      </c>
      <c r="B36" s="14" t="s">
        <v>7425</v>
      </c>
      <c r="C36" s="14" t="s">
        <v>7426</v>
      </c>
      <c r="D36" s="14" t="s">
        <v>7493</v>
      </c>
      <c r="E36" s="14">
        <v>35</v>
      </c>
      <c r="F36" s="14" t="s">
        <v>7498</v>
      </c>
      <c r="G36" s="14" t="s">
        <v>7499</v>
      </c>
      <c r="H36" s="14"/>
      <c r="I36" s="14" t="s">
        <v>49</v>
      </c>
      <c r="J36" s="11" t="str">
        <f>HYPERLINK("https://www.codechef.com/problems/SQLP077", "https://www.codechef.com/problems/SQLP077")</f>
        <v>https://www.codechef.com/problems/SQLP077</v>
      </c>
      <c r="K36" s="14"/>
      <c r="L36" s="14"/>
      <c r="M36" s="14"/>
      <c r="N36" s="14" t="s">
        <v>50</v>
      </c>
      <c r="O36" s="14" t="s">
        <v>51</v>
      </c>
    </row>
    <row r="37" spans="1:15">
      <c r="A37" s="15" t="s">
        <v>14</v>
      </c>
      <c r="B37" s="15" t="s">
        <v>7425</v>
      </c>
      <c r="C37" s="15" t="s">
        <v>7426</v>
      </c>
      <c r="D37" s="15" t="s">
        <v>7493</v>
      </c>
      <c r="E37" s="15">
        <v>36</v>
      </c>
      <c r="F37" s="15" t="s">
        <v>7500</v>
      </c>
      <c r="G37" s="15" t="s">
        <v>7501</v>
      </c>
      <c r="H37" s="15"/>
      <c r="I37" s="15" t="s">
        <v>49</v>
      </c>
      <c r="J37" s="7" t="str">
        <f>HYPERLINK("https://www.codechef.com/problems/SQLP078", "https://www.codechef.com/problems/SQLP078")</f>
        <v>https://www.codechef.com/problems/SQLP078</v>
      </c>
      <c r="K37" s="15"/>
      <c r="L37" s="15"/>
      <c r="M37" s="15"/>
      <c r="N37" s="15" t="s">
        <v>50</v>
      </c>
      <c r="O37" s="15" t="s">
        <v>51</v>
      </c>
    </row>
    <row r="38" spans="1:15">
      <c r="A38" s="14" t="s">
        <v>14</v>
      </c>
      <c r="B38" s="14" t="s">
        <v>7425</v>
      </c>
      <c r="C38" s="14" t="s">
        <v>7426</v>
      </c>
      <c r="D38" s="14" t="s">
        <v>7493</v>
      </c>
      <c r="E38" s="14">
        <v>37</v>
      </c>
      <c r="F38" s="14" t="s">
        <v>7502</v>
      </c>
      <c r="G38" s="14" t="s">
        <v>7503</v>
      </c>
      <c r="H38" s="14"/>
      <c r="I38" s="14" t="s">
        <v>49</v>
      </c>
      <c r="J38" s="11" t="str">
        <f>HYPERLINK("https://www.codechef.com/problems/SQLP094", "https://www.codechef.com/problems/SQLP094")</f>
        <v>https://www.codechef.com/problems/SQLP094</v>
      </c>
      <c r="K38" s="14"/>
      <c r="L38" s="14"/>
      <c r="M38" s="14"/>
      <c r="N38" s="14" t="s">
        <v>50</v>
      </c>
      <c r="O38" s="14" t="s">
        <v>51</v>
      </c>
    </row>
    <row r="39" spans="1:15">
      <c r="A39" s="15" t="s">
        <v>14</v>
      </c>
      <c r="B39" s="15" t="s">
        <v>7425</v>
      </c>
      <c r="C39" s="15" t="s">
        <v>7426</v>
      </c>
      <c r="D39" s="15" t="s">
        <v>7493</v>
      </c>
      <c r="E39" s="15">
        <v>38</v>
      </c>
      <c r="F39" s="15" t="s">
        <v>7504</v>
      </c>
      <c r="G39" s="15" t="s">
        <v>7505</v>
      </c>
      <c r="H39" s="15"/>
      <c r="I39" s="15" t="s">
        <v>49</v>
      </c>
      <c r="J39" s="7" t="str">
        <f>HYPERLINK("https://www.codechef.com/problems/SQLP079", "https://www.codechef.com/problems/SQLP079")</f>
        <v>https://www.codechef.com/problems/SQLP079</v>
      </c>
      <c r="K39" s="15"/>
      <c r="L39" s="15"/>
      <c r="M39" s="15"/>
      <c r="N39" s="15" t="s">
        <v>50</v>
      </c>
      <c r="O39" s="15" t="s">
        <v>51</v>
      </c>
    </row>
    <row r="40" spans="1:15">
      <c r="A40" s="14" t="s">
        <v>14</v>
      </c>
      <c r="B40" s="14" t="s">
        <v>7425</v>
      </c>
      <c r="C40" s="14" t="s">
        <v>7426</v>
      </c>
      <c r="D40" s="14" t="s">
        <v>7493</v>
      </c>
      <c r="E40" s="14">
        <v>39</v>
      </c>
      <c r="F40" s="14" t="s">
        <v>7506</v>
      </c>
      <c r="G40" s="14" t="s">
        <v>7507</v>
      </c>
      <c r="H40" s="14"/>
      <c r="I40" s="14" t="s">
        <v>49</v>
      </c>
      <c r="J40" s="11" t="str">
        <f>HYPERLINK("https://www.codechef.com/problems/SQLP080", "https://www.codechef.com/problems/SQLP080")</f>
        <v>https://www.codechef.com/problems/SQLP080</v>
      </c>
      <c r="K40" s="14"/>
      <c r="L40" s="14"/>
      <c r="M40" s="14"/>
      <c r="N40" s="14" t="s">
        <v>50</v>
      </c>
      <c r="O40" s="14" t="s">
        <v>51</v>
      </c>
    </row>
    <row r="41" spans="1:15">
      <c r="A41" s="15" t="s">
        <v>14</v>
      </c>
      <c r="B41" s="15" t="s">
        <v>7425</v>
      </c>
      <c r="C41" s="15" t="s">
        <v>7426</v>
      </c>
      <c r="D41" s="15" t="s">
        <v>7493</v>
      </c>
      <c r="E41" s="15">
        <v>40</v>
      </c>
      <c r="F41" s="15" t="s">
        <v>7508</v>
      </c>
      <c r="G41" s="15" t="s">
        <v>7509</v>
      </c>
      <c r="H41" s="15"/>
      <c r="I41" s="15" t="s">
        <v>49</v>
      </c>
      <c r="J41" s="7" t="str">
        <f>HYPERLINK("https://www.codechef.com/problems/SQLP081", "https://www.codechef.com/problems/SQLP081")</f>
        <v>https://www.codechef.com/problems/SQLP081</v>
      </c>
      <c r="K41" s="15"/>
      <c r="L41" s="15"/>
      <c r="M41" s="15"/>
      <c r="N41" s="15" t="s">
        <v>50</v>
      </c>
      <c r="O41" s="15" t="s">
        <v>51</v>
      </c>
    </row>
    <row r="42" spans="1:15">
      <c r="A42" s="14" t="s">
        <v>14</v>
      </c>
      <c r="B42" s="14" t="s">
        <v>7425</v>
      </c>
      <c r="C42" s="14" t="s">
        <v>7426</v>
      </c>
      <c r="D42" s="14" t="s">
        <v>7493</v>
      </c>
      <c r="E42" s="14">
        <v>41</v>
      </c>
      <c r="F42" s="14" t="s">
        <v>7510</v>
      </c>
      <c r="G42" s="14" t="s">
        <v>7511</v>
      </c>
      <c r="H42" s="14"/>
      <c r="I42" s="14" t="s">
        <v>49</v>
      </c>
      <c r="J42" s="11" t="str">
        <f>HYPERLINK("https://www.codechef.com/problems/SQLP082", "https://www.codechef.com/problems/SQLP082")</f>
        <v>https://www.codechef.com/problems/SQLP082</v>
      </c>
      <c r="K42" s="14"/>
      <c r="L42" s="14"/>
      <c r="M42" s="14"/>
      <c r="N42" s="14" t="s">
        <v>50</v>
      </c>
      <c r="O42" s="14" t="s">
        <v>51</v>
      </c>
    </row>
    <row r="43" spans="1:15">
      <c r="A43" s="15" t="s">
        <v>14</v>
      </c>
      <c r="B43" s="15" t="s">
        <v>7425</v>
      </c>
      <c r="C43" s="15" t="s">
        <v>7426</v>
      </c>
      <c r="D43" s="15" t="s">
        <v>7493</v>
      </c>
      <c r="E43" s="15">
        <v>42</v>
      </c>
      <c r="F43" s="15" t="s">
        <v>7512</v>
      </c>
      <c r="G43" s="15" t="s">
        <v>7513</v>
      </c>
      <c r="H43" s="15"/>
      <c r="I43" s="15" t="s">
        <v>49</v>
      </c>
      <c r="J43" s="7" t="str">
        <f>HYPERLINK("https://www.codechef.com/problems/SQLP083", "https://www.codechef.com/problems/SQLP083")</f>
        <v>https://www.codechef.com/problems/SQLP083</v>
      </c>
      <c r="K43" s="15"/>
      <c r="L43" s="15"/>
      <c r="M43" s="15"/>
      <c r="N43" s="15" t="s">
        <v>50</v>
      </c>
      <c r="O43" s="15" t="s">
        <v>51</v>
      </c>
    </row>
    <row r="44" spans="1:15">
      <c r="A44" s="14" t="s">
        <v>14</v>
      </c>
      <c r="B44" s="14" t="s">
        <v>7425</v>
      </c>
      <c r="C44" s="14" t="s">
        <v>7426</v>
      </c>
      <c r="D44" s="14" t="s">
        <v>7493</v>
      </c>
      <c r="E44" s="14">
        <v>43</v>
      </c>
      <c r="F44" s="14" t="s">
        <v>7514</v>
      </c>
      <c r="G44" s="14" t="s">
        <v>7515</v>
      </c>
      <c r="H44" s="14"/>
      <c r="I44" s="14" t="s">
        <v>49</v>
      </c>
      <c r="J44" s="11" t="str">
        <f>HYPERLINK("https://www.codechef.com/problems/SQLP084", "https://www.codechef.com/problems/SQLP084")</f>
        <v>https://www.codechef.com/problems/SQLP084</v>
      </c>
      <c r="K44" s="14"/>
      <c r="L44" s="14"/>
      <c r="M44" s="14"/>
      <c r="N44" s="14" t="s">
        <v>50</v>
      </c>
      <c r="O44" s="14" t="s">
        <v>51</v>
      </c>
    </row>
    <row r="45" spans="1:15">
      <c r="A45" s="15" t="s">
        <v>14</v>
      </c>
      <c r="B45" s="15" t="s">
        <v>7425</v>
      </c>
      <c r="C45" s="15" t="s">
        <v>7426</v>
      </c>
      <c r="D45" s="15" t="s">
        <v>7493</v>
      </c>
      <c r="E45" s="15">
        <v>44</v>
      </c>
      <c r="F45" s="15" t="s">
        <v>7516</v>
      </c>
      <c r="G45" s="15" t="s">
        <v>7517</v>
      </c>
      <c r="H45" s="15"/>
      <c r="I45" s="15" t="s">
        <v>49</v>
      </c>
      <c r="J45" s="7" t="str">
        <f>HYPERLINK("https://www.codechef.com/problems/SQLP087", "https://www.codechef.com/problems/SQLP087")</f>
        <v>https://www.codechef.com/problems/SQLP087</v>
      </c>
      <c r="K45" s="15"/>
      <c r="L45" s="15"/>
      <c r="M45" s="15"/>
      <c r="N45" s="15" t="s">
        <v>50</v>
      </c>
      <c r="O45" s="15" t="s">
        <v>51</v>
      </c>
    </row>
    <row r="46" spans="1:15">
      <c r="A46" s="14" t="s">
        <v>14</v>
      </c>
      <c r="B46" s="14" t="s">
        <v>7425</v>
      </c>
      <c r="C46" s="14" t="s">
        <v>7426</v>
      </c>
      <c r="D46" s="14" t="s">
        <v>7493</v>
      </c>
      <c r="E46" s="14">
        <v>45</v>
      </c>
      <c r="F46" s="14" t="s">
        <v>7518</v>
      </c>
      <c r="G46" s="14" t="s">
        <v>7519</v>
      </c>
      <c r="H46" s="14"/>
      <c r="I46" s="14" t="s">
        <v>49</v>
      </c>
      <c r="J46" s="11" t="str">
        <f>HYPERLINK("https://www.codechef.com/problems/SQLP088", "https://www.codechef.com/problems/SQLP088")</f>
        <v>https://www.codechef.com/problems/SQLP088</v>
      </c>
      <c r="K46" s="14"/>
      <c r="L46" s="14"/>
      <c r="M46" s="14"/>
      <c r="N46" s="14" t="s">
        <v>50</v>
      </c>
      <c r="O46" s="14" t="s">
        <v>51</v>
      </c>
    </row>
    <row r="47" spans="1:15">
      <c r="A47" s="15" t="s">
        <v>14</v>
      </c>
      <c r="B47" s="15" t="s">
        <v>7425</v>
      </c>
      <c r="C47" s="15" t="s">
        <v>7426</v>
      </c>
      <c r="D47" s="15" t="s">
        <v>7493</v>
      </c>
      <c r="E47" s="15">
        <v>46</v>
      </c>
      <c r="F47" s="15" t="s">
        <v>7520</v>
      </c>
      <c r="G47" s="15" t="s">
        <v>7521</v>
      </c>
      <c r="H47" s="15"/>
      <c r="I47" s="15" t="s">
        <v>49</v>
      </c>
      <c r="J47" s="7" t="str">
        <f>HYPERLINK("https://www.codechef.com/problems/SQLP089", "https://www.codechef.com/problems/SQLP089")</f>
        <v>https://www.codechef.com/problems/SQLP089</v>
      </c>
      <c r="K47" s="15"/>
      <c r="L47" s="15"/>
      <c r="M47" s="15"/>
      <c r="N47" s="15" t="s">
        <v>50</v>
      </c>
      <c r="O47" s="15" t="s">
        <v>51</v>
      </c>
    </row>
    <row r="48" spans="1:15">
      <c r="A48" s="14" t="s">
        <v>14</v>
      </c>
      <c r="B48" s="14" t="s">
        <v>7425</v>
      </c>
      <c r="C48" s="14" t="s">
        <v>7426</v>
      </c>
      <c r="D48" s="14" t="s">
        <v>7493</v>
      </c>
      <c r="E48" s="14">
        <v>47</v>
      </c>
      <c r="F48" s="14" t="s">
        <v>7522</v>
      </c>
      <c r="G48" s="14" t="s">
        <v>7523</v>
      </c>
      <c r="H48" s="14"/>
      <c r="I48" s="14" t="s">
        <v>49</v>
      </c>
      <c r="J48" s="11" t="str">
        <f>HYPERLINK("https://www.codechef.com/problems/SQLP090", "https://www.codechef.com/problems/SQLP090")</f>
        <v>https://www.codechef.com/problems/SQLP090</v>
      </c>
      <c r="K48" s="14"/>
      <c r="L48" s="14"/>
      <c r="M48" s="14"/>
      <c r="N48" s="14" t="s">
        <v>50</v>
      </c>
      <c r="O48" s="14" t="s">
        <v>51</v>
      </c>
    </row>
    <row r="49" spans="1:15">
      <c r="A49" s="15" t="s">
        <v>14</v>
      </c>
      <c r="B49" s="15" t="s">
        <v>7425</v>
      </c>
      <c r="C49" s="15" t="s">
        <v>7426</v>
      </c>
      <c r="D49" s="15" t="s">
        <v>7493</v>
      </c>
      <c r="E49" s="15">
        <v>48</v>
      </c>
      <c r="F49" s="15" t="s">
        <v>7524</v>
      </c>
      <c r="G49" s="15" t="s">
        <v>7525</v>
      </c>
      <c r="H49" s="15"/>
      <c r="I49" s="15" t="s">
        <v>49</v>
      </c>
      <c r="J49" s="7" t="str">
        <f>HYPERLINK("https://www.codechef.com/problems/SQLP091", "https://www.codechef.com/problems/SQLP091")</f>
        <v>https://www.codechef.com/problems/SQLP091</v>
      </c>
      <c r="K49" s="15"/>
      <c r="L49" s="15"/>
      <c r="M49" s="15"/>
      <c r="N49" s="15" t="s">
        <v>50</v>
      </c>
      <c r="O49" s="15" t="s">
        <v>51</v>
      </c>
    </row>
    <row r="50" spans="1:15">
      <c r="A50" s="14" t="s">
        <v>14</v>
      </c>
      <c r="B50" s="14" t="s">
        <v>7425</v>
      </c>
      <c r="C50" s="14" t="s">
        <v>7426</v>
      </c>
      <c r="D50" s="14" t="s">
        <v>7493</v>
      </c>
      <c r="E50" s="14">
        <v>49</v>
      </c>
      <c r="F50" s="14" t="s">
        <v>7526</v>
      </c>
      <c r="G50" s="14" t="s">
        <v>7527</v>
      </c>
      <c r="H50" s="14"/>
      <c r="I50" s="14" t="s">
        <v>49</v>
      </c>
      <c r="J50" s="11" t="str">
        <f>HYPERLINK("https://www.codechef.com/problems/SQLP092", "https://www.codechef.com/problems/SQLP092")</f>
        <v>https://www.codechef.com/problems/SQLP092</v>
      </c>
      <c r="K50" s="14"/>
      <c r="L50" s="14"/>
      <c r="M50" s="14"/>
      <c r="N50" s="14" t="s">
        <v>50</v>
      </c>
      <c r="O50" s="14" t="s">
        <v>51</v>
      </c>
    </row>
    <row r="51" spans="1:15">
      <c r="A51" s="15" t="s">
        <v>14</v>
      </c>
      <c r="B51" s="15" t="s">
        <v>7425</v>
      </c>
      <c r="C51" s="15" t="s">
        <v>7426</v>
      </c>
      <c r="D51" s="15" t="s">
        <v>7493</v>
      </c>
      <c r="E51" s="15">
        <v>50</v>
      </c>
      <c r="F51" s="15" t="s">
        <v>7528</v>
      </c>
      <c r="G51" s="15" t="s">
        <v>7529</v>
      </c>
      <c r="H51" s="15"/>
      <c r="I51" s="15" t="s">
        <v>49</v>
      </c>
      <c r="J51" s="7" t="str">
        <f>HYPERLINK("https://www.codechef.com/problems/SQLP093", "https://www.codechef.com/problems/SQLP093")</f>
        <v>https://www.codechef.com/problems/SQLP093</v>
      </c>
      <c r="K51" s="15"/>
      <c r="L51" s="15"/>
      <c r="M51" s="15"/>
      <c r="N51" s="15" t="s">
        <v>50</v>
      </c>
      <c r="O51" s="15" t="s">
        <v>51</v>
      </c>
    </row>
    <row r="52" spans="1:15">
      <c r="A52" s="14" t="s">
        <v>14</v>
      </c>
      <c r="B52" s="14" t="s">
        <v>7425</v>
      </c>
      <c r="C52" s="14" t="s">
        <v>7426</v>
      </c>
      <c r="D52" s="14" t="s">
        <v>7493</v>
      </c>
      <c r="E52" s="14">
        <v>51</v>
      </c>
      <c r="F52" s="14" t="s">
        <v>7530</v>
      </c>
      <c r="G52" s="14" t="s">
        <v>7531</v>
      </c>
      <c r="H52" s="14"/>
      <c r="I52" s="14" t="s">
        <v>96</v>
      </c>
      <c r="J52" s="11" t="str">
        <f>HYPERLINK("https://www.codechef.com/problems/SQLP095", "https://www.codechef.com/problems/SQLP095")</f>
        <v>https://www.codechef.com/problems/SQLP095</v>
      </c>
      <c r="K52" s="14"/>
      <c r="L52" s="14"/>
      <c r="M52" s="14"/>
      <c r="N52" s="14" t="s">
        <v>50</v>
      </c>
      <c r="O52" s="14" t="s">
        <v>51</v>
      </c>
    </row>
    <row r="53" spans="1:15">
      <c r="A53" s="15" t="s">
        <v>14</v>
      </c>
      <c r="B53" s="15" t="s">
        <v>7425</v>
      </c>
      <c r="C53" s="15" t="s">
        <v>7426</v>
      </c>
      <c r="D53" s="15" t="s">
        <v>7493</v>
      </c>
      <c r="E53" s="15">
        <v>52</v>
      </c>
      <c r="F53" s="15" t="s">
        <v>7532</v>
      </c>
      <c r="G53" s="15" t="s">
        <v>7533</v>
      </c>
      <c r="H53" s="15"/>
      <c r="I53" s="15" t="s">
        <v>49</v>
      </c>
      <c r="J53" s="7" t="str">
        <f>HYPERLINK("https://www.codechef.com/problems/SQLP096", "https://www.codechef.com/problems/SQLP096")</f>
        <v>https://www.codechef.com/problems/SQLP096</v>
      </c>
      <c r="K53" s="15"/>
      <c r="L53" s="15"/>
      <c r="M53" s="15"/>
      <c r="N53" s="15" t="s">
        <v>50</v>
      </c>
      <c r="O53" s="15" t="s">
        <v>51</v>
      </c>
    </row>
    <row r="54" spans="1:15">
      <c r="A54" s="14" t="s">
        <v>14</v>
      </c>
      <c r="B54" s="14" t="s">
        <v>7425</v>
      </c>
      <c r="C54" s="14" t="s">
        <v>7426</v>
      </c>
      <c r="D54" s="14" t="s">
        <v>7534</v>
      </c>
      <c r="E54" s="14">
        <v>53</v>
      </c>
      <c r="F54" s="14" t="s">
        <v>7535</v>
      </c>
      <c r="G54" s="14" t="s">
        <v>7536</v>
      </c>
      <c r="H54" s="14"/>
      <c r="I54" s="14" t="s">
        <v>49</v>
      </c>
      <c r="J54" s="11" t="str">
        <f>HYPERLINK("https://www.codechef.com/problems/SQLP065", "https://www.codechef.com/problems/SQLP065")</f>
        <v>https://www.codechef.com/problems/SQLP065</v>
      </c>
      <c r="K54" s="14"/>
      <c r="L54" s="14"/>
      <c r="M54" s="14"/>
      <c r="N54" s="14" t="s">
        <v>50</v>
      </c>
      <c r="O54" s="14" t="s">
        <v>51</v>
      </c>
    </row>
    <row r="55" spans="1:15">
      <c r="A55" s="15" t="s">
        <v>14</v>
      </c>
      <c r="B55" s="15" t="s">
        <v>7425</v>
      </c>
      <c r="C55" s="15" t="s">
        <v>7426</v>
      </c>
      <c r="D55" s="15" t="s">
        <v>7534</v>
      </c>
      <c r="E55" s="15">
        <v>54</v>
      </c>
      <c r="F55" s="15" t="s">
        <v>7537</v>
      </c>
      <c r="G55" s="15" t="s">
        <v>7538</v>
      </c>
      <c r="H55" s="15"/>
      <c r="I55" s="15" t="s">
        <v>49</v>
      </c>
      <c r="J55" s="7" t="str">
        <f>HYPERLINK("https://www.codechef.com/problems/SQLP066", "https://www.codechef.com/problems/SQLP066")</f>
        <v>https://www.codechef.com/problems/SQLP066</v>
      </c>
      <c r="K55" s="15"/>
      <c r="L55" s="15"/>
      <c r="M55" s="15"/>
      <c r="N55" s="15" t="s">
        <v>50</v>
      </c>
      <c r="O55" s="15" t="s">
        <v>51</v>
      </c>
    </row>
    <row r="56" spans="1:15">
      <c r="A56" s="14" t="s">
        <v>14</v>
      </c>
      <c r="B56" s="14" t="s">
        <v>7425</v>
      </c>
      <c r="C56" s="14" t="s">
        <v>7426</v>
      </c>
      <c r="D56" s="14" t="s">
        <v>7534</v>
      </c>
      <c r="E56" s="14">
        <v>55</v>
      </c>
      <c r="F56" s="14" t="s">
        <v>7539</v>
      </c>
      <c r="G56" s="14" t="s">
        <v>7540</v>
      </c>
      <c r="H56" s="14"/>
      <c r="I56" s="14" t="s">
        <v>49</v>
      </c>
      <c r="J56" s="11" t="str">
        <f>HYPERLINK("https://www.codechef.com/problems/SQLP067", "https://www.codechef.com/problems/SQLP067")</f>
        <v>https://www.codechef.com/problems/SQLP067</v>
      </c>
      <c r="K56" s="14"/>
      <c r="L56" s="14"/>
      <c r="M56" s="14"/>
      <c r="N56" s="14" t="s">
        <v>50</v>
      </c>
      <c r="O56" s="14" t="s">
        <v>51</v>
      </c>
    </row>
    <row r="57" spans="1:15">
      <c r="A57" s="15" t="s">
        <v>14</v>
      </c>
      <c r="B57" s="15" t="s">
        <v>7425</v>
      </c>
      <c r="C57" s="15" t="s">
        <v>7426</v>
      </c>
      <c r="D57" s="15" t="s">
        <v>7534</v>
      </c>
      <c r="E57" s="15">
        <v>56</v>
      </c>
      <c r="F57" s="15" t="s">
        <v>7541</v>
      </c>
      <c r="G57" s="15" t="s">
        <v>7542</v>
      </c>
      <c r="H57" s="15"/>
      <c r="I57" s="15" t="s">
        <v>49</v>
      </c>
      <c r="J57" s="7" t="str">
        <f>HYPERLINK("https://www.codechef.com/problems/SQLP068", "https://www.codechef.com/problems/SQLP068")</f>
        <v>https://www.codechef.com/problems/SQLP068</v>
      </c>
      <c r="K57" s="15"/>
      <c r="L57" s="15"/>
      <c r="M57" s="15"/>
      <c r="N57" s="15" t="s">
        <v>50</v>
      </c>
      <c r="O57" s="15" t="s">
        <v>51</v>
      </c>
    </row>
    <row r="58" spans="1:15">
      <c r="A58" s="14" t="s">
        <v>14</v>
      </c>
      <c r="B58" s="14" t="s">
        <v>7425</v>
      </c>
      <c r="C58" s="14" t="s">
        <v>7426</v>
      </c>
      <c r="D58" s="14" t="s">
        <v>7534</v>
      </c>
      <c r="E58" s="14">
        <v>57</v>
      </c>
      <c r="F58" s="14" t="s">
        <v>7543</v>
      </c>
      <c r="G58" s="14" t="s">
        <v>7544</v>
      </c>
      <c r="H58" s="14"/>
      <c r="I58" s="14" t="s">
        <v>96</v>
      </c>
      <c r="J58" s="11" t="str">
        <f>HYPERLINK("https://www.codechef.com/problems/SQLP069", "https://www.codechef.com/problems/SQLP069")</f>
        <v>https://www.codechef.com/problems/SQLP069</v>
      </c>
      <c r="K58" s="14"/>
      <c r="L58" s="14"/>
      <c r="M58" s="14"/>
      <c r="N58" s="14" t="s">
        <v>50</v>
      </c>
      <c r="O58" s="14" t="s">
        <v>51</v>
      </c>
    </row>
    <row r="59" spans="1:15">
      <c r="A59" s="15" t="s">
        <v>14</v>
      </c>
      <c r="B59" s="15" t="s">
        <v>7425</v>
      </c>
      <c r="C59" s="15" t="s">
        <v>7426</v>
      </c>
      <c r="D59" s="15" t="s">
        <v>7534</v>
      </c>
      <c r="E59" s="15">
        <v>58</v>
      </c>
      <c r="F59" s="15" t="s">
        <v>7545</v>
      </c>
      <c r="G59" s="15" t="s">
        <v>7546</v>
      </c>
      <c r="H59" s="15"/>
      <c r="I59" s="15" t="s">
        <v>96</v>
      </c>
      <c r="J59" s="7" t="str">
        <f>HYPERLINK("https://www.codechef.com/problems/SQLP070", "https://www.codechef.com/problems/SQLP070")</f>
        <v>https://www.codechef.com/problems/SQLP070</v>
      </c>
      <c r="K59" s="15"/>
      <c r="L59" s="15"/>
      <c r="M59" s="15"/>
      <c r="N59" s="15" t="s">
        <v>50</v>
      </c>
      <c r="O59" s="15" t="s">
        <v>51</v>
      </c>
    </row>
    <row r="60" spans="1:15">
      <c r="A60" s="14" t="s">
        <v>14</v>
      </c>
      <c r="B60" s="14" t="s">
        <v>7425</v>
      </c>
      <c r="C60" s="14" t="s">
        <v>7426</v>
      </c>
      <c r="D60" s="14" t="s">
        <v>7534</v>
      </c>
      <c r="E60" s="14">
        <v>59</v>
      </c>
      <c r="F60" s="14" t="s">
        <v>7547</v>
      </c>
      <c r="G60" s="14" t="s">
        <v>7548</v>
      </c>
      <c r="H60" s="14"/>
      <c r="I60" s="14" t="s">
        <v>96</v>
      </c>
      <c r="J60" s="11" t="str">
        <f>HYPERLINK("https://www.codechef.com/problems/SQLP071", "https://www.codechef.com/problems/SQLP071")</f>
        <v>https://www.codechef.com/problems/SQLP071</v>
      </c>
      <c r="K60" s="14"/>
      <c r="L60" s="14"/>
      <c r="M60" s="14"/>
      <c r="N60" s="14" t="s">
        <v>50</v>
      </c>
      <c r="O60" s="14" t="s">
        <v>51</v>
      </c>
    </row>
    <row r="61" spans="1:15">
      <c r="A61" s="15" t="s">
        <v>14</v>
      </c>
      <c r="B61" s="15" t="s">
        <v>7425</v>
      </c>
      <c r="C61" s="15" t="s">
        <v>7426</v>
      </c>
      <c r="D61" s="15" t="s">
        <v>7534</v>
      </c>
      <c r="E61" s="15">
        <v>60</v>
      </c>
      <c r="F61" s="15" t="s">
        <v>7549</v>
      </c>
      <c r="G61" s="15" t="s">
        <v>7550</v>
      </c>
      <c r="H61" s="15"/>
      <c r="I61" s="15" t="s">
        <v>96</v>
      </c>
      <c r="J61" s="7" t="str">
        <f>HYPERLINK("https://www.codechef.com/problems/SQLP072", "https://www.codechef.com/problems/SQLP072")</f>
        <v>https://www.codechef.com/problems/SQLP072</v>
      </c>
      <c r="K61" s="15"/>
      <c r="L61" s="15"/>
      <c r="M61" s="15"/>
      <c r="N61" s="15" t="s">
        <v>50</v>
      </c>
      <c r="O61" s="15" t="s">
        <v>51</v>
      </c>
    </row>
    <row r="62" spans="1:15">
      <c r="A62" s="14" t="s">
        <v>14</v>
      </c>
      <c r="B62" s="14" t="s">
        <v>7425</v>
      </c>
      <c r="C62" s="14" t="s">
        <v>7426</v>
      </c>
      <c r="D62" s="14" t="s">
        <v>7534</v>
      </c>
      <c r="E62" s="14">
        <v>61</v>
      </c>
      <c r="F62" s="14" t="s">
        <v>7551</v>
      </c>
      <c r="G62" s="14" t="s">
        <v>7552</v>
      </c>
      <c r="H62" s="14"/>
      <c r="I62" s="14" t="s">
        <v>96</v>
      </c>
      <c r="J62" s="11" t="str">
        <f>HYPERLINK("https://www.codechef.com/problems/SQLP073", "https://www.codechef.com/problems/SQLP073")</f>
        <v>https://www.codechef.com/problems/SQLP073</v>
      </c>
      <c r="K62" s="14"/>
      <c r="L62" s="14"/>
      <c r="M62" s="14"/>
      <c r="N62" s="14" t="s">
        <v>50</v>
      </c>
      <c r="O62" s="14" t="s">
        <v>51</v>
      </c>
    </row>
    <row r="63" spans="1:15">
      <c r="A63" s="15" t="s">
        <v>14</v>
      </c>
      <c r="B63" s="15" t="s">
        <v>7425</v>
      </c>
      <c r="C63" s="15" t="s">
        <v>7426</v>
      </c>
      <c r="D63" s="15" t="s">
        <v>7534</v>
      </c>
      <c r="E63" s="15">
        <v>62</v>
      </c>
      <c r="F63" s="15" t="s">
        <v>7553</v>
      </c>
      <c r="G63" s="15" t="s">
        <v>7554</v>
      </c>
      <c r="H63" s="15"/>
      <c r="I63" s="15" t="s">
        <v>96</v>
      </c>
      <c r="J63" s="7" t="str">
        <f>HYPERLINK("https://www.codechef.com/problems/SQLP074", "https://www.codechef.com/problems/SQLP074")</f>
        <v>https://www.codechef.com/problems/SQLP074</v>
      </c>
      <c r="K63" s="15"/>
      <c r="L63" s="15"/>
      <c r="M63" s="15"/>
      <c r="N63" s="15" t="s">
        <v>50</v>
      </c>
      <c r="O63" s="15" t="s">
        <v>51</v>
      </c>
    </row>
    <row r="64" spans="1:15">
      <c r="A64" s="14" t="s">
        <v>14</v>
      </c>
      <c r="B64" s="14" t="s">
        <v>7425</v>
      </c>
      <c r="C64" s="14" t="s">
        <v>7426</v>
      </c>
      <c r="D64" s="14" t="s">
        <v>7534</v>
      </c>
      <c r="E64" s="14">
        <v>63</v>
      </c>
      <c r="F64" s="14" t="s">
        <v>7555</v>
      </c>
      <c r="G64" s="14" t="s">
        <v>7556</v>
      </c>
      <c r="H64" s="14"/>
      <c r="I64" s="14" t="s">
        <v>96</v>
      </c>
      <c r="J64" s="11" t="str">
        <f>HYPERLINK("https://www.codechef.com/problems/SQLP075", "https://www.codechef.com/problems/SQLP075")</f>
        <v>https://www.codechef.com/problems/SQLP075</v>
      </c>
      <c r="K64" s="14"/>
      <c r="L64" s="14"/>
      <c r="M64" s="14"/>
      <c r="N64" s="14" t="s">
        <v>50</v>
      </c>
      <c r="O64" s="14" t="s">
        <v>51</v>
      </c>
    </row>
    <row r="65" spans="1:15">
      <c r="A65" s="15" t="s">
        <v>14</v>
      </c>
      <c r="B65" s="15" t="s">
        <v>7425</v>
      </c>
      <c r="C65" s="15" t="s">
        <v>7426</v>
      </c>
      <c r="D65" s="15" t="s">
        <v>7534</v>
      </c>
      <c r="E65" s="15">
        <v>64</v>
      </c>
      <c r="F65" s="15" t="s">
        <v>7557</v>
      </c>
      <c r="G65" s="15" t="s">
        <v>7558</v>
      </c>
      <c r="H65" s="15"/>
      <c r="I65" s="15" t="s">
        <v>96</v>
      </c>
      <c r="J65" s="7" t="str">
        <f>HYPERLINK("https://www.codechef.com/problems/SQLP076", "https://www.codechef.com/problems/SQLP076")</f>
        <v>https://www.codechef.com/problems/SQLP076</v>
      </c>
      <c r="K65" s="15"/>
      <c r="L65" s="15"/>
      <c r="M65" s="15"/>
      <c r="N65" s="15" t="s">
        <v>50</v>
      </c>
      <c r="O65" s="15" t="s">
        <v>51</v>
      </c>
    </row>
    <row r="66" spans="1:15">
      <c r="A66" s="14" t="s">
        <v>14</v>
      </c>
      <c r="B66" s="14" t="s">
        <v>7425</v>
      </c>
      <c r="C66" s="14" t="s">
        <v>7426</v>
      </c>
      <c r="D66" s="14" t="s">
        <v>7559</v>
      </c>
      <c r="E66" s="14">
        <v>65</v>
      </c>
      <c r="F66" s="14" t="s">
        <v>7428</v>
      </c>
      <c r="G66" s="14" t="s">
        <v>7560</v>
      </c>
      <c r="H66" s="14"/>
      <c r="I66" s="14" t="s">
        <v>49</v>
      </c>
      <c r="J66" s="11" t="str">
        <f>HYPERLINK("https://www.codechef.com/problems/SQLP001", "https://www.codechef.com/problems/SQLP001")</f>
        <v>https://www.codechef.com/problems/SQLP001</v>
      </c>
      <c r="K66" s="14"/>
      <c r="L66" s="14"/>
      <c r="M66" s="14"/>
      <c r="N66" s="14" t="s">
        <v>50</v>
      </c>
      <c r="O66" s="14" t="s">
        <v>51</v>
      </c>
    </row>
    <row r="67" spans="1:15">
      <c r="A67" s="15" t="s">
        <v>14</v>
      </c>
      <c r="B67" s="15" t="s">
        <v>7425</v>
      </c>
      <c r="C67" s="15" t="s">
        <v>7426</v>
      </c>
      <c r="D67" s="15" t="s">
        <v>7559</v>
      </c>
      <c r="E67" s="15">
        <v>66</v>
      </c>
      <c r="F67" s="15" t="s">
        <v>7430</v>
      </c>
      <c r="G67" s="15" t="s">
        <v>7561</v>
      </c>
      <c r="H67" s="15"/>
      <c r="I67" s="15" t="s">
        <v>49</v>
      </c>
      <c r="J67" s="7" t="str">
        <f>HYPERLINK("https://www.codechef.com/problems/SQLP002", "https://www.codechef.com/problems/SQLP002")</f>
        <v>https://www.codechef.com/problems/SQLP002</v>
      </c>
      <c r="K67" s="15"/>
      <c r="L67" s="15"/>
      <c r="M67" s="15"/>
      <c r="N67" s="15" t="s">
        <v>50</v>
      </c>
      <c r="O67" s="15" t="s">
        <v>51</v>
      </c>
    </row>
    <row r="68" spans="1:15">
      <c r="A68" s="14" t="s">
        <v>14</v>
      </c>
      <c r="B68" s="14" t="s">
        <v>7425</v>
      </c>
      <c r="C68" s="14" t="s">
        <v>7426</v>
      </c>
      <c r="D68" s="14" t="s">
        <v>7559</v>
      </c>
      <c r="E68" s="14">
        <v>67</v>
      </c>
      <c r="F68" s="14" t="s">
        <v>7458</v>
      </c>
      <c r="G68" s="14" t="s">
        <v>7562</v>
      </c>
      <c r="H68" s="14"/>
      <c r="I68" s="14" t="s">
        <v>96</v>
      </c>
      <c r="J68" s="11" t="str">
        <f>HYPERLINK("https://www.codechef.com/problems/SQLP003", "https://www.codechef.com/problems/SQLP003")</f>
        <v>https://www.codechef.com/problems/SQLP003</v>
      </c>
      <c r="K68" s="14"/>
      <c r="L68" s="14"/>
      <c r="M68" s="14"/>
      <c r="N68" s="14" t="s">
        <v>50</v>
      </c>
      <c r="O68" s="14" t="s">
        <v>51</v>
      </c>
    </row>
    <row r="69" spans="1:15">
      <c r="A69" s="15" t="s">
        <v>14</v>
      </c>
      <c r="B69" s="15" t="s">
        <v>7425</v>
      </c>
      <c r="C69" s="15" t="s">
        <v>7426</v>
      </c>
      <c r="D69" s="15" t="s">
        <v>7559</v>
      </c>
      <c r="E69" s="15">
        <v>68</v>
      </c>
      <c r="F69" s="15" t="s">
        <v>7460</v>
      </c>
      <c r="G69" s="15" t="s">
        <v>7563</v>
      </c>
      <c r="H69" s="15"/>
      <c r="I69" s="15" t="s">
        <v>49</v>
      </c>
      <c r="J69" s="7" t="str">
        <f>HYPERLINK("https://www.codechef.com/problems/SQLP004", "https://www.codechef.com/problems/SQLP004")</f>
        <v>https://www.codechef.com/problems/SQLP004</v>
      </c>
      <c r="K69" s="15"/>
      <c r="L69" s="15"/>
      <c r="M69" s="15"/>
      <c r="N69" s="15" t="s">
        <v>50</v>
      </c>
      <c r="O69" s="15" t="s">
        <v>51</v>
      </c>
    </row>
    <row r="70" spans="1:15">
      <c r="A70" s="14" t="s">
        <v>14</v>
      </c>
      <c r="B70" s="14" t="s">
        <v>7425</v>
      </c>
      <c r="C70" s="14" t="s">
        <v>7426</v>
      </c>
      <c r="D70" s="14" t="s">
        <v>7559</v>
      </c>
      <c r="E70" s="14">
        <v>69</v>
      </c>
      <c r="F70" s="14" t="s">
        <v>7432</v>
      </c>
      <c r="G70" s="14" t="s">
        <v>7564</v>
      </c>
      <c r="H70" s="14"/>
      <c r="I70" s="14" t="s">
        <v>49</v>
      </c>
      <c r="J70" s="11" t="str">
        <f>HYPERLINK("https://www.codechef.com/problems/SQLP005", "https://www.codechef.com/problems/SQLP005")</f>
        <v>https://www.codechef.com/problems/SQLP005</v>
      </c>
      <c r="K70" s="14"/>
      <c r="L70" s="14"/>
      <c r="M70" s="14"/>
      <c r="N70" s="14" t="s">
        <v>50</v>
      </c>
      <c r="O70" s="14" t="s">
        <v>51</v>
      </c>
    </row>
    <row r="71" spans="1:15">
      <c r="A71" s="15" t="s">
        <v>14</v>
      </c>
      <c r="B71" s="15" t="s">
        <v>7425</v>
      </c>
      <c r="C71" s="15" t="s">
        <v>7426</v>
      </c>
      <c r="D71" s="15" t="s">
        <v>7559</v>
      </c>
      <c r="E71" s="15">
        <v>70</v>
      </c>
      <c r="F71" s="15" t="s">
        <v>7462</v>
      </c>
      <c r="G71" s="15" t="s">
        <v>7565</v>
      </c>
      <c r="H71" s="15"/>
      <c r="I71" s="15" t="s">
        <v>49</v>
      </c>
      <c r="J71" s="7" t="str">
        <f>HYPERLINK("https://www.codechef.com/problems/SQLP006", "https://www.codechef.com/problems/SQLP006")</f>
        <v>https://www.codechef.com/problems/SQLP006</v>
      </c>
      <c r="K71" s="15"/>
      <c r="L71" s="15"/>
      <c r="M71" s="15"/>
      <c r="N71" s="15" t="s">
        <v>50</v>
      </c>
      <c r="O71" s="15" t="s">
        <v>51</v>
      </c>
    </row>
    <row r="72" spans="1:15">
      <c r="A72" s="14" t="s">
        <v>14</v>
      </c>
      <c r="B72" s="14" t="s">
        <v>7425</v>
      </c>
      <c r="C72" s="14" t="s">
        <v>7426</v>
      </c>
      <c r="D72" s="14" t="s">
        <v>7559</v>
      </c>
      <c r="E72" s="14">
        <v>71</v>
      </c>
      <c r="F72" s="14" t="s">
        <v>7434</v>
      </c>
      <c r="G72" s="14" t="s">
        <v>7566</v>
      </c>
      <c r="H72" s="14"/>
      <c r="I72" s="14" t="s">
        <v>96</v>
      </c>
      <c r="J72" s="11" t="str">
        <f>HYPERLINK("https://www.codechef.com/problems/SQLP007", "https://www.codechef.com/problems/SQLP007")</f>
        <v>https://www.codechef.com/problems/SQLP007</v>
      </c>
      <c r="K72" s="14"/>
      <c r="L72" s="14"/>
      <c r="M72" s="14"/>
      <c r="N72" s="14" t="s">
        <v>50</v>
      </c>
      <c r="O72" s="14" t="s">
        <v>51</v>
      </c>
    </row>
    <row r="73" spans="1:15">
      <c r="A73" s="15" t="s">
        <v>14</v>
      </c>
      <c r="B73" s="15" t="s">
        <v>7425</v>
      </c>
      <c r="C73" s="15" t="s">
        <v>7426</v>
      </c>
      <c r="D73" s="15" t="s">
        <v>7559</v>
      </c>
      <c r="E73" s="15">
        <v>72</v>
      </c>
      <c r="F73" s="15" t="s">
        <v>7464</v>
      </c>
      <c r="G73" s="15" t="s">
        <v>7567</v>
      </c>
      <c r="H73" s="15"/>
      <c r="I73" s="15" t="s">
        <v>49</v>
      </c>
      <c r="J73" s="7" t="str">
        <f>HYPERLINK("https://www.codechef.com/problems/SQLP008", "https://www.codechef.com/problems/SQLP008")</f>
        <v>https://www.codechef.com/problems/SQLP008</v>
      </c>
      <c r="K73" s="15"/>
      <c r="L73" s="15"/>
      <c r="M73" s="15"/>
      <c r="N73" s="15" t="s">
        <v>50</v>
      </c>
      <c r="O73" s="15" t="s">
        <v>51</v>
      </c>
    </row>
    <row r="74" spans="1:15">
      <c r="A74" s="14" t="s">
        <v>14</v>
      </c>
      <c r="B74" s="14" t="s">
        <v>7425</v>
      </c>
      <c r="C74" s="14" t="s">
        <v>7426</v>
      </c>
      <c r="D74" s="14" t="s">
        <v>7559</v>
      </c>
      <c r="E74" s="14">
        <v>73</v>
      </c>
      <c r="F74" s="14" t="s">
        <v>7436</v>
      </c>
      <c r="G74" s="14" t="s">
        <v>7568</v>
      </c>
      <c r="H74" s="14"/>
      <c r="I74" s="14" t="s">
        <v>49</v>
      </c>
      <c r="J74" s="11" t="str">
        <f>HYPERLINK("https://www.codechef.com/problems/SQLP009", "https://www.codechef.com/problems/SQLP009")</f>
        <v>https://www.codechef.com/problems/SQLP009</v>
      </c>
      <c r="K74" s="14"/>
      <c r="L74" s="14"/>
      <c r="M74" s="14"/>
      <c r="N74" s="14" t="s">
        <v>50</v>
      </c>
      <c r="O74" s="14" t="s">
        <v>51</v>
      </c>
    </row>
    <row r="75" spans="1:15">
      <c r="A75" s="15" t="s">
        <v>14</v>
      </c>
      <c r="B75" s="15" t="s">
        <v>7425</v>
      </c>
      <c r="C75" s="15" t="s">
        <v>7426</v>
      </c>
      <c r="D75" s="15" t="s">
        <v>7559</v>
      </c>
      <c r="E75" s="15">
        <v>74</v>
      </c>
      <c r="F75" s="15" t="s">
        <v>7438</v>
      </c>
      <c r="G75" s="15" t="s">
        <v>7569</v>
      </c>
      <c r="H75" s="15"/>
      <c r="I75" s="15" t="s">
        <v>49</v>
      </c>
      <c r="J75" s="7" t="str">
        <f>HYPERLINK("https://www.codechef.com/problems/SQLP010", "https://www.codechef.com/problems/SQLP010")</f>
        <v>https://www.codechef.com/problems/SQLP010</v>
      </c>
      <c r="K75" s="15"/>
      <c r="L75" s="15"/>
      <c r="M75" s="15"/>
      <c r="N75" s="15" t="s">
        <v>50</v>
      </c>
      <c r="O75" s="15" t="s">
        <v>51</v>
      </c>
    </row>
    <row r="76" spans="1:15">
      <c r="A76" s="14" t="s">
        <v>14</v>
      </c>
      <c r="B76" s="14" t="s">
        <v>7425</v>
      </c>
      <c r="C76" s="14" t="s">
        <v>7426</v>
      </c>
      <c r="D76" s="14" t="s">
        <v>7559</v>
      </c>
      <c r="E76" s="14">
        <v>75</v>
      </c>
      <c r="F76" s="14" t="s">
        <v>7440</v>
      </c>
      <c r="G76" s="14" t="s">
        <v>7570</v>
      </c>
      <c r="H76" s="14"/>
      <c r="I76" s="14" t="s">
        <v>49</v>
      </c>
      <c r="J76" s="11" t="str">
        <f>HYPERLINK("https://www.codechef.com/problems/SQLP011", "https://www.codechef.com/problems/SQLP011")</f>
        <v>https://www.codechef.com/problems/SQLP011</v>
      </c>
      <c r="K76" s="14"/>
      <c r="L76" s="14"/>
      <c r="M76" s="14"/>
      <c r="N76" s="14" t="s">
        <v>50</v>
      </c>
      <c r="O76" s="14" t="s">
        <v>51</v>
      </c>
    </row>
    <row r="77" spans="1:15">
      <c r="A77" s="15" t="s">
        <v>14</v>
      </c>
      <c r="B77" s="15" t="s">
        <v>7425</v>
      </c>
      <c r="C77" s="15" t="s">
        <v>7426</v>
      </c>
      <c r="D77" s="15" t="s">
        <v>7559</v>
      </c>
      <c r="E77" s="15">
        <v>76</v>
      </c>
      <c r="F77" s="15" t="s">
        <v>7442</v>
      </c>
      <c r="G77" s="15" t="s">
        <v>7571</v>
      </c>
      <c r="H77" s="15"/>
      <c r="I77" s="15" t="s">
        <v>49</v>
      </c>
      <c r="J77" s="7" t="str">
        <f>HYPERLINK("https://www.codechef.com/problems/SQLP012", "https://www.codechef.com/problems/SQLP012")</f>
        <v>https://www.codechef.com/problems/SQLP012</v>
      </c>
      <c r="K77" s="15"/>
      <c r="L77" s="15"/>
      <c r="M77" s="15"/>
      <c r="N77" s="15" t="s">
        <v>50</v>
      </c>
      <c r="O77" s="15" t="s">
        <v>51</v>
      </c>
    </row>
    <row r="78" spans="1:15">
      <c r="A78" s="14" t="s">
        <v>14</v>
      </c>
      <c r="B78" s="14" t="s">
        <v>7425</v>
      </c>
      <c r="C78" s="14" t="s">
        <v>7426</v>
      </c>
      <c r="D78" s="14" t="s">
        <v>7559</v>
      </c>
      <c r="E78" s="14">
        <v>77</v>
      </c>
      <c r="F78" s="14" t="s">
        <v>7466</v>
      </c>
      <c r="G78" s="14" t="s">
        <v>7572</v>
      </c>
      <c r="H78" s="14"/>
      <c r="I78" s="14" t="s">
        <v>49</v>
      </c>
      <c r="J78" s="11" t="str">
        <f>HYPERLINK("https://www.codechef.com/problems/SQLP013", "https://www.codechef.com/problems/SQLP013")</f>
        <v>https://www.codechef.com/problems/SQLP013</v>
      </c>
      <c r="K78" s="14"/>
      <c r="L78" s="14"/>
      <c r="M78" s="14"/>
      <c r="N78" s="14" t="s">
        <v>50</v>
      </c>
      <c r="O78" s="14" t="s">
        <v>51</v>
      </c>
    </row>
    <row r="79" spans="1:15">
      <c r="A79" s="15" t="s">
        <v>14</v>
      </c>
      <c r="B79" s="15" t="s">
        <v>7425</v>
      </c>
      <c r="C79" s="15" t="s">
        <v>7426</v>
      </c>
      <c r="D79" s="15" t="s">
        <v>7559</v>
      </c>
      <c r="E79" s="15">
        <v>78</v>
      </c>
      <c r="F79" s="15" t="s">
        <v>7444</v>
      </c>
      <c r="G79" s="15" t="s">
        <v>7573</v>
      </c>
      <c r="H79" s="15"/>
      <c r="I79" s="15" t="s">
        <v>96</v>
      </c>
      <c r="J79" s="7" t="str">
        <f>HYPERLINK("https://www.codechef.com/problems/SQLP014", "https://www.codechef.com/problems/SQLP014")</f>
        <v>https://www.codechef.com/problems/SQLP014</v>
      </c>
      <c r="K79" s="15"/>
      <c r="L79" s="15"/>
      <c r="M79" s="15"/>
      <c r="N79" s="15" t="s">
        <v>50</v>
      </c>
      <c r="O79" s="15" t="s">
        <v>51</v>
      </c>
    </row>
    <row r="80" spans="1:15">
      <c r="A80" s="14" t="s">
        <v>14</v>
      </c>
      <c r="B80" s="14" t="s">
        <v>7425</v>
      </c>
      <c r="C80" s="14" t="s">
        <v>7426</v>
      </c>
      <c r="D80" s="14" t="s">
        <v>7559</v>
      </c>
      <c r="E80" s="14">
        <v>79</v>
      </c>
      <c r="F80" s="14" t="s">
        <v>7446</v>
      </c>
      <c r="G80" s="14" t="s">
        <v>7574</v>
      </c>
      <c r="H80" s="14"/>
      <c r="I80" s="14" t="s">
        <v>49</v>
      </c>
      <c r="J80" s="11" t="str">
        <f>HYPERLINK("https://www.codechef.com/problems/SQLP015", "https://www.codechef.com/problems/SQLP015")</f>
        <v>https://www.codechef.com/problems/SQLP015</v>
      </c>
      <c r="K80" s="14"/>
      <c r="L80" s="14"/>
      <c r="M80" s="14"/>
      <c r="N80" s="14" t="s">
        <v>50</v>
      </c>
      <c r="O80" s="14" t="s">
        <v>51</v>
      </c>
    </row>
    <row r="81" spans="1:15">
      <c r="A81" s="15" t="s">
        <v>14</v>
      </c>
      <c r="B81" s="15" t="s">
        <v>7425</v>
      </c>
      <c r="C81" s="15" t="s">
        <v>7426</v>
      </c>
      <c r="D81" s="15" t="s">
        <v>7559</v>
      </c>
      <c r="E81" s="15">
        <v>80</v>
      </c>
      <c r="F81" s="15" t="s">
        <v>7448</v>
      </c>
      <c r="G81" s="15" t="s">
        <v>7575</v>
      </c>
      <c r="H81" s="15"/>
      <c r="I81" s="15" t="s">
        <v>96</v>
      </c>
      <c r="J81" s="7" t="str">
        <f>HYPERLINK("https://www.codechef.com/problems/SQLP016", "https://www.codechef.com/problems/SQLP016")</f>
        <v>https://www.codechef.com/problems/SQLP016</v>
      </c>
      <c r="K81" s="15"/>
      <c r="L81" s="15"/>
      <c r="M81" s="15"/>
      <c r="N81" s="15" t="s">
        <v>50</v>
      </c>
      <c r="O81" s="15" t="s">
        <v>51</v>
      </c>
    </row>
    <row r="82" spans="1:15">
      <c r="A82" s="14" t="s">
        <v>14</v>
      </c>
      <c r="B82" s="14" t="s">
        <v>7425</v>
      </c>
      <c r="C82" s="14" t="s">
        <v>7426</v>
      </c>
      <c r="D82" s="14" t="s">
        <v>7559</v>
      </c>
      <c r="E82" s="14">
        <v>81</v>
      </c>
      <c r="F82" s="14" t="s">
        <v>7450</v>
      </c>
      <c r="G82" s="14" t="s">
        <v>7576</v>
      </c>
      <c r="H82" s="14"/>
      <c r="I82" s="14" t="s">
        <v>49</v>
      </c>
      <c r="J82" s="11" t="str">
        <f>HYPERLINK("https://www.codechef.com/problems/SQLP017", "https://www.codechef.com/problems/SQLP017")</f>
        <v>https://www.codechef.com/problems/SQLP017</v>
      </c>
      <c r="K82" s="14"/>
      <c r="L82" s="14"/>
      <c r="M82" s="14"/>
      <c r="N82" s="14" t="s">
        <v>50</v>
      </c>
      <c r="O82" s="14" t="s">
        <v>51</v>
      </c>
    </row>
    <row r="83" spans="1:15">
      <c r="A83" s="15" t="s">
        <v>14</v>
      </c>
      <c r="B83" s="15" t="s">
        <v>7425</v>
      </c>
      <c r="C83" s="15" t="s">
        <v>7426</v>
      </c>
      <c r="D83" s="15" t="s">
        <v>7559</v>
      </c>
      <c r="E83" s="15">
        <v>82</v>
      </c>
      <c r="F83" s="15" t="s">
        <v>7452</v>
      </c>
      <c r="G83" s="15" t="s">
        <v>7577</v>
      </c>
      <c r="H83" s="15"/>
      <c r="I83" s="15" t="s">
        <v>49</v>
      </c>
      <c r="J83" s="7" t="str">
        <f>HYPERLINK("https://www.codechef.com/problems/SQLP018", "https://www.codechef.com/problems/SQLP018")</f>
        <v>https://www.codechef.com/problems/SQLP018</v>
      </c>
      <c r="K83" s="15"/>
      <c r="L83" s="15"/>
      <c r="M83" s="15"/>
      <c r="N83" s="15" t="s">
        <v>50</v>
      </c>
      <c r="O83" s="15" t="s">
        <v>51</v>
      </c>
    </row>
    <row r="84" spans="1:15">
      <c r="A84" s="14" t="s">
        <v>14</v>
      </c>
      <c r="B84" s="14" t="s">
        <v>7425</v>
      </c>
      <c r="C84" s="14" t="s">
        <v>7426</v>
      </c>
      <c r="D84" s="14" t="s">
        <v>7559</v>
      </c>
      <c r="E84" s="14">
        <v>83</v>
      </c>
      <c r="F84" s="14" t="s">
        <v>7454</v>
      </c>
      <c r="G84" s="14" t="s">
        <v>7578</v>
      </c>
      <c r="H84" s="14"/>
      <c r="I84" s="14" t="s">
        <v>49</v>
      </c>
      <c r="J84" s="11" t="str">
        <f>HYPERLINK("https://www.codechef.com/problems/SQLP019", "https://www.codechef.com/problems/SQLP019")</f>
        <v>https://www.codechef.com/problems/SQLP019</v>
      </c>
      <c r="K84" s="14"/>
      <c r="L84" s="14"/>
      <c r="M84" s="14"/>
      <c r="N84" s="14" t="s">
        <v>50</v>
      </c>
      <c r="O84" s="14" t="s">
        <v>51</v>
      </c>
    </row>
    <row r="85" spans="1:15">
      <c r="A85" s="15" t="s">
        <v>14</v>
      </c>
      <c r="B85" s="15" t="s">
        <v>7425</v>
      </c>
      <c r="C85" s="15" t="s">
        <v>7426</v>
      </c>
      <c r="D85" s="15" t="s">
        <v>7559</v>
      </c>
      <c r="E85" s="15">
        <v>84</v>
      </c>
      <c r="F85" s="15" t="s">
        <v>7579</v>
      </c>
      <c r="G85" s="15" t="s">
        <v>7580</v>
      </c>
      <c r="H85" s="15"/>
      <c r="I85" s="15" t="s">
        <v>49</v>
      </c>
      <c r="J85" s="7" t="str">
        <f>HYPERLINK("https://www.codechef.com/problems/SQLP020", "https://www.codechef.com/problems/SQLP020")</f>
        <v>https://www.codechef.com/problems/SQLP020</v>
      </c>
      <c r="K85" s="15"/>
      <c r="L85" s="15"/>
      <c r="M85" s="15"/>
      <c r="N85" s="15" t="s">
        <v>50</v>
      </c>
      <c r="O85" s="15" t="s">
        <v>51</v>
      </c>
    </row>
    <row r="86" spans="1:15">
      <c r="A86" s="14" t="s">
        <v>14</v>
      </c>
      <c r="B86" s="14" t="s">
        <v>7425</v>
      </c>
      <c r="C86" s="14" t="s">
        <v>7426</v>
      </c>
      <c r="D86" s="14" t="s">
        <v>7581</v>
      </c>
      <c r="E86" s="14">
        <v>85</v>
      </c>
      <c r="F86" s="14" t="s">
        <v>7469</v>
      </c>
      <c r="G86" s="14" t="s">
        <v>7582</v>
      </c>
      <c r="H86" s="14"/>
      <c r="I86" s="14" t="s">
        <v>49</v>
      </c>
      <c r="J86" s="11" t="str">
        <f>HYPERLINK("https://www.codechef.com/problems/SQLP021", "https://www.codechef.com/problems/SQLP021")</f>
        <v>https://www.codechef.com/problems/SQLP021</v>
      </c>
      <c r="K86" s="14"/>
      <c r="L86" s="14"/>
      <c r="M86" s="14"/>
      <c r="N86" s="14" t="s">
        <v>50</v>
      </c>
      <c r="O86" s="14" t="s">
        <v>51</v>
      </c>
    </row>
    <row r="87" spans="1:15">
      <c r="A87" s="15" t="s">
        <v>14</v>
      </c>
      <c r="B87" s="15" t="s">
        <v>7425</v>
      </c>
      <c r="C87" s="15" t="s">
        <v>7426</v>
      </c>
      <c r="D87" s="15" t="s">
        <v>7581</v>
      </c>
      <c r="E87" s="15">
        <v>86</v>
      </c>
      <c r="F87" s="15" t="s">
        <v>7471</v>
      </c>
      <c r="G87" s="15" t="s">
        <v>7583</v>
      </c>
      <c r="H87" s="15"/>
      <c r="I87" s="15" t="s">
        <v>49</v>
      </c>
      <c r="J87" s="7" t="str">
        <f>HYPERLINK("https://www.codechef.com/problems/SQLP022", "https://www.codechef.com/problems/SQLP022")</f>
        <v>https://www.codechef.com/problems/SQLP022</v>
      </c>
      <c r="K87" s="15"/>
      <c r="L87" s="15"/>
      <c r="M87" s="15"/>
      <c r="N87" s="15" t="s">
        <v>50</v>
      </c>
      <c r="O87" s="15" t="s">
        <v>51</v>
      </c>
    </row>
    <row r="88" spans="1:15">
      <c r="A88" s="14" t="s">
        <v>14</v>
      </c>
      <c r="B88" s="14" t="s">
        <v>7425</v>
      </c>
      <c r="C88" s="14" t="s">
        <v>7426</v>
      </c>
      <c r="D88" s="14" t="s">
        <v>7581</v>
      </c>
      <c r="E88" s="14">
        <v>87</v>
      </c>
      <c r="F88" s="14" t="s">
        <v>7473</v>
      </c>
      <c r="G88" s="14" t="s">
        <v>7584</v>
      </c>
      <c r="H88" s="14"/>
      <c r="I88" s="14" t="s">
        <v>49</v>
      </c>
      <c r="J88" s="11" t="str">
        <f>HYPERLINK("https://www.codechef.com/problems/SQLP023", "https://www.codechef.com/problems/SQLP023")</f>
        <v>https://www.codechef.com/problems/SQLP023</v>
      </c>
      <c r="K88" s="14"/>
      <c r="L88" s="14"/>
      <c r="M88" s="14"/>
      <c r="N88" s="14" t="s">
        <v>50</v>
      </c>
      <c r="O88" s="14" t="s">
        <v>51</v>
      </c>
    </row>
    <row r="89" spans="1:15">
      <c r="A89" s="15" t="s">
        <v>14</v>
      </c>
      <c r="B89" s="15" t="s">
        <v>7425</v>
      </c>
      <c r="C89" s="15" t="s">
        <v>7426</v>
      </c>
      <c r="D89" s="15" t="s">
        <v>7581</v>
      </c>
      <c r="E89" s="15">
        <v>88</v>
      </c>
      <c r="F89" s="15" t="s">
        <v>7475</v>
      </c>
      <c r="G89" s="15" t="s">
        <v>7585</v>
      </c>
      <c r="H89" s="15"/>
      <c r="I89" s="15" t="s">
        <v>49</v>
      </c>
      <c r="J89" s="7" t="str">
        <f>HYPERLINK("https://www.codechef.com/problems/SQLP024", "https://www.codechef.com/problems/SQLP024")</f>
        <v>https://www.codechef.com/problems/SQLP024</v>
      </c>
      <c r="K89" s="15"/>
      <c r="L89" s="15"/>
      <c r="M89" s="15"/>
      <c r="N89" s="15" t="s">
        <v>50</v>
      </c>
      <c r="O89" s="15" t="s">
        <v>51</v>
      </c>
    </row>
    <row r="90" spans="1:15">
      <c r="A90" s="14" t="s">
        <v>14</v>
      </c>
      <c r="B90" s="14" t="s">
        <v>7425</v>
      </c>
      <c r="C90" s="14" t="s">
        <v>7426</v>
      </c>
      <c r="D90" s="14" t="s">
        <v>7581</v>
      </c>
      <c r="E90" s="14">
        <v>89</v>
      </c>
      <c r="F90" s="14" t="s">
        <v>7477</v>
      </c>
      <c r="G90" s="14" t="s">
        <v>7586</v>
      </c>
      <c r="H90" s="14"/>
      <c r="I90" s="14" t="s">
        <v>49</v>
      </c>
      <c r="J90" s="11" t="str">
        <f>HYPERLINK("https://www.codechef.com/problems/SQLP025", "https://www.codechef.com/problems/SQLP025")</f>
        <v>https://www.codechef.com/problems/SQLP025</v>
      </c>
      <c r="K90" s="14"/>
      <c r="L90" s="14"/>
      <c r="M90" s="14"/>
      <c r="N90" s="14" t="s">
        <v>50</v>
      </c>
      <c r="O90" s="14" t="s">
        <v>51</v>
      </c>
    </row>
    <row r="91" spans="1:15">
      <c r="A91" s="15" t="s">
        <v>14</v>
      </c>
      <c r="B91" s="15" t="s">
        <v>7425</v>
      </c>
      <c r="C91" s="15" t="s">
        <v>7426</v>
      </c>
      <c r="D91" s="15" t="s">
        <v>7581</v>
      </c>
      <c r="E91" s="15">
        <v>90</v>
      </c>
      <c r="F91" s="15" t="s">
        <v>7479</v>
      </c>
      <c r="G91" s="15" t="s">
        <v>7587</v>
      </c>
      <c r="H91" s="15"/>
      <c r="I91" s="15" t="s">
        <v>49</v>
      </c>
      <c r="J91" s="7" t="str">
        <f>HYPERLINK("https://www.codechef.com/problems/SQLP026", "https://www.codechef.com/problems/SQLP026")</f>
        <v>https://www.codechef.com/problems/SQLP026</v>
      </c>
      <c r="K91" s="15"/>
      <c r="L91" s="15"/>
      <c r="M91" s="15"/>
      <c r="N91" s="15" t="s">
        <v>50</v>
      </c>
      <c r="O91" s="15" t="s">
        <v>51</v>
      </c>
    </row>
    <row r="92" spans="1:15">
      <c r="A92" s="14" t="s">
        <v>14</v>
      </c>
      <c r="B92" s="14" t="s">
        <v>7425</v>
      </c>
      <c r="C92" s="14" t="s">
        <v>7426</v>
      </c>
      <c r="D92" s="14" t="s">
        <v>7581</v>
      </c>
      <c r="E92" s="14">
        <v>91</v>
      </c>
      <c r="F92" s="14" t="s">
        <v>7481</v>
      </c>
      <c r="G92" s="14" t="s">
        <v>7588</v>
      </c>
      <c r="H92" s="14"/>
      <c r="I92" s="14" t="s">
        <v>96</v>
      </c>
      <c r="J92" s="11" t="str">
        <f>HYPERLINK("https://www.codechef.com/problems/SQLP027", "https://www.codechef.com/problems/SQLP027")</f>
        <v>https://www.codechef.com/problems/SQLP027</v>
      </c>
      <c r="K92" s="14"/>
      <c r="L92" s="14"/>
      <c r="M92" s="14"/>
      <c r="N92" s="14" t="s">
        <v>50</v>
      </c>
      <c r="O92" s="14" t="s">
        <v>51</v>
      </c>
    </row>
    <row r="93" spans="1:15">
      <c r="A93" s="15" t="s">
        <v>14</v>
      </c>
      <c r="B93" s="15" t="s">
        <v>7425</v>
      </c>
      <c r="C93" s="15" t="s">
        <v>7426</v>
      </c>
      <c r="D93" s="15" t="s">
        <v>7581</v>
      </c>
      <c r="E93" s="15">
        <v>92</v>
      </c>
      <c r="F93" s="15" t="s">
        <v>7483</v>
      </c>
      <c r="G93" s="15" t="s">
        <v>7589</v>
      </c>
      <c r="H93" s="15"/>
      <c r="I93" s="15" t="s">
        <v>96</v>
      </c>
      <c r="J93" s="7" t="str">
        <f>HYPERLINK("https://www.codechef.com/problems/SQLP028", "https://www.codechef.com/problems/SQLP028")</f>
        <v>https://www.codechef.com/problems/SQLP028</v>
      </c>
      <c r="K93" s="15"/>
      <c r="L93" s="15"/>
      <c r="M93" s="15"/>
      <c r="N93" s="15" t="s">
        <v>50</v>
      </c>
      <c r="O93" s="15" t="s">
        <v>51</v>
      </c>
    </row>
    <row r="94" spans="1:15">
      <c r="A94" s="14" t="s">
        <v>14</v>
      </c>
      <c r="B94" s="14" t="s">
        <v>7425</v>
      </c>
      <c r="C94" s="14" t="s">
        <v>7426</v>
      </c>
      <c r="D94" s="14" t="s">
        <v>7581</v>
      </c>
      <c r="E94" s="14">
        <v>93</v>
      </c>
      <c r="F94" s="14" t="s">
        <v>7485</v>
      </c>
      <c r="G94" s="14" t="s">
        <v>7590</v>
      </c>
      <c r="H94" s="14"/>
      <c r="I94" s="14" t="s">
        <v>96</v>
      </c>
      <c r="J94" s="11" t="str">
        <f>HYPERLINK("https://www.codechef.com/problems/SQLP029", "https://www.codechef.com/problems/SQLP029")</f>
        <v>https://www.codechef.com/problems/SQLP029</v>
      </c>
      <c r="K94" s="14"/>
      <c r="L94" s="14"/>
      <c r="M94" s="14"/>
      <c r="N94" s="14" t="s">
        <v>50</v>
      </c>
      <c r="O94" s="14" t="s">
        <v>51</v>
      </c>
    </row>
    <row r="95" spans="1:15">
      <c r="A95" s="15" t="s">
        <v>14</v>
      </c>
      <c r="B95" s="15" t="s">
        <v>7425</v>
      </c>
      <c r="C95" s="15" t="s">
        <v>7426</v>
      </c>
      <c r="D95" s="15" t="s">
        <v>7581</v>
      </c>
      <c r="E95" s="15">
        <v>94</v>
      </c>
      <c r="F95" s="15" t="s">
        <v>7487</v>
      </c>
      <c r="G95" s="15" t="s">
        <v>7591</v>
      </c>
      <c r="H95" s="15"/>
      <c r="I95" s="15" t="s">
        <v>49</v>
      </c>
      <c r="J95" s="7" t="str">
        <f>HYPERLINK("https://www.codechef.com/problems/SQLP030", "https://www.codechef.com/problems/SQLP030")</f>
        <v>https://www.codechef.com/problems/SQLP030</v>
      </c>
      <c r="K95" s="15"/>
      <c r="L95" s="15"/>
      <c r="M95" s="15"/>
      <c r="N95" s="15" t="s">
        <v>50</v>
      </c>
      <c r="O95" s="15" t="s">
        <v>51</v>
      </c>
    </row>
    <row r="96" spans="1:15">
      <c r="A96" s="14" t="s">
        <v>14</v>
      </c>
      <c r="B96" s="14" t="s">
        <v>7425</v>
      </c>
      <c r="C96" s="14" t="s">
        <v>7426</v>
      </c>
      <c r="D96" s="14" t="s">
        <v>7581</v>
      </c>
      <c r="E96" s="14">
        <v>95</v>
      </c>
      <c r="F96" s="14" t="s">
        <v>7489</v>
      </c>
      <c r="G96" s="14" t="s">
        <v>7592</v>
      </c>
      <c r="H96" s="14"/>
      <c r="I96" s="14" t="s">
        <v>49</v>
      </c>
      <c r="J96" s="11" t="str">
        <f>HYPERLINK("https://www.codechef.com/problems/SQLP031", "https://www.codechef.com/problems/SQLP031")</f>
        <v>https://www.codechef.com/problems/SQLP031</v>
      </c>
      <c r="K96" s="14"/>
      <c r="L96" s="14"/>
      <c r="M96" s="14"/>
      <c r="N96" s="14" t="s">
        <v>50</v>
      </c>
      <c r="O96" s="14" t="s">
        <v>51</v>
      </c>
    </row>
    <row r="97" spans="1:15">
      <c r="A97" s="15" t="s">
        <v>14</v>
      </c>
      <c r="B97" s="15" t="s">
        <v>7425</v>
      </c>
      <c r="C97" s="15" t="s">
        <v>7426</v>
      </c>
      <c r="D97" s="15" t="s">
        <v>7581</v>
      </c>
      <c r="E97" s="15">
        <v>96</v>
      </c>
      <c r="F97" s="15" t="s">
        <v>7491</v>
      </c>
      <c r="G97" s="15" t="s">
        <v>7593</v>
      </c>
      <c r="H97" s="15"/>
      <c r="I97" s="15" t="s">
        <v>49</v>
      </c>
      <c r="J97" s="7" t="str">
        <f>HYPERLINK("https://www.codechef.com/problems/SQLP032", "https://www.codechef.com/problems/SQLP032")</f>
        <v>https://www.codechef.com/problems/SQLP032</v>
      </c>
      <c r="K97" s="15"/>
      <c r="L97" s="15"/>
      <c r="M97" s="15"/>
      <c r="N97" s="15" t="s">
        <v>50</v>
      </c>
      <c r="O97" s="15" t="s">
        <v>51</v>
      </c>
    </row>
    <row r="98" spans="1:15">
      <c r="A98" s="14" t="s">
        <v>14</v>
      </c>
      <c r="B98" s="14" t="s">
        <v>7425</v>
      </c>
      <c r="C98" s="14" t="s">
        <v>7426</v>
      </c>
      <c r="D98" s="14" t="s">
        <v>7594</v>
      </c>
      <c r="E98" s="14">
        <v>97</v>
      </c>
      <c r="F98" s="14" t="s">
        <v>7428</v>
      </c>
      <c r="G98" s="14" t="s">
        <v>7595</v>
      </c>
      <c r="H98" s="14"/>
      <c r="I98" s="14" t="s">
        <v>49</v>
      </c>
      <c r="J98" s="11" t="str">
        <f>HYPERLINK("https://www.codechef.com/problems/SQLP097", "https://www.codechef.com/problems/SQLP097")</f>
        <v>https://www.codechef.com/problems/SQLP097</v>
      </c>
      <c r="K98" s="14"/>
      <c r="L98" s="14"/>
      <c r="M98" s="14"/>
      <c r="N98" s="14" t="s">
        <v>50</v>
      </c>
      <c r="O98" s="14" t="s">
        <v>51</v>
      </c>
    </row>
    <row r="99" spans="1:15">
      <c r="A99" s="15" t="s">
        <v>14</v>
      </c>
      <c r="B99" s="15" t="s">
        <v>7425</v>
      </c>
      <c r="C99" s="15" t="s">
        <v>7426</v>
      </c>
      <c r="D99" s="15" t="s">
        <v>7594</v>
      </c>
      <c r="E99" s="15">
        <v>98</v>
      </c>
      <c r="F99" s="15" t="s">
        <v>7430</v>
      </c>
      <c r="G99" s="15" t="s">
        <v>7596</v>
      </c>
      <c r="H99" s="15"/>
      <c r="I99" s="15" t="s">
        <v>49</v>
      </c>
      <c r="J99" s="7" t="str">
        <f>HYPERLINK("https://www.codechef.com/problems/SQLP098", "https://www.codechef.com/problems/SQLP098")</f>
        <v>https://www.codechef.com/problems/SQLP098</v>
      </c>
      <c r="K99" s="15"/>
      <c r="L99" s="15"/>
      <c r="M99" s="15"/>
      <c r="N99" s="15" t="s">
        <v>50</v>
      </c>
      <c r="O99" s="15" t="s">
        <v>51</v>
      </c>
    </row>
    <row r="100" spans="1:15">
      <c r="A100" s="14" t="s">
        <v>14</v>
      </c>
      <c r="B100" s="14" t="s">
        <v>7425</v>
      </c>
      <c r="C100" s="14" t="s">
        <v>7426</v>
      </c>
      <c r="D100" s="14" t="s">
        <v>7594</v>
      </c>
      <c r="E100" s="14">
        <v>99</v>
      </c>
      <c r="F100" s="14" t="s">
        <v>7458</v>
      </c>
      <c r="G100" s="14" t="s">
        <v>7597</v>
      </c>
      <c r="H100" s="14"/>
      <c r="I100" s="14" t="s">
        <v>96</v>
      </c>
      <c r="J100" s="11" t="str">
        <f>HYPERLINK("https://www.codechef.com/problems/SQLP099", "https://www.codechef.com/problems/SQLP099")</f>
        <v>https://www.codechef.com/problems/SQLP099</v>
      </c>
      <c r="K100" s="14"/>
      <c r="L100" s="14"/>
      <c r="M100" s="14"/>
      <c r="N100" s="14" t="s">
        <v>50</v>
      </c>
      <c r="O100" s="14" t="s">
        <v>51</v>
      </c>
    </row>
    <row r="101" spans="1:15">
      <c r="A101" s="15" t="s">
        <v>14</v>
      </c>
      <c r="B101" s="15" t="s">
        <v>7425</v>
      </c>
      <c r="C101" s="15" t="s">
        <v>7426</v>
      </c>
      <c r="D101" s="15" t="s">
        <v>7594</v>
      </c>
      <c r="E101" s="15">
        <v>100</v>
      </c>
      <c r="F101" s="15" t="s">
        <v>7432</v>
      </c>
      <c r="G101" s="15" t="s">
        <v>7598</v>
      </c>
      <c r="H101" s="15"/>
      <c r="I101" s="15" t="s">
        <v>49</v>
      </c>
      <c r="J101" s="7" t="str">
        <f>HYPERLINK("https://www.codechef.com/problems/SQLP100", "https://www.codechef.com/problems/SQLP100")</f>
        <v>https://www.codechef.com/problems/SQLP100</v>
      </c>
      <c r="K101" s="15"/>
      <c r="L101" s="15"/>
      <c r="M101" s="15"/>
      <c r="N101" s="15" t="s">
        <v>50</v>
      </c>
      <c r="O101" s="15" t="s">
        <v>51</v>
      </c>
    </row>
    <row r="102" spans="1:15">
      <c r="A102" s="14" t="s">
        <v>14</v>
      </c>
      <c r="B102" s="14" t="s">
        <v>7425</v>
      </c>
      <c r="C102" s="14" t="s">
        <v>7426</v>
      </c>
      <c r="D102" s="14" t="s">
        <v>7594</v>
      </c>
      <c r="E102" s="14">
        <v>101</v>
      </c>
      <c r="F102" s="14" t="s">
        <v>7434</v>
      </c>
      <c r="G102" s="14" t="s">
        <v>7599</v>
      </c>
      <c r="H102" s="14"/>
      <c r="I102" s="14" t="s">
        <v>49</v>
      </c>
      <c r="J102" s="11" t="str">
        <f>HYPERLINK("https://www.codechef.com/problems/SQLP101", "https://www.codechef.com/problems/SQLP101")</f>
        <v>https://www.codechef.com/problems/SQLP101</v>
      </c>
      <c r="K102" s="14"/>
      <c r="L102" s="14"/>
      <c r="M102" s="14"/>
      <c r="N102" s="14" t="s">
        <v>50</v>
      </c>
      <c r="O102" s="14" t="s">
        <v>51</v>
      </c>
    </row>
    <row r="103" spans="1:15">
      <c r="A103" s="15" t="s">
        <v>14</v>
      </c>
      <c r="B103" s="15" t="s">
        <v>7425</v>
      </c>
      <c r="C103" s="15" t="s">
        <v>7426</v>
      </c>
      <c r="D103" s="15" t="s">
        <v>7594</v>
      </c>
      <c r="E103" s="15">
        <v>102</v>
      </c>
      <c r="F103" s="15" t="s">
        <v>7460</v>
      </c>
      <c r="G103" s="15" t="s">
        <v>7600</v>
      </c>
      <c r="H103" s="15"/>
      <c r="I103" s="15" t="s">
        <v>96</v>
      </c>
      <c r="J103" s="7" t="str">
        <f>HYPERLINK("https://www.codechef.com/problems/SQLP108", "https://www.codechef.com/problems/SQLP108")</f>
        <v>https://www.codechef.com/problems/SQLP108</v>
      </c>
      <c r="K103" s="15"/>
      <c r="L103" s="15"/>
      <c r="M103" s="15"/>
      <c r="N103" s="15" t="s">
        <v>50</v>
      </c>
      <c r="O103" s="15" t="s">
        <v>51</v>
      </c>
    </row>
    <row r="104" spans="1:15">
      <c r="A104" s="14" t="s">
        <v>14</v>
      </c>
      <c r="B104" s="14" t="s">
        <v>7425</v>
      </c>
      <c r="C104" s="14" t="s">
        <v>7426</v>
      </c>
      <c r="D104" s="14" t="s">
        <v>7594</v>
      </c>
      <c r="E104" s="14">
        <v>103</v>
      </c>
      <c r="F104" s="14" t="s">
        <v>7436</v>
      </c>
      <c r="G104" s="14" t="s">
        <v>7601</v>
      </c>
      <c r="H104" s="14"/>
      <c r="I104" s="14" t="s">
        <v>49</v>
      </c>
      <c r="J104" s="11" t="str">
        <f>HYPERLINK("https://www.codechef.com/problems/SQLP103", "https://www.codechef.com/problems/SQLP103")</f>
        <v>https://www.codechef.com/problems/SQLP103</v>
      </c>
      <c r="K104" s="14"/>
      <c r="L104" s="14"/>
      <c r="M104" s="14"/>
      <c r="N104" s="14" t="s">
        <v>50</v>
      </c>
      <c r="O104" s="14" t="s">
        <v>51</v>
      </c>
    </row>
    <row r="105" spans="1:15">
      <c r="A105" s="15" t="s">
        <v>14</v>
      </c>
      <c r="B105" s="15" t="s">
        <v>7425</v>
      </c>
      <c r="C105" s="15" t="s">
        <v>7426</v>
      </c>
      <c r="D105" s="15" t="s">
        <v>7594</v>
      </c>
      <c r="E105" s="15">
        <v>104</v>
      </c>
      <c r="F105" s="15" t="s">
        <v>7438</v>
      </c>
      <c r="G105" s="15" t="s">
        <v>7602</v>
      </c>
      <c r="H105" s="15"/>
      <c r="I105" s="15" t="s">
        <v>49</v>
      </c>
      <c r="J105" s="7" t="str">
        <f>HYPERLINK("https://www.codechef.com/problems/SQLP104", "https://www.codechef.com/problems/SQLP104")</f>
        <v>https://www.codechef.com/problems/SQLP104</v>
      </c>
      <c r="K105" s="15"/>
      <c r="L105" s="15"/>
      <c r="M105" s="15"/>
      <c r="N105" s="15" t="s">
        <v>50</v>
      </c>
      <c r="O105" s="15" t="s">
        <v>51</v>
      </c>
    </row>
    <row r="106" spans="1:15">
      <c r="A106" s="14" t="s">
        <v>14</v>
      </c>
      <c r="B106" s="14" t="s">
        <v>7425</v>
      </c>
      <c r="C106" s="14" t="s">
        <v>7426</v>
      </c>
      <c r="D106" s="14" t="s">
        <v>7594</v>
      </c>
      <c r="E106" s="14">
        <v>105</v>
      </c>
      <c r="F106" s="14" t="s">
        <v>7462</v>
      </c>
      <c r="G106" s="14" t="s">
        <v>7603</v>
      </c>
      <c r="H106" s="14"/>
      <c r="I106" s="14" t="s">
        <v>96</v>
      </c>
      <c r="J106" s="11" t="str">
        <f>HYPERLINK("https://www.codechef.com/problems/SQLP102", "https://www.codechef.com/problems/SQLP102")</f>
        <v>https://www.codechef.com/problems/SQLP102</v>
      </c>
      <c r="K106" s="14"/>
      <c r="L106" s="14"/>
      <c r="M106" s="14"/>
      <c r="N106" s="14" t="s">
        <v>50</v>
      </c>
      <c r="O106" s="14" t="s">
        <v>51</v>
      </c>
    </row>
    <row r="107" spans="1:15">
      <c r="A107" s="15" t="s">
        <v>14</v>
      </c>
      <c r="B107" s="15" t="s">
        <v>7425</v>
      </c>
      <c r="C107" s="15" t="s">
        <v>7426</v>
      </c>
      <c r="D107" s="15" t="s">
        <v>7594</v>
      </c>
      <c r="E107" s="15">
        <v>106</v>
      </c>
      <c r="F107" s="15" t="s">
        <v>7440</v>
      </c>
      <c r="G107" s="15" t="s">
        <v>7604</v>
      </c>
      <c r="H107" s="15"/>
      <c r="I107" s="15" t="s">
        <v>49</v>
      </c>
      <c r="J107" s="7" t="str">
        <f>HYPERLINK("https://www.codechef.com/problems/SQLP106", "https://www.codechef.com/problems/SQLP106")</f>
        <v>https://www.codechef.com/problems/SQLP106</v>
      </c>
      <c r="K107" s="15"/>
      <c r="L107" s="15"/>
      <c r="M107" s="15"/>
      <c r="N107" s="15" t="s">
        <v>50</v>
      </c>
      <c r="O107" s="15" t="s">
        <v>51</v>
      </c>
    </row>
    <row r="108" spans="1:15">
      <c r="A108" s="14" t="s">
        <v>14</v>
      </c>
      <c r="B108" s="14" t="s">
        <v>7425</v>
      </c>
      <c r="C108" s="14" t="s">
        <v>7426</v>
      </c>
      <c r="D108" s="14" t="s">
        <v>7594</v>
      </c>
      <c r="E108" s="14">
        <v>107</v>
      </c>
      <c r="F108" s="14" t="s">
        <v>7442</v>
      </c>
      <c r="G108" s="14" t="s">
        <v>7605</v>
      </c>
      <c r="H108" s="14"/>
      <c r="I108" s="14" t="s">
        <v>49</v>
      </c>
      <c r="J108" s="11" t="str">
        <f>HYPERLINK("https://www.codechef.com/problems/SQLP107", "https://www.codechef.com/problems/SQLP107")</f>
        <v>https://www.codechef.com/problems/SQLP107</v>
      </c>
      <c r="K108" s="14"/>
      <c r="L108" s="14"/>
      <c r="M108" s="14"/>
      <c r="N108" s="14" t="s">
        <v>50</v>
      </c>
      <c r="O108" s="14" t="s">
        <v>51</v>
      </c>
    </row>
    <row r="109" spans="1:15">
      <c r="A109" s="15" t="s">
        <v>14</v>
      </c>
      <c r="B109" s="15" t="s">
        <v>7425</v>
      </c>
      <c r="C109" s="15" t="s">
        <v>7426</v>
      </c>
      <c r="D109" s="15" t="s">
        <v>7594</v>
      </c>
      <c r="E109" s="15">
        <v>108</v>
      </c>
      <c r="F109" s="15" t="s">
        <v>7464</v>
      </c>
      <c r="G109" s="15" t="s">
        <v>7606</v>
      </c>
      <c r="H109" s="15"/>
      <c r="I109" s="15" t="s">
        <v>96</v>
      </c>
      <c r="J109" s="7" t="str">
        <f>HYPERLINK("https://www.codechef.com/problems/SQLP105", "https://www.codechef.com/problems/SQLP105")</f>
        <v>https://www.codechef.com/problems/SQLP105</v>
      </c>
      <c r="K109" s="15"/>
      <c r="L109" s="15"/>
      <c r="M109" s="15"/>
      <c r="N109" s="15" t="s">
        <v>50</v>
      </c>
      <c r="O109" s="15" t="s">
        <v>51</v>
      </c>
    </row>
    <row r="110" spans="1:15">
      <c r="A110" s="14" t="s">
        <v>14</v>
      </c>
      <c r="B110" s="14" t="s">
        <v>7425</v>
      </c>
      <c r="C110" s="14" t="s">
        <v>7426</v>
      </c>
      <c r="D110" s="14" t="s">
        <v>7594</v>
      </c>
      <c r="E110" s="14">
        <v>109</v>
      </c>
      <c r="F110" s="14" t="s">
        <v>7444</v>
      </c>
      <c r="G110" s="14" t="s">
        <v>7607</v>
      </c>
      <c r="H110" s="14"/>
      <c r="I110" s="14" t="s">
        <v>49</v>
      </c>
      <c r="J110" s="11" t="str">
        <f>HYPERLINK("https://www.codechef.com/problems/SQLP109", "https://www.codechef.com/problems/SQLP109")</f>
        <v>https://www.codechef.com/problems/SQLP109</v>
      </c>
      <c r="K110" s="14"/>
      <c r="L110" s="14"/>
      <c r="M110" s="14"/>
      <c r="N110" s="14" t="s">
        <v>50</v>
      </c>
      <c r="O110" s="14" t="s">
        <v>51</v>
      </c>
    </row>
    <row r="111" spans="1:15">
      <c r="A111" s="15" t="s">
        <v>14</v>
      </c>
      <c r="B111" s="15" t="s">
        <v>7425</v>
      </c>
      <c r="C111" s="15" t="s">
        <v>7426</v>
      </c>
      <c r="D111" s="15" t="s">
        <v>7594</v>
      </c>
      <c r="E111" s="15">
        <v>110</v>
      </c>
      <c r="F111" s="15" t="s">
        <v>7446</v>
      </c>
      <c r="G111" s="15" t="s">
        <v>7608</v>
      </c>
      <c r="H111" s="15"/>
      <c r="I111" s="15" t="s">
        <v>49</v>
      </c>
      <c r="J111" s="7" t="str">
        <f>HYPERLINK("https://www.codechef.com/problems/SQLP110", "https://www.codechef.com/problems/SQLP110")</f>
        <v>https://www.codechef.com/problems/SQLP110</v>
      </c>
      <c r="K111" s="15"/>
      <c r="L111" s="15"/>
      <c r="M111" s="15"/>
      <c r="N111" s="15" t="s">
        <v>50</v>
      </c>
      <c r="O111" s="15" t="s">
        <v>51</v>
      </c>
    </row>
    <row r="112" spans="1:15">
      <c r="A112" s="14" t="s">
        <v>14</v>
      </c>
      <c r="B112" s="14" t="s">
        <v>7425</v>
      </c>
      <c r="C112" s="14" t="s">
        <v>7426</v>
      </c>
      <c r="D112" s="14" t="s">
        <v>7594</v>
      </c>
      <c r="E112" s="14">
        <v>111</v>
      </c>
      <c r="F112" s="14" t="s">
        <v>7466</v>
      </c>
      <c r="G112" s="14" t="s">
        <v>7609</v>
      </c>
      <c r="H112" s="14"/>
      <c r="I112" s="14" t="s">
        <v>96</v>
      </c>
      <c r="J112" s="11" t="str">
        <f>HYPERLINK("https://www.codechef.com/problems/SQLP111", "https://www.codechef.com/problems/SQLP111")</f>
        <v>https://www.codechef.com/problems/SQLP111</v>
      </c>
      <c r="K112" s="14"/>
      <c r="L112" s="14"/>
      <c r="M112" s="14"/>
      <c r="N112" s="14" t="s">
        <v>50</v>
      </c>
      <c r="O112" s="14" t="s">
        <v>51</v>
      </c>
    </row>
    <row r="113" spans="1:15">
      <c r="A113" s="15" t="s">
        <v>14</v>
      </c>
      <c r="B113" s="15" t="s">
        <v>7425</v>
      </c>
      <c r="C113" s="15" t="s">
        <v>7426</v>
      </c>
      <c r="D113" s="15" t="s">
        <v>7594</v>
      </c>
      <c r="E113" s="15">
        <v>112</v>
      </c>
      <c r="F113" s="15" t="s">
        <v>7448</v>
      </c>
      <c r="G113" s="15" t="s">
        <v>7610</v>
      </c>
      <c r="H113" s="15"/>
      <c r="I113" s="15" t="s">
        <v>49</v>
      </c>
      <c r="J113" s="7" t="str">
        <f>HYPERLINK("https://www.codechef.com/problems/SQLP112", "https://www.codechef.com/problems/SQLP112")</f>
        <v>https://www.codechef.com/problems/SQLP112</v>
      </c>
      <c r="K113" s="15"/>
      <c r="L113" s="15"/>
      <c r="M113" s="15"/>
      <c r="N113" s="15" t="s">
        <v>50</v>
      </c>
      <c r="O113" s="15" t="s">
        <v>51</v>
      </c>
    </row>
    <row r="114" spans="1:15">
      <c r="A114" s="14" t="s">
        <v>14</v>
      </c>
      <c r="B114" s="14" t="s">
        <v>7425</v>
      </c>
      <c r="C114" s="14" t="s">
        <v>7426</v>
      </c>
      <c r="D114" s="14" t="s">
        <v>7594</v>
      </c>
      <c r="E114" s="14">
        <v>113</v>
      </c>
      <c r="F114" s="14" t="s">
        <v>7450</v>
      </c>
      <c r="G114" s="14" t="s">
        <v>7611</v>
      </c>
      <c r="H114" s="14"/>
      <c r="I114" s="14" t="s">
        <v>49</v>
      </c>
      <c r="J114" s="11" t="str">
        <f>HYPERLINK("https://www.codechef.com/problems/SQLP113", "https://www.codechef.com/problems/SQLP113")</f>
        <v>https://www.codechef.com/problems/SQLP113</v>
      </c>
      <c r="K114" s="14"/>
      <c r="L114" s="14"/>
      <c r="M114" s="14"/>
      <c r="N114" s="14" t="s">
        <v>50</v>
      </c>
      <c r="O114" s="14" t="s">
        <v>51</v>
      </c>
    </row>
    <row r="115" spans="1:15">
      <c r="A115" s="15" t="s">
        <v>14</v>
      </c>
      <c r="B115" s="15" t="s">
        <v>7425</v>
      </c>
      <c r="C115" s="15" t="s">
        <v>7426</v>
      </c>
      <c r="D115" s="15" t="s">
        <v>7594</v>
      </c>
      <c r="E115" s="15">
        <v>114</v>
      </c>
      <c r="F115" s="15" t="s">
        <v>7579</v>
      </c>
      <c r="G115" s="15" t="s">
        <v>7612</v>
      </c>
      <c r="H115" s="15"/>
      <c r="I115" s="15" t="s">
        <v>96</v>
      </c>
      <c r="J115" s="7" t="str">
        <f>HYPERLINK("https://www.codechef.com/problems/SQLP114", "https://www.codechef.com/problems/SQLP114")</f>
        <v>https://www.codechef.com/problems/SQLP114</v>
      </c>
      <c r="K115" s="15"/>
      <c r="L115" s="15"/>
      <c r="M115" s="15"/>
      <c r="N115" s="15" t="s">
        <v>50</v>
      </c>
      <c r="O115" s="15" t="s">
        <v>51</v>
      </c>
    </row>
    <row r="116" spans="1:15">
      <c r="A116" s="14" t="s">
        <v>14</v>
      </c>
      <c r="B116" s="14" t="s">
        <v>7425</v>
      </c>
      <c r="C116" s="14" t="s">
        <v>7426</v>
      </c>
      <c r="D116" s="14" t="s">
        <v>7594</v>
      </c>
      <c r="E116" s="14">
        <v>115</v>
      </c>
      <c r="F116" s="14" t="s">
        <v>7452</v>
      </c>
      <c r="G116" s="14" t="s">
        <v>7613</v>
      </c>
      <c r="H116" s="14"/>
      <c r="I116" s="14" t="s">
        <v>49</v>
      </c>
      <c r="J116" s="11" t="str">
        <f>HYPERLINK("https://www.codechef.com/problems/SQLP115", "https://www.codechef.com/problems/SQLP115")</f>
        <v>https://www.codechef.com/problems/SQLP115</v>
      </c>
      <c r="K116" s="14"/>
      <c r="L116" s="14"/>
      <c r="M116" s="14"/>
      <c r="N116" s="14" t="s">
        <v>50</v>
      </c>
      <c r="O116" s="14" t="s">
        <v>51</v>
      </c>
    </row>
    <row r="117" spans="1:15">
      <c r="A117" s="15" t="s">
        <v>14</v>
      </c>
      <c r="B117" s="15" t="s">
        <v>7425</v>
      </c>
      <c r="C117" s="15" t="s">
        <v>7426</v>
      </c>
      <c r="D117" s="15" t="s">
        <v>7594</v>
      </c>
      <c r="E117" s="15">
        <v>116</v>
      </c>
      <c r="F117" s="15" t="s">
        <v>7454</v>
      </c>
      <c r="G117" s="15" t="s">
        <v>7614</v>
      </c>
      <c r="H117" s="15"/>
      <c r="I117" s="15" t="s">
        <v>49</v>
      </c>
      <c r="J117" s="7" t="str">
        <f>HYPERLINK("https://www.codechef.com/problems/SQLP116", "https://www.codechef.com/problems/SQLP116")</f>
        <v>https://www.codechef.com/problems/SQLP116</v>
      </c>
      <c r="K117" s="15"/>
      <c r="L117" s="15"/>
      <c r="M117" s="15"/>
      <c r="N117" s="15" t="s">
        <v>50</v>
      </c>
      <c r="O117" s="15" t="s">
        <v>51</v>
      </c>
    </row>
    <row r="118" spans="1:15">
      <c r="A118" s="14" t="s">
        <v>14</v>
      </c>
      <c r="B118" s="14" t="s">
        <v>7425</v>
      </c>
      <c r="C118" s="14" t="s">
        <v>7426</v>
      </c>
      <c r="D118" s="14" t="s">
        <v>7615</v>
      </c>
      <c r="E118" s="14">
        <v>117</v>
      </c>
      <c r="F118" s="14" t="s">
        <v>7469</v>
      </c>
      <c r="G118" s="14" t="s">
        <v>7616</v>
      </c>
      <c r="H118" s="14"/>
      <c r="I118" s="14" t="s">
        <v>49</v>
      </c>
      <c r="J118" s="11" t="str">
        <f>HYPERLINK("https://www.codechef.com/problems/SQLP117", "https://www.codechef.com/problems/SQLP117")</f>
        <v>https://www.codechef.com/problems/SQLP117</v>
      </c>
      <c r="K118" s="14"/>
      <c r="L118" s="14"/>
      <c r="M118" s="14"/>
      <c r="N118" s="14" t="s">
        <v>50</v>
      </c>
      <c r="O118" s="14" t="s">
        <v>51</v>
      </c>
    </row>
    <row r="119" spans="1:15">
      <c r="A119" s="15" t="s">
        <v>14</v>
      </c>
      <c r="B119" s="15" t="s">
        <v>7425</v>
      </c>
      <c r="C119" s="15" t="s">
        <v>7426</v>
      </c>
      <c r="D119" s="15" t="s">
        <v>7615</v>
      </c>
      <c r="E119" s="15">
        <v>118</v>
      </c>
      <c r="F119" s="15" t="s">
        <v>7471</v>
      </c>
      <c r="G119" s="15" t="s">
        <v>7617</v>
      </c>
      <c r="H119" s="15"/>
      <c r="I119" s="15" t="s">
        <v>96</v>
      </c>
      <c r="J119" s="7" t="str">
        <f>HYPERLINK("https://www.codechef.com/problems/SQLP118", "https://www.codechef.com/problems/SQLP118")</f>
        <v>https://www.codechef.com/problems/SQLP118</v>
      </c>
      <c r="K119" s="15"/>
      <c r="L119" s="15"/>
      <c r="M119" s="15"/>
      <c r="N119" s="15" t="s">
        <v>50</v>
      </c>
      <c r="O119" s="15" t="s">
        <v>51</v>
      </c>
    </row>
    <row r="120" spans="1:15">
      <c r="A120" s="14" t="s">
        <v>14</v>
      </c>
      <c r="B120" s="14" t="s">
        <v>7425</v>
      </c>
      <c r="C120" s="14" t="s">
        <v>7426</v>
      </c>
      <c r="D120" s="14" t="s">
        <v>7615</v>
      </c>
      <c r="E120" s="14">
        <v>119</v>
      </c>
      <c r="F120" s="14" t="s">
        <v>7473</v>
      </c>
      <c r="G120" s="14" t="s">
        <v>7618</v>
      </c>
      <c r="H120" s="14"/>
      <c r="I120" s="14" t="s">
        <v>96</v>
      </c>
      <c r="J120" s="11" t="str">
        <f>HYPERLINK("https://www.codechef.com/problems/SQLP119", "https://www.codechef.com/problems/SQLP119")</f>
        <v>https://www.codechef.com/problems/SQLP119</v>
      </c>
      <c r="K120" s="14"/>
      <c r="L120" s="14"/>
      <c r="M120" s="14"/>
      <c r="N120" s="14" t="s">
        <v>50</v>
      </c>
      <c r="O120" s="14" t="s">
        <v>51</v>
      </c>
    </row>
    <row r="121" spans="1:15">
      <c r="A121" s="15" t="s">
        <v>14</v>
      </c>
      <c r="B121" s="15" t="s">
        <v>7425</v>
      </c>
      <c r="C121" s="15" t="s">
        <v>7426</v>
      </c>
      <c r="D121" s="15" t="s">
        <v>7615</v>
      </c>
      <c r="E121" s="15">
        <v>120</v>
      </c>
      <c r="F121" s="15" t="s">
        <v>7475</v>
      </c>
      <c r="G121" s="15" t="s">
        <v>7619</v>
      </c>
      <c r="H121" s="15"/>
      <c r="I121" s="15" t="s">
        <v>96</v>
      </c>
      <c r="J121" s="7" t="str">
        <f>HYPERLINK("https://www.codechef.com/problems/SQLP127", "https://www.codechef.com/problems/SQLP127")</f>
        <v>https://www.codechef.com/problems/SQLP127</v>
      </c>
      <c r="K121" s="15"/>
      <c r="L121" s="15"/>
      <c r="M121" s="15"/>
      <c r="N121" s="15" t="s">
        <v>50</v>
      </c>
      <c r="O121" s="15" t="s">
        <v>51</v>
      </c>
    </row>
    <row r="122" spans="1:15">
      <c r="A122" s="14" t="s">
        <v>14</v>
      </c>
      <c r="B122" s="14" t="s">
        <v>7425</v>
      </c>
      <c r="C122" s="14" t="s">
        <v>7426</v>
      </c>
      <c r="D122" s="14" t="s">
        <v>7615</v>
      </c>
      <c r="E122" s="14">
        <v>121</v>
      </c>
      <c r="F122" s="14" t="s">
        <v>7477</v>
      </c>
      <c r="G122" s="14" t="s">
        <v>7620</v>
      </c>
      <c r="H122" s="14"/>
      <c r="I122" s="14" t="s">
        <v>96</v>
      </c>
      <c r="J122" s="11" t="str">
        <f>HYPERLINK("https://www.codechef.com/problems/SQLP120", "https://www.codechef.com/problems/SQLP120")</f>
        <v>https://www.codechef.com/problems/SQLP120</v>
      </c>
      <c r="K122" s="14"/>
      <c r="L122" s="14"/>
      <c r="M122" s="14"/>
      <c r="N122" s="14" t="s">
        <v>50</v>
      </c>
      <c r="O122" s="14" t="s">
        <v>51</v>
      </c>
    </row>
    <row r="123" spans="1:15">
      <c r="A123" s="15" t="s">
        <v>14</v>
      </c>
      <c r="B123" s="15" t="s">
        <v>7425</v>
      </c>
      <c r="C123" s="15" t="s">
        <v>7426</v>
      </c>
      <c r="D123" s="15" t="s">
        <v>7615</v>
      </c>
      <c r="E123" s="15">
        <v>122</v>
      </c>
      <c r="F123" s="15" t="s">
        <v>7479</v>
      </c>
      <c r="G123" s="15" t="s">
        <v>7621</v>
      </c>
      <c r="H123" s="15"/>
      <c r="I123" s="15" t="s">
        <v>96</v>
      </c>
      <c r="J123" s="7" t="str">
        <f>HYPERLINK("https://www.codechef.com/problems/SQLP123", "https://www.codechef.com/problems/SQLP123")</f>
        <v>https://www.codechef.com/problems/SQLP123</v>
      </c>
      <c r="K123" s="15"/>
      <c r="L123" s="15"/>
      <c r="M123" s="15"/>
      <c r="N123" s="15" t="s">
        <v>50</v>
      </c>
      <c r="O123" s="15" t="s">
        <v>51</v>
      </c>
    </row>
    <row r="124" spans="1:15">
      <c r="A124" s="14" t="s">
        <v>14</v>
      </c>
      <c r="B124" s="14" t="s">
        <v>7425</v>
      </c>
      <c r="C124" s="14" t="s">
        <v>7426</v>
      </c>
      <c r="D124" s="14" t="s">
        <v>7615</v>
      </c>
      <c r="E124" s="14">
        <v>123</v>
      </c>
      <c r="F124" s="14" t="s">
        <v>7481</v>
      </c>
      <c r="G124" s="14" t="s">
        <v>7622</v>
      </c>
      <c r="H124" s="14"/>
      <c r="I124" s="14" t="s">
        <v>96</v>
      </c>
      <c r="J124" s="11" t="str">
        <f>HYPERLINK("https://www.codechef.com/problems/SQLP124", "https://www.codechef.com/problems/SQLP124")</f>
        <v>https://www.codechef.com/problems/SQLP124</v>
      </c>
      <c r="K124" s="14"/>
      <c r="L124" s="14"/>
      <c r="M124" s="14"/>
      <c r="N124" s="14" t="s">
        <v>50</v>
      </c>
      <c r="O124" s="14" t="s">
        <v>51</v>
      </c>
    </row>
    <row r="125" spans="1:15">
      <c r="A125" s="15" t="s">
        <v>14</v>
      </c>
      <c r="B125" s="15" t="s">
        <v>7425</v>
      </c>
      <c r="C125" s="15" t="s">
        <v>7426</v>
      </c>
      <c r="D125" s="15" t="s">
        <v>7615</v>
      </c>
      <c r="E125" s="15">
        <v>124</v>
      </c>
      <c r="F125" s="15" t="s">
        <v>7483</v>
      </c>
      <c r="G125" s="15" t="s">
        <v>7623</v>
      </c>
      <c r="H125" s="15"/>
      <c r="I125" s="15" t="s">
        <v>96</v>
      </c>
      <c r="J125" s="7" t="str">
        <f>HYPERLINK("https://www.codechef.com/problems/SQLP126", "https://www.codechef.com/problems/SQLP126")</f>
        <v>https://www.codechef.com/problems/SQLP126</v>
      </c>
      <c r="K125" s="15"/>
      <c r="L125" s="15"/>
      <c r="M125" s="15"/>
      <c r="N125" s="15" t="s">
        <v>50</v>
      </c>
      <c r="O125" s="15" t="s">
        <v>51</v>
      </c>
    </row>
    <row r="126" spans="1:15">
      <c r="A126" s="14" t="s">
        <v>14</v>
      </c>
      <c r="B126" s="14" t="s">
        <v>7425</v>
      </c>
      <c r="C126" s="14" t="s">
        <v>7426</v>
      </c>
      <c r="D126" s="14" t="s">
        <v>7615</v>
      </c>
      <c r="E126" s="14">
        <v>125</v>
      </c>
      <c r="F126" s="14" t="s">
        <v>7485</v>
      </c>
      <c r="G126" s="14" t="s">
        <v>7624</v>
      </c>
      <c r="H126" s="14"/>
      <c r="I126" s="14" t="s">
        <v>96</v>
      </c>
      <c r="J126" s="11" t="str">
        <f>HYPERLINK("https://www.codechef.com/problems/SQLP128", "https://www.codechef.com/problems/SQLP128")</f>
        <v>https://www.codechef.com/problems/SQLP128</v>
      </c>
      <c r="K126" s="14"/>
      <c r="L126" s="14"/>
      <c r="M126" s="14"/>
      <c r="N126" s="14" t="s">
        <v>50</v>
      </c>
      <c r="O126" s="14" t="s">
        <v>51</v>
      </c>
    </row>
    <row r="127" spans="1:15">
      <c r="A127" s="15" t="s">
        <v>14</v>
      </c>
      <c r="B127" s="15" t="s">
        <v>7425</v>
      </c>
      <c r="C127" s="15" t="s">
        <v>7426</v>
      </c>
      <c r="D127" s="15" t="s">
        <v>7615</v>
      </c>
      <c r="E127" s="15">
        <v>126</v>
      </c>
      <c r="F127" s="15" t="s">
        <v>7487</v>
      </c>
      <c r="G127" s="15" t="s">
        <v>7625</v>
      </c>
      <c r="H127" s="15"/>
      <c r="I127" s="15" t="s">
        <v>96</v>
      </c>
      <c r="J127" s="7" t="str">
        <f>HYPERLINK("https://www.codechef.com/problems/SQLP121", "https://www.codechef.com/problems/SQLP121")</f>
        <v>https://www.codechef.com/problems/SQLP121</v>
      </c>
      <c r="K127" s="15"/>
      <c r="L127" s="15"/>
      <c r="M127" s="15"/>
      <c r="N127" s="15" t="s">
        <v>50</v>
      </c>
      <c r="O127" s="15" t="s">
        <v>51</v>
      </c>
    </row>
    <row r="128" spans="1:15">
      <c r="A128" s="14" t="s">
        <v>14</v>
      </c>
      <c r="B128" s="14" t="s">
        <v>7425</v>
      </c>
      <c r="C128" s="14" t="s">
        <v>7426</v>
      </c>
      <c r="D128" s="14" t="s">
        <v>7615</v>
      </c>
      <c r="E128" s="14">
        <v>127</v>
      </c>
      <c r="F128" s="14" t="s">
        <v>7489</v>
      </c>
      <c r="G128" s="14" t="s">
        <v>7626</v>
      </c>
      <c r="H128" s="14"/>
      <c r="I128" s="14" t="s">
        <v>96</v>
      </c>
      <c r="J128" s="11" t="str">
        <f>HYPERLINK("https://www.codechef.com/problems/SQLP122", "https://www.codechef.com/problems/SQLP122")</f>
        <v>https://www.codechef.com/problems/SQLP122</v>
      </c>
      <c r="K128" s="14"/>
      <c r="L128" s="14"/>
      <c r="M128" s="14"/>
      <c r="N128" s="14" t="s">
        <v>50</v>
      </c>
      <c r="O128" s="14" t="s">
        <v>51</v>
      </c>
    </row>
    <row r="129" spans="1:15">
      <c r="A129" s="15" t="s">
        <v>14</v>
      </c>
      <c r="B129" s="15" t="s">
        <v>7425</v>
      </c>
      <c r="C129" s="15" t="s">
        <v>7426</v>
      </c>
      <c r="D129" s="15" t="s">
        <v>7615</v>
      </c>
      <c r="E129" s="15">
        <v>128</v>
      </c>
      <c r="F129" s="15" t="s">
        <v>7491</v>
      </c>
      <c r="G129" s="15" t="s">
        <v>7627</v>
      </c>
      <c r="H129" s="15"/>
      <c r="I129" s="15" t="s">
        <v>96</v>
      </c>
      <c r="J129" s="7" t="str">
        <f>HYPERLINK("https://www.codechef.com/problems/SQLP125", "https://www.codechef.com/problems/SQLP125")</f>
        <v>https://www.codechef.com/problems/SQLP125</v>
      </c>
      <c r="K129" s="15"/>
      <c r="L129" s="15"/>
      <c r="M129" s="15"/>
      <c r="N129" s="15" t="s">
        <v>50</v>
      </c>
      <c r="O129" s="15" t="s">
        <v>51</v>
      </c>
    </row>
    <row r="130" spans="1:15">
      <c r="A130" s="14" t="s">
        <v>14</v>
      </c>
      <c r="B130" s="14" t="s">
        <v>7425</v>
      </c>
      <c r="C130" s="14" t="s">
        <v>7426</v>
      </c>
      <c r="D130" s="14" t="s">
        <v>7628</v>
      </c>
      <c r="E130" s="14">
        <v>129</v>
      </c>
      <c r="F130" s="14" t="s">
        <v>7428</v>
      </c>
      <c r="G130" s="14" t="s">
        <v>7629</v>
      </c>
      <c r="H130" s="14"/>
      <c r="I130" s="14" t="s">
        <v>49</v>
      </c>
      <c r="J130" s="11" t="str">
        <f>HYPERLINK("https://www.codechef.com/problems/SQLP129", "https://www.codechef.com/problems/SQLP129")</f>
        <v>https://www.codechef.com/problems/SQLP129</v>
      </c>
      <c r="K130" s="14"/>
      <c r="L130" s="14"/>
      <c r="M130" s="14"/>
      <c r="N130" s="14" t="s">
        <v>50</v>
      </c>
      <c r="O130" s="14" t="s">
        <v>51</v>
      </c>
    </row>
    <row r="131" spans="1:15">
      <c r="A131" s="15" t="s">
        <v>14</v>
      </c>
      <c r="B131" s="15" t="s">
        <v>7425</v>
      </c>
      <c r="C131" s="15" t="s">
        <v>7426</v>
      </c>
      <c r="D131" s="15" t="s">
        <v>7628</v>
      </c>
      <c r="E131" s="15">
        <v>130</v>
      </c>
      <c r="F131" s="15" t="s">
        <v>7430</v>
      </c>
      <c r="G131" s="15" t="s">
        <v>7630</v>
      </c>
      <c r="H131" s="15"/>
      <c r="I131" s="15" t="s">
        <v>96</v>
      </c>
      <c r="J131" s="7" t="str">
        <f>HYPERLINK("https://www.codechef.com/problems/SQLP130", "https://www.codechef.com/problems/SQLP130")</f>
        <v>https://www.codechef.com/problems/SQLP130</v>
      </c>
      <c r="K131" s="15"/>
      <c r="L131" s="15"/>
      <c r="M131" s="15"/>
      <c r="N131" s="15" t="s">
        <v>50</v>
      </c>
      <c r="O131" s="15" t="s">
        <v>51</v>
      </c>
    </row>
    <row r="132" spans="1:15">
      <c r="A132" s="14" t="s">
        <v>14</v>
      </c>
      <c r="B132" s="14" t="s">
        <v>7425</v>
      </c>
      <c r="C132" s="14" t="s">
        <v>7426</v>
      </c>
      <c r="D132" s="14" t="s">
        <v>7628</v>
      </c>
      <c r="E132" s="14">
        <v>131</v>
      </c>
      <c r="F132" s="14" t="s">
        <v>7432</v>
      </c>
      <c r="G132" s="14" t="s">
        <v>7631</v>
      </c>
      <c r="H132" s="14"/>
      <c r="I132" s="14" t="s">
        <v>96</v>
      </c>
      <c r="J132" s="11" t="str">
        <f>HYPERLINK("https://www.codechef.com/problems/SQLP131", "https://www.codechef.com/problems/SQLP131")</f>
        <v>https://www.codechef.com/problems/SQLP131</v>
      </c>
      <c r="K132" s="14"/>
      <c r="L132" s="14"/>
      <c r="M132" s="14"/>
      <c r="N132" s="14" t="s">
        <v>50</v>
      </c>
      <c r="O132" s="14" t="s">
        <v>51</v>
      </c>
    </row>
    <row r="133" spans="1:15">
      <c r="A133" s="15" t="s">
        <v>14</v>
      </c>
      <c r="B133" s="15" t="s">
        <v>7425</v>
      </c>
      <c r="C133" s="15" t="s">
        <v>7426</v>
      </c>
      <c r="D133" s="15" t="s">
        <v>7628</v>
      </c>
      <c r="E133" s="15">
        <v>132</v>
      </c>
      <c r="F133" s="15" t="s">
        <v>7434</v>
      </c>
      <c r="G133" s="15" t="s">
        <v>7632</v>
      </c>
      <c r="H133" s="15"/>
      <c r="I133" s="15" t="s">
        <v>96</v>
      </c>
      <c r="J133" s="7" t="str">
        <f>HYPERLINK("https://www.codechef.com/problems/SQLP132", "https://www.codechef.com/problems/SQLP132")</f>
        <v>https://www.codechef.com/problems/SQLP132</v>
      </c>
      <c r="K133" s="15"/>
      <c r="L133" s="15"/>
      <c r="M133" s="15"/>
      <c r="N133" s="15" t="s">
        <v>50</v>
      </c>
      <c r="O133" s="15" t="s">
        <v>51</v>
      </c>
    </row>
    <row r="134" spans="1:15">
      <c r="A134" s="14" t="s">
        <v>14</v>
      </c>
      <c r="B134" s="14" t="s">
        <v>7425</v>
      </c>
      <c r="C134" s="14" t="s">
        <v>7426</v>
      </c>
      <c r="D134" s="14" t="s">
        <v>7628</v>
      </c>
      <c r="E134" s="14">
        <v>133</v>
      </c>
      <c r="F134" s="14" t="s">
        <v>7436</v>
      </c>
      <c r="G134" s="14" t="s">
        <v>7633</v>
      </c>
      <c r="H134" s="14"/>
      <c r="I134" s="14" t="s">
        <v>96</v>
      </c>
      <c r="J134" s="11" t="str">
        <f>HYPERLINK("https://www.codechef.com/problems/SQLP133", "https://www.codechef.com/problems/SQLP133")</f>
        <v>https://www.codechef.com/problems/SQLP133</v>
      </c>
      <c r="K134" s="14"/>
      <c r="L134" s="14"/>
      <c r="M134" s="14"/>
      <c r="N134" s="14" t="s">
        <v>50</v>
      </c>
      <c r="O134" s="14" t="s">
        <v>51</v>
      </c>
    </row>
    <row r="135" spans="1:15">
      <c r="A135" s="15" t="s">
        <v>14</v>
      </c>
      <c r="B135" s="15" t="s">
        <v>7425</v>
      </c>
      <c r="C135" s="15" t="s">
        <v>7426</v>
      </c>
      <c r="D135" s="15" t="s">
        <v>7628</v>
      </c>
      <c r="E135" s="15">
        <v>134</v>
      </c>
      <c r="F135" s="15" t="s">
        <v>7438</v>
      </c>
      <c r="G135" s="15" t="s">
        <v>7634</v>
      </c>
      <c r="H135" s="15"/>
      <c r="I135" s="15" t="s">
        <v>96</v>
      </c>
      <c r="J135" s="7" t="str">
        <f>HYPERLINK("https://www.codechef.com/problems/SQLP134", "https://www.codechef.com/problems/SQLP134")</f>
        <v>https://www.codechef.com/problems/SQLP134</v>
      </c>
      <c r="K135" s="15"/>
      <c r="L135" s="15"/>
      <c r="M135" s="15"/>
      <c r="N135" s="15" t="s">
        <v>50</v>
      </c>
      <c r="O135" s="15" t="s">
        <v>51</v>
      </c>
    </row>
    <row r="136" spans="1:15">
      <c r="A136" s="14" t="s">
        <v>14</v>
      </c>
      <c r="B136" s="14" t="s">
        <v>7425</v>
      </c>
      <c r="C136" s="14" t="s">
        <v>7426</v>
      </c>
      <c r="D136" s="14" t="s">
        <v>7628</v>
      </c>
      <c r="E136" s="14">
        <v>135</v>
      </c>
      <c r="F136" s="14" t="s">
        <v>7440</v>
      </c>
      <c r="G136" s="14" t="s">
        <v>7635</v>
      </c>
      <c r="H136" s="14"/>
      <c r="I136" s="14" t="s">
        <v>96</v>
      </c>
      <c r="J136" s="11" t="str">
        <f>HYPERLINK("https://www.codechef.com/problems/SQLP135", "https://www.codechef.com/problems/SQLP135")</f>
        <v>https://www.codechef.com/problems/SQLP135</v>
      </c>
      <c r="K136" s="14"/>
      <c r="L136" s="14"/>
      <c r="M136" s="14"/>
      <c r="N136" s="14" t="s">
        <v>50</v>
      </c>
      <c r="O136" s="14" t="s">
        <v>51</v>
      </c>
    </row>
    <row r="137" spans="1:15">
      <c r="A137" s="15" t="s">
        <v>14</v>
      </c>
      <c r="B137" s="15" t="s">
        <v>7425</v>
      </c>
      <c r="C137" s="15" t="s">
        <v>7426</v>
      </c>
      <c r="D137" s="15" t="s">
        <v>7628</v>
      </c>
      <c r="E137" s="15">
        <v>136</v>
      </c>
      <c r="F137" s="15" t="s">
        <v>7442</v>
      </c>
      <c r="G137" s="15" t="s">
        <v>7636</v>
      </c>
      <c r="H137" s="15"/>
      <c r="I137" s="15" t="s">
        <v>96</v>
      </c>
      <c r="J137" s="7" t="str">
        <f>HYPERLINK("https://www.codechef.com/problems/SQLP136", "https://www.codechef.com/problems/SQLP136")</f>
        <v>https://www.codechef.com/problems/SQLP136</v>
      </c>
      <c r="K137" s="15"/>
      <c r="L137" s="15"/>
      <c r="M137" s="15"/>
      <c r="N137" s="15" t="s">
        <v>50</v>
      </c>
      <c r="O137" s="15" t="s">
        <v>51</v>
      </c>
    </row>
    <row r="138" spans="1:15">
      <c r="A138" s="14" t="s">
        <v>14</v>
      </c>
      <c r="B138" s="14" t="s">
        <v>7425</v>
      </c>
      <c r="C138" s="14" t="s">
        <v>7426</v>
      </c>
      <c r="D138" s="14" t="s">
        <v>7628</v>
      </c>
      <c r="E138" s="14">
        <v>137</v>
      </c>
      <c r="F138" s="14" t="s">
        <v>7444</v>
      </c>
      <c r="G138" s="14" t="s">
        <v>7637</v>
      </c>
      <c r="H138" s="14"/>
      <c r="I138" s="14" t="s">
        <v>96</v>
      </c>
      <c r="J138" s="11" t="str">
        <f>HYPERLINK("https://www.codechef.com/problems/SQLP137", "https://www.codechef.com/problems/SQLP137")</f>
        <v>https://www.codechef.com/problems/SQLP137</v>
      </c>
      <c r="K138" s="14"/>
      <c r="L138" s="14"/>
      <c r="M138" s="14"/>
      <c r="N138" s="14" t="s">
        <v>50</v>
      </c>
      <c r="O138" s="14" t="s">
        <v>51</v>
      </c>
    </row>
    <row r="139" spans="1:15">
      <c r="A139" s="15" t="s">
        <v>14</v>
      </c>
      <c r="B139" s="15" t="s">
        <v>7425</v>
      </c>
      <c r="C139" s="15" t="s">
        <v>7426</v>
      </c>
      <c r="D139" s="15" t="s">
        <v>7628</v>
      </c>
      <c r="E139" s="15">
        <v>138</v>
      </c>
      <c r="F139" s="15" t="s">
        <v>7446</v>
      </c>
      <c r="G139" s="15" t="s">
        <v>7638</v>
      </c>
      <c r="H139" s="15"/>
      <c r="I139" s="15" t="s">
        <v>96</v>
      </c>
      <c r="J139" s="7" t="str">
        <f>HYPERLINK("https://www.codechef.com/problems/SQLP138", "https://www.codechef.com/problems/SQLP138")</f>
        <v>https://www.codechef.com/problems/SQLP138</v>
      </c>
      <c r="K139" s="15"/>
      <c r="L139" s="15"/>
      <c r="M139" s="15"/>
      <c r="N139" s="15" t="s">
        <v>50</v>
      </c>
      <c r="O139" s="15" t="s">
        <v>51</v>
      </c>
    </row>
    <row r="140" spans="1:15">
      <c r="A140" s="14" t="s">
        <v>14</v>
      </c>
      <c r="B140" s="14" t="s">
        <v>7425</v>
      </c>
      <c r="C140" s="14" t="s">
        <v>7426</v>
      </c>
      <c r="D140" s="14" t="s">
        <v>7628</v>
      </c>
      <c r="E140" s="14">
        <v>139</v>
      </c>
      <c r="F140" s="14" t="s">
        <v>7448</v>
      </c>
      <c r="G140" s="14" t="s">
        <v>7639</v>
      </c>
      <c r="H140" s="14"/>
      <c r="I140" s="14" t="s">
        <v>96</v>
      </c>
      <c r="J140" s="11" t="str">
        <f>HYPERLINK("https://www.codechef.com/problems/SQLP139", "https://www.codechef.com/problems/SQLP139")</f>
        <v>https://www.codechef.com/problems/SQLP139</v>
      </c>
      <c r="K140" s="14"/>
      <c r="L140" s="14"/>
      <c r="M140" s="14"/>
      <c r="N140" s="14" t="s">
        <v>50</v>
      </c>
      <c r="O140" s="14" t="s">
        <v>51</v>
      </c>
    </row>
    <row r="141" spans="1:15">
      <c r="A141" s="15" t="s">
        <v>14</v>
      </c>
      <c r="B141" s="15" t="s">
        <v>7425</v>
      </c>
      <c r="C141" s="15" t="s">
        <v>7426</v>
      </c>
      <c r="D141" s="15" t="s">
        <v>7628</v>
      </c>
      <c r="E141" s="15">
        <v>140</v>
      </c>
      <c r="F141" s="15" t="s">
        <v>7450</v>
      </c>
      <c r="G141" s="15" t="s">
        <v>7640</v>
      </c>
      <c r="H141" s="15"/>
      <c r="I141" s="15" t="s">
        <v>96</v>
      </c>
      <c r="J141" s="7" t="str">
        <f>HYPERLINK("https://www.codechef.com/problems/SQLP140", "https://www.codechef.com/problems/SQLP140")</f>
        <v>https://www.codechef.com/problems/SQLP140</v>
      </c>
      <c r="K141" s="15"/>
      <c r="L141" s="15"/>
      <c r="M141" s="15"/>
      <c r="N141" s="15" t="s">
        <v>50</v>
      </c>
      <c r="O141" s="15" t="s">
        <v>51</v>
      </c>
    </row>
    <row r="142" spans="1:15">
      <c r="A142" s="14" t="s">
        <v>14</v>
      </c>
      <c r="B142" s="14" t="s">
        <v>7425</v>
      </c>
      <c r="C142" s="14" t="s">
        <v>7426</v>
      </c>
      <c r="D142" s="14" t="s">
        <v>7628</v>
      </c>
      <c r="E142" s="14">
        <v>141</v>
      </c>
      <c r="F142" s="14" t="s">
        <v>7452</v>
      </c>
      <c r="G142" s="14" t="s">
        <v>7641</v>
      </c>
      <c r="H142" s="14"/>
      <c r="I142" s="14" t="s">
        <v>49</v>
      </c>
      <c r="J142" s="11" t="str">
        <f>HYPERLINK("https://www.codechef.com/problems/SQLP141", "https://www.codechef.com/problems/SQLP141")</f>
        <v>https://www.codechef.com/problems/SQLP141</v>
      </c>
      <c r="K142" s="14"/>
      <c r="L142" s="14"/>
      <c r="M142" s="14"/>
      <c r="N142" s="14" t="s">
        <v>50</v>
      </c>
      <c r="O142" s="14" t="s">
        <v>51</v>
      </c>
    </row>
    <row r="143" spans="1:15">
      <c r="A143" s="15" t="s">
        <v>14</v>
      </c>
      <c r="B143" s="15" t="s">
        <v>7425</v>
      </c>
      <c r="C143" s="15" t="s">
        <v>7426</v>
      </c>
      <c r="D143" s="15" t="s">
        <v>7628</v>
      </c>
      <c r="E143" s="15">
        <v>142</v>
      </c>
      <c r="F143" s="15" t="s">
        <v>7454</v>
      </c>
      <c r="G143" s="15" t="s">
        <v>7642</v>
      </c>
      <c r="H143" s="15"/>
      <c r="I143" s="15" t="s">
        <v>96</v>
      </c>
      <c r="J143" s="7" t="str">
        <f>HYPERLINK("https://www.codechef.com/problems/SQLP142", "https://www.codechef.com/problems/SQLP142")</f>
        <v>https://www.codechef.com/problems/SQLP142</v>
      </c>
      <c r="K143" s="15"/>
      <c r="L143" s="15"/>
      <c r="M143" s="15"/>
      <c r="N143" s="15" t="s">
        <v>50</v>
      </c>
      <c r="O143" s="15" t="s">
        <v>51</v>
      </c>
    </row>
    <row r="144" spans="1:15">
      <c r="A144" s="14" t="s">
        <v>14</v>
      </c>
      <c r="B144" s="14" t="s">
        <v>7425</v>
      </c>
      <c r="C144" s="14" t="s">
        <v>7426</v>
      </c>
      <c r="D144" s="14" t="s">
        <v>7628</v>
      </c>
      <c r="E144" s="14">
        <v>143</v>
      </c>
      <c r="F144" s="14" t="s">
        <v>7456</v>
      </c>
      <c r="G144" s="14" t="s">
        <v>7643</v>
      </c>
      <c r="H144" s="14"/>
      <c r="I144" s="14" t="s">
        <v>49</v>
      </c>
      <c r="J144" s="11" t="str">
        <f>HYPERLINK("https://www.codechef.com/problems/SQLP143", "https://www.codechef.com/problems/SQLP143")</f>
        <v>https://www.codechef.com/problems/SQLP143</v>
      </c>
      <c r="K144" s="14"/>
      <c r="L144" s="14"/>
      <c r="M144" s="14"/>
      <c r="N144" s="14" t="s">
        <v>50</v>
      </c>
      <c r="O144" s="14" t="s">
        <v>51</v>
      </c>
    </row>
    <row r="145" spans="1:15">
      <c r="A145" s="15" t="s">
        <v>14</v>
      </c>
      <c r="B145" s="15" t="s">
        <v>7425</v>
      </c>
      <c r="C145" s="15" t="s">
        <v>7426</v>
      </c>
      <c r="D145" s="15" t="s">
        <v>7628</v>
      </c>
      <c r="E145" s="15">
        <v>144</v>
      </c>
      <c r="F145" s="15" t="s">
        <v>7458</v>
      </c>
      <c r="G145" s="15" t="s">
        <v>7644</v>
      </c>
      <c r="H145" s="15"/>
      <c r="I145" s="15" t="s">
        <v>96</v>
      </c>
      <c r="J145" s="7" t="str">
        <f>HYPERLINK("https://www.codechef.com/problems/SQLP144", "https://www.codechef.com/problems/SQLP144")</f>
        <v>https://www.codechef.com/problems/SQLP144</v>
      </c>
      <c r="K145" s="15"/>
      <c r="L145" s="15"/>
      <c r="M145" s="15"/>
      <c r="N145" s="15" t="s">
        <v>50</v>
      </c>
      <c r="O145" s="15" t="s">
        <v>51</v>
      </c>
    </row>
    <row r="146" spans="1:15">
      <c r="A146" s="14" t="s">
        <v>14</v>
      </c>
      <c r="B146" s="14" t="s">
        <v>7425</v>
      </c>
      <c r="C146" s="14" t="s">
        <v>7426</v>
      </c>
      <c r="D146" s="14" t="s">
        <v>7628</v>
      </c>
      <c r="E146" s="14">
        <v>145</v>
      </c>
      <c r="F146" s="14" t="s">
        <v>7460</v>
      </c>
      <c r="G146" s="14" t="s">
        <v>7645</v>
      </c>
      <c r="H146" s="14"/>
      <c r="I146" s="14" t="s">
        <v>49</v>
      </c>
      <c r="J146" s="11" t="str">
        <f>HYPERLINK("https://www.codechef.com/problems/SQLP145", "https://www.codechef.com/problems/SQLP145")</f>
        <v>https://www.codechef.com/problems/SQLP145</v>
      </c>
      <c r="K146" s="14"/>
      <c r="L146" s="14"/>
      <c r="M146" s="14"/>
      <c r="N146" s="14" t="s">
        <v>50</v>
      </c>
      <c r="O146" s="14" t="s">
        <v>51</v>
      </c>
    </row>
    <row r="147" spans="1:15">
      <c r="A147" s="15" t="s">
        <v>14</v>
      </c>
      <c r="B147" s="15" t="s">
        <v>7425</v>
      </c>
      <c r="C147" s="15" t="s">
        <v>7426</v>
      </c>
      <c r="D147" s="15" t="s">
        <v>7628</v>
      </c>
      <c r="E147" s="15">
        <v>146</v>
      </c>
      <c r="F147" s="15" t="s">
        <v>7462</v>
      </c>
      <c r="G147" s="15" t="s">
        <v>7646</v>
      </c>
      <c r="H147" s="15"/>
      <c r="I147" s="15" t="s">
        <v>96</v>
      </c>
      <c r="J147" s="7" t="str">
        <f>HYPERLINK("https://www.codechef.com/problems/SQLP146", "https://www.codechef.com/problems/SQLP146")</f>
        <v>https://www.codechef.com/problems/SQLP146</v>
      </c>
      <c r="K147" s="15"/>
      <c r="L147" s="15"/>
      <c r="M147" s="15"/>
      <c r="N147" s="15" t="s">
        <v>50</v>
      </c>
      <c r="O147" s="15" t="s">
        <v>51</v>
      </c>
    </row>
    <row r="148" spans="1:15">
      <c r="A148" s="14" t="s">
        <v>14</v>
      </c>
      <c r="B148" s="14" t="s">
        <v>7425</v>
      </c>
      <c r="C148" s="14" t="s">
        <v>7426</v>
      </c>
      <c r="D148" s="14" t="s">
        <v>7628</v>
      </c>
      <c r="E148" s="14">
        <v>147</v>
      </c>
      <c r="F148" s="14" t="s">
        <v>7464</v>
      </c>
      <c r="G148" s="14" t="s">
        <v>7647</v>
      </c>
      <c r="H148" s="14"/>
      <c r="I148" s="14" t="s">
        <v>49</v>
      </c>
      <c r="J148" s="11" t="str">
        <f>HYPERLINK("https://www.codechef.com/problems/SQLP147", "https://www.codechef.com/problems/SQLP147")</f>
        <v>https://www.codechef.com/problems/SQLP147</v>
      </c>
      <c r="K148" s="14"/>
      <c r="L148" s="14"/>
      <c r="M148" s="14"/>
      <c r="N148" s="14" t="s">
        <v>50</v>
      </c>
      <c r="O148" s="14" t="s">
        <v>51</v>
      </c>
    </row>
    <row r="149" spans="1:15">
      <c r="A149" s="15" t="s">
        <v>14</v>
      </c>
      <c r="B149" s="15" t="s">
        <v>7425</v>
      </c>
      <c r="C149" s="15" t="s">
        <v>7426</v>
      </c>
      <c r="D149" s="15" t="s">
        <v>7628</v>
      </c>
      <c r="E149" s="15">
        <v>148</v>
      </c>
      <c r="F149" s="15" t="s">
        <v>7466</v>
      </c>
      <c r="G149" s="15" t="s">
        <v>7648</v>
      </c>
      <c r="H149" s="15"/>
      <c r="I149" s="15" t="s">
        <v>96</v>
      </c>
      <c r="J149" s="7" t="str">
        <f>HYPERLINK("https://www.codechef.com/problems/SQLP148", "https://www.codechef.com/problems/SQLP148")</f>
        <v>https://www.codechef.com/problems/SQLP148</v>
      </c>
      <c r="K149" s="15"/>
      <c r="L149" s="15"/>
      <c r="M149" s="15"/>
      <c r="N149" s="15" t="s">
        <v>50</v>
      </c>
      <c r="O149" s="15" t="s">
        <v>51</v>
      </c>
    </row>
    <row r="150" spans="1:15">
      <c r="A150" s="14" t="s">
        <v>14</v>
      </c>
      <c r="B150" s="14" t="s">
        <v>7425</v>
      </c>
      <c r="C150" s="14" t="s">
        <v>7426</v>
      </c>
      <c r="D150" s="14" t="s">
        <v>7649</v>
      </c>
      <c r="E150" s="14">
        <v>149</v>
      </c>
      <c r="F150" s="14" t="s">
        <v>7469</v>
      </c>
      <c r="G150" s="14" t="s">
        <v>7650</v>
      </c>
      <c r="H150" s="14"/>
      <c r="I150" s="14" t="s">
        <v>96</v>
      </c>
      <c r="J150" s="11" t="str">
        <f>HYPERLINK("https://www.codechef.com/problems/SQLP149", "https://www.codechef.com/problems/SQLP149")</f>
        <v>https://www.codechef.com/problems/SQLP149</v>
      </c>
      <c r="K150" s="14"/>
      <c r="L150" s="14"/>
      <c r="M150" s="14"/>
      <c r="N150" s="14" t="s">
        <v>50</v>
      </c>
      <c r="O150" s="14" t="s">
        <v>51</v>
      </c>
    </row>
    <row r="151" spans="1:15">
      <c r="A151" s="15" t="s">
        <v>14</v>
      </c>
      <c r="B151" s="15" t="s">
        <v>7425</v>
      </c>
      <c r="C151" s="15" t="s">
        <v>7426</v>
      </c>
      <c r="D151" s="15" t="s">
        <v>7649</v>
      </c>
      <c r="E151" s="15">
        <v>150</v>
      </c>
      <c r="F151" s="15" t="s">
        <v>7471</v>
      </c>
      <c r="G151" s="15" t="s">
        <v>7651</v>
      </c>
      <c r="H151" s="15"/>
      <c r="I151" s="15" t="s">
        <v>96</v>
      </c>
      <c r="J151" s="7" t="str">
        <f>HYPERLINK("https://www.codechef.com/problems/SQLP150", "https://www.codechef.com/problems/SQLP150")</f>
        <v>https://www.codechef.com/problems/SQLP150</v>
      </c>
      <c r="K151" s="15"/>
      <c r="L151" s="15"/>
      <c r="M151" s="15"/>
      <c r="N151" s="15" t="s">
        <v>50</v>
      </c>
      <c r="O151" s="15" t="s">
        <v>51</v>
      </c>
    </row>
    <row r="152" spans="1:15">
      <c r="A152" s="14" t="s">
        <v>14</v>
      </c>
      <c r="B152" s="14" t="s">
        <v>7425</v>
      </c>
      <c r="C152" s="14" t="s">
        <v>7426</v>
      </c>
      <c r="D152" s="14" t="s">
        <v>7649</v>
      </c>
      <c r="E152" s="14">
        <v>151</v>
      </c>
      <c r="F152" s="14" t="s">
        <v>7473</v>
      </c>
      <c r="G152" s="14" t="s">
        <v>7652</v>
      </c>
      <c r="H152" s="14"/>
      <c r="I152" s="14" t="s">
        <v>96</v>
      </c>
      <c r="J152" s="11" t="str">
        <f>HYPERLINK("https://www.codechef.com/problems/SQLP151", "https://www.codechef.com/problems/SQLP151")</f>
        <v>https://www.codechef.com/problems/SQLP151</v>
      </c>
      <c r="K152" s="14"/>
      <c r="L152" s="14"/>
      <c r="M152" s="14"/>
      <c r="N152" s="14" t="s">
        <v>50</v>
      </c>
      <c r="O152" s="14" t="s">
        <v>51</v>
      </c>
    </row>
    <row r="153" spans="1:15">
      <c r="A153" s="15" t="s">
        <v>14</v>
      </c>
      <c r="B153" s="15" t="s">
        <v>7425</v>
      </c>
      <c r="C153" s="15" t="s">
        <v>7426</v>
      </c>
      <c r="D153" s="15" t="s">
        <v>7649</v>
      </c>
      <c r="E153" s="15">
        <v>152</v>
      </c>
      <c r="F153" s="15" t="s">
        <v>7475</v>
      </c>
      <c r="G153" s="15" t="s">
        <v>7653</v>
      </c>
      <c r="H153" s="15"/>
      <c r="I153" s="15" t="s">
        <v>96</v>
      </c>
      <c r="J153" s="7" t="str">
        <f>HYPERLINK("https://www.codechef.com/problems/SQLP152", "https://www.codechef.com/problems/SQLP152")</f>
        <v>https://www.codechef.com/problems/SQLP152</v>
      </c>
      <c r="K153" s="15"/>
      <c r="L153" s="15"/>
      <c r="M153" s="15"/>
      <c r="N153" s="15" t="s">
        <v>50</v>
      </c>
      <c r="O153" s="15" t="s">
        <v>51</v>
      </c>
    </row>
    <row r="154" spans="1:15">
      <c r="A154" s="14" t="s">
        <v>14</v>
      </c>
      <c r="B154" s="14" t="s">
        <v>7425</v>
      </c>
      <c r="C154" s="14" t="s">
        <v>7426</v>
      </c>
      <c r="D154" s="14" t="s">
        <v>7649</v>
      </c>
      <c r="E154" s="14">
        <v>153</v>
      </c>
      <c r="F154" s="14" t="s">
        <v>7477</v>
      </c>
      <c r="G154" s="14" t="s">
        <v>7654</v>
      </c>
      <c r="H154" s="14"/>
      <c r="I154" s="14" t="s">
        <v>96</v>
      </c>
      <c r="J154" s="11" t="str">
        <f>HYPERLINK("https://www.codechef.com/problems/SQLP153", "https://www.codechef.com/problems/SQLP153")</f>
        <v>https://www.codechef.com/problems/SQLP153</v>
      </c>
      <c r="K154" s="14"/>
      <c r="L154" s="14"/>
      <c r="M154" s="14"/>
      <c r="N154" s="14" t="s">
        <v>50</v>
      </c>
      <c r="O154" s="14" t="s">
        <v>51</v>
      </c>
    </row>
    <row r="155" spans="1:15">
      <c r="A155" s="15" t="s">
        <v>14</v>
      </c>
      <c r="B155" s="15" t="s">
        <v>7425</v>
      </c>
      <c r="C155" s="15" t="s">
        <v>7426</v>
      </c>
      <c r="D155" s="15" t="s">
        <v>7649</v>
      </c>
      <c r="E155" s="15">
        <v>154</v>
      </c>
      <c r="F155" s="15" t="s">
        <v>7479</v>
      </c>
      <c r="G155" s="15" t="s">
        <v>7655</v>
      </c>
      <c r="H155" s="15"/>
      <c r="I155" s="15" t="s">
        <v>96</v>
      </c>
      <c r="J155" s="7" t="str">
        <f>HYPERLINK("https://www.codechef.com/problems/SQLP154", "https://www.codechef.com/problems/SQLP154")</f>
        <v>https://www.codechef.com/problems/SQLP154</v>
      </c>
      <c r="K155" s="15"/>
      <c r="L155" s="15"/>
      <c r="M155" s="15"/>
      <c r="N155" s="15" t="s">
        <v>50</v>
      </c>
      <c r="O155" s="15" t="s">
        <v>51</v>
      </c>
    </row>
    <row r="156" spans="1:15">
      <c r="A156" s="14" t="s">
        <v>14</v>
      </c>
      <c r="B156" s="14" t="s">
        <v>7425</v>
      </c>
      <c r="C156" s="14" t="s">
        <v>7426</v>
      </c>
      <c r="D156" s="14" t="s">
        <v>7649</v>
      </c>
      <c r="E156" s="14">
        <v>155</v>
      </c>
      <c r="F156" s="14" t="s">
        <v>7481</v>
      </c>
      <c r="G156" s="14" t="s">
        <v>7656</v>
      </c>
      <c r="H156" s="14"/>
      <c r="I156" s="14" t="s">
        <v>96</v>
      </c>
      <c r="J156" s="11" t="str">
        <f>HYPERLINK("https://www.codechef.com/problems/SQLP155", "https://www.codechef.com/problems/SQLP155")</f>
        <v>https://www.codechef.com/problems/SQLP155</v>
      </c>
      <c r="K156" s="14"/>
      <c r="L156" s="14"/>
      <c r="M156" s="14"/>
      <c r="N156" s="14" t="s">
        <v>50</v>
      </c>
      <c r="O156" s="14" t="s">
        <v>51</v>
      </c>
    </row>
    <row r="157" spans="1:15">
      <c r="A157" s="15" t="s">
        <v>14</v>
      </c>
      <c r="B157" s="15" t="s">
        <v>7425</v>
      </c>
      <c r="C157" s="15" t="s">
        <v>7426</v>
      </c>
      <c r="D157" s="15" t="s">
        <v>7649</v>
      </c>
      <c r="E157" s="15">
        <v>156</v>
      </c>
      <c r="F157" s="15" t="s">
        <v>7483</v>
      </c>
      <c r="G157" s="15" t="s">
        <v>7657</v>
      </c>
      <c r="H157" s="15"/>
      <c r="I157" s="15" t="s">
        <v>96</v>
      </c>
      <c r="J157" s="7" t="str">
        <f>HYPERLINK("https://www.codechef.com/problems/SQLP156", "https://www.codechef.com/problems/SQLP156")</f>
        <v>https://www.codechef.com/problems/SQLP156</v>
      </c>
      <c r="K157" s="15"/>
      <c r="L157" s="15"/>
      <c r="M157" s="15"/>
      <c r="N157" s="15" t="s">
        <v>50</v>
      </c>
      <c r="O157" s="15" t="s">
        <v>51</v>
      </c>
    </row>
    <row r="158" spans="1:15">
      <c r="A158" s="14" t="s">
        <v>14</v>
      </c>
      <c r="B158" s="14" t="s">
        <v>7425</v>
      </c>
      <c r="C158" s="14" t="s">
        <v>7426</v>
      </c>
      <c r="D158" s="14" t="s">
        <v>7649</v>
      </c>
      <c r="E158" s="14">
        <v>157</v>
      </c>
      <c r="F158" s="14" t="s">
        <v>7485</v>
      </c>
      <c r="G158" s="14" t="s">
        <v>7658</v>
      </c>
      <c r="H158" s="14"/>
      <c r="I158" s="14" t="s">
        <v>322</v>
      </c>
      <c r="J158" s="11" t="str">
        <f>HYPERLINK("https://www.codechef.com/problems/SQLP157", "https://www.codechef.com/problems/SQLP157")</f>
        <v>https://www.codechef.com/problems/SQLP157</v>
      </c>
      <c r="K158" s="14"/>
      <c r="L158" s="14"/>
      <c r="M158" s="14"/>
      <c r="N158" s="14" t="s">
        <v>50</v>
      </c>
      <c r="O158" s="14" t="s">
        <v>51</v>
      </c>
    </row>
    <row r="159" spans="1:15">
      <c r="A159" s="15" t="s">
        <v>14</v>
      </c>
      <c r="B159" s="15" t="s">
        <v>7425</v>
      </c>
      <c r="C159" s="15" t="s">
        <v>7426</v>
      </c>
      <c r="D159" s="15" t="s">
        <v>7649</v>
      </c>
      <c r="E159" s="15">
        <v>158</v>
      </c>
      <c r="F159" s="15" t="s">
        <v>7487</v>
      </c>
      <c r="G159" s="15" t="s">
        <v>7659</v>
      </c>
      <c r="H159" s="15"/>
      <c r="I159" s="15" t="s">
        <v>96</v>
      </c>
      <c r="J159" s="7" t="str">
        <f>HYPERLINK("https://www.codechef.com/problems/SQLP158", "https://www.codechef.com/problems/SQLP158")</f>
        <v>https://www.codechef.com/problems/SQLP158</v>
      </c>
      <c r="K159" s="15"/>
      <c r="L159" s="15"/>
      <c r="M159" s="15"/>
      <c r="N159" s="15" t="s">
        <v>50</v>
      </c>
      <c r="O159" s="15" t="s">
        <v>51</v>
      </c>
    </row>
    <row r="160" spans="1:15">
      <c r="A160" s="14" t="s">
        <v>14</v>
      </c>
      <c r="B160" s="14" t="s">
        <v>7425</v>
      </c>
      <c r="C160" s="14" t="s">
        <v>7426</v>
      </c>
      <c r="D160" s="14" t="s">
        <v>7649</v>
      </c>
      <c r="E160" s="14">
        <v>159</v>
      </c>
      <c r="F160" s="14" t="s">
        <v>7489</v>
      </c>
      <c r="G160" s="14" t="s">
        <v>7660</v>
      </c>
      <c r="H160" s="14"/>
      <c r="I160" s="14" t="s">
        <v>96</v>
      </c>
      <c r="J160" s="11" t="str">
        <f>HYPERLINK("https://www.codechef.com/problems/SQLP159", "https://www.codechef.com/problems/SQLP159")</f>
        <v>https://www.codechef.com/problems/SQLP159</v>
      </c>
      <c r="K160" s="14"/>
      <c r="L160" s="14"/>
      <c r="M160" s="14"/>
      <c r="N160" s="14" t="s">
        <v>50</v>
      </c>
      <c r="O160" s="14" t="s">
        <v>51</v>
      </c>
    </row>
    <row r="161" spans="1:15">
      <c r="A161" s="15" t="s">
        <v>14</v>
      </c>
      <c r="B161" s="15" t="s">
        <v>7425</v>
      </c>
      <c r="C161" s="15" t="s">
        <v>7426</v>
      </c>
      <c r="D161" s="15" t="s">
        <v>7649</v>
      </c>
      <c r="E161" s="15">
        <v>160</v>
      </c>
      <c r="F161" s="15" t="s">
        <v>7491</v>
      </c>
      <c r="G161" s="15" t="s">
        <v>7661</v>
      </c>
      <c r="H161" s="15"/>
      <c r="I161" s="15" t="s">
        <v>322</v>
      </c>
      <c r="J161" s="7" t="str">
        <f>HYPERLINK("https://www.codechef.com/problems/SQLP160", "https://www.codechef.com/problems/SQLP160")</f>
        <v>https://www.codechef.com/problems/SQLP160</v>
      </c>
      <c r="K161" s="15"/>
      <c r="L161" s="15"/>
      <c r="M161" s="15"/>
      <c r="N161" s="15" t="s">
        <v>50</v>
      </c>
      <c r="O161" s="15" t="s">
        <v>51</v>
      </c>
    </row>
    <row r="162" spans="1:15">
      <c r="A162" s="14" t="s">
        <v>14</v>
      </c>
      <c r="B162" s="14" t="s">
        <v>7425</v>
      </c>
      <c r="C162" s="14" t="s">
        <v>7426</v>
      </c>
      <c r="D162" s="14" t="s">
        <v>7662</v>
      </c>
      <c r="E162" s="14">
        <v>161</v>
      </c>
      <c r="F162" s="14" t="s">
        <v>7428</v>
      </c>
      <c r="G162" s="14" t="s">
        <v>7663</v>
      </c>
      <c r="H162" s="14"/>
      <c r="I162" s="14" t="s">
        <v>49</v>
      </c>
      <c r="J162" s="11" t="str">
        <f>HYPERLINK("https://www.codechef.com/problems/SQLP161", "https://www.codechef.com/problems/SQLP161")</f>
        <v>https://www.codechef.com/problems/SQLP161</v>
      </c>
      <c r="K162" s="14"/>
      <c r="L162" s="14"/>
      <c r="M162" s="14"/>
      <c r="N162" s="14" t="s">
        <v>50</v>
      </c>
      <c r="O162" s="14" t="s">
        <v>51</v>
      </c>
    </row>
    <row r="163" spans="1:15">
      <c r="A163" s="15" t="s">
        <v>14</v>
      </c>
      <c r="B163" s="15" t="s">
        <v>7425</v>
      </c>
      <c r="C163" s="15" t="s">
        <v>7426</v>
      </c>
      <c r="D163" s="15" t="s">
        <v>7662</v>
      </c>
      <c r="E163" s="15">
        <v>162</v>
      </c>
      <c r="F163" s="15" t="s">
        <v>7430</v>
      </c>
      <c r="G163" s="15" t="s">
        <v>7664</v>
      </c>
      <c r="H163" s="15"/>
      <c r="I163" s="15" t="s">
        <v>49</v>
      </c>
      <c r="J163" s="7" t="str">
        <f>HYPERLINK("https://www.codechef.com/problems/SQLP162", "https://www.codechef.com/problems/SQLP162")</f>
        <v>https://www.codechef.com/problems/SQLP162</v>
      </c>
      <c r="K163" s="15"/>
      <c r="L163" s="15"/>
      <c r="M163" s="15"/>
      <c r="N163" s="15" t="s">
        <v>50</v>
      </c>
      <c r="O163" s="15" t="s">
        <v>51</v>
      </c>
    </row>
    <row r="164" spans="1:15">
      <c r="A164" s="14" t="s">
        <v>14</v>
      </c>
      <c r="B164" s="14" t="s">
        <v>7425</v>
      </c>
      <c r="C164" s="14" t="s">
        <v>7426</v>
      </c>
      <c r="D164" s="14" t="s">
        <v>7662</v>
      </c>
      <c r="E164" s="14">
        <v>163</v>
      </c>
      <c r="F164" s="14" t="s">
        <v>7432</v>
      </c>
      <c r="G164" s="14" t="s">
        <v>7665</v>
      </c>
      <c r="H164" s="14"/>
      <c r="I164" s="14" t="s">
        <v>49</v>
      </c>
      <c r="J164" s="11" t="str">
        <f>HYPERLINK("https://www.codechef.com/problems/SQLP163", "https://www.codechef.com/problems/SQLP163")</f>
        <v>https://www.codechef.com/problems/SQLP163</v>
      </c>
      <c r="K164" s="14"/>
      <c r="L164" s="14"/>
      <c r="M164" s="14"/>
      <c r="N164" s="14" t="s">
        <v>50</v>
      </c>
      <c r="O164" s="14" t="s">
        <v>51</v>
      </c>
    </row>
    <row r="165" spans="1:15">
      <c r="A165" s="15" t="s">
        <v>14</v>
      </c>
      <c r="B165" s="15" t="s">
        <v>7425</v>
      </c>
      <c r="C165" s="15" t="s">
        <v>7426</v>
      </c>
      <c r="D165" s="15" t="s">
        <v>7662</v>
      </c>
      <c r="E165" s="15">
        <v>164</v>
      </c>
      <c r="F165" s="15" t="s">
        <v>7434</v>
      </c>
      <c r="G165" s="15" t="s">
        <v>7666</v>
      </c>
      <c r="H165" s="15"/>
      <c r="I165" s="15" t="s">
        <v>49</v>
      </c>
      <c r="J165" s="7" t="str">
        <f>HYPERLINK("https://www.codechef.com/problems/SQLP164", "https://www.codechef.com/problems/SQLP164")</f>
        <v>https://www.codechef.com/problems/SQLP164</v>
      </c>
      <c r="K165" s="15"/>
      <c r="L165" s="15"/>
      <c r="M165" s="15"/>
      <c r="N165" s="15" t="s">
        <v>50</v>
      </c>
      <c r="O165" s="15" t="s">
        <v>51</v>
      </c>
    </row>
    <row r="166" spans="1:15">
      <c r="A166" s="14" t="s">
        <v>14</v>
      </c>
      <c r="B166" s="14" t="s">
        <v>7425</v>
      </c>
      <c r="C166" s="14" t="s">
        <v>7426</v>
      </c>
      <c r="D166" s="14" t="s">
        <v>7662</v>
      </c>
      <c r="E166" s="14">
        <v>165</v>
      </c>
      <c r="F166" s="14" t="s">
        <v>7436</v>
      </c>
      <c r="G166" s="14" t="s">
        <v>7667</v>
      </c>
      <c r="H166" s="14"/>
      <c r="I166" s="14" t="s">
        <v>49</v>
      </c>
      <c r="J166" s="11" t="str">
        <f>HYPERLINK("https://www.codechef.com/problems/SQLP165", "https://www.codechef.com/problems/SQLP165")</f>
        <v>https://www.codechef.com/problems/SQLP165</v>
      </c>
      <c r="K166" s="14"/>
      <c r="L166" s="14"/>
      <c r="M166" s="14"/>
      <c r="N166" s="14" t="s">
        <v>50</v>
      </c>
      <c r="O166" s="14" t="s">
        <v>51</v>
      </c>
    </row>
    <row r="167" spans="1:15">
      <c r="A167" s="15" t="s">
        <v>14</v>
      </c>
      <c r="B167" s="15" t="s">
        <v>7425</v>
      </c>
      <c r="C167" s="15" t="s">
        <v>7426</v>
      </c>
      <c r="D167" s="15" t="s">
        <v>7662</v>
      </c>
      <c r="E167" s="15">
        <v>166</v>
      </c>
      <c r="F167" s="15" t="s">
        <v>7438</v>
      </c>
      <c r="G167" s="15" t="s">
        <v>7668</v>
      </c>
      <c r="H167" s="15"/>
      <c r="I167" s="15" t="s">
        <v>49</v>
      </c>
      <c r="J167" s="7" t="str">
        <f>HYPERLINK("https://www.codechef.com/problems/SQLP166", "https://www.codechef.com/problems/SQLP166")</f>
        <v>https://www.codechef.com/problems/SQLP166</v>
      </c>
      <c r="K167" s="15"/>
      <c r="L167" s="15"/>
      <c r="M167" s="15"/>
      <c r="N167" s="15" t="s">
        <v>50</v>
      </c>
      <c r="O167" s="15" t="s">
        <v>51</v>
      </c>
    </row>
    <row r="168" spans="1:15">
      <c r="A168" s="14" t="s">
        <v>14</v>
      </c>
      <c r="B168" s="14" t="s">
        <v>7425</v>
      </c>
      <c r="C168" s="14" t="s">
        <v>7426</v>
      </c>
      <c r="D168" s="14" t="s">
        <v>7662</v>
      </c>
      <c r="E168" s="14">
        <v>167</v>
      </c>
      <c r="F168" s="14" t="s">
        <v>7440</v>
      </c>
      <c r="G168" s="14" t="s">
        <v>7669</v>
      </c>
      <c r="H168" s="14"/>
      <c r="I168" s="14" t="s">
        <v>96</v>
      </c>
      <c r="J168" s="11" t="str">
        <f>HYPERLINK("https://www.codechef.com/problems/SQLP167", "https://www.codechef.com/problems/SQLP167")</f>
        <v>https://www.codechef.com/problems/SQLP167</v>
      </c>
      <c r="K168" s="14"/>
      <c r="L168" s="14"/>
      <c r="M168" s="14"/>
      <c r="N168" s="14" t="s">
        <v>50</v>
      </c>
      <c r="O168" s="14" t="s">
        <v>51</v>
      </c>
    </row>
    <row r="169" spans="1:15">
      <c r="A169" s="15" t="s">
        <v>14</v>
      </c>
      <c r="B169" s="15" t="s">
        <v>7425</v>
      </c>
      <c r="C169" s="15" t="s">
        <v>7426</v>
      </c>
      <c r="D169" s="15" t="s">
        <v>7662</v>
      </c>
      <c r="E169" s="15">
        <v>168</v>
      </c>
      <c r="F169" s="15" t="s">
        <v>7442</v>
      </c>
      <c r="G169" s="15" t="s">
        <v>7670</v>
      </c>
      <c r="H169" s="15"/>
      <c r="I169" s="15" t="s">
        <v>49</v>
      </c>
      <c r="J169" s="7" t="str">
        <f>HYPERLINK("https://www.codechef.com/problems/SQLP168", "https://www.codechef.com/problems/SQLP168")</f>
        <v>https://www.codechef.com/problems/SQLP168</v>
      </c>
      <c r="K169" s="15"/>
      <c r="L169" s="15"/>
      <c r="M169" s="15"/>
      <c r="N169" s="15" t="s">
        <v>50</v>
      </c>
      <c r="O169" s="15" t="s">
        <v>51</v>
      </c>
    </row>
    <row r="170" spans="1:15">
      <c r="A170" s="14" t="s">
        <v>14</v>
      </c>
      <c r="B170" s="14" t="s">
        <v>7425</v>
      </c>
      <c r="C170" s="14" t="s">
        <v>7426</v>
      </c>
      <c r="D170" s="14" t="s">
        <v>7662</v>
      </c>
      <c r="E170" s="14">
        <v>169</v>
      </c>
      <c r="F170" s="14" t="s">
        <v>7444</v>
      </c>
      <c r="G170" s="14" t="s">
        <v>7671</v>
      </c>
      <c r="H170" s="14"/>
      <c r="I170" s="14" t="s">
        <v>49</v>
      </c>
      <c r="J170" s="11" t="str">
        <f>HYPERLINK("https://www.codechef.com/problems/SQLP169", "https://www.codechef.com/problems/SQLP169")</f>
        <v>https://www.codechef.com/problems/SQLP169</v>
      </c>
      <c r="K170" s="14"/>
      <c r="L170" s="14"/>
      <c r="M170" s="14"/>
      <c r="N170" s="14" t="s">
        <v>50</v>
      </c>
      <c r="O170" s="14" t="s">
        <v>51</v>
      </c>
    </row>
    <row r="171" spans="1:15">
      <c r="A171" s="15" t="s">
        <v>14</v>
      </c>
      <c r="B171" s="15" t="s">
        <v>7425</v>
      </c>
      <c r="C171" s="15" t="s">
        <v>7426</v>
      </c>
      <c r="D171" s="15" t="s">
        <v>7662</v>
      </c>
      <c r="E171" s="15">
        <v>170</v>
      </c>
      <c r="F171" s="15" t="s">
        <v>7446</v>
      </c>
      <c r="G171" s="15" t="s">
        <v>7672</v>
      </c>
      <c r="H171" s="15"/>
      <c r="I171" s="15" t="s">
        <v>49</v>
      </c>
      <c r="J171" s="7" t="str">
        <f>HYPERLINK("https://www.codechef.com/problems/SQLP170", "https://www.codechef.com/problems/SQLP170")</f>
        <v>https://www.codechef.com/problems/SQLP170</v>
      </c>
      <c r="K171" s="15"/>
      <c r="L171" s="15"/>
      <c r="M171" s="15"/>
      <c r="N171" s="15" t="s">
        <v>50</v>
      </c>
      <c r="O171" s="15" t="s">
        <v>51</v>
      </c>
    </row>
    <row r="172" spans="1:15">
      <c r="A172" s="14" t="s">
        <v>14</v>
      </c>
      <c r="B172" s="14" t="s">
        <v>7425</v>
      </c>
      <c r="C172" s="14" t="s">
        <v>7426</v>
      </c>
      <c r="D172" s="14" t="s">
        <v>7662</v>
      </c>
      <c r="E172" s="14">
        <v>171</v>
      </c>
      <c r="F172" s="14" t="s">
        <v>7448</v>
      </c>
      <c r="G172" s="14" t="s">
        <v>7673</v>
      </c>
      <c r="H172" s="14"/>
      <c r="I172" s="14" t="s">
        <v>49</v>
      </c>
      <c r="J172" s="11" t="str">
        <f>HYPERLINK("https://www.codechef.com/problems/SQLP171", "https://www.codechef.com/problems/SQLP171")</f>
        <v>https://www.codechef.com/problems/SQLP171</v>
      </c>
      <c r="K172" s="14"/>
      <c r="L172" s="14"/>
      <c r="M172" s="14"/>
      <c r="N172" s="14" t="s">
        <v>50</v>
      </c>
      <c r="O172" s="14" t="s">
        <v>51</v>
      </c>
    </row>
    <row r="173" spans="1:15">
      <c r="A173" s="15" t="s">
        <v>14</v>
      </c>
      <c r="B173" s="15" t="s">
        <v>7425</v>
      </c>
      <c r="C173" s="15" t="s">
        <v>7426</v>
      </c>
      <c r="D173" s="15" t="s">
        <v>7662</v>
      </c>
      <c r="E173" s="15">
        <v>172</v>
      </c>
      <c r="F173" s="15" t="s">
        <v>7450</v>
      </c>
      <c r="G173" s="15" t="s">
        <v>7674</v>
      </c>
      <c r="H173" s="15"/>
      <c r="I173" s="15" t="s">
        <v>49</v>
      </c>
      <c r="J173" s="7" t="str">
        <f>HYPERLINK("https://www.codechef.com/problems/SQLP172", "https://www.codechef.com/problems/SQLP172")</f>
        <v>https://www.codechef.com/problems/SQLP172</v>
      </c>
      <c r="K173" s="15"/>
      <c r="L173" s="15"/>
      <c r="M173" s="15"/>
      <c r="N173" s="15" t="s">
        <v>50</v>
      </c>
      <c r="O173" s="15" t="s">
        <v>51</v>
      </c>
    </row>
    <row r="174" spans="1:15">
      <c r="A174" s="14" t="s">
        <v>14</v>
      </c>
      <c r="B174" s="14" t="s">
        <v>7425</v>
      </c>
      <c r="C174" s="14" t="s">
        <v>7426</v>
      </c>
      <c r="D174" s="14" t="s">
        <v>7662</v>
      </c>
      <c r="E174" s="14">
        <v>173</v>
      </c>
      <c r="F174" s="14" t="s">
        <v>7452</v>
      </c>
      <c r="G174" s="14" t="s">
        <v>7675</v>
      </c>
      <c r="H174" s="14"/>
      <c r="I174" s="14" t="s">
        <v>49</v>
      </c>
      <c r="J174" s="11" t="str">
        <f>HYPERLINK("https://www.codechef.com/problems/SQLP173", "https://www.codechef.com/problems/SQLP173")</f>
        <v>https://www.codechef.com/problems/SQLP173</v>
      </c>
      <c r="K174" s="14"/>
      <c r="L174" s="14"/>
      <c r="M174" s="14"/>
      <c r="N174" s="14" t="s">
        <v>50</v>
      </c>
      <c r="O174" s="14" t="s">
        <v>51</v>
      </c>
    </row>
    <row r="175" spans="1:15">
      <c r="A175" s="15" t="s">
        <v>14</v>
      </c>
      <c r="B175" s="15" t="s">
        <v>7425</v>
      </c>
      <c r="C175" s="15" t="s">
        <v>7426</v>
      </c>
      <c r="D175" s="15" t="s">
        <v>7662</v>
      </c>
      <c r="E175" s="15">
        <v>174</v>
      </c>
      <c r="F175" s="15" t="s">
        <v>7454</v>
      </c>
      <c r="G175" s="15" t="s">
        <v>7676</v>
      </c>
      <c r="H175" s="15"/>
      <c r="I175" s="15" t="s">
        <v>49</v>
      </c>
      <c r="J175" s="7" t="str">
        <f>HYPERLINK("https://www.codechef.com/problems/SQLP174", "https://www.codechef.com/problems/SQLP174")</f>
        <v>https://www.codechef.com/problems/SQLP174</v>
      </c>
      <c r="K175" s="15"/>
      <c r="L175" s="15"/>
      <c r="M175" s="15"/>
      <c r="N175" s="15" t="s">
        <v>50</v>
      </c>
      <c r="O175" s="15" t="s">
        <v>51</v>
      </c>
    </row>
    <row r="176" spans="1:15">
      <c r="A176" s="14" t="s">
        <v>14</v>
      </c>
      <c r="B176" s="14" t="s">
        <v>7425</v>
      </c>
      <c r="C176" s="14" t="s">
        <v>7426</v>
      </c>
      <c r="D176" s="14" t="s">
        <v>7662</v>
      </c>
      <c r="E176" s="14">
        <v>175</v>
      </c>
      <c r="F176" s="14" t="s">
        <v>7456</v>
      </c>
      <c r="G176" s="14" t="s">
        <v>7677</v>
      </c>
      <c r="H176" s="14"/>
      <c r="I176" s="14" t="s">
        <v>96</v>
      </c>
      <c r="J176" s="11" t="str">
        <f>HYPERLINK("https://www.codechef.com/problems/SQLP175", "https://www.codechef.com/problems/SQLP175")</f>
        <v>https://www.codechef.com/problems/SQLP175</v>
      </c>
      <c r="K176" s="14"/>
      <c r="L176" s="14"/>
      <c r="M176" s="14"/>
      <c r="N176" s="14" t="s">
        <v>50</v>
      </c>
      <c r="O176" s="14" t="s">
        <v>51</v>
      </c>
    </row>
    <row r="177" spans="1:15">
      <c r="A177" s="15" t="s">
        <v>14</v>
      </c>
      <c r="B177" s="15" t="s">
        <v>7425</v>
      </c>
      <c r="C177" s="15" t="s">
        <v>7426</v>
      </c>
      <c r="D177" s="15" t="s">
        <v>7662</v>
      </c>
      <c r="E177" s="15">
        <v>176</v>
      </c>
      <c r="F177" s="15" t="s">
        <v>7458</v>
      </c>
      <c r="G177" s="15" t="s">
        <v>7678</v>
      </c>
      <c r="H177" s="15"/>
      <c r="I177" s="15" t="s">
        <v>96</v>
      </c>
      <c r="J177" s="7" t="str">
        <f>HYPERLINK("https://www.codechef.com/problems/SQLP176", "https://www.codechef.com/problems/SQLP176")</f>
        <v>https://www.codechef.com/problems/SQLP176</v>
      </c>
      <c r="K177" s="15"/>
      <c r="L177" s="15"/>
      <c r="M177" s="15"/>
      <c r="N177" s="15" t="s">
        <v>50</v>
      </c>
      <c r="O177" s="15" t="s">
        <v>51</v>
      </c>
    </row>
    <row r="178" spans="1:15">
      <c r="A178" s="14" t="s">
        <v>14</v>
      </c>
      <c r="B178" s="14" t="s">
        <v>7425</v>
      </c>
      <c r="C178" s="14" t="s">
        <v>7426</v>
      </c>
      <c r="D178" s="14" t="s">
        <v>7662</v>
      </c>
      <c r="E178" s="14">
        <v>177</v>
      </c>
      <c r="F178" s="14" t="s">
        <v>7460</v>
      </c>
      <c r="G178" s="14" t="s">
        <v>7679</v>
      </c>
      <c r="H178" s="14"/>
      <c r="I178" s="14" t="s">
        <v>96</v>
      </c>
      <c r="J178" s="11" t="str">
        <f>HYPERLINK("https://www.codechef.com/problems/SQLP177", "https://www.codechef.com/problems/SQLP177")</f>
        <v>https://www.codechef.com/problems/SQLP177</v>
      </c>
      <c r="K178" s="14"/>
      <c r="L178" s="14"/>
      <c r="M178" s="14"/>
      <c r="N178" s="14" t="s">
        <v>50</v>
      </c>
      <c r="O178" s="14" t="s">
        <v>51</v>
      </c>
    </row>
    <row r="179" spans="1:15">
      <c r="A179" s="15" t="s">
        <v>14</v>
      </c>
      <c r="B179" s="15" t="s">
        <v>7425</v>
      </c>
      <c r="C179" s="15" t="s">
        <v>7426</v>
      </c>
      <c r="D179" s="15" t="s">
        <v>7662</v>
      </c>
      <c r="E179" s="15">
        <v>178</v>
      </c>
      <c r="F179" s="15" t="s">
        <v>7462</v>
      </c>
      <c r="G179" s="15" t="s">
        <v>7680</v>
      </c>
      <c r="H179" s="15"/>
      <c r="I179" s="15" t="s">
        <v>96</v>
      </c>
      <c r="J179" s="7" t="str">
        <f>HYPERLINK("https://www.codechef.com/problems/SQLP178", "https://www.codechef.com/problems/SQLP178")</f>
        <v>https://www.codechef.com/problems/SQLP178</v>
      </c>
      <c r="K179" s="15"/>
      <c r="L179" s="15"/>
      <c r="M179" s="15"/>
      <c r="N179" s="15" t="s">
        <v>50</v>
      </c>
      <c r="O179" s="15" t="s">
        <v>51</v>
      </c>
    </row>
    <row r="180" spans="1:15">
      <c r="A180" s="14" t="s">
        <v>14</v>
      </c>
      <c r="B180" s="14" t="s">
        <v>7425</v>
      </c>
      <c r="C180" s="14" t="s">
        <v>7426</v>
      </c>
      <c r="D180" s="14" t="s">
        <v>7662</v>
      </c>
      <c r="E180" s="14">
        <v>179</v>
      </c>
      <c r="F180" s="14" t="s">
        <v>7464</v>
      </c>
      <c r="G180" s="14" t="s">
        <v>7681</v>
      </c>
      <c r="H180" s="14"/>
      <c r="I180" s="14" t="s">
        <v>96</v>
      </c>
      <c r="J180" s="11" t="str">
        <f>HYPERLINK("https://www.codechef.com/problems/SQLP179", "https://www.codechef.com/problems/SQLP179")</f>
        <v>https://www.codechef.com/problems/SQLP179</v>
      </c>
      <c r="K180" s="14"/>
      <c r="L180" s="14"/>
      <c r="M180" s="14"/>
      <c r="N180" s="14" t="s">
        <v>50</v>
      </c>
      <c r="O180" s="14" t="s">
        <v>51</v>
      </c>
    </row>
    <row r="181" spans="1:15">
      <c r="A181" s="15" t="s">
        <v>14</v>
      </c>
      <c r="B181" s="15" t="s">
        <v>7425</v>
      </c>
      <c r="C181" s="15" t="s">
        <v>7426</v>
      </c>
      <c r="D181" s="15" t="s">
        <v>7662</v>
      </c>
      <c r="E181" s="15">
        <v>180</v>
      </c>
      <c r="F181" s="15" t="s">
        <v>7466</v>
      </c>
      <c r="G181" s="15" t="s">
        <v>7682</v>
      </c>
      <c r="H181" s="15"/>
      <c r="I181" s="15" t="s">
        <v>96</v>
      </c>
      <c r="J181" s="7" t="str">
        <f>HYPERLINK("https://www.codechef.com/problems/SQLP180", "https://www.codechef.com/problems/SQLP180")</f>
        <v>https://www.codechef.com/problems/SQLP180</v>
      </c>
      <c r="K181" s="15"/>
      <c r="L181" s="15"/>
      <c r="M181" s="15"/>
      <c r="N181" s="15" t="s">
        <v>50</v>
      </c>
      <c r="O181" s="15" t="s">
        <v>51</v>
      </c>
    </row>
    <row r="182" spans="1:15">
      <c r="A182" s="14" t="s">
        <v>14</v>
      </c>
      <c r="B182" s="14" t="s">
        <v>7425</v>
      </c>
      <c r="C182" s="14" t="s">
        <v>7426</v>
      </c>
      <c r="D182" s="14" t="s">
        <v>7683</v>
      </c>
      <c r="E182" s="14">
        <v>181</v>
      </c>
      <c r="F182" s="14" t="s">
        <v>7469</v>
      </c>
      <c r="G182" s="14" t="s">
        <v>7684</v>
      </c>
      <c r="H182" s="14"/>
      <c r="I182" s="14" t="s">
        <v>49</v>
      </c>
      <c r="J182" s="11" t="str">
        <f>HYPERLINK("https://www.codechef.com/problems/SQLP181", "https://www.codechef.com/problems/SQLP181")</f>
        <v>https://www.codechef.com/problems/SQLP181</v>
      </c>
      <c r="K182" s="14"/>
      <c r="L182" s="14"/>
      <c r="M182" s="14"/>
      <c r="N182" s="14" t="s">
        <v>50</v>
      </c>
      <c r="O182" s="14" t="s">
        <v>51</v>
      </c>
    </row>
    <row r="183" spans="1:15">
      <c r="A183" s="15" t="s">
        <v>14</v>
      </c>
      <c r="B183" s="15" t="s">
        <v>7425</v>
      </c>
      <c r="C183" s="15" t="s">
        <v>7426</v>
      </c>
      <c r="D183" s="15" t="s">
        <v>7683</v>
      </c>
      <c r="E183" s="15">
        <v>182</v>
      </c>
      <c r="F183" s="15" t="s">
        <v>7471</v>
      </c>
      <c r="G183" s="15" t="s">
        <v>7685</v>
      </c>
      <c r="H183" s="15"/>
      <c r="I183" s="15" t="s">
        <v>49</v>
      </c>
      <c r="J183" s="7" t="str">
        <f>HYPERLINK("https://www.codechef.com/problems/SQLP182", "https://www.codechef.com/problems/SQLP182")</f>
        <v>https://www.codechef.com/problems/SQLP182</v>
      </c>
      <c r="K183" s="15"/>
      <c r="L183" s="15"/>
      <c r="M183" s="15"/>
      <c r="N183" s="15" t="s">
        <v>50</v>
      </c>
      <c r="O183" s="15" t="s">
        <v>51</v>
      </c>
    </row>
    <row r="184" spans="1:15">
      <c r="A184" s="14" t="s">
        <v>14</v>
      </c>
      <c r="B184" s="14" t="s">
        <v>7425</v>
      </c>
      <c r="C184" s="14" t="s">
        <v>7426</v>
      </c>
      <c r="D184" s="14" t="s">
        <v>7683</v>
      </c>
      <c r="E184" s="14">
        <v>183</v>
      </c>
      <c r="F184" s="14" t="s">
        <v>7473</v>
      </c>
      <c r="G184" s="14" t="s">
        <v>7686</v>
      </c>
      <c r="H184" s="14"/>
      <c r="I184" s="14" t="s">
        <v>49</v>
      </c>
      <c r="J184" s="11" t="str">
        <f>HYPERLINK("https://www.codechef.com/problems/SQLP183", "https://www.codechef.com/problems/SQLP183")</f>
        <v>https://www.codechef.com/problems/SQLP183</v>
      </c>
      <c r="K184" s="14"/>
      <c r="L184" s="14"/>
      <c r="M184" s="14"/>
      <c r="N184" s="14" t="s">
        <v>50</v>
      </c>
      <c r="O184" s="14" t="s">
        <v>51</v>
      </c>
    </row>
    <row r="185" spans="1:15">
      <c r="A185" s="15" t="s">
        <v>14</v>
      </c>
      <c r="B185" s="15" t="s">
        <v>7425</v>
      </c>
      <c r="C185" s="15" t="s">
        <v>7426</v>
      </c>
      <c r="D185" s="15" t="s">
        <v>7683</v>
      </c>
      <c r="E185" s="15">
        <v>184</v>
      </c>
      <c r="F185" s="15" t="s">
        <v>7475</v>
      </c>
      <c r="G185" s="15" t="s">
        <v>7687</v>
      </c>
      <c r="H185" s="15"/>
      <c r="I185" s="15" t="s">
        <v>96</v>
      </c>
      <c r="J185" s="7" t="str">
        <f>HYPERLINK("https://www.codechef.com/problems/SQLP184", "https://www.codechef.com/problems/SQLP184")</f>
        <v>https://www.codechef.com/problems/SQLP184</v>
      </c>
      <c r="K185" s="15"/>
      <c r="L185" s="15"/>
      <c r="M185" s="15"/>
      <c r="N185" s="15" t="s">
        <v>50</v>
      </c>
      <c r="O185" s="15" t="s">
        <v>51</v>
      </c>
    </row>
    <row r="186" spans="1:15">
      <c r="A186" s="14" t="s">
        <v>14</v>
      </c>
      <c r="B186" s="14" t="s">
        <v>7425</v>
      </c>
      <c r="C186" s="14" t="s">
        <v>7426</v>
      </c>
      <c r="D186" s="14" t="s">
        <v>7683</v>
      </c>
      <c r="E186" s="14">
        <v>185</v>
      </c>
      <c r="F186" s="14" t="s">
        <v>7477</v>
      </c>
      <c r="G186" s="14" t="s">
        <v>7688</v>
      </c>
      <c r="H186" s="14"/>
      <c r="I186" s="14" t="s">
        <v>96</v>
      </c>
      <c r="J186" s="11" t="str">
        <f>HYPERLINK("https://www.codechef.com/problems/SQLP185", "https://www.codechef.com/problems/SQLP185")</f>
        <v>https://www.codechef.com/problems/SQLP185</v>
      </c>
      <c r="K186" s="14"/>
      <c r="L186" s="14"/>
      <c r="M186" s="14"/>
      <c r="N186" s="14" t="s">
        <v>50</v>
      </c>
      <c r="O186" s="14" t="s">
        <v>51</v>
      </c>
    </row>
    <row r="187" spans="1:15">
      <c r="A187" s="15" t="s">
        <v>14</v>
      </c>
      <c r="B187" s="15" t="s">
        <v>7425</v>
      </c>
      <c r="C187" s="15" t="s">
        <v>7426</v>
      </c>
      <c r="D187" s="15" t="s">
        <v>7683</v>
      </c>
      <c r="E187" s="15">
        <v>186</v>
      </c>
      <c r="F187" s="15" t="s">
        <v>7479</v>
      </c>
      <c r="G187" s="15" t="s">
        <v>7689</v>
      </c>
      <c r="H187" s="15"/>
      <c r="I187" s="15" t="s">
        <v>96</v>
      </c>
      <c r="J187" s="7" t="str">
        <f>HYPERLINK("https://www.codechef.com/problems/SQLP186", "https://www.codechef.com/problems/SQLP186")</f>
        <v>https://www.codechef.com/problems/SQLP186</v>
      </c>
      <c r="K187" s="15"/>
      <c r="L187" s="15"/>
      <c r="M187" s="15"/>
      <c r="N187" s="15" t="s">
        <v>50</v>
      </c>
      <c r="O187" s="15" t="s">
        <v>51</v>
      </c>
    </row>
    <row r="188" spans="1:15">
      <c r="A188" s="14" t="s">
        <v>14</v>
      </c>
      <c r="B188" s="14" t="s">
        <v>7425</v>
      </c>
      <c r="C188" s="14" t="s">
        <v>7426</v>
      </c>
      <c r="D188" s="14" t="s">
        <v>7683</v>
      </c>
      <c r="E188" s="14">
        <v>187</v>
      </c>
      <c r="F188" s="14" t="s">
        <v>7481</v>
      </c>
      <c r="G188" s="14" t="s">
        <v>7690</v>
      </c>
      <c r="H188" s="14"/>
      <c r="I188" s="14" t="s">
        <v>96</v>
      </c>
      <c r="J188" s="11" t="str">
        <f>HYPERLINK("https://www.codechef.com/problems/SQLP187", "https://www.codechef.com/problems/SQLP187")</f>
        <v>https://www.codechef.com/problems/SQLP187</v>
      </c>
      <c r="K188" s="14"/>
      <c r="L188" s="14"/>
      <c r="M188" s="14"/>
      <c r="N188" s="14" t="s">
        <v>50</v>
      </c>
      <c r="O188" s="14" t="s">
        <v>51</v>
      </c>
    </row>
    <row r="189" spans="1:15">
      <c r="A189" s="15" t="s">
        <v>14</v>
      </c>
      <c r="B189" s="15" t="s">
        <v>7425</v>
      </c>
      <c r="C189" s="15" t="s">
        <v>7426</v>
      </c>
      <c r="D189" s="15" t="s">
        <v>7683</v>
      </c>
      <c r="E189" s="15">
        <v>188</v>
      </c>
      <c r="F189" s="15" t="s">
        <v>7483</v>
      </c>
      <c r="G189" s="15" t="s">
        <v>7691</v>
      </c>
      <c r="H189" s="15"/>
      <c r="I189" s="15" t="s">
        <v>96</v>
      </c>
      <c r="J189" s="7" t="str">
        <f>HYPERLINK("https://www.codechef.com/problems/SQLP188", "https://www.codechef.com/problems/SQLP188")</f>
        <v>https://www.codechef.com/problems/SQLP188</v>
      </c>
      <c r="K189" s="15"/>
      <c r="L189" s="15"/>
      <c r="M189" s="15"/>
      <c r="N189" s="15" t="s">
        <v>50</v>
      </c>
      <c r="O189" s="15" t="s">
        <v>51</v>
      </c>
    </row>
    <row r="190" spans="1:15">
      <c r="A190" s="14" t="s">
        <v>14</v>
      </c>
      <c r="B190" s="14" t="s">
        <v>7425</v>
      </c>
      <c r="C190" s="14" t="s">
        <v>7426</v>
      </c>
      <c r="D190" s="14" t="s">
        <v>7683</v>
      </c>
      <c r="E190" s="14">
        <v>189</v>
      </c>
      <c r="F190" s="14" t="s">
        <v>7485</v>
      </c>
      <c r="G190" s="14" t="s">
        <v>7692</v>
      </c>
      <c r="H190" s="14"/>
      <c r="I190" s="14" t="s">
        <v>96</v>
      </c>
      <c r="J190" s="11" t="str">
        <f>HYPERLINK("https://www.codechef.com/problems/SQLP189", "https://www.codechef.com/problems/SQLP189")</f>
        <v>https://www.codechef.com/problems/SQLP189</v>
      </c>
      <c r="K190" s="14"/>
      <c r="L190" s="14"/>
      <c r="M190" s="14"/>
      <c r="N190" s="14" t="s">
        <v>50</v>
      </c>
      <c r="O190" s="14" t="s">
        <v>51</v>
      </c>
    </row>
    <row r="191" spans="1:15">
      <c r="A191" s="15" t="s">
        <v>14</v>
      </c>
      <c r="B191" s="15" t="s">
        <v>7425</v>
      </c>
      <c r="C191" s="15" t="s">
        <v>7426</v>
      </c>
      <c r="D191" s="15" t="s">
        <v>7683</v>
      </c>
      <c r="E191" s="15">
        <v>190</v>
      </c>
      <c r="F191" s="15" t="s">
        <v>7487</v>
      </c>
      <c r="G191" s="15" t="s">
        <v>7693</v>
      </c>
      <c r="H191" s="15"/>
      <c r="I191" s="15" t="s">
        <v>96</v>
      </c>
      <c r="J191" s="7" t="str">
        <f>HYPERLINK("https://www.codechef.com/problems/SQLP190", "https://www.codechef.com/problems/SQLP190")</f>
        <v>https://www.codechef.com/problems/SQLP190</v>
      </c>
      <c r="K191" s="15"/>
      <c r="L191" s="15"/>
      <c r="M191" s="15"/>
      <c r="N191" s="15" t="s">
        <v>50</v>
      </c>
      <c r="O191" s="15" t="s">
        <v>51</v>
      </c>
    </row>
    <row r="192" spans="1:15">
      <c r="A192" s="14" t="s">
        <v>14</v>
      </c>
      <c r="B192" s="14" t="s">
        <v>7425</v>
      </c>
      <c r="C192" s="14" t="s">
        <v>7426</v>
      </c>
      <c r="D192" s="14" t="s">
        <v>7683</v>
      </c>
      <c r="E192" s="14">
        <v>191</v>
      </c>
      <c r="F192" s="14" t="s">
        <v>7489</v>
      </c>
      <c r="G192" s="14" t="s">
        <v>7694</v>
      </c>
      <c r="H192" s="14"/>
      <c r="I192" s="14" t="s">
        <v>322</v>
      </c>
      <c r="J192" s="11" t="str">
        <f>HYPERLINK("https://www.codechef.com/problems/SQLP191", "https://www.codechef.com/problems/SQLP191")</f>
        <v>https://www.codechef.com/problems/SQLP191</v>
      </c>
      <c r="K192" s="14"/>
      <c r="L192" s="14"/>
      <c r="M192" s="14"/>
      <c r="N192" s="14" t="s">
        <v>50</v>
      </c>
      <c r="O192" s="14" t="s">
        <v>51</v>
      </c>
    </row>
    <row r="193" spans="1:15">
      <c r="A193" s="15" t="s">
        <v>14</v>
      </c>
      <c r="B193" s="15" t="s">
        <v>7425</v>
      </c>
      <c r="C193" s="15" t="s">
        <v>7426</v>
      </c>
      <c r="D193" s="15" t="s">
        <v>7683</v>
      </c>
      <c r="E193" s="15">
        <v>192</v>
      </c>
      <c r="F193" s="15" t="s">
        <v>7491</v>
      </c>
      <c r="G193" s="15" t="s">
        <v>7695</v>
      </c>
      <c r="H193" s="15"/>
      <c r="I193" s="15" t="s">
        <v>96</v>
      </c>
      <c r="J193" s="7" t="str">
        <f>HYPERLINK("https://www.codechef.com/problems/SQLP192", "https://www.codechef.com/problems/SQLP192")</f>
        <v>https://www.codechef.com/problems/SQLP192</v>
      </c>
      <c r="K193" s="15"/>
      <c r="L193" s="15"/>
      <c r="M193" s="15"/>
      <c r="N193" s="15" t="s">
        <v>50</v>
      </c>
      <c r="O193" s="15" t="s">
        <v>51</v>
      </c>
    </row>
    <row r="194" spans="1:15">
      <c r="A194" s="14" t="s">
        <v>14</v>
      </c>
      <c r="B194" s="14" t="s">
        <v>7696</v>
      </c>
      <c r="C194" s="14" t="s">
        <v>7697</v>
      </c>
      <c r="D194" s="14" t="s">
        <v>7698</v>
      </c>
      <c r="E194" s="14">
        <v>1</v>
      </c>
      <c r="F194" s="14" t="s">
        <v>7699</v>
      </c>
      <c r="G194" s="14" t="s">
        <v>7700</v>
      </c>
      <c r="H194" s="14"/>
      <c r="I194" s="14" t="s">
        <v>49</v>
      </c>
      <c r="J194" s="11" t="str">
        <f>HYPERLINK("https://www.codechef.com/problems/LPRASPR01", "https://www.codechef.com/problems/LPRASPR01")</f>
        <v>https://www.codechef.com/problems/LPRASPR01</v>
      </c>
      <c r="K194" s="14"/>
      <c r="L194" s="14"/>
      <c r="M194" s="14"/>
      <c r="N194" s="14" t="s">
        <v>50</v>
      </c>
      <c r="O194" s="14" t="s">
        <v>51</v>
      </c>
    </row>
    <row r="195" spans="1:15">
      <c r="A195" s="15" t="s">
        <v>14</v>
      </c>
      <c r="B195" s="15" t="s">
        <v>7696</v>
      </c>
      <c r="C195" s="15" t="s">
        <v>7697</v>
      </c>
      <c r="D195" s="15" t="s">
        <v>7698</v>
      </c>
      <c r="E195" s="15">
        <v>2</v>
      </c>
      <c r="F195" s="15" t="s">
        <v>7701</v>
      </c>
      <c r="G195" s="15" t="s">
        <v>7702</v>
      </c>
      <c r="H195" s="15"/>
      <c r="I195" s="15" t="s">
        <v>49</v>
      </c>
      <c r="J195" s="7" t="str">
        <f>HYPERLINK("https://www.codechef.com/problems/LPRASPR02", "https://www.codechef.com/problems/LPRASPR02")</f>
        <v>https://www.codechef.com/problems/LPRASPR02</v>
      </c>
      <c r="K195" s="15"/>
      <c r="L195" s="15"/>
      <c r="M195" s="15"/>
      <c r="N195" s="15" t="s">
        <v>50</v>
      </c>
      <c r="O195" s="15" t="s">
        <v>51</v>
      </c>
    </row>
    <row r="196" spans="1:15">
      <c r="A196" s="14" t="s">
        <v>14</v>
      </c>
      <c r="B196" s="14" t="s">
        <v>7696</v>
      </c>
      <c r="C196" s="14" t="s">
        <v>7697</v>
      </c>
      <c r="D196" s="14" t="s">
        <v>7698</v>
      </c>
      <c r="E196" s="14">
        <v>3</v>
      </c>
      <c r="F196" s="14" t="s">
        <v>7703</v>
      </c>
      <c r="G196" s="14" t="s">
        <v>7704</v>
      </c>
      <c r="H196" s="14"/>
      <c r="I196" s="14" t="s">
        <v>49</v>
      </c>
      <c r="J196" s="11" t="str">
        <f>HYPERLINK("https://www.codechef.com/problems/LPRASPR03", "https://www.codechef.com/problems/LPRASPR03")</f>
        <v>https://www.codechef.com/problems/LPRASPR03</v>
      </c>
      <c r="K196" s="14"/>
      <c r="L196" s="14"/>
      <c r="M196" s="14"/>
      <c r="N196" s="14" t="s">
        <v>50</v>
      </c>
      <c r="O196" s="14" t="s">
        <v>51</v>
      </c>
    </row>
    <row r="197" spans="1:15">
      <c r="A197" s="15" t="s">
        <v>14</v>
      </c>
      <c r="B197" s="15" t="s">
        <v>7696</v>
      </c>
      <c r="C197" s="15" t="s">
        <v>7697</v>
      </c>
      <c r="D197" s="15" t="s">
        <v>7698</v>
      </c>
      <c r="E197" s="15">
        <v>4</v>
      </c>
      <c r="F197" s="15" t="s">
        <v>7705</v>
      </c>
      <c r="G197" s="15" t="s">
        <v>7706</v>
      </c>
      <c r="H197" s="15"/>
      <c r="I197" s="15" t="s">
        <v>49</v>
      </c>
      <c r="J197" s="7" t="str">
        <f>HYPERLINK("https://www.codechef.com/problems/LPRASPR04", "https://www.codechef.com/problems/LPRASPR04")</f>
        <v>https://www.codechef.com/problems/LPRASPR04</v>
      </c>
      <c r="K197" s="15"/>
      <c r="L197" s="15"/>
      <c r="M197" s="15"/>
      <c r="N197" s="15" t="s">
        <v>50</v>
      </c>
      <c r="O197" s="15" t="s">
        <v>51</v>
      </c>
    </row>
    <row r="198" spans="1:15">
      <c r="A198" s="14" t="s">
        <v>14</v>
      </c>
      <c r="B198" s="14" t="s">
        <v>7696</v>
      </c>
      <c r="C198" s="14" t="s">
        <v>7697</v>
      </c>
      <c r="D198" s="14" t="s">
        <v>7698</v>
      </c>
      <c r="E198" s="14">
        <v>5</v>
      </c>
      <c r="F198" s="14" t="s">
        <v>7703</v>
      </c>
      <c r="G198" s="14" t="s">
        <v>7707</v>
      </c>
      <c r="H198" s="14"/>
      <c r="I198" s="14" t="s">
        <v>49</v>
      </c>
      <c r="J198" s="11" t="str">
        <f>HYPERLINK("https://www.codechef.com/problems/LPRASPR05", "https://www.codechef.com/problems/LPRASPR05")</f>
        <v>https://www.codechef.com/problems/LPRASPR05</v>
      </c>
      <c r="K198" s="14"/>
      <c r="L198" s="14"/>
      <c r="M198" s="14"/>
      <c r="N198" s="14" t="s">
        <v>50</v>
      </c>
      <c r="O198" s="14" t="s">
        <v>51</v>
      </c>
    </row>
    <row r="199" spans="1:15">
      <c r="A199" s="15" t="s">
        <v>14</v>
      </c>
      <c r="B199" s="15" t="s">
        <v>7696</v>
      </c>
      <c r="C199" s="15" t="s">
        <v>7697</v>
      </c>
      <c r="D199" s="15" t="s">
        <v>7698</v>
      </c>
      <c r="E199" s="15">
        <v>6</v>
      </c>
      <c r="F199" s="15" t="s">
        <v>7708</v>
      </c>
      <c r="G199" s="15" t="s">
        <v>7709</v>
      </c>
      <c r="H199" s="15"/>
      <c r="I199" s="15" t="s">
        <v>49</v>
      </c>
      <c r="J199" s="7" t="str">
        <f>HYPERLINK("https://www.codechef.com/problems/LPRASPR06", "https://www.codechef.com/problems/LPRASPR06")</f>
        <v>https://www.codechef.com/problems/LPRASPR06</v>
      </c>
      <c r="K199" s="15"/>
      <c r="L199" s="15"/>
      <c r="M199" s="15"/>
      <c r="N199" s="15" t="s">
        <v>50</v>
      </c>
      <c r="O199" s="15" t="s">
        <v>51</v>
      </c>
    </row>
    <row r="200" spans="1:15">
      <c r="A200" s="14" t="s">
        <v>14</v>
      </c>
      <c r="B200" s="14" t="s">
        <v>7696</v>
      </c>
      <c r="C200" s="14" t="s">
        <v>7697</v>
      </c>
      <c r="D200" s="14" t="s">
        <v>7698</v>
      </c>
      <c r="E200" s="14">
        <v>7</v>
      </c>
      <c r="F200" s="14" t="s">
        <v>7710</v>
      </c>
      <c r="G200" s="14" t="s">
        <v>7711</v>
      </c>
      <c r="H200" s="14"/>
      <c r="I200" s="14" t="s">
        <v>49</v>
      </c>
      <c r="J200" s="11" t="str">
        <f>HYPERLINK("https://www.codechef.com/problems/LPRASPR07", "https://www.codechef.com/problems/LPRASPR07")</f>
        <v>https://www.codechef.com/problems/LPRASPR07</v>
      </c>
      <c r="K200" s="14"/>
      <c r="L200" s="14"/>
      <c r="M200" s="14"/>
      <c r="N200" s="14" t="s">
        <v>50</v>
      </c>
      <c r="O200" s="14" t="s">
        <v>51</v>
      </c>
    </row>
    <row r="201" spans="1:15">
      <c r="A201" s="15" t="s">
        <v>14</v>
      </c>
      <c r="B201" s="15" t="s">
        <v>7696</v>
      </c>
      <c r="C201" s="15" t="s">
        <v>7697</v>
      </c>
      <c r="D201" s="15" t="s">
        <v>7698</v>
      </c>
      <c r="E201" s="15">
        <v>8</v>
      </c>
      <c r="F201" s="15" t="s">
        <v>7712</v>
      </c>
      <c r="G201" s="15" t="s">
        <v>7713</v>
      </c>
      <c r="H201" s="15"/>
      <c r="I201" s="15" t="s">
        <v>49</v>
      </c>
      <c r="J201" s="7" t="str">
        <f>HYPERLINK("https://www.codechef.com/problems/LPRASPR08", "https://www.codechef.com/problems/LPRASPR08")</f>
        <v>https://www.codechef.com/problems/LPRASPR08</v>
      </c>
      <c r="K201" s="15"/>
      <c r="L201" s="15"/>
      <c r="M201" s="15"/>
      <c r="N201" s="15" t="s">
        <v>50</v>
      </c>
      <c r="O201" s="15" t="s">
        <v>51</v>
      </c>
    </row>
    <row r="202" spans="1:15">
      <c r="A202" s="14" t="s">
        <v>14</v>
      </c>
      <c r="B202" s="14" t="s">
        <v>7696</v>
      </c>
      <c r="C202" s="14" t="s">
        <v>7697</v>
      </c>
      <c r="D202" s="14" t="s">
        <v>7698</v>
      </c>
      <c r="E202" s="14">
        <v>9</v>
      </c>
      <c r="F202" s="14" t="s">
        <v>7714</v>
      </c>
      <c r="G202" s="14" t="s">
        <v>7715</v>
      </c>
      <c r="H202" s="14"/>
      <c r="I202" s="14" t="s">
        <v>49</v>
      </c>
      <c r="J202" s="11" t="str">
        <f>HYPERLINK("https://www.codechef.com/problems/LPRASPR09", "https://www.codechef.com/problems/LPRASPR09")</f>
        <v>https://www.codechef.com/problems/LPRASPR09</v>
      </c>
      <c r="K202" s="14"/>
      <c r="L202" s="14"/>
      <c r="M202" s="14"/>
      <c r="N202" s="14" t="s">
        <v>50</v>
      </c>
      <c r="O202" s="14" t="s">
        <v>51</v>
      </c>
    </row>
    <row r="203" spans="1:15">
      <c r="A203" s="15" t="s">
        <v>14</v>
      </c>
      <c r="B203" s="15" t="s">
        <v>7696</v>
      </c>
      <c r="C203" s="15" t="s">
        <v>7697</v>
      </c>
      <c r="D203" s="15" t="s">
        <v>7698</v>
      </c>
      <c r="E203" s="15">
        <v>10</v>
      </c>
      <c r="F203" s="15" t="s">
        <v>7716</v>
      </c>
      <c r="G203" s="15" t="s">
        <v>7717</v>
      </c>
      <c r="H203" s="15"/>
      <c r="I203" s="15" t="s">
        <v>49</v>
      </c>
      <c r="J203" s="7" t="str">
        <f>HYPERLINK("https://www.codechef.com/problems/LPRASPR10", "https://www.codechef.com/problems/LPRASPR10")</f>
        <v>https://www.codechef.com/problems/LPRASPR10</v>
      </c>
      <c r="K203" s="15"/>
      <c r="L203" s="15"/>
      <c r="M203" s="15"/>
      <c r="N203" s="15" t="s">
        <v>50</v>
      </c>
      <c r="O203" s="15" t="s">
        <v>51</v>
      </c>
    </row>
    <row r="204" spans="1:15">
      <c r="A204" s="14" t="s">
        <v>14</v>
      </c>
      <c r="B204" s="14" t="s">
        <v>7696</v>
      </c>
      <c r="C204" s="14" t="s">
        <v>7697</v>
      </c>
      <c r="D204" s="14" t="s">
        <v>7718</v>
      </c>
      <c r="E204" s="14">
        <v>11</v>
      </c>
      <c r="F204" s="14" t="s">
        <v>7699</v>
      </c>
      <c r="G204" s="14" t="s">
        <v>7719</v>
      </c>
      <c r="H204" s="14"/>
      <c r="I204" s="14" t="s">
        <v>49</v>
      </c>
      <c r="J204" s="11" t="str">
        <f>HYPERLINK("https://www.codechef.com/problems/LPRASPR11", "https://www.codechef.com/problems/LPRASPR11")</f>
        <v>https://www.codechef.com/problems/LPRASPR11</v>
      </c>
      <c r="K204" s="14"/>
      <c r="L204" s="14"/>
      <c r="M204" s="14"/>
      <c r="N204" s="14" t="s">
        <v>50</v>
      </c>
      <c r="O204" s="14" t="s">
        <v>51</v>
      </c>
    </row>
    <row r="205" spans="1:15">
      <c r="A205" s="15" t="s">
        <v>14</v>
      </c>
      <c r="B205" s="15" t="s">
        <v>7696</v>
      </c>
      <c r="C205" s="15" t="s">
        <v>7697</v>
      </c>
      <c r="D205" s="15" t="s">
        <v>7718</v>
      </c>
      <c r="E205" s="15">
        <v>12</v>
      </c>
      <c r="F205" s="15" t="s">
        <v>7720</v>
      </c>
      <c r="G205" s="15" t="s">
        <v>7721</v>
      </c>
      <c r="H205" s="15"/>
      <c r="I205" s="15" t="s">
        <v>49</v>
      </c>
      <c r="J205" s="7" t="str">
        <f>HYPERLINK("https://www.codechef.com/problems/LPRASPR12", "https://www.codechef.com/problems/LPRASPR12")</f>
        <v>https://www.codechef.com/problems/LPRASPR12</v>
      </c>
      <c r="K205" s="15"/>
      <c r="L205" s="15"/>
      <c r="M205" s="15"/>
      <c r="N205" s="15" t="s">
        <v>50</v>
      </c>
      <c r="O205" s="15" t="s">
        <v>51</v>
      </c>
    </row>
    <row r="206" spans="1:15">
      <c r="A206" s="14" t="s">
        <v>14</v>
      </c>
      <c r="B206" s="14" t="s">
        <v>7696</v>
      </c>
      <c r="C206" s="14" t="s">
        <v>7697</v>
      </c>
      <c r="D206" s="14" t="s">
        <v>7718</v>
      </c>
      <c r="E206" s="14">
        <v>13</v>
      </c>
      <c r="F206" s="14" t="s">
        <v>7699</v>
      </c>
      <c r="G206" s="14" t="s">
        <v>7722</v>
      </c>
      <c r="H206" s="14"/>
      <c r="I206" s="14" t="s">
        <v>49</v>
      </c>
      <c r="J206" s="11" t="str">
        <f>HYPERLINK("https://www.codechef.com/problems/LPRASPR13", "https://www.codechef.com/problems/LPRASPR13")</f>
        <v>https://www.codechef.com/problems/LPRASPR13</v>
      </c>
      <c r="K206" s="14"/>
      <c r="L206" s="14"/>
      <c r="M206" s="14"/>
      <c r="N206" s="14" t="s">
        <v>50</v>
      </c>
      <c r="O206" s="14" t="s">
        <v>51</v>
      </c>
    </row>
    <row r="207" spans="1:15">
      <c r="A207" s="15" t="s">
        <v>14</v>
      </c>
      <c r="B207" s="15" t="s">
        <v>7696</v>
      </c>
      <c r="C207" s="15" t="s">
        <v>7697</v>
      </c>
      <c r="D207" s="15" t="s">
        <v>7718</v>
      </c>
      <c r="E207" s="15">
        <v>14</v>
      </c>
      <c r="F207" s="15" t="s">
        <v>7723</v>
      </c>
      <c r="G207" s="15" t="s">
        <v>7724</v>
      </c>
      <c r="H207" s="15"/>
      <c r="I207" s="15" t="s">
        <v>49</v>
      </c>
      <c r="J207" s="7" t="str">
        <f>HYPERLINK("https://www.codechef.com/problems/LPRASPR14", "https://www.codechef.com/problems/LPRASPR14")</f>
        <v>https://www.codechef.com/problems/LPRASPR14</v>
      </c>
      <c r="K207" s="15"/>
      <c r="L207" s="15"/>
      <c r="M207" s="15"/>
      <c r="N207" s="15" t="s">
        <v>50</v>
      </c>
      <c r="O207" s="15" t="s">
        <v>51</v>
      </c>
    </row>
    <row r="208" spans="1:15">
      <c r="A208" s="14" t="s">
        <v>14</v>
      </c>
      <c r="B208" s="14" t="s">
        <v>7696</v>
      </c>
      <c r="C208" s="14" t="s">
        <v>7697</v>
      </c>
      <c r="D208" s="14" t="s">
        <v>7718</v>
      </c>
      <c r="E208" s="14">
        <v>15</v>
      </c>
      <c r="F208" s="14" t="s">
        <v>7725</v>
      </c>
      <c r="G208" s="14" t="s">
        <v>7726</v>
      </c>
      <c r="H208" s="14"/>
      <c r="I208" s="14" t="s">
        <v>49</v>
      </c>
      <c r="J208" s="11" t="str">
        <f>HYPERLINK("https://www.codechef.com/problems/LPRASPR15", "https://www.codechef.com/problems/LPRASPR15")</f>
        <v>https://www.codechef.com/problems/LPRASPR15</v>
      </c>
      <c r="K208" s="14"/>
      <c r="L208" s="14"/>
      <c r="M208" s="14"/>
      <c r="N208" s="14" t="s">
        <v>50</v>
      </c>
      <c r="O208" s="14" t="s">
        <v>51</v>
      </c>
    </row>
    <row r="209" spans="1:15">
      <c r="A209" s="15" t="s">
        <v>14</v>
      </c>
      <c r="B209" s="15" t="s">
        <v>7696</v>
      </c>
      <c r="C209" s="15" t="s">
        <v>7697</v>
      </c>
      <c r="D209" s="15" t="s">
        <v>7718</v>
      </c>
      <c r="E209" s="15">
        <v>16</v>
      </c>
      <c r="F209" s="15" t="s">
        <v>7699</v>
      </c>
      <c r="G209" s="15" t="s">
        <v>7727</v>
      </c>
      <c r="H209" s="15"/>
      <c r="I209" s="15" t="s">
        <v>49</v>
      </c>
      <c r="J209" s="7" t="str">
        <f>HYPERLINK("https://www.codechef.com/problems/LPRASPR16", "https://www.codechef.com/problems/LPRASPR16")</f>
        <v>https://www.codechef.com/problems/LPRASPR16</v>
      </c>
      <c r="K209" s="15"/>
      <c r="L209" s="15"/>
      <c r="M209" s="15"/>
      <c r="N209" s="15" t="s">
        <v>50</v>
      </c>
      <c r="O209" s="15" t="s">
        <v>51</v>
      </c>
    </row>
    <row r="210" spans="1:15">
      <c r="A210" s="14" t="s">
        <v>14</v>
      </c>
      <c r="B210" s="14" t="s">
        <v>7696</v>
      </c>
      <c r="C210" s="14" t="s">
        <v>7697</v>
      </c>
      <c r="D210" s="14" t="s">
        <v>7718</v>
      </c>
      <c r="E210" s="14">
        <v>17</v>
      </c>
      <c r="F210" s="14" t="s">
        <v>7699</v>
      </c>
      <c r="G210" s="14" t="s">
        <v>7728</v>
      </c>
      <c r="H210" s="14"/>
      <c r="I210" s="14" t="s">
        <v>49</v>
      </c>
      <c r="J210" s="11" t="str">
        <f>HYPERLINK("https://www.codechef.com/problems/LPRASPR17", "https://www.codechef.com/problems/LPRASPR17")</f>
        <v>https://www.codechef.com/problems/LPRASPR17</v>
      </c>
      <c r="K210" s="14"/>
      <c r="L210" s="14"/>
      <c r="M210" s="14"/>
      <c r="N210" s="14" t="s">
        <v>50</v>
      </c>
      <c r="O210" s="14" t="s">
        <v>51</v>
      </c>
    </row>
    <row r="211" spans="1:15">
      <c r="A211" s="15" t="s">
        <v>14</v>
      </c>
      <c r="B211" s="15" t="s">
        <v>7696</v>
      </c>
      <c r="C211" s="15" t="s">
        <v>7697</v>
      </c>
      <c r="D211" s="15" t="s">
        <v>7718</v>
      </c>
      <c r="E211" s="15">
        <v>18</v>
      </c>
      <c r="F211" s="15" t="s">
        <v>7729</v>
      </c>
      <c r="G211" s="15" t="s">
        <v>7730</v>
      </c>
      <c r="H211" s="15"/>
      <c r="I211" s="15" t="s">
        <v>49</v>
      </c>
      <c r="J211" s="7" t="str">
        <f>HYPERLINK("https://www.codechef.com/problems/LPRASPR18", "https://www.codechef.com/problems/LPRASPR18")</f>
        <v>https://www.codechef.com/problems/LPRASPR18</v>
      </c>
      <c r="K211" s="15"/>
      <c r="L211" s="15"/>
      <c r="M211" s="15"/>
      <c r="N211" s="15" t="s">
        <v>50</v>
      </c>
      <c r="O211" s="15" t="s">
        <v>51</v>
      </c>
    </row>
    <row r="212" spans="1:15">
      <c r="A212" s="14" t="s">
        <v>14</v>
      </c>
      <c r="B212" s="14" t="s">
        <v>7696</v>
      </c>
      <c r="C212" s="14" t="s">
        <v>7697</v>
      </c>
      <c r="D212" s="14" t="s">
        <v>7718</v>
      </c>
      <c r="E212" s="14">
        <v>19</v>
      </c>
      <c r="F212" s="14" t="s">
        <v>7699</v>
      </c>
      <c r="G212" s="14" t="s">
        <v>7731</v>
      </c>
      <c r="H212" s="14"/>
      <c r="I212" s="14" t="s">
        <v>49</v>
      </c>
      <c r="J212" s="11" t="str">
        <f>HYPERLINK("https://www.codechef.com/problems/LPRASPR19", "https://www.codechef.com/problems/LPRASPR19")</f>
        <v>https://www.codechef.com/problems/LPRASPR19</v>
      </c>
      <c r="K212" s="14"/>
      <c r="L212" s="14"/>
      <c r="M212" s="14"/>
      <c r="N212" s="14" t="s">
        <v>50</v>
      </c>
      <c r="O212" s="14" t="s">
        <v>51</v>
      </c>
    </row>
    <row r="213" spans="1:15">
      <c r="A213" s="15" t="s">
        <v>14</v>
      </c>
      <c r="B213" s="15" t="s">
        <v>7696</v>
      </c>
      <c r="C213" s="15" t="s">
        <v>7697</v>
      </c>
      <c r="D213" s="15" t="s">
        <v>7718</v>
      </c>
      <c r="E213" s="15">
        <v>20</v>
      </c>
      <c r="F213" s="15" t="s">
        <v>7732</v>
      </c>
      <c r="G213" s="15" t="s">
        <v>7733</v>
      </c>
      <c r="H213" s="15"/>
      <c r="I213" s="15" t="s">
        <v>49</v>
      </c>
      <c r="J213" s="7" t="str">
        <f>HYPERLINK("https://www.codechef.com/problems/LPRASPR20", "https://www.codechef.com/problems/LPRASPR20")</f>
        <v>https://www.codechef.com/problems/LPRASPR20</v>
      </c>
      <c r="K213" s="15"/>
      <c r="L213" s="15"/>
      <c r="M213" s="15"/>
      <c r="N213" s="15" t="s">
        <v>50</v>
      </c>
      <c r="O213" s="15" t="s">
        <v>51</v>
      </c>
    </row>
    <row r="214" spans="1:15">
      <c r="A214" s="14" t="s">
        <v>14</v>
      </c>
      <c r="B214" s="14" t="s">
        <v>7696</v>
      </c>
      <c r="C214" s="14" t="s">
        <v>7697</v>
      </c>
      <c r="D214" s="14" t="s">
        <v>7718</v>
      </c>
      <c r="E214" s="14">
        <v>21</v>
      </c>
      <c r="F214" s="14" t="s">
        <v>7734</v>
      </c>
      <c r="G214" s="14" t="s">
        <v>7735</v>
      </c>
      <c r="H214" s="14"/>
      <c r="I214" s="14" t="s">
        <v>49</v>
      </c>
      <c r="J214" s="11" t="str">
        <f>HYPERLINK("https://www.codechef.com/problems/LPRASPR21", "https://www.codechef.com/problems/LPRASPR21")</f>
        <v>https://www.codechef.com/problems/LPRASPR21</v>
      </c>
      <c r="K214" s="14"/>
      <c r="L214" s="14"/>
      <c r="M214" s="14"/>
      <c r="N214" s="14" t="s">
        <v>50</v>
      </c>
      <c r="O214" s="14" t="s">
        <v>51</v>
      </c>
    </row>
    <row r="215" spans="1:15">
      <c r="A215" s="15" t="s">
        <v>14</v>
      </c>
      <c r="B215" s="15" t="s">
        <v>7696</v>
      </c>
      <c r="C215" s="15" t="s">
        <v>7697</v>
      </c>
      <c r="D215" s="15" t="s">
        <v>7736</v>
      </c>
      <c r="E215" s="15">
        <v>22</v>
      </c>
      <c r="F215" s="15" t="s">
        <v>7699</v>
      </c>
      <c r="G215" s="15" t="s">
        <v>7737</v>
      </c>
      <c r="H215" s="15"/>
      <c r="I215" s="15" t="s">
        <v>49</v>
      </c>
      <c r="J215" s="7" t="str">
        <f>HYPERLINK("https://www.codechef.com/problems/LPRASPR22", "https://www.codechef.com/problems/LPRASPR22")</f>
        <v>https://www.codechef.com/problems/LPRASPR22</v>
      </c>
      <c r="K215" s="15"/>
      <c r="L215" s="15"/>
      <c r="M215" s="15"/>
      <c r="N215" s="15" t="s">
        <v>50</v>
      </c>
      <c r="O215" s="15" t="s">
        <v>51</v>
      </c>
    </row>
    <row r="216" spans="1:15">
      <c r="A216" s="14" t="s">
        <v>14</v>
      </c>
      <c r="B216" s="14" t="s">
        <v>7696</v>
      </c>
      <c r="C216" s="14" t="s">
        <v>7697</v>
      </c>
      <c r="D216" s="14" t="s">
        <v>7736</v>
      </c>
      <c r="E216" s="14">
        <v>23</v>
      </c>
      <c r="F216" s="14" t="s">
        <v>7738</v>
      </c>
      <c r="G216" s="14" t="s">
        <v>7739</v>
      </c>
      <c r="H216" s="14"/>
      <c r="I216" s="14" t="s">
        <v>49</v>
      </c>
      <c r="J216" s="11" t="str">
        <f>HYPERLINK("https://www.codechef.com/problems/LPRASPR23", "https://www.codechef.com/problems/LPRASPR23")</f>
        <v>https://www.codechef.com/problems/LPRASPR23</v>
      </c>
      <c r="K216" s="14"/>
      <c r="L216" s="14"/>
      <c r="M216" s="14"/>
      <c r="N216" s="14" t="s">
        <v>50</v>
      </c>
      <c r="O216" s="14" t="s">
        <v>51</v>
      </c>
    </row>
    <row r="217" spans="1:15">
      <c r="A217" s="15" t="s">
        <v>14</v>
      </c>
      <c r="B217" s="15" t="s">
        <v>7696</v>
      </c>
      <c r="C217" s="15" t="s">
        <v>7697</v>
      </c>
      <c r="D217" s="15" t="s">
        <v>7736</v>
      </c>
      <c r="E217" s="15">
        <v>24</v>
      </c>
      <c r="F217" s="15" t="s">
        <v>7699</v>
      </c>
      <c r="G217" s="15" t="s">
        <v>7740</v>
      </c>
      <c r="H217" s="15"/>
      <c r="I217" s="15" t="s">
        <v>49</v>
      </c>
      <c r="J217" s="7" t="str">
        <f>HYPERLINK("https://www.codechef.com/problems/LPRASPR24", "https://www.codechef.com/problems/LPRASPR24")</f>
        <v>https://www.codechef.com/problems/LPRASPR24</v>
      </c>
      <c r="K217" s="15"/>
      <c r="L217" s="15"/>
      <c r="M217" s="15"/>
      <c r="N217" s="15" t="s">
        <v>50</v>
      </c>
      <c r="O217" s="15" t="s">
        <v>51</v>
      </c>
    </row>
    <row r="218" spans="1:15">
      <c r="A218" s="14" t="s">
        <v>14</v>
      </c>
      <c r="B218" s="14" t="s">
        <v>7696</v>
      </c>
      <c r="C218" s="14" t="s">
        <v>7697</v>
      </c>
      <c r="D218" s="14" t="s">
        <v>7736</v>
      </c>
      <c r="E218" s="14">
        <v>25</v>
      </c>
      <c r="F218" s="14" t="s">
        <v>7741</v>
      </c>
      <c r="G218" s="14" t="s">
        <v>7742</v>
      </c>
      <c r="H218" s="14"/>
      <c r="I218" s="14" t="s">
        <v>49</v>
      </c>
      <c r="J218" s="11" t="str">
        <f>HYPERLINK("https://www.codechef.com/problems/LPRASPR25", "https://www.codechef.com/problems/LPRASPR25")</f>
        <v>https://www.codechef.com/problems/LPRASPR25</v>
      </c>
      <c r="K218" s="14"/>
      <c r="L218" s="14"/>
      <c r="M218" s="14"/>
      <c r="N218" s="14" t="s">
        <v>50</v>
      </c>
      <c r="O218" s="14" t="s">
        <v>51</v>
      </c>
    </row>
    <row r="219" spans="1:15">
      <c r="A219" s="15" t="s">
        <v>14</v>
      </c>
      <c r="B219" s="15" t="s">
        <v>7696</v>
      </c>
      <c r="C219" s="15" t="s">
        <v>7697</v>
      </c>
      <c r="D219" s="15" t="s">
        <v>7736</v>
      </c>
      <c r="E219" s="15">
        <v>26</v>
      </c>
      <c r="F219" s="15" t="s">
        <v>7699</v>
      </c>
      <c r="G219" s="15" t="s">
        <v>7743</v>
      </c>
      <c r="H219" s="15"/>
      <c r="I219" s="15" t="s">
        <v>49</v>
      </c>
      <c r="J219" s="7" t="str">
        <f>HYPERLINK("https://www.codechef.com/problems/LPRASPR26", "https://www.codechef.com/problems/LPRASPR26")</f>
        <v>https://www.codechef.com/problems/LPRASPR26</v>
      </c>
      <c r="K219" s="15"/>
      <c r="L219" s="15"/>
      <c r="M219" s="15"/>
      <c r="N219" s="15" t="s">
        <v>50</v>
      </c>
      <c r="O219" s="15" t="s">
        <v>51</v>
      </c>
    </row>
    <row r="220" spans="1:15">
      <c r="A220" s="14" t="s">
        <v>14</v>
      </c>
      <c r="B220" s="14" t="s">
        <v>7696</v>
      </c>
      <c r="C220" s="14" t="s">
        <v>7697</v>
      </c>
      <c r="D220" s="14" t="s">
        <v>7736</v>
      </c>
      <c r="E220" s="14">
        <v>27</v>
      </c>
      <c r="F220" s="14" t="s">
        <v>7744</v>
      </c>
      <c r="G220" s="14" t="s">
        <v>7745</v>
      </c>
      <c r="H220" s="14"/>
      <c r="I220" s="14" t="s">
        <v>49</v>
      </c>
      <c r="J220" s="11" t="str">
        <f>HYPERLINK("https://www.codechef.com/problems/LPRASPR27", "https://www.codechef.com/problems/LPRASPR27")</f>
        <v>https://www.codechef.com/problems/LPRASPR27</v>
      </c>
      <c r="K220" s="14"/>
      <c r="L220" s="14"/>
      <c r="M220" s="14"/>
      <c r="N220" s="14" t="s">
        <v>50</v>
      </c>
      <c r="O220" s="14" t="s">
        <v>51</v>
      </c>
    </row>
    <row r="221" spans="1:15">
      <c r="A221" s="15" t="s">
        <v>14</v>
      </c>
      <c r="B221" s="15" t="s">
        <v>7696</v>
      </c>
      <c r="C221" s="15" t="s">
        <v>7697</v>
      </c>
      <c r="D221" s="15" t="s">
        <v>7736</v>
      </c>
      <c r="E221" s="15">
        <v>28</v>
      </c>
      <c r="F221" s="15" t="s">
        <v>7699</v>
      </c>
      <c r="G221" s="15" t="s">
        <v>7746</v>
      </c>
      <c r="H221" s="15"/>
      <c r="I221" s="15" t="s">
        <v>49</v>
      </c>
      <c r="J221" s="7" t="str">
        <f>HYPERLINK("https://www.codechef.com/problems/LPRASPR28", "https://www.codechef.com/problems/LPRASPR28")</f>
        <v>https://www.codechef.com/problems/LPRASPR28</v>
      </c>
      <c r="K221" s="15"/>
      <c r="L221" s="15"/>
      <c r="M221" s="15"/>
      <c r="N221" s="15" t="s">
        <v>50</v>
      </c>
      <c r="O221" s="15" t="s">
        <v>51</v>
      </c>
    </row>
    <row r="222" spans="1:15">
      <c r="A222" s="14" t="s">
        <v>14</v>
      </c>
      <c r="B222" s="14" t="s">
        <v>7696</v>
      </c>
      <c r="C222" s="14" t="s">
        <v>7697</v>
      </c>
      <c r="D222" s="14" t="s">
        <v>7736</v>
      </c>
      <c r="E222" s="14">
        <v>29</v>
      </c>
      <c r="F222" s="14" t="s">
        <v>7747</v>
      </c>
      <c r="G222" s="14" t="s">
        <v>7748</v>
      </c>
      <c r="H222" s="14"/>
      <c r="I222" s="14" t="s">
        <v>49</v>
      </c>
      <c r="J222" s="11" t="str">
        <f>HYPERLINK("https://www.codechef.com/problems/LPRASPR29", "https://www.codechef.com/problems/LPRASPR29")</f>
        <v>https://www.codechef.com/problems/LPRASPR29</v>
      </c>
      <c r="K222" s="14"/>
      <c r="L222" s="14"/>
      <c r="M222" s="14"/>
      <c r="N222" s="14" t="s">
        <v>50</v>
      </c>
      <c r="O222" s="14" t="s">
        <v>51</v>
      </c>
    </row>
    <row r="223" spans="1:15">
      <c r="A223" s="15" t="s">
        <v>14</v>
      </c>
      <c r="B223" s="15" t="s">
        <v>7696</v>
      </c>
      <c r="C223" s="15" t="s">
        <v>7697</v>
      </c>
      <c r="D223" s="15" t="s">
        <v>7736</v>
      </c>
      <c r="E223" s="15">
        <v>30</v>
      </c>
      <c r="F223" s="15" t="s">
        <v>7749</v>
      </c>
      <c r="G223" s="15" t="s">
        <v>7750</v>
      </c>
      <c r="H223" s="15"/>
      <c r="I223" s="15" t="s">
        <v>49</v>
      </c>
      <c r="J223" s="7" t="str">
        <f>HYPERLINK("https://www.codechef.com/problems/LPRASPR30", "https://www.codechef.com/problems/LPRASPR30")</f>
        <v>https://www.codechef.com/problems/LPRASPR30</v>
      </c>
      <c r="K223" s="15"/>
      <c r="L223" s="15"/>
      <c r="M223" s="15"/>
      <c r="N223" s="15" t="s">
        <v>50</v>
      </c>
      <c r="O223" s="15" t="s">
        <v>51</v>
      </c>
    </row>
    <row r="224" spans="1:15">
      <c r="A224" s="14" t="s">
        <v>14</v>
      </c>
      <c r="B224" s="14" t="s">
        <v>7696</v>
      </c>
      <c r="C224" s="14" t="s">
        <v>7697</v>
      </c>
      <c r="D224" s="14" t="s">
        <v>7736</v>
      </c>
      <c r="E224" s="14">
        <v>31</v>
      </c>
      <c r="F224" s="14" t="s">
        <v>7751</v>
      </c>
      <c r="G224" s="14" t="s">
        <v>7752</v>
      </c>
      <c r="H224" s="14"/>
      <c r="I224" s="14" t="s">
        <v>49</v>
      </c>
      <c r="J224" s="11" t="str">
        <f>HYPERLINK("https://www.codechef.com/problems/LPRASPR31", "https://www.codechef.com/problems/LPRASPR31")</f>
        <v>https://www.codechef.com/problems/LPRASPR31</v>
      </c>
      <c r="K224" s="14"/>
      <c r="L224" s="14"/>
      <c r="M224" s="14"/>
      <c r="N224" s="14" t="s">
        <v>50</v>
      </c>
      <c r="O224" s="14" t="s">
        <v>51</v>
      </c>
    </row>
    <row r="225" spans="1:15">
      <c r="A225" s="15" t="s">
        <v>14</v>
      </c>
      <c r="B225" s="15" t="s">
        <v>7696</v>
      </c>
      <c r="C225" s="15" t="s">
        <v>7697</v>
      </c>
      <c r="D225" s="15" t="s">
        <v>7736</v>
      </c>
      <c r="E225" s="15">
        <v>32</v>
      </c>
      <c r="F225" s="15" t="s">
        <v>7753</v>
      </c>
      <c r="G225" s="15" t="s">
        <v>7754</v>
      </c>
      <c r="H225" s="15"/>
      <c r="I225" s="15" t="s">
        <v>49</v>
      </c>
      <c r="J225" s="7" t="str">
        <f>HYPERLINK("https://www.codechef.com/problems/LPRASPR32", "https://www.codechef.com/problems/LPRASPR32")</f>
        <v>https://www.codechef.com/problems/LPRASPR32</v>
      </c>
      <c r="K225" s="15"/>
      <c r="L225" s="15"/>
      <c r="M225" s="15"/>
      <c r="N225" s="15" t="s">
        <v>50</v>
      </c>
      <c r="O225" s="15" t="s">
        <v>51</v>
      </c>
    </row>
    <row r="226" spans="1:15">
      <c r="A226" s="14" t="s">
        <v>14</v>
      </c>
      <c r="B226" s="14" t="s">
        <v>7696</v>
      </c>
      <c r="C226" s="14" t="s">
        <v>7697</v>
      </c>
      <c r="D226" s="14" t="s">
        <v>7736</v>
      </c>
      <c r="E226" s="14">
        <v>33</v>
      </c>
      <c r="F226" s="14" t="s">
        <v>7755</v>
      </c>
      <c r="G226" s="14" t="s">
        <v>7756</v>
      </c>
      <c r="H226" s="14"/>
      <c r="I226" s="14" t="s">
        <v>49</v>
      </c>
      <c r="J226" s="11" t="str">
        <f>HYPERLINK("https://www.codechef.com/problems/LPRASPR33", "https://www.codechef.com/problems/LPRASPR33")</f>
        <v>https://www.codechef.com/problems/LPRASPR33</v>
      </c>
      <c r="K226" s="14"/>
      <c r="L226" s="14"/>
      <c r="M226" s="14"/>
      <c r="N226" s="14" t="s">
        <v>50</v>
      </c>
      <c r="O226" s="14" t="s">
        <v>51</v>
      </c>
    </row>
    <row r="227" spans="1:15">
      <c r="A227" s="15" t="s">
        <v>14</v>
      </c>
      <c r="B227" s="15" t="s">
        <v>7696</v>
      </c>
      <c r="C227" s="15" t="s">
        <v>7697</v>
      </c>
      <c r="D227" s="15" t="s">
        <v>6134</v>
      </c>
      <c r="E227" s="15">
        <v>34</v>
      </c>
      <c r="F227" s="15" t="s">
        <v>7757</v>
      </c>
      <c r="G227" s="15" t="s">
        <v>7758</v>
      </c>
      <c r="H227" s="15"/>
      <c r="I227" s="15" t="s">
        <v>49</v>
      </c>
      <c r="J227" s="7" t="str">
        <f>HYPERLINK("https://www.codechef.com/problems/LPRASPR34", "https://www.codechef.com/problems/LPRASPR34")</f>
        <v>https://www.codechef.com/problems/LPRASPR34</v>
      </c>
      <c r="K227" s="15"/>
      <c r="L227" s="15"/>
      <c r="M227" s="15"/>
      <c r="N227" s="15" t="s">
        <v>50</v>
      </c>
      <c r="O227" s="15" t="s">
        <v>51</v>
      </c>
    </row>
    <row r="228" spans="1:15">
      <c r="A228" s="14" t="s">
        <v>14</v>
      </c>
      <c r="B228" s="14" t="s">
        <v>7696</v>
      </c>
      <c r="C228" s="14" t="s">
        <v>7697</v>
      </c>
      <c r="D228" s="14" t="s">
        <v>6134</v>
      </c>
      <c r="E228" s="14">
        <v>35</v>
      </c>
      <c r="F228" s="14" t="s">
        <v>7759</v>
      </c>
      <c r="G228" s="14" t="s">
        <v>7760</v>
      </c>
      <c r="H228" s="14"/>
      <c r="I228" s="14" t="s">
        <v>49</v>
      </c>
      <c r="J228" s="11" t="str">
        <f>HYPERLINK("https://www.codechef.com/problems/LPRASPR35", "https://www.codechef.com/problems/LPRASPR35")</f>
        <v>https://www.codechef.com/problems/LPRASPR35</v>
      </c>
      <c r="K228" s="14"/>
      <c r="L228" s="14"/>
      <c r="M228" s="14"/>
      <c r="N228" s="14" t="s">
        <v>50</v>
      </c>
      <c r="O228" s="14" t="s">
        <v>51</v>
      </c>
    </row>
    <row r="229" spans="1:15">
      <c r="A229" s="15" t="s">
        <v>14</v>
      </c>
      <c r="B229" s="15" t="s">
        <v>7696</v>
      </c>
      <c r="C229" s="15" t="s">
        <v>7697</v>
      </c>
      <c r="D229" s="15" t="s">
        <v>6134</v>
      </c>
      <c r="E229" s="15">
        <v>36</v>
      </c>
      <c r="F229" s="15" t="s">
        <v>7761</v>
      </c>
      <c r="G229" s="15" t="s">
        <v>7762</v>
      </c>
      <c r="H229" s="15"/>
      <c r="I229" s="15" t="s">
        <v>49</v>
      </c>
      <c r="J229" s="7" t="str">
        <f>HYPERLINK("https://www.codechef.com/problems/LPRASPR36", "https://www.codechef.com/problems/LPRASPR36")</f>
        <v>https://www.codechef.com/problems/LPRASPR36</v>
      </c>
      <c r="K229" s="15"/>
      <c r="L229" s="15"/>
      <c r="M229" s="15"/>
      <c r="N229" s="15" t="s">
        <v>50</v>
      </c>
      <c r="O229" s="15" t="s">
        <v>51</v>
      </c>
    </row>
    <row r="230" spans="1:15">
      <c r="A230" s="14" t="s">
        <v>14</v>
      </c>
      <c r="B230" s="14" t="s">
        <v>7696</v>
      </c>
      <c r="C230" s="14" t="s">
        <v>7697</v>
      </c>
      <c r="D230" s="14" t="s">
        <v>6134</v>
      </c>
      <c r="E230" s="14">
        <v>37</v>
      </c>
      <c r="F230" s="14" t="s">
        <v>7761</v>
      </c>
      <c r="G230" s="14" t="s">
        <v>7763</v>
      </c>
      <c r="H230" s="14"/>
      <c r="I230" s="14" t="s">
        <v>49</v>
      </c>
      <c r="J230" s="11" t="str">
        <f>HYPERLINK("https://www.codechef.com/problems/LPRASPR37", "https://www.codechef.com/problems/LPRASPR37")</f>
        <v>https://www.codechef.com/problems/LPRASPR37</v>
      </c>
      <c r="K230" s="14"/>
      <c r="L230" s="14"/>
      <c r="M230" s="14"/>
      <c r="N230" s="14" t="s">
        <v>50</v>
      </c>
      <c r="O230" s="14" t="s">
        <v>51</v>
      </c>
    </row>
    <row r="231" spans="1:15">
      <c r="A231" s="15" t="s">
        <v>14</v>
      </c>
      <c r="B231" s="15" t="s">
        <v>7696</v>
      </c>
      <c r="C231" s="15" t="s">
        <v>7697</v>
      </c>
      <c r="D231" s="15" t="s">
        <v>6134</v>
      </c>
      <c r="E231" s="15">
        <v>38</v>
      </c>
      <c r="F231" s="15" t="s">
        <v>7764</v>
      </c>
      <c r="G231" s="15" t="s">
        <v>7765</v>
      </c>
      <c r="H231" s="15"/>
      <c r="I231" s="15" t="s">
        <v>49</v>
      </c>
      <c r="J231" s="7" t="str">
        <f>HYPERLINK("https://www.codechef.com/problems/LPRASPR38", "https://www.codechef.com/problems/LPRASPR38")</f>
        <v>https://www.codechef.com/problems/LPRASPR38</v>
      </c>
      <c r="K231" s="15"/>
      <c r="L231" s="15"/>
      <c r="M231" s="15"/>
      <c r="N231" s="15" t="s">
        <v>50</v>
      </c>
      <c r="O231" s="15" t="s">
        <v>51</v>
      </c>
    </row>
    <row r="232" spans="1:15">
      <c r="A232" s="14" t="s">
        <v>14</v>
      </c>
      <c r="B232" s="14" t="s">
        <v>7696</v>
      </c>
      <c r="C232" s="14" t="s">
        <v>7697</v>
      </c>
      <c r="D232" s="14" t="s">
        <v>6134</v>
      </c>
      <c r="E232" s="14">
        <v>39</v>
      </c>
      <c r="F232" s="14" t="s">
        <v>7761</v>
      </c>
      <c r="G232" s="14" t="s">
        <v>7766</v>
      </c>
      <c r="H232" s="14"/>
      <c r="I232" s="14" t="s">
        <v>49</v>
      </c>
      <c r="J232" s="11" t="str">
        <f>HYPERLINK("https://www.codechef.com/problems/LPRASPR39", "https://www.codechef.com/problems/LPRASPR39")</f>
        <v>https://www.codechef.com/problems/LPRASPR39</v>
      </c>
      <c r="K232" s="14"/>
      <c r="L232" s="14"/>
      <c r="M232" s="14"/>
      <c r="N232" s="14" t="s">
        <v>50</v>
      </c>
      <c r="O232" s="14" t="s">
        <v>51</v>
      </c>
    </row>
    <row r="233" spans="1:15">
      <c r="A233" s="15" t="s">
        <v>14</v>
      </c>
      <c r="B233" s="15" t="s">
        <v>7696</v>
      </c>
      <c r="C233" s="15" t="s">
        <v>7697</v>
      </c>
      <c r="D233" s="15" t="s">
        <v>6134</v>
      </c>
      <c r="E233" s="15">
        <v>40</v>
      </c>
      <c r="F233" s="15" t="s">
        <v>7761</v>
      </c>
      <c r="G233" s="15" t="s">
        <v>7767</v>
      </c>
      <c r="H233" s="15"/>
      <c r="I233" s="15" t="s">
        <v>49</v>
      </c>
      <c r="J233" s="7" t="str">
        <f>HYPERLINK("https://www.codechef.com/problems/LPRASPR40", "https://www.codechef.com/problems/LPRASPR40")</f>
        <v>https://www.codechef.com/problems/LPRASPR40</v>
      </c>
      <c r="K233" s="15"/>
      <c r="L233" s="15"/>
      <c r="M233" s="15"/>
      <c r="N233" s="15" t="s">
        <v>50</v>
      </c>
      <c r="O233" s="15" t="s">
        <v>51</v>
      </c>
    </row>
    <row r="234" spans="1:15">
      <c r="A234" s="14" t="s">
        <v>14</v>
      </c>
      <c r="B234" s="14" t="s">
        <v>7696</v>
      </c>
      <c r="C234" s="14" t="s">
        <v>7697</v>
      </c>
      <c r="D234" s="14" t="s">
        <v>6134</v>
      </c>
      <c r="E234" s="14">
        <v>41</v>
      </c>
      <c r="F234" s="14" t="s">
        <v>7768</v>
      </c>
      <c r="G234" s="14" t="s">
        <v>7769</v>
      </c>
      <c r="H234" s="14"/>
      <c r="I234" s="14" t="s">
        <v>49</v>
      </c>
      <c r="J234" s="11" t="str">
        <f>HYPERLINK("https://www.codechef.com/problems/LPRASPR41", "https://www.codechef.com/problems/LPRASPR41")</f>
        <v>https://www.codechef.com/problems/LPRASPR41</v>
      </c>
      <c r="K234" s="14"/>
      <c r="L234" s="14"/>
      <c r="M234" s="14"/>
      <c r="N234" s="14" t="s">
        <v>50</v>
      </c>
      <c r="O234" s="14" t="s">
        <v>51</v>
      </c>
    </row>
    <row r="235" spans="1:15">
      <c r="A235" s="15" t="s">
        <v>14</v>
      </c>
      <c r="B235" s="15" t="s">
        <v>7696</v>
      </c>
      <c r="C235" s="15" t="s">
        <v>7697</v>
      </c>
      <c r="D235" s="15" t="s">
        <v>6134</v>
      </c>
      <c r="E235" s="15">
        <v>42</v>
      </c>
      <c r="F235" s="15" t="s">
        <v>7770</v>
      </c>
      <c r="G235" s="15" t="s">
        <v>7771</v>
      </c>
      <c r="H235" s="15"/>
      <c r="I235" s="15" t="s">
        <v>49</v>
      </c>
      <c r="J235" s="7" t="str">
        <f>HYPERLINK("https://www.codechef.com/problems/LPRASPR42", "https://www.codechef.com/problems/LPRASPR42")</f>
        <v>https://www.codechef.com/problems/LPRASPR42</v>
      </c>
      <c r="K235" s="15"/>
      <c r="L235" s="15"/>
      <c r="M235" s="15"/>
      <c r="N235" s="15" t="s">
        <v>50</v>
      </c>
      <c r="O235" s="15" t="s">
        <v>51</v>
      </c>
    </row>
    <row r="236" spans="1:15">
      <c r="A236" s="14" t="s">
        <v>14</v>
      </c>
      <c r="B236" s="14" t="s">
        <v>7696</v>
      </c>
      <c r="C236" s="14" t="s">
        <v>7697</v>
      </c>
      <c r="D236" s="14" t="s">
        <v>6134</v>
      </c>
      <c r="E236" s="14">
        <v>43</v>
      </c>
      <c r="F236" s="14" t="s">
        <v>7768</v>
      </c>
      <c r="G236" s="14" t="s">
        <v>7772</v>
      </c>
      <c r="H236" s="14"/>
      <c r="I236" s="14" t="s">
        <v>49</v>
      </c>
      <c r="J236" s="11" t="str">
        <f>HYPERLINK("https://www.codechef.com/problems/LPRASPR43", "https://www.codechef.com/problems/LPRASPR43")</f>
        <v>https://www.codechef.com/problems/LPRASPR43</v>
      </c>
      <c r="K236" s="14"/>
      <c r="L236" s="14"/>
      <c r="M236" s="14"/>
      <c r="N236" s="14" t="s">
        <v>50</v>
      </c>
      <c r="O236" s="14" t="s">
        <v>51</v>
      </c>
    </row>
    <row r="237" spans="1:15">
      <c r="A237" s="15" t="s">
        <v>14</v>
      </c>
      <c r="B237" s="15" t="s">
        <v>7696</v>
      </c>
      <c r="C237" s="15" t="s">
        <v>7697</v>
      </c>
      <c r="D237" s="15" t="s">
        <v>6134</v>
      </c>
      <c r="E237" s="15">
        <v>44</v>
      </c>
      <c r="F237" s="15" t="s">
        <v>7773</v>
      </c>
      <c r="G237" s="15" t="s">
        <v>7774</v>
      </c>
      <c r="H237" s="15"/>
      <c r="I237" s="15" t="s">
        <v>49</v>
      </c>
      <c r="J237" s="7" t="str">
        <f>HYPERLINK("https://www.codechef.com/problems/LPRASPR44", "https://www.codechef.com/problems/LPRASPR44")</f>
        <v>https://www.codechef.com/problems/LPRASPR44</v>
      </c>
      <c r="K237" s="15"/>
      <c r="L237" s="15"/>
      <c r="M237" s="15"/>
      <c r="N237" s="15" t="s">
        <v>50</v>
      </c>
      <c r="O237" s="15" t="s">
        <v>51</v>
      </c>
    </row>
    <row r="238" spans="1:15">
      <c r="A238" s="14" t="s">
        <v>14</v>
      </c>
      <c r="B238" s="14" t="s">
        <v>7696</v>
      </c>
      <c r="C238" s="14" t="s">
        <v>7697</v>
      </c>
      <c r="D238" s="14" t="s">
        <v>7775</v>
      </c>
      <c r="E238" s="14">
        <v>45</v>
      </c>
      <c r="F238" s="14" t="s">
        <v>7761</v>
      </c>
      <c r="G238" s="14" t="s">
        <v>7776</v>
      </c>
      <c r="H238" s="14"/>
      <c r="I238" s="14" t="s">
        <v>49</v>
      </c>
      <c r="J238" s="11" t="str">
        <f>HYPERLINK("https://www.codechef.com/problems/LPRASPR45", "https://www.codechef.com/problems/LPRASPR45")</f>
        <v>https://www.codechef.com/problems/LPRASPR45</v>
      </c>
      <c r="K238" s="14"/>
      <c r="L238" s="14"/>
      <c r="M238" s="14"/>
      <c r="N238" s="14" t="s">
        <v>50</v>
      </c>
      <c r="O238" s="14" t="s">
        <v>51</v>
      </c>
    </row>
    <row r="239" spans="1:15">
      <c r="A239" s="15" t="s">
        <v>14</v>
      </c>
      <c r="B239" s="15" t="s">
        <v>7696</v>
      </c>
      <c r="C239" s="15" t="s">
        <v>7697</v>
      </c>
      <c r="D239" s="15" t="s">
        <v>7775</v>
      </c>
      <c r="E239" s="15">
        <v>46</v>
      </c>
      <c r="F239" s="15" t="s">
        <v>7761</v>
      </c>
      <c r="G239" s="15" t="s">
        <v>7777</v>
      </c>
      <c r="H239" s="15"/>
      <c r="I239" s="15" t="s">
        <v>49</v>
      </c>
      <c r="J239" s="7" t="str">
        <f>HYPERLINK("https://www.codechef.com/problems/LPRASPR46", "https://www.codechef.com/problems/LPRASPR46")</f>
        <v>https://www.codechef.com/problems/LPRASPR46</v>
      </c>
      <c r="K239" s="15"/>
      <c r="L239" s="15"/>
      <c r="M239" s="15"/>
      <c r="N239" s="15" t="s">
        <v>50</v>
      </c>
      <c r="O239" s="15" t="s">
        <v>51</v>
      </c>
    </row>
    <row r="240" spans="1:15">
      <c r="A240" s="14" t="s">
        <v>14</v>
      </c>
      <c r="B240" s="14" t="s">
        <v>7696</v>
      </c>
      <c r="C240" s="14" t="s">
        <v>7697</v>
      </c>
      <c r="D240" s="14" t="s">
        <v>7775</v>
      </c>
      <c r="E240" s="14">
        <v>47</v>
      </c>
      <c r="F240" s="14" t="s">
        <v>7761</v>
      </c>
      <c r="G240" s="14" t="s">
        <v>7778</v>
      </c>
      <c r="H240" s="14"/>
      <c r="I240" s="14" t="s">
        <v>49</v>
      </c>
      <c r="J240" s="11" t="str">
        <f>HYPERLINK("https://www.codechef.com/problems/LPRASPR47", "https://www.codechef.com/problems/LPRASPR47")</f>
        <v>https://www.codechef.com/problems/LPRASPR47</v>
      </c>
      <c r="K240" s="14"/>
      <c r="L240" s="14"/>
      <c r="M240" s="14"/>
      <c r="N240" s="14" t="s">
        <v>50</v>
      </c>
      <c r="O240" s="14" t="s">
        <v>51</v>
      </c>
    </row>
    <row r="241" spans="1:15">
      <c r="A241" s="15" t="s">
        <v>14</v>
      </c>
      <c r="B241" s="15" t="s">
        <v>7696</v>
      </c>
      <c r="C241" s="15" t="s">
        <v>7697</v>
      </c>
      <c r="D241" s="15" t="s">
        <v>7775</v>
      </c>
      <c r="E241" s="15">
        <v>48</v>
      </c>
      <c r="F241" s="15" t="s">
        <v>7761</v>
      </c>
      <c r="G241" s="15" t="s">
        <v>7779</v>
      </c>
      <c r="H241" s="15"/>
      <c r="I241" s="15" t="s">
        <v>49</v>
      </c>
      <c r="J241" s="7" t="str">
        <f>HYPERLINK("https://www.codechef.com/problems/LPRASPR48", "https://www.codechef.com/problems/LPRASPR48")</f>
        <v>https://www.codechef.com/problems/LPRASPR48</v>
      </c>
      <c r="K241" s="15"/>
      <c r="L241" s="15"/>
      <c r="M241" s="15"/>
      <c r="N241" s="15" t="s">
        <v>50</v>
      </c>
      <c r="O241" s="15" t="s">
        <v>51</v>
      </c>
    </row>
    <row r="242" spans="1:15">
      <c r="A242" s="14" t="s">
        <v>14</v>
      </c>
      <c r="B242" s="14" t="s">
        <v>7696</v>
      </c>
      <c r="C242" s="14" t="s">
        <v>7697</v>
      </c>
      <c r="D242" s="14" t="s">
        <v>7775</v>
      </c>
      <c r="E242" s="14">
        <v>49</v>
      </c>
      <c r="F242" s="14" t="s">
        <v>7761</v>
      </c>
      <c r="G242" s="14" t="s">
        <v>7780</v>
      </c>
      <c r="H242" s="14"/>
      <c r="I242" s="14" t="s">
        <v>49</v>
      </c>
      <c r="J242" s="11" t="str">
        <f>HYPERLINK("https://www.codechef.com/problems/LPRASPR49", "https://www.codechef.com/problems/LPRASPR49")</f>
        <v>https://www.codechef.com/problems/LPRASPR49</v>
      </c>
      <c r="K242" s="14"/>
      <c r="L242" s="14"/>
      <c r="M242" s="14"/>
      <c r="N242" s="14" t="s">
        <v>50</v>
      </c>
      <c r="O242" s="14" t="s">
        <v>51</v>
      </c>
    </row>
    <row r="243" spans="1:15">
      <c r="A243" s="15" t="s">
        <v>14</v>
      </c>
      <c r="B243" s="15" t="s">
        <v>7696</v>
      </c>
      <c r="C243" s="15" t="s">
        <v>7697</v>
      </c>
      <c r="D243" s="15" t="s">
        <v>7775</v>
      </c>
      <c r="E243" s="15">
        <v>50</v>
      </c>
      <c r="F243" s="15" t="s">
        <v>7781</v>
      </c>
      <c r="G243" s="15" t="s">
        <v>7782</v>
      </c>
      <c r="H243" s="15"/>
      <c r="I243" s="15" t="s">
        <v>49</v>
      </c>
      <c r="J243" s="7" t="str">
        <f>HYPERLINK("https://www.codechef.com/problems/LPRASPR50", "https://www.codechef.com/problems/LPRASPR50")</f>
        <v>https://www.codechef.com/problems/LPRASPR50</v>
      </c>
      <c r="K243" s="15"/>
      <c r="L243" s="15"/>
      <c r="M243" s="15"/>
      <c r="N243" s="15" t="s">
        <v>50</v>
      </c>
      <c r="O243" s="15" t="s">
        <v>51</v>
      </c>
    </row>
    <row r="244" spans="1:15">
      <c r="A244" s="14" t="s">
        <v>14</v>
      </c>
      <c r="B244" s="14" t="s">
        <v>7696</v>
      </c>
      <c r="C244" s="14" t="s">
        <v>7697</v>
      </c>
      <c r="D244" s="14" t="s">
        <v>7775</v>
      </c>
      <c r="E244" s="14">
        <v>51</v>
      </c>
      <c r="F244" s="14" t="s">
        <v>7783</v>
      </c>
      <c r="G244" s="14" t="s">
        <v>7784</v>
      </c>
      <c r="H244" s="14"/>
      <c r="I244" s="14" t="s">
        <v>49</v>
      </c>
      <c r="J244" s="11" t="str">
        <f>HYPERLINK("https://www.codechef.com/problems/LPRASPR51", "https://www.codechef.com/problems/LPRASPR51")</f>
        <v>https://www.codechef.com/problems/LPRASPR51</v>
      </c>
      <c r="K244" s="14"/>
      <c r="L244" s="14"/>
      <c r="M244" s="14"/>
      <c r="N244" s="14" t="s">
        <v>50</v>
      </c>
      <c r="O244" s="14" t="s">
        <v>51</v>
      </c>
    </row>
    <row r="245" spans="1:15">
      <c r="A245" s="15" t="s">
        <v>14</v>
      </c>
      <c r="B245" s="15" t="s">
        <v>7696</v>
      </c>
      <c r="C245" s="15" t="s">
        <v>7697</v>
      </c>
      <c r="D245" s="15" t="s">
        <v>7775</v>
      </c>
      <c r="E245" s="15">
        <v>52</v>
      </c>
      <c r="F245" s="15" t="s">
        <v>7785</v>
      </c>
      <c r="G245" s="15" t="s">
        <v>7786</v>
      </c>
      <c r="H245" s="15"/>
      <c r="I245" s="15" t="s">
        <v>49</v>
      </c>
      <c r="J245" s="7" t="str">
        <f>HYPERLINK("https://www.codechef.com/problems/LPRASPR52", "https://www.codechef.com/problems/LPRASPR52")</f>
        <v>https://www.codechef.com/problems/LPRASPR52</v>
      </c>
      <c r="K245" s="15"/>
      <c r="L245" s="15"/>
      <c r="M245" s="15"/>
      <c r="N245" s="15" t="s">
        <v>50</v>
      </c>
      <c r="O245" s="15" t="s">
        <v>51</v>
      </c>
    </row>
    <row r="246" spans="1:15">
      <c r="A246" s="14" t="s">
        <v>14</v>
      </c>
      <c r="B246" s="14" t="s">
        <v>7696</v>
      </c>
      <c r="C246" s="14" t="s">
        <v>7697</v>
      </c>
      <c r="D246" s="14" t="s">
        <v>7775</v>
      </c>
      <c r="E246" s="14">
        <v>53</v>
      </c>
      <c r="F246" s="14" t="s">
        <v>7787</v>
      </c>
      <c r="G246" s="14" t="s">
        <v>7788</v>
      </c>
      <c r="H246" s="14"/>
      <c r="I246" s="14" t="s">
        <v>49</v>
      </c>
      <c r="J246" s="11" t="str">
        <f>HYPERLINK("https://www.codechef.com/problems/LPRASPR53", "https://www.codechef.com/problems/LPRASPR53")</f>
        <v>https://www.codechef.com/problems/LPRASPR53</v>
      </c>
      <c r="K246" s="14"/>
      <c r="L246" s="14"/>
      <c r="M246" s="14"/>
      <c r="N246" s="14" t="s">
        <v>50</v>
      </c>
      <c r="O246" s="14" t="s">
        <v>51</v>
      </c>
    </row>
    <row r="247" spans="1:15">
      <c r="A247" s="15" t="s">
        <v>14</v>
      </c>
      <c r="B247" s="15" t="s">
        <v>7696</v>
      </c>
      <c r="C247" s="15" t="s">
        <v>7697</v>
      </c>
      <c r="D247" s="15" t="s">
        <v>7775</v>
      </c>
      <c r="E247" s="15">
        <v>54</v>
      </c>
      <c r="F247" s="15" t="s">
        <v>7785</v>
      </c>
      <c r="G247" s="15" t="s">
        <v>7789</v>
      </c>
      <c r="H247" s="15"/>
      <c r="I247" s="15" t="s">
        <v>49</v>
      </c>
      <c r="J247" s="7" t="str">
        <f>HYPERLINK("https://www.codechef.com/problems/LPRASPR54", "https://www.codechef.com/problems/LPRASPR54")</f>
        <v>https://www.codechef.com/problems/LPRASPR54</v>
      </c>
      <c r="K247" s="15"/>
      <c r="L247" s="15"/>
      <c r="M247" s="15"/>
      <c r="N247" s="15" t="s">
        <v>50</v>
      </c>
      <c r="O247" s="15" t="s">
        <v>51</v>
      </c>
    </row>
    <row r="248" spans="1:15">
      <c r="A248" s="14" t="s">
        <v>14</v>
      </c>
      <c r="B248" s="14" t="s">
        <v>7696</v>
      </c>
      <c r="C248" s="14" t="s">
        <v>7697</v>
      </c>
      <c r="D248" s="14" t="s">
        <v>7790</v>
      </c>
      <c r="E248" s="14">
        <v>55</v>
      </c>
      <c r="F248" s="14" t="s">
        <v>7791</v>
      </c>
      <c r="G248" s="14" t="s">
        <v>7792</v>
      </c>
      <c r="H248" s="14"/>
      <c r="I248" s="14" t="s">
        <v>49</v>
      </c>
      <c r="J248" s="11" t="str">
        <f>HYPERLINK("https://www.codechef.com/problems/LPRASPR55", "https://www.codechef.com/problems/LPRASPR55")</f>
        <v>https://www.codechef.com/problems/LPRASPR55</v>
      </c>
      <c r="K248" s="14"/>
      <c r="L248" s="14"/>
      <c r="M248" s="14"/>
      <c r="N248" s="14" t="s">
        <v>50</v>
      </c>
      <c r="O248" s="14" t="s">
        <v>51</v>
      </c>
    </row>
    <row r="249" spans="1:15">
      <c r="A249" s="15" t="s">
        <v>14</v>
      </c>
      <c r="B249" s="15" t="s">
        <v>7696</v>
      </c>
      <c r="C249" s="15" t="s">
        <v>7697</v>
      </c>
      <c r="D249" s="15" t="s">
        <v>7790</v>
      </c>
      <c r="E249" s="15">
        <v>56</v>
      </c>
      <c r="F249" s="15" t="s">
        <v>7761</v>
      </c>
      <c r="G249" s="15" t="s">
        <v>7793</v>
      </c>
      <c r="H249" s="15"/>
      <c r="I249" s="15" t="s">
        <v>49</v>
      </c>
      <c r="J249" s="7" t="str">
        <f>HYPERLINK("https://www.codechef.com/problems/LPRASPR56", "https://www.codechef.com/problems/LPRASPR56")</f>
        <v>https://www.codechef.com/problems/LPRASPR56</v>
      </c>
      <c r="K249" s="15"/>
      <c r="L249" s="15"/>
      <c r="M249" s="15"/>
      <c r="N249" s="15" t="s">
        <v>50</v>
      </c>
      <c r="O249" s="15" t="s">
        <v>51</v>
      </c>
    </row>
    <row r="250" spans="1:15">
      <c r="A250" s="14" t="s">
        <v>14</v>
      </c>
      <c r="B250" s="14" t="s">
        <v>7696</v>
      </c>
      <c r="C250" s="14" t="s">
        <v>7697</v>
      </c>
      <c r="D250" s="14" t="s">
        <v>7790</v>
      </c>
      <c r="E250" s="14">
        <v>57</v>
      </c>
      <c r="F250" s="14" t="s">
        <v>7761</v>
      </c>
      <c r="G250" s="14" t="s">
        <v>7794</v>
      </c>
      <c r="H250" s="14"/>
      <c r="I250" s="14" t="s">
        <v>49</v>
      </c>
      <c r="J250" s="11" t="str">
        <f>HYPERLINK("https://www.codechef.com/problems/LPRASPR57", "https://www.codechef.com/problems/LPRASPR57")</f>
        <v>https://www.codechef.com/problems/LPRASPR57</v>
      </c>
      <c r="K250" s="14"/>
      <c r="L250" s="14"/>
      <c r="M250" s="14"/>
      <c r="N250" s="14" t="s">
        <v>50</v>
      </c>
      <c r="O250" s="14" t="s">
        <v>51</v>
      </c>
    </row>
    <row r="251" spans="1:15">
      <c r="A251" s="15" t="s">
        <v>14</v>
      </c>
      <c r="B251" s="15" t="s">
        <v>7696</v>
      </c>
      <c r="C251" s="15" t="s">
        <v>7697</v>
      </c>
      <c r="D251" s="15" t="s">
        <v>7790</v>
      </c>
      <c r="E251" s="15">
        <v>58</v>
      </c>
      <c r="F251" s="15" t="s">
        <v>7795</v>
      </c>
      <c r="G251" s="15" t="s">
        <v>7796</v>
      </c>
      <c r="H251" s="15"/>
      <c r="I251" s="15" t="s">
        <v>49</v>
      </c>
      <c r="J251" s="7" t="str">
        <f>HYPERLINK("https://www.codechef.com/problems/LPRASPR58", "https://www.codechef.com/problems/LPRASPR58")</f>
        <v>https://www.codechef.com/problems/LPRASPR58</v>
      </c>
      <c r="K251" s="15"/>
      <c r="L251" s="15"/>
      <c r="M251" s="15"/>
      <c r="N251" s="15" t="s">
        <v>50</v>
      </c>
      <c r="O251" s="15" t="s">
        <v>51</v>
      </c>
    </row>
    <row r="252" spans="1:15">
      <c r="A252" s="14" t="s">
        <v>14</v>
      </c>
      <c r="B252" s="14" t="s">
        <v>7696</v>
      </c>
      <c r="C252" s="14" t="s">
        <v>7697</v>
      </c>
      <c r="D252" s="14" t="s">
        <v>7790</v>
      </c>
      <c r="E252" s="14">
        <v>59</v>
      </c>
      <c r="F252" s="14" t="s">
        <v>7761</v>
      </c>
      <c r="G252" s="14" t="s">
        <v>7797</v>
      </c>
      <c r="H252" s="14"/>
      <c r="I252" s="14" t="s">
        <v>49</v>
      </c>
      <c r="J252" s="11" t="str">
        <f>HYPERLINK("https://www.codechef.com/problems/LPRASPR59", "https://www.codechef.com/problems/LPRASPR59")</f>
        <v>https://www.codechef.com/problems/LPRASPR59</v>
      </c>
      <c r="K252" s="14"/>
      <c r="L252" s="14"/>
      <c r="M252" s="14"/>
      <c r="N252" s="14" t="s">
        <v>50</v>
      </c>
      <c r="O252" s="14" t="s">
        <v>51</v>
      </c>
    </row>
    <row r="253" spans="1:15">
      <c r="A253" s="15" t="s">
        <v>14</v>
      </c>
      <c r="B253" s="15" t="s">
        <v>7696</v>
      </c>
      <c r="C253" s="15" t="s">
        <v>7697</v>
      </c>
      <c r="D253" s="15" t="s">
        <v>7790</v>
      </c>
      <c r="E253" s="15">
        <v>60</v>
      </c>
      <c r="F253" s="15" t="s">
        <v>7761</v>
      </c>
      <c r="G253" s="15" t="s">
        <v>7798</v>
      </c>
      <c r="H253" s="15"/>
      <c r="I253" s="15" t="s">
        <v>49</v>
      </c>
      <c r="J253" s="7" t="str">
        <f>HYPERLINK("https://www.codechef.com/problems/LPRASPR60", "https://www.codechef.com/problems/LPRASPR60")</f>
        <v>https://www.codechef.com/problems/LPRASPR60</v>
      </c>
      <c r="K253" s="15"/>
      <c r="L253" s="15"/>
      <c r="M253" s="15"/>
      <c r="N253" s="15" t="s">
        <v>50</v>
      </c>
      <c r="O253" s="15" t="s">
        <v>51</v>
      </c>
    </row>
    <row r="254" spans="1:15">
      <c r="A254" s="14" t="s">
        <v>14</v>
      </c>
      <c r="B254" s="14" t="s">
        <v>7696</v>
      </c>
      <c r="C254" s="14" t="s">
        <v>7697</v>
      </c>
      <c r="D254" s="14" t="s">
        <v>7790</v>
      </c>
      <c r="E254" s="14">
        <v>61</v>
      </c>
      <c r="F254" s="14" t="s">
        <v>7799</v>
      </c>
      <c r="G254" s="14" t="s">
        <v>7800</v>
      </c>
      <c r="H254" s="14"/>
      <c r="I254" s="14" t="s">
        <v>49</v>
      </c>
      <c r="J254" s="11" t="str">
        <f>HYPERLINK("https://www.codechef.com/problems/LPRASPR61", "https://www.codechef.com/problems/LPRASPR61")</f>
        <v>https://www.codechef.com/problems/LPRASPR61</v>
      </c>
      <c r="K254" s="14"/>
      <c r="L254" s="14"/>
      <c r="M254" s="14"/>
      <c r="N254" s="14" t="s">
        <v>50</v>
      </c>
      <c r="O254" s="14" t="s">
        <v>51</v>
      </c>
    </row>
    <row r="255" spans="1:15">
      <c r="A255" s="15" t="s">
        <v>14</v>
      </c>
      <c r="B255" s="15" t="s">
        <v>7696</v>
      </c>
      <c r="C255" s="15" t="s">
        <v>7697</v>
      </c>
      <c r="D255" s="15" t="s">
        <v>7790</v>
      </c>
      <c r="E255" s="15">
        <v>62</v>
      </c>
      <c r="F255" s="15" t="s">
        <v>7801</v>
      </c>
      <c r="G255" s="15" t="s">
        <v>7802</v>
      </c>
      <c r="H255" s="15"/>
      <c r="I255" s="15" t="s">
        <v>49</v>
      </c>
      <c r="J255" s="7" t="str">
        <f>HYPERLINK("https://www.codechef.com/problems/LPRASPR62", "https://www.codechef.com/problems/LPRASPR62")</f>
        <v>https://www.codechef.com/problems/LPRASPR62</v>
      </c>
      <c r="K255" s="15"/>
      <c r="L255" s="15"/>
      <c r="M255" s="15"/>
      <c r="N255" s="15" t="s">
        <v>50</v>
      </c>
      <c r="O255" s="15" t="s">
        <v>51</v>
      </c>
    </row>
    <row r="256" spans="1:15">
      <c r="A256" s="14" t="s">
        <v>14</v>
      </c>
      <c r="B256" s="14" t="s">
        <v>7696</v>
      </c>
      <c r="C256" s="14" t="s">
        <v>7697</v>
      </c>
      <c r="D256" s="14" t="s">
        <v>7790</v>
      </c>
      <c r="E256" s="14">
        <v>63</v>
      </c>
      <c r="F256" s="14" t="s">
        <v>7803</v>
      </c>
      <c r="G256" s="14" t="s">
        <v>7804</v>
      </c>
      <c r="H256" s="14"/>
      <c r="I256" s="14" t="s">
        <v>49</v>
      </c>
      <c r="J256" s="11" t="str">
        <f>HYPERLINK("https://www.codechef.com/problems/LPRASPR63", "https://www.codechef.com/problems/LPRASPR63")</f>
        <v>https://www.codechef.com/problems/LPRASPR63</v>
      </c>
      <c r="K256" s="14"/>
      <c r="L256" s="14"/>
      <c r="M256" s="14"/>
      <c r="N256" s="14" t="s">
        <v>50</v>
      </c>
      <c r="O256" s="14" t="s">
        <v>51</v>
      </c>
    </row>
    <row r="257" spans="1:15">
      <c r="A257" s="15" t="s">
        <v>14</v>
      </c>
      <c r="B257" s="15" t="s">
        <v>7696</v>
      </c>
      <c r="C257" s="15" t="s">
        <v>7697</v>
      </c>
      <c r="D257" s="15" t="s">
        <v>7790</v>
      </c>
      <c r="E257" s="15">
        <v>64</v>
      </c>
      <c r="F257" s="15" t="s">
        <v>7805</v>
      </c>
      <c r="G257" s="15" t="s">
        <v>7806</v>
      </c>
      <c r="H257" s="15"/>
      <c r="I257" s="15" t="s">
        <v>49</v>
      </c>
      <c r="J257" s="7" t="str">
        <f>HYPERLINK("https://www.codechef.com/problems/LPRASPR64", "https://www.codechef.com/problems/LPRASPR64")</f>
        <v>https://www.codechef.com/problems/LPRASPR64</v>
      </c>
      <c r="K257" s="15"/>
      <c r="L257" s="15"/>
      <c r="M257" s="15"/>
      <c r="N257" s="15" t="s">
        <v>50</v>
      </c>
      <c r="O257" s="15" t="s">
        <v>51</v>
      </c>
    </row>
    <row r="258" spans="1:15">
      <c r="A258" s="14" t="s">
        <v>14</v>
      </c>
      <c r="B258" s="14" t="s">
        <v>7696</v>
      </c>
      <c r="C258" s="14" t="s">
        <v>7697</v>
      </c>
      <c r="D258" s="14" t="s">
        <v>7790</v>
      </c>
      <c r="E258" s="14">
        <v>65</v>
      </c>
      <c r="F258" s="14" t="s">
        <v>7807</v>
      </c>
      <c r="G258" s="14" t="s">
        <v>7808</v>
      </c>
      <c r="H258" s="14"/>
      <c r="I258" s="14" t="s">
        <v>49</v>
      </c>
      <c r="J258" s="11" t="str">
        <f>HYPERLINK("https://www.codechef.com/problems/LPRASPR65", "https://www.codechef.com/problems/LPRASPR65")</f>
        <v>https://www.codechef.com/problems/LPRASPR65</v>
      </c>
      <c r="K258" s="14"/>
      <c r="L258" s="14"/>
      <c r="M258" s="14"/>
      <c r="N258" s="14" t="s">
        <v>50</v>
      </c>
      <c r="O258" s="14" t="s">
        <v>51</v>
      </c>
    </row>
    <row r="259" spans="1:15">
      <c r="A259" s="15" t="s">
        <v>14</v>
      </c>
      <c r="B259" s="15" t="s">
        <v>7696</v>
      </c>
      <c r="C259" s="15" t="s">
        <v>7697</v>
      </c>
      <c r="D259" s="15" t="s">
        <v>7790</v>
      </c>
      <c r="E259" s="15">
        <v>66</v>
      </c>
      <c r="F259" s="15" t="s">
        <v>7809</v>
      </c>
      <c r="G259" s="15" t="s">
        <v>7810</v>
      </c>
      <c r="H259" s="15"/>
      <c r="I259" s="15" t="s">
        <v>49</v>
      </c>
      <c r="J259" s="7" t="str">
        <f>HYPERLINK("https://www.codechef.com/problems/LPRASPR66", "https://www.codechef.com/problems/LPRASPR66")</f>
        <v>https://www.codechef.com/problems/LPRASPR66</v>
      </c>
      <c r="K259" s="15"/>
      <c r="L259" s="15"/>
      <c r="M259" s="15"/>
      <c r="N259" s="15" t="s">
        <v>50</v>
      </c>
      <c r="O259" s="15" t="s">
        <v>51</v>
      </c>
    </row>
    <row r="260" spans="1:15">
      <c r="A260" s="14" t="s">
        <v>14</v>
      </c>
      <c r="B260" s="14" t="s">
        <v>7696</v>
      </c>
      <c r="C260" s="14" t="s">
        <v>7697</v>
      </c>
      <c r="D260" s="14" t="s">
        <v>7811</v>
      </c>
      <c r="E260" s="14">
        <v>67</v>
      </c>
      <c r="F260" s="14" t="s">
        <v>7761</v>
      </c>
      <c r="G260" s="14" t="s">
        <v>7812</v>
      </c>
      <c r="H260" s="14"/>
      <c r="I260" s="14" t="s">
        <v>49</v>
      </c>
      <c r="J260" s="11" t="str">
        <f>HYPERLINK("https://www.codechef.com/problems/LPRASPR67", "https://www.codechef.com/problems/LPRASPR67")</f>
        <v>https://www.codechef.com/problems/LPRASPR67</v>
      </c>
      <c r="K260" s="14"/>
      <c r="L260" s="14"/>
      <c r="M260" s="14"/>
      <c r="N260" s="14" t="s">
        <v>50</v>
      </c>
      <c r="O260" s="14" t="s">
        <v>51</v>
      </c>
    </row>
    <row r="261" spans="1:15">
      <c r="A261" s="15" t="s">
        <v>14</v>
      </c>
      <c r="B261" s="15" t="s">
        <v>7696</v>
      </c>
      <c r="C261" s="15" t="s">
        <v>7697</v>
      </c>
      <c r="D261" s="15" t="s">
        <v>7811</v>
      </c>
      <c r="E261" s="15">
        <v>68</v>
      </c>
      <c r="F261" s="15" t="s">
        <v>7761</v>
      </c>
      <c r="G261" s="15" t="s">
        <v>7813</v>
      </c>
      <c r="H261" s="15"/>
      <c r="I261" s="15" t="s">
        <v>49</v>
      </c>
      <c r="J261" s="7" t="str">
        <f>HYPERLINK("https://www.codechef.com/problems/LPRASPR68", "https://www.codechef.com/problems/LPRASPR68")</f>
        <v>https://www.codechef.com/problems/LPRASPR68</v>
      </c>
      <c r="K261" s="15"/>
      <c r="L261" s="15"/>
      <c r="M261" s="15"/>
      <c r="N261" s="15" t="s">
        <v>50</v>
      </c>
      <c r="O261" s="15" t="s">
        <v>51</v>
      </c>
    </row>
    <row r="262" spans="1:15">
      <c r="A262" s="14" t="s">
        <v>14</v>
      </c>
      <c r="B262" s="14" t="s">
        <v>7696</v>
      </c>
      <c r="C262" s="14" t="s">
        <v>7697</v>
      </c>
      <c r="D262" s="14" t="s">
        <v>7811</v>
      </c>
      <c r="E262" s="14">
        <v>69</v>
      </c>
      <c r="F262" s="14" t="s">
        <v>7814</v>
      </c>
      <c r="G262" s="14" t="s">
        <v>7815</v>
      </c>
      <c r="H262" s="14"/>
      <c r="I262" s="14" t="s">
        <v>49</v>
      </c>
      <c r="J262" s="11" t="str">
        <f>HYPERLINK("https://www.codechef.com/problems/LPRASPR69", "https://www.codechef.com/problems/LPRASPR69")</f>
        <v>https://www.codechef.com/problems/LPRASPR69</v>
      </c>
      <c r="K262" s="14"/>
      <c r="L262" s="14"/>
      <c r="M262" s="14"/>
      <c r="N262" s="14" t="s">
        <v>50</v>
      </c>
      <c r="O262" s="14" t="s">
        <v>51</v>
      </c>
    </row>
    <row r="263" spans="1:15">
      <c r="A263" s="15" t="s">
        <v>14</v>
      </c>
      <c r="B263" s="15" t="s">
        <v>7696</v>
      </c>
      <c r="C263" s="15" t="s">
        <v>7697</v>
      </c>
      <c r="D263" s="15" t="s">
        <v>7811</v>
      </c>
      <c r="E263" s="15">
        <v>70</v>
      </c>
      <c r="F263" s="15" t="s">
        <v>7761</v>
      </c>
      <c r="G263" s="15" t="s">
        <v>7816</v>
      </c>
      <c r="H263" s="15"/>
      <c r="I263" s="15" t="s">
        <v>49</v>
      </c>
      <c r="J263" s="7" t="str">
        <f>HYPERLINK("https://www.codechef.com/problems/LPRASPR70", "https://www.codechef.com/problems/LPRASPR70")</f>
        <v>https://www.codechef.com/problems/LPRASPR70</v>
      </c>
      <c r="K263" s="15"/>
      <c r="L263" s="15"/>
      <c r="M263" s="15"/>
      <c r="N263" s="15" t="s">
        <v>50</v>
      </c>
      <c r="O263" s="15" t="s">
        <v>51</v>
      </c>
    </row>
    <row r="264" spans="1:15">
      <c r="A264" s="14" t="s">
        <v>14</v>
      </c>
      <c r="B264" s="14" t="s">
        <v>7696</v>
      </c>
      <c r="C264" s="14" t="s">
        <v>7697</v>
      </c>
      <c r="D264" s="14" t="s">
        <v>7811</v>
      </c>
      <c r="E264" s="14">
        <v>71</v>
      </c>
      <c r="F264" s="14" t="s">
        <v>7761</v>
      </c>
      <c r="G264" s="14" t="s">
        <v>7817</v>
      </c>
      <c r="H264" s="14"/>
      <c r="I264" s="14" t="s">
        <v>49</v>
      </c>
      <c r="J264" s="11" t="str">
        <f>HYPERLINK("https://www.codechef.com/problems/LPRASPR71", "https://www.codechef.com/problems/LPRASPR71")</f>
        <v>https://www.codechef.com/problems/LPRASPR71</v>
      </c>
      <c r="K264" s="14"/>
      <c r="L264" s="14"/>
      <c r="M264" s="14"/>
      <c r="N264" s="14" t="s">
        <v>50</v>
      </c>
      <c r="O264" s="14" t="s">
        <v>51</v>
      </c>
    </row>
    <row r="265" spans="1:15">
      <c r="A265" s="15" t="s">
        <v>14</v>
      </c>
      <c r="B265" s="15" t="s">
        <v>7696</v>
      </c>
      <c r="C265" s="15" t="s">
        <v>7697</v>
      </c>
      <c r="D265" s="15" t="s">
        <v>7811</v>
      </c>
      <c r="E265" s="15">
        <v>72</v>
      </c>
      <c r="F265" s="15" t="s">
        <v>7818</v>
      </c>
      <c r="G265" s="15" t="s">
        <v>7819</v>
      </c>
      <c r="H265" s="15"/>
      <c r="I265" s="15" t="s">
        <v>49</v>
      </c>
      <c r="J265" s="7" t="str">
        <f>HYPERLINK("https://www.codechef.com/problems/LPRASPR72", "https://www.codechef.com/problems/LPRASPR72")</f>
        <v>https://www.codechef.com/problems/LPRASPR72</v>
      </c>
      <c r="K265" s="15"/>
      <c r="L265" s="15"/>
      <c r="M265" s="15"/>
      <c r="N265" s="15" t="s">
        <v>50</v>
      </c>
      <c r="O265" s="15" t="s">
        <v>51</v>
      </c>
    </row>
    <row r="266" spans="1:15">
      <c r="A266" s="14" t="s">
        <v>14</v>
      </c>
      <c r="B266" s="14" t="s">
        <v>7696</v>
      </c>
      <c r="C266" s="14" t="s">
        <v>7697</v>
      </c>
      <c r="D266" s="14" t="s">
        <v>7811</v>
      </c>
      <c r="E266" s="14">
        <v>73</v>
      </c>
      <c r="F266" s="14" t="s">
        <v>7761</v>
      </c>
      <c r="G266" s="14" t="s">
        <v>7820</v>
      </c>
      <c r="H266" s="14"/>
      <c r="I266" s="14" t="s">
        <v>49</v>
      </c>
      <c r="J266" s="11" t="str">
        <f>HYPERLINK("https://www.codechef.com/problems/LPRASPR73", "https://www.codechef.com/problems/LPRASPR73")</f>
        <v>https://www.codechef.com/problems/LPRASPR73</v>
      </c>
      <c r="K266" s="14"/>
      <c r="L266" s="14"/>
      <c r="M266" s="14"/>
      <c r="N266" s="14" t="s">
        <v>50</v>
      </c>
      <c r="O266" s="14" t="s">
        <v>51</v>
      </c>
    </row>
    <row r="267" spans="1:15">
      <c r="A267" s="15" t="s">
        <v>14</v>
      </c>
      <c r="B267" s="15" t="s">
        <v>7696</v>
      </c>
      <c r="C267" s="15" t="s">
        <v>7697</v>
      </c>
      <c r="D267" s="15" t="s">
        <v>7811</v>
      </c>
      <c r="E267" s="15">
        <v>74</v>
      </c>
      <c r="F267" s="15" t="s">
        <v>7761</v>
      </c>
      <c r="G267" s="15" t="s">
        <v>7821</v>
      </c>
      <c r="H267" s="15"/>
      <c r="I267" s="15" t="s">
        <v>49</v>
      </c>
      <c r="J267" s="7" t="str">
        <f>HYPERLINK("https://www.codechef.com/problems/LPRASPR74", "https://www.codechef.com/problems/LPRASPR74")</f>
        <v>https://www.codechef.com/problems/LPRASPR74</v>
      </c>
      <c r="K267" s="15"/>
      <c r="L267" s="15"/>
      <c r="M267" s="15"/>
      <c r="N267" s="15" t="s">
        <v>50</v>
      </c>
      <c r="O267" s="15" t="s">
        <v>51</v>
      </c>
    </row>
    <row r="268" spans="1:15">
      <c r="A268" s="14" t="s">
        <v>14</v>
      </c>
      <c r="B268" s="14" t="s">
        <v>7696</v>
      </c>
      <c r="C268" s="14" t="s">
        <v>7697</v>
      </c>
      <c r="D268" s="14" t="s">
        <v>7811</v>
      </c>
      <c r="E268" s="14">
        <v>75</v>
      </c>
      <c r="F268" s="14" t="s">
        <v>7699</v>
      </c>
      <c r="G268" s="14" t="s">
        <v>7822</v>
      </c>
      <c r="H268" s="14"/>
      <c r="I268" s="14" t="s">
        <v>49</v>
      </c>
      <c r="J268" s="11" t="str">
        <f>HYPERLINK("https://www.codechef.com/problems/LPRASPR75", "https://www.codechef.com/problems/LPRASPR75")</f>
        <v>https://www.codechef.com/problems/LPRASPR75</v>
      </c>
      <c r="K268" s="14"/>
      <c r="L268" s="14"/>
      <c r="M268" s="14"/>
      <c r="N268" s="14" t="s">
        <v>50</v>
      </c>
      <c r="O268" s="14" t="s">
        <v>51</v>
      </c>
    </row>
    <row r="269" spans="1:15">
      <c r="A269" s="15" t="s">
        <v>14</v>
      </c>
      <c r="B269" s="15" t="s">
        <v>7696</v>
      </c>
      <c r="C269" s="15" t="s">
        <v>7697</v>
      </c>
      <c r="D269" s="15" t="s">
        <v>7811</v>
      </c>
      <c r="E269" s="15">
        <v>76</v>
      </c>
      <c r="F269" s="15" t="s">
        <v>7823</v>
      </c>
      <c r="G269" s="15" t="s">
        <v>7824</v>
      </c>
      <c r="H269" s="15"/>
      <c r="I269" s="15" t="s">
        <v>49</v>
      </c>
      <c r="J269" s="7" t="str">
        <f>HYPERLINK("https://www.codechef.com/problems/LPRASPR76", "https://www.codechef.com/problems/LPRASPR76")</f>
        <v>https://www.codechef.com/problems/LPRASPR76</v>
      </c>
      <c r="K269" s="15"/>
      <c r="L269" s="15"/>
      <c r="M269" s="15"/>
      <c r="N269" s="15" t="s">
        <v>50</v>
      </c>
      <c r="O269" s="15" t="s">
        <v>51</v>
      </c>
    </row>
    <row r="270" spans="1:15">
      <c r="A270" s="14" t="s">
        <v>14</v>
      </c>
      <c r="B270" s="14" t="s">
        <v>7696</v>
      </c>
      <c r="C270" s="14" t="s">
        <v>7697</v>
      </c>
      <c r="D270" s="14" t="s">
        <v>7811</v>
      </c>
      <c r="E270" s="14">
        <v>77</v>
      </c>
      <c r="F270" s="14" t="s">
        <v>7825</v>
      </c>
      <c r="G270" s="14" t="s">
        <v>7826</v>
      </c>
      <c r="H270" s="14"/>
      <c r="I270" s="14" t="s">
        <v>49</v>
      </c>
      <c r="J270" s="11" t="str">
        <f>HYPERLINK("https://www.codechef.com/problems/LPRASPR77", "https://www.codechef.com/problems/LPRASPR77")</f>
        <v>https://www.codechef.com/problems/LPRASPR77</v>
      </c>
      <c r="K270" s="14"/>
      <c r="L270" s="14"/>
      <c r="M270" s="14"/>
      <c r="N270" s="14" t="s">
        <v>50</v>
      </c>
      <c r="O270" s="14" t="s">
        <v>51</v>
      </c>
    </row>
    <row r="271" spans="1:15">
      <c r="A271" s="15" t="s">
        <v>14</v>
      </c>
      <c r="B271" s="15" t="s">
        <v>7696</v>
      </c>
      <c r="C271" s="15" t="s">
        <v>7697</v>
      </c>
      <c r="D271" s="15" t="s">
        <v>7811</v>
      </c>
      <c r="E271" s="15">
        <v>78</v>
      </c>
      <c r="F271" s="15" t="s">
        <v>7827</v>
      </c>
      <c r="G271" s="15" t="s">
        <v>7828</v>
      </c>
      <c r="H271" s="15"/>
      <c r="I271" s="15" t="s">
        <v>49</v>
      </c>
      <c r="J271" s="7" t="str">
        <f>HYPERLINK("https://www.codechef.com/problems/LPRASPR78", "https://www.codechef.com/problems/LPRASPR78")</f>
        <v>https://www.codechef.com/problems/LPRASPR78</v>
      </c>
      <c r="K271" s="15"/>
      <c r="L271" s="15"/>
      <c r="M271" s="15"/>
      <c r="N271" s="15" t="s">
        <v>50</v>
      </c>
      <c r="O271" s="15" t="s">
        <v>51</v>
      </c>
    </row>
    <row r="272" spans="1:15">
      <c r="A272" s="14" t="s">
        <v>14</v>
      </c>
      <c r="B272" s="14" t="s">
        <v>7696</v>
      </c>
      <c r="C272" s="14" t="s">
        <v>7697</v>
      </c>
      <c r="D272" s="14" t="s">
        <v>7829</v>
      </c>
      <c r="E272" s="14">
        <v>79</v>
      </c>
      <c r="F272" s="14" t="s">
        <v>7761</v>
      </c>
      <c r="G272" s="14" t="s">
        <v>7830</v>
      </c>
      <c r="H272" s="14"/>
      <c r="I272" s="14" t="s">
        <v>49</v>
      </c>
      <c r="J272" s="11" t="str">
        <f>HYPERLINK("https://www.codechef.com/problems/LPRASPR79", "https://www.codechef.com/problems/LPRASPR79")</f>
        <v>https://www.codechef.com/problems/LPRASPR79</v>
      </c>
      <c r="K272" s="14"/>
      <c r="L272" s="14"/>
      <c r="M272" s="14"/>
      <c r="N272" s="14" t="s">
        <v>50</v>
      </c>
      <c r="O272" s="14" t="s">
        <v>51</v>
      </c>
    </row>
    <row r="273" spans="1:15">
      <c r="A273" s="15" t="s">
        <v>14</v>
      </c>
      <c r="B273" s="15" t="s">
        <v>7696</v>
      </c>
      <c r="C273" s="15" t="s">
        <v>7697</v>
      </c>
      <c r="D273" s="15" t="s">
        <v>7829</v>
      </c>
      <c r="E273" s="15">
        <v>80</v>
      </c>
      <c r="F273" s="15" t="s">
        <v>7831</v>
      </c>
      <c r="G273" s="15" t="s">
        <v>7832</v>
      </c>
      <c r="H273" s="15"/>
      <c r="I273" s="15" t="s">
        <v>49</v>
      </c>
      <c r="J273" s="7" t="str">
        <f>HYPERLINK("https://www.codechef.com/problems/LPRASPR80", "https://www.codechef.com/problems/LPRASPR80")</f>
        <v>https://www.codechef.com/problems/LPRASPR80</v>
      </c>
      <c r="K273" s="15"/>
      <c r="L273" s="15"/>
      <c r="M273" s="15"/>
      <c r="N273" s="15" t="s">
        <v>50</v>
      </c>
      <c r="O273" s="15" t="s">
        <v>51</v>
      </c>
    </row>
    <row r="274" spans="1:15">
      <c r="A274" s="14" t="s">
        <v>14</v>
      </c>
      <c r="B274" s="14" t="s">
        <v>7696</v>
      </c>
      <c r="C274" s="14" t="s">
        <v>7697</v>
      </c>
      <c r="D274" s="14" t="s">
        <v>7829</v>
      </c>
      <c r="E274" s="14">
        <v>81</v>
      </c>
      <c r="F274" s="14" t="s">
        <v>7833</v>
      </c>
      <c r="G274" s="14" t="s">
        <v>7834</v>
      </c>
      <c r="H274" s="14"/>
      <c r="I274" s="14" t="s">
        <v>49</v>
      </c>
      <c r="J274" s="11" t="str">
        <f>HYPERLINK("https://www.codechef.com/problems/LPRASPR81", "https://www.codechef.com/problems/LPRASPR81")</f>
        <v>https://www.codechef.com/problems/LPRASPR81</v>
      </c>
      <c r="K274" s="14"/>
      <c r="L274" s="14"/>
      <c r="M274" s="14"/>
      <c r="N274" s="14" t="s">
        <v>50</v>
      </c>
      <c r="O274" s="14" t="s">
        <v>51</v>
      </c>
    </row>
    <row r="275" spans="1:15">
      <c r="A275" s="15" t="s">
        <v>14</v>
      </c>
      <c r="B275" s="15" t="s">
        <v>7696</v>
      </c>
      <c r="C275" s="15" t="s">
        <v>7697</v>
      </c>
      <c r="D275" s="15" t="s">
        <v>7829</v>
      </c>
      <c r="E275" s="15">
        <v>82</v>
      </c>
      <c r="F275" s="15" t="s">
        <v>7835</v>
      </c>
      <c r="G275" s="15" t="s">
        <v>7836</v>
      </c>
      <c r="H275" s="15"/>
      <c r="I275" s="15" t="s">
        <v>49</v>
      </c>
      <c r="J275" s="7" t="str">
        <f>HYPERLINK("https://www.codechef.com/problems/LPRASPR82", "https://www.codechef.com/problems/LPRASPR82")</f>
        <v>https://www.codechef.com/problems/LPRASPR82</v>
      </c>
      <c r="K275" s="15"/>
      <c r="L275" s="15"/>
      <c r="M275" s="15"/>
      <c r="N275" s="15" t="s">
        <v>50</v>
      </c>
      <c r="O275" s="15" t="s">
        <v>51</v>
      </c>
    </row>
    <row r="276" spans="1:15">
      <c r="A276" s="14" t="s">
        <v>14</v>
      </c>
      <c r="B276" s="14" t="s">
        <v>7696</v>
      </c>
      <c r="C276" s="14" t="s">
        <v>7697</v>
      </c>
      <c r="D276" s="14" t="s">
        <v>7829</v>
      </c>
      <c r="E276" s="14">
        <v>83</v>
      </c>
      <c r="F276" s="14" t="s">
        <v>7761</v>
      </c>
      <c r="G276" s="14" t="s">
        <v>7837</v>
      </c>
      <c r="H276" s="14"/>
      <c r="I276" s="14" t="s">
        <v>49</v>
      </c>
      <c r="J276" s="11" t="str">
        <f>HYPERLINK("https://www.codechef.com/problems/LPRASPR83", "https://www.codechef.com/problems/LPRASPR83")</f>
        <v>https://www.codechef.com/problems/LPRASPR83</v>
      </c>
      <c r="K276" s="14"/>
      <c r="L276" s="14"/>
      <c r="M276" s="14"/>
      <c r="N276" s="14" t="s">
        <v>50</v>
      </c>
      <c r="O276" s="14" t="s">
        <v>51</v>
      </c>
    </row>
    <row r="277" spans="1:15">
      <c r="A277" s="15" t="s">
        <v>14</v>
      </c>
      <c r="B277" s="15" t="s">
        <v>7696</v>
      </c>
      <c r="C277" s="15" t="s">
        <v>7697</v>
      </c>
      <c r="D277" s="15" t="s">
        <v>7829</v>
      </c>
      <c r="E277" s="15">
        <v>84</v>
      </c>
      <c r="F277" s="15" t="s">
        <v>7761</v>
      </c>
      <c r="G277" s="15" t="s">
        <v>7838</v>
      </c>
      <c r="H277" s="15"/>
      <c r="I277" s="15" t="s">
        <v>49</v>
      </c>
      <c r="J277" s="7" t="str">
        <f>HYPERLINK("https://www.codechef.com/problems/LPRASPR84", "https://www.codechef.com/problems/LPRASPR84")</f>
        <v>https://www.codechef.com/problems/LPRASPR84</v>
      </c>
      <c r="K277" s="15"/>
      <c r="L277" s="15"/>
      <c r="M277" s="15"/>
      <c r="N277" s="15" t="s">
        <v>50</v>
      </c>
      <c r="O277" s="15" t="s">
        <v>51</v>
      </c>
    </row>
    <row r="278" spans="1:15">
      <c r="A278" s="14" t="s">
        <v>14</v>
      </c>
      <c r="B278" s="14" t="s">
        <v>7696</v>
      </c>
      <c r="C278" s="14" t="s">
        <v>7697</v>
      </c>
      <c r="D278" s="14" t="s">
        <v>7829</v>
      </c>
      <c r="E278" s="14">
        <v>85</v>
      </c>
      <c r="F278" s="14" t="s">
        <v>7761</v>
      </c>
      <c r="G278" s="14" t="s">
        <v>7839</v>
      </c>
      <c r="H278" s="14"/>
      <c r="I278" s="14" t="s">
        <v>49</v>
      </c>
      <c r="J278" s="11" t="str">
        <f>HYPERLINK("https://www.codechef.com/problems/LPRASPR85", "https://www.codechef.com/problems/LPRASPR85")</f>
        <v>https://www.codechef.com/problems/LPRASPR85</v>
      </c>
      <c r="K278" s="14"/>
      <c r="L278" s="14"/>
      <c r="M278" s="14"/>
      <c r="N278" s="14" t="s">
        <v>50</v>
      </c>
      <c r="O278" s="14" t="s">
        <v>51</v>
      </c>
    </row>
    <row r="279" spans="1:15">
      <c r="A279" s="15" t="s">
        <v>14</v>
      </c>
      <c r="B279" s="15" t="s">
        <v>7696</v>
      </c>
      <c r="C279" s="15" t="s">
        <v>7697</v>
      </c>
      <c r="D279" s="15" t="s">
        <v>7829</v>
      </c>
      <c r="E279" s="15">
        <v>86</v>
      </c>
      <c r="F279" s="15" t="s">
        <v>7840</v>
      </c>
      <c r="G279" s="15" t="s">
        <v>7841</v>
      </c>
      <c r="H279" s="15"/>
      <c r="I279" s="15" t="s">
        <v>49</v>
      </c>
      <c r="J279" s="7" t="str">
        <f>HYPERLINK("https://www.codechef.com/problems/LPRASPR86", "https://www.codechef.com/problems/LPRASPR86")</f>
        <v>https://www.codechef.com/problems/LPRASPR86</v>
      </c>
      <c r="K279" s="15"/>
      <c r="L279" s="15"/>
      <c r="M279" s="15"/>
      <c r="N279" s="15" t="s">
        <v>50</v>
      </c>
      <c r="O279" s="15" t="s">
        <v>51</v>
      </c>
    </row>
    <row r="280" spans="1:15">
      <c r="A280" s="14" t="s">
        <v>14</v>
      </c>
      <c r="B280" s="14" t="s">
        <v>7696</v>
      </c>
      <c r="C280" s="14" t="s">
        <v>7697</v>
      </c>
      <c r="D280" s="14" t="s">
        <v>7829</v>
      </c>
      <c r="E280" s="14">
        <v>87</v>
      </c>
      <c r="F280" s="14" t="s">
        <v>7842</v>
      </c>
      <c r="G280" s="14" t="s">
        <v>7843</v>
      </c>
      <c r="H280" s="14"/>
      <c r="I280" s="14" t="s">
        <v>49</v>
      </c>
      <c r="J280" s="11" t="str">
        <f>HYPERLINK("https://www.codechef.com/problems/LPRASPR87", "https://www.codechef.com/problems/LPRASPR87")</f>
        <v>https://www.codechef.com/problems/LPRASPR87</v>
      </c>
      <c r="K280" s="14"/>
      <c r="L280" s="14"/>
      <c r="M280" s="14"/>
      <c r="N280" s="14" t="s">
        <v>50</v>
      </c>
      <c r="O280" s="14" t="s">
        <v>51</v>
      </c>
    </row>
    <row r="281" spans="1:15">
      <c r="A281" s="15" t="s">
        <v>14</v>
      </c>
      <c r="B281" s="15" t="s">
        <v>7696</v>
      </c>
      <c r="C281" s="15" t="s">
        <v>7697</v>
      </c>
      <c r="D281" s="15" t="s">
        <v>7829</v>
      </c>
      <c r="E281" s="15">
        <v>88</v>
      </c>
      <c r="F281" s="15" t="s">
        <v>7844</v>
      </c>
      <c r="G281" s="15" t="s">
        <v>7845</v>
      </c>
      <c r="H281" s="15"/>
      <c r="I281" s="15" t="s">
        <v>49</v>
      </c>
      <c r="J281" s="7" t="str">
        <f>HYPERLINK("https://www.codechef.com/problems/LPRASPR88", "https://www.codechef.com/problems/LPRASPR88")</f>
        <v>https://www.codechef.com/problems/LPRASPR88</v>
      </c>
      <c r="K281" s="15"/>
      <c r="L281" s="15"/>
      <c r="M281" s="15"/>
      <c r="N281" s="15" t="s">
        <v>50</v>
      </c>
      <c r="O281" s="15" t="s">
        <v>51</v>
      </c>
    </row>
    <row r="282" spans="1:15">
      <c r="A282" s="14" t="s">
        <v>14</v>
      </c>
      <c r="B282" s="14" t="s">
        <v>7696</v>
      </c>
      <c r="C282" s="14" t="s">
        <v>7697</v>
      </c>
      <c r="D282" s="14" t="s">
        <v>7846</v>
      </c>
      <c r="E282" s="14">
        <v>89</v>
      </c>
      <c r="F282" s="14" t="s">
        <v>7847</v>
      </c>
      <c r="G282" s="14" t="s">
        <v>7848</v>
      </c>
      <c r="H282" s="14"/>
      <c r="I282" s="14" t="s">
        <v>49</v>
      </c>
      <c r="J282" s="11" t="str">
        <f>HYPERLINK("https://www.codechef.com/problems/LPRASPR89", "https://www.codechef.com/problems/LPRASPR89")</f>
        <v>https://www.codechef.com/problems/LPRASPR89</v>
      </c>
      <c r="K282" s="14"/>
      <c r="L282" s="14"/>
      <c r="M282" s="14"/>
      <c r="N282" s="14" t="s">
        <v>50</v>
      </c>
      <c r="O282" s="14" t="s">
        <v>51</v>
      </c>
    </row>
    <row r="283" spans="1:15">
      <c r="A283" s="15" t="s">
        <v>14</v>
      </c>
      <c r="B283" s="15" t="s">
        <v>7696</v>
      </c>
      <c r="C283" s="15" t="s">
        <v>7697</v>
      </c>
      <c r="D283" s="15" t="s">
        <v>7846</v>
      </c>
      <c r="E283" s="15">
        <v>90</v>
      </c>
      <c r="F283" s="15" t="s">
        <v>7849</v>
      </c>
      <c r="G283" s="15" t="s">
        <v>7850</v>
      </c>
      <c r="H283" s="15"/>
      <c r="I283" s="15" t="s">
        <v>49</v>
      </c>
      <c r="J283" s="7" t="str">
        <f>HYPERLINK("https://www.codechef.com/problems/LPRASPR90", "https://www.codechef.com/problems/LPRASPR90")</f>
        <v>https://www.codechef.com/problems/LPRASPR90</v>
      </c>
      <c r="K283" s="15"/>
      <c r="L283" s="15"/>
      <c r="M283" s="15"/>
      <c r="N283" s="15" t="s">
        <v>50</v>
      </c>
      <c r="O283" s="15" t="s">
        <v>51</v>
      </c>
    </row>
    <row r="284" spans="1:15">
      <c r="A284" s="14" t="s">
        <v>14</v>
      </c>
      <c r="B284" s="14" t="s">
        <v>7696</v>
      </c>
      <c r="C284" s="14" t="s">
        <v>7697</v>
      </c>
      <c r="D284" s="14" t="s">
        <v>7846</v>
      </c>
      <c r="E284" s="14">
        <v>91</v>
      </c>
      <c r="F284" s="14" t="s">
        <v>7849</v>
      </c>
      <c r="G284" s="14" t="s">
        <v>7851</v>
      </c>
      <c r="H284" s="14"/>
      <c r="I284" s="14" t="s">
        <v>49</v>
      </c>
      <c r="J284" s="11" t="str">
        <f>HYPERLINK("https://www.codechef.com/problems/LPRASPR91", "https://www.codechef.com/problems/LPRASPR91")</f>
        <v>https://www.codechef.com/problems/LPRASPR91</v>
      </c>
      <c r="K284" s="14"/>
      <c r="L284" s="14"/>
      <c r="M284" s="14"/>
      <c r="N284" s="14" t="s">
        <v>50</v>
      </c>
      <c r="O284" s="14" t="s">
        <v>51</v>
      </c>
    </row>
    <row r="285" spans="1:15">
      <c r="A285" s="15" t="s">
        <v>14</v>
      </c>
      <c r="B285" s="15" t="s">
        <v>7696</v>
      </c>
      <c r="C285" s="15" t="s">
        <v>7697</v>
      </c>
      <c r="D285" s="15" t="s">
        <v>7846</v>
      </c>
      <c r="E285" s="15">
        <v>92</v>
      </c>
      <c r="F285" s="15" t="s">
        <v>7849</v>
      </c>
      <c r="G285" s="15" t="s">
        <v>7852</v>
      </c>
      <c r="H285" s="15"/>
      <c r="I285" s="15" t="s">
        <v>49</v>
      </c>
      <c r="J285" s="7" t="str">
        <f>HYPERLINK("https://www.codechef.com/problems/LPRASPR92", "https://www.codechef.com/problems/LPRASPR92")</f>
        <v>https://www.codechef.com/problems/LPRASPR92</v>
      </c>
      <c r="K285" s="15"/>
      <c r="L285" s="15"/>
      <c r="M285" s="15"/>
      <c r="N285" s="15" t="s">
        <v>50</v>
      </c>
      <c r="O285" s="15" t="s">
        <v>51</v>
      </c>
    </row>
    <row r="286" spans="1:15">
      <c r="A286" s="14" t="s">
        <v>14</v>
      </c>
      <c r="B286" s="14" t="s">
        <v>7696</v>
      </c>
      <c r="C286" s="14" t="s">
        <v>7697</v>
      </c>
      <c r="D286" s="14" t="s">
        <v>7846</v>
      </c>
      <c r="E286" s="14">
        <v>93</v>
      </c>
      <c r="F286" s="14" t="s">
        <v>7699</v>
      </c>
      <c r="G286" s="14" t="s">
        <v>7853</v>
      </c>
      <c r="H286" s="14"/>
      <c r="I286" s="14" t="s">
        <v>49</v>
      </c>
      <c r="J286" s="11" t="str">
        <f>HYPERLINK("https://www.codechef.com/problems/LPRASPR93", "https://www.codechef.com/problems/LPRASPR93")</f>
        <v>https://www.codechef.com/problems/LPRASPR93</v>
      </c>
      <c r="K286" s="14"/>
      <c r="L286" s="14"/>
      <c r="M286" s="14"/>
      <c r="N286" s="14" t="s">
        <v>50</v>
      </c>
      <c r="O286" s="14" t="s">
        <v>51</v>
      </c>
    </row>
    <row r="287" spans="1:15">
      <c r="A287" s="15" t="s">
        <v>14</v>
      </c>
      <c r="B287" s="15" t="s">
        <v>7696</v>
      </c>
      <c r="C287" s="15" t="s">
        <v>7697</v>
      </c>
      <c r="D287" s="15" t="s">
        <v>7846</v>
      </c>
      <c r="E287" s="15">
        <v>94</v>
      </c>
      <c r="F287" s="15" t="s">
        <v>7854</v>
      </c>
      <c r="G287" s="15" t="s">
        <v>7855</v>
      </c>
      <c r="H287" s="15"/>
      <c r="I287" s="15" t="s">
        <v>49</v>
      </c>
      <c r="J287" s="7" t="str">
        <f>HYPERLINK("https://www.codechef.com/problems/LPRASPR94", "https://www.codechef.com/problems/LPRASPR94")</f>
        <v>https://www.codechef.com/problems/LPRASPR94</v>
      </c>
      <c r="K287" s="15"/>
      <c r="L287" s="15"/>
      <c r="M287" s="15"/>
      <c r="N287" s="15" t="s">
        <v>50</v>
      </c>
      <c r="O287" s="15" t="s">
        <v>51</v>
      </c>
    </row>
    <row r="288" spans="1:15">
      <c r="A288" s="14" t="s">
        <v>14</v>
      </c>
      <c r="B288" s="14" t="s">
        <v>7696</v>
      </c>
      <c r="C288" s="14" t="s">
        <v>7697</v>
      </c>
      <c r="D288" s="14" t="s">
        <v>7846</v>
      </c>
      <c r="E288" s="14">
        <v>95</v>
      </c>
      <c r="F288" s="14" t="s">
        <v>7854</v>
      </c>
      <c r="G288" s="14" t="s">
        <v>7856</v>
      </c>
      <c r="H288" s="14"/>
      <c r="I288" s="14" t="s">
        <v>49</v>
      </c>
      <c r="J288" s="11" t="str">
        <f>HYPERLINK("https://www.codechef.com/problems/LPRASPR95", "https://www.codechef.com/problems/LPRASPR95")</f>
        <v>https://www.codechef.com/problems/LPRASPR95</v>
      </c>
      <c r="K288" s="14"/>
      <c r="L288" s="14"/>
      <c r="M288" s="14"/>
      <c r="N288" s="14" t="s">
        <v>50</v>
      </c>
      <c r="O288" s="14" t="s">
        <v>51</v>
      </c>
    </row>
    <row r="289" spans="1:15">
      <c r="A289" s="15" t="s">
        <v>14</v>
      </c>
      <c r="B289" s="15" t="s">
        <v>7696</v>
      </c>
      <c r="C289" s="15" t="s">
        <v>7697</v>
      </c>
      <c r="D289" s="15" t="s">
        <v>7846</v>
      </c>
      <c r="E289" s="15">
        <v>96</v>
      </c>
      <c r="F289" s="15" t="s">
        <v>7854</v>
      </c>
      <c r="G289" s="15" t="s">
        <v>7857</v>
      </c>
      <c r="H289" s="15"/>
      <c r="I289" s="15" t="s">
        <v>49</v>
      </c>
      <c r="J289" s="7" t="str">
        <f>HYPERLINK("https://www.codechef.com/problems/LPRASPR96", "https://www.codechef.com/problems/LPRASPR96")</f>
        <v>https://www.codechef.com/problems/LPRASPR96</v>
      </c>
      <c r="K289" s="15"/>
      <c r="L289" s="15"/>
      <c r="M289" s="15"/>
      <c r="N289" s="15" t="s">
        <v>50</v>
      </c>
      <c r="O289" s="15" t="s">
        <v>51</v>
      </c>
    </row>
    <row r="290" spans="1:15">
      <c r="A290" s="14" t="s">
        <v>14</v>
      </c>
      <c r="B290" s="14" t="s">
        <v>7696</v>
      </c>
      <c r="C290" s="14" t="s">
        <v>7697</v>
      </c>
      <c r="D290" s="14" t="s">
        <v>7846</v>
      </c>
      <c r="E290" s="14">
        <v>97</v>
      </c>
      <c r="F290" s="14" t="s">
        <v>7854</v>
      </c>
      <c r="G290" s="14" t="s">
        <v>7858</v>
      </c>
      <c r="H290" s="14"/>
      <c r="I290" s="14" t="s">
        <v>49</v>
      </c>
      <c r="J290" s="11" t="str">
        <f>HYPERLINK("https://www.codechef.com/problems/LPRASPR97", "https://www.codechef.com/problems/LPRASPR97")</f>
        <v>https://www.codechef.com/problems/LPRASPR97</v>
      </c>
      <c r="K290" s="14"/>
      <c r="L290" s="14"/>
      <c r="M290" s="14"/>
      <c r="N290" s="14" t="s">
        <v>50</v>
      </c>
      <c r="O290" s="14" t="s">
        <v>51</v>
      </c>
    </row>
    <row r="291" spans="1:15">
      <c r="A291" s="15" t="s">
        <v>14</v>
      </c>
      <c r="B291" s="15" t="s">
        <v>7696</v>
      </c>
      <c r="C291" s="15" t="s">
        <v>7697</v>
      </c>
      <c r="D291" s="15" t="s">
        <v>7846</v>
      </c>
      <c r="E291" s="15">
        <v>98</v>
      </c>
      <c r="F291" s="15" t="s">
        <v>7854</v>
      </c>
      <c r="G291" s="15" t="s">
        <v>7859</v>
      </c>
      <c r="H291" s="15"/>
      <c r="I291" s="15" t="s">
        <v>49</v>
      </c>
      <c r="J291" s="7" t="str">
        <f>HYPERLINK("https://www.codechef.com/problems/LPRASPR98", "https://www.codechef.com/problems/LPRASPR98")</f>
        <v>https://www.codechef.com/problems/LPRASPR98</v>
      </c>
      <c r="K291" s="15"/>
      <c r="L291" s="15"/>
      <c r="M291" s="15"/>
      <c r="N291" s="15" t="s">
        <v>50</v>
      </c>
      <c r="O291" s="15" t="s">
        <v>51</v>
      </c>
    </row>
    <row r="292" spans="1:15">
      <c r="A292" s="14" t="s">
        <v>14</v>
      </c>
      <c r="B292" s="14" t="s">
        <v>7696</v>
      </c>
      <c r="C292" s="14" t="s">
        <v>7697</v>
      </c>
      <c r="D292" s="14" t="s">
        <v>7846</v>
      </c>
      <c r="E292" s="14">
        <v>99</v>
      </c>
      <c r="F292" s="14" t="s">
        <v>7860</v>
      </c>
      <c r="G292" s="14" t="s">
        <v>7861</v>
      </c>
      <c r="H292" s="14"/>
      <c r="I292" s="14" t="s">
        <v>49</v>
      </c>
      <c r="J292" s="11" t="str">
        <f>HYPERLINK("https://www.codechef.com/problems/LPRASPR99", "https://www.codechef.com/problems/LPRASPR99")</f>
        <v>https://www.codechef.com/problems/LPRASPR99</v>
      </c>
      <c r="K292" s="14"/>
      <c r="L292" s="14"/>
      <c r="M292" s="14"/>
      <c r="N292" s="14" t="s">
        <v>50</v>
      </c>
      <c r="O292" s="14" t="s">
        <v>51</v>
      </c>
    </row>
    <row r="293" spans="1:15">
      <c r="A293" s="15" t="s">
        <v>14</v>
      </c>
      <c r="B293" s="15" t="s">
        <v>7696</v>
      </c>
      <c r="C293" s="15" t="s">
        <v>7697</v>
      </c>
      <c r="D293" s="15" t="s">
        <v>7846</v>
      </c>
      <c r="E293" s="15">
        <v>100</v>
      </c>
      <c r="F293" s="15" t="s">
        <v>7862</v>
      </c>
      <c r="G293" s="15" t="s">
        <v>7863</v>
      </c>
      <c r="H293" s="15"/>
      <c r="I293" s="15" t="s">
        <v>49</v>
      </c>
      <c r="J293" s="7" t="str">
        <f>HYPERLINK("https://www.codechef.com/problems/LPRASPR100", "https://www.codechef.com/problems/LPRASPR100")</f>
        <v>https://www.codechef.com/problems/LPRASPR100</v>
      </c>
      <c r="K293" s="15"/>
      <c r="L293" s="15"/>
      <c r="M293" s="15"/>
      <c r="N293" s="15" t="s">
        <v>50</v>
      </c>
      <c r="O293" s="15" t="s">
        <v>51</v>
      </c>
    </row>
    <row r="294" spans="1:15">
      <c r="A294" s="14" t="s">
        <v>14</v>
      </c>
      <c r="B294" s="14" t="s">
        <v>7696</v>
      </c>
      <c r="C294" s="14" t="s">
        <v>7697</v>
      </c>
      <c r="D294" s="14" t="s">
        <v>6094</v>
      </c>
      <c r="E294" s="14">
        <v>101</v>
      </c>
      <c r="F294" s="14" t="s">
        <v>7864</v>
      </c>
      <c r="G294" s="14" t="s">
        <v>7865</v>
      </c>
      <c r="H294" s="14"/>
      <c r="I294" s="14" t="s">
        <v>49</v>
      </c>
      <c r="J294" s="11" t="str">
        <f>HYPERLINK("https://www.codechef.com/problems/LPRASPR101", "https://www.codechef.com/problems/LPRASPR101")</f>
        <v>https://www.codechef.com/problems/LPRASPR101</v>
      </c>
      <c r="K294" s="14"/>
      <c r="L294" s="14"/>
      <c r="M294" s="14"/>
      <c r="N294" s="14" t="s">
        <v>50</v>
      </c>
      <c r="O294" s="14" t="s">
        <v>51</v>
      </c>
    </row>
    <row r="295" spans="1:15">
      <c r="A295" s="15" t="s">
        <v>14</v>
      </c>
      <c r="B295" s="15" t="s">
        <v>7696</v>
      </c>
      <c r="C295" s="15" t="s">
        <v>7697</v>
      </c>
      <c r="D295" s="15" t="s">
        <v>6094</v>
      </c>
      <c r="E295" s="15">
        <v>102</v>
      </c>
      <c r="F295" s="15" t="s">
        <v>7761</v>
      </c>
      <c r="G295" s="15" t="s">
        <v>7866</v>
      </c>
      <c r="H295" s="15"/>
      <c r="I295" s="15" t="s">
        <v>49</v>
      </c>
      <c r="J295" s="7" t="str">
        <f>HYPERLINK("https://www.codechef.com/problems/LPRASPR102", "https://www.codechef.com/problems/LPRASPR102")</f>
        <v>https://www.codechef.com/problems/LPRASPR102</v>
      </c>
      <c r="K295" s="15"/>
      <c r="L295" s="15"/>
      <c r="M295" s="15"/>
      <c r="N295" s="15" t="s">
        <v>50</v>
      </c>
      <c r="O295" s="15" t="s">
        <v>51</v>
      </c>
    </row>
    <row r="296" spans="1:15">
      <c r="A296" s="14" t="s">
        <v>14</v>
      </c>
      <c r="B296" s="14" t="s">
        <v>7696</v>
      </c>
      <c r="C296" s="14" t="s">
        <v>7697</v>
      </c>
      <c r="D296" s="14" t="s">
        <v>6094</v>
      </c>
      <c r="E296" s="14">
        <v>103</v>
      </c>
      <c r="F296" s="14" t="s">
        <v>7761</v>
      </c>
      <c r="G296" s="14" t="s">
        <v>7867</v>
      </c>
      <c r="H296" s="14"/>
      <c r="I296" s="14" t="s">
        <v>49</v>
      </c>
      <c r="J296" s="11" t="str">
        <f>HYPERLINK("https://www.codechef.com/problems/LPRASPR103", "https://www.codechef.com/problems/LPRASPR103")</f>
        <v>https://www.codechef.com/problems/LPRASPR103</v>
      </c>
      <c r="K296" s="14"/>
      <c r="L296" s="14"/>
      <c r="M296" s="14"/>
      <c r="N296" s="14" t="s">
        <v>50</v>
      </c>
      <c r="O296" s="14" t="s">
        <v>51</v>
      </c>
    </row>
    <row r="297" spans="1:15">
      <c r="A297" s="15" t="s">
        <v>14</v>
      </c>
      <c r="B297" s="15" t="s">
        <v>7696</v>
      </c>
      <c r="C297" s="15" t="s">
        <v>7697</v>
      </c>
      <c r="D297" s="15" t="s">
        <v>6094</v>
      </c>
      <c r="E297" s="15">
        <v>104</v>
      </c>
      <c r="F297" s="15" t="s">
        <v>7761</v>
      </c>
      <c r="G297" s="15" t="s">
        <v>7868</v>
      </c>
      <c r="H297" s="15"/>
      <c r="I297" s="15" t="s">
        <v>49</v>
      </c>
      <c r="J297" s="7" t="str">
        <f>HYPERLINK("https://www.codechef.com/problems/LPRASPR104", "https://www.codechef.com/problems/LPRASPR104")</f>
        <v>https://www.codechef.com/problems/LPRASPR104</v>
      </c>
      <c r="K297" s="15"/>
      <c r="L297" s="15"/>
      <c r="M297" s="15"/>
      <c r="N297" s="15" t="s">
        <v>50</v>
      </c>
      <c r="O297" s="15" t="s">
        <v>51</v>
      </c>
    </row>
    <row r="298" spans="1:15">
      <c r="A298" s="14" t="s">
        <v>14</v>
      </c>
      <c r="B298" s="14" t="s">
        <v>7696</v>
      </c>
      <c r="C298" s="14" t="s">
        <v>7697</v>
      </c>
      <c r="D298" s="14" t="s">
        <v>6094</v>
      </c>
      <c r="E298" s="14">
        <v>105</v>
      </c>
      <c r="F298" s="14" t="s">
        <v>7761</v>
      </c>
      <c r="G298" s="14" t="s">
        <v>7869</v>
      </c>
      <c r="H298" s="14"/>
      <c r="I298" s="14" t="s">
        <v>49</v>
      </c>
      <c r="J298" s="11" t="str">
        <f>HYPERLINK("https://www.codechef.com/problems/LPRASPR105", "https://www.codechef.com/problems/LPRASPR105")</f>
        <v>https://www.codechef.com/problems/LPRASPR105</v>
      </c>
      <c r="K298" s="14"/>
      <c r="L298" s="14"/>
      <c r="M298" s="14"/>
      <c r="N298" s="14" t="s">
        <v>50</v>
      </c>
      <c r="O298" s="14" t="s">
        <v>51</v>
      </c>
    </row>
    <row r="299" spans="1:15">
      <c r="A299" s="15" t="s">
        <v>14</v>
      </c>
      <c r="B299" s="15" t="s">
        <v>7696</v>
      </c>
      <c r="C299" s="15" t="s">
        <v>7697</v>
      </c>
      <c r="D299" s="15" t="s">
        <v>6094</v>
      </c>
      <c r="E299" s="15">
        <v>106</v>
      </c>
      <c r="F299" s="15" t="s">
        <v>7761</v>
      </c>
      <c r="G299" s="15" t="s">
        <v>7870</v>
      </c>
      <c r="H299" s="15"/>
      <c r="I299" s="15" t="s">
        <v>49</v>
      </c>
      <c r="J299" s="7" t="str">
        <f>HYPERLINK("https://www.codechef.com/problems/LPRASPR106", "https://www.codechef.com/problems/LPRASPR106")</f>
        <v>https://www.codechef.com/problems/LPRASPR106</v>
      </c>
      <c r="K299" s="15"/>
      <c r="L299" s="15"/>
      <c r="M299" s="15"/>
      <c r="N299" s="15" t="s">
        <v>50</v>
      </c>
      <c r="O299" s="15" t="s">
        <v>51</v>
      </c>
    </row>
    <row r="300" spans="1:15">
      <c r="A300" s="14" t="s">
        <v>14</v>
      </c>
      <c r="B300" s="14" t="s">
        <v>7696</v>
      </c>
      <c r="C300" s="14" t="s">
        <v>7697</v>
      </c>
      <c r="D300" s="14" t="s">
        <v>6094</v>
      </c>
      <c r="E300" s="14">
        <v>107</v>
      </c>
      <c r="F300" s="14" t="s">
        <v>7761</v>
      </c>
      <c r="G300" s="14" t="s">
        <v>7871</v>
      </c>
      <c r="H300" s="14"/>
      <c r="I300" s="14" t="s">
        <v>49</v>
      </c>
      <c r="J300" s="11" t="str">
        <f>HYPERLINK("https://www.codechef.com/problems/LPRASPR107", "https://www.codechef.com/problems/LPRASPR107")</f>
        <v>https://www.codechef.com/problems/LPRASPR107</v>
      </c>
      <c r="K300" s="14"/>
      <c r="L300" s="14"/>
      <c r="M300" s="14"/>
      <c r="N300" s="14" t="s">
        <v>50</v>
      </c>
      <c r="O300" s="14" t="s">
        <v>51</v>
      </c>
    </row>
    <row r="301" spans="1:15">
      <c r="A301" s="15" t="s">
        <v>14</v>
      </c>
      <c r="B301" s="15" t="s">
        <v>7696</v>
      </c>
      <c r="C301" s="15" t="s">
        <v>7697</v>
      </c>
      <c r="D301" s="15" t="s">
        <v>6094</v>
      </c>
      <c r="E301" s="15">
        <v>108</v>
      </c>
      <c r="F301" s="15" t="s">
        <v>7761</v>
      </c>
      <c r="G301" s="15" t="s">
        <v>7872</v>
      </c>
      <c r="H301" s="15"/>
      <c r="I301" s="15" t="s">
        <v>49</v>
      </c>
      <c r="J301" s="7" t="str">
        <f>HYPERLINK("https://www.codechef.com/problems/LPRASPR108", "https://www.codechef.com/problems/LPRASPR108")</f>
        <v>https://www.codechef.com/problems/LPRASPR108</v>
      </c>
      <c r="K301" s="15"/>
      <c r="L301" s="15"/>
      <c r="M301" s="15"/>
      <c r="N301" s="15" t="s">
        <v>50</v>
      </c>
      <c r="O301" s="15" t="s">
        <v>51</v>
      </c>
    </row>
    <row r="302" spans="1:15">
      <c r="A302" s="14" t="s">
        <v>14</v>
      </c>
      <c r="B302" s="14" t="s">
        <v>7696</v>
      </c>
      <c r="C302" s="14" t="s">
        <v>7697</v>
      </c>
      <c r="D302" s="14" t="s">
        <v>6094</v>
      </c>
      <c r="E302" s="14">
        <v>109</v>
      </c>
      <c r="F302" s="14" t="s">
        <v>7873</v>
      </c>
      <c r="G302" s="14" t="s">
        <v>7874</v>
      </c>
      <c r="H302" s="14"/>
      <c r="I302" s="14" t="s">
        <v>49</v>
      </c>
      <c r="J302" s="11" t="str">
        <f>HYPERLINK("https://www.codechef.com/problems/LPRASPR109", "https://www.codechef.com/problems/LPRASPR109")</f>
        <v>https://www.codechef.com/problems/LPRASPR109</v>
      </c>
      <c r="K302" s="14"/>
      <c r="L302" s="14"/>
      <c r="M302" s="14"/>
      <c r="N302" s="14" t="s">
        <v>50</v>
      </c>
      <c r="O302" s="14" t="s">
        <v>51</v>
      </c>
    </row>
    <row r="303" spans="1:15">
      <c r="A303" s="15" t="s">
        <v>14</v>
      </c>
      <c r="B303" s="15" t="s">
        <v>7696</v>
      </c>
      <c r="C303" s="15" t="s">
        <v>7697</v>
      </c>
      <c r="D303" s="15" t="s">
        <v>6094</v>
      </c>
      <c r="E303" s="15">
        <v>110</v>
      </c>
      <c r="F303" s="15" t="s">
        <v>7875</v>
      </c>
      <c r="G303" s="15" t="s">
        <v>7876</v>
      </c>
      <c r="H303" s="15"/>
      <c r="I303" s="15" t="s">
        <v>49</v>
      </c>
      <c r="J303" s="7" t="str">
        <f>HYPERLINK("https://www.codechef.com/problems/LPRASPR110", "https://www.codechef.com/problems/LPRASPR110")</f>
        <v>https://www.codechef.com/problems/LPRASPR110</v>
      </c>
      <c r="K303" s="15"/>
      <c r="L303" s="15"/>
      <c r="M303" s="15"/>
      <c r="N303" s="15" t="s">
        <v>50</v>
      </c>
      <c r="O303" s="15" t="s">
        <v>51</v>
      </c>
    </row>
    <row r="304" spans="1:15">
      <c r="A304" s="14" t="s">
        <v>14</v>
      </c>
      <c r="B304" s="14" t="s">
        <v>7696</v>
      </c>
      <c r="C304" s="14" t="s">
        <v>7697</v>
      </c>
      <c r="D304" s="14" t="s">
        <v>6094</v>
      </c>
      <c r="E304" s="14">
        <v>111</v>
      </c>
      <c r="F304" s="14" t="s">
        <v>7877</v>
      </c>
      <c r="G304" s="14" t="s">
        <v>7878</v>
      </c>
      <c r="H304" s="14"/>
      <c r="I304" s="14" t="s">
        <v>49</v>
      </c>
      <c r="J304" s="11" t="str">
        <f>HYPERLINK("https://www.codechef.com/problems/LPRASPR111", "https://www.codechef.com/problems/LPRASPR111")</f>
        <v>https://www.codechef.com/problems/LPRASPR111</v>
      </c>
      <c r="K304" s="14"/>
      <c r="L304" s="14"/>
      <c r="M304" s="14"/>
      <c r="N304" s="14" t="s">
        <v>50</v>
      </c>
      <c r="O304" s="14" t="s">
        <v>51</v>
      </c>
    </row>
    <row r="305" spans="1:15">
      <c r="A305" s="15" t="s">
        <v>14</v>
      </c>
      <c r="B305" s="15" t="s">
        <v>7696</v>
      </c>
      <c r="C305" s="15" t="s">
        <v>7697</v>
      </c>
      <c r="D305" s="15" t="s">
        <v>6094</v>
      </c>
      <c r="E305" s="15">
        <v>112</v>
      </c>
      <c r="F305" s="15" t="s">
        <v>7879</v>
      </c>
      <c r="G305" s="15" t="s">
        <v>7880</v>
      </c>
      <c r="H305" s="15"/>
      <c r="I305" s="15" t="s">
        <v>49</v>
      </c>
      <c r="J305" s="7" t="str">
        <f>HYPERLINK("https://www.codechef.com/problems/LPRASPR112", "https://www.codechef.com/problems/LPRASPR112")</f>
        <v>https://www.codechef.com/problems/LPRASPR112</v>
      </c>
      <c r="K305" s="15"/>
      <c r="L305" s="15"/>
      <c r="M305" s="15"/>
      <c r="N305" s="15" t="s">
        <v>50</v>
      </c>
      <c r="O305" s="15" t="s">
        <v>51</v>
      </c>
    </row>
    <row r="306" spans="1:15">
      <c r="A306" s="14" t="s">
        <v>14</v>
      </c>
      <c r="B306" s="14" t="s">
        <v>7696</v>
      </c>
      <c r="C306" s="14" t="s">
        <v>7697</v>
      </c>
      <c r="D306" s="14" t="s">
        <v>7881</v>
      </c>
      <c r="E306" s="14">
        <v>113</v>
      </c>
      <c r="F306" s="14" t="s">
        <v>7761</v>
      </c>
      <c r="G306" s="14" t="s">
        <v>7882</v>
      </c>
      <c r="H306" s="14"/>
      <c r="I306" s="14" t="s">
        <v>49</v>
      </c>
      <c r="J306" s="11" t="str">
        <f>HYPERLINK("https://www.codechef.com/problems/LPRASPR113", "https://www.codechef.com/problems/LPRASPR113")</f>
        <v>https://www.codechef.com/problems/LPRASPR113</v>
      </c>
      <c r="K306" s="14"/>
      <c r="L306" s="14"/>
      <c r="M306" s="14"/>
      <c r="N306" s="14" t="s">
        <v>50</v>
      </c>
      <c r="O306" s="14" t="s">
        <v>51</v>
      </c>
    </row>
    <row r="307" spans="1:15">
      <c r="A307" s="15" t="s">
        <v>14</v>
      </c>
      <c r="B307" s="15" t="s">
        <v>7696</v>
      </c>
      <c r="C307" s="15" t="s">
        <v>7697</v>
      </c>
      <c r="D307" s="15" t="s">
        <v>7881</v>
      </c>
      <c r="E307" s="15">
        <v>114</v>
      </c>
      <c r="F307" s="15" t="s">
        <v>7761</v>
      </c>
      <c r="G307" s="15" t="s">
        <v>7883</v>
      </c>
      <c r="H307" s="15"/>
      <c r="I307" s="15" t="s">
        <v>49</v>
      </c>
      <c r="J307" s="7" t="str">
        <f>HYPERLINK("https://www.codechef.com/problems/LPRASPR114", "https://www.codechef.com/problems/LPRASPR114")</f>
        <v>https://www.codechef.com/problems/LPRASPR114</v>
      </c>
      <c r="K307" s="15"/>
      <c r="L307" s="15"/>
      <c r="M307" s="15"/>
      <c r="N307" s="15" t="s">
        <v>50</v>
      </c>
      <c r="O307" s="15" t="s">
        <v>51</v>
      </c>
    </row>
    <row r="308" spans="1:15">
      <c r="A308" s="14" t="s">
        <v>14</v>
      </c>
      <c r="B308" s="14" t="s">
        <v>7696</v>
      </c>
      <c r="C308" s="14" t="s">
        <v>7697</v>
      </c>
      <c r="D308" s="14" t="s">
        <v>7881</v>
      </c>
      <c r="E308" s="14">
        <v>115</v>
      </c>
      <c r="F308" s="14" t="s">
        <v>7761</v>
      </c>
      <c r="G308" s="14" t="s">
        <v>7884</v>
      </c>
      <c r="H308" s="14"/>
      <c r="I308" s="14" t="s">
        <v>49</v>
      </c>
      <c r="J308" s="11" t="str">
        <f>HYPERLINK("https://www.codechef.com/problems/LPRASPR115", "https://www.codechef.com/problems/LPRASPR115")</f>
        <v>https://www.codechef.com/problems/LPRASPR115</v>
      </c>
      <c r="K308" s="14"/>
      <c r="L308" s="14"/>
      <c r="M308" s="14"/>
      <c r="N308" s="14" t="s">
        <v>50</v>
      </c>
      <c r="O308" s="14" t="s">
        <v>51</v>
      </c>
    </row>
    <row r="309" spans="1:15">
      <c r="A309" s="15" t="s">
        <v>14</v>
      </c>
      <c r="B309" s="15" t="s">
        <v>7696</v>
      </c>
      <c r="C309" s="15" t="s">
        <v>7697</v>
      </c>
      <c r="D309" s="15" t="s">
        <v>7881</v>
      </c>
      <c r="E309" s="15">
        <v>116</v>
      </c>
      <c r="F309" s="15" t="s">
        <v>7885</v>
      </c>
      <c r="G309" s="15" t="s">
        <v>7886</v>
      </c>
      <c r="H309" s="15"/>
      <c r="I309" s="15" t="s">
        <v>49</v>
      </c>
      <c r="J309" s="7" t="str">
        <f>HYPERLINK("https://www.codechef.com/problems/LPRASPR116", "https://www.codechef.com/problems/LPRASPR116")</f>
        <v>https://www.codechef.com/problems/LPRASPR116</v>
      </c>
      <c r="K309" s="15"/>
      <c r="L309" s="15"/>
      <c r="M309" s="15"/>
      <c r="N309" s="15" t="s">
        <v>50</v>
      </c>
      <c r="O309" s="15" t="s">
        <v>51</v>
      </c>
    </row>
    <row r="310" spans="1:15">
      <c r="A310" s="14" t="s">
        <v>14</v>
      </c>
      <c r="B310" s="14" t="s">
        <v>7696</v>
      </c>
      <c r="C310" s="14" t="s">
        <v>7697</v>
      </c>
      <c r="D310" s="14" t="s">
        <v>7881</v>
      </c>
      <c r="E310" s="14">
        <v>117</v>
      </c>
      <c r="F310" s="14" t="s">
        <v>7761</v>
      </c>
      <c r="G310" s="14" t="s">
        <v>7887</v>
      </c>
      <c r="H310" s="14"/>
      <c r="I310" s="14" t="s">
        <v>49</v>
      </c>
      <c r="J310" s="11" t="str">
        <f>HYPERLINK("https://www.codechef.com/problems/LPRASPR117", "https://www.codechef.com/problems/LPRASPR117")</f>
        <v>https://www.codechef.com/problems/LPRASPR117</v>
      </c>
      <c r="K310" s="14"/>
      <c r="L310" s="14"/>
      <c r="M310" s="14"/>
      <c r="N310" s="14" t="s">
        <v>50</v>
      </c>
      <c r="O310" s="14" t="s">
        <v>51</v>
      </c>
    </row>
    <row r="311" spans="1:15">
      <c r="A311" s="15" t="s">
        <v>14</v>
      </c>
      <c r="B311" s="15" t="s">
        <v>7696</v>
      </c>
      <c r="C311" s="15" t="s">
        <v>7697</v>
      </c>
      <c r="D311" s="15" t="s">
        <v>7881</v>
      </c>
      <c r="E311" s="15">
        <v>118</v>
      </c>
      <c r="F311" s="15" t="s">
        <v>7761</v>
      </c>
      <c r="G311" s="15" t="s">
        <v>7888</v>
      </c>
      <c r="H311" s="15"/>
      <c r="I311" s="15" t="s">
        <v>49</v>
      </c>
      <c r="J311" s="7" t="str">
        <f>HYPERLINK("https://www.codechef.com/problems/LPRASPR118", "https://www.codechef.com/problems/LPRASPR118")</f>
        <v>https://www.codechef.com/problems/LPRASPR118</v>
      </c>
      <c r="K311" s="15"/>
      <c r="L311" s="15"/>
      <c r="M311" s="15"/>
      <c r="N311" s="15" t="s">
        <v>50</v>
      </c>
      <c r="O311" s="15" t="s">
        <v>51</v>
      </c>
    </row>
    <row r="312" spans="1:15">
      <c r="A312" s="14" t="s">
        <v>14</v>
      </c>
      <c r="B312" s="14" t="s">
        <v>7696</v>
      </c>
      <c r="C312" s="14" t="s">
        <v>7697</v>
      </c>
      <c r="D312" s="14" t="s">
        <v>7881</v>
      </c>
      <c r="E312" s="14">
        <v>119</v>
      </c>
      <c r="F312" s="14" t="s">
        <v>7889</v>
      </c>
      <c r="G312" s="14" t="s">
        <v>7890</v>
      </c>
      <c r="H312" s="14"/>
      <c r="I312" s="14" t="s">
        <v>49</v>
      </c>
      <c r="J312" s="11" t="str">
        <f>HYPERLINK("https://www.codechef.com/problems/LPRASPR119", "https://www.codechef.com/problems/LPRASPR119")</f>
        <v>https://www.codechef.com/problems/LPRASPR119</v>
      </c>
      <c r="K312" s="14"/>
      <c r="L312" s="14"/>
      <c r="M312" s="14"/>
      <c r="N312" s="14" t="s">
        <v>50</v>
      </c>
      <c r="O312" s="14" t="s">
        <v>51</v>
      </c>
    </row>
    <row r="313" spans="1:15">
      <c r="A313" s="15" t="s">
        <v>14</v>
      </c>
      <c r="B313" s="15" t="s">
        <v>7696</v>
      </c>
      <c r="C313" s="15" t="s">
        <v>7697</v>
      </c>
      <c r="D313" s="15" t="s">
        <v>7881</v>
      </c>
      <c r="E313" s="15">
        <v>120</v>
      </c>
      <c r="F313" s="15" t="s">
        <v>7891</v>
      </c>
      <c r="G313" s="15" t="s">
        <v>7892</v>
      </c>
      <c r="H313" s="15"/>
      <c r="I313" s="15" t="s">
        <v>49</v>
      </c>
      <c r="J313" s="7" t="str">
        <f>HYPERLINK("https://www.codechef.com/problems/LPRASPR120", "https://www.codechef.com/problems/LPRASPR120")</f>
        <v>https://www.codechef.com/problems/LPRASPR120</v>
      </c>
      <c r="K313" s="15"/>
      <c r="L313" s="15"/>
      <c r="M313" s="15"/>
      <c r="N313" s="15" t="s">
        <v>50</v>
      </c>
      <c r="O313" s="15" t="s">
        <v>51</v>
      </c>
    </row>
    <row r="314" spans="1:15">
      <c r="A314" s="14" t="s">
        <v>14</v>
      </c>
      <c r="B314" s="14" t="s">
        <v>7696</v>
      </c>
      <c r="C314" s="14" t="s">
        <v>7697</v>
      </c>
      <c r="D314" s="14" t="s">
        <v>7881</v>
      </c>
      <c r="E314" s="14">
        <v>121</v>
      </c>
      <c r="F314" s="14" t="s">
        <v>7732</v>
      </c>
      <c r="G314" s="14" t="s">
        <v>7893</v>
      </c>
      <c r="H314" s="14"/>
      <c r="I314" s="14" t="s">
        <v>49</v>
      </c>
      <c r="J314" s="11" t="str">
        <f>HYPERLINK("https://www.codechef.com/problems/LPRASPR121", "https://www.codechef.com/problems/LPRASPR121")</f>
        <v>https://www.codechef.com/problems/LPRASPR121</v>
      </c>
      <c r="K314" s="14"/>
      <c r="L314" s="14"/>
      <c r="M314" s="14"/>
      <c r="N314" s="14" t="s">
        <v>50</v>
      </c>
      <c r="O314" s="14" t="s">
        <v>51</v>
      </c>
    </row>
    <row r="315" spans="1:15">
      <c r="A315" s="15" t="s">
        <v>14</v>
      </c>
      <c r="B315" s="15" t="s">
        <v>7696</v>
      </c>
      <c r="C315" s="15" t="s">
        <v>7697</v>
      </c>
      <c r="D315" s="15" t="s">
        <v>7881</v>
      </c>
      <c r="E315" s="15">
        <v>122</v>
      </c>
      <c r="F315" s="15" t="s">
        <v>7894</v>
      </c>
      <c r="G315" s="15" t="s">
        <v>7895</v>
      </c>
      <c r="H315" s="15"/>
      <c r="I315" s="15" t="s">
        <v>49</v>
      </c>
      <c r="J315" s="7" t="str">
        <f>HYPERLINK("https://www.codechef.com/problems/LPRASPR122", "https://www.codechef.com/problems/LPRASPR122")</f>
        <v>https://www.codechef.com/problems/LPRASPR122</v>
      </c>
      <c r="K315" s="15"/>
      <c r="L315" s="15"/>
      <c r="M315" s="15"/>
      <c r="N315" s="15" t="s">
        <v>50</v>
      </c>
      <c r="O315" s="15" t="s">
        <v>51</v>
      </c>
    </row>
    <row r="316" spans="1:15">
      <c r="A316" s="14" t="s">
        <v>14</v>
      </c>
      <c r="B316" s="14" t="s">
        <v>7696</v>
      </c>
      <c r="C316" s="14" t="s">
        <v>7697</v>
      </c>
      <c r="D316" s="14" t="s">
        <v>7881</v>
      </c>
      <c r="E316" s="14">
        <v>123</v>
      </c>
      <c r="F316" s="14" t="s">
        <v>7896</v>
      </c>
      <c r="G316" s="14" t="s">
        <v>7897</v>
      </c>
      <c r="H316" s="14"/>
      <c r="I316" s="14" t="s">
        <v>49</v>
      </c>
      <c r="J316" s="11" t="str">
        <f>HYPERLINK("https://www.codechef.com/problems/LPRASPR123", "https://www.codechef.com/problems/LPRASPR123")</f>
        <v>https://www.codechef.com/problems/LPRASPR123</v>
      </c>
      <c r="K316" s="14"/>
      <c r="L316" s="14"/>
      <c r="M316" s="14"/>
      <c r="N316" s="14" t="s">
        <v>50</v>
      </c>
      <c r="O316" s="14" t="s">
        <v>51</v>
      </c>
    </row>
    <row r="317" spans="1:15">
      <c r="A317" s="15" t="s">
        <v>14</v>
      </c>
      <c r="B317" s="15" t="s">
        <v>7696</v>
      </c>
      <c r="C317" s="15" t="s">
        <v>7697</v>
      </c>
      <c r="D317" s="15" t="s">
        <v>7881</v>
      </c>
      <c r="E317" s="15">
        <v>124</v>
      </c>
      <c r="F317" s="15" t="s">
        <v>7898</v>
      </c>
      <c r="G317" s="15" t="s">
        <v>7899</v>
      </c>
      <c r="H317" s="15"/>
      <c r="I317" s="15" t="s">
        <v>49</v>
      </c>
      <c r="J317" s="7" t="str">
        <f>HYPERLINK("https://www.codechef.com/problems/LPRASPR124", "https://www.codechef.com/problems/LPRASPR124")</f>
        <v>https://www.codechef.com/problems/LPRASPR124</v>
      </c>
      <c r="K317" s="15"/>
      <c r="L317" s="15"/>
      <c r="M317" s="15"/>
      <c r="N317" s="15" t="s">
        <v>50</v>
      </c>
      <c r="O317" s="15" t="s">
        <v>51</v>
      </c>
    </row>
    <row r="318" spans="1:15">
      <c r="A318" s="14" t="s">
        <v>14</v>
      </c>
      <c r="B318" s="14" t="s">
        <v>7696</v>
      </c>
      <c r="C318" s="14" t="s">
        <v>7697</v>
      </c>
      <c r="D318" s="14" t="s">
        <v>7900</v>
      </c>
      <c r="E318" s="14">
        <v>125</v>
      </c>
      <c r="F318" s="14" t="s">
        <v>7761</v>
      </c>
      <c r="G318" s="14" t="s">
        <v>7901</v>
      </c>
      <c r="H318" s="14"/>
      <c r="I318" s="14" t="s">
        <v>49</v>
      </c>
      <c r="J318" s="11" t="str">
        <f>HYPERLINK("https://www.codechef.com/problems/LPRASPR125", "https://www.codechef.com/problems/LPRASPR125")</f>
        <v>https://www.codechef.com/problems/LPRASPR125</v>
      </c>
      <c r="K318" s="14"/>
      <c r="L318" s="14"/>
      <c r="M318" s="14"/>
      <c r="N318" s="14" t="s">
        <v>50</v>
      </c>
      <c r="O318" s="14" t="s">
        <v>51</v>
      </c>
    </row>
    <row r="319" spans="1:15">
      <c r="A319" s="15" t="s">
        <v>14</v>
      </c>
      <c r="B319" s="15" t="s">
        <v>7696</v>
      </c>
      <c r="C319" s="15" t="s">
        <v>7697</v>
      </c>
      <c r="D319" s="15" t="s">
        <v>7900</v>
      </c>
      <c r="E319" s="15">
        <v>126</v>
      </c>
      <c r="F319" s="15" t="s">
        <v>7902</v>
      </c>
      <c r="G319" s="15" t="s">
        <v>7903</v>
      </c>
      <c r="H319" s="15"/>
      <c r="I319" s="15" t="s">
        <v>49</v>
      </c>
      <c r="J319" s="7" t="str">
        <f>HYPERLINK("https://www.codechef.com/problems/LPRASPR126", "https://www.codechef.com/problems/LPRASPR126")</f>
        <v>https://www.codechef.com/problems/LPRASPR126</v>
      </c>
      <c r="K319" s="15"/>
      <c r="L319" s="15"/>
      <c r="M319" s="15"/>
      <c r="N319" s="15" t="s">
        <v>50</v>
      </c>
      <c r="O319" s="15" t="s">
        <v>51</v>
      </c>
    </row>
    <row r="320" spans="1:15">
      <c r="A320" s="14" t="s">
        <v>14</v>
      </c>
      <c r="B320" s="14" t="s">
        <v>7696</v>
      </c>
      <c r="C320" s="14" t="s">
        <v>7697</v>
      </c>
      <c r="D320" s="14" t="s">
        <v>7900</v>
      </c>
      <c r="E320" s="14">
        <v>127</v>
      </c>
      <c r="F320" s="14" t="s">
        <v>7904</v>
      </c>
      <c r="G320" s="14" t="s">
        <v>7905</v>
      </c>
      <c r="H320" s="14"/>
      <c r="I320" s="14" t="s">
        <v>49</v>
      </c>
      <c r="J320" s="11" t="str">
        <f>HYPERLINK("https://www.codechef.com/problems/LPRASPR127", "https://www.codechef.com/problems/LPRASPR127")</f>
        <v>https://www.codechef.com/problems/LPRASPR127</v>
      </c>
      <c r="K320" s="14"/>
      <c r="L320" s="14"/>
      <c r="M320" s="14"/>
      <c r="N320" s="14" t="s">
        <v>50</v>
      </c>
      <c r="O320" s="14" t="s">
        <v>51</v>
      </c>
    </row>
    <row r="321" spans="1:15">
      <c r="A321" s="15" t="s">
        <v>14</v>
      </c>
      <c r="B321" s="15" t="s">
        <v>7696</v>
      </c>
      <c r="C321" s="15" t="s">
        <v>7697</v>
      </c>
      <c r="D321" s="15" t="s">
        <v>7900</v>
      </c>
      <c r="E321" s="15">
        <v>128</v>
      </c>
      <c r="F321" s="15" t="s">
        <v>7906</v>
      </c>
      <c r="G321" s="15" t="s">
        <v>7907</v>
      </c>
      <c r="H321" s="15"/>
      <c r="I321" s="15" t="s">
        <v>49</v>
      </c>
      <c r="J321" s="7" t="str">
        <f>HYPERLINK("https://www.codechef.com/problems/LPRASPR128", "https://www.codechef.com/problems/LPRASPR128")</f>
        <v>https://www.codechef.com/problems/LPRASPR128</v>
      </c>
      <c r="K321" s="15"/>
      <c r="L321" s="15"/>
      <c r="M321" s="15"/>
      <c r="N321" s="15" t="s">
        <v>50</v>
      </c>
      <c r="O321" s="15" t="s">
        <v>51</v>
      </c>
    </row>
    <row r="322" spans="1:15">
      <c r="A322" s="14" t="s">
        <v>14</v>
      </c>
      <c r="B322" s="14" t="s">
        <v>7696</v>
      </c>
      <c r="C322" s="14" t="s">
        <v>7697</v>
      </c>
      <c r="D322" s="14" t="s">
        <v>7900</v>
      </c>
      <c r="E322" s="14">
        <v>129</v>
      </c>
      <c r="F322" s="14" t="s">
        <v>7761</v>
      </c>
      <c r="G322" s="14" t="s">
        <v>7908</v>
      </c>
      <c r="H322" s="14"/>
      <c r="I322" s="14" t="s">
        <v>49</v>
      </c>
      <c r="J322" s="11" t="str">
        <f>HYPERLINK("https://www.codechef.com/problems/LPRASPR129", "https://www.codechef.com/problems/LPRASPR129")</f>
        <v>https://www.codechef.com/problems/LPRASPR129</v>
      </c>
      <c r="K322" s="14"/>
      <c r="L322" s="14"/>
      <c r="M322" s="14"/>
      <c r="N322" s="14" t="s">
        <v>50</v>
      </c>
      <c r="O322" s="14" t="s">
        <v>51</v>
      </c>
    </row>
    <row r="323" spans="1:15">
      <c r="A323" s="15" t="s">
        <v>14</v>
      </c>
      <c r="B323" s="15" t="s">
        <v>7696</v>
      </c>
      <c r="C323" s="15" t="s">
        <v>7697</v>
      </c>
      <c r="D323" s="15" t="s">
        <v>7900</v>
      </c>
      <c r="E323" s="15">
        <v>130</v>
      </c>
      <c r="F323" s="15" t="s">
        <v>7761</v>
      </c>
      <c r="G323" s="15" t="s">
        <v>7909</v>
      </c>
      <c r="H323" s="15"/>
      <c r="I323" s="15" t="s">
        <v>49</v>
      </c>
      <c r="J323" s="7" t="str">
        <f>HYPERLINK("https://www.codechef.com/problems/LPRASPR130", "https://www.codechef.com/problems/LPRASPR130")</f>
        <v>https://www.codechef.com/problems/LPRASPR130</v>
      </c>
      <c r="K323" s="15"/>
      <c r="L323" s="15"/>
      <c r="M323" s="15"/>
      <c r="N323" s="15" t="s">
        <v>50</v>
      </c>
      <c r="O323" s="15" t="s">
        <v>51</v>
      </c>
    </row>
    <row r="324" spans="1:15">
      <c r="A324" s="14" t="s">
        <v>14</v>
      </c>
      <c r="B324" s="14" t="s">
        <v>7696</v>
      </c>
      <c r="C324" s="14" t="s">
        <v>7697</v>
      </c>
      <c r="D324" s="14" t="s">
        <v>7900</v>
      </c>
      <c r="E324" s="14">
        <v>131</v>
      </c>
      <c r="F324" s="14" t="s">
        <v>7910</v>
      </c>
      <c r="G324" s="14" t="s">
        <v>7911</v>
      </c>
      <c r="H324" s="14"/>
      <c r="I324" s="14" t="s">
        <v>49</v>
      </c>
      <c r="J324" s="11" t="str">
        <f>HYPERLINK("https://www.codechef.com/problems/LPRASPR131", "https://www.codechef.com/problems/LPRASPR131")</f>
        <v>https://www.codechef.com/problems/LPRASPR131</v>
      </c>
      <c r="K324" s="14"/>
      <c r="L324" s="14"/>
      <c r="M324" s="14"/>
      <c r="N324" s="14" t="s">
        <v>50</v>
      </c>
      <c r="O324" s="14" t="s">
        <v>51</v>
      </c>
    </row>
    <row r="325" spans="1:15">
      <c r="A325" s="15" t="s">
        <v>14</v>
      </c>
      <c r="B325" s="15" t="s">
        <v>7696</v>
      </c>
      <c r="C325" s="15" t="s">
        <v>7697</v>
      </c>
      <c r="D325" s="15" t="s">
        <v>7900</v>
      </c>
      <c r="E325" s="15">
        <v>132</v>
      </c>
      <c r="F325" s="15" t="s">
        <v>7761</v>
      </c>
      <c r="G325" s="15" t="s">
        <v>7912</v>
      </c>
      <c r="H325" s="15"/>
      <c r="I325" s="15" t="s">
        <v>49</v>
      </c>
      <c r="J325" s="7" t="str">
        <f>HYPERLINK("https://www.codechef.com/problems/LPRASPR132", "https://www.codechef.com/problems/LPRASPR132")</f>
        <v>https://www.codechef.com/problems/LPRASPR132</v>
      </c>
      <c r="K325" s="15"/>
      <c r="L325" s="15"/>
      <c r="M325" s="15"/>
      <c r="N325" s="15" t="s">
        <v>50</v>
      </c>
      <c r="O325" s="15" t="s">
        <v>51</v>
      </c>
    </row>
    <row r="326" spans="1:15">
      <c r="A326" s="14" t="s">
        <v>14</v>
      </c>
      <c r="B326" s="14" t="s">
        <v>7696</v>
      </c>
      <c r="C326" s="14" t="s">
        <v>7697</v>
      </c>
      <c r="D326" s="14" t="s">
        <v>7900</v>
      </c>
      <c r="E326" s="14">
        <v>133</v>
      </c>
      <c r="F326" s="14" t="s">
        <v>7913</v>
      </c>
      <c r="G326" s="14" t="s">
        <v>7914</v>
      </c>
      <c r="H326" s="14"/>
      <c r="I326" s="14" t="s">
        <v>49</v>
      </c>
      <c r="J326" s="11" t="str">
        <f>HYPERLINK("https://www.codechef.com/problems/LPRASPR133", "https://www.codechef.com/problems/LPRASPR133")</f>
        <v>https://www.codechef.com/problems/LPRASPR133</v>
      </c>
      <c r="K326" s="14"/>
      <c r="L326" s="14"/>
      <c r="M326" s="14"/>
      <c r="N326" s="14" t="s">
        <v>50</v>
      </c>
      <c r="O326" s="14" t="s">
        <v>51</v>
      </c>
    </row>
    <row r="327" spans="1:15">
      <c r="A327" s="15" t="s">
        <v>14</v>
      </c>
      <c r="B327" s="15" t="s">
        <v>7696</v>
      </c>
      <c r="C327" s="15" t="s">
        <v>7697</v>
      </c>
      <c r="D327" s="15" t="s">
        <v>7900</v>
      </c>
      <c r="E327" s="15">
        <v>134</v>
      </c>
      <c r="F327" s="15" t="s">
        <v>7915</v>
      </c>
      <c r="G327" s="15" t="s">
        <v>7916</v>
      </c>
      <c r="H327" s="15"/>
      <c r="I327" s="15" t="s">
        <v>49</v>
      </c>
      <c r="J327" s="7" t="str">
        <f>HYPERLINK("https://www.codechef.com/problems/LPRASPR134", "https://www.codechef.com/problems/LPRASPR134")</f>
        <v>https://www.codechef.com/problems/LPRASPR134</v>
      </c>
      <c r="K327" s="15"/>
      <c r="L327" s="15"/>
      <c r="M327" s="15"/>
      <c r="N327" s="15" t="s">
        <v>50</v>
      </c>
      <c r="O327" s="15" t="s">
        <v>51</v>
      </c>
    </row>
    <row r="328" spans="1:15">
      <c r="A328" s="14" t="s">
        <v>14</v>
      </c>
      <c r="B328" s="14" t="s">
        <v>7696</v>
      </c>
      <c r="C328" s="14" t="s">
        <v>7697</v>
      </c>
      <c r="D328" s="14" t="s">
        <v>7900</v>
      </c>
      <c r="E328" s="14">
        <v>135</v>
      </c>
      <c r="F328" s="14" t="s">
        <v>7917</v>
      </c>
      <c r="G328" s="14" t="s">
        <v>7918</v>
      </c>
      <c r="H328" s="14"/>
      <c r="I328" s="14" t="s">
        <v>49</v>
      </c>
      <c r="J328" s="11" t="str">
        <f>HYPERLINK("https://www.codechef.com/problems/LPRASPR135", "https://www.codechef.com/problems/LPRASPR135")</f>
        <v>https://www.codechef.com/problems/LPRASPR135</v>
      </c>
      <c r="K328" s="14"/>
      <c r="L328" s="14"/>
      <c r="M328" s="14"/>
      <c r="N328" s="14" t="s">
        <v>50</v>
      </c>
      <c r="O328" s="14" t="s">
        <v>51</v>
      </c>
    </row>
    <row r="329" spans="1:15">
      <c r="A329" s="15" t="s">
        <v>14</v>
      </c>
      <c r="B329" s="15" t="s">
        <v>7696</v>
      </c>
      <c r="C329" s="15" t="s">
        <v>7697</v>
      </c>
      <c r="D329" s="15" t="s">
        <v>7900</v>
      </c>
      <c r="E329" s="15">
        <v>136</v>
      </c>
      <c r="F329" s="15" t="s">
        <v>7919</v>
      </c>
      <c r="G329" s="15" t="s">
        <v>7920</v>
      </c>
      <c r="H329" s="15"/>
      <c r="I329" s="15" t="s">
        <v>49</v>
      </c>
      <c r="J329" s="7" t="str">
        <f>HYPERLINK("https://www.codechef.com/problems/LPRASPR136", "https://www.codechef.com/problems/LPRASPR136")</f>
        <v>https://www.codechef.com/problems/LPRASPR136</v>
      </c>
      <c r="K329" s="15"/>
      <c r="L329" s="15"/>
      <c r="M329" s="15"/>
      <c r="N329" s="15" t="s">
        <v>50</v>
      </c>
      <c r="O329" s="15" t="s">
        <v>51</v>
      </c>
    </row>
    <row r="330" spans="1:15">
      <c r="A330" s="14" t="s">
        <v>14</v>
      </c>
      <c r="B330" s="14" t="s">
        <v>7696</v>
      </c>
      <c r="C330" s="14" t="s">
        <v>7697</v>
      </c>
      <c r="D330" s="14" t="s">
        <v>7921</v>
      </c>
      <c r="E330" s="14">
        <v>137</v>
      </c>
      <c r="F330" s="14" t="s">
        <v>7761</v>
      </c>
      <c r="G330" s="14" t="s">
        <v>7922</v>
      </c>
      <c r="H330" s="14"/>
      <c r="I330" s="14" t="s">
        <v>49</v>
      </c>
      <c r="J330" s="11" t="str">
        <f>HYPERLINK("https://www.codechef.com/problems/LPRASPR137", "https://www.codechef.com/problems/LPRASPR137")</f>
        <v>https://www.codechef.com/problems/LPRASPR137</v>
      </c>
      <c r="K330" s="14"/>
      <c r="L330" s="14"/>
      <c r="M330" s="14"/>
      <c r="N330" s="14" t="s">
        <v>50</v>
      </c>
      <c r="O330" s="14" t="s">
        <v>51</v>
      </c>
    </row>
    <row r="331" spans="1:15">
      <c r="A331" s="15" t="s">
        <v>14</v>
      </c>
      <c r="B331" s="15" t="s">
        <v>7696</v>
      </c>
      <c r="C331" s="15" t="s">
        <v>7697</v>
      </c>
      <c r="D331" s="15" t="s">
        <v>7921</v>
      </c>
      <c r="E331" s="15">
        <v>138</v>
      </c>
      <c r="F331" s="15" t="s">
        <v>7761</v>
      </c>
      <c r="G331" s="15" t="s">
        <v>7923</v>
      </c>
      <c r="H331" s="15"/>
      <c r="I331" s="15" t="s">
        <v>49</v>
      </c>
      <c r="J331" s="7" t="str">
        <f>HYPERLINK("https://www.codechef.com/problems/LPRASPR138", "https://www.codechef.com/problems/LPRASPR138")</f>
        <v>https://www.codechef.com/problems/LPRASPR138</v>
      </c>
      <c r="K331" s="15"/>
      <c r="L331" s="15"/>
      <c r="M331" s="15"/>
      <c r="N331" s="15" t="s">
        <v>50</v>
      </c>
      <c r="O331" s="15" t="s">
        <v>51</v>
      </c>
    </row>
    <row r="332" spans="1:15">
      <c r="A332" s="14" t="s">
        <v>14</v>
      </c>
      <c r="B332" s="14" t="s">
        <v>7696</v>
      </c>
      <c r="C332" s="14" t="s">
        <v>7697</v>
      </c>
      <c r="D332" s="14" t="s">
        <v>7921</v>
      </c>
      <c r="E332" s="14">
        <v>139</v>
      </c>
      <c r="F332" s="14" t="s">
        <v>7761</v>
      </c>
      <c r="G332" s="14" t="s">
        <v>7924</v>
      </c>
      <c r="H332" s="14"/>
      <c r="I332" s="14" t="s">
        <v>49</v>
      </c>
      <c r="J332" s="11" t="str">
        <f>HYPERLINK("https://www.codechef.com/problems/LPRASPR139", "https://www.codechef.com/problems/LPRASPR139")</f>
        <v>https://www.codechef.com/problems/LPRASPR139</v>
      </c>
      <c r="K332" s="14"/>
      <c r="L332" s="14"/>
      <c r="M332" s="14"/>
      <c r="N332" s="14" t="s">
        <v>50</v>
      </c>
      <c r="O332" s="14" t="s">
        <v>51</v>
      </c>
    </row>
    <row r="333" spans="1:15">
      <c r="A333" s="15" t="s">
        <v>14</v>
      </c>
      <c r="B333" s="15" t="s">
        <v>7696</v>
      </c>
      <c r="C333" s="15" t="s">
        <v>7697</v>
      </c>
      <c r="D333" s="15" t="s">
        <v>7921</v>
      </c>
      <c r="E333" s="15">
        <v>140</v>
      </c>
      <c r="F333" s="15" t="s">
        <v>7925</v>
      </c>
      <c r="G333" s="15" t="s">
        <v>7926</v>
      </c>
      <c r="H333" s="15"/>
      <c r="I333" s="15" t="s">
        <v>49</v>
      </c>
      <c r="J333" s="7" t="str">
        <f>HYPERLINK("https://www.codechef.com/problems/LPRASPR140", "https://www.codechef.com/problems/LPRASPR140")</f>
        <v>https://www.codechef.com/problems/LPRASPR140</v>
      </c>
      <c r="K333" s="15"/>
      <c r="L333" s="15"/>
      <c r="M333" s="15"/>
      <c r="N333" s="15" t="s">
        <v>50</v>
      </c>
      <c r="O333" s="15" t="s">
        <v>51</v>
      </c>
    </row>
    <row r="334" spans="1:15">
      <c r="A334" s="14" t="s">
        <v>14</v>
      </c>
      <c r="B334" s="14" t="s">
        <v>7696</v>
      </c>
      <c r="C334" s="14" t="s">
        <v>7697</v>
      </c>
      <c r="D334" s="14" t="s">
        <v>7921</v>
      </c>
      <c r="E334" s="14">
        <v>141</v>
      </c>
      <c r="F334" s="14" t="s">
        <v>7761</v>
      </c>
      <c r="G334" s="14" t="s">
        <v>7927</v>
      </c>
      <c r="H334" s="14"/>
      <c r="I334" s="14" t="s">
        <v>49</v>
      </c>
      <c r="J334" s="11" t="str">
        <f>HYPERLINK("https://www.codechef.com/problems/LPRASPR141", "https://www.codechef.com/problems/LPRASPR141")</f>
        <v>https://www.codechef.com/problems/LPRASPR141</v>
      </c>
      <c r="K334" s="14"/>
      <c r="L334" s="14"/>
      <c r="M334" s="14"/>
      <c r="N334" s="14" t="s">
        <v>50</v>
      </c>
      <c r="O334" s="14" t="s">
        <v>51</v>
      </c>
    </row>
    <row r="335" spans="1:15">
      <c r="A335" s="15" t="s">
        <v>14</v>
      </c>
      <c r="B335" s="15" t="s">
        <v>7696</v>
      </c>
      <c r="C335" s="15" t="s">
        <v>7697</v>
      </c>
      <c r="D335" s="15" t="s">
        <v>7921</v>
      </c>
      <c r="E335" s="15">
        <v>142</v>
      </c>
      <c r="F335" s="15" t="s">
        <v>7761</v>
      </c>
      <c r="G335" s="15" t="s">
        <v>7928</v>
      </c>
      <c r="H335" s="15"/>
      <c r="I335" s="15" t="s">
        <v>49</v>
      </c>
      <c r="J335" s="7" t="str">
        <f>HYPERLINK("https://www.codechef.com/problems/LPRASPR142", "https://www.codechef.com/problems/LPRASPR142")</f>
        <v>https://www.codechef.com/problems/LPRASPR142</v>
      </c>
      <c r="K335" s="15"/>
      <c r="L335" s="15"/>
      <c r="M335" s="15"/>
      <c r="N335" s="15" t="s">
        <v>50</v>
      </c>
      <c r="O335" s="15" t="s">
        <v>51</v>
      </c>
    </row>
    <row r="336" spans="1:15">
      <c r="A336" s="14" t="s">
        <v>14</v>
      </c>
      <c r="B336" s="14" t="s">
        <v>7696</v>
      </c>
      <c r="C336" s="14" t="s">
        <v>7697</v>
      </c>
      <c r="D336" s="14" t="s">
        <v>7921</v>
      </c>
      <c r="E336" s="14">
        <v>143</v>
      </c>
      <c r="F336" s="14" t="s">
        <v>7902</v>
      </c>
      <c r="G336" s="14" t="s">
        <v>7929</v>
      </c>
      <c r="H336" s="14"/>
      <c r="I336" s="14" t="s">
        <v>49</v>
      </c>
      <c r="J336" s="11" t="str">
        <f>HYPERLINK("https://www.codechef.com/problems/LPRASPR143", "https://www.codechef.com/problems/LPRASPR143")</f>
        <v>https://www.codechef.com/problems/LPRASPR143</v>
      </c>
      <c r="K336" s="14"/>
      <c r="L336" s="14"/>
      <c r="M336" s="14"/>
      <c r="N336" s="14" t="s">
        <v>50</v>
      </c>
      <c r="O336" s="14" t="s">
        <v>51</v>
      </c>
    </row>
    <row r="337" spans="1:15">
      <c r="A337" s="15" t="s">
        <v>14</v>
      </c>
      <c r="B337" s="15" t="s">
        <v>7696</v>
      </c>
      <c r="C337" s="15" t="s">
        <v>7697</v>
      </c>
      <c r="D337" s="15" t="s">
        <v>7921</v>
      </c>
      <c r="E337" s="15">
        <v>144</v>
      </c>
      <c r="F337" s="15" t="s">
        <v>7761</v>
      </c>
      <c r="G337" s="15" t="s">
        <v>7930</v>
      </c>
      <c r="H337" s="15"/>
      <c r="I337" s="15" t="s">
        <v>49</v>
      </c>
      <c r="J337" s="7" t="str">
        <f>HYPERLINK("https://www.codechef.com/problems/LPRASPR144", "https://www.codechef.com/problems/LPRASPR144")</f>
        <v>https://www.codechef.com/problems/LPRASPR144</v>
      </c>
      <c r="K337" s="15"/>
      <c r="L337" s="15"/>
      <c r="M337" s="15"/>
      <c r="N337" s="15" t="s">
        <v>50</v>
      </c>
      <c r="O337" s="15" t="s">
        <v>51</v>
      </c>
    </row>
    <row r="338" spans="1:15">
      <c r="A338" s="14" t="s">
        <v>14</v>
      </c>
      <c r="B338" s="14" t="s">
        <v>7696</v>
      </c>
      <c r="C338" s="14" t="s">
        <v>7697</v>
      </c>
      <c r="D338" s="14" t="s">
        <v>7921</v>
      </c>
      <c r="E338" s="14">
        <v>145</v>
      </c>
      <c r="F338" s="14" t="s">
        <v>7931</v>
      </c>
      <c r="G338" s="14" t="s">
        <v>7932</v>
      </c>
      <c r="H338" s="14"/>
      <c r="I338" s="14" t="s">
        <v>49</v>
      </c>
      <c r="J338" s="11" t="str">
        <f>HYPERLINK("https://www.codechef.com/problems/LPRASPR145", "https://www.codechef.com/problems/LPRASPR145")</f>
        <v>https://www.codechef.com/problems/LPRASPR145</v>
      </c>
      <c r="K338" s="14"/>
      <c r="L338" s="14"/>
      <c r="M338" s="14"/>
      <c r="N338" s="14" t="s">
        <v>50</v>
      </c>
      <c r="O338" s="14" t="s">
        <v>51</v>
      </c>
    </row>
    <row r="339" spans="1:15">
      <c r="A339" s="15" t="s">
        <v>14</v>
      </c>
      <c r="B339" s="15" t="s">
        <v>7696</v>
      </c>
      <c r="C339" s="15" t="s">
        <v>7697</v>
      </c>
      <c r="D339" s="15" t="s">
        <v>7921</v>
      </c>
      <c r="E339" s="15">
        <v>146</v>
      </c>
      <c r="F339" s="15" t="s">
        <v>7933</v>
      </c>
      <c r="G339" s="15" t="s">
        <v>7934</v>
      </c>
      <c r="H339" s="15"/>
      <c r="I339" s="15" t="s">
        <v>49</v>
      </c>
      <c r="J339" s="7" t="str">
        <f>HYPERLINK("https://www.codechef.com/problems/LPRASPR146", "https://www.codechef.com/problems/LPRASPR146")</f>
        <v>https://www.codechef.com/problems/LPRASPR146</v>
      </c>
      <c r="K339" s="15"/>
      <c r="L339" s="15"/>
      <c r="M339" s="15"/>
      <c r="N339" s="15" t="s">
        <v>50</v>
      </c>
      <c r="O339" s="15" t="s">
        <v>51</v>
      </c>
    </row>
    <row r="340" spans="1:15">
      <c r="A340" s="14" t="s">
        <v>14</v>
      </c>
      <c r="B340" s="14" t="s">
        <v>7696</v>
      </c>
      <c r="C340" s="14" t="s">
        <v>7697</v>
      </c>
      <c r="D340" s="14" t="s">
        <v>7935</v>
      </c>
      <c r="E340" s="14">
        <v>147</v>
      </c>
      <c r="F340" s="14" t="s">
        <v>7936</v>
      </c>
      <c r="G340" s="14" t="s">
        <v>7937</v>
      </c>
      <c r="H340" s="14"/>
      <c r="I340" s="14" t="s">
        <v>49</v>
      </c>
      <c r="J340" s="11" t="str">
        <f>HYPERLINK("https://www.codechef.com/problems/LPRASPR147", "https://www.codechef.com/problems/LPRASPR147")</f>
        <v>https://www.codechef.com/problems/LPRASPR147</v>
      </c>
      <c r="K340" s="14"/>
      <c r="L340" s="14"/>
      <c r="M340" s="14"/>
      <c r="N340" s="14" t="s">
        <v>50</v>
      </c>
      <c r="O340" s="14" t="s">
        <v>51</v>
      </c>
    </row>
    <row r="341" spans="1:15">
      <c r="A341" s="15" t="s">
        <v>14</v>
      </c>
      <c r="B341" s="15" t="s">
        <v>7696</v>
      </c>
      <c r="C341" s="15" t="s">
        <v>7697</v>
      </c>
      <c r="D341" s="15" t="s">
        <v>7935</v>
      </c>
      <c r="E341" s="15">
        <v>148</v>
      </c>
      <c r="F341" s="15" t="s">
        <v>7938</v>
      </c>
      <c r="G341" s="15" t="s">
        <v>7939</v>
      </c>
      <c r="H341" s="15"/>
      <c r="I341" s="15" t="s">
        <v>49</v>
      </c>
      <c r="J341" s="7" t="str">
        <f>HYPERLINK("https://www.codechef.com/problems/LPRASPR148", "https://www.codechef.com/problems/LPRASPR148")</f>
        <v>https://www.codechef.com/problems/LPRASPR148</v>
      </c>
      <c r="K341" s="15"/>
      <c r="L341" s="15"/>
      <c r="M341" s="15"/>
      <c r="N341" s="15" t="s">
        <v>50</v>
      </c>
      <c r="O341" s="15" t="s">
        <v>51</v>
      </c>
    </row>
    <row r="342" spans="1:15">
      <c r="A342" s="14" t="s">
        <v>14</v>
      </c>
      <c r="B342" s="14" t="s">
        <v>7696</v>
      </c>
      <c r="C342" s="14" t="s">
        <v>7697</v>
      </c>
      <c r="D342" s="14" t="s">
        <v>7935</v>
      </c>
      <c r="E342" s="14">
        <v>149</v>
      </c>
      <c r="F342" s="14" t="s">
        <v>7940</v>
      </c>
      <c r="G342" s="14" t="s">
        <v>7941</v>
      </c>
      <c r="H342" s="14"/>
      <c r="I342" s="14" t="s">
        <v>49</v>
      </c>
      <c r="J342" s="11" t="str">
        <f>HYPERLINK("https://www.codechef.com/problems/LPRASPR149", "https://www.codechef.com/problems/LPRASPR149")</f>
        <v>https://www.codechef.com/problems/LPRASPR149</v>
      </c>
      <c r="K342" s="14"/>
      <c r="L342" s="14"/>
      <c r="M342" s="14"/>
      <c r="N342" s="14" t="s">
        <v>50</v>
      </c>
      <c r="O342" s="14" t="s">
        <v>51</v>
      </c>
    </row>
    <row r="343" spans="1:15">
      <c r="A343" s="15" t="s">
        <v>14</v>
      </c>
      <c r="B343" s="15" t="s">
        <v>7696</v>
      </c>
      <c r="C343" s="15" t="s">
        <v>7697</v>
      </c>
      <c r="D343" s="15" t="s">
        <v>7935</v>
      </c>
      <c r="E343" s="15">
        <v>150</v>
      </c>
      <c r="F343" s="15" t="s">
        <v>7761</v>
      </c>
      <c r="G343" s="15" t="s">
        <v>7942</v>
      </c>
      <c r="H343" s="15"/>
      <c r="I343" s="15" t="s">
        <v>49</v>
      </c>
      <c r="J343" s="7" t="str">
        <f>HYPERLINK("https://www.codechef.com/problems/LPRASPR150", "https://www.codechef.com/problems/LPRASPR150")</f>
        <v>https://www.codechef.com/problems/LPRASPR150</v>
      </c>
      <c r="K343" s="15"/>
      <c r="L343" s="15"/>
      <c r="M343" s="15"/>
      <c r="N343" s="15" t="s">
        <v>50</v>
      </c>
      <c r="O343" s="15" t="s">
        <v>51</v>
      </c>
    </row>
    <row r="344" spans="1:15">
      <c r="A344" s="14" t="s">
        <v>14</v>
      </c>
      <c r="B344" s="14" t="s">
        <v>7696</v>
      </c>
      <c r="C344" s="14" t="s">
        <v>7697</v>
      </c>
      <c r="D344" s="14" t="s">
        <v>7935</v>
      </c>
      <c r="E344" s="14">
        <v>151</v>
      </c>
      <c r="F344" s="14" t="s">
        <v>7943</v>
      </c>
      <c r="G344" s="14" t="s">
        <v>7944</v>
      </c>
      <c r="H344" s="14"/>
      <c r="I344" s="14" t="s">
        <v>49</v>
      </c>
      <c r="J344" s="11" t="str">
        <f>HYPERLINK("https://www.codechef.com/problems/LPRASPR151", "https://www.codechef.com/problems/LPRASPR151")</f>
        <v>https://www.codechef.com/problems/LPRASPR151</v>
      </c>
      <c r="K344" s="14"/>
      <c r="L344" s="14"/>
      <c r="M344" s="14"/>
      <c r="N344" s="14" t="s">
        <v>50</v>
      </c>
      <c r="O344" s="14" t="s">
        <v>51</v>
      </c>
    </row>
    <row r="345" spans="1:15">
      <c r="A345" s="15" t="s">
        <v>14</v>
      </c>
      <c r="B345" s="15" t="s">
        <v>7696</v>
      </c>
      <c r="C345" s="15" t="s">
        <v>7697</v>
      </c>
      <c r="D345" s="15" t="s">
        <v>7935</v>
      </c>
      <c r="E345" s="15">
        <v>152</v>
      </c>
      <c r="F345" s="15" t="s">
        <v>7945</v>
      </c>
      <c r="G345" s="15" t="s">
        <v>7946</v>
      </c>
      <c r="H345" s="15"/>
      <c r="I345" s="15" t="s">
        <v>49</v>
      </c>
      <c r="J345" s="7" t="str">
        <f>HYPERLINK("https://www.codechef.com/problems/LPRASPR152", "https://www.codechef.com/problems/LPRASPR152")</f>
        <v>https://www.codechef.com/problems/LPRASPR152</v>
      </c>
      <c r="K345" s="15"/>
      <c r="L345" s="15"/>
      <c r="M345" s="15"/>
      <c r="N345" s="15" t="s">
        <v>50</v>
      </c>
      <c r="O345" s="15" t="s">
        <v>51</v>
      </c>
    </row>
    <row r="346" spans="1:15">
      <c r="A346" s="14" t="s">
        <v>14</v>
      </c>
      <c r="B346" s="14" t="s">
        <v>7696</v>
      </c>
      <c r="C346" s="14" t="s">
        <v>7697</v>
      </c>
      <c r="D346" s="14" t="s">
        <v>7935</v>
      </c>
      <c r="E346" s="14">
        <v>153</v>
      </c>
      <c r="F346" s="14" t="s">
        <v>7947</v>
      </c>
      <c r="G346" s="14" t="s">
        <v>7948</v>
      </c>
      <c r="H346" s="14"/>
      <c r="I346" s="14" t="s">
        <v>49</v>
      </c>
      <c r="J346" s="11" t="str">
        <f>HYPERLINK("https://www.codechef.com/problems/LPRASPR153", "https://www.codechef.com/problems/LPRASPR153")</f>
        <v>https://www.codechef.com/problems/LPRASPR153</v>
      </c>
      <c r="K346" s="14"/>
      <c r="L346" s="14"/>
      <c r="M346" s="14"/>
      <c r="N346" s="14" t="s">
        <v>50</v>
      </c>
      <c r="O346" s="14" t="s">
        <v>51</v>
      </c>
    </row>
    <row r="347" spans="1:15">
      <c r="A347" s="15" t="s">
        <v>14</v>
      </c>
      <c r="B347" s="15" t="s">
        <v>7696</v>
      </c>
      <c r="C347" s="15" t="s">
        <v>7697</v>
      </c>
      <c r="D347" s="15" t="s">
        <v>7935</v>
      </c>
      <c r="E347" s="15">
        <v>154</v>
      </c>
      <c r="F347" s="15" t="s">
        <v>7949</v>
      </c>
      <c r="G347" s="15" t="s">
        <v>7950</v>
      </c>
      <c r="H347" s="15"/>
      <c r="I347" s="15" t="s">
        <v>49</v>
      </c>
      <c r="J347" s="7" t="str">
        <f>HYPERLINK("https://www.codechef.com/problems/LPRASPR154", "https://www.codechef.com/problems/LPRASPR154")</f>
        <v>https://www.codechef.com/problems/LPRASPR154</v>
      </c>
      <c r="K347" s="15"/>
      <c r="L347" s="15"/>
      <c r="M347" s="15"/>
      <c r="N347" s="15" t="s">
        <v>50</v>
      </c>
      <c r="O347" s="15" t="s">
        <v>51</v>
      </c>
    </row>
    <row r="348" spans="1:15">
      <c r="A348" s="14" t="s">
        <v>14</v>
      </c>
      <c r="B348" s="14" t="s">
        <v>7696</v>
      </c>
      <c r="C348" s="14" t="s">
        <v>7697</v>
      </c>
      <c r="D348" s="14" t="s">
        <v>7935</v>
      </c>
      <c r="E348" s="14">
        <v>155</v>
      </c>
      <c r="F348" s="14" t="s">
        <v>7951</v>
      </c>
      <c r="G348" s="14" t="s">
        <v>7952</v>
      </c>
      <c r="H348" s="14"/>
      <c r="I348" s="14" t="s">
        <v>49</v>
      </c>
      <c r="J348" s="11" t="str">
        <f>HYPERLINK("https://www.codechef.com/problems/LPRASPR155", "https://www.codechef.com/problems/LPRASPR155")</f>
        <v>https://www.codechef.com/problems/LPRASPR155</v>
      </c>
      <c r="K348" s="14"/>
      <c r="L348" s="14"/>
      <c r="M348" s="14"/>
      <c r="N348" s="14" t="s">
        <v>50</v>
      </c>
      <c r="O348" s="14" t="s">
        <v>51</v>
      </c>
    </row>
    <row r="349" spans="1:15">
      <c r="A349" s="15" t="s">
        <v>14</v>
      </c>
      <c r="B349" s="15" t="s">
        <v>7696</v>
      </c>
      <c r="C349" s="15" t="s">
        <v>7697</v>
      </c>
      <c r="D349" s="15" t="s">
        <v>7935</v>
      </c>
      <c r="E349" s="15">
        <v>156</v>
      </c>
      <c r="F349" s="15" t="s">
        <v>7953</v>
      </c>
      <c r="G349" s="15" t="s">
        <v>7954</v>
      </c>
      <c r="H349" s="15"/>
      <c r="I349" s="15" t="s">
        <v>49</v>
      </c>
      <c r="J349" s="7" t="str">
        <f>HYPERLINK("https://www.codechef.com/problems/LPRASPR156", "https://www.codechef.com/problems/LPRASPR156")</f>
        <v>https://www.codechef.com/problems/LPRASPR156</v>
      </c>
      <c r="K349" s="15"/>
      <c r="L349" s="15"/>
      <c r="M349" s="15"/>
      <c r="N349" s="15" t="s">
        <v>50</v>
      </c>
      <c r="O349" s="15" t="s">
        <v>51</v>
      </c>
    </row>
    <row r="350" spans="1:15">
      <c r="A350" s="14" t="s">
        <v>14</v>
      </c>
      <c r="B350" s="14" t="s">
        <v>7696</v>
      </c>
      <c r="C350" s="14" t="s">
        <v>7697</v>
      </c>
      <c r="D350" s="14" t="s">
        <v>7935</v>
      </c>
      <c r="E350" s="14">
        <v>157</v>
      </c>
      <c r="F350" s="14" t="s">
        <v>7955</v>
      </c>
      <c r="G350" s="14" t="s">
        <v>7956</v>
      </c>
      <c r="H350" s="14"/>
      <c r="I350" s="14" t="s">
        <v>96</v>
      </c>
      <c r="J350" s="11" t="str">
        <f>HYPERLINK("https://www.codechef.com/problems/LPRASPR157", "https://www.codechef.com/problems/LPRASPR157")</f>
        <v>https://www.codechef.com/problems/LPRASPR157</v>
      </c>
      <c r="K350" s="14"/>
      <c r="L350" s="14"/>
      <c r="M350" s="14"/>
      <c r="N350" s="14" t="s">
        <v>50</v>
      </c>
      <c r="O350" s="14" t="s">
        <v>51</v>
      </c>
    </row>
    <row r="351" spans="1:15">
      <c r="A351" s="15" t="s">
        <v>14</v>
      </c>
      <c r="B351" s="15" t="s">
        <v>7696</v>
      </c>
      <c r="C351" s="15" t="s">
        <v>7697</v>
      </c>
      <c r="D351" s="15" t="s">
        <v>7935</v>
      </c>
      <c r="E351" s="15">
        <v>158</v>
      </c>
      <c r="F351" s="15" t="s">
        <v>7957</v>
      </c>
      <c r="G351" s="15" t="s">
        <v>7958</v>
      </c>
      <c r="H351" s="15"/>
      <c r="I351" s="15" t="s">
        <v>49</v>
      </c>
      <c r="J351" s="7" t="str">
        <f>HYPERLINK("https://www.codechef.com/problems/LPRASPR158", "https://www.codechef.com/problems/LPRASPR158")</f>
        <v>https://www.codechef.com/problems/LPRASPR158</v>
      </c>
      <c r="K351" s="15"/>
      <c r="L351" s="15"/>
      <c r="M351" s="15"/>
      <c r="N351" s="15" t="s">
        <v>50</v>
      </c>
      <c r="O351" s="15" t="s">
        <v>51</v>
      </c>
    </row>
    <row r="352" spans="1:15">
      <c r="A352" s="14" t="s">
        <v>14</v>
      </c>
      <c r="B352" s="14" t="s">
        <v>7696</v>
      </c>
      <c r="C352" s="14" t="s">
        <v>7697</v>
      </c>
      <c r="D352" s="14" t="s">
        <v>7959</v>
      </c>
      <c r="E352" s="14">
        <v>159</v>
      </c>
      <c r="F352" s="14" t="s">
        <v>7960</v>
      </c>
      <c r="G352" s="14" t="s">
        <v>7961</v>
      </c>
      <c r="H352" s="14"/>
      <c r="I352" s="14" t="s">
        <v>49</v>
      </c>
      <c r="J352" s="11" t="str">
        <f>HYPERLINK("https://www.codechef.com/problems/LPRASPR159", "https://www.codechef.com/problems/LPRASPR159")</f>
        <v>https://www.codechef.com/problems/LPRASPR159</v>
      </c>
      <c r="K352" s="14"/>
      <c r="L352" s="14"/>
      <c r="M352" s="14"/>
      <c r="N352" s="14" t="s">
        <v>50</v>
      </c>
      <c r="O352" s="14" t="s">
        <v>51</v>
      </c>
    </row>
    <row r="353" spans="1:15">
      <c r="A353" s="15" t="s">
        <v>14</v>
      </c>
      <c r="B353" s="15" t="s">
        <v>7696</v>
      </c>
      <c r="C353" s="15" t="s">
        <v>7697</v>
      </c>
      <c r="D353" s="15" t="s">
        <v>7959</v>
      </c>
      <c r="E353" s="15">
        <v>160</v>
      </c>
      <c r="F353" s="15" t="s">
        <v>7962</v>
      </c>
      <c r="G353" s="15" t="s">
        <v>7963</v>
      </c>
      <c r="H353" s="15"/>
      <c r="I353" s="15" t="s">
        <v>49</v>
      </c>
      <c r="J353" s="7" t="str">
        <f>HYPERLINK("https://www.codechef.com/problems/LPRASPR160", "https://www.codechef.com/problems/LPRASPR160")</f>
        <v>https://www.codechef.com/problems/LPRASPR160</v>
      </c>
      <c r="K353" s="15"/>
      <c r="L353" s="15"/>
      <c r="M353" s="15"/>
      <c r="N353" s="15" t="s">
        <v>50</v>
      </c>
      <c r="O353" s="15" t="s">
        <v>51</v>
      </c>
    </row>
    <row r="354" spans="1:15">
      <c r="A354" s="14" t="s">
        <v>14</v>
      </c>
      <c r="B354" s="14" t="s">
        <v>7696</v>
      </c>
      <c r="C354" s="14" t="s">
        <v>7697</v>
      </c>
      <c r="D354" s="14" t="s">
        <v>7959</v>
      </c>
      <c r="E354" s="14">
        <v>161</v>
      </c>
      <c r="F354" s="14" t="s">
        <v>7964</v>
      </c>
      <c r="G354" s="14" t="s">
        <v>7965</v>
      </c>
      <c r="H354" s="14"/>
      <c r="I354" s="14" t="s">
        <v>49</v>
      </c>
      <c r="J354" s="11" t="str">
        <f>HYPERLINK("https://www.codechef.com/problems/LPRASPR161", "https://www.codechef.com/problems/LPRASPR161")</f>
        <v>https://www.codechef.com/problems/LPRASPR161</v>
      </c>
      <c r="K354" s="14"/>
      <c r="L354" s="14"/>
      <c r="M354" s="14"/>
      <c r="N354" s="14" t="s">
        <v>50</v>
      </c>
      <c r="O354" s="14" t="s">
        <v>51</v>
      </c>
    </row>
    <row r="355" spans="1:15">
      <c r="A355" s="15" t="s">
        <v>14</v>
      </c>
      <c r="B355" s="15" t="s">
        <v>7696</v>
      </c>
      <c r="C355" s="15" t="s">
        <v>7697</v>
      </c>
      <c r="D355" s="15" t="s">
        <v>7959</v>
      </c>
      <c r="E355" s="15">
        <v>162</v>
      </c>
      <c r="F355" s="15" t="s">
        <v>7966</v>
      </c>
      <c r="G355" s="15" t="s">
        <v>7967</v>
      </c>
      <c r="H355" s="15"/>
      <c r="I355" s="15" t="s">
        <v>49</v>
      </c>
      <c r="J355" s="7" t="str">
        <f>HYPERLINK("https://www.codechef.com/problems/LPRASPR162", "https://www.codechef.com/problems/LPRASPR162")</f>
        <v>https://www.codechef.com/problems/LPRASPR162</v>
      </c>
      <c r="K355" s="15"/>
      <c r="L355" s="15"/>
      <c r="M355" s="15"/>
      <c r="N355" s="15" t="s">
        <v>50</v>
      </c>
      <c r="O355" s="15" t="s">
        <v>51</v>
      </c>
    </row>
    <row r="356" spans="1:15">
      <c r="A356" s="14" t="s">
        <v>14</v>
      </c>
      <c r="B356" s="14" t="s">
        <v>7696</v>
      </c>
      <c r="C356" s="14" t="s">
        <v>7697</v>
      </c>
      <c r="D356" s="14" t="s">
        <v>7959</v>
      </c>
      <c r="E356" s="14">
        <v>163</v>
      </c>
      <c r="F356" s="14" t="s">
        <v>7968</v>
      </c>
      <c r="G356" s="14" t="s">
        <v>7969</v>
      </c>
      <c r="H356" s="14"/>
      <c r="I356" s="14" t="s">
        <v>49</v>
      </c>
      <c r="J356" s="11" t="str">
        <f>HYPERLINK("https://www.codechef.com/problems/LPRASPR163", "https://www.codechef.com/problems/LPRASPR163")</f>
        <v>https://www.codechef.com/problems/LPRASPR163</v>
      </c>
      <c r="K356" s="14"/>
      <c r="L356" s="14"/>
      <c r="M356" s="14"/>
      <c r="N356" s="14" t="s">
        <v>50</v>
      </c>
      <c r="O356" s="14" t="s">
        <v>51</v>
      </c>
    </row>
    <row r="357" spans="1:15">
      <c r="A357" s="15" t="s">
        <v>14</v>
      </c>
      <c r="B357" s="15" t="s">
        <v>7696</v>
      </c>
      <c r="C357" s="15" t="s">
        <v>7697</v>
      </c>
      <c r="D357" s="15" t="s">
        <v>7959</v>
      </c>
      <c r="E357" s="15">
        <v>164</v>
      </c>
      <c r="F357" s="15" t="s">
        <v>7970</v>
      </c>
      <c r="G357" s="15" t="s">
        <v>7971</v>
      </c>
      <c r="H357" s="15"/>
      <c r="I357" s="15" t="s">
        <v>49</v>
      </c>
      <c r="J357" s="7" t="str">
        <f>HYPERLINK("https://www.codechef.com/problems/LPRASPR164", "https://www.codechef.com/problems/LPRASPR164")</f>
        <v>https://www.codechef.com/problems/LPRASPR164</v>
      </c>
      <c r="K357" s="15"/>
      <c r="L357" s="15"/>
      <c r="M357" s="15"/>
      <c r="N357" s="15" t="s">
        <v>50</v>
      </c>
      <c r="O357" s="15" t="s">
        <v>51</v>
      </c>
    </row>
    <row r="358" spans="1:15">
      <c r="A358" s="14" t="s">
        <v>14</v>
      </c>
      <c r="B358" s="14" t="s">
        <v>7696</v>
      </c>
      <c r="C358" s="14" t="s">
        <v>7697</v>
      </c>
      <c r="D358" s="14" t="s">
        <v>7959</v>
      </c>
      <c r="E358" s="14">
        <v>165</v>
      </c>
      <c r="F358" s="14" t="s">
        <v>7972</v>
      </c>
      <c r="G358" s="14" t="s">
        <v>7973</v>
      </c>
      <c r="H358" s="14"/>
      <c r="I358" s="14" t="s">
        <v>49</v>
      </c>
      <c r="J358" s="11" t="str">
        <f>HYPERLINK("https://www.codechef.com/problems/LPRASPR165", "https://www.codechef.com/problems/LPRASPR165")</f>
        <v>https://www.codechef.com/problems/LPRASPR165</v>
      </c>
      <c r="K358" s="14"/>
      <c r="L358" s="14"/>
      <c r="M358" s="14"/>
      <c r="N358" s="14" t="s">
        <v>50</v>
      </c>
      <c r="O358" s="14" t="s">
        <v>51</v>
      </c>
    </row>
    <row r="359" spans="1:15">
      <c r="A359" s="15" t="s">
        <v>14</v>
      </c>
      <c r="B359" s="15" t="s">
        <v>7696</v>
      </c>
      <c r="C359" s="15" t="s">
        <v>7697</v>
      </c>
      <c r="D359" s="15" t="s">
        <v>7959</v>
      </c>
      <c r="E359" s="15">
        <v>166</v>
      </c>
      <c r="F359" s="15" t="s">
        <v>7960</v>
      </c>
      <c r="G359" s="15" t="s">
        <v>7974</v>
      </c>
      <c r="H359" s="15"/>
      <c r="I359" s="15" t="s">
        <v>49</v>
      </c>
      <c r="J359" s="7" t="str">
        <f>HYPERLINK("https://www.codechef.com/problems/LPRASPR166", "https://www.codechef.com/problems/LPRASPR166")</f>
        <v>https://www.codechef.com/problems/LPRASPR166</v>
      </c>
      <c r="K359" s="15"/>
      <c r="L359" s="15"/>
      <c r="M359" s="15"/>
      <c r="N359" s="15" t="s">
        <v>50</v>
      </c>
      <c r="O359" s="15" t="s">
        <v>51</v>
      </c>
    </row>
    <row r="360" spans="1:15">
      <c r="A360" s="14" t="s">
        <v>14</v>
      </c>
      <c r="B360" s="14" t="s">
        <v>7696</v>
      </c>
      <c r="C360" s="14" t="s">
        <v>7697</v>
      </c>
      <c r="D360" s="14" t="s">
        <v>7959</v>
      </c>
      <c r="E360" s="14">
        <v>167</v>
      </c>
      <c r="F360" s="14" t="s">
        <v>7975</v>
      </c>
      <c r="G360" s="14" t="s">
        <v>7976</v>
      </c>
      <c r="H360" s="14"/>
      <c r="I360" s="14" t="s">
        <v>49</v>
      </c>
      <c r="J360" s="11" t="str">
        <f>HYPERLINK("https://www.codechef.com/problems/LPRASPR167", "https://www.codechef.com/problems/LPRASPR167")</f>
        <v>https://www.codechef.com/problems/LPRASPR167</v>
      </c>
      <c r="K360" s="14"/>
      <c r="L360" s="14"/>
      <c r="M360" s="14"/>
      <c r="N360" s="14" t="s">
        <v>50</v>
      </c>
      <c r="O360" s="14" t="s">
        <v>51</v>
      </c>
    </row>
    <row r="361" spans="1:15">
      <c r="A361" s="15" t="s">
        <v>14</v>
      </c>
      <c r="B361" s="15" t="s">
        <v>7696</v>
      </c>
      <c r="C361" s="15" t="s">
        <v>7697</v>
      </c>
      <c r="D361" s="15" t="s">
        <v>7959</v>
      </c>
      <c r="E361" s="15">
        <v>168</v>
      </c>
      <c r="F361" s="15" t="s">
        <v>7977</v>
      </c>
      <c r="G361" s="15" t="s">
        <v>7978</v>
      </c>
      <c r="H361" s="15"/>
      <c r="I361" s="15" t="s">
        <v>49</v>
      </c>
      <c r="J361" s="7" t="str">
        <f>HYPERLINK("https://www.codechef.com/problems/LPRASPR168", "https://www.codechef.com/problems/LPRASPR168")</f>
        <v>https://www.codechef.com/problems/LPRASPR168</v>
      </c>
      <c r="K361" s="15"/>
      <c r="L361" s="15"/>
      <c r="M361" s="15"/>
      <c r="N361" s="15" t="s">
        <v>50</v>
      </c>
      <c r="O361" s="15" t="s">
        <v>51</v>
      </c>
    </row>
    <row r="362" spans="1:15">
      <c r="A362" s="14" t="s">
        <v>14</v>
      </c>
      <c r="B362" s="14" t="s">
        <v>7696</v>
      </c>
      <c r="C362" s="14" t="s">
        <v>7697</v>
      </c>
      <c r="D362" s="14" t="s">
        <v>7959</v>
      </c>
      <c r="E362" s="14">
        <v>169</v>
      </c>
      <c r="F362" s="14" t="s">
        <v>7979</v>
      </c>
      <c r="G362" s="14" t="s">
        <v>7980</v>
      </c>
      <c r="H362" s="14"/>
      <c r="I362" s="14" t="s">
        <v>49</v>
      </c>
      <c r="J362" s="11" t="str">
        <f>HYPERLINK("https://www.codechef.com/problems/LPRASPR169", "https://www.codechef.com/problems/LPRASPR169")</f>
        <v>https://www.codechef.com/problems/LPRASPR169</v>
      </c>
      <c r="K362" s="14"/>
      <c r="L362" s="14"/>
      <c r="M362" s="14"/>
      <c r="N362" s="14" t="s">
        <v>50</v>
      </c>
      <c r="O362" s="14" t="s">
        <v>51</v>
      </c>
    </row>
    <row r="363" spans="1:15">
      <c r="A363" s="15" t="s">
        <v>14</v>
      </c>
      <c r="B363" s="15" t="s">
        <v>7696</v>
      </c>
      <c r="C363" s="15" t="s">
        <v>7697</v>
      </c>
      <c r="D363" s="15" t="s">
        <v>7959</v>
      </c>
      <c r="E363" s="15">
        <v>170</v>
      </c>
      <c r="F363" s="15" t="s">
        <v>7981</v>
      </c>
      <c r="G363" s="15" t="s">
        <v>7982</v>
      </c>
      <c r="H363" s="15"/>
      <c r="I363" s="15" t="s">
        <v>49</v>
      </c>
      <c r="J363" s="7" t="str">
        <f>HYPERLINK("https://www.codechef.com/problems/LPRASPR170", "https://www.codechef.com/problems/LPRASPR170")</f>
        <v>https://www.codechef.com/problems/LPRASPR170</v>
      </c>
      <c r="K363" s="15"/>
      <c r="L363" s="15"/>
      <c r="M363" s="15"/>
      <c r="N363" s="15" t="s">
        <v>50</v>
      </c>
      <c r="O363" s="15" t="s">
        <v>51</v>
      </c>
    </row>
    <row r="364" spans="1:15">
      <c r="A364" s="14" t="s">
        <v>14</v>
      </c>
      <c r="B364" s="14" t="s">
        <v>7983</v>
      </c>
      <c r="C364" s="14" t="s">
        <v>7984</v>
      </c>
      <c r="D364" s="14" t="s">
        <v>7985</v>
      </c>
      <c r="E364" s="14">
        <v>1</v>
      </c>
      <c r="F364" s="14" t="s">
        <v>7986</v>
      </c>
      <c r="G364" s="14" t="s">
        <v>7987</v>
      </c>
      <c r="H364" s="14"/>
      <c r="I364" s="14" t="s">
        <v>49</v>
      </c>
      <c r="J364" s="11" t="str">
        <f>HYPERLINK("https://www.codechef.com/problems/RSPRACMCQ1", "https://www.codechef.com/problems/RSPRACMCQ1")</f>
        <v>https://www.codechef.com/problems/RSPRACMCQ1</v>
      </c>
      <c r="K364" s="14"/>
      <c r="L364" s="14"/>
      <c r="M364" s="14"/>
      <c r="N364" s="14" t="s">
        <v>50</v>
      </c>
      <c r="O364" s="14" t="s">
        <v>51</v>
      </c>
    </row>
    <row r="365" spans="1:15">
      <c r="A365" s="15" t="s">
        <v>14</v>
      </c>
      <c r="B365" s="15" t="s">
        <v>7983</v>
      </c>
      <c r="C365" s="15" t="s">
        <v>7984</v>
      </c>
      <c r="D365" s="15" t="s">
        <v>7985</v>
      </c>
      <c r="E365" s="15">
        <v>2</v>
      </c>
      <c r="F365" s="15" t="s">
        <v>7988</v>
      </c>
      <c r="G365" s="15" t="s">
        <v>7989</v>
      </c>
      <c r="H365" s="15" t="s">
        <v>7990</v>
      </c>
      <c r="I365" s="15" t="s">
        <v>49</v>
      </c>
      <c r="J365" s="7" t="str">
        <f>HYPERLINK("https://www.codechef.com/problems/START01", "https://www.codechef.com/problems/START01")</f>
        <v>https://www.codechef.com/problems/START01</v>
      </c>
      <c r="K365" s="15"/>
      <c r="L365" s="15"/>
      <c r="M365" s="15"/>
      <c r="N365" s="15" t="s">
        <v>50</v>
      </c>
      <c r="O365" s="15" t="s">
        <v>51</v>
      </c>
    </row>
    <row r="366" spans="1:15">
      <c r="A366" s="14" t="s">
        <v>14</v>
      </c>
      <c r="B366" s="14" t="s">
        <v>7983</v>
      </c>
      <c r="C366" s="14" t="s">
        <v>7984</v>
      </c>
      <c r="D366" s="14" t="s">
        <v>7985</v>
      </c>
      <c r="E366" s="14">
        <v>3</v>
      </c>
      <c r="F366" s="14" t="s">
        <v>7991</v>
      </c>
      <c r="G366" s="14" t="s">
        <v>7992</v>
      </c>
      <c r="H366" s="14"/>
      <c r="I366" s="14" t="s">
        <v>49</v>
      </c>
      <c r="J366" s="11" t="str">
        <f>HYPERLINK("https://www.codechef.com/problems/RSPRACREARR1", "https://www.codechef.com/problems/RSPRACREARR1")</f>
        <v>https://www.codechef.com/problems/RSPRACREARR1</v>
      </c>
      <c r="K366" s="14"/>
      <c r="L366" s="14"/>
      <c r="M366" s="14"/>
      <c r="N366" s="14" t="s">
        <v>50</v>
      </c>
      <c r="O366" s="14" t="s">
        <v>51</v>
      </c>
    </row>
    <row r="367" spans="1:15">
      <c r="A367" s="15" t="s">
        <v>14</v>
      </c>
      <c r="B367" s="15" t="s">
        <v>7983</v>
      </c>
      <c r="C367" s="15" t="s">
        <v>7984</v>
      </c>
      <c r="D367" s="15" t="s">
        <v>7985</v>
      </c>
      <c r="E367" s="15">
        <v>4</v>
      </c>
      <c r="F367" s="15" t="s">
        <v>7986</v>
      </c>
      <c r="G367" s="15" t="s">
        <v>7993</v>
      </c>
      <c r="H367" s="15"/>
      <c r="I367" s="15" t="s">
        <v>49</v>
      </c>
      <c r="J367" s="7" t="str">
        <f>HYPERLINK("https://www.codechef.com/problems/RSPRACREAR1A", "https://www.codechef.com/problems/RSPRACREAR1A")</f>
        <v>https://www.codechef.com/problems/RSPRACREAR1A</v>
      </c>
      <c r="K367" s="15"/>
      <c r="L367" s="15"/>
      <c r="M367" s="15"/>
      <c r="N367" s="15" t="s">
        <v>50</v>
      </c>
      <c r="O367" s="15" t="s">
        <v>51</v>
      </c>
    </row>
    <row r="368" spans="1:15">
      <c r="A368" s="14" t="s">
        <v>14</v>
      </c>
      <c r="B368" s="14" t="s">
        <v>7983</v>
      </c>
      <c r="C368" s="14" t="s">
        <v>7984</v>
      </c>
      <c r="D368" s="14" t="s">
        <v>7985</v>
      </c>
      <c r="E368" s="14">
        <v>5</v>
      </c>
      <c r="F368" s="14" t="s">
        <v>7994</v>
      </c>
      <c r="G368" s="14" t="s">
        <v>7995</v>
      </c>
      <c r="H368" s="14" t="s">
        <v>1789</v>
      </c>
      <c r="I368" s="14" t="s">
        <v>49</v>
      </c>
      <c r="J368" s="11" t="str">
        <f>HYPERLINK("https://www.codechef.com/problems/INSTNOODLE", "https://www.codechef.com/problems/INSTNOODLE")</f>
        <v>https://www.codechef.com/problems/INSTNOODLE</v>
      </c>
      <c r="K368" s="14"/>
      <c r="L368" s="14" t="s">
        <v>1762</v>
      </c>
      <c r="M368" s="14"/>
      <c r="N368" s="14" t="s">
        <v>50</v>
      </c>
      <c r="O368" s="14" t="s">
        <v>51</v>
      </c>
    </row>
    <row r="369" spans="1:15">
      <c r="A369" s="15" t="s">
        <v>14</v>
      </c>
      <c r="B369" s="15" t="s">
        <v>7983</v>
      </c>
      <c r="C369" s="15" t="s">
        <v>7984</v>
      </c>
      <c r="D369" s="15" t="s">
        <v>7985</v>
      </c>
      <c r="E369" s="15">
        <v>6</v>
      </c>
      <c r="F369" s="15" t="s">
        <v>7986</v>
      </c>
      <c r="G369" s="15" t="s">
        <v>7996</v>
      </c>
      <c r="H369" s="15"/>
      <c r="I369" s="15" t="s">
        <v>49</v>
      </c>
      <c r="J369" s="7" t="str">
        <f>HYPERLINK("https://www.codechef.com/problems/RSPRACMCQ4", "https://www.codechef.com/problems/RSPRACMCQ4")</f>
        <v>https://www.codechef.com/problems/RSPRACMCQ4</v>
      </c>
      <c r="K369" s="15"/>
      <c r="L369" s="15"/>
      <c r="M369" s="15"/>
      <c r="N369" s="15" t="s">
        <v>50</v>
      </c>
      <c r="O369" s="15" t="s">
        <v>51</v>
      </c>
    </row>
    <row r="370" spans="1:15">
      <c r="A370" s="14" t="s">
        <v>14</v>
      </c>
      <c r="B370" s="14" t="s">
        <v>7983</v>
      </c>
      <c r="C370" s="14" t="s">
        <v>7984</v>
      </c>
      <c r="D370" s="14" t="s">
        <v>7985</v>
      </c>
      <c r="E370" s="14">
        <v>7</v>
      </c>
      <c r="F370" s="14" t="s">
        <v>7997</v>
      </c>
      <c r="G370" s="14" t="s">
        <v>7998</v>
      </c>
      <c r="H370" s="14" t="s">
        <v>7999</v>
      </c>
      <c r="I370" s="14" t="s">
        <v>49</v>
      </c>
      <c r="J370" s="11" t="str">
        <f>HYPERLINK("https://www.codechef.com/problems/CCLEARN", "https://www.codechef.com/problems/CCLEARN")</f>
        <v>https://www.codechef.com/problems/CCLEARN</v>
      </c>
      <c r="K370" s="14"/>
      <c r="L370" s="14" t="s">
        <v>194</v>
      </c>
      <c r="M370" s="14"/>
      <c r="N370" s="14" t="s">
        <v>50</v>
      </c>
      <c r="O370" s="14" t="s">
        <v>51</v>
      </c>
    </row>
    <row r="371" spans="1:15">
      <c r="A371" s="15" t="s">
        <v>14</v>
      </c>
      <c r="B371" s="15" t="s">
        <v>7983</v>
      </c>
      <c r="C371" s="15" t="s">
        <v>7984</v>
      </c>
      <c r="D371" s="15" t="s">
        <v>8000</v>
      </c>
      <c r="E371" s="15">
        <v>8</v>
      </c>
      <c r="F371" s="15" t="s">
        <v>7986</v>
      </c>
      <c r="G371" s="15" t="s">
        <v>8001</v>
      </c>
      <c r="H371" s="15"/>
      <c r="I371" s="15" t="s">
        <v>49</v>
      </c>
      <c r="J371" s="7" t="str">
        <f>HYPERLINK("https://www.codechef.com/problems/RSPRACMCQ2", "https://www.codechef.com/problems/RSPRACMCQ2")</f>
        <v>https://www.codechef.com/problems/RSPRACMCQ2</v>
      </c>
      <c r="K371" s="15"/>
      <c r="L371" s="15"/>
      <c r="M371" s="15"/>
      <c r="N371" s="15" t="s">
        <v>50</v>
      </c>
      <c r="O371" s="15" t="s">
        <v>51</v>
      </c>
    </row>
    <row r="372" spans="1:15">
      <c r="A372" s="14" t="s">
        <v>14</v>
      </c>
      <c r="B372" s="14" t="s">
        <v>7983</v>
      </c>
      <c r="C372" s="14" t="s">
        <v>7984</v>
      </c>
      <c r="D372" s="14" t="s">
        <v>8000</v>
      </c>
      <c r="E372" s="14">
        <v>9</v>
      </c>
      <c r="F372" s="14" t="s">
        <v>8002</v>
      </c>
      <c r="G372" s="14" t="s">
        <v>8003</v>
      </c>
      <c r="H372" s="14" t="s">
        <v>8004</v>
      </c>
      <c r="I372" s="14" t="s">
        <v>49</v>
      </c>
      <c r="J372" s="11" t="str">
        <f>HYPERLINK("https://www.codechef.com/problems/LEARNSQL", "https://www.codechef.com/problems/LEARNSQL")</f>
        <v>https://www.codechef.com/problems/LEARNSQL</v>
      </c>
      <c r="K372" s="14"/>
      <c r="L372" s="14"/>
      <c r="M372" s="14"/>
      <c r="N372" s="14" t="s">
        <v>50</v>
      </c>
      <c r="O372" s="14" t="s">
        <v>51</v>
      </c>
    </row>
    <row r="373" spans="1:15">
      <c r="A373" s="15" t="s">
        <v>14</v>
      </c>
      <c r="B373" s="15" t="s">
        <v>7983</v>
      </c>
      <c r="C373" s="15" t="s">
        <v>7984</v>
      </c>
      <c r="D373" s="15" t="s">
        <v>8000</v>
      </c>
      <c r="E373" s="15">
        <v>10</v>
      </c>
      <c r="F373" s="15" t="s">
        <v>7986</v>
      </c>
      <c r="G373" s="15" t="s">
        <v>8005</v>
      </c>
      <c r="H373" s="15"/>
      <c r="I373" s="15" t="s">
        <v>49</v>
      </c>
      <c r="J373" s="7" t="str">
        <f>HYPERLINK("https://www.codechef.com/problems/RSPRACMCQ3", "https://www.codechef.com/problems/RSPRACMCQ3")</f>
        <v>https://www.codechef.com/problems/RSPRACMCQ3</v>
      </c>
      <c r="K373" s="15"/>
      <c r="L373" s="15"/>
      <c r="M373" s="15"/>
      <c r="N373" s="15" t="s">
        <v>50</v>
      </c>
      <c r="O373" s="15" t="s">
        <v>51</v>
      </c>
    </row>
    <row r="374" spans="1:15">
      <c r="A374" s="14" t="s">
        <v>14</v>
      </c>
      <c r="B374" s="14" t="s">
        <v>7983</v>
      </c>
      <c r="C374" s="14" t="s">
        <v>7984</v>
      </c>
      <c r="D374" s="14" t="s">
        <v>8000</v>
      </c>
      <c r="E374" s="14">
        <v>11</v>
      </c>
      <c r="F374" s="14" t="s">
        <v>8006</v>
      </c>
      <c r="G374" s="14" t="s">
        <v>8007</v>
      </c>
      <c r="H374" s="14" t="s">
        <v>8008</v>
      </c>
      <c r="I374" s="14" t="s">
        <v>49</v>
      </c>
      <c r="J374" s="11" t="str">
        <f>HYPERLINK("https://www.codechef.com/problems/PARKINGCHARG", "https://www.codechef.com/problems/PARKINGCHARG")</f>
        <v>https://www.codechef.com/problems/PARKINGCHARG</v>
      </c>
      <c r="K374" s="14"/>
      <c r="L374" s="14"/>
      <c r="M374" s="14"/>
      <c r="N374" s="14" t="s">
        <v>50</v>
      </c>
      <c r="O374" s="14" t="s">
        <v>51</v>
      </c>
    </row>
    <row r="375" spans="1:15">
      <c r="A375" s="15" t="s">
        <v>14</v>
      </c>
      <c r="B375" s="15" t="s">
        <v>7983</v>
      </c>
      <c r="C375" s="15" t="s">
        <v>7984</v>
      </c>
      <c r="D375" s="15" t="s">
        <v>8009</v>
      </c>
      <c r="E375" s="15">
        <v>12</v>
      </c>
      <c r="F375" s="15" t="s">
        <v>7986</v>
      </c>
      <c r="G375" s="15" t="s">
        <v>8010</v>
      </c>
      <c r="H375" s="15"/>
      <c r="I375" s="15" t="s">
        <v>49</v>
      </c>
      <c r="J375" s="7" t="str">
        <f>HYPERLINK("https://www.codechef.com/problems/RSPRACMCQ5", "https://www.codechef.com/problems/RSPRACMCQ5")</f>
        <v>https://www.codechef.com/problems/RSPRACMCQ5</v>
      </c>
      <c r="K375" s="15"/>
      <c r="L375" s="15"/>
      <c r="M375" s="15"/>
      <c r="N375" s="15" t="s">
        <v>50</v>
      </c>
      <c r="O375" s="15" t="s">
        <v>51</v>
      </c>
    </row>
    <row r="376" spans="1:15">
      <c r="A376" s="14" t="s">
        <v>14</v>
      </c>
      <c r="B376" s="14" t="s">
        <v>7983</v>
      </c>
      <c r="C376" s="14" t="s">
        <v>7984</v>
      </c>
      <c r="D376" s="14" t="s">
        <v>8009</v>
      </c>
      <c r="E376" s="14">
        <v>13</v>
      </c>
      <c r="F376" s="14" t="s">
        <v>8011</v>
      </c>
      <c r="G376" s="14" t="s">
        <v>8012</v>
      </c>
      <c r="H376" s="14" t="s">
        <v>8013</v>
      </c>
      <c r="I376" s="14" t="s">
        <v>49</v>
      </c>
      <c r="J376" s="11" t="str">
        <f>HYPERLINK("https://www.codechef.com/problems/CBSPEED", "https://www.codechef.com/problems/CBSPEED")</f>
        <v>https://www.codechef.com/problems/CBSPEED</v>
      </c>
      <c r="K376" s="14"/>
      <c r="L376" s="14" t="s">
        <v>125</v>
      </c>
      <c r="M376" s="14"/>
      <c r="N376" s="14" t="s">
        <v>50</v>
      </c>
      <c r="O376" s="14" t="s">
        <v>51</v>
      </c>
    </row>
    <row r="377" spans="1:15">
      <c r="A377" s="15" t="s">
        <v>14</v>
      </c>
      <c r="B377" s="15" t="s">
        <v>7983</v>
      </c>
      <c r="C377" s="15" t="s">
        <v>7984</v>
      </c>
      <c r="D377" s="15" t="s">
        <v>8009</v>
      </c>
      <c r="E377" s="15">
        <v>14</v>
      </c>
      <c r="F377" s="15" t="s">
        <v>7986</v>
      </c>
      <c r="G377" s="15" t="s">
        <v>8014</v>
      </c>
      <c r="H377" s="15"/>
      <c r="I377" s="15" t="s">
        <v>49</v>
      </c>
      <c r="J377" s="7" t="str">
        <f>HYPERLINK("https://www.codechef.com/problems/RSPRACMCQ6", "https://www.codechef.com/problems/RSPRACMCQ6")</f>
        <v>https://www.codechef.com/problems/RSPRACMCQ6</v>
      </c>
      <c r="K377" s="15"/>
      <c r="L377" s="15"/>
      <c r="M377" s="15"/>
      <c r="N377" s="15" t="s">
        <v>50</v>
      </c>
      <c r="O377" s="15" t="s">
        <v>51</v>
      </c>
    </row>
    <row r="378" spans="1:15">
      <c r="A378" s="14" t="s">
        <v>14</v>
      </c>
      <c r="B378" s="14" t="s">
        <v>7983</v>
      </c>
      <c r="C378" s="14" t="s">
        <v>7984</v>
      </c>
      <c r="D378" s="14" t="s">
        <v>8009</v>
      </c>
      <c r="E378" s="14">
        <v>15</v>
      </c>
      <c r="F378" s="14" t="s">
        <v>8015</v>
      </c>
      <c r="G378" s="14" t="s">
        <v>8016</v>
      </c>
      <c r="H378" s="14" t="s">
        <v>8017</v>
      </c>
      <c r="I378" s="14" t="s">
        <v>49</v>
      </c>
      <c r="J378" s="11" t="str">
        <f>HYPERLINK("https://www.codechef.com/problems/MARKSTW", "https://www.codechef.com/problems/MARKSTW")</f>
        <v>https://www.codechef.com/problems/MARKSTW</v>
      </c>
      <c r="K378" s="14"/>
      <c r="L378" s="14" t="s">
        <v>125</v>
      </c>
      <c r="M378" s="14"/>
      <c r="N378" s="14" t="s">
        <v>50</v>
      </c>
      <c r="O378" s="14" t="s">
        <v>51</v>
      </c>
    </row>
    <row r="379" spans="1:15">
      <c r="A379" s="15" t="s">
        <v>14</v>
      </c>
      <c r="B379" s="15" t="s">
        <v>7983</v>
      </c>
      <c r="C379" s="15" t="s">
        <v>7984</v>
      </c>
      <c r="D379" s="15" t="s">
        <v>8009</v>
      </c>
      <c r="E379" s="15">
        <v>16</v>
      </c>
      <c r="F379" s="15" t="s">
        <v>7986</v>
      </c>
      <c r="G379" s="15" t="s">
        <v>8018</v>
      </c>
      <c r="H379" s="15"/>
      <c r="I379" s="15" t="s">
        <v>49</v>
      </c>
      <c r="J379" s="7" t="str">
        <f>HYPERLINK("https://www.codechef.com/problems/RSPRACMCQ9", "https://www.codechef.com/problems/RSPRACMCQ9")</f>
        <v>https://www.codechef.com/problems/RSPRACMCQ9</v>
      </c>
      <c r="K379" s="15"/>
      <c r="L379" s="15"/>
      <c r="M379" s="15"/>
      <c r="N379" s="15" t="s">
        <v>50</v>
      </c>
      <c r="O379" s="15" t="s">
        <v>51</v>
      </c>
    </row>
    <row r="380" spans="1:15">
      <c r="A380" s="14" t="s">
        <v>14</v>
      </c>
      <c r="B380" s="14" t="s">
        <v>7983</v>
      </c>
      <c r="C380" s="14" t="s">
        <v>7984</v>
      </c>
      <c r="D380" s="14" t="s">
        <v>8009</v>
      </c>
      <c r="E380" s="14">
        <v>17</v>
      </c>
      <c r="F380" s="14" t="s">
        <v>8019</v>
      </c>
      <c r="G380" s="14" t="s">
        <v>8020</v>
      </c>
      <c r="H380" s="14" t="s">
        <v>1710</v>
      </c>
      <c r="I380" s="14" t="s">
        <v>49</v>
      </c>
      <c r="J380" s="11" t="str">
        <f>HYPERLINK("https://www.codechef.com/problems/ONEFULPAIRS", "https://www.codechef.com/problems/ONEFULPAIRS")</f>
        <v>https://www.codechef.com/problems/ONEFULPAIRS</v>
      </c>
      <c r="K380" s="14"/>
      <c r="L380" s="14"/>
      <c r="M380" s="14"/>
      <c r="N380" s="14" t="s">
        <v>50</v>
      </c>
      <c r="O380" s="14" t="s">
        <v>51</v>
      </c>
    </row>
    <row r="381" spans="1:15">
      <c r="A381" s="15" t="s">
        <v>14</v>
      </c>
      <c r="B381" s="15" t="s">
        <v>7983</v>
      </c>
      <c r="C381" s="15" t="s">
        <v>7984</v>
      </c>
      <c r="D381" s="15" t="s">
        <v>8021</v>
      </c>
      <c r="E381" s="15">
        <v>18</v>
      </c>
      <c r="F381" s="15" t="s">
        <v>7991</v>
      </c>
      <c r="G381" s="15" t="s">
        <v>8022</v>
      </c>
      <c r="H381" s="15"/>
      <c r="I381" s="15" t="s">
        <v>49</v>
      </c>
      <c r="J381" s="7" t="str">
        <f>HYPERLINK("https://www.codechef.com/problems/RSPRACREARR2", "https://www.codechef.com/problems/RSPRACREARR2")</f>
        <v>https://www.codechef.com/problems/RSPRACREARR2</v>
      </c>
      <c r="K381" s="15"/>
      <c r="L381" s="15"/>
      <c r="M381" s="15"/>
      <c r="N381" s="15" t="s">
        <v>50</v>
      </c>
      <c r="O381" s="15" t="s">
        <v>51</v>
      </c>
    </row>
    <row r="382" spans="1:15">
      <c r="A382" s="14" t="s">
        <v>14</v>
      </c>
      <c r="B382" s="14" t="s">
        <v>7983</v>
      </c>
      <c r="C382" s="14" t="s">
        <v>7984</v>
      </c>
      <c r="D382" s="14" t="s">
        <v>8021</v>
      </c>
      <c r="E382" s="14">
        <v>19</v>
      </c>
      <c r="F382" s="14" t="s">
        <v>8023</v>
      </c>
      <c r="G382" s="14" t="s">
        <v>8024</v>
      </c>
      <c r="H382" s="14" t="s">
        <v>1590</v>
      </c>
      <c r="I382" s="14" t="s">
        <v>49</v>
      </c>
      <c r="J382" s="11" t="str">
        <f>HYPERLINK("https://www.codechef.com/problems/MY1STCONTEST", "https://www.codechef.com/problems/MY1STCONTEST")</f>
        <v>https://www.codechef.com/problems/MY1STCONTEST</v>
      </c>
      <c r="K382" s="14"/>
      <c r="L382" s="14"/>
      <c r="M382" s="14"/>
      <c r="N382" s="14" t="s">
        <v>50</v>
      </c>
      <c r="O382" s="14" t="s">
        <v>51</v>
      </c>
    </row>
    <row r="383" spans="1:15">
      <c r="A383" s="15" t="s">
        <v>14</v>
      </c>
      <c r="B383" s="15" t="s">
        <v>7983</v>
      </c>
      <c r="C383" s="15" t="s">
        <v>7984</v>
      </c>
      <c r="D383" s="15" t="s">
        <v>8021</v>
      </c>
      <c r="E383" s="15">
        <v>20</v>
      </c>
      <c r="F383" s="15" t="s">
        <v>7986</v>
      </c>
      <c r="G383" s="15" t="s">
        <v>8025</v>
      </c>
      <c r="H383" s="15"/>
      <c r="I383" s="15" t="s">
        <v>49</v>
      </c>
      <c r="J383" s="7" t="str">
        <f>HYPERLINK("https://www.codechef.com/problems/RSPRACMCQ8", "https://www.codechef.com/problems/RSPRACMCQ8")</f>
        <v>https://www.codechef.com/problems/RSPRACMCQ8</v>
      </c>
      <c r="K383" s="15"/>
      <c r="L383" s="15"/>
      <c r="M383" s="15"/>
      <c r="N383" s="15" t="s">
        <v>50</v>
      </c>
      <c r="O383" s="15" t="s">
        <v>51</v>
      </c>
    </row>
    <row r="384" spans="1:15">
      <c r="A384" s="14" t="s">
        <v>14</v>
      </c>
      <c r="B384" s="14" t="s">
        <v>7983</v>
      </c>
      <c r="C384" s="14" t="s">
        <v>7984</v>
      </c>
      <c r="D384" s="14" t="s">
        <v>8021</v>
      </c>
      <c r="E384" s="14">
        <v>21</v>
      </c>
      <c r="F384" s="14" t="s">
        <v>8026</v>
      </c>
      <c r="G384" s="14" t="s">
        <v>8027</v>
      </c>
      <c r="H384" s="14" t="s">
        <v>8028</v>
      </c>
      <c r="I384" s="14" t="s">
        <v>49</v>
      </c>
      <c r="J384" s="11" t="str">
        <f>HYPERLINK("https://www.codechef.com/problems/BLACKCEL", "https://www.codechef.com/problems/BLACKCEL")</f>
        <v>https://www.codechef.com/problems/BLACKCEL</v>
      </c>
      <c r="K384" s="14"/>
      <c r="L384" s="14"/>
      <c r="M384" s="14"/>
      <c r="N384" s="14" t="s">
        <v>50</v>
      </c>
      <c r="O384" s="14" t="s">
        <v>51</v>
      </c>
    </row>
    <row r="385" spans="1:15">
      <c r="A385" s="15" t="s">
        <v>14</v>
      </c>
      <c r="B385" s="15" t="s">
        <v>7983</v>
      </c>
      <c r="C385" s="15" t="s">
        <v>7984</v>
      </c>
      <c r="D385" s="15" t="s">
        <v>8021</v>
      </c>
      <c r="E385" s="15">
        <v>22</v>
      </c>
      <c r="F385" s="15" t="s">
        <v>7986</v>
      </c>
      <c r="G385" s="15" t="s">
        <v>8029</v>
      </c>
      <c r="H385" s="15"/>
      <c r="I385" s="15" t="s">
        <v>49</v>
      </c>
      <c r="J385" s="7" t="str">
        <f>HYPERLINK("https://www.codechef.com/problems/RSPRACMCQ7", "https://www.codechef.com/problems/RSPRACMCQ7")</f>
        <v>https://www.codechef.com/problems/RSPRACMCQ7</v>
      </c>
      <c r="K385" s="15"/>
      <c r="L385" s="15"/>
      <c r="M385" s="15"/>
      <c r="N385" s="15" t="s">
        <v>50</v>
      </c>
      <c r="O385" s="15" t="s">
        <v>51</v>
      </c>
    </row>
    <row r="386" spans="1:15">
      <c r="A386" s="14" t="s">
        <v>14</v>
      </c>
      <c r="B386" s="14" t="s">
        <v>7983</v>
      </c>
      <c r="C386" s="14" t="s">
        <v>7984</v>
      </c>
      <c r="D386" s="14" t="s">
        <v>8021</v>
      </c>
      <c r="E386" s="14">
        <v>23</v>
      </c>
      <c r="F386" s="14" t="s">
        <v>8030</v>
      </c>
      <c r="G386" s="14" t="s">
        <v>8031</v>
      </c>
      <c r="H386" s="14" t="s">
        <v>1672</v>
      </c>
      <c r="I386" s="14" t="s">
        <v>49</v>
      </c>
      <c r="J386" s="11" t="str">
        <f>HYPERLINK("https://www.codechef.com/problems/ABDIFF", "https://www.codechef.com/problems/ABDIFF")</f>
        <v>https://www.codechef.com/problems/ABDIFF</v>
      </c>
      <c r="K386" s="14"/>
      <c r="L386" s="14"/>
      <c r="M386" s="14"/>
      <c r="N386" s="14" t="s">
        <v>50</v>
      </c>
      <c r="O386" s="14" t="s">
        <v>51</v>
      </c>
    </row>
    <row r="387" spans="1:15">
      <c r="A387" s="15" t="s">
        <v>14</v>
      </c>
      <c r="B387" s="15" t="s">
        <v>7983</v>
      </c>
      <c r="C387" s="15" t="s">
        <v>7984</v>
      </c>
      <c r="D387" s="15" t="s">
        <v>8032</v>
      </c>
      <c r="E387" s="15">
        <v>24</v>
      </c>
      <c r="F387" s="15" t="s">
        <v>7991</v>
      </c>
      <c r="G387" s="15" t="s">
        <v>8033</v>
      </c>
      <c r="H387" s="15"/>
      <c r="I387" s="15" t="s">
        <v>49</v>
      </c>
      <c r="J387" s="7" t="str">
        <f>HYPERLINK("https://www.codechef.com/problems/RSPRACREARR3", "https://www.codechef.com/problems/RSPRACREARR3")</f>
        <v>https://www.codechef.com/problems/RSPRACREARR3</v>
      </c>
      <c r="K387" s="15"/>
      <c r="L387" s="15"/>
      <c r="M387" s="15"/>
      <c r="N387" s="15" t="s">
        <v>50</v>
      </c>
      <c r="O387" s="15" t="s">
        <v>51</v>
      </c>
    </row>
    <row r="388" spans="1:15">
      <c r="A388" s="14" t="s">
        <v>14</v>
      </c>
      <c r="B388" s="14" t="s">
        <v>7983</v>
      </c>
      <c r="C388" s="14" t="s">
        <v>7984</v>
      </c>
      <c r="D388" s="14" t="s">
        <v>8032</v>
      </c>
      <c r="E388" s="14">
        <v>25</v>
      </c>
      <c r="F388" s="14" t="s">
        <v>8034</v>
      </c>
      <c r="G388" s="14" t="s">
        <v>8035</v>
      </c>
      <c r="H388" s="14" t="s">
        <v>8036</v>
      </c>
      <c r="I388" s="14" t="s">
        <v>49</v>
      </c>
      <c r="J388" s="11" t="str">
        <f>HYPERLINK("https://www.codechef.com/problems/FLOW001", "https://www.codechef.com/problems/FLOW001")</f>
        <v>https://www.codechef.com/problems/FLOW001</v>
      </c>
      <c r="K388" s="14"/>
      <c r="L388" s="14" t="s">
        <v>1701</v>
      </c>
      <c r="M388" s="14"/>
      <c r="N388" s="14" t="s">
        <v>50</v>
      </c>
      <c r="O388" s="14" t="s">
        <v>51</v>
      </c>
    </row>
    <row r="389" spans="1:15">
      <c r="A389" s="15" t="s">
        <v>14</v>
      </c>
      <c r="B389" s="15" t="s">
        <v>7983</v>
      </c>
      <c r="C389" s="15" t="s">
        <v>7984</v>
      </c>
      <c r="D389" s="15" t="s">
        <v>8032</v>
      </c>
      <c r="E389" s="15">
        <v>26</v>
      </c>
      <c r="F389" s="15" t="s">
        <v>7986</v>
      </c>
      <c r="G389" s="15" t="s">
        <v>8037</v>
      </c>
      <c r="H389" s="15"/>
      <c r="I389" s="15" t="s">
        <v>49</v>
      </c>
      <c r="J389" s="7" t="str">
        <f>HYPERLINK("https://www.codechef.com/problems/RSPRACMCQ11", "https://www.codechef.com/problems/RSPRACMCQ11")</f>
        <v>https://www.codechef.com/problems/RSPRACMCQ11</v>
      </c>
      <c r="K389" s="15"/>
      <c r="L389" s="15"/>
      <c r="M389" s="15"/>
      <c r="N389" s="15" t="s">
        <v>50</v>
      </c>
      <c r="O389" s="15" t="s">
        <v>51</v>
      </c>
    </row>
    <row r="390" spans="1:15">
      <c r="A390" s="14" t="s">
        <v>14</v>
      </c>
      <c r="B390" s="14" t="s">
        <v>7983</v>
      </c>
      <c r="C390" s="14" t="s">
        <v>7984</v>
      </c>
      <c r="D390" s="14" t="s">
        <v>8032</v>
      </c>
      <c r="E390" s="14">
        <v>27</v>
      </c>
      <c r="F390" s="14" t="s">
        <v>8038</v>
      </c>
      <c r="G390" s="14" t="s">
        <v>8039</v>
      </c>
      <c r="H390" s="14" t="s">
        <v>8040</v>
      </c>
      <c r="I390" s="14" t="s">
        <v>49</v>
      </c>
      <c r="J390" s="11" t="str">
        <f>HYPERLINK("https://www.codechef.com/problems/GDTURN", "https://www.codechef.com/problems/GDTURN")</f>
        <v>https://www.codechef.com/problems/GDTURN</v>
      </c>
      <c r="K390" s="14"/>
      <c r="L390" s="14" t="s">
        <v>1578</v>
      </c>
      <c r="M390" s="14"/>
      <c r="N390" s="14" t="s">
        <v>50</v>
      </c>
      <c r="O390" s="14" t="s">
        <v>51</v>
      </c>
    </row>
    <row r="391" spans="1:15">
      <c r="A391" s="15" t="s">
        <v>14</v>
      </c>
      <c r="B391" s="15" t="s">
        <v>7983</v>
      </c>
      <c r="C391" s="15" t="s">
        <v>7984</v>
      </c>
      <c r="D391" s="15" t="s">
        <v>8032</v>
      </c>
      <c r="E391" s="15">
        <v>28</v>
      </c>
      <c r="F391" s="15" t="s">
        <v>7986</v>
      </c>
      <c r="G391" s="15" t="s">
        <v>8041</v>
      </c>
      <c r="H391" s="15"/>
      <c r="I391" s="15" t="s">
        <v>49</v>
      </c>
      <c r="J391" s="7" t="str">
        <f>HYPERLINK("https://www.codechef.com/problems/RSPRACMCQ10", "https://www.codechef.com/problems/RSPRACMCQ10")</f>
        <v>https://www.codechef.com/problems/RSPRACMCQ10</v>
      </c>
      <c r="K391" s="15"/>
      <c r="L391" s="15"/>
      <c r="M391" s="15"/>
      <c r="N391" s="15" t="s">
        <v>50</v>
      </c>
      <c r="O391" s="15" t="s">
        <v>51</v>
      </c>
    </row>
    <row r="392" spans="1:15">
      <c r="A392" s="14" t="s">
        <v>14</v>
      </c>
      <c r="B392" s="14" t="s">
        <v>7983</v>
      </c>
      <c r="C392" s="14" t="s">
        <v>7984</v>
      </c>
      <c r="D392" s="14" t="s">
        <v>8032</v>
      </c>
      <c r="E392" s="14">
        <v>29</v>
      </c>
      <c r="F392" s="14" t="s">
        <v>8042</v>
      </c>
      <c r="G392" s="14" t="s">
        <v>8043</v>
      </c>
      <c r="H392" s="14" t="s">
        <v>8044</v>
      </c>
      <c r="I392" s="14" t="s">
        <v>49</v>
      </c>
      <c r="J392" s="11" t="str">
        <f>HYPERLINK("https://www.codechef.com/problems/WATERCONS", "https://www.codechef.com/problems/WATERCONS")</f>
        <v>https://www.codechef.com/problems/WATERCONS</v>
      </c>
      <c r="K392" s="14"/>
      <c r="L392" s="14"/>
      <c r="M392" s="14"/>
      <c r="N392" s="14" t="s">
        <v>50</v>
      </c>
      <c r="O392" s="14" t="s">
        <v>51</v>
      </c>
    </row>
    <row r="393" spans="1:15">
      <c r="A393" s="15" t="s">
        <v>14</v>
      </c>
      <c r="B393" s="15" t="s">
        <v>7983</v>
      </c>
      <c r="C393" s="15" t="s">
        <v>7984</v>
      </c>
      <c r="D393" s="15" t="s">
        <v>8045</v>
      </c>
      <c r="E393" s="15">
        <v>30</v>
      </c>
      <c r="F393" s="15" t="s">
        <v>7986</v>
      </c>
      <c r="G393" s="15" t="s">
        <v>8046</v>
      </c>
      <c r="H393" s="15"/>
      <c r="I393" s="15" t="s">
        <v>49</v>
      </c>
      <c r="J393" s="7" t="str">
        <f>HYPERLINK("https://www.codechef.com/problems/RSPRACMCQ12", "https://www.codechef.com/problems/RSPRACMCQ12")</f>
        <v>https://www.codechef.com/problems/RSPRACMCQ12</v>
      </c>
      <c r="K393" s="15"/>
      <c r="L393" s="15"/>
      <c r="M393" s="15"/>
      <c r="N393" s="15" t="s">
        <v>50</v>
      </c>
      <c r="O393" s="15" t="s">
        <v>51</v>
      </c>
    </row>
    <row r="394" spans="1:15">
      <c r="A394" s="14" t="s">
        <v>14</v>
      </c>
      <c r="B394" s="14" t="s">
        <v>7983</v>
      </c>
      <c r="C394" s="14" t="s">
        <v>7984</v>
      </c>
      <c r="D394" s="14" t="s">
        <v>8045</v>
      </c>
      <c r="E394" s="14">
        <v>31</v>
      </c>
      <c r="F394" s="14" t="s">
        <v>8047</v>
      </c>
      <c r="G394" s="14" t="s">
        <v>8048</v>
      </c>
      <c r="H394" s="14" t="s">
        <v>8049</v>
      </c>
      <c r="I394" s="14" t="s">
        <v>49</v>
      </c>
      <c r="J394" s="11" t="str">
        <f>HYPERLINK("https://www.codechef.com/problems/AGELIMIT", "https://www.codechef.com/problems/AGELIMIT")</f>
        <v>https://www.codechef.com/problems/AGELIMIT</v>
      </c>
      <c r="K394" s="14"/>
      <c r="L394" s="14"/>
      <c r="M394" s="14"/>
      <c r="N394" s="14" t="s">
        <v>50</v>
      </c>
      <c r="O394" s="14" t="s">
        <v>51</v>
      </c>
    </row>
    <row r="395" spans="1:15">
      <c r="A395" s="15" t="s">
        <v>14</v>
      </c>
      <c r="B395" s="15" t="s">
        <v>7983</v>
      </c>
      <c r="C395" s="15" t="s">
        <v>7984</v>
      </c>
      <c r="D395" s="15" t="s">
        <v>8045</v>
      </c>
      <c r="E395" s="15">
        <v>32</v>
      </c>
      <c r="F395" s="15" t="s">
        <v>7986</v>
      </c>
      <c r="G395" s="15" t="s">
        <v>8050</v>
      </c>
      <c r="H395" s="15"/>
      <c r="I395" s="15" t="s">
        <v>49</v>
      </c>
      <c r="J395" s="7" t="str">
        <f>HYPERLINK("https://www.codechef.com/problems/RSPRACMCQ13", "https://www.codechef.com/problems/RSPRACMCQ13")</f>
        <v>https://www.codechef.com/problems/RSPRACMCQ13</v>
      </c>
      <c r="K395" s="15"/>
      <c r="L395" s="15"/>
      <c r="M395" s="15"/>
      <c r="N395" s="15" t="s">
        <v>50</v>
      </c>
      <c r="O395" s="15" t="s">
        <v>51</v>
      </c>
    </row>
    <row r="396" spans="1:15">
      <c r="A396" s="14" t="s">
        <v>14</v>
      </c>
      <c r="B396" s="14" t="s">
        <v>7983</v>
      </c>
      <c r="C396" s="14" t="s">
        <v>7984</v>
      </c>
      <c r="D396" s="14" t="s">
        <v>8045</v>
      </c>
      <c r="E396" s="14">
        <v>33</v>
      </c>
      <c r="F396" s="14" t="s">
        <v>8051</v>
      </c>
      <c r="G396" s="14" t="s">
        <v>8052</v>
      </c>
      <c r="H396" s="14" t="s">
        <v>8053</v>
      </c>
      <c r="I396" s="14" t="s">
        <v>49</v>
      </c>
      <c r="J396" s="11" t="str">
        <f>HYPERLINK("https://www.codechef.com/problems/SQUATS", "https://www.codechef.com/problems/SQUATS")</f>
        <v>https://www.codechef.com/problems/SQUATS</v>
      </c>
      <c r="K396" s="14"/>
      <c r="L396" s="14"/>
      <c r="M396" s="14"/>
      <c r="N396" s="14" t="s">
        <v>50</v>
      </c>
      <c r="O396" s="14" t="s">
        <v>51</v>
      </c>
    </row>
    <row r="397" spans="1:15">
      <c r="A397" s="15" t="s">
        <v>14</v>
      </c>
      <c r="B397" s="15" t="s">
        <v>8054</v>
      </c>
      <c r="C397" s="15" t="s">
        <v>8055</v>
      </c>
      <c r="D397" s="15" t="s">
        <v>7985</v>
      </c>
      <c r="E397" s="15">
        <v>1</v>
      </c>
      <c r="F397" s="15" t="s">
        <v>7986</v>
      </c>
      <c r="G397" s="15" t="s">
        <v>8056</v>
      </c>
      <c r="H397" s="15"/>
      <c r="I397" s="15" t="s">
        <v>49</v>
      </c>
      <c r="J397" s="7" t="str">
        <f>HYPERLINK("https://www.codechef.com/problems/CSPRACMCQ1", "https://www.codechef.com/problems/CSPRACMCQ1")</f>
        <v>https://www.codechef.com/problems/CSPRACMCQ1</v>
      </c>
      <c r="K397" s="15"/>
      <c r="L397" s="15"/>
      <c r="M397" s="15"/>
      <c r="N397" s="15" t="s">
        <v>50</v>
      </c>
      <c r="O397" s="15" t="s">
        <v>51</v>
      </c>
    </row>
    <row r="398" spans="1:15">
      <c r="A398" s="14" t="s">
        <v>14</v>
      </c>
      <c r="B398" s="14" t="s">
        <v>8054</v>
      </c>
      <c r="C398" s="14" t="s">
        <v>8055</v>
      </c>
      <c r="D398" s="14" t="s">
        <v>7985</v>
      </c>
      <c r="E398" s="14">
        <v>2</v>
      </c>
      <c r="F398" s="14" t="s">
        <v>7988</v>
      </c>
      <c r="G398" s="14" t="s">
        <v>7989</v>
      </c>
      <c r="H398" s="14" t="s">
        <v>7990</v>
      </c>
      <c r="I398" s="14" t="s">
        <v>49</v>
      </c>
      <c r="J398" s="11" t="str">
        <f>HYPERLINK("https://www.codechef.com/problems/START01", "https://www.codechef.com/problems/START01")</f>
        <v>https://www.codechef.com/problems/START01</v>
      </c>
      <c r="K398" s="14"/>
      <c r="L398" s="14"/>
      <c r="M398" s="14"/>
      <c r="N398" s="14" t="s">
        <v>50</v>
      </c>
      <c r="O398" s="14" t="s">
        <v>51</v>
      </c>
    </row>
    <row r="399" spans="1:15">
      <c r="A399" s="15" t="s">
        <v>14</v>
      </c>
      <c r="B399" s="15" t="s">
        <v>8054</v>
      </c>
      <c r="C399" s="15" t="s">
        <v>8055</v>
      </c>
      <c r="D399" s="15" t="s">
        <v>7985</v>
      </c>
      <c r="E399" s="15">
        <v>3</v>
      </c>
      <c r="F399" s="15" t="s">
        <v>7991</v>
      </c>
      <c r="G399" s="15" t="s">
        <v>8057</v>
      </c>
      <c r="H399" s="15"/>
      <c r="I399" s="15" t="s">
        <v>49</v>
      </c>
      <c r="J399" s="7" t="str">
        <f>HYPERLINK("https://www.codechef.com/problems/CSPRACREARR1", "https://www.codechef.com/problems/CSPRACREARR1")</f>
        <v>https://www.codechef.com/problems/CSPRACREARR1</v>
      </c>
      <c r="K399" s="15"/>
      <c r="L399" s="15"/>
      <c r="M399" s="15"/>
      <c r="N399" s="15" t="s">
        <v>50</v>
      </c>
      <c r="O399" s="15" t="s">
        <v>51</v>
      </c>
    </row>
    <row r="400" spans="1:15">
      <c r="A400" s="14" t="s">
        <v>14</v>
      </c>
      <c r="B400" s="14" t="s">
        <v>8054</v>
      </c>
      <c r="C400" s="14" t="s">
        <v>8055</v>
      </c>
      <c r="D400" s="14" t="s">
        <v>7985</v>
      </c>
      <c r="E400" s="14">
        <v>4</v>
      </c>
      <c r="F400" s="14" t="s">
        <v>7986</v>
      </c>
      <c r="G400" s="14" t="s">
        <v>8058</v>
      </c>
      <c r="H400" s="14"/>
      <c r="I400" s="14" t="s">
        <v>322</v>
      </c>
      <c r="J400" s="11" t="str">
        <f>HYPERLINK("https://www.codechef.com/problems/CSPRACREAR1A", "https://www.codechef.com/problems/CSPRACREAR1A")</f>
        <v>https://www.codechef.com/problems/CSPRACREAR1A</v>
      </c>
      <c r="K400" s="14"/>
      <c r="L400" s="14"/>
      <c r="M400" s="14"/>
      <c r="N400" s="14" t="s">
        <v>50</v>
      </c>
      <c r="O400" s="14" t="s">
        <v>51</v>
      </c>
    </row>
    <row r="401" spans="1:15">
      <c r="A401" s="15" t="s">
        <v>14</v>
      </c>
      <c r="B401" s="15" t="s">
        <v>8054</v>
      </c>
      <c r="C401" s="15" t="s">
        <v>8055</v>
      </c>
      <c r="D401" s="15" t="s">
        <v>7985</v>
      </c>
      <c r="E401" s="15">
        <v>5</v>
      </c>
      <c r="F401" s="15" t="s">
        <v>7994</v>
      </c>
      <c r="G401" s="15" t="s">
        <v>7995</v>
      </c>
      <c r="H401" s="15" t="s">
        <v>1789</v>
      </c>
      <c r="I401" s="15" t="s">
        <v>49</v>
      </c>
      <c r="J401" s="7" t="str">
        <f>HYPERLINK("https://www.codechef.com/problems/INSTNOODLE", "https://www.codechef.com/problems/INSTNOODLE")</f>
        <v>https://www.codechef.com/problems/INSTNOODLE</v>
      </c>
      <c r="K401" s="15"/>
      <c r="L401" s="15" t="s">
        <v>1762</v>
      </c>
      <c r="M401" s="15"/>
      <c r="N401" s="15" t="s">
        <v>50</v>
      </c>
      <c r="O401" s="15" t="s">
        <v>51</v>
      </c>
    </row>
    <row r="402" spans="1:15">
      <c r="A402" s="14" t="s">
        <v>14</v>
      </c>
      <c r="B402" s="14" t="s">
        <v>8054</v>
      </c>
      <c r="C402" s="14" t="s">
        <v>8055</v>
      </c>
      <c r="D402" s="14" t="s">
        <v>7985</v>
      </c>
      <c r="E402" s="14">
        <v>6</v>
      </c>
      <c r="F402" s="14" t="s">
        <v>7986</v>
      </c>
      <c r="G402" s="14" t="s">
        <v>8059</v>
      </c>
      <c r="H402" s="14"/>
      <c r="I402" s="14" t="s">
        <v>49</v>
      </c>
      <c r="J402" s="11" t="str">
        <f>HYPERLINK("https://www.codechef.com/problems/CSPRACMCQ4", "https://www.codechef.com/problems/CSPRACMCQ4")</f>
        <v>https://www.codechef.com/problems/CSPRACMCQ4</v>
      </c>
      <c r="K402" s="14"/>
      <c r="L402" s="14"/>
      <c r="M402" s="14"/>
      <c r="N402" s="14" t="s">
        <v>50</v>
      </c>
      <c r="O402" s="14" t="s">
        <v>51</v>
      </c>
    </row>
    <row r="403" spans="1:15">
      <c r="A403" s="15" t="s">
        <v>14</v>
      </c>
      <c r="B403" s="15" t="s">
        <v>8054</v>
      </c>
      <c r="C403" s="15" t="s">
        <v>8055</v>
      </c>
      <c r="D403" s="15" t="s">
        <v>7985</v>
      </c>
      <c r="E403" s="15">
        <v>7</v>
      </c>
      <c r="F403" s="15" t="s">
        <v>7997</v>
      </c>
      <c r="G403" s="15" t="s">
        <v>7998</v>
      </c>
      <c r="H403" s="15" t="s">
        <v>7999</v>
      </c>
      <c r="I403" s="15" t="s">
        <v>49</v>
      </c>
      <c r="J403" s="7" t="str">
        <f>HYPERLINK("https://www.codechef.com/problems/CCLEARN", "https://www.codechef.com/problems/CCLEARN")</f>
        <v>https://www.codechef.com/problems/CCLEARN</v>
      </c>
      <c r="K403" s="15"/>
      <c r="L403" s="15" t="s">
        <v>194</v>
      </c>
      <c r="M403" s="15"/>
      <c r="N403" s="15" t="s">
        <v>50</v>
      </c>
      <c r="O403" s="15" t="s">
        <v>51</v>
      </c>
    </row>
    <row r="404" spans="1:15">
      <c r="A404" s="14" t="s">
        <v>14</v>
      </c>
      <c r="B404" s="14" t="s">
        <v>8054</v>
      </c>
      <c r="C404" s="14" t="s">
        <v>8055</v>
      </c>
      <c r="D404" s="14" t="s">
        <v>8000</v>
      </c>
      <c r="E404" s="14">
        <v>8</v>
      </c>
      <c r="F404" s="14" t="s">
        <v>7986</v>
      </c>
      <c r="G404" s="14" t="s">
        <v>8060</v>
      </c>
      <c r="H404" s="14"/>
      <c r="I404" s="14" t="s">
        <v>49</v>
      </c>
      <c r="J404" s="11" t="str">
        <f>HYPERLINK("https://www.codechef.com/problems/CSPRACMCQ2", "https://www.codechef.com/problems/CSPRACMCQ2")</f>
        <v>https://www.codechef.com/problems/CSPRACMCQ2</v>
      </c>
      <c r="K404" s="14"/>
      <c r="L404" s="14"/>
      <c r="M404" s="14"/>
      <c r="N404" s="14" t="s">
        <v>50</v>
      </c>
      <c r="O404" s="14" t="s">
        <v>51</v>
      </c>
    </row>
    <row r="405" spans="1:15">
      <c r="A405" s="15" t="s">
        <v>14</v>
      </c>
      <c r="B405" s="15" t="s">
        <v>8054</v>
      </c>
      <c r="C405" s="15" t="s">
        <v>8055</v>
      </c>
      <c r="D405" s="15" t="s">
        <v>8000</v>
      </c>
      <c r="E405" s="15">
        <v>9</v>
      </c>
      <c r="F405" s="15" t="s">
        <v>8002</v>
      </c>
      <c r="G405" s="15" t="s">
        <v>8003</v>
      </c>
      <c r="H405" s="15" t="s">
        <v>8004</v>
      </c>
      <c r="I405" s="15" t="s">
        <v>49</v>
      </c>
      <c r="J405" s="7" t="str">
        <f>HYPERLINK("https://www.codechef.com/problems/LEARNSQL", "https://www.codechef.com/problems/LEARNSQL")</f>
        <v>https://www.codechef.com/problems/LEARNSQL</v>
      </c>
      <c r="K405" s="15"/>
      <c r="L405" s="15"/>
      <c r="M405" s="15"/>
      <c r="N405" s="15" t="s">
        <v>50</v>
      </c>
      <c r="O405" s="15" t="s">
        <v>51</v>
      </c>
    </row>
    <row r="406" spans="1:15">
      <c r="A406" s="14" t="s">
        <v>14</v>
      </c>
      <c r="B406" s="14" t="s">
        <v>8054</v>
      </c>
      <c r="C406" s="14" t="s">
        <v>8055</v>
      </c>
      <c r="D406" s="14" t="s">
        <v>8000</v>
      </c>
      <c r="E406" s="14">
        <v>10</v>
      </c>
      <c r="F406" s="14" t="s">
        <v>7986</v>
      </c>
      <c r="G406" s="14" t="s">
        <v>8061</v>
      </c>
      <c r="H406" s="14"/>
      <c r="I406" s="14" t="s">
        <v>49</v>
      </c>
      <c r="J406" s="11" t="str">
        <f>HYPERLINK("https://www.codechef.com/problems/CSPRACMCQ3", "https://www.codechef.com/problems/CSPRACMCQ3")</f>
        <v>https://www.codechef.com/problems/CSPRACMCQ3</v>
      </c>
      <c r="K406" s="14"/>
      <c r="L406" s="14"/>
      <c r="M406" s="14"/>
      <c r="N406" s="14" t="s">
        <v>50</v>
      </c>
      <c r="O406" s="14" t="s">
        <v>51</v>
      </c>
    </row>
    <row r="407" spans="1:15">
      <c r="A407" s="15" t="s">
        <v>14</v>
      </c>
      <c r="B407" s="15" t="s">
        <v>8054</v>
      </c>
      <c r="C407" s="15" t="s">
        <v>8055</v>
      </c>
      <c r="D407" s="15" t="s">
        <v>8000</v>
      </c>
      <c r="E407" s="15">
        <v>11</v>
      </c>
      <c r="F407" s="15" t="s">
        <v>8006</v>
      </c>
      <c r="G407" s="15" t="s">
        <v>8007</v>
      </c>
      <c r="H407" s="15" t="s">
        <v>8008</v>
      </c>
      <c r="I407" s="15" t="s">
        <v>49</v>
      </c>
      <c r="J407" s="7" t="str">
        <f>HYPERLINK("https://www.codechef.com/problems/PARKINGCHARG", "https://www.codechef.com/problems/PARKINGCHARG")</f>
        <v>https://www.codechef.com/problems/PARKINGCHARG</v>
      </c>
      <c r="K407" s="15"/>
      <c r="L407" s="15"/>
      <c r="M407" s="15"/>
      <c r="N407" s="15" t="s">
        <v>50</v>
      </c>
      <c r="O407" s="15" t="s">
        <v>51</v>
      </c>
    </row>
    <row r="408" spans="1:15">
      <c r="A408" s="14" t="s">
        <v>14</v>
      </c>
      <c r="B408" s="14" t="s">
        <v>8054</v>
      </c>
      <c r="C408" s="14" t="s">
        <v>8055</v>
      </c>
      <c r="D408" s="14" t="s">
        <v>8009</v>
      </c>
      <c r="E408" s="14">
        <v>12</v>
      </c>
      <c r="F408" s="14" t="s">
        <v>7986</v>
      </c>
      <c r="G408" s="14" t="s">
        <v>8062</v>
      </c>
      <c r="H408" s="14"/>
      <c r="I408" s="14" t="s">
        <v>49</v>
      </c>
      <c r="J408" s="11" t="str">
        <f>HYPERLINK("https://www.codechef.com/problems/CSPRACMCQ5", "https://www.codechef.com/problems/CSPRACMCQ5")</f>
        <v>https://www.codechef.com/problems/CSPRACMCQ5</v>
      </c>
      <c r="K408" s="14"/>
      <c r="L408" s="14"/>
      <c r="M408" s="14"/>
      <c r="N408" s="14" t="s">
        <v>50</v>
      </c>
      <c r="O408" s="14" t="s">
        <v>51</v>
      </c>
    </row>
    <row r="409" spans="1:15">
      <c r="A409" s="15" t="s">
        <v>14</v>
      </c>
      <c r="B409" s="15" t="s">
        <v>8054</v>
      </c>
      <c r="C409" s="15" t="s">
        <v>8055</v>
      </c>
      <c r="D409" s="15" t="s">
        <v>8009</v>
      </c>
      <c r="E409" s="15">
        <v>13</v>
      </c>
      <c r="F409" s="15" t="s">
        <v>8011</v>
      </c>
      <c r="G409" s="15" t="s">
        <v>8012</v>
      </c>
      <c r="H409" s="15" t="s">
        <v>8013</v>
      </c>
      <c r="I409" s="15" t="s">
        <v>49</v>
      </c>
      <c r="J409" s="7" t="str">
        <f>HYPERLINK("https://www.codechef.com/problems/CBSPEED", "https://www.codechef.com/problems/CBSPEED")</f>
        <v>https://www.codechef.com/problems/CBSPEED</v>
      </c>
      <c r="K409" s="15"/>
      <c r="L409" s="15" t="s">
        <v>125</v>
      </c>
      <c r="M409" s="15"/>
      <c r="N409" s="15" t="s">
        <v>50</v>
      </c>
      <c r="O409" s="15" t="s">
        <v>51</v>
      </c>
    </row>
    <row r="410" spans="1:15">
      <c r="A410" s="14" t="s">
        <v>14</v>
      </c>
      <c r="B410" s="14" t="s">
        <v>8054</v>
      </c>
      <c r="C410" s="14" t="s">
        <v>8055</v>
      </c>
      <c r="D410" s="14" t="s">
        <v>8009</v>
      </c>
      <c r="E410" s="14">
        <v>14</v>
      </c>
      <c r="F410" s="14" t="s">
        <v>7986</v>
      </c>
      <c r="G410" s="14" t="s">
        <v>8063</v>
      </c>
      <c r="H410" s="14"/>
      <c r="I410" s="14" t="s">
        <v>49</v>
      </c>
      <c r="J410" s="11" t="str">
        <f>HYPERLINK("https://www.codechef.com/problems/CSPRACMCQ6", "https://www.codechef.com/problems/CSPRACMCQ6")</f>
        <v>https://www.codechef.com/problems/CSPRACMCQ6</v>
      </c>
      <c r="K410" s="14"/>
      <c r="L410" s="14"/>
      <c r="M410" s="14"/>
      <c r="N410" s="14" t="s">
        <v>50</v>
      </c>
      <c r="O410" s="14" t="s">
        <v>51</v>
      </c>
    </row>
    <row r="411" spans="1:15">
      <c r="A411" s="15" t="s">
        <v>14</v>
      </c>
      <c r="B411" s="15" t="s">
        <v>8054</v>
      </c>
      <c r="C411" s="15" t="s">
        <v>8055</v>
      </c>
      <c r="D411" s="15" t="s">
        <v>8009</v>
      </c>
      <c r="E411" s="15">
        <v>15</v>
      </c>
      <c r="F411" s="15" t="s">
        <v>8015</v>
      </c>
      <c r="G411" s="15" t="s">
        <v>8016</v>
      </c>
      <c r="H411" s="15" t="s">
        <v>8017</v>
      </c>
      <c r="I411" s="15" t="s">
        <v>49</v>
      </c>
      <c r="J411" s="7" t="str">
        <f>HYPERLINK("https://www.codechef.com/problems/MARKSTW", "https://www.codechef.com/problems/MARKSTW")</f>
        <v>https://www.codechef.com/problems/MARKSTW</v>
      </c>
      <c r="K411" s="15"/>
      <c r="L411" s="15" t="s">
        <v>125</v>
      </c>
      <c r="M411" s="15"/>
      <c r="N411" s="15" t="s">
        <v>50</v>
      </c>
      <c r="O411" s="15" t="s">
        <v>51</v>
      </c>
    </row>
    <row r="412" spans="1:15">
      <c r="A412" s="14" t="s">
        <v>14</v>
      </c>
      <c r="B412" s="14" t="s">
        <v>8054</v>
      </c>
      <c r="C412" s="14" t="s">
        <v>8055</v>
      </c>
      <c r="D412" s="14" t="s">
        <v>8009</v>
      </c>
      <c r="E412" s="14">
        <v>16</v>
      </c>
      <c r="F412" s="14" t="s">
        <v>7986</v>
      </c>
      <c r="G412" s="14" t="s">
        <v>8064</v>
      </c>
      <c r="H412" s="14"/>
      <c r="I412" s="14" t="s">
        <v>49</v>
      </c>
      <c r="J412" s="11" t="str">
        <f>HYPERLINK("https://www.codechef.com/problems/CSPRACMCQ9", "https://www.codechef.com/problems/CSPRACMCQ9")</f>
        <v>https://www.codechef.com/problems/CSPRACMCQ9</v>
      </c>
      <c r="K412" s="14"/>
      <c r="L412" s="14"/>
      <c r="M412" s="14"/>
      <c r="N412" s="14" t="s">
        <v>50</v>
      </c>
      <c r="O412" s="14" t="s">
        <v>51</v>
      </c>
    </row>
    <row r="413" spans="1:15">
      <c r="A413" s="15" t="s">
        <v>14</v>
      </c>
      <c r="B413" s="15" t="s">
        <v>8054</v>
      </c>
      <c r="C413" s="15" t="s">
        <v>8055</v>
      </c>
      <c r="D413" s="15" t="s">
        <v>8009</v>
      </c>
      <c r="E413" s="15">
        <v>17</v>
      </c>
      <c r="F413" s="15" t="s">
        <v>8019</v>
      </c>
      <c r="G413" s="15" t="s">
        <v>8020</v>
      </c>
      <c r="H413" s="15" t="s">
        <v>1710</v>
      </c>
      <c r="I413" s="15" t="s">
        <v>49</v>
      </c>
      <c r="J413" s="7" t="str">
        <f>HYPERLINK("https://www.codechef.com/problems/ONEFULPAIRS", "https://www.codechef.com/problems/ONEFULPAIRS")</f>
        <v>https://www.codechef.com/problems/ONEFULPAIRS</v>
      </c>
      <c r="K413" s="15"/>
      <c r="L413" s="15"/>
      <c r="M413" s="15"/>
      <c r="N413" s="15" t="s">
        <v>50</v>
      </c>
      <c r="O413" s="15" t="s">
        <v>51</v>
      </c>
    </row>
    <row r="414" spans="1:15">
      <c r="A414" s="14" t="s">
        <v>14</v>
      </c>
      <c r="B414" s="14" t="s">
        <v>8054</v>
      </c>
      <c r="C414" s="14" t="s">
        <v>8055</v>
      </c>
      <c r="D414" s="14" t="s">
        <v>8021</v>
      </c>
      <c r="E414" s="14">
        <v>18</v>
      </c>
      <c r="F414" s="14" t="s">
        <v>7991</v>
      </c>
      <c r="G414" s="14" t="s">
        <v>8065</v>
      </c>
      <c r="H414" s="14"/>
      <c r="I414" s="14" t="s">
        <v>49</v>
      </c>
      <c r="J414" s="11" t="str">
        <f>HYPERLINK("https://www.codechef.com/problems/CSPRACREARR2", "https://www.codechef.com/problems/CSPRACREARR2")</f>
        <v>https://www.codechef.com/problems/CSPRACREARR2</v>
      </c>
      <c r="K414" s="14"/>
      <c r="L414" s="14"/>
      <c r="M414" s="14"/>
      <c r="N414" s="14" t="s">
        <v>50</v>
      </c>
      <c r="O414" s="14" t="s">
        <v>51</v>
      </c>
    </row>
    <row r="415" spans="1:15">
      <c r="A415" s="15" t="s">
        <v>14</v>
      </c>
      <c r="B415" s="15" t="s">
        <v>8054</v>
      </c>
      <c r="C415" s="15" t="s">
        <v>8055</v>
      </c>
      <c r="D415" s="15" t="s">
        <v>8021</v>
      </c>
      <c r="E415" s="15">
        <v>19</v>
      </c>
      <c r="F415" s="15" t="s">
        <v>8023</v>
      </c>
      <c r="G415" s="15" t="s">
        <v>8024</v>
      </c>
      <c r="H415" s="15" t="s">
        <v>1590</v>
      </c>
      <c r="I415" s="15" t="s">
        <v>49</v>
      </c>
      <c r="J415" s="7" t="str">
        <f>HYPERLINK("https://www.codechef.com/problems/MY1STCONTEST", "https://www.codechef.com/problems/MY1STCONTEST")</f>
        <v>https://www.codechef.com/problems/MY1STCONTEST</v>
      </c>
      <c r="K415" s="15"/>
      <c r="L415" s="15"/>
      <c r="M415" s="15"/>
      <c r="N415" s="15" t="s">
        <v>50</v>
      </c>
      <c r="O415" s="15" t="s">
        <v>51</v>
      </c>
    </row>
    <row r="416" spans="1:15">
      <c r="A416" s="14" t="s">
        <v>14</v>
      </c>
      <c r="B416" s="14" t="s">
        <v>8054</v>
      </c>
      <c r="C416" s="14" t="s">
        <v>8055</v>
      </c>
      <c r="D416" s="14" t="s">
        <v>8021</v>
      </c>
      <c r="E416" s="14">
        <v>20</v>
      </c>
      <c r="F416" s="14" t="s">
        <v>7986</v>
      </c>
      <c r="G416" s="14" t="s">
        <v>8066</v>
      </c>
      <c r="H416" s="14"/>
      <c r="I416" s="14" t="s">
        <v>49</v>
      </c>
      <c r="J416" s="11" t="str">
        <f>HYPERLINK("https://www.codechef.com/problems/CSPRACMCQ8", "https://www.codechef.com/problems/CSPRACMCQ8")</f>
        <v>https://www.codechef.com/problems/CSPRACMCQ8</v>
      </c>
      <c r="K416" s="14"/>
      <c r="L416" s="14"/>
      <c r="M416" s="14"/>
      <c r="N416" s="14" t="s">
        <v>50</v>
      </c>
      <c r="O416" s="14" t="s">
        <v>51</v>
      </c>
    </row>
    <row r="417" spans="1:15">
      <c r="A417" s="15" t="s">
        <v>14</v>
      </c>
      <c r="B417" s="15" t="s">
        <v>8054</v>
      </c>
      <c r="C417" s="15" t="s">
        <v>8055</v>
      </c>
      <c r="D417" s="15" t="s">
        <v>8021</v>
      </c>
      <c r="E417" s="15">
        <v>21</v>
      </c>
      <c r="F417" s="15" t="s">
        <v>8026</v>
      </c>
      <c r="G417" s="15" t="s">
        <v>8027</v>
      </c>
      <c r="H417" s="15" t="s">
        <v>8028</v>
      </c>
      <c r="I417" s="15" t="s">
        <v>49</v>
      </c>
      <c r="J417" s="7" t="str">
        <f>HYPERLINK("https://www.codechef.com/problems/BLACKCEL", "https://www.codechef.com/problems/BLACKCEL")</f>
        <v>https://www.codechef.com/problems/BLACKCEL</v>
      </c>
      <c r="K417" s="15"/>
      <c r="L417" s="15"/>
      <c r="M417" s="15"/>
      <c r="N417" s="15" t="s">
        <v>50</v>
      </c>
      <c r="O417" s="15" t="s">
        <v>51</v>
      </c>
    </row>
    <row r="418" spans="1:15">
      <c r="A418" s="14" t="s">
        <v>14</v>
      </c>
      <c r="B418" s="14" t="s">
        <v>8054</v>
      </c>
      <c r="C418" s="14" t="s">
        <v>8055</v>
      </c>
      <c r="D418" s="14" t="s">
        <v>8021</v>
      </c>
      <c r="E418" s="14">
        <v>22</v>
      </c>
      <c r="F418" s="14" t="s">
        <v>7986</v>
      </c>
      <c r="G418" s="14" t="s">
        <v>8067</v>
      </c>
      <c r="H418" s="14"/>
      <c r="I418" s="14" t="s">
        <v>49</v>
      </c>
      <c r="J418" s="11" t="str">
        <f>HYPERLINK("https://www.codechef.com/problems/CSPRACMCQ7", "https://www.codechef.com/problems/CSPRACMCQ7")</f>
        <v>https://www.codechef.com/problems/CSPRACMCQ7</v>
      </c>
      <c r="K418" s="14"/>
      <c r="L418" s="14"/>
      <c r="M418" s="14"/>
      <c r="N418" s="14" t="s">
        <v>50</v>
      </c>
      <c r="O418" s="14" t="s">
        <v>51</v>
      </c>
    </row>
    <row r="419" spans="1:15">
      <c r="A419" s="15" t="s">
        <v>14</v>
      </c>
      <c r="B419" s="15" t="s">
        <v>8054</v>
      </c>
      <c r="C419" s="15" t="s">
        <v>8055</v>
      </c>
      <c r="D419" s="15" t="s">
        <v>8021</v>
      </c>
      <c r="E419" s="15">
        <v>23</v>
      </c>
      <c r="F419" s="15" t="s">
        <v>8030</v>
      </c>
      <c r="G419" s="15" t="s">
        <v>8031</v>
      </c>
      <c r="H419" s="15" t="s">
        <v>1672</v>
      </c>
      <c r="I419" s="15" t="s">
        <v>49</v>
      </c>
      <c r="J419" s="7" t="str">
        <f>HYPERLINK("https://www.codechef.com/problems/ABDIFF", "https://www.codechef.com/problems/ABDIFF")</f>
        <v>https://www.codechef.com/problems/ABDIFF</v>
      </c>
      <c r="K419" s="15"/>
      <c r="L419" s="15"/>
      <c r="M419" s="15"/>
      <c r="N419" s="15" t="s">
        <v>50</v>
      </c>
      <c r="O419" s="15" t="s">
        <v>51</v>
      </c>
    </row>
    <row r="420" spans="1:15">
      <c r="A420" s="14" t="s">
        <v>14</v>
      </c>
      <c r="B420" s="14" t="s">
        <v>8054</v>
      </c>
      <c r="C420" s="14" t="s">
        <v>8055</v>
      </c>
      <c r="D420" s="14" t="s">
        <v>8032</v>
      </c>
      <c r="E420" s="14">
        <v>24</v>
      </c>
      <c r="F420" s="14" t="s">
        <v>7991</v>
      </c>
      <c r="G420" s="14" t="s">
        <v>8068</v>
      </c>
      <c r="H420" s="14"/>
      <c r="I420" s="14" t="s">
        <v>49</v>
      </c>
      <c r="J420" s="11" t="str">
        <f>HYPERLINK("https://www.codechef.com/problems/CSPRACREARR3", "https://www.codechef.com/problems/CSPRACREARR3")</f>
        <v>https://www.codechef.com/problems/CSPRACREARR3</v>
      </c>
      <c r="K420" s="14"/>
      <c r="L420" s="14"/>
      <c r="M420" s="14"/>
      <c r="N420" s="14" t="s">
        <v>50</v>
      </c>
      <c r="O420" s="14" t="s">
        <v>51</v>
      </c>
    </row>
    <row r="421" spans="1:15">
      <c r="A421" s="15" t="s">
        <v>14</v>
      </c>
      <c r="B421" s="15" t="s">
        <v>8054</v>
      </c>
      <c r="C421" s="15" t="s">
        <v>8055</v>
      </c>
      <c r="D421" s="15" t="s">
        <v>8032</v>
      </c>
      <c r="E421" s="15">
        <v>25</v>
      </c>
      <c r="F421" s="15" t="s">
        <v>8034</v>
      </c>
      <c r="G421" s="15" t="s">
        <v>8035</v>
      </c>
      <c r="H421" s="15" t="s">
        <v>8036</v>
      </c>
      <c r="I421" s="15" t="s">
        <v>49</v>
      </c>
      <c r="J421" s="7" t="str">
        <f>HYPERLINK("https://www.codechef.com/problems/FLOW001", "https://www.codechef.com/problems/FLOW001")</f>
        <v>https://www.codechef.com/problems/FLOW001</v>
      </c>
      <c r="K421" s="15"/>
      <c r="L421" s="15" t="s">
        <v>1701</v>
      </c>
      <c r="M421" s="15"/>
      <c r="N421" s="15" t="s">
        <v>50</v>
      </c>
      <c r="O421" s="15" t="s">
        <v>51</v>
      </c>
    </row>
    <row r="422" spans="1:15">
      <c r="A422" s="14" t="s">
        <v>14</v>
      </c>
      <c r="B422" s="14" t="s">
        <v>8054</v>
      </c>
      <c r="C422" s="14" t="s">
        <v>8055</v>
      </c>
      <c r="D422" s="14" t="s">
        <v>8032</v>
      </c>
      <c r="E422" s="14">
        <v>26</v>
      </c>
      <c r="F422" s="14" t="s">
        <v>7986</v>
      </c>
      <c r="G422" s="14" t="s">
        <v>8069</v>
      </c>
      <c r="H422" s="14"/>
      <c r="I422" s="14" t="s">
        <v>49</v>
      </c>
      <c r="J422" s="11" t="str">
        <f>HYPERLINK("https://www.codechef.com/problems/CSPRACMCQ11", "https://www.codechef.com/problems/CSPRACMCQ11")</f>
        <v>https://www.codechef.com/problems/CSPRACMCQ11</v>
      </c>
      <c r="K422" s="14"/>
      <c r="L422" s="14"/>
      <c r="M422" s="14"/>
      <c r="N422" s="14" t="s">
        <v>50</v>
      </c>
      <c r="O422" s="14" t="s">
        <v>51</v>
      </c>
    </row>
    <row r="423" spans="1:15">
      <c r="A423" s="15" t="s">
        <v>14</v>
      </c>
      <c r="B423" s="15" t="s">
        <v>8054</v>
      </c>
      <c r="C423" s="15" t="s">
        <v>8055</v>
      </c>
      <c r="D423" s="15" t="s">
        <v>8032</v>
      </c>
      <c r="E423" s="15">
        <v>27</v>
      </c>
      <c r="F423" s="15" t="s">
        <v>8038</v>
      </c>
      <c r="G423" s="15" t="s">
        <v>8039</v>
      </c>
      <c r="H423" s="15" t="s">
        <v>8040</v>
      </c>
      <c r="I423" s="15" t="s">
        <v>49</v>
      </c>
      <c r="J423" s="7" t="str">
        <f>HYPERLINK("https://www.codechef.com/problems/GDTURN", "https://www.codechef.com/problems/GDTURN")</f>
        <v>https://www.codechef.com/problems/GDTURN</v>
      </c>
      <c r="K423" s="15"/>
      <c r="L423" s="15" t="s">
        <v>1578</v>
      </c>
      <c r="M423" s="15"/>
      <c r="N423" s="15" t="s">
        <v>50</v>
      </c>
      <c r="O423" s="15" t="s">
        <v>51</v>
      </c>
    </row>
    <row r="424" spans="1:15">
      <c r="A424" s="14" t="s">
        <v>14</v>
      </c>
      <c r="B424" s="14" t="s">
        <v>8054</v>
      </c>
      <c r="C424" s="14" t="s">
        <v>8055</v>
      </c>
      <c r="D424" s="14" t="s">
        <v>8032</v>
      </c>
      <c r="E424" s="14">
        <v>28</v>
      </c>
      <c r="F424" s="14" t="s">
        <v>7986</v>
      </c>
      <c r="G424" s="14" t="s">
        <v>8070</v>
      </c>
      <c r="H424" s="14"/>
      <c r="I424" s="14" t="s">
        <v>49</v>
      </c>
      <c r="J424" s="11" t="str">
        <f>HYPERLINK("https://www.codechef.com/problems/CSPRACMCQ10", "https://www.codechef.com/problems/CSPRACMCQ10")</f>
        <v>https://www.codechef.com/problems/CSPRACMCQ10</v>
      </c>
      <c r="K424" s="14"/>
      <c r="L424" s="14"/>
      <c r="M424" s="14"/>
      <c r="N424" s="14" t="s">
        <v>50</v>
      </c>
      <c r="O424" s="14" t="s">
        <v>51</v>
      </c>
    </row>
    <row r="425" spans="1:15">
      <c r="A425" s="15" t="s">
        <v>14</v>
      </c>
      <c r="B425" s="15" t="s">
        <v>8054</v>
      </c>
      <c r="C425" s="15" t="s">
        <v>8055</v>
      </c>
      <c r="D425" s="15" t="s">
        <v>8032</v>
      </c>
      <c r="E425" s="15">
        <v>29</v>
      </c>
      <c r="F425" s="15" t="s">
        <v>8042</v>
      </c>
      <c r="G425" s="15" t="s">
        <v>8043</v>
      </c>
      <c r="H425" s="15" t="s">
        <v>8044</v>
      </c>
      <c r="I425" s="15" t="s">
        <v>49</v>
      </c>
      <c r="J425" s="7" t="str">
        <f>HYPERLINK("https://www.codechef.com/problems/WATERCONS", "https://www.codechef.com/problems/WATERCONS")</f>
        <v>https://www.codechef.com/problems/WATERCONS</v>
      </c>
      <c r="K425" s="15"/>
      <c r="L425" s="15"/>
      <c r="M425" s="15"/>
      <c r="N425" s="15" t="s">
        <v>50</v>
      </c>
      <c r="O425" s="15" t="s">
        <v>51</v>
      </c>
    </row>
    <row r="426" spans="1:15">
      <c r="A426" s="14" t="s">
        <v>14</v>
      </c>
      <c r="B426" s="14" t="s">
        <v>8054</v>
      </c>
      <c r="C426" s="14" t="s">
        <v>8055</v>
      </c>
      <c r="D426" s="14" t="s">
        <v>8045</v>
      </c>
      <c r="E426" s="14">
        <v>30</v>
      </c>
      <c r="F426" s="14" t="s">
        <v>7986</v>
      </c>
      <c r="G426" s="14" t="s">
        <v>8071</v>
      </c>
      <c r="H426" s="14"/>
      <c r="I426" s="14" t="s">
        <v>49</v>
      </c>
      <c r="J426" s="11" t="str">
        <f>HYPERLINK("https://www.codechef.com/problems/CSPRACMCQ12", "https://www.codechef.com/problems/CSPRACMCQ12")</f>
        <v>https://www.codechef.com/problems/CSPRACMCQ12</v>
      </c>
      <c r="K426" s="14"/>
      <c r="L426" s="14"/>
      <c r="M426" s="14"/>
      <c r="N426" s="14" t="s">
        <v>50</v>
      </c>
      <c r="O426" s="14" t="s">
        <v>51</v>
      </c>
    </row>
    <row r="427" spans="1:15">
      <c r="A427" s="15" t="s">
        <v>14</v>
      </c>
      <c r="B427" s="15" t="s">
        <v>8054</v>
      </c>
      <c r="C427" s="15" t="s">
        <v>8055</v>
      </c>
      <c r="D427" s="15" t="s">
        <v>8045</v>
      </c>
      <c r="E427" s="15">
        <v>31</v>
      </c>
      <c r="F427" s="15" t="s">
        <v>8047</v>
      </c>
      <c r="G427" s="15" t="s">
        <v>8048</v>
      </c>
      <c r="H427" s="15" t="s">
        <v>8049</v>
      </c>
      <c r="I427" s="15" t="s">
        <v>49</v>
      </c>
      <c r="J427" s="7" t="str">
        <f>HYPERLINK("https://www.codechef.com/problems/AGELIMIT", "https://www.codechef.com/problems/AGELIMIT")</f>
        <v>https://www.codechef.com/problems/AGELIMIT</v>
      </c>
      <c r="K427" s="15"/>
      <c r="L427" s="15"/>
      <c r="M427" s="15"/>
      <c r="N427" s="15" t="s">
        <v>50</v>
      </c>
      <c r="O427" s="15" t="s">
        <v>51</v>
      </c>
    </row>
    <row r="428" spans="1:15">
      <c r="A428" s="14" t="s">
        <v>14</v>
      </c>
      <c r="B428" s="14" t="s">
        <v>8054</v>
      </c>
      <c r="C428" s="14" t="s">
        <v>8055</v>
      </c>
      <c r="D428" s="14" t="s">
        <v>8045</v>
      </c>
      <c r="E428" s="14">
        <v>32</v>
      </c>
      <c r="F428" s="14" t="s">
        <v>7986</v>
      </c>
      <c r="G428" s="14" t="s">
        <v>8072</v>
      </c>
      <c r="H428" s="14"/>
      <c r="I428" s="14" t="s">
        <v>49</v>
      </c>
      <c r="J428" s="11" t="str">
        <f>HYPERLINK("https://www.codechef.com/problems/CSPRACMCQ13", "https://www.codechef.com/problems/CSPRACMCQ13")</f>
        <v>https://www.codechef.com/problems/CSPRACMCQ13</v>
      </c>
      <c r="K428" s="14"/>
      <c r="L428" s="14"/>
      <c r="M428" s="14"/>
      <c r="N428" s="14" t="s">
        <v>50</v>
      </c>
      <c r="O428" s="14" t="s">
        <v>51</v>
      </c>
    </row>
    <row r="429" spans="1:15">
      <c r="A429" s="15" t="s">
        <v>14</v>
      </c>
      <c r="B429" s="15" t="s">
        <v>8054</v>
      </c>
      <c r="C429" s="15" t="s">
        <v>8055</v>
      </c>
      <c r="D429" s="15" t="s">
        <v>8045</v>
      </c>
      <c r="E429" s="15">
        <v>33</v>
      </c>
      <c r="F429" s="15" t="s">
        <v>8051</v>
      </c>
      <c r="G429" s="15" t="s">
        <v>8052</v>
      </c>
      <c r="H429" s="15" t="s">
        <v>8053</v>
      </c>
      <c r="I429" s="15" t="s">
        <v>49</v>
      </c>
      <c r="J429" s="7" t="str">
        <f>HYPERLINK("https://www.codechef.com/problems/SQUATS", "https://www.codechef.com/problems/SQUATS")</f>
        <v>https://www.codechef.com/problems/SQUATS</v>
      </c>
      <c r="K429" s="15"/>
      <c r="L429" s="15"/>
      <c r="M429" s="15"/>
      <c r="N429" s="15" t="s">
        <v>50</v>
      </c>
      <c r="O429" s="15" t="s">
        <v>51</v>
      </c>
    </row>
    <row r="430" spans="1:15">
      <c r="A430" s="14" t="s">
        <v>14</v>
      </c>
      <c r="B430" s="14" t="s">
        <v>8073</v>
      </c>
      <c r="C430" s="14" t="s">
        <v>8074</v>
      </c>
      <c r="D430" s="14" t="s">
        <v>7985</v>
      </c>
      <c r="E430" s="14">
        <v>1</v>
      </c>
      <c r="F430" s="14" t="s">
        <v>7986</v>
      </c>
      <c r="G430" s="14" t="s">
        <v>8075</v>
      </c>
      <c r="H430" s="14"/>
      <c r="I430" s="14" t="s">
        <v>49</v>
      </c>
      <c r="J430" s="11" t="str">
        <f>HYPERLINK("https://www.codechef.com/problems/GOPRACMCQ1", "https://www.codechef.com/problems/GOPRACMCQ1")</f>
        <v>https://www.codechef.com/problems/GOPRACMCQ1</v>
      </c>
      <c r="K430" s="14"/>
      <c r="L430" s="14"/>
      <c r="M430" s="14"/>
      <c r="N430" s="14" t="s">
        <v>50</v>
      </c>
      <c r="O430" s="14" t="s">
        <v>51</v>
      </c>
    </row>
    <row r="431" spans="1:15">
      <c r="A431" s="15" t="s">
        <v>14</v>
      </c>
      <c r="B431" s="15" t="s">
        <v>8073</v>
      </c>
      <c r="C431" s="15" t="s">
        <v>8074</v>
      </c>
      <c r="D431" s="15" t="s">
        <v>7985</v>
      </c>
      <c r="E431" s="15">
        <v>2</v>
      </c>
      <c r="F431" s="15" t="s">
        <v>7988</v>
      </c>
      <c r="G431" s="15" t="s">
        <v>7989</v>
      </c>
      <c r="H431" s="15" t="s">
        <v>7990</v>
      </c>
      <c r="I431" s="15" t="s">
        <v>49</v>
      </c>
      <c r="J431" s="7" t="str">
        <f>HYPERLINK("https://www.codechef.com/problems/START01", "https://www.codechef.com/problems/START01")</f>
        <v>https://www.codechef.com/problems/START01</v>
      </c>
      <c r="K431" s="15"/>
      <c r="L431" s="15"/>
      <c r="M431" s="15"/>
      <c r="N431" s="15" t="s">
        <v>50</v>
      </c>
      <c r="O431" s="15" t="s">
        <v>51</v>
      </c>
    </row>
    <row r="432" spans="1:15">
      <c r="A432" s="14" t="s">
        <v>14</v>
      </c>
      <c r="B432" s="14" t="s">
        <v>8073</v>
      </c>
      <c r="C432" s="14" t="s">
        <v>8074</v>
      </c>
      <c r="D432" s="14" t="s">
        <v>7985</v>
      </c>
      <c r="E432" s="14">
        <v>3</v>
      </c>
      <c r="F432" s="14" t="s">
        <v>7991</v>
      </c>
      <c r="G432" s="14" t="s">
        <v>8076</v>
      </c>
      <c r="H432" s="14"/>
      <c r="I432" s="14" t="s">
        <v>49</v>
      </c>
      <c r="J432" s="11" t="str">
        <f>HYPERLINK("https://www.codechef.com/problems/GOPRACREARR1", "https://www.codechef.com/problems/GOPRACREARR1")</f>
        <v>https://www.codechef.com/problems/GOPRACREARR1</v>
      </c>
      <c r="K432" s="14"/>
      <c r="L432" s="14"/>
      <c r="M432" s="14"/>
      <c r="N432" s="14" t="s">
        <v>50</v>
      </c>
      <c r="O432" s="14" t="s">
        <v>51</v>
      </c>
    </row>
    <row r="433" spans="1:15">
      <c r="A433" s="15" t="s">
        <v>14</v>
      </c>
      <c r="B433" s="15" t="s">
        <v>8073</v>
      </c>
      <c r="C433" s="15" t="s">
        <v>8074</v>
      </c>
      <c r="D433" s="15" t="s">
        <v>7985</v>
      </c>
      <c r="E433" s="15">
        <v>4</v>
      </c>
      <c r="F433" s="15" t="s">
        <v>7986</v>
      </c>
      <c r="G433" s="15" t="s">
        <v>8077</v>
      </c>
      <c r="H433" s="15"/>
      <c r="I433" s="15" t="s">
        <v>49</v>
      </c>
      <c r="J433" s="7" t="str">
        <f>HYPERLINK("https://www.codechef.com/problems/GOPRACREAR1A", "https://www.codechef.com/problems/GOPRACREAR1A")</f>
        <v>https://www.codechef.com/problems/GOPRACREAR1A</v>
      </c>
      <c r="K433" s="15"/>
      <c r="L433" s="15"/>
      <c r="M433" s="15"/>
      <c r="N433" s="15" t="s">
        <v>50</v>
      </c>
      <c r="O433" s="15" t="s">
        <v>51</v>
      </c>
    </row>
    <row r="434" spans="1:15">
      <c r="A434" s="14" t="s">
        <v>14</v>
      </c>
      <c r="B434" s="14" t="s">
        <v>8073</v>
      </c>
      <c r="C434" s="14" t="s">
        <v>8074</v>
      </c>
      <c r="D434" s="14" t="s">
        <v>7985</v>
      </c>
      <c r="E434" s="14">
        <v>5</v>
      </c>
      <c r="F434" s="14" t="s">
        <v>7994</v>
      </c>
      <c r="G434" s="14" t="s">
        <v>7995</v>
      </c>
      <c r="H434" s="14" t="s">
        <v>1789</v>
      </c>
      <c r="I434" s="14" t="s">
        <v>49</v>
      </c>
      <c r="J434" s="11" t="str">
        <f>HYPERLINK("https://www.codechef.com/problems/INSTNOODLE", "https://www.codechef.com/problems/INSTNOODLE")</f>
        <v>https://www.codechef.com/problems/INSTNOODLE</v>
      </c>
      <c r="K434" s="14"/>
      <c r="L434" s="14" t="s">
        <v>1762</v>
      </c>
      <c r="M434" s="14"/>
      <c r="N434" s="14" t="s">
        <v>50</v>
      </c>
      <c r="O434" s="14" t="s">
        <v>51</v>
      </c>
    </row>
    <row r="435" spans="1:15">
      <c r="A435" s="15" t="s">
        <v>14</v>
      </c>
      <c r="B435" s="15" t="s">
        <v>8073</v>
      </c>
      <c r="C435" s="15" t="s">
        <v>8074</v>
      </c>
      <c r="D435" s="15" t="s">
        <v>7985</v>
      </c>
      <c r="E435" s="15">
        <v>6</v>
      </c>
      <c r="F435" s="15" t="s">
        <v>7986</v>
      </c>
      <c r="G435" s="15" t="s">
        <v>8078</v>
      </c>
      <c r="H435" s="15"/>
      <c r="I435" s="15" t="s">
        <v>49</v>
      </c>
      <c r="J435" s="7" t="str">
        <f>HYPERLINK("https://www.codechef.com/problems/GOPRACMCQ4", "https://www.codechef.com/problems/GOPRACMCQ4")</f>
        <v>https://www.codechef.com/problems/GOPRACMCQ4</v>
      </c>
      <c r="K435" s="15"/>
      <c r="L435" s="15"/>
      <c r="M435" s="15"/>
      <c r="N435" s="15" t="s">
        <v>50</v>
      </c>
      <c r="O435" s="15" t="s">
        <v>51</v>
      </c>
    </row>
    <row r="436" spans="1:15">
      <c r="A436" s="14" t="s">
        <v>14</v>
      </c>
      <c r="B436" s="14" t="s">
        <v>8073</v>
      </c>
      <c r="C436" s="14" t="s">
        <v>8074</v>
      </c>
      <c r="D436" s="14" t="s">
        <v>7985</v>
      </c>
      <c r="E436" s="14">
        <v>7</v>
      </c>
      <c r="F436" s="14" t="s">
        <v>7997</v>
      </c>
      <c r="G436" s="14" t="s">
        <v>7998</v>
      </c>
      <c r="H436" s="14" t="s">
        <v>7999</v>
      </c>
      <c r="I436" s="14" t="s">
        <v>49</v>
      </c>
      <c r="J436" s="11" t="str">
        <f>HYPERLINK("https://www.codechef.com/problems/CCLEARN", "https://www.codechef.com/problems/CCLEARN")</f>
        <v>https://www.codechef.com/problems/CCLEARN</v>
      </c>
      <c r="K436" s="14"/>
      <c r="L436" s="14" t="s">
        <v>194</v>
      </c>
      <c r="M436" s="14"/>
      <c r="N436" s="14" t="s">
        <v>50</v>
      </c>
      <c r="O436" s="14" t="s">
        <v>51</v>
      </c>
    </row>
    <row r="437" spans="1:15">
      <c r="A437" s="15" t="s">
        <v>14</v>
      </c>
      <c r="B437" s="15" t="s">
        <v>8073</v>
      </c>
      <c r="C437" s="15" t="s">
        <v>8074</v>
      </c>
      <c r="D437" s="15" t="s">
        <v>8000</v>
      </c>
      <c r="E437" s="15">
        <v>8</v>
      </c>
      <c r="F437" s="15" t="s">
        <v>7986</v>
      </c>
      <c r="G437" s="15" t="s">
        <v>8079</v>
      </c>
      <c r="H437" s="15"/>
      <c r="I437" s="15" t="s">
        <v>49</v>
      </c>
      <c r="J437" s="7" t="str">
        <f>HYPERLINK("https://www.codechef.com/problems/GOPRACMCQ2", "https://www.codechef.com/problems/GOPRACMCQ2")</f>
        <v>https://www.codechef.com/problems/GOPRACMCQ2</v>
      </c>
      <c r="K437" s="15"/>
      <c r="L437" s="15"/>
      <c r="M437" s="15"/>
      <c r="N437" s="15" t="s">
        <v>50</v>
      </c>
      <c r="O437" s="15" t="s">
        <v>51</v>
      </c>
    </row>
    <row r="438" spans="1:15">
      <c r="A438" s="14" t="s">
        <v>14</v>
      </c>
      <c r="B438" s="14" t="s">
        <v>8073</v>
      </c>
      <c r="C438" s="14" t="s">
        <v>8074</v>
      </c>
      <c r="D438" s="14" t="s">
        <v>8000</v>
      </c>
      <c r="E438" s="14">
        <v>9</v>
      </c>
      <c r="F438" s="14" t="s">
        <v>8002</v>
      </c>
      <c r="G438" s="14" t="s">
        <v>8003</v>
      </c>
      <c r="H438" s="14" t="s">
        <v>8004</v>
      </c>
      <c r="I438" s="14" t="s">
        <v>49</v>
      </c>
      <c r="J438" s="11" t="str">
        <f>HYPERLINK("https://www.codechef.com/problems/LEARNSQL", "https://www.codechef.com/problems/LEARNSQL")</f>
        <v>https://www.codechef.com/problems/LEARNSQL</v>
      </c>
      <c r="K438" s="14"/>
      <c r="L438" s="14"/>
      <c r="M438" s="14"/>
      <c r="N438" s="14" t="s">
        <v>50</v>
      </c>
      <c r="O438" s="14" t="s">
        <v>51</v>
      </c>
    </row>
    <row r="439" spans="1:15">
      <c r="A439" s="15" t="s">
        <v>14</v>
      </c>
      <c r="B439" s="15" t="s">
        <v>8073</v>
      </c>
      <c r="C439" s="15" t="s">
        <v>8074</v>
      </c>
      <c r="D439" s="15" t="s">
        <v>8000</v>
      </c>
      <c r="E439" s="15">
        <v>10</v>
      </c>
      <c r="F439" s="15" t="s">
        <v>7986</v>
      </c>
      <c r="G439" s="15" t="s">
        <v>8080</v>
      </c>
      <c r="H439" s="15"/>
      <c r="I439" s="15" t="s">
        <v>49</v>
      </c>
      <c r="J439" s="7" t="str">
        <f>HYPERLINK("https://www.codechef.com/problems/GOPRACMCQ3", "https://www.codechef.com/problems/GOPRACMCQ3")</f>
        <v>https://www.codechef.com/problems/GOPRACMCQ3</v>
      </c>
      <c r="K439" s="15"/>
      <c r="L439" s="15"/>
      <c r="M439" s="15"/>
      <c r="N439" s="15" t="s">
        <v>50</v>
      </c>
      <c r="O439" s="15" t="s">
        <v>51</v>
      </c>
    </row>
    <row r="440" spans="1:15">
      <c r="A440" s="14" t="s">
        <v>14</v>
      </c>
      <c r="B440" s="14" t="s">
        <v>8073</v>
      </c>
      <c r="C440" s="14" t="s">
        <v>8074</v>
      </c>
      <c r="D440" s="14" t="s">
        <v>8000</v>
      </c>
      <c r="E440" s="14">
        <v>11</v>
      </c>
      <c r="F440" s="14" t="s">
        <v>8006</v>
      </c>
      <c r="G440" s="14" t="s">
        <v>8007</v>
      </c>
      <c r="H440" s="14" t="s">
        <v>8008</v>
      </c>
      <c r="I440" s="14" t="s">
        <v>49</v>
      </c>
      <c r="J440" s="11" t="str">
        <f>HYPERLINK("https://www.codechef.com/problems/PARKINGCHARG", "https://www.codechef.com/problems/PARKINGCHARG")</f>
        <v>https://www.codechef.com/problems/PARKINGCHARG</v>
      </c>
      <c r="K440" s="14"/>
      <c r="L440" s="14"/>
      <c r="M440" s="14"/>
      <c r="N440" s="14" t="s">
        <v>50</v>
      </c>
      <c r="O440" s="14" t="s">
        <v>51</v>
      </c>
    </row>
    <row r="441" spans="1:15">
      <c r="A441" s="15" t="s">
        <v>14</v>
      </c>
      <c r="B441" s="15" t="s">
        <v>8073</v>
      </c>
      <c r="C441" s="15" t="s">
        <v>8074</v>
      </c>
      <c r="D441" s="15" t="s">
        <v>8009</v>
      </c>
      <c r="E441" s="15">
        <v>12</v>
      </c>
      <c r="F441" s="15" t="s">
        <v>7986</v>
      </c>
      <c r="G441" s="15" t="s">
        <v>8081</v>
      </c>
      <c r="H441" s="15"/>
      <c r="I441" s="15" t="s">
        <v>49</v>
      </c>
      <c r="J441" s="7" t="str">
        <f>HYPERLINK("https://www.codechef.com/problems/GOPRACMCQ5", "https://www.codechef.com/problems/GOPRACMCQ5")</f>
        <v>https://www.codechef.com/problems/GOPRACMCQ5</v>
      </c>
      <c r="K441" s="15"/>
      <c r="L441" s="15"/>
      <c r="M441" s="15"/>
      <c r="N441" s="15" t="s">
        <v>50</v>
      </c>
      <c r="O441" s="15" t="s">
        <v>51</v>
      </c>
    </row>
    <row r="442" spans="1:15">
      <c r="A442" s="14" t="s">
        <v>14</v>
      </c>
      <c r="B442" s="14" t="s">
        <v>8073</v>
      </c>
      <c r="C442" s="14" t="s">
        <v>8074</v>
      </c>
      <c r="D442" s="14" t="s">
        <v>8009</v>
      </c>
      <c r="E442" s="14">
        <v>13</v>
      </c>
      <c r="F442" s="14" t="s">
        <v>8011</v>
      </c>
      <c r="G442" s="14" t="s">
        <v>8012</v>
      </c>
      <c r="H442" s="14" t="s">
        <v>8013</v>
      </c>
      <c r="I442" s="14" t="s">
        <v>49</v>
      </c>
      <c r="J442" s="11" t="str">
        <f>HYPERLINK("https://www.codechef.com/problems/CBSPEED", "https://www.codechef.com/problems/CBSPEED")</f>
        <v>https://www.codechef.com/problems/CBSPEED</v>
      </c>
      <c r="K442" s="14"/>
      <c r="L442" s="14" t="s">
        <v>125</v>
      </c>
      <c r="M442" s="14"/>
      <c r="N442" s="14" t="s">
        <v>50</v>
      </c>
      <c r="O442" s="14" t="s">
        <v>51</v>
      </c>
    </row>
    <row r="443" spans="1:15">
      <c r="A443" s="15" t="s">
        <v>14</v>
      </c>
      <c r="B443" s="15" t="s">
        <v>8073</v>
      </c>
      <c r="C443" s="15" t="s">
        <v>8074</v>
      </c>
      <c r="D443" s="15" t="s">
        <v>8009</v>
      </c>
      <c r="E443" s="15">
        <v>14</v>
      </c>
      <c r="F443" s="15" t="s">
        <v>7986</v>
      </c>
      <c r="G443" s="15" t="s">
        <v>8082</v>
      </c>
      <c r="H443" s="15"/>
      <c r="I443" s="15" t="s">
        <v>49</v>
      </c>
      <c r="J443" s="7" t="str">
        <f>HYPERLINK("https://www.codechef.com/problems/GOPRACMCQ6", "https://www.codechef.com/problems/GOPRACMCQ6")</f>
        <v>https://www.codechef.com/problems/GOPRACMCQ6</v>
      </c>
      <c r="K443" s="15"/>
      <c r="L443" s="15"/>
      <c r="M443" s="15"/>
      <c r="N443" s="15" t="s">
        <v>50</v>
      </c>
      <c r="O443" s="15" t="s">
        <v>51</v>
      </c>
    </row>
    <row r="444" spans="1:15">
      <c r="A444" s="14" t="s">
        <v>14</v>
      </c>
      <c r="B444" s="14" t="s">
        <v>8073</v>
      </c>
      <c r="C444" s="14" t="s">
        <v>8074</v>
      </c>
      <c r="D444" s="14" t="s">
        <v>8009</v>
      </c>
      <c r="E444" s="14">
        <v>15</v>
      </c>
      <c r="F444" s="14" t="s">
        <v>8015</v>
      </c>
      <c r="G444" s="14" t="s">
        <v>8016</v>
      </c>
      <c r="H444" s="14" t="s">
        <v>8017</v>
      </c>
      <c r="I444" s="14" t="s">
        <v>49</v>
      </c>
      <c r="J444" s="11" t="str">
        <f>HYPERLINK("https://www.codechef.com/problems/MARKSTW", "https://www.codechef.com/problems/MARKSTW")</f>
        <v>https://www.codechef.com/problems/MARKSTW</v>
      </c>
      <c r="K444" s="14"/>
      <c r="L444" s="14" t="s">
        <v>125</v>
      </c>
      <c r="M444" s="14"/>
      <c r="N444" s="14" t="s">
        <v>50</v>
      </c>
      <c r="O444" s="14" t="s">
        <v>51</v>
      </c>
    </row>
    <row r="445" spans="1:15">
      <c r="A445" s="15" t="s">
        <v>14</v>
      </c>
      <c r="B445" s="15" t="s">
        <v>8073</v>
      </c>
      <c r="C445" s="15" t="s">
        <v>8074</v>
      </c>
      <c r="D445" s="15" t="s">
        <v>8009</v>
      </c>
      <c r="E445" s="15">
        <v>16</v>
      </c>
      <c r="F445" s="15" t="s">
        <v>7986</v>
      </c>
      <c r="G445" s="15" t="s">
        <v>8083</v>
      </c>
      <c r="H445" s="15"/>
      <c r="I445" s="15" t="s">
        <v>49</v>
      </c>
      <c r="J445" s="7" t="str">
        <f>HYPERLINK("https://www.codechef.com/problems/GOPRACMCQ9", "https://www.codechef.com/problems/GOPRACMCQ9")</f>
        <v>https://www.codechef.com/problems/GOPRACMCQ9</v>
      </c>
      <c r="K445" s="15"/>
      <c r="L445" s="15"/>
      <c r="M445" s="15"/>
      <c r="N445" s="15" t="s">
        <v>50</v>
      </c>
      <c r="O445" s="15" t="s">
        <v>51</v>
      </c>
    </row>
    <row r="446" spans="1:15">
      <c r="A446" s="14" t="s">
        <v>14</v>
      </c>
      <c r="B446" s="14" t="s">
        <v>8073</v>
      </c>
      <c r="C446" s="14" t="s">
        <v>8074</v>
      </c>
      <c r="D446" s="14" t="s">
        <v>8009</v>
      </c>
      <c r="E446" s="14">
        <v>17</v>
      </c>
      <c r="F446" s="14" t="s">
        <v>8019</v>
      </c>
      <c r="G446" s="14" t="s">
        <v>8020</v>
      </c>
      <c r="H446" s="14" t="s">
        <v>1710</v>
      </c>
      <c r="I446" s="14" t="s">
        <v>49</v>
      </c>
      <c r="J446" s="11" t="str">
        <f>HYPERLINK("https://www.codechef.com/problems/ONEFULPAIRS", "https://www.codechef.com/problems/ONEFULPAIRS")</f>
        <v>https://www.codechef.com/problems/ONEFULPAIRS</v>
      </c>
      <c r="K446" s="14"/>
      <c r="L446" s="14"/>
      <c r="M446" s="14"/>
      <c r="N446" s="14" t="s">
        <v>50</v>
      </c>
      <c r="O446" s="14" t="s">
        <v>51</v>
      </c>
    </row>
    <row r="447" spans="1:15">
      <c r="A447" s="15" t="s">
        <v>14</v>
      </c>
      <c r="B447" s="15" t="s">
        <v>8073</v>
      </c>
      <c r="C447" s="15" t="s">
        <v>8074</v>
      </c>
      <c r="D447" s="15" t="s">
        <v>8021</v>
      </c>
      <c r="E447" s="15">
        <v>18</v>
      </c>
      <c r="F447" s="15" t="s">
        <v>7991</v>
      </c>
      <c r="G447" s="15" t="s">
        <v>8084</v>
      </c>
      <c r="H447" s="15"/>
      <c r="I447" s="15" t="s">
        <v>49</v>
      </c>
      <c r="J447" s="7" t="str">
        <f>HYPERLINK("https://www.codechef.com/problems/GOPRACREARR2", "https://www.codechef.com/problems/GOPRACREARR2")</f>
        <v>https://www.codechef.com/problems/GOPRACREARR2</v>
      </c>
      <c r="K447" s="15"/>
      <c r="L447" s="15"/>
      <c r="M447" s="15"/>
      <c r="N447" s="15" t="s">
        <v>50</v>
      </c>
      <c r="O447" s="15" t="s">
        <v>51</v>
      </c>
    </row>
    <row r="448" spans="1:15">
      <c r="A448" s="14" t="s">
        <v>14</v>
      </c>
      <c r="B448" s="14" t="s">
        <v>8073</v>
      </c>
      <c r="C448" s="14" t="s">
        <v>8074</v>
      </c>
      <c r="D448" s="14" t="s">
        <v>8021</v>
      </c>
      <c r="E448" s="14">
        <v>19</v>
      </c>
      <c r="F448" s="14" t="s">
        <v>8023</v>
      </c>
      <c r="G448" s="14" t="s">
        <v>8024</v>
      </c>
      <c r="H448" s="14" t="s">
        <v>1590</v>
      </c>
      <c r="I448" s="14" t="s">
        <v>49</v>
      </c>
      <c r="J448" s="11" t="str">
        <f>HYPERLINK("https://www.codechef.com/problems/MY1STCONTEST", "https://www.codechef.com/problems/MY1STCONTEST")</f>
        <v>https://www.codechef.com/problems/MY1STCONTEST</v>
      </c>
      <c r="K448" s="14"/>
      <c r="L448" s="14"/>
      <c r="M448" s="14"/>
      <c r="N448" s="14" t="s">
        <v>50</v>
      </c>
      <c r="O448" s="14" t="s">
        <v>51</v>
      </c>
    </row>
    <row r="449" spans="1:15">
      <c r="A449" s="15" t="s">
        <v>14</v>
      </c>
      <c r="B449" s="15" t="s">
        <v>8073</v>
      </c>
      <c r="C449" s="15" t="s">
        <v>8074</v>
      </c>
      <c r="D449" s="15" t="s">
        <v>8021</v>
      </c>
      <c r="E449" s="15">
        <v>20</v>
      </c>
      <c r="F449" s="15" t="s">
        <v>7986</v>
      </c>
      <c r="G449" s="15" t="s">
        <v>8085</v>
      </c>
      <c r="H449" s="15"/>
      <c r="I449" s="15" t="s">
        <v>49</v>
      </c>
      <c r="J449" s="7" t="str">
        <f>HYPERLINK("https://www.codechef.com/problems/GOPRACMCQ8", "https://www.codechef.com/problems/GOPRACMCQ8")</f>
        <v>https://www.codechef.com/problems/GOPRACMCQ8</v>
      </c>
      <c r="K449" s="15"/>
      <c r="L449" s="15"/>
      <c r="M449" s="15"/>
      <c r="N449" s="15" t="s">
        <v>50</v>
      </c>
      <c r="O449" s="15" t="s">
        <v>51</v>
      </c>
    </row>
    <row r="450" spans="1:15">
      <c r="A450" s="14" t="s">
        <v>14</v>
      </c>
      <c r="B450" s="14" t="s">
        <v>8073</v>
      </c>
      <c r="C450" s="14" t="s">
        <v>8074</v>
      </c>
      <c r="D450" s="14" t="s">
        <v>8021</v>
      </c>
      <c r="E450" s="14">
        <v>21</v>
      </c>
      <c r="F450" s="14" t="s">
        <v>8026</v>
      </c>
      <c r="G450" s="14" t="s">
        <v>8027</v>
      </c>
      <c r="H450" s="14" t="s">
        <v>8028</v>
      </c>
      <c r="I450" s="14" t="s">
        <v>49</v>
      </c>
      <c r="J450" s="11" t="str">
        <f>HYPERLINK("https://www.codechef.com/problems/BLACKCEL", "https://www.codechef.com/problems/BLACKCEL")</f>
        <v>https://www.codechef.com/problems/BLACKCEL</v>
      </c>
      <c r="K450" s="14"/>
      <c r="L450" s="14"/>
      <c r="M450" s="14"/>
      <c r="N450" s="14" t="s">
        <v>50</v>
      </c>
      <c r="O450" s="14" t="s">
        <v>51</v>
      </c>
    </row>
    <row r="451" spans="1:15">
      <c r="A451" s="15" t="s">
        <v>14</v>
      </c>
      <c r="B451" s="15" t="s">
        <v>8073</v>
      </c>
      <c r="C451" s="15" t="s">
        <v>8074</v>
      </c>
      <c r="D451" s="15" t="s">
        <v>8021</v>
      </c>
      <c r="E451" s="15">
        <v>22</v>
      </c>
      <c r="F451" s="15" t="s">
        <v>7986</v>
      </c>
      <c r="G451" s="15" t="s">
        <v>8086</v>
      </c>
      <c r="H451" s="15"/>
      <c r="I451" s="15" t="s">
        <v>49</v>
      </c>
      <c r="J451" s="7" t="str">
        <f>HYPERLINK("https://www.codechef.com/problems/GOPRACMCQ7", "https://www.codechef.com/problems/GOPRACMCQ7")</f>
        <v>https://www.codechef.com/problems/GOPRACMCQ7</v>
      </c>
      <c r="K451" s="15"/>
      <c r="L451" s="15"/>
      <c r="M451" s="15"/>
      <c r="N451" s="15" t="s">
        <v>50</v>
      </c>
      <c r="O451" s="15" t="s">
        <v>51</v>
      </c>
    </row>
    <row r="452" spans="1:15">
      <c r="A452" s="14" t="s">
        <v>14</v>
      </c>
      <c r="B452" s="14" t="s">
        <v>8073</v>
      </c>
      <c r="C452" s="14" t="s">
        <v>8074</v>
      </c>
      <c r="D452" s="14" t="s">
        <v>8021</v>
      </c>
      <c r="E452" s="14">
        <v>23</v>
      </c>
      <c r="F452" s="14" t="s">
        <v>8030</v>
      </c>
      <c r="G452" s="14" t="s">
        <v>8031</v>
      </c>
      <c r="H452" s="14" t="s">
        <v>1672</v>
      </c>
      <c r="I452" s="14" t="s">
        <v>49</v>
      </c>
      <c r="J452" s="11" t="str">
        <f>HYPERLINK("https://www.codechef.com/problems/ABDIFF", "https://www.codechef.com/problems/ABDIFF")</f>
        <v>https://www.codechef.com/problems/ABDIFF</v>
      </c>
      <c r="K452" s="14"/>
      <c r="L452" s="14"/>
      <c r="M452" s="14"/>
      <c r="N452" s="14" t="s">
        <v>50</v>
      </c>
      <c r="O452" s="14" t="s">
        <v>51</v>
      </c>
    </row>
    <row r="453" spans="1:15">
      <c r="A453" s="15" t="s">
        <v>14</v>
      </c>
      <c r="B453" s="15" t="s">
        <v>8073</v>
      </c>
      <c r="C453" s="15" t="s">
        <v>8074</v>
      </c>
      <c r="D453" s="15" t="s">
        <v>8032</v>
      </c>
      <c r="E453" s="15">
        <v>24</v>
      </c>
      <c r="F453" s="15" t="s">
        <v>7991</v>
      </c>
      <c r="G453" s="15" t="s">
        <v>8087</v>
      </c>
      <c r="H453" s="15"/>
      <c r="I453" s="15" t="s">
        <v>49</v>
      </c>
      <c r="J453" s="7" t="str">
        <f>HYPERLINK("https://www.codechef.com/problems/GOPRACREARR3", "https://www.codechef.com/problems/GOPRACREARR3")</f>
        <v>https://www.codechef.com/problems/GOPRACREARR3</v>
      </c>
      <c r="K453" s="15"/>
      <c r="L453" s="15"/>
      <c r="M453" s="15"/>
      <c r="N453" s="15" t="s">
        <v>50</v>
      </c>
      <c r="O453" s="15" t="s">
        <v>51</v>
      </c>
    </row>
    <row r="454" spans="1:15">
      <c r="A454" s="14" t="s">
        <v>14</v>
      </c>
      <c r="B454" s="14" t="s">
        <v>8073</v>
      </c>
      <c r="C454" s="14" t="s">
        <v>8074</v>
      </c>
      <c r="D454" s="14" t="s">
        <v>8032</v>
      </c>
      <c r="E454" s="14">
        <v>25</v>
      </c>
      <c r="F454" s="14" t="s">
        <v>8034</v>
      </c>
      <c r="G454" s="14" t="s">
        <v>8035</v>
      </c>
      <c r="H454" s="14" t="s">
        <v>8036</v>
      </c>
      <c r="I454" s="14" t="s">
        <v>49</v>
      </c>
      <c r="J454" s="11" t="str">
        <f>HYPERLINK("https://www.codechef.com/problems/FLOW001", "https://www.codechef.com/problems/FLOW001")</f>
        <v>https://www.codechef.com/problems/FLOW001</v>
      </c>
      <c r="K454" s="14"/>
      <c r="L454" s="14" t="s">
        <v>1701</v>
      </c>
      <c r="M454" s="14"/>
      <c r="N454" s="14" t="s">
        <v>50</v>
      </c>
      <c r="O454" s="14" t="s">
        <v>51</v>
      </c>
    </row>
    <row r="455" spans="1:15">
      <c r="A455" s="15" t="s">
        <v>14</v>
      </c>
      <c r="B455" s="15" t="s">
        <v>8073</v>
      </c>
      <c r="C455" s="15" t="s">
        <v>8074</v>
      </c>
      <c r="D455" s="15" t="s">
        <v>8032</v>
      </c>
      <c r="E455" s="15">
        <v>26</v>
      </c>
      <c r="F455" s="15" t="s">
        <v>7986</v>
      </c>
      <c r="G455" s="15" t="s">
        <v>8088</v>
      </c>
      <c r="H455" s="15"/>
      <c r="I455" s="15" t="s">
        <v>49</v>
      </c>
      <c r="J455" s="7" t="str">
        <f>HYPERLINK("https://www.codechef.com/problems/GOPRACMCQ11", "https://www.codechef.com/problems/GOPRACMCQ11")</f>
        <v>https://www.codechef.com/problems/GOPRACMCQ11</v>
      </c>
      <c r="K455" s="15"/>
      <c r="L455" s="15"/>
      <c r="M455" s="15"/>
      <c r="N455" s="15" t="s">
        <v>50</v>
      </c>
      <c r="O455" s="15" t="s">
        <v>51</v>
      </c>
    </row>
    <row r="456" spans="1:15">
      <c r="A456" s="14" t="s">
        <v>14</v>
      </c>
      <c r="B456" s="14" t="s">
        <v>8073</v>
      </c>
      <c r="C456" s="14" t="s">
        <v>8074</v>
      </c>
      <c r="D456" s="14" t="s">
        <v>8032</v>
      </c>
      <c r="E456" s="14">
        <v>27</v>
      </c>
      <c r="F456" s="14" t="s">
        <v>8038</v>
      </c>
      <c r="G456" s="14" t="s">
        <v>8039</v>
      </c>
      <c r="H456" s="14" t="s">
        <v>8040</v>
      </c>
      <c r="I456" s="14" t="s">
        <v>49</v>
      </c>
      <c r="J456" s="11" t="str">
        <f>HYPERLINK("https://www.codechef.com/problems/GDTURN", "https://www.codechef.com/problems/GDTURN")</f>
        <v>https://www.codechef.com/problems/GDTURN</v>
      </c>
      <c r="K456" s="14"/>
      <c r="L456" s="14" t="s">
        <v>1578</v>
      </c>
      <c r="M456" s="14"/>
      <c r="N456" s="14" t="s">
        <v>50</v>
      </c>
      <c r="O456" s="14" t="s">
        <v>51</v>
      </c>
    </row>
    <row r="457" spans="1:15">
      <c r="A457" s="15" t="s">
        <v>14</v>
      </c>
      <c r="B457" s="15" t="s">
        <v>8073</v>
      </c>
      <c r="C457" s="15" t="s">
        <v>8074</v>
      </c>
      <c r="D457" s="15" t="s">
        <v>8032</v>
      </c>
      <c r="E457" s="15">
        <v>28</v>
      </c>
      <c r="F457" s="15" t="s">
        <v>7986</v>
      </c>
      <c r="G457" s="15" t="s">
        <v>8089</v>
      </c>
      <c r="H457" s="15"/>
      <c r="I457" s="15" t="s">
        <v>49</v>
      </c>
      <c r="J457" s="7" t="str">
        <f>HYPERLINK("https://www.codechef.com/problems/GOPRACMCQ10", "https://www.codechef.com/problems/GOPRACMCQ10")</f>
        <v>https://www.codechef.com/problems/GOPRACMCQ10</v>
      </c>
      <c r="K457" s="15"/>
      <c r="L457" s="15"/>
      <c r="M457" s="15"/>
      <c r="N457" s="15" t="s">
        <v>50</v>
      </c>
      <c r="O457" s="15" t="s">
        <v>51</v>
      </c>
    </row>
    <row r="458" spans="1:15">
      <c r="A458" s="14" t="s">
        <v>14</v>
      </c>
      <c r="B458" s="14" t="s">
        <v>8073</v>
      </c>
      <c r="C458" s="14" t="s">
        <v>8074</v>
      </c>
      <c r="D458" s="14" t="s">
        <v>8032</v>
      </c>
      <c r="E458" s="14">
        <v>29</v>
      </c>
      <c r="F458" s="14" t="s">
        <v>8042</v>
      </c>
      <c r="G458" s="14" t="s">
        <v>8043</v>
      </c>
      <c r="H458" s="14" t="s">
        <v>8044</v>
      </c>
      <c r="I458" s="14" t="s">
        <v>49</v>
      </c>
      <c r="J458" s="11" t="str">
        <f>HYPERLINK("https://www.codechef.com/problems/WATERCONS", "https://www.codechef.com/problems/WATERCONS")</f>
        <v>https://www.codechef.com/problems/WATERCONS</v>
      </c>
      <c r="K458" s="14"/>
      <c r="L458" s="14"/>
      <c r="M458" s="14"/>
      <c r="N458" s="14" t="s">
        <v>50</v>
      </c>
      <c r="O458" s="14" t="s">
        <v>51</v>
      </c>
    </row>
    <row r="459" spans="1:15">
      <c r="A459" s="15" t="s">
        <v>14</v>
      </c>
      <c r="B459" s="15" t="s">
        <v>8073</v>
      </c>
      <c r="C459" s="15" t="s">
        <v>8074</v>
      </c>
      <c r="D459" s="15" t="s">
        <v>8045</v>
      </c>
      <c r="E459" s="15">
        <v>30</v>
      </c>
      <c r="F459" s="15" t="s">
        <v>7986</v>
      </c>
      <c r="G459" s="15" t="s">
        <v>8090</v>
      </c>
      <c r="H459" s="15"/>
      <c r="I459" s="15" t="s">
        <v>49</v>
      </c>
      <c r="J459" s="7" t="str">
        <f>HYPERLINK("https://www.codechef.com/problems/GOPRACMCQ12", "https://www.codechef.com/problems/GOPRACMCQ12")</f>
        <v>https://www.codechef.com/problems/GOPRACMCQ12</v>
      </c>
      <c r="K459" s="15"/>
      <c r="L459" s="15"/>
      <c r="M459" s="15"/>
      <c r="N459" s="15" t="s">
        <v>50</v>
      </c>
      <c r="O459" s="15" t="s">
        <v>51</v>
      </c>
    </row>
    <row r="460" spans="1:15">
      <c r="A460" s="14" t="s">
        <v>14</v>
      </c>
      <c r="B460" s="14" t="s">
        <v>8073</v>
      </c>
      <c r="C460" s="14" t="s">
        <v>8074</v>
      </c>
      <c r="D460" s="14" t="s">
        <v>8045</v>
      </c>
      <c r="E460" s="14">
        <v>31</v>
      </c>
      <c r="F460" s="14" t="s">
        <v>8047</v>
      </c>
      <c r="G460" s="14" t="s">
        <v>8048</v>
      </c>
      <c r="H460" s="14" t="s">
        <v>8049</v>
      </c>
      <c r="I460" s="14" t="s">
        <v>49</v>
      </c>
      <c r="J460" s="11" t="str">
        <f>HYPERLINK("https://www.codechef.com/problems/AGELIMIT", "https://www.codechef.com/problems/AGELIMIT")</f>
        <v>https://www.codechef.com/problems/AGELIMIT</v>
      </c>
      <c r="K460" s="14"/>
      <c r="L460" s="14"/>
      <c r="M460" s="14"/>
      <c r="N460" s="14" t="s">
        <v>50</v>
      </c>
      <c r="O460" s="14" t="s">
        <v>51</v>
      </c>
    </row>
    <row r="461" spans="1:15">
      <c r="A461" s="15" t="s">
        <v>14</v>
      </c>
      <c r="B461" s="15" t="s">
        <v>8073</v>
      </c>
      <c r="C461" s="15" t="s">
        <v>8074</v>
      </c>
      <c r="D461" s="15" t="s">
        <v>8045</v>
      </c>
      <c r="E461" s="15">
        <v>32</v>
      </c>
      <c r="F461" s="15" t="s">
        <v>7986</v>
      </c>
      <c r="G461" s="15" t="s">
        <v>8091</v>
      </c>
      <c r="H461" s="15"/>
      <c r="I461" s="15" t="s">
        <v>49</v>
      </c>
      <c r="J461" s="7" t="str">
        <f>HYPERLINK("https://www.codechef.com/problems/GOPRACMCQ13", "https://www.codechef.com/problems/GOPRACMCQ13")</f>
        <v>https://www.codechef.com/problems/GOPRACMCQ13</v>
      </c>
      <c r="K461" s="15"/>
      <c r="L461" s="15"/>
      <c r="M461" s="15"/>
      <c r="N461" s="15" t="s">
        <v>50</v>
      </c>
      <c r="O461" s="15" t="s">
        <v>51</v>
      </c>
    </row>
    <row r="462" spans="1:15">
      <c r="A462" s="14" t="s">
        <v>14</v>
      </c>
      <c r="B462" s="14" t="s">
        <v>8073</v>
      </c>
      <c r="C462" s="14" t="s">
        <v>8074</v>
      </c>
      <c r="D462" s="14" t="s">
        <v>8045</v>
      </c>
      <c r="E462" s="14">
        <v>33</v>
      </c>
      <c r="F462" s="14" t="s">
        <v>8051</v>
      </c>
      <c r="G462" s="14" t="s">
        <v>8052</v>
      </c>
      <c r="H462" s="14" t="s">
        <v>8053</v>
      </c>
      <c r="I462" s="14" t="s">
        <v>49</v>
      </c>
      <c r="J462" s="11" t="str">
        <f>HYPERLINK("https://www.codechef.com/problems/SQUATS", "https://www.codechef.com/problems/SQUATS")</f>
        <v>https://www.codechef.com/problems/SQUATS</v>
      </c>
      <c r="K462" s="14"/>
      <c r="L462" s="14"/>
      <c r="M462" s="14"/>
      <c r="N462" s="14" t="s">
        <v>50</v>
      </c>
      <c r="O462" s="14" t="s">
        <v>51</v>
      </c>
    </row>
    <row r="463" spans="1:15">
      <c r="A463" s="15" t="s">
        <v>14</v>
      </c>
      <c r="B463" s="15" t="s">
        <v>8092</v>
      </c>
      <c r="C463" s="15" t="s">
        <v>8093</v>
      </c>
      <c r="D463" s="15" t="s">
        <v>8094</v>
      </c>
      <c r="E463" s="15">
        <v>1</v>
      </c>
      <c r="F463" s="15" t="s">
        <v>8095</v>
      </c>
      <c r="G463" s="15" t="s">
        <v>8096</v>
      </c>
      <c r="H463" s="15"/>
      <c r="I463" s="15" t="s">
        <v>49</v>
      </c>
      <c r="J463" s="7" t="str">
        <f>HYPERLINK("https://www.codechef.com/problems/LEADGAME", "https://www.codechef.com/problems/LEADGAME")</f>
        <v>https://www.codechef.com/problems/LEADGAME</v>
      </c>
      <c r="K463" s="15"/>
      <c r="L463" s="15"/>
      <c r="M463" s="15"/>
      <c r="N463" s="15" t="s">
        <v>50</v>
      </c>
      <c r="O463" s="15" t="s">
        <v>51</v>
      </c>
    </row>
    <row r="464" spans="1:15">
      <c r="A464" s="14" t="s">
        <v>14</v>
      </c>
      <c r="B464" s="14" t="s">
        <v>8092</v>
      </c>
      <c r="C464" s="14" t="s">
        <v>8093</v>
      </c>
      <c r="D464" s="14" t="s">
        <v>8094</v>
      </c>
      <c r="E464" s="14">
        <v>2</v>
      </c>
      <c r="F464" s="14" t="s">
        <v>8097</v>
      </c>
      <c r="G464" s="14" t="s">
        <v>8098</v>
      </c>
      <c r="H464" s="14"/>
      <c r="I464" s="14" t="s">
        <v>322</v>
      </c>
      <c r="J464" s="11" t="str">
        <f>HYPERLINK("https://www.codechef.com/problems/BOOKLIST", "https://www.codechef.com/problems/BOOKLIST")</f>
        <v>https://www.codechef.com/problems/BOOKLIST</v>
      </c>
      <c r="K464" s="14"/>
      <c r="L464" s="14"/>
      <c r="M464" s="14"/>
      <c r="N464" s="14" t="s">
        <v>50</v>
      </c>
      <c r="O464" s="14" t="s">
        <v>51</v>
      </c>
    </row>
    <row r="465" spans="1:15">
      <c r="A465" s="15" t="s">
        <v>14</v>
      </c>
      <c r="B465" s="15" t="s">
        <v>8092</v>
      </c>
      <c r="C465" s="15" t="s">
        <v>8093</v>
      </c>
      <c r="D465" s="15" t="s">
        <v>8094</v>
      </c>
      <c r="E465" s="15">
        <v>3</v>
      </c>
      <c r="F465" s="15" t="s">
        <v>8099</v>
      </c>
      <c r="G465" s="15" t="s">
        <v>8100</v>
      </c>
      <c r="H465" s="15"/>
      <c r="I465" s="15" t="s">
        <v>322</v>
      </c>
      <c r="J465" s="7" t="str">
        <f>HYPERLINK("https://www.codechef.com/problems/LONGPALI", "https://www.codechef.com/problems/LONGPALI")</f>
        <v>https://www.codechef.com/problems/LONGPALI</v>
      </c>
      <c r="K465" s="15"/>
      <c r="L465" s="15"/>
      <c r="M465" s="15"/>
      <c r="N465" s="15" t="s">
        <v>50</v>
      </c>
      <c r="O465" s="15" t="s">
        <v>51</v>
      </c>
    </row>
    <row r="466" spans="1:15">
      <c r="A466" s="14" t="s">
        <v>14</v>
      </c>
      <c r="B466" s="14" t="s">
        <v>8092</v>
      </c>
      <c r="C466" s="14" t="s">
        <v>8093</v>
      </c>
      <c r="D466" s="14" t="s">
        <v>8094</v>
      </c>
      <c r="E466" s="14">
        <v>4</v>
      </c>
      <c r="F466" s="14" t="s">
        <v>8101</v>
      </c>
      <c r="G466" s="14" t="s">
        <v>8102</v>
      </c>
      <c r="H466" s="14"/>
      <c r="I466" s="14" t="s">
        <v>96</v>
      </c>
      <c r="J466" s="11" t="str">
        <f>HYPERLINK("https://www.codechef.com/problems/ENDCORR", "https://www.codechef.com/problems/ENDCORR")</f>
        <v>https://www.codechef.com/problems/ENDCORR</v>
      </c>
      <c r="K466" s="14"/>
      <c r="L466" s="14"/>
      <c r="M466" s="14"/>
      <c r="N466" s="14" t="s">
        <v>50</v>
      </c>
      <c r="O466" s="14" t="s">
        <v>51</v>
      </c>
    </row>
    <row r="467" spans="1:15">
      <c r="A467" s="15" t="s">
        <v>14</v>
      </c>
      <c r="B467" s="15" t="s">
        <v>8092</v>
      </c>
      <c r="C467" s="15" t="s">
        <v>8093</v>
      </c>
      <c r="D467" s="15" t="s">
        <v>8094</v>
      </c>
      <c r="E467" s="15">
        <v>5</v>
      </c>
      <c r="F467" s="15" t="s">
        <v>2440</v>
      </c>
      <c r="G467" s="15" t="s">
        <v>8103</v>
      </c>
      <c r="H467" s="15"/>
      <c r="I467" s="15" t="s">
        <v>96</v>
      </c>
      <c r="J467" s="7" t="str">
        <f>HYPERLINK("https://www.codechef.com/problems/VOTERSDI", "https://www.codechef.com/problems/VOTERSDI")</f>
        <v>https://www.codechef.com/problems/VOTERSDI</v>
      </c>
      <c r="K467" s="15"/>
      <c r="L467" s="15"/>
      <c r="M467" s="15"/>
      <c r="N467" s="15" t="s">
        <v>50</v>
      </c>
      <c r="O467" s="15" t="s">
        <v>51</v>
      </c>
    </row>
    <row r="468" spans="1:15">
      <c r="A468" s="14" t="s">
        <v>14</v>
      </c>
      <c r="B468" s="14" t="s">
        <v>8092</v>
      </c>
      <c r="C468" s="14" t="s">
        <v>8093</v>
      </c>
      <c r="D468" s="14" t="s">
        <v>8094</v>
      </c>
      <c r="E468" s="14">
        <v>6</v>
      </c>
      <c r="F468" s="14" t="s">
        <v>8104</v>
      </c>
      <c r="G468" s="14" t="s">
        <v>8105</v>
      </c>
      <c r="H468" s="14"/>
      <c r="I468" s="14" t="s">
        <v>96</v>
      </c>
      <c r="J468" s="11" t="str">
        <f>HYPERLINK("https://www.codechef.com/problems/IAREVERS", "https://www.codechef.com/problems/IAREVERS")</f>
        <v>https://www.codechef.com/problems/IAREVERS</v>
      </c>
      <c r="K468" s="14"/>
      <c r="L468" s="14"/>
      <c r="M468" s="14"/>
      <c r="N468" s="14" t="s">
        <v>50</v>
      </c>
      <c r="O468" s="14" t="s">
        <v>51</v>
      </c>
    </row>
    <row r="469" spans="1:15">
      <c r="A469" s="15" t="s">
        <v>14</v>
      </c>
      <c r="B469" s="15" t="s">
        <v>8092</v>
      </c>
      <c r="C469" s="15" t="s">
        <v>8093</v>
      </c>
      <c r="D469" s="15" t="s">
        <v>8094</v>
      </c>
      <c r="E469" s="15">
        <v>7</v>
      </c>
      <c r="F469" s="15" t="s">
        <v>8106</v>
      </c>
      <c r="G469" s="15" t="s">
        <v>8107</v>
      </c>
      <c r="H469" s="15"/>
      <c r="I469" s="15" t="s">
        <v>96</v>
      </c>
      <c r="J469" s="7" t="str">
        <f>HYPERLINK("https://www.codechef.com/problems/TILES01", "https://www.codechef.com/problems/TILES01")</f>
        <v>https://www.codechef.com/problems/TILES01</v>
      </c>
      <c r="K469" s="15"/>
      <c r="L469" s="15"/>
      <c r="M469" s="15"/>
      <c r="N469" s="15" t="s">
        <v>50</v>
      </c>
      <c r="O469" s="15" t="s">
        <v>51</v>
      </c>
    </row>
    <row r="470" spans="1:15">
      <c r="A470" s="14" t="s">
        <v>14</v>
      </c>
      <c r="B470" s="14" t="s">
        <v>8092</v>
      </c>
      <c r="C470" s="14" t="s">
        <v>8093</v>
      </c>
      <c r="D470" s="14" t="s">
        <v>8094</v>
      </c>
      <c r="E470" s="14">
        <v>8</v>
      </c>
      <c r="F470" s="14" t="s">
        <v>930</v>
      </c>
      <c r="G470" s="14" t="s">
        <v>931</v>
      </c>
      <c r="H470" s="14"/>
      <c r="I470" s="14" t="s">
        <v>322</v>
      </c>
      <c r="J470" s="11" t="str">
        <f>HYPERLINK("https://www.codechef.com/problems/NEXTPERM", "https://www.codechef.com/problems/NEXTPERM")</f>
        <v>https://www.codechef.com/problems/NEXTPERM</v>
      </c>
      <c r="K470" s="14"/>
      <c r="L470" s="14"/>
      <c r="M470" s="14"/>
      <c r="N470" s="14" t="s">
        <v>50</v>
      </c>
      <c r="O470" s="14" t="s">
        <v>51</v>
      </c>
    </row>
    <row r="471" spans="1:15">
      <c r="A471" s="15" t="s">
        <v>14</v>
      </c>
      <c r="B471" s="15" t="s">
        <v>8092</v>
      </c>
      <c r="C471" s="15" t="s">
        <v>8093</v>
      </c>
      <c r="D471" s="15" t="s">
        <v>8094</v>
      </c>
      <c r="E471" s="15">
        <v>9</v>
      </c>
      <c r="F471" s="15" t="s">
        <v>8108</v>
      </c>
      <c r="G471" s="15" t="s">
        <v>8109</v>
      </c>
      <c r="H471" s="15"/>
      <c r="I471" s="15" t="s">
        <v>96</v>
      </c>
      <c r="J471" s="7" t="str">
        <f>HYPERLINK("https://www.codechef.com/problems/SORTROWS", "https://www.codechef.com/problems/SORTROWS")</f>
        <v>https://www.codechef.com/problems/SORTROWS</v>
      </c>
      <c r="K471" s="15"/>
      <c r="L471" s="15"/>
      <c r="M471" s="15"/>
      <c r="N471" s="15" t="s">
        <v>50</v>
      </c>
      <c r="O471" s="15" t="s">
        <v>51</v>
      </c>
    </row>
    <row r="472" spans="1:15">
      <c r="A472" s="14" t="s">
        <v>14</v>
      </c>
      <c r="B472" s="14" t="s">
        <v>8092</v>
      </c>
      <c r="C472" s="14" t="s">
        <v>8093</v>
      </c>
      <c r="D472" s="14" t="s">
        <v>8094</v>
      </c>
      <c r="E472" s="14">
        <v>10</v>
      </c>
      <c r="F472" s="14" t="s">
        <v>8110</v>
      </c>
      <c r="G472" s="14" t="s">
        <v>8111</v>
      </c>
      <c r="H472" s="14"/>
      <c r="I472" s="14" t="s">
        <v>322</v>
      </c>
      <c r="J472" s="11" t="str">
        <f>HYPERLINK("https://www.codechef.com/problems/IARANK", "https://www.codechef.com/problems/IARANK")</f>
        <v>https://www.codechef.com/problems/IARANK</v>
      </c>
      <c r="K472" s="14"/>
      <c r="L472" s="14"/>
      <c r="M472" s="14"/>
      <c r="N472" s="14" t="s">
        <v>50</v>
      </c>
      <c r="O472" s="14" t="s">
        <v>51</v>
      </c>
    </row>
    <row r="473" spans="1:15">
      <c r="A473" s="15" t="s">
        <v>14</v>
      </c>
      <c r="B473" s="15" t="s">
        <v>8092</v>
      </c>
      <c r="C473" s="15" t="s">
        <v>8093</v>
      </c>
      <c r="D473" s="15" t="s">
        <v>8094</v>
      </c>
      <c r="E473" s="15">
        <v>11</v>
      </c>
      <c r="F473" s="15" t="s">
        <v>8112</v>
      </c>
      <c r="G473" s="15" t="s">
        <v>8113</v>
      </c>
      <c r="H473" s="15"/>
      <c r="I473" s="15" t="s">
        <v>322</v>
      </c>
      <c r="J473" s="7" t="str">
        <f>HYPERLINK("https://www.codechef.com/problems/DIVSEQ", "https://www.codechef.com/problems/DIVSEQ")</f>
        <v>https://www.codechef.com/problems/DIVSEQ</v>
      </c>
      <c r="K473" s="15"/>
      <c r="L473" s="15"/>
      <c r="M473" s="15"/>
      <c r="N473" s="15" t="s">
        <v>50</v>
      </c>
      <c r="O473" s="15" t="s">
        <v>51</v>
      </c>
    </row>
    <row r="474" spans="1:15">
      <c r="A474" s="14" t="s">
        <v>14</v>
      </c>
      <c r="B474" s="14" t="s">
        <v>8092</v>
      </c>
      <c r="C474" s="14" t="s">
        <v>8093</v>
      </c>
      <c r="D474" s="14" t="s">
        <v>8094</v>
      </c>
      <c r="E474" s="14">
        <v>12</v>
      </c>
      <c r="F474" s="14" t="s">
        <v>8114</v>
      </c>
      <c r="G474" s="14" t="s">
        <v>8115</v>
      </c>
      <c r="H474" s="14"/>
      <c r="I474" s="14" t="s">
        <v>96</v>
      </c>
      <c r="J474" s="11" t="str">
        <f>HYPERLINK("https://www.codechef.com/problems/AVERAGE", "https://www.codechef.com/problems/AVERAGE")</f>
        <v>https://www.codechef.com/problems/AVERAGE</v>
      </c>
      <c r="K474" s="14"/>
      <c r="L474" s="14"/>
      <c r="M474" s="14"/>
      <c r="N474" s="14" t="s">
        <v>50</v>
      </c>
      <c r="O474" s="14" t="s">
        <v>51</v>
      </c>
    </row>
    <row r="475" spans="1:15">
      <c r="A475" s="15" t="s">
        <v>14</v>
      </c>
      <c r="B475" s="15" t="s">
        <v>8092</v>
      </c>
      <c r="C475" s="15" t="s">
        <v>8093</v>
      </c>
      <c r="D475" s="15" t="s">
        <v>8094</v>
      </c>
      <c r="E475" s="15">
        <v>13</v>
      </c>
      <c r="F475" s="15" t="s">
        <v>8116</v>
      </c>
      <c r="G475" s="15" t="s">
        <v>8117</v>
      </c>
      <c r="H475" s="15"/>
      <c r="I475" s="15" t="s">
        <v>96</v>
      </c>
      <c r="J475" s="7" t="str">
        <f>HYPERLINK("https://www.codechef.com/problems/WORDLIST", "https://www.codechef.com/problems/WORDLIST")</f>
        <v>https://www.codechef.com/problems/WORDLIST</v>
      </c>
      <c r="K475" s="15"/>
      <c r="L475" s="15"/>
      <c r="M475" s="15"/>
      <c r="N475" s="15" t="s">
        <v>50</v>
      </c>
      <c r="O475" s="15" t="s">
        <v>51</v>
      </c>
    </row>
    <row r="476" spans="1:15">
      <c r="A476" s="14" t="s">
        <v>14</v>
      </c>
      <c r="B476" s="14" t="s">
        <v>8092</v>
      </c>
      <c r="C476" s="14" t="s">
        <v>8093</v>
      </c>
      <c r="D476" s="14" t="s">
        <v>8094</v>
      </c>
      <c r="E476" s="14">
        <v>14</v>
      </c>
      <c r="F476" s="14" t="s">
        <v>8118</v>
      </c>
      <c r="G476" s="14" t="s">
        <v>8119</v>
      </c>
      <c r="H476" s="14"/>
      <c r="I476" s="14" t="s">
        <v>96</v>
      </c>
      <c r="J476" s="11" t="str">
        <f>HYPERLINK("https://www.codechef.com/problems/CYCLEPER", "https://www.codechef.com/problems/CYCLEPER")</f>
        <v>https://www.codechef.com/problems/CYCLEPER</v>
      </c>
      <c r="K476" s="14"/>
      <c r="L476" s="14"/>
      <c r="M476" s="14"/>
      <c r="N476" s="14" t="s">
        <v>50</v>
      </c>
      <c r="O476" s="14" t="s">
        <v>51</v>
      </c>
    </row>
    <row r="477" spans="1:15">
      <c r="A477" s="15" t="s">
        <v>14</v>
      </c>
      <c r="B477" s="15" t="s">
        <v>8092</v>
      </c>
      <c r="C477" s="15" t="s">
        <v>8093</v>
      </c>
      <c r="D477" s="15" t="s">
        <v>8094</v>
      </c>
      <c r="E477" s="15">
        <v>15</v>
      </c>
      <c r="F477" s="15" t="s">
        <v>8120</v>
      </c>
      <c r="G477" s="15" t="s">
        <v>8121</v>
      </c>
      <c r="H477" s="15"/>
      <c r="I477" s="15" t="s">
        <v>96</v>
      </c>
      <c r="J477" s="7" t="str">
        <f>HYPERLINK("https://www.codechef.com/problems/GREATESC", "https://www.codechef.com/problems/GREATESC")</f>
        <v>https://www.codechef.com/problems/GREATESC</v>
      </c>
      <c r="K477" s="15"/>
      <c r="L477" s="15"/>
      <c r="M477" s="15"/>
      <c r="N477" s="15" t="s">
        <v>50</v>
      </c>
      <c r="O477" s="15" t="s">
        <v>51</v>
      </c>
    </row>
    <row r="478" spans="1:15">
      <c r="A478" s="14" t="s">
        <v>14</v>
      </c>
      <c r="B478" s="14" t="s">
        <v>8092</v>
      </c>
      <c r="C478" s="14" t="s">
        <v>8093</v>
      </c>
      <c r="D478" s="14" t="s">
        <v>8094</v>
      </c>
      <c r="E478" s="14">
        <v>16</v>
      </c>
      <c r="F478" s="14" t="s">
        <v>8122</v>
      </c>
      <c r="G478" s="14" t="s">
        <v>8123</v>
      </c>
      <c r="H478" s="14"/>
      <c r="I478" s="14" t="s">
        <v>322</v>
      </c>
      <c r="J478" s="11" t="str">
        <f>HYPERLINK("https://www.codechef.com/problems/TILINGS", "https://www.codechef.com/problems/TILINGS")</f>
        <v>https://www.codechef.com/problems/TILINGS</v>
      </c>
      <c r="K478" s="14"/>
      <c r="L478" s="14"/>
      <c r="M478" s="14"/>
      <c r="N478" s="14" t="s">
        <v>50</v>
      </c>
      <c r="O478" s="14" t="s">
        <v>51</v>
      </c>
    </row>
    <row r="479" spans="1:15">
      <c r="A479" s="15" t="s">
        <v>14</v>
      </c>
      <c r="B479" s="15" t="s">
        <v>8092</v>
      </c>
      <c r="C479" s="15" t="s">
        <v>8093</v>
      </c>
      <c r="D479" s="15" t="s">
        <v>8094</v>
      </c>
      <c r="E479" s="15">
        <v>17</v>
      </c>
      <c r="F479" s="15" t="s">
        <v>8124</v>
      </c>
      <c r="G479" s="15" t="s">
        <v>8125</v>
      </c>
      <c r="H479" s="15"/>
      <c r="I479" s="15" t="s">
        <v>96</v>
      </c>
      <c r="J479" s="7" t="str">
        <f>HYPERLINK("https://www.codechef.com/problems/FINDNUMS", "https://www.codechef.com/problems/FINDNUMS")</f>
        <v>https://www.codechef.com/problems/FINDNUMS</v>
      </c>
      <c r="K479" s="15"/>
      <c r="L479" s="15"/>
      <c r="M479" s="15"/>
      <c r="N479" s="15" t="s">
        <v>50</v>
      </c>
      <c r="O479" s="15" t="s">
        <v>51</v>
      </c>
    </row>
    <row r="480" spans="1:15">
      <c r="A480" s="14" t="s">
        <v>14</v>
      </c>
      <c r="B480" s="14" t="s">
        <v>8092</v>
      </c>
      <c r="C480" s="14" t="s">
        <v>8093</v>
      </c>
      <c r="D480" s="14" t="s">
        <v>8094</v>
      </c>
      <c r="E480" s="14">
        <v>18</v>
      </c>
      <c r="F480" s="14" t="s">
        <v>8126</v>
      </c>
      <c r="G480" s="14" t="s">
        <v>8127</v>
      </c>
      <c r="H480" s="14"/>
      <c r="I480" s="14" t="s">
        <v>322</v>
      </c>
      <c r="J480" s="11" t="str">
        <f>HYPERLINK("https://www.codechef.com/problems/REPFREE", "https://www.codechef.com/problems/REPFREE")</f>
        <v>https://www.codechef.com/problems/REPFREE</v>
      </c>
      <c r="K480" s="14"/>
      <c r="L480" s="14"/>
      <c r="M480" s="14"/>
      <c r="N480" s="14" t="s">
        <v>50</v>
      </c>
      <c r="O480" s="14" t="s">
        <v>51</v>
      </c>
    </row>
    <row r="481" spans="1:15">
      <c r="A481" s="15" t="s">
        <v>14</v>
      </c>
      <c r="B481" s="15" t="s">
        <v>8092</v>
      </c>
      <c r="C481" s="15" t="s">
        <v>8093</v>
      </c>
      <c r="D481" s="15" t="s">
        <v>8094</v>
      </c>
      <c r="E481" s="15">
        <v>19</v>
      </c>
      <c r="F481" s="15" t="s">
        <v>8128</v>
      </c>
      <c r="G481" s="15" t="s">
        <v>8129</v>
      </c>
      <c r="H481" s="15"/>
      <c r="I481" s="15" t="s">
        <v>96</v>
      </c>
      <c r="J481" s="7" t="str">
        <f>HYPERLINK("https://www.codechef.com/problems/PYRAMID", "https://www.codechef.com/problems/PYRAMID")</f>
        <v>https://www.codechef.com/problems/PYRAMID</v>
      </c>
      <c r="K481" s="15"/>
      <c r="L481" s="15"/>
      <c r="M481" s="15"/>
      <c r="N481" s="15" t="s">
        <v>50</v>
      </c>
      <c r="O481" s="15" t="s">
        <v>51</v>
      </c>
    </row>
    <row r="482" spans="1:15">
      <c r="A482" s="14" t="s">
        <v>14</v>
      </c>
      <c r="B482" s="14" t="s">
        <v>8092</v>
      </c>
      <c r="C482" s="14" t="s">
        <v>8093</v>
      </c>
      <c r="D482" s="14" t="s">
        <v>8094</v>
      </c>
      <c r="E482" s="14">
        <v>20</v>
      </c>
      <c r="F482" s="14" t="s">
        <v>8130</v>
      </c>
      <c r="G482" s="14" t="s">
        <v>8131</v>
      </c>
      <c r="H482" s="14"/>
      <c r="I482" s="14" t="s">
        <v>322</v>
      </c>
      <c r="J482" s="11" t="str">
        <f>HYPERLINK("https://www.codechef.com/problems/STADIUM", "https://www.codechef.com/problems/STADIUM")</f>
        <v>https://www.codechef.com/problems/STADIUM</v>
      </c>
      <c r="K482" s="14"/>
      <c r="L482" s="14"/>
      <c r="M482" s="14"/>
      <c r="N482" s="14" t="s">
        <v>50</v>
      </c>
      <c r="O482" s="14" t="s">
        <v>51</v>
      </c>
    </row>
    <row r="483" spans="1:15">
      <c r="A483" s="15" t="s">
        <v>14</v>
      </c>
      <c r="B483" s="15" t="s">
        <v>8092</v>
      </c>
      <c r="C483" s="15" t="s">
        <v>8093</v>
      </c>
      <c r="D483" s="15" t="s">
        <v>8094</v>
      </c>
      <c r="E483" s="15">
        <v>21</v>
      </c>
      <c r="F483" s="15" t="s">
        <v>8132</v>
      </c>
      <c r="G483" s="15" t="s">
        <v>8133</v>
      </c>
      <c r="H483" s="15"/>
      <c r="I483" s="15" t="s">
        <v>322</v>
      </c>
      <c r="J483" s="7" t="str">
        <f>HYPERLINK("https://www.codechef.com/problems/EQGIFTS", "https://www.codechef.com/problems/EQGIFTS")</f>
        <v>https://www.codechef.com/problems/EQGIFTS</v>
      </c>
      <c r="K483" s="15"/>
      <c r="L483" s="15"/>
      <c r="M483" s="15"/>
      <c r="N483" s="15" t="s">
        <v>50</v>
      </c>
      <c r="O483" s="15" t="s">
        <v>51</v>
      </c>
    </row>
    <row r="484" spans="1:15">
      <c r="A484" s="14" t="s">
        <v>14</v>
      </c>
      <c r="B484" s="14" t="s">
        <v>8092</v>
      </c>
      <c r="C484" s="14" t="s">
        <v>8093</v>
      </c>
      <c r="D484" s="14" t="s">
        <v>8094</v>
      </c>
      <c r="E484" s="14">
        <v>22</v>
      </c>
      <c r="F484" s="14" t="s">
        <v>8134</v>
      </c>
      <c r="G484" s="14" t="s">
        <v>8135</v>
      </c>
      <c r="H484" s="14"/>
      <c r="I484" s="14" t="s">
        <v>322</v>
      </c>
      <c r="J484" s="11" t="str">
        <f>HYPERLINK("https://www.codechef.com/problems/FINDPERM", "https://www.codechef.com/problems/FINDPERM")</f>
        <v>https://www.codechef.com/problems/FINDPERM</v>
      </c>
      <c r="K484" s="14"/>
      <c r="L484" s="14"/>
      <c r="M484" s="14"/>
      <c r="N484" s="14" t="s">
        <v>50</v>
      </c>
      <c r="O484" s="14" t="s">
        <v>51</v>
      </c>
    </row>
    <row r="485" spans="1:15">
      <c r="A485" s="15" t="s">
        <v>14</v>
      </c>
      <c r="B485" s="15" t="s">
        <v>8092</v>
      </c>
      <c r="C485" s="15" t="s">
        <v>8093</v>
      </c>
      <c r="D485" s="15" t="s">
        <v>8094</v>
      </c>
      <c r="E485" s="15">
        <v>23</v>
      </c>
      <c r="F485" s="15" t="s">
        <v>8136</v>
      </c>
      <c r="G485" s="15" t="s">
        <v>8137</v>
      </c>
      <c r="H485" s="15"/>
      <c r="I485" s="15" t="s">
        <v>96</v>
      </c>
      <c r="J485" s="7" t="str">
        <f>HYPERLINK("https://www.codechef.com/problems/RAILCTER", "https://www.codechef.com/problems/RAILCTER")</f>
        <v>https://www.codechef.com/problems/RAILCTER</v>
      </c>
      <c r="K485" s="15"/>
      <c r="L485" s="15"/>
      <c r="M485" s="15"/>
      <c r="N485" s="15" t="s">
        <v>50</v>
      </c>
      <c r="O485" s="15" t="s">
        <v>51</v>
      </c>
    </row>
    <row r="486" spans="1:15">
      <c r="A486" s="14" t="s">
        <v>14</v>
      </c>
      <c r="B486" s="14" t="s">
        <v>8092</v>
      </c>
      <c r="C486" s="14" t="s">
        <v>8093</v>
      </c>
      <c r="D486" s="14" t="s">
        <v>8094</v>
      </c>
      <c r="E486" s="14">
        <v>24</v>
      </c>
      <c r="F486" s="14" t="s">
        <v>8138</v>
      </c>
      <c r="G486" s="14" t="s">
        <v>8139</v>
      </c>
      <c r="H486" s="14"/>
      <c r="I486" s="14" t="s">
        <v>322</v>
      </c>
      <c r="J486" s="11" t="str">
        <f>HYPERLINK("https://www.codechef.com/problems/BUFFALOE", "https://www.codechef.com/problems/BUFFALOE")</f>
        <v>https://www.codechef.com/problems/BUFFALOE</v>
      </c>
      <c r="K486" s="14"/>
      <c r="L486" s="14"/>
      <c r="M486" s="14"/>
      <c r="N486" s="14" t="s">
        <v>50</v>
      </c>
      <c r="O486" s="14" t="s">
        <v>51</v>
      </c>
    </row>
    <row r="487" spans="1:15">
      <c r="A487" s="15" t="s">
        <v>14</v>
      </c>
      <c r="B487" s="15" t="s">
        <v>8092</v>
      </c>
      <c r="C487" s="15" t="s">
        <v>8093</v>
      </c>
      <c r="D487" s="15" t="s">
        <v>8094</v>
      </c>
      <c r="E487" s="15">
        <v>25</v>
      </c>
      <c r="F487" s="15" t="s">
        <v>8140</v>
      </c>
      <c r="G487" s="15" t="s">
        <v>8141</v>
      </c>
      <c r="H487" s="15"/>
      <c r="I487" s="15" t="s">
        <v>322</v>
      </c>
      <c r="J487" s="7" t="str">
        <f>HYPERLINK("https://www.codechef.com/problems/BOOKSORT", "https://www.codechef.com/problems/BOOKSORT")</f>
        <v>https://www.codechef.com/problems/BOOKSORT</v>
      </c>
      <c r="K487" s="15"/>
      <c r="L487" s="15"/>
      <c r="M487" s="15"/>
      <c r="N487" s="15" t="s">
        <v>50</v>
      </c>
      <c r="O487" s="15" t="s">
        <v>51</v>
      </c>
    </row>
    <row r="488" spans="1:15">
      <c r="A488" s="14" t="s">
        <v>14</v>
      </c>
      <c r="B488" s="14" t="s">
        <v>8092</v>
      </c>
      <c r="C488" s="14" t="s">
        <v>8093</v>
      </c>
      <c r="D488" s="14" t="s">
        <v>8094</v>
      </c>
      <c r="E488" s="14">
        <v>26</v>
      </c>
      <c r="F488" s="14" t="s">
        <v>8142</v>
      </c>
      <c r="G488" s="14" t="s">
        <v>8143</v>
      </c>
      <c r="H488" s="14"/>
      <c r="I488" s="14" t="s">
        <v>96</v>
      </c>
      <c r="J488" s="11" t="str">
        <f>HYPERLINK("https://www.codechef.com/problems/TIMBER", "https://www.codechef.com/problems/TIMBER")</f>
        <v>https://www.codechef.com/problems/TIMBER</v>
      </c>
      <c r="K488" s="14"/>
      <c r="L488" s="14"/>
      <c r="M488" s="14"/>
      <c r="N488" s="14" t="s">
        <v>50</v>
      </c>
      <c r="O488" s="14" t="s">
        <v>51</v>
      </c>
    </row>
    <row r="489" spans="1:15">
      <c r="A489" s="15" t="s">
        <v>14</v>
      </c>
      <c r="B489" s="15" t="s">
        <v>8092</v>
      </c>
      <c r="C489" s="15" t="s">
        <v>8093</v>
      </c>
      <c r="D489" s="15" t="s">
        <v>8094</v>
      </c>
      <c r="E489" s="15">
        <v>27</v>
      </c>
      <c r="F489" s="15" t="s">
        <v>8144</v>
      </c>
      <c r="G489" s="15" t="s">
        <v>8145</v>
      </c>
      <c r="H489" s="15"/>
      <c r="I489" s="15" t="s">
        <v>322</v>
      </c>
      <c r="J489" s="7" t="str">
        <f>HYPERLINK("https://www.codechef.com/problems/DRAWFIX", "https://www.codechef.com/problems/DRAWFIX")</f>
        <v>https://www.codechef.com/problems/DRAWFIX</v>
      </c>
      <c r="K489" s="15"/>
      <c r="L489" s="15"/>
      <c r="M489" s="15"/>
      <c r="N489" s="15" t="s">
        <v>50</v>
      </c>
      <c r="O489" s="15" t="s">
        <v>51</v>
      </c>
    </row>
    <row r="490" spans="1:15">
      <c r="A490" s="14" t="s">
        <v>14</v>
      </c>
      <c r="B490" s="14" t="s">
        <v>8092</v>
      </c>
      <c r="C490" s="14" t="s">
        <v>8093</v>
      </c>
      <c r="D490" s="14" t="s">
        <v>8094</v>
      </c>
      <c r="E490" s="14">
        <v>28</v>
      </c>
      <c r="F490" s="14" t="s">
        <v>8146</v>
      </c>
      <c r="G490" s="14" t="s">
        <v>8147</v>
      </c>
      <c r="H490" s="14"/>
      <c r="I490" s="14" t="s">
        <v>322</v>
      </c>
      <c r="J490" s="11" t="str">
        <f>HYPERLINK("https://www.codechef.com/problems/CRITINTS", "https://www.codechef.com/problems/CRITINTS")</f>
        <v>https://www.codechef.com/problems/CRITINTS</v>
      </c>
      <c r="K490" s="14"/>
      <c r="L490" s="14"/>
      <c r="M490" s="14"/>
      <c r="N490" s="14" t="s">
        <v>50</v>
      </c>
      <c r="O490" s="14" t="s">
        <v>51</v>
      </c>
    </row>
    <row r="491" spans="1:15">
      <c r="A491" s="15" t="s">
        <v>14</v>
      </c>
      <c r="B491" s="15" t="s">
        <v>8092</v>
      </c>
      <c r="C491" s="15" t="s">
        <v>8093</v>
      </c>
      <c r="D491" s="15" t="s">
        <v>8094</v>
      </c>
      <c r="E491" s="15">
        <v>29</v>
      </c>
      <c r="F491" s="15" t="s">
        <v>8148</v>
      </c>
      <c r="G491" s="15" t="s">
        <v>8149</v>
      </c>
      <c r="H491" s="15"/>
      <c r="I491" s="15" t="s">
        <v>322</v>
      </c>
      <c r="J491" s="7" t="str">
        <f>HYPERLINK("https://www.codechef.com/problems/CATERCON", "https://www.codechef.com/problems/CATERCON")</f>
        <v>https://www.codechef.com/problems/CATERCON</v>
      </c>
      <c r="K491" s="15"/>
      <c r="L491" s="15"/>
      <c r="M491" s="15"/>
      <c r="N491" s="15" t="s">
        <v>50</v>
      </c>
      <c r="O491" s="15" t="s">
        <v>51</v>
      </c>
    </row>
    <row r="492" spans="1:15">
      <c r="A492" s="14" t="s">
        <v>14</v>
      </c>
      <c r="B492" s="14" t="s">
        <v>8092</v>
      </c>
      <c r="C492" s="14" t="s">
        <v>8093</v>
      </c>
      <c r="D492" s="14" t="s">
        <v>8094</v>
      </c>
      <c r="E492" s="14">
        <v>30</v>
      </c>
      <c r="F492" s="14" t="s">
        <v>8150</v>
      </c>
      <c r="G492" s="14" t="s">
        <v>8151</v>
      </c>
      <c r="H492" s="14"/>
      <c r="I492" s="14" t="s">
        <v>322</v>
      </c>
      <c r="J492" s="11" t="str">
        <f>HYPERLINK("https://www.codechef.com/problems/LEAFEAT", "https://www.codechef.com/problems/LEAFEAT")</f>
        <v>https://www.codechef.com/problems/LEAFEAT</v>
      </c>
      <c r="K492" s="14"/>
      <c r="L492" s="14"/>
      <c r="M492" s="14"/>
      <c r="N492" s="14" t="s">
        <v>50</v>
      </c>
      <c r="O492" s="14" t="s">
        <v>51</v>
      </c>
    </row>
    <row r="493" spans="1:15">
      <c r="A493" s="15" t="s">
        <v>14</v>
      </c>
      <c r="B493" s="15" t="s">
        <v>8092</v>
      </c>
      <c r="C493" s="15" t="s">
        <v>8093</v>
      </c>
      <c r="D493" s="15" t="s">
        <v>8094</v>
      </c>
      <c r="E493" s="15">
        <v>31</v>
      </c>
      <c r="F493" s="15" t="s">
        <v>8152</v>
      </c>
      <c r="G493" s="15" t="s">
        <v>8153</v>
      </c>
      <c r="H493" s="15"/>
      <c r="I493" s="15" t="s">
        <v>322</v>
      </c>
      <c r="J493" s="7" t="str">
        <f>HYPERLINK("https://www.codechef.com/problems/TASKFRCE", "https://www.codechef.com/problems/TASKFRCE")</f>
        <v>https://www.codechef.com/problems/TASKFRCE</v>
      </c>
      <c r="K493" s="15"/>
      <c r="L493" s="15"/>
      <c r="M493" s="15"/>
      <c r="N493" s="15" t="s">
        <v>50</v>
      </c>
      <c r="O493" s="15" t="s">
        <v>51</v>
      </c>
    </row>
    <row r="494" spans="1:15">
      <c r="A494" s="14" t="s">
        <v>14</v>
      </c>
      <c r="B494" s="14" t="s">
        <v>8092</v>
      </c>
      <c r="C494" s="14" t="s">
        <v>8093</v>
      </c>
      <c r="D494" s="14" t="s">
        <v>8094</v>
      </c>
      <c r="E494" s="14">
        <v>32</v>
      </c>
      <c r="F494" s="14" t="s">
        <v>8154</v>
      </c>
      <c r="G494" s="14" t="s">
        <v>8155</v>
      </c>
      <c r="H494" s="14"/>
      <c r="I494" s="14" t="s">
        <v>322</v>
      </c>
      <c r="J494" s="11" t="str">
        <f>HYPERLINK("https://www.codechef.com/problems/WORDHOP", "https://www.codechef.com/problems/WORDHOP")</f>
        <v>https://www.codechef.com/problems/WORDHOP</v>
      </c>
      <c r="K494" s="14"/>
      <c r="L494" s="14"/>
      <c r="M494" s="14"/>
      <c r="N494" s="14" t="s">
        <v>50</v>
      </c>
      <c r="O494" s="14" t="s">
        <v>51</v>
      </c>
    </row>
    <row r="495" spans="1:15">
      <c r="A495" s="15" t="s">
        <v>14</v>
      </c>
      <c r="B495" s="15" t="s">
        <v>8092</v>
      </c>
      <c r="C495" s="15" t="s">
        <v>8093</v>
      </c>
      <c r="D495" s="15" t="s">
        <v>8094</v>
      </c>
      <c r="E495" s="15">
        <v>33</v>
      </c>
      <c r="F495" s="15" t="s">
        <v>8156</v>
      </c>
      <c r="G495" s="15" t="s">
        <v>8157</v>
      </c>
      <c r="H495" s="15"/>
      <c r="I495" s="15" t="s">
        <v>322</v>
      </c>
      <c r="J495" s="7" t="str">
        <f>HYPERLINK("https://www.codechef.com/problems/HISPDNET", "https://www.codechef.com/problems/HISPDNET")</f>
        <v>https://www.codechef.com/problems/HISPDNET</v>
      </c>
      <c r="K495" s="15"/>
      <c r="L495" s="15"/>
      <c r="M495" s="15"/>
      <c r="N495" s="15" t="s">
        <v>50</v>
      </c>
      <c r="O495" s="15" t="s">
        <v>51</v>
      </c>
    </row>
    <row r="496" spans="1:15">
      <c r="A496" s="14" t="s">
        <v>14</v>
      </c>
      <c r="B496" s="14" t="s">
        <v>8092</v>
      </c>
      <c r="C496" s="14" t="s">
        <v>8093</v>
      </c>
      <c r="D496" s="14" t="s">
        <v>8094</v>
      </c>
      <c r="E496" s="14">
        <v>34</v>
      </c>
      <c r="F496" s="14" t="s">
        <v>8158</v>
      </c>
      <c r="G496" s="14" t="s">
        <v>8159</v>
      </c>
      <c r="H496" s="14"/>
      <c r="I496" s="14" t="s">
        <v>96</v>
      </c>
      <c r="J496" s="11" t="str">
        <f>HYPERLINK("https://www.codechef.com/problems/MEDUVADA", "https://www.codechef.com/problems/MEDUVADA")</f>
        <v>https://www.codechef.com/problems/MEDUVADA</v>
      </c>
      <c r="K496" s="14"/>
      <c r="L496" s="14"/>
      <c r="M496" s="14"/>
      <c r="N496" s="14" t="s">
        <v>50</v>
      </c>
      <c r="O496" s="14" t="s">
        <v>51</v>
      </c>
    </row>
    <row r="497" spans="1:15">
      <c r="A497" s="15" t="s">
        <v>14</v>
      </c>
      <c r="B497" s="15" t="s">
        <v>8092</v>
      </c>
      <c r="C497" s="15" t="s">
        <v>8093</v>
      </c>
      <c r="D497" s="15" t="s">
        <v>8094</v>
      </c>
      <c r="E497" s="15">
        <v>35</v>
      </c>
      <c r="F497" s="15" t="s">
        <v>8160</v>
      </c>
      <c r="G497" s="15" t="s">
        <v>8161</v>
      </c>
      <c r="H497" s="15"/>
      <c r="I497" s="15" t="s">
        <v>322</v>
      </c>
      <c r="J497" s="7" t="str">
        <f>HYPERLINK("https://www.codechef.com/problems/TREAHUNT", "https://www.codechef.com/problems/TREAHUNT")</f>
        <v>https://www.codechef.com/problems/TREAHUNT</v>
      </c>
      <c r="K497" s="15"/>
      <c r="L497" s="15"/>
      <c r="M497" s="15"/>
      <c r="N497" s="15" t="s">
        <v>50</v>
      </c>
      <c r="O497" s="15" t="s">
        <v>51</v>
      </c>
    </row>
    <row r="498" spans="1:15">
      <c r="A498" s="14" t="s">
        <v>14</v>
      </c>
      <c r="B498" s="14" t="s">
        <v>8092</v>
      </c>
      <c r="C498" s="14" t="s">
        <v>8093</v>
      </c>
      <c r="D498" s="14" t="s">
        <v>8094</v>
      </c>
      <c r="E498" s="14">
        <v>36</v>
      </c>
      <c r="F498" s="14" t="s">
        <v>8162</v>
      </c>
      <c r="G498" s="14" t="s">
        <v>8163</v>
      </c>
      <c r="H498" s="14"/>
      <c r="I498" s="14" t="s">
        <v>322</v>
      </c>
      <c r="J498" s="11" t="str">
        <f>HYPERLINK("https://www.codechef.com/problems/RANKFRAD", "https://www.codechef.com/problems/RANKFRAD")</f>
        <v>https://www.codechef.com/problems/RANKFRAD</v>
      </c>
      <c r="K498" s="14"/>
      <c r="L498" s="14"/>
      <c r="M498" s="14"/>
      <c r="N498" s="14" t="s">
        <v>50</v>
      </c>
      <c r="O498" s="14" t="s">
        <v>51</v>
      </c>
    </row>
    <row r="499" spans="1:15">
      <c r="A499" s="15" t="s">
        <v>14</v>
      </c>
      <c r="B499" s="15" t="s">
        <v>8092</v>
      </c>
      <c r="C499" s="15" t="s">
        <v>8093</v>
      </c>
      <c r="D499" s="15" t="s">
        <v>8094</v>
      </c>
      <c r="E499" s="15">
        <v>37</v>
      </c>
      <c r="F499" s="15" t="s">
        <v>8164</v>
      </c>
      <c r="G499" s="15" t="s">
        <v>8165</v>
      </c>
      <c r="H499" s="15"/>
      <c r="I499" s="15" t="s">
        <v>322</v>
      </c>
      <c r="J499" s="7" t="str">
        <f>HYPERLINK("https://www.codechef.com/problems/METRO", "https://www.codechef.com/problems/METRO")</f>
        <v>https://www.codechef.com/problems/METRO</v>
      </c>
      <c r="K499" s="15"/>
      <c r="L499" s="15"/>
      <c r="M499" s="15"/>
      <c r="N499" s="15" t="s">
        <v>50</v>
      </c>
      <c r="O499" s="15" t="s">
        <v>51</v>
      </c>
    </row>
    <row r="500" spans="1:15">
      <c r="A500" s="14" t="s">
        <v>14</v>
      </c>
      <c r="B500" s="14" t="s">
        <v>8092</v>
      </c>
      <c r="C500" s="14" t="s">
        <v>8093</v>
      </c>
      <c r="D500" s="14" t="s">
        <v>8094</v>
      </c>
      <c r="E500" s="14">
        <v>38</v>
      </c>
      <c r="F500" s="14" t="s">
        <v>8166</v>
      </c>
      <c r="G500" s="14" t="s">
        <v>8167</v>
      </c>
      <c r="H500" s="14"/>
      <c r="I500" s="14" t="s">
        <v>322</v>
      </c>
      <c r="J500" s="11" t="str">
        <f>HYPERLINK("https://www.codechef.com/problems/DEVIOUS", "https://www.codechef.com/problems/DEVIOUS")</f>
        <v>https://www.codechef.com/problems/DEVIOUS</v>
      </c>
      <c r="K500" s="14"/>
      <c r="L500" s="14"/>
      <c r="M500" s="14"/>
      <c r="N500" s="14" t="s">
        <v>50</v>
      </c>
      <c r="O500" s="14" t="s">
        <v>51</v>
      </c>
    </row>
    <row r="501" spans="1:15">
      <c r="A501" s="15" t="s">
        <v>14</v>
      </c>
      <c r="B501" s="15" t="s">
        <v>8092</v>
      </c>
      <c r="C501" s="15" t="s">
        <v>8093</v>
      </c>
      <c r="D501" s="15" t="s">
        <v>8094</v>
      </c>
      <c r="E501" s="15">
        <v>39</v>
      </c>
      <c r="F501" s="15" t="s">
        <v>8168</v>
      </c>
      <c r="G501" s="15" t="s">
        <v>8169</v>
      </c>
      <c r="H501" s="15"/>
      <c r="I501" s="15" t="s">
        <v>322</v>
      </c>
      <c r="J501" s="7" t="str">
        <f>HYPERLINK("https://www.codechef.com/problems/APUZZLE", "https://www.codechef.com/problems/APUZZLE")</f>
        <v>https://www.codechef.com/problems/APUZZLE</v>
      </c>
      <c r="K501" s="15"/>
      <c r="L501" s="15"/>
      <c r="M501" s="15"/>
      <c r="N501" s="15" t="s">
        <v>50</v>
      </c>
      <c r="O501" s="15" t="s">
        <v>51</v>
      </c>
    </row>
    <row r="502" spans="1:15">
      <c r="A502" s="14" t="s">
        <v>14</v>
      </c>
      <c r="B502" s="14" t="s">
        <v>8092</v>
      </c>
      <c r="C502" s="14" t="s">
        <v>8093</v>
      </c>
      <c r="D502" s="14" t="s">
        <v>8094</v>
      </c>
      <c r="E502" s="14">
        <v>40</v>
      </c>
      <c r="F502" s="14" t="s">
        <v>8170</v>
      </c>
      <c r="G502" s="14" t="s">
        <v>8171</v>
      </c>
      <c r="H502" s="14"/>
      <c r="I502" s="14" t="s">
        <v>322</v>
      </c>
      <c r="J502" s="11" t="str">
        <f>HYPERLINK("https://www.codechef.com/problems/NUMTRIPL", "https://www.codechef.com/problems/NUMTRIPL")</f>
        <v>https://www.codechef.com/problems/NUMTRIPL</v>
      </c>
      <c r="K502" s="14"/>
      <c r="L502" s="14"/>
      <c r="M502" s="14"/>
      <c r="N502" s="14" t="s">
        <v>50</v>
      </c>
      <c r="O502" s="14" t="s">
        <v>51</v>
      </c>
    </row>
    <row r="503" spans="1:15">
      <c r="A503" s="15" t="s">
        <v>14</v>
      </c>
      <c r="B503" s="15" t="s">
        <v>8092</v>
      </c>
      <c r="C503" s="15" t="s">
        <v>8093</v>
      </c>
      <c r="D503" s="15" t="s">
        <v>8094</v>
      </c>
      <c r="E503" s="15">
        <v>41</v>
      </c>
      <c r="F503" s="15" t="s">
        <v>8172</v>
      </c>
      <c r="G503" s="15" t="s">
        <v>8173</v>
      </c>
      <c r="H503" s="15"/>
      <c r="I503" s="15" t="s">
        <v>322</v>
      </c>
      <c r="J503" s="7" t="str">
        <f>HYPERLINK("https://www.codechef.com/problems/EXPT", "https://www.codechef.com/problems/EXPT")</f>
        <v>https://www.codechef.com/problems/EXPT</v>
      </c>
      <c r="K503" s="15"/>
      <c r="L503" s="15"/>
      <c r="M503" s="15"/>
      <c r="N503" s="15" t="s">
        <v>50</v>
      </c>
      <c r="O503" s="15" t="s">
        <v>51</v>
      </c>
    </row>
    <row r="504" spans="1:15">
      <c r="A504" s="14" t="s">
        <v>14</v>
      </c>
      <c r="B504" s="14" t="s">
        <v>8092</v>
      </c>
      <c r="C504" s="14" t="s">
        <v>8093</v>
      </c>
      <c r="D504" s="14" t="s">
        <v>8094</v>
      </c>
      <c r="E504" s="14">
        <v>42</v>
      </c>
      <c r="F504" s="14" t="s">
        <v>8174</v>
      </c>
      <c r="G504" s="14" t="s">
        <v>8175</v>
      </c>
      <c r="H504" s="14"/>
      <c r="I504" s="14" t="s">
        <v>322</v>
      </c>
      <c r="J504" s="11" t="str">
        <f>HYPERLINK("https://www.codechef.com/problems/NUMROUTE", "https://www.codechef.com/problems/NUMROUTE")</f>
        <v>https://www.codechef.com/problems/NUMROUTE</v>
      </c>
      <c r="K504" s="14"/>
      <c r="L504" s="14"/>
      <c r="M504" s="14"/>
      <c r="N504" s="14" t="s">
        <v>50</v>
      </c>
      <c r="O504" s="14" t="s">
        <v>51</v>
      </c>
    </row>
    <row r="505" spans="1:15">
      <c r="A505" s="15" t="s">
        <v>14</v>
      </c>
      <c r="B505" s="15" t="s">
        <v>8092</v>
      </c>
      <c r="C505" s="15" t="s">
        <v>8093</v>
      </c>
      <c r="D505" s="15" t="s">
        <v>8094</v>
      </c>
      <c r="E505" s="15">
        <v>43</v>
      </c>
      <c r="F505" s="15" t="s">
        <v>8176</v>
      </c>
      <c r="G505" s="15" t="s">
        <v>8177</v>
      </c>
      <c r="H505" s="15"/>
      <c r="I505" s="15" t="s">
        <v>322</v>
      </c>
      <c r="J505" s="7" t="str">
        <f>HYPERLINK("https://www.codechef.com/problems/MINTURN", "https://www.codechef.com/problems/MINTURN")</f>
        <v>https://www.codechef.com/problems/MINTURN</v>
      </c>
      <c r="K505" s="15"/>
      <c r="L505" s="15"/>
      <c r="M505" s="15"/>
      <c r="N505" s="15" t="s">
        <v>50</v>
      </c>
      <c r="O505" s="15" t="s">
        <v>51</v>
      </c>
    </row>
    <row r="506" spans="1:15">
      <c r="A506" s="14" t="s">
        <v>14</v>
      </c>
      <c r="B506" s="14" t="s">
        <v>8092</v>
      </c>
      <c r="C506" s="14" t="s">
        <v>8093</v>
      </c>
      <c r="D506" s="14" t="s">
        <v>8094</v>
      </c>
      <c r="E506" s="14">
        <v>44</v>
      </c>
      <c r="F506" s="14" t="s">
        <v>8178</v>
      </c>
      <c r="G506" s="14" t="s">
        <v>8179</v>
      </c>
      <c r="H506" s="14"/>
      <c r="I506" s="14" t="s">
        <v>322</v>
      </c>
      <c r="J506" s="11" t="str">
        <f>HYPERLINK("https://www.codechef.com/problems/SPLIT3", "https://www.codechef.com/problems/SPLIT3")</f>
        <v>https://www.codechef.com/problems/SPLIT3</v>
      </c>
      <c r="K506" s="14"/>
      <c r="L506" s="14"/>
      <c r="M506" s="14"/>
      <c r="N506" s="14" t="s">
        <v>50</v>
      </c>
      <c r="O506" s="14" t="s">
        <v>51</v>
      </c>
    </row>
    <row r="507" spans="1:15">
      <c r="A507" s="15" t="s">
        <v>14</v>
      </c>
      <c r="B507" s="15" t="s">
        <v>8092</v>
      </c>
      <c r="C507" s="15" t="s">
        <v>8093</v>
      </c>
      <c r="D507" s="15" t="s">
        <v>8180</v>
      </c>
      <c r="E507" s="15">
        <v>45</v>
      </c>
      <c r="F507" s="15" t="s">
        <v>8181</v>
      </c>
      <c r="G507" s="15" t="s">
        <v>8182</v>
      </c>
      <c r="H507" s="15"/>
      <c r="I507" s="15" t="s">
        <v>96</v>
      </c>
      <c r="J507" s="7" t="str">
        <f>HYPERLINK("https://www.codechef.com/problems/ZCO14003", "https://www.codechef.com/problems/ZCO14003")</f>
        <v>https://www.codechef.com/problems/ZCO14003</v>
      </c>
      <c r="K507" s="15"/>
      <c r="L507" s="15"/>
      <c r="M507" s="15"/>
      <c r="N507" s="15" t="s">
        <v>50</v>
      </c>
      <c r="O507" s="15" t="s">
        <v>51</v>
      </c>
    </row>
    <row r="508" spans="1:15">
      <c r="A508" s="14" t="s">
        <v>14</v>
      </c>
      <c r="B508" s="14" t="s">
        <v>8092</v>
      </c>
      <c r="C508" s="14" t="s">
        <v>8093</v>
      </c>
      <c r="D508" s="14" t="s">
        <v>8180</v>
      </c>
      <c r="E508" s="14">
        <v>46</v>
      </c>
      <c r="F508" s="14" t="s">
        <v>8183</v>
      </c>
      <c r="G508" s="14" t="s">
        <v>8184</v>
      </c>
      <c r="H508" s="14"/>
      <c r="I508" s="14" t="s">
        <v>96</v>
      </c>
      <c r="J508" s="11" t="str">
        <f>HYPERLINK("https://www.codechef.com/problems/ZCO14001", "https://www.codechef.com/problems/ZCO14001")</f>
        <v>https://www.codechef.com/problems/ZCO14001</v>
      </c>
      <c r="K508" s="14"/>
      <c r="L508" s="14"/>
      <c r="M508" s="14"/>
      <c r="N508" s="14" t="s">
        <v>50</v>
      </c>
      <c r="O508" s="14" t="s">
        <v>51</v>
      </c>
    </row>
    <row r="509" spans="1:15">
      <c r="A509" s="15" t="s">
        <v>14</v>
      </c>
      <c r="B509" s="15" t="s">
        <v>8092</v>
      </c>
      <c r="C509" s="15" t="s">
        <v>8093</v>
      </c>
      <c r="D509" s="15" t="s">
        <v>8180</v>
      </c>
      <c r="E509" s="15">
        <v>47</v>
      </c>
      <c r="F509" s="15" t="s">
        <v>8185</v>
      </c>
      <c r="G509" s="15" t="s">
        <v>8186</v>
      </c>
      <c r="H509" s="15"/>
      <c r="I509" s="15" t="s">
        <v>96</v>
      </c>
      <c r="J509" s="7" t="str">
        <f>HYPERLINK("https://www.codechef.com/problems/ZCO15002", "https://www.codechef.com/problems/ZCO15002")</f>
        <v>https://www.codechef.com/problems/ZCO15002</v>
      </c>
      <c r="K509" s="15"/>
      <c r="L509" s="15"/>
      <c r="M509" s="15"/>
      <c r="N509" s="15" t="s">
        <v>50</v>
      </c>
      <c r="O509" s="15" t="s">
        <v>51</v>
      </c>
    </row>
    <row r="510" spans="1:15">
      <c r="A510" s="14" t="s">
        <v>14</v>
      </c>
      <c r="B510" s="14" t="s">
        <v>8092</v>
      </c>
      <c r="C510" s="14" t="s">
        <v>8093</v>
      </c>
      <c r="D510" s="14" t="s">
        <v>8180</v>
      </c>
      <c r="E510" s="14">
        <v>48</v>
      </c>
      <c r="F510" s="14" t="s">
        <v>8187</v>
      </c>
      <c r="G510" s="14" t="s">
        <v>8188</v>
      </c>
      <c r="H510" s="14"/>
      <c r="I510" s="14" t="s">
        <v>96</v>
      </c>
      <c r="J510" s="11" t="str">
        <f>HYPERLINK("https://www.codechef.com/problems/ZCO13001", "https://www.codechef.com/problems/ZCO13001")</f>
        <v>https://www.codechef.com/problems/ZCO13001</v>
      </c>
      <c r="K510" s="14"/>
      <c r="L510" s="14"/>
      <c r="M510" s="14"/>
      <c r="N510" s="14" t="s">
        <v>50</v>
      </c>
      <c r="O510" s="14" t="s">
        <v>51</v>
      </c>
    </row>
    <row r="511" spans="1:15">
      <c r="A511" s="15" t="s">
        <v>14</v>
      </c>
      <c r="B511" s="15" t="s">
        <v>8092</v>
      </c>
      <c r="C511" s="15" t="s">
        <v>8093</v>
      </c>
      <c r="D511" s="15" t="s">
        <v>8180</v>
      </c>
      <c r="E511" s="15">
        <v>49</v>
      </c>
      <c r="F511" s="15" t="s">
        <v>8189</v>
      </c>
      <c r="G511" s="15" t="s">
        <v>8190</v>
      </c>
      <c r="H511" s="15"/>
      <c r="I511" s="15" t="s">
        <v>96</v>
      </c>
      <c r="J511" s="7" t="str">
        <f>HYPERLINK("https://www.codechef.com/problems/ZCO12001", "https://www.codechef.com/problems/ZCO12001")</f>
        <v>https://www.codechef.com/problems/ZCO12001</v>
      </c>
      <c r="K511" s="15"/>
      <c r="L511" s="15"/>
      <c r="M511" s="15"/>
      <c r="N511" s="15" t="s">
        <v>50</v>
      </c>
      <c r="O511" s="15" t="s">
        <v>51</v>
      </c>
    </row>
    <row r="512" spans="1:15">
      <c r="A512" s="14" t="s">
        <v>14</v>
      </c>
      <c r="B512" s="14" t="s">
        <v>8092</v>
      </c>
      <c r="C512" s="14" t="s">
        <v>8093</v>
      </c>
      <c r="D512" s="14" t="s">
        <v>8180</v>
      </c>
      <c r="E512" s="14">
        <v>50</v>
      </c>
      <c r="F512" s="14" t="s">
        <v>1142</v>
      </c>
      <c r="G512" s="14" t="s">
        <v>1143</v>
      </c>
      <c r="H512" s="14"/>
      <c r="I512" s="14" t="s">
        <v>96</v>
      </c>
      <c r="J512" s="11" t="str">
        <f>HYPERLINK("https://www.codechef.com/problems/ZCO14002", "https://www.codechef.com/problems/ZCO14002")</f>
        <v>https://www.codechef.com/problems/ZCO14002</v>
      </c>
      <c r="K512" s="14"/>
      <c r="L512" s="14"/>
      <c r="M512" s="14"/>
      <c r="N512" s="14" t="s">
        <v>50</v>
      </c>
      <c r="O512" s="14" t="s">
        <v>51</v>
      </c>
    </row>
    <row r="513" spans="1:15">
      <c r="A513" s="15" t="s">
        <v>14</v>
      </c>
      <c r="B513" s="15" t="s">
        <v>8092</v>
      </c>
      <c r="C513" s="15" t="s">
        <v>8093</v>
      </c>
      <c r="D513" s="15" t="s">
        <v>8180</v>
      </c>
      <c r="E513" s="15">
        <v>51</v>
      </c>
      <c r="F513" s="15" t="s">
        <v>1144</v>
      </c>
      <c r="G513" s="15" t="s">
        <v>1145</v>
      </c>
      <c r="H513" s="15"/>
      <c r="I513" s="15" t="s">
        <v>322</v>
      </c>
      <c r="J513" s="7" t="str">
        <f>HYPERLINK("https://www.codechef.com/problems/ZCO14004", "https://www.codechef.com/problems/ZCO14004")</f>
        <v>https://www.codechef.com/problems/ZCO14004</v>
      </c>
      <c r="K513" s="15"/>
      <c r="L513" s="15"/>
      <c r="M513" s="15"/>
      <c r="N513" s="15" t="s">
        <v>50</v>
      </c>
      <c r="O513" s="15" t="s">
        <v>51</v>
      </c>
    </row>
    <row r="514" spans="1:15">
      <c r="A514" s="14" t="s">
        <v>14</v>
      </c>
      <c r="B514" s="14" t="s">
        <v>8092</v>
      </c>
      <c r="C514" s="14" t="s">
        <v>8093</v>
      </c>
      <c r="D514" s="14" t="s">
        <v>8180</v>
      </c>
      <c r="E514" s="14">
        <v>52</v>
      </c>
      <c r="F514" s="14" t="s">
        <v>8191</v>
      </c>
      <c r="G514" s="14" t="s">
        <v>8192</v>
      </c>
      <c r="H514" s="14"/>
      <c r="I514" s="14" t="s">
        <v>96</v>
      </c>
      <c r="J514" s="11" t="str">
        <f>HYPERLINK("https://www.codechef.com/problems/ZCO13003", "https://www.codechef.com/problems/ZCO13003")</f>
        <v>https://www.codechef.com/problems/ZCO13003</v>
      </c>
      <c r="K514" s="14"/>
      <c r="L514" s="14"/>
      <c r="M514" s="14"/>
      <c r="N514" s="14" t="s">
        <v>50</v>
      </c>
      <c r="O514" s="14" t="s">
        <v>51</v>
      </c>
    </row>
    <row r="515" spans="1:15">
      <c r="A515" s="15" t="s">
        <v>14</v>
      </c>
      <c r="B515" s="15" t="s">
        <v>8092</v>
      </c>
      <c r="C515" s="15" t="s">
        <v>8093</v>
      </c>
      <c r="D515" s="15" t="s">
        <v>8180</v>
      </c>
      <c r="E515" s="15">
        <v>53</v>
      </c>
      <c r="F515" s="15" t="s">
        <v>8193</v>
      </c>
      <c r="G515" s="15" t="s">
        <v>8194</v>
      </c>
      <c r="H515" s="15"/>
      <c r="I515" s="15" t="s">
        <v>322</v>
      </c>
      <c r="J515" s="7" t="str">
        <f>HYPERLINK("https://www.codechef.com/problems/ZCO12004", "https://www.codechef.com/problems/ZCO12004")</f>
        <v>https://www.codechef.com/problems/ZCO12004</v>
      </c>
      <c r="K515" s="15"/>
      <c r="L515" s="15"/>
      <c r="M515" s="15"/>
      <c r="N515" s="15" t="s">
        <v>50</v>
      </c>
      <c r="O515" s="15" t="s">
        <v>51</v>
      </c>
    </row>
    <row r="516" spans="1:15">
      <c r="A516" s="14" t="s">
        <v>14</v>
      </c>
      <c r="B516" s="14" t="s">
        <v>8092</v>
      </c>
      <c r="C516" s="14" t="s">
        <v>8093</v>
      </c>
      <c r="D516" s="14" t="s">
        <v>8180</v>
      </c>
      <c r="E516" s="14">
        <v>54</v>
      </c>
      <c r="F516" s="14" t="s">
        <v>8195</v>
      </c>
      <c r="G516" s="14" t="s">
        <v>8196</v>
      </c>
      <c r="H516" s="14"/>
      <c r="I516" s="14" t="s">
        <v>322</v>
      </c>
      <c r="J516" s="11" t="str">
        <f>HYPERLINK("https://www.codechef.com/problems/ZCO12002", "https://www.codechef.com/problems/ZCO12002")</f>
        <v>https://www.codechef.com/problems/ZCO12002</v>
      </c>
      <c r="K516" s="14"/>
      <c r="L516" s="14"/>
      <c r="M516" s="14"/>
      <c r="N516" s="14" t="s">
        <v>50</v>
      </c>
      <c r="O516" s="14" t="s">
        <v>51</v>
      </c>
    </row>
    <row r="517" spans="1:15">
      <c r="A517" s="15" t="s">
        <v>14</v>
      </c>
      <c r="B517" s="15" t="s">
        <v>8092</v>
      </c>
      <c r="C517" s="15" t="s">
        <v>8093</v>
      </c>
      <c r="D517" s="15" t="s">
        <v>8180</v>
      </c>
      <c r="E517" s="15">
        <v>55</v>
      </c>
      <c r="F517" s="15" t="s">
        <v>1148</v>
      </c>
      <c r="G517" s="15" t="s">
        <v>1149</v>
      </c>
      <c r="H517" s="15"/>
      <c r="I517" s="15" t="s">
        <v>322</v>
      </c>
      <c r="J517" s="7" t="str">
        <f>HYPERLINK("https://www.codechef.com/problems/ZCO15001", "https://www.codechef.com/problems/ZCO15001")</f>
        <v>https://www.codechef.com/problems/ZCO15001</v>
      </c>
      <c r="K517" s="15"/>
      <c r="L517" s="15"/>
      <c r="M517" s="15"/>
      <c r="N517" s="15" t="s">
        <v>50</v>
      </c>
      <c r="O517" s="15" t="s">
        <v>51</v>
      </c>
    </row>
    <row r="518" spans="1:15">
      <c r="A518" s="14" t="s">
        <v>14</v>
      </c>
      <c r="B518" s="14" t="s">
        <v>8092</v>
      </c>
      <c r="C518" s="14" t="s">
        <v>8093</v>
      </c>
      <c r="D518" s="14" t="s">
        <v>8180</v>
      </c>
      <c r="E518" s="14">
        <v>56</v>
      </c>
      <c r="F518" s="14" t="s">
        <v>8197</v>
      </c>
      <c r="G518" s="14" t="s">
        <v>8198</v>
      </c>
      <c r="H518" s="14"/>
      <c r="I518" s="14" t="s">
        <v>322</v>
      </c>
      <c r="J518" s="11" t="str">
        <f>HYPERLINK("https://www.codechef.com/problems/ZCO16001", "https://www.codechef.com/problems/ZCO16001")</f>
        <v>https://www.codechef.com/problems/ZCO16001</v>
      </c>
      <c r="K518" s="14"/>
      <c r="L518" s="14"/>
      <c r="M518" s="14"/>
      <c r="N518" s="14" t="s">
        <v>50</v>
      </c>
      <c r="O518" s="14" t="s">
        <v>51</v>
      </c>
    </row>
    <row r="519" spans="1:15">
      <c r="A519" s="15" t="s">
        <v>14</v>
      </c>
      <c r="B519" s="15" t="s">
        <v>8092</v>
      </c>
      <c r="C519" s="15" t="s">
        <v>8093</v>
      </c>
      <c r="D519" s="15" t="s">
        <v>8180</v>
      </c>
      <c r="E519" s="15">
        <v>57</v>
      </c>
      <c r="F519" s="15" t="s">
        <v>707</v>
      </c>
      <c r="G519" s="15" t="s">
        <v>1053</v>
      </c>
      <c r="H519" s="15" t="s">
        <v>413</v>
      </c>
      <c r="I519" s="15" t="s">
        <v>96</v>
      </c>
      <c r="J519" s="7" t="str">
        <f>HYPERLINK("https://www.codechef.com/problems/ZCO15003", "https://www.codechef.com/problems/ZCO15003")</f>
        <v>https://www.codechef.com/problems/ZCO15003</v>
      </c>
      <c r="K519" s="15"/>
      <c r="L519" s="15"/>
      <c r="M519" s="15"/>
      <c r="N519" s="15" t="s">
        <v>50</v>
      </c>
      <c r="O519" s="15" t="s">
        <v>51</v>
      </c>
    </row>
    <row r="520" spans="1:15">
      <c r="A520" s="14" t="s">
        <v>14</v>
      </c>
      <c r="B520" s="14" t="s">
        <v>8092</v>
      </c>
      <c r="C520" s="14" t="s">
        <v>8093</v>
      </c>
      <c r="D520" s="14" t="s">
        <v>8180</v>
      </c>
      <c r="E520" s="14">
        <v>58</v>
      </c>
      <c r="F520" s="14" t="s">
        <v>1181</v>
      </c>
      <c r="G520" s="14" t="s">
        <v>1182</v>
      </c>
      <c r="H520" s="14"/>
      <c r="I520" s="14" t="s">
        <v>322</v>
      </c>
      <c r="J520" s="11" t="str">
        <f>HYPERLINK("https://www.codechef.com/problems/ZCO16002", "https://www.codechef.com/problems/ZCO16002")</f>
        <v>https://www.codechef.com/problems/ZCO16002</v>
      </c>
      <c r="K520" s="14"/>
      <c r="L520" s="14"/>
      <c r="M520" s="14"/>
      <c r="N520" s="14" t="s">
        <v>50</v>
      </c>
      <c r="O520" s="14" t="s">
        <v>51</v>
      </c>
    </row>
    <row r="521" spans="1:15">
      <c r="A521" s="15" t="s">
        <v>14</v>
      </c>
      <c r="B521" s="15" t="s">
        <v>8092</v>
      </c>
      <c r="C521" s="15" t="s">
        <v>8093</v>
      </c>
      <c r="D521" s="15" t="s">
        <v>8180</v>
      </c>
      <c r="E521" s="15">
        <v>59</v>
      </c>
      <c r="F521" s="15" t="s">
        <v>1189</v>
      </c>
      <c r="G521" s="15" t="s">
        <v>1190</v>
      </c>
      <c r="H521" s="15"/>
      <c r="I521" s="15" t="s">
        <v>322</v>
      </c>
      <c r="J521" s="7" t="str">
        <f>HYPERLINK("https://www.codechef.com/problems/ZCO13002", "https://www.codechef.com/problems/ZCO13002")</f>
        <v>https://www.codechef.com/problems/ZCO13002</v>
      </c>
      <c r="K521" s="15"/>
      <c r="L521" s="15"/>
      <c r="M521" s="15"/>
      <c r="N521" s="15" t="s">
        <v>50</v>
      </c>
      <c r="O521" s="15" t="s">
        <v>51</v>
      </c>
    </row>
    <row r="522" spans="1:15">
      <c r="A522" s="14" t="s">
        <v>14</v>
      </c>
      <c r="B522" s="14" t="s">
        <v>8092</v>
      </c>
      <c r="C522" s="14" t="s">
        <v>8093</v>
      </c>
      <c r="D522" s="14" t="s">
        <v>8180</v>
      </c>
      <c r="E522" s="14">
        <v>60</v>
      </c>
      <c r="F522" s="14" t="s">
        <v>8199</v>
      </c>
      <c r="G522" s="14" t="s">
        <v>8200</v>
      </c>
      <c r="H522" s="14"/>
      <c r="I522" s="14" t="s">
        <v>322</v>
      </c>
      <c r="J522" s="11" t="str">
        <f>HYPERLINK("https://www.codechef.com/problems/ZCO12003", "https://www.codechef.com/problems/ZCO12003")</f>
        <v>https://www.codechef.com/problems/ZCO12003</v>
      </c>
      <c r="K522" s="14"/>
      <c r="L522" s="14"/>
      <c r="M522" s="14"/>
      <c r="N522" s="14" t="s">
        <v>50</v>
      </c>
      <c r="O522" s="14" t="s">
        <v>51</v>
      </c>
    </row>
    <row r="523" spans="1:15">
      <c r="A523" s="15" t="s">
        <v>14</v>
      </c>
      <c r="B523" s="15" t="s">
        <v>8092</v>
      </c>
      <c r="C523" s="15" t="s">
        <v>8093</v>
      </c>
      <c r="D523" s="15" t="s">
        <v>8180</v>
      </c>
      <c r="E523" s="15">
        <v>61</v>
      </c>
      <c r="F523" s="15" t="s">
        <v>2497</v>
      </c>
      <c r="G523" s="15" t="s">
        <v>8201</v>
      </c>
      <c r="H523" s="15"/>
      <c r="I523" s="15" t="s">
        <v>322</v>
      </c>
      <c r="J523" s="7" t="str">
        <f>HYPERLINK("https://www.codechef.com/problems/ZCO15004", "https://www.codechef.com/problems/ZCO15004")</f>
        <v>https://www.codechef.com/problems/ZCO15004</v>
      </c>
      <c r="K523" s="15"/>
      <c r="L523" s="15"/>
      <c r="M523" s="15"/>
      <c r="N523" s="15" t="s">
        <v>50</v>
      </c>
      <c r="O523" s="15" t="s">
        <v>51</v>
      </c>
    </row>
    <row r="524" spans="1:15">
      <c r="A524" s="14" t="s">
        <v>14</v>
      </c>
      <c r="B524" s="14" t="s">
        <v>8092</v>
      </c>
      <c r="C524" s="14" t="s">
        <v>8093</v>
      </c>
      <c r="D524" s="14" t="s">
        <v>8180</v>
      </c>
      <c r="E524" s="14">
        <v>62</v>
      </c>
      <c r="F524" s="14" t="s">
        <v>8202</v>
      </c>
      <c r="G524" s="14" t="s">
        <v>8203</v>
      </c>
      <c r="H524" s="14"/>
      <c r="I524" s="14" t="s">
        <v>322</v>
      </c>
      <c r="J524" s="11" t="str">
        <f>HYPERLINK("https://www.codechef.com/problems/SINGTOUR", "https://www.codechef.com/problems/SINGTOUR")</f>
        <v>https://www.codechef.com/problems/SINGTOUR</v>
      </c>
      <c r="K524" s="14"/>
      <c r="L524" s="14"/>
      <c r="M524" s="14"/>
      <c r="N524" s="14" t="s">
        <v>50</v>
      </c>
      <c r="O524" s="14" t="s">
        <v>51</v>
      </c>
    </row>
    <row r="525" spans="1:15">
      <c r="A525" s="15" t="s">
        <v>14</v>
      </c>
      <c r="B525" s="15" t="s">
        <v>8092</v>
      </c>
      <c r="C525" s="15" t="s">
        <v>8093</v>
      </c>
      <c r="D525" s="15" t="s">
        <v>8180</v>
      </c>
      <c r="E525" s="15">
        <v>63</v>
      </c>
      <c r="F525" s="15" t="s">
        <v>8204</v>
      </c>
      <c r="G525" s="15" t="s">
        <v>8205</v>
      </c>
      <c r="H525" s="15"/>
      <c r="I525" s="15" t="s">
        <v>322</v>
      </c>
      <c r="J525" s="7" t="str">
        <f>HYPERLINK("https://www.codechef.com/problems/ZCO17001", "https://www.codechef.com/problems/ZCO17001")</f>
        <v>https://www.codechef.com/problems/ZCO17001</v>
      </c>
      <c r="K525" s="15"/>
      <c r="L525" s="15"/>
      <c r="M525" s="15"/>
      <c r="N525" s="15" t="s">
        <v>50</v>
      </c>
      <c r="O525" s="15" t="s">
        <v>51</v>
      </c>
    </row>
    <row r="526" spans="1:15">
      <c r="A526" s="14" t="s">
        <v>14</v>
      </c>
      <c r="B526" s="14" t="s">
        <v>8092</v>
      </c>
      <c r="C526" s="14" t="s">
        <v>8093</v>
      </c>
      <c r="D526" s="14" t="s">
        <v>8180</v>
      </c>
      <c r="E526" s="14">
        <v>64</v>
      </c>
      <c r="F526" s="14" t="s">
        <v>8206</v>
      </c>
      <c r="G526" s="14" t="s">
        <v>8207</v>
      </c>
      <c r="H526" s="14"/>
      <c r="I526" s="14" t="s">
        <v>322</v>
      </c>
      <c r="J526" s="11" t="str">
        <f>HYPERLINK("https://www.codechef.com/problems/ZCO22001", "https://www.codechef.com/problems/ZCO22001")</f>
        <v>https://www.codechef.com/problems/ZCO22001</v>
      </c>
      <c r="K526" s="14"/>
      <c r="L526" s="14"/>
      <c r="M526" s="14"/>
      <c r="N526" s="14" t="s">
        <v>50</v>
      </c>
      <c r="O526" s="14" t="s">
        <v>51</v>
      </c>
    </row>
    <row r="527" spans="1:15">
      <c r="A527" s="15" t="s">
        <v>14</v>
      </c>
      <c r="B527" s="15" t="s">
        <v>8092</v>
      </c>
      <c r="C527" s="15" t="s">
        <v>8093</v>
      </c>
      <c r="D527" s="15" t="s">
        <v>8180</v>
      </c>
      <c r="E527" s="15">
        <v>65</v>
      </c>
      <c r="F527" s="15" t="s">
        <v>8208</v>
      </c>
      <c r="G527" s="15" t="s">
        <v>8209</v>
      </c>
      <c r="H527" s="15"/>
      <c r="I527" s="15" t="s">
        <v>322</v>
      </c>
      <c r="J527" s="7" t="str">
        <f>HYPERLINK("https://www.codechef.com/problems/ZCO13004", "https://www.codechef.com/problems/ZCO13004")</f>
        <v>https://www.codechef.com/problems/ZCO13004</v>
      </c>
      <c r="K527" s="15"/>
      <c r="L527" s="15"/>
      <c r="M527" s="15"/>
      <c r="N527" s="15" t="s">
        <v>50</v>
      </c>
      <c r="O527" s="15" t="s">
        <v>51</v>
      </c>
    </row>
    <row r="528" spans="1:15">
      <c r="A528" s="14" t="s">
        <v>14</v>
      </c>
      <c r="B528" s="14" t="s">
        <v>8092</v>
      </c>
      <c r="C528" s="14" t="s">
        <v>8093</v>
      </c>
      <c r="D528" s="14" t="s">
        <v>8180</v>
      </c>
      <c r="E528" s="14">
        <v>66</v>
      </c>
      <c r="F528" s="14" t="s">
        <v>8210</v>
      </c>
      <c r="G528" s="14" t="s">
        <v>8211</v>
      </c>
      <c r="H528" s="14"/>
      <c r="I528" s="14" t="s">
        <v>322</v>
      </c>
      <c r="J528" s="11" t="str">
        <f>HYPERLINK("https://www.codechef.com/problems/MOVINTRL", "https://www.codechef.com/problems/MOVINTRL")</f>
        <v>https://www.codechef.com/problems/MOVINTRL</v>
      </c>
      <c r="K528" s="14"/>
      <c r="L528" s="14"/>
      <c r="M528" s="14"/>
      <c r="N528" s="14" t="s">
        <v>50</v>
      </c>
      <c r="O528" s="14" t="s">
        <v>51</v>
      </c>
    </row>
    <row r="529" spans="1:15">
      <c r="A529" s="15" t="s">
        <v>14</v>
      </c>
      <c r="B529" s="15" t="s">
        <v>8092</v>
      </c>
      <c r="C529" s="15" t="s">
        <v>8093</v>
      </c>
      <c r="D529" s="15" t="s">
        <v>8180</v>
      </c>
      <c r="E529" s="15">
        <v>67</v>
      </c>
      <c r="F529" s="15" t="s">
        <v>8212</v>
      </c>
      <c r="G529" s="15" t="s">
        <v>8213</v>
      </c>
      <c r="H529" s="15"/>
      <c r="I529" s="15" t="s">
        <v>96</v>
      </c>
      <c r="J529" s="7" t="str">
        <f>HYPERLINK("https://www.codechef.com/problems/ZCO20001", "https://www.codechef.com/problems/ZCO20001")</f>
        <v>https://www.codechef.com/problems/ZCO20001</v>
      </c>
      <c r="K529" s="15"/>
      <c r="L529" s="15"/>
      <c r="M529" s="15"/>
      <c r="N529" s="15" t="s">
        <v>50</v>
      </c>
      <c r="O529" s="15" t="s">
        <v>51</v>
      </c>
    </row>
    <row r="530" spans="1:15">
      <c r="A530" s="14" t="s">
        <v>14</v>
      </c>
      <c r="B530" s="14" t="s">
        <v>8092</v>
      </c>
      <c r="C530" s="14" t="s">
        <v>8093</v>
      </c>
      <c r="D530" s="14" t="s">
        <v>8180</v>
      </c>
      <c r="E530" s="14">
        <v>68</v>
      </c>
      <c r="F530" s="14" t="s">
        <v>8214</v>
      </c>
      <c r="G530" s="14" t="s">
        <v>8215</v>
      </c>
      <c r="H530" s="14"/>
      <c r="I530" s="14" t="s">
        <v>322</v>
      </c>
      <c r="J530" s="11" t="str">
        <f>HYPERLINK("https://www.codechef.com/problems/UPDOWSEQ", "https://www.codechef.com/problems/UPDOWSEQ")</f>
        <v>https://www.codechef.com/problems/UPDOWSEQ</v>
      </c>
      <c r="K530" s="14"/>
      <c r="L530" s="14"/>
      <c r="M530" s="14"/>
      <c r="N530" s="14" t="s">
        <v>50</v>
      </c>
      <c r="O530" s="14" t="s">
        <v>51</v>
      </c>
    </row>
    <row r="531" spans="1:15">
      <c r="A531" s="15" t="s">
        <v>14</v>
      </c>
      <c r="B531" s="15" t="s">
        <v>8092</v>
      </c>
      <c r="C531" s="15" t="s">
        <v>8093</v>
      </c>
      <c r="D531" s="15" t="s">
        <v>8180</v>
      </c>
      <c r="E531" s="15">
        <v>69</v>
      </c>
      <c r="F531" s="15" t="s">
        <v>8216</v>
      </c>
      <c r="G531" s="15" t="s">
        <v>8217</v>
      </c>
      <c r="H531" s="15"/>
      <c r="I531" s="15" t="s">
        <v>322</v>
      </c>
      <c r="J531" s="7" t="str">
        <f>HYPERLINK("https://www.codechef.com/problems/STRIMPOR", "https://www.codechef.com/problems/STRIMPOR")</f>
        <v>https://www.codechef.com/problems/STRIMPOR</v>
      </c>
      <c r="K531" s="15"/>
      <c r="L531" s="15"/>
      <c r="M531" s="15"/>
      <c r="N531" s="15" t="s">
        <v>50</v>
      </c>
      <c r="O531" s="15" t="s">
        <v>51</v>
      </c>
    </row>
    <row r="532" spans="1:15">
      <c r="A532" s="14" t="s">
        <v>14</v>
      </c>
      <c r="B532" s="14" t="s">
        <v>8092</v>
      </c>
      <c r="C532" s="14" t="s">
        <v>8093</v>
      </c>
      <c r="D532" s="14" t="s">
        <v>8180</v>
      </c>
      <c r="E532" s="14">
        <v>70</v>
      </c>
      <c r="F532" s="14" t="s">
        <v>8218</v>
      </c>
      <c r="G532" s="14" t="s">
        <v>8219</v>
      </c>
      <c r="H532" s="14"/>
      <c r="I532" s="14" t="s">
        <v>96</v>
      </c>
      <c r="J532" s="11" t="str">
        <f>HYPERLINK("https://www.codechef.com/problems/ZCO17002", "https://www.codechef.com/problems/ZCO17002")</f>
        <v>https://www.codechef.com/problems/ZCO17002</v>
      </c>
      <c r="K532" s="14"/>
      <c r="L532" s="14"/>
      <c r="M532" s="14"/>
      <c r="N532" s="14" t="s">
        <v>50</v>
      </c>
      <c r="O532" s="14" t="s">
        <v>51</v>
      </c>
    </row>
    <row r="533" spans="1:15">
      <c r="A533" s="15" t="s">
        <v>14</v>
      </c>
      <c r="B533" s="15" t="s">
        <v>8092</v>
      </c>
      <c r="C533" s="15" t="s">
        <v>8093</v>
      </c>
      <c r="D533" s="15" t="s">
        <v>8180</v>
      </c>
      <c r="E533" s="15">
        <v>71</v>
      </c>
      <c r="F533" s="15" t="s">
        <v>8220</v>
      </c>
      <c r="G533" s="15" t="s">
        <v>8221</v>
      </c>
      <c r="H533" s="15"/>
      <c r="I533" s="15" t="s">
        <v>322</v>
      </c>
      <c r="J533" s="7" t="str">
        <f>HYPERLINK("https://www.codechef.com/problems/ZCO20002", "https://www.codechef.com/problems/ZCO20002")</f>
        <v>https://www.codechef.com/problems/ZCO20002</v>
      </c>
      <c r="K533" s="15"/>
      <c r="L533" s="15"/>
      <c r="M533" s="15"/>
      <c r="N533" s="15" t="s">
        <v>50</v>
      </c>
      <c r="O533" s="15" t="s">
        <v>51</v>
      </c>
    </row>
    <row r="534" spans="1:15">
      <c r="A534" s="14" t="s">
        <v>14</v>
      </c>
      <c r="B534" s="14" t="s">
        <v>8092</v>
      </c>
      <c r="C534" s="14" t="s">
        <v>8093</v>
      </c>
      <c r="D534" s="14" t="s">
        <v>8180</v>
      </c>
      <c r="E534" s="14">
        <v>72</v>
      </c>
      <c r="F534" s="14" t="s">
        <v>8222</v>
      </c>
      <c r="G534" s="14" t="s">
        <v>8223</v>
      </c>
      <c r="H534" s="14"/>
      <c r="I534" s="14" t="s">
        <v>322</v>
      </c>
      <c r="J534" s="11" t="str">
        <f>HYPERLINK("https://www.codechef.com/problems/ZCO22002", "https://www.codechef.com/problems/ZCO22002")</f>
        <v>https://www.codechef.com/problems/ZCO22002</v>
      </c>
      <c r="K534" s="14"/>
      <c r="L534" s="14"/>
      <c r="M534" s="14"/>
      <c r="N534" s="14" t="s">
        <v>50</v>
      </c>
      <c r="O534" s="14" t="s">
        <v>51</v>
      </c>
    </row>
    <row r="535" spans="1:15">
      <c r="A535" s="15" t="s">
        <v>14</v>
      </c>
      <c r="B535" s="15" t="s">
        <v>8092</v>
      </c>
      <c r="C535" s="15" t="s">
        <v>8093</v>
      </c>
      <c r="D535" s="15" t="s">
        <v>8180</v>
      </c>
      <c r="E535" s="15">
        <v>73</v>
      </c>
      <c r="F535" s="15" t="s">
        <v>8224</v>
      </c>
      <c r="G535" s="15" t="s">
        <v>8225</v>
      </c>
      <c r="H535" s="15"/>
      <c r="I535" s="15" t="s">
        <v>322</v>
      </c>
      <c r="J535" s="7" t="str">
        <f>HYPERLINK("https://www.codechef.com/problems/ZCO23001", "https://www.codechef.com/problems/ZCO23001")</f>
        <v>https://www.codechef.com/problems/ZCO23001</v>
      </c>
      <c r="K535" s="15"/>
      <c r="L535" s="15"/>
      <c r="M535" s="15"/>
      <c r="N535" s="15" t="s">
        <v>50</v>
      </c>
      <c r="O535" s="15" t="s">
        <v>51</v>
      </c>
    </row>
    <row r="536" spans="1:15">
      <c r="A536" s="14" t="s">
        <v>14</v>
      </c>
      <c r="B536" s="14" t="s">
        <v>8092</v>
      </c>
      <c r="C536" s="14" t="s">
        <v>8093</v>
      </c>
      <c r="D536" s="14" t="s">
        <v>8180</v>
      </c>
      <c r="E536" s="14">
        <v>74</v>
      </c>
      <c r="F536" s="14" t="s">
        <v>8226</v>
      </c>
      <c r="G536" s="14" t="s">
        <v>8227</v>
      </c>
      <c r="H536" s="14"/>
      <c r="I536" s="14" t="s">
        <v>322</v>
      </c>
      <c r="J536" s="11" t="str">
        <f>HYPERLINK("https://www.codechef.com/problems/ZCO23002", "https://www.codechef.com/problems/ZCO23002")</f>
        <v>https://www.codechef.com/problems/ZCO23002</v>
      </c>
      <c r="K536" s="14"/>
      <c r="L536" s="14"/>
      <c r="M536" s="14"/>
      <c r="N536" s="14" t="s">
        <v>50</v>
      </c>
      <c r="O536" s="14" t="s">
        <v>51</v>
      </c>
    </row>
    <row r="537" spans="1:15">
      <c r="A537" s="15" t="s">
        <v>14</v>
      </c>
      <c r="B537" s="15" t="s">
        <v>8092</v>
      </c>
      <c r="C537" s="15" t="s">
        <v>8093</v>
      </c>
      <c r="D537" s="15" t="s">
        <v>8180</v>
      </c>
      <c r="E537" s="15">
        <v>75</v>
      </c>
      <c r="F537" s="15" t="s">
        <v>8228</v>
      </c>
      <c r="G537" s="15" t="s">
        <v>8229</v>
      </c>
      <c r="H537" s="15"/>
      <c r="I537" s="15" t="s">
        <v>322</v>
      </c>
      <c r="J537" s="7" t="str">
        <f>HYPERLINK("https://www.codechef.com/problems/ZCO26P1", "https://www.codechef.com/problems/ZCO26P1")</f>
        <v>https://www.codechef.com/problems/ZCO26P1</v>
      </c>
      <c r="K537" s="15"/>
      <c r="L537" s="15"/>
      <c r="M537" s="15"/>
      <c r="N537" s="15" t="s">
        <v>50</v>
      </c>
      <c r="O537" s="15" t="s">
        <v>51</v>
      </c>
    </row>
    <row r="538" spans="1:15">
      <c r="A538" s="14" t="s">
        <v>14</v>
      </c>
      <c r="B538" s="14" t="s">
        <v>8092</v>
      </c>
      <c r="C538" s="14" t="s">
        <v>8093</v>
      </c>
      <c r="D538" s="14" t="s">
        <v>8180</v>
      </c>
      <c r="E538" s="14">
        <v>76</v>
      </c>
      <c r="F538" s="14" t="s">
        <v>8230</v>
      </c>
      <c r="G538" s="14" t="s">
        <v>8231</v>
      </c>
      <c r="H538" s="14"/>
      <c r="I538" s="14" t="s">
        <v>322</v>
      </c>
      <c r="J538" s="11" t="str">
        <f>HYPERLINK("https://www.codechef.com/problems/ZCO26P2", "https://www.codechef.com/problems/ZCO26P2")</f>
        <v>https://www.codechef.com/problems/ZCO26P2</v>
      </c>
      <c r="K538" s="14"/>
      <c r="L538" s="14"/>
      <c r="M538" s="14"/>
      <c r="N538" s="14" t="s">
        <v>50</v>
      </c>
      <c r="O538" s="14" t="s">
        <v>51</v>
      </c>
    </row>
    <row r="539" spans="1:15">
      <c r="A539" s="15" t="s">
        <v>14</v>
      </c>
      <c r="B539" s="15" t="s">
        <v>8092</v>
      </c>
      <c r="C539" s="15" t="s">
        <v>8093</v>
      </c>
      <c r="D539" s="15" t="s">
        <v>8232</v>
      </c>
      <c r="E539" s="15">
        <v>77</v>
      </c>
      <c r="F539" s="15" t="s">
        <v>8233</v>
      </c>
      <c r="G539" s="15" t="s">
        <v>8234</v>
      </c>
      <c r="H539" s="15"/>
      <c r="I539" s="15" t="s">
        <v>322</v>
      </c>
      <c r="J539" s="7" t="str">
        <f>HYPERLINK("https://www.codechef.com/problems/INOI1402", "https://www.codechef.com/problems/INOI1402")</f>
        <v>https://www.codechef.com/problems/INOI1402</v>
      </c>
      <c r="K539" s="15"/>
      <c r="L539" s="15"/>
      <c r="M539" s="15"/>
      <c r="N539" s="15" t="s">
        <v>50</v>
      </c>
      <c r="O539" s="15" t="s">
        <v>51</v>
      </c>
    </row>
    <row r="540" spans="1:15">
      <c r="A540" s="14" t="s">
        <v>14</v>
      </c>
      <c r="B540" s="14" t="s">
        <v>8092</v>
      </c>
      <c r="C540" s="14" t="s">
        <v>8093</v>
      </c>
      <c r="D540" s="14" t="s">
        <v>8232</v>
      </c>
      <c r="E540" s="14">
        <v>78</v>
      </c>
      <c r="F540" s="14" t="s">
        <v>8235</v>
      </c>
      <c r="G540" s="14" t="s">
        <v>8236</v>
      </c>
      <c r="H540" s="14"/>
      <c r="I540" s="14" t="s">
        <v>322</v>
      </c>
      <c r="J540" s="11" t="str">
        <f>HYPERLINK("https://www.codechef.com/problems/INOI1201", "https://www.codechef.com/problems/INOI1201")</f>
        <v>https://www.codechef.com/problems/INOI1201</v>
      </c>
      <c r="K540" s="14"/>
      <c r="L540" s="14"/>
      <c r="M540" s="14"/>
      <c r="N540" s="14" t="s">
        <v>50</v>
      </c>
      <c r="O540" s="14" t="s">
        <v>51</v>
      </c>
    </row>
    <row r="541" spans="1:15">
      <c r="A541" s="15" t="s">
        <v>14</v>
      </c>
      <c r="B541" s="15" t="s">
        <v>8092</v>
      </c>
      <c r="C541" s="15" t="s">
        <v>8093</v>
      </c>
      <c r="D541" s="15" t="s">
        <v>8232</v>
      </c>
      <c r="E541" s="15">
        <v>79</v>
      </c>
      <c r="F541" s="15" t="s">
        <v>1183</v>
      </c>
      <c r="G541" s="15" t="s">
        <v>1184</v>
      </c>
      <c r="H541" s="15"/>
      <c r="I541" s="15" t="s">
        <v>322</v>
      </c>
      <c r="J541" s="7" t="str">
        <f>HYPERLINK("https://www.codechef.com/problems/INOI1301", "https://www.codechef.com/problems/INOI1301")</f>
        <v>https://www.codechef.com/problems/INOI1301</v>
      </c>
      <c r="K541" s="15"/>
      <c r="L541" s="15"/>
      <c r="M541" s="15"/>
      <c r="N541" s="15" t="s">
        <v>50</v>
      </c>
      <c r="O541" s="15" t="s">
        <v>51</v>
      </c>
    </row>
    <row r="542" spans="1:15">
      <c r="A542" s="14" t="s">
        <v>14</v>
      </c>
      <c r="B542" s="14" t="s">
        <v>8092</v>
      </c>
      <c r="C542" s="14" t="s">
        <v>8093</v>
      </c>
      <c r="D542" s="14" t="s">
        <v>8232</v>
      </c>
      <c r="E542" s="14">
        <v>80</v>
      </c>
      <c r="F542" s="14" t="s">
        <v>8237</v>
      </c>
      <c r="G542" s="14" t="s">
        <v>8238</v>
      </c>
      <c r="H542" s="14"/>
      <c r="I542" s="14" t="s">
        <v>322</v>
      </c>
      <c r="J542" s="11" t="str">
        <f>HYPERLINK("https://www.codechef.com/problems/INOI1302", "https://www.codechef.com/problems/INOI1302")</f>
        <v>https://www.codechef.com/problems/INOI1302</v>
      </c>
      <c r="K542" s="14"/>
      <c r="L542" s="14"/>
      <c r="M542" s="14"/>
      <c r="N542" s="14" t="s">
        <v>50</v>
      </c>
      <c r="O542" s="14" t="s">
        <v>51</v>
      </c>
    </row>
    <row r="543" spans="1:15">
      <c r="A543" s="15" t="s">
        <v>14</v>
      </c>
      <c r="B543" s="15" t="s">
        <v>8092</v>
      </c>
      <c r="C543" s="15" t="s">
        <v>8093</v>
      </c>
      <c r="D543" s="15" t="s">
        <v>8232</v>
      </c>
      <c r="E543" s="15">
        <v>81</v>
      </c>
      <c r="F543" s="15" t="s">
        <v>4440</v>
      </c>
      <c r="G543" s="15" t="s">
        <v>4441</v>
      </c>
      <c r="H543" s="15"/>
      <c r="I543" s="15" t="s">
        <v>322</v>
      </c>
      <c r="J543" s="7" t="str">
        <f>HYPERLINK("https://www.codechef.com/problems/INOI1601", "https://www.codechef.com/problems/INOI1601")</f>
        <v>https://www.codechef.com/problems/INOI1601</v>
      </c>
      <c r="K543" s="15"/>
      <c r="L543" s="15"/>
      <c r="M543" s="15"/>
      <c r="N543" s="15" t="s">
        <v>50</v>
      </c>
      <c r="O543" s="15" t="s">
        <v>51</v>
      </c>
    </row>
    <row r="544" spans="1:15">
      <c r="A544" s="14" t="s">
        <v>14</v>
      </c>
      <c r="B544" s="14" t="s">
        <v>8092</v>
      </c>
      <c r="C544" s="14" t="s">
        <v>8093</v>
      </c>
      <c r="D544" s="14" t="s">
        <v>8232</v>
      </c>
      <c r="E544" s="14">
        <v>82</v>
      </c>
      <c r="F544" s="14" t="s">
        <v>8239</v>
      </c>
      <c r="G544" s="14" t="s">
        <v>8240</v>
      </c>
      <c r="H544" s="14"/>
      <c r="I544" s="14" t="s">
        <v>322</v>
      </c>
      <c r="J544" s="11" t="str">
        <f>HYPERLINK("https://www.codechef.com/problems/INOI1202", "https://www.codechef.com/problems/INOI1202")</f>
        <v>https://www.codechef.com/problems/INOI1202</v>
      </c>
      <c r="K544" s="14"/>
      <c r="L544" s="14"/>
      <c r="M544" s="14"/>
      <c r="N544" s="14" t="s">
        <v>50</v>
      </c>
      <c r="O544" s="14" t="s">
        <v>51</v>
      </c>
    </row>
    <row r="545" spans="1:15">
      <c r="A545" s="15" t="s">
        <v>14</v>
      </c>
      <c r="B545" s="15" t="s">
        <v>8092</v>
      </c>
      <c r="C545" s="15" t="s">
        <v>8093</v>
      </c>
      <c r="D545" s="15" t="s">
        <v>8232</v>
      </c>
      <c r="E545" s="15">
        <v>83</v>
      </c>
      <c r="F545" s="15" t="s">
        <v>8241</v>
      </c>
      <c r="G545" s="15" t="s">
        <v>8242</v>
      </c>
      <c r="H545" s="15"/>
      <c r="I545" s="15" t="s">
        <v>322</v>
      </c>
      <c r="J545" s="7" t="str">
        <f>HYPERLINK("https://www.codechef.com/problems/INOI1401", "https://www.codechef.com/problems/INOI1401")</f>
        <v>https://www.codechef.com/problems/INOI1401</v>
      </c>
      <c r="K545" s="15"/>
      <c r="L545" s="15"/>
      <c r="M545" s="15"/>
      <c r="N545" s="15" t="s">
        <v>50</v>
      </c>
      <c r="O545" s="15" t="s">
        <v>51</v>
      </c>
    </row>
    <row r="546" spans="1:15">
      <c r="A546" s="14" t="s">
        <v>14</v>
      </c>
      <c r="B546" s="14" t="s">
        <v>8092</v>
      </c>
      <c r="C546" s="14" t="s">
        <v>8093</v>
      </c>
      <c r="D546" s="14" t="s">
        <v>8232</v>
      </c>
      <c r="E546" s="14">
        <v>84</v>
      </c>
      <c r="F546" s="14" t="s">
        <v>8243</v>
      </c>
      <c r="G546" s="14" t="s">
        <v>8244</v>
      </c>
      <c r="H546" s="14"/>
      <c r="I546" s="14" t="s">
        <v>322</v>
      </c>
      <c r="J546" s="11" t="str">
        <f>HYPERLINK("https://www.codechef.com/problems/INOI1501", "https://www.codechef.com/problems/INOI1501")</f>
        <v>https://www.codechef.com/problems/INOI1501</v>
      </c>
      <c r="K546" s="14"/>
      <c r="L546" s="14"/>
      <c r="M546" s="14"/>
      <c r="N546" s="14" t="s">
        <v>50</v>
      </c>
      <c r="O546" s="14" t="s">
        <v>51</v>
      </c>
    </row>
    <row r="547" spans="1:15">
      <c r="A547" s="15" t="s">
        <v>14</v>
      </c>
      <c r="B547" s="15" t="s">
        <v>8092</v>
      </c>
      <c r="C547" s="15" t="s">
        <v>8093</v>
      </c>
      <c r="D547" s="15" t="s">
        <v>8232</v>
      </c>
      <c r="E547" s="15">
        <v>85</v>
      </c>
      <c r="F547" s="15" t="s">
        <v>8245</v>
      </c>
      <c r="G547" s="15" t="s">
        <v>8246</v>
      </c>
      <c r="H547" s="15"/>
      <c r="I547" s="15" t="s">
        <v>322</v>
      </c>
      <c r="J547" s="7" t="str">
        <f>HYPERLINK("https://www.codechef.com/problems/INOI1502", "https://www.codechef.com/problems/INOI1502")</f>
        <v>https://www.codechef.com/problems/INOI1502</v>
      </c>
      <c r="K547" s="15"/>
      <c r="L547" s="15"/>
      <c r="M547" s="15"/>
      <c r="N547" s="15" t="s">
        <v>50</v>
      </c>
      <c r="O547" s="15" t="s">
        <v>51</v>
      </c>
    </row>
    <row r="548" spans="1:15">
      <c r="A548" s="14" t="s">
        <v>14</v>
      </c>
      <c r="B548" s="14" t="s">
        <v>8092</v>
      </c>
      <c r="C548" s="14" t="s">
        <v>8093</v>
      </c>
      <c r="D548" s="14" t="s">
        <v>8232</v>
      </c>
      <c r="E548" s="14">
        <v>86</v>
      </c>
      <c r="F548" s="14" t="s">
        <v>8247</v>
      </c>
      <c r="G548" s="14" t="s">
        <v>8248</v>
      </c>
      <c r="H548" s="14"/>
      <c r="I548" s="14" t="s">
        <v>322</v>
      </c>
      <c r="J548" s="11" t="str">
        <f>HYPERLINK("https://www.codechef.com/problems/INOI1602", "https://www.codechef.com/problems/INOI1602")</f>
        <v>https://www.codechef.com/problems/INOI1602</v>
      </c>
      <c r="K548" s="14"/>
      <c r="L548" s="14"/>
      <c r="M548" s="14"/>
      <c r="N548" s="14" t="s">
        <v>50</v>
      </c>
      <c r="O548" s="14" t="s">
        <v>51</v>
      </c>
    </row>
    <row r="549" spans="1:15">
      <c r="A549" s="15" t="s">
        <v>14</v>
      </c>
      <c r="B549" s="15" t="s">
        <v>8092</v>
      </c>
      <c r="C549" s="15" t="s">
        <v>8093</v>
      </c>
      <c r="D549" s="15" t="s">
        <v>8232</v>
      </c>
      <c r="E549" s="15">
        <v>87</v>
      </c>
      <c r="F549" s="15" t="s">
        <v>8249</v>
      </c>
      <c r="G549" s="15" t="s">
        <v>8250</v>
      </c>
      <c r="H549" s="15"/>
      <c r="I549" s="15" t="s">
        <v>322</v>
      </c>
      <c r="J549" s="7" t="str">
        <f>HYPERLINK("https://www.codechef.com/problems/ROADTRIP", "https://www.codechef.com/problems/ROADTRIP")</f>
        <v>https://www.codechef.com/problems/ROADTRIP</v>
      </c>
      <c r="K549" s="15"/>
      <c r="L549" s="15"/>
      <c r="M549" s="15"/>
      <c r="N549" s="15" t="s">
        <v>50</v>
      </c>
      <c r="O549" s="15" t="s">
        <v>51</v>
      </c>
    </row>
    <row r="550" spans="1:15">
      <c r="A550" s="14" t="s">
        <v>14</v>
      </c>
      <c r="B550" s="14" t="s">
        <v>8092</v>
      </c>
      <c r="C550" s="14" t="s">
        <v>8093</v>
      </c>
      <c r="D550" s="14" t="s">
        <v>8232</v>
      </c>
      <c r="E550" s="14">
        <v>88</v>
      </c>
      <c r="F550" s="14" t="s">
        <v>8251</v>
      </c>
      <c r="G550" s="14" t="s">
        <v>8252</v>
      </c>
      <c r="H550" s="14"/>
      <c r="I550" s="14" t="s">
        <v>322</v>
      </c>
      <c r="J550" s="11" t="str">
        <f>HYPERLINK("https://www.codechef.com/problems/TINOI17B", "https://www.codechef.com/problems/TINOI17B")</f>
        <v>https://www.codechef.com/problems/TINOI17B</v>
      </c>
      <c r="K550" s="14"/>
      <c r="L550" s="14"/>
      <c r="M550" s="14"/>
      <c r="N550" s="14" t="s">
        <v>50</v>
      </c>
      <c r="O550" s="14" t="s">
        <v>51</v>
      </c>
    </row>
    <row r="551" spans="1:15">
      <c r="A551" s="15" t="s">
        <v>14</v>
      </c>
      <c r="B551" s="15" t="s">
        <v>8092</v>
      </c>
      <c r="C551" s="15" t="s">
        <v>8093</v>
      </c>
      <c r="D551" s="15" t="s">
        <v>8232</v>
      </c>
      <c r="E551" s="15">
        <v>89</v>
      </c>
      <c r="F551" s="15" t="s">
        <v>8253</v>
      </c>
      <c r="G551" s="15" t="s">
        <v>8254</v>
      </c>
      <c r="H551" s="15"/>
      <c r="I551" s="15" t="s">
        <v>322</v>
      </c>
      <c r="J551" s="7" t="str">
        <f>HYPERLINK("https://www.codechef.com/problems/AMONGUS2", "https://www.codechef.com/problems/AMONGUS2")</f>
        <v>https://www.codechef.com/problems/AMONGUS2</v>
      </c>
      <c r="K551" s="15"/>
      <c r="L551" s="15"/>
      <c r="M551" s="15"/>
      <c r="N551" s="15" t="s">
        <v>50</v>
      </c>
      <c r="O551" s="15" t="s">
        <v>51</v>
      </c>
    </row>
    <row r="552" spans="1:15">
      <c r="A552" s="14" t="s">
        <v>14</v>
      </c>
      <c r="B552" s="14" t="s">
        <v>8092</v>
      </c>
      <c r="C552" s="14" t="s">
        <v>8093</v>
      </c>
      <c r="D552" s="14" t="s">
        <v>8232</v>
      </c>
      <c r="E552" s="14">
        <v>90</v>
      </c>
      <c r="F552" s="14" t="s">
        <v>4453</v>
      </c>
      <c r="G552" s="14" t="s">
        <v>4454</v>
      </c>
      <c r="H552" s="14"/>
      <c r="I552" s="14" t="s">
        <v>322</v>
      </c>
      <c r="J552" s="11" t="str">
        <f>HYPERLINK("https://www.codechef.com/problems/TINOI17A", "https://www.codechef.com/problems/TINOI17A")</f>
        <v>https://www.codechef.com/problems/TINOI17A</v>
      </c>
      <c r="K552" s="14"/>
      <c r="L552" s="14"/>
      <c r="M552" s="14"/>
      <c r="N552" s="14" t="s">
        <v>50</v>
      </c>
      <c r="O552" s="14" t="s">
        <v>51</v>
      </c>
    </row>
    <row r="553" spans="1:15">
      <c r="A553" s="15" t="s">
        <v>14</v>
      </c>
      <c r="B553" s="15" t="s">
        <v>8092</v>
      </c>
      <c r="C553" s="15" t="s">
        <v>8093</v>
      </c>
      <c r="D553" s="15" t="s">
        <v>8232</v>
      </c>
      <c r="E553" s="15">
        <v>91</v>
      </c>
      <c r="F553" s="15" t="s">
        <v>8255</v>
      </c>
      <c r="G553" s="15" t="s">
        <v>8256</v>
      </c>
      <c r="H553" s="15"/>
      <c r="I553" s="15" t="s">
        <v>322</v>
      </c>
      <c r="J553" s="7" t="str">
        <f>HYPERLINK("https://www.codechef.com/problems/INOI2001", "https://www.codechef.com/problems/INOI2001")</f>
        <v>https://www.codechef.com/problems/INOI2001</v>
      </c>
      <c r="K553" s="15"/>
      <c r="L553" s="15"/>
      <c r="M553" s="15"/>
      <c r="N553" s="15" t="s">
        <v>50</v>
      </c>
      <c r="O553" s="15" t="s">
        <v>51</v>
      </c>
    </row>
    <row r="554" spans="1:15">
      <c r="A554" s="14" t="s">
        <v>14</v>
      </c>
      <c r="B554" s="14" t="s">
        <v>8092</v>
      </c>
      <c r="C554" s="14" t="s">
        <v>8093</v>
      </c>
      <c r="D554" s="14" t="s">
        <v>8232</v>
      </c>
      <c r="E554" s="14">
        <v>92</v>
      </c>
      <c r="F554" s="14" t="s">
        <v>8257</v>
      </c>
      <c r="G554" s="14" t="s">
        <v>8258</v>
      </c>
      <c r="H554" s="14"/>
      <c r="I554" s="14" t="s">
        <v>322</v>
      </c>
      <c r="J554" s="11" t="str">
        <f>HYPERLINK("https://www.codechef.com/problems/INOI2002", "https://www.codechef.com/problems/INOI2002")</f>
        <v>https://www.codechef.com/problems/INOI2002</v>
      </c>
      <c r="K554" s="14"/>
      <c r="L554" s="14"/>
      <c r="M554" s="14"/>
      <c r="N554" s="14" t="s">
        <v>50</v>
      </c>
      <c r="O554" s="14" t="s">
        <v>51</v>
      </c>
    </row>
    <row r="555" spans="1:15">
      <c r="A555" s="15" t="s">
        <v>14</v>
      </c>
      <c r="B555" s="15" t="s">
        <v>8092</v>
      </c>
      <c r="C555" s="15" t="s">
        <v>8093</v>
      </c>
      <c r="D555" s="15" t="s">
        <v>8232</v>
      </c>
      <c r="E555" s="15">
        <v>93</v>
      </c>
      <c r="F555" s="15" t="s">
        <v>8259</v>
      </c>
      <c r="G555" s="15" t="s">
        <v>8260</v>
      </c>
      <c r="H555" s="15"/>
      <c r="I555" s="15" t="s">
        <v>322</v>
      </c>
      <c r="J555" s="7" t="str">
        <f>HYPERLINK("https://www.codechef.com/problems/TWOPATHS", "https://www.codechef.com/problems/TWOPATHS")</f>
        <v>https://www.codechef.com/problems/TWOPATHS</v>
      </c>
      <c r="K555" s="15"/>
      <c r="L555" s="15"/>
      <c r="M555" s="15"/>
      <c r="N555" s="15" t="s">
        <v>50</v>
      </c>
      <c r="O555" s="15" t="s">
        <v>51</v>
      </c>
    </row>
    <row r="556" spans="1:15">
      <c r="A556" s="14" t="s">
        <v>14</v>
      </c>
      <c r="B556" s="14" t="s">
        <v>8092</v>
      </c>
      <c r="C556" s="14" t="s">
        <v>8093</v>
      </c>
      <c r="D556" s="14" t="s">
        <v>8232</v>
      </c>
      <c r="E556" s="14">
        <v>94</v>
      </c>
      <c r="F556" s="14" t="s">
        <v>8261</v>
      </c>
      <c r="G556" s="14" t="s">
        <v>8262</v>
      </c>
      <c r="H556" s="14"/>
      <c r="I556" s="14" t="s">
        <v>322</v>
      </c>
      <c r="J556" s="11" t="str">
        <f>HYPERLINK("https://www.codechef.com/problems/INOI1902", "https://www.codechef.com/problems/INOI1902")</f>
        <v>https://www.codechef.com/problems/INOI1902</v>
      </c>
      <c r="K556" s="14"/>
      <c r="L556" s="14"/>
      <c r="M556" s="14"/>
      <c r="N556" s="14" t="s">
        <v>50</v>
      </c>
      <c r="O556" s="14" t="s">
        <v>51</v>
      </c>
    </row>
    <row r="557" spans="1:15">
      <c r="A557" s="15" t="s">
        <v>14</v>
      </c>
      <c r="B557" s="15" t="s">
        <v>8092</v>
      </c>
      <c r="C557" s="15" t="s">
        <v>8093</v>
      </c>
      <c r="D557" s="15" t="s">
        <v>8232</v>
      </c>
      <c r="E557" s="15">
        <v>95</v>
      </c>
      <c r="F557" s="15" t="s">
        <v>8263</v>
      </c>
      <c r="G557" s="15" t="s">
        <v>8264</v>
      </c>
      <c r="H557" s="15"/>
      <c r="I557" s="15" t="s">
        <v>322</v>
      </c>
      <c r="J557" s="7" t="str">
        <f>HYPERLINK("https://www.codechef.com/problems/INOI1901", "https://www.codechef.com/problems/INOI1901")</f>
        <v>https://www.codechef.com/problems/INOI1901</v>
      </c>
      <c r="K557" s="15"/>
      <c r="L557" s="15"/>
      <c r="M557" s="15"/>
      <c r="N557" s="15" t="s">
        <v>50</v>
      </c>
      <c r="O557" s="15" t="s">
        <v>51</v>
      </c>
    </row>
    <row r="558" spans="1:15">
      <c r="A558" s="14" t="s">
        <v>14</v>
      </c>
      <c r="B558" s="14" t="s">
        <v>8092</v>
      </c>
      <c r="C558" s="14" t="s">
        <v>8093</v>
      </c>
      <c r="D558" s="14" t="s">
        <v>8232</v>
      </c>
      <c r="E558" s="14">
        <v>96</v>
      </c>
      <c r="F558" s="14" t="s">
        <v>8265</v>
      </c>
      <c r="G558" s="14" t="s">
        <v>8266</v>
      </c>
      <c r="H558" s="14"/>
      <c r="I558" s="14" t="s">
        <v>322</v>
      </c>
      <c r="J558" s="11" t="str">
        <f>HYPERLINK("https://www.codechef.com/problems/BREAKSTR", "https://www.codechef.com/problems/BREAKSTR")</f>
        <v>https://www.codechef.com/problems/BREAKSTR</v>
      </c>
      <c r="K558" s="14"/>
      <c r="L558" s="14"/>
      <c r="M558" s="14"/>
      <c r="N558" s="14" t="s">
        <v>50</v>
      </c>
      <c r="O558" s="14" t="s">
        <v>51</v>
      </c>
    </row>
    <row r="559" spans="1:15">
      <c r="A559" s="15" t="s">
        <v>14</v>
      </c>
      <c r="B559" s="15" t="s">
        <v>8092</v>
      </c>
      <c r="C559" s="15" t="s">
        <v>8093</v>
      </c>
      <c r="D559" s="15" t="s">
        <v>8232</v>
      </c>
      <c r="E559" s="15">
        <v>97</v>
      </c>
      <c r="F559" s="15" t="s">
        <v>8267</v>
      </c>
      <c r="G559" s="15" t="s">
        <v>8268</v>
      </c>
      <c r="H559" s="15"/>
      <c r="I559" s="15" t="s">
        <v>322</v>
      </c>
      <c r="J559" s="7" t="str">
        <f>HYPERLINK("https://www.codechef.com/problems/INOI2203B", "https://www.codechef.com/problems/INOI2203B")</f>
        <v>https://www.codechef.com/problems/INOI2203B</v>
      </c>
      <c r="K559" s="15"/>
      <c r="L559" s="15"/>
      <c r="M559" s="15"/>
      <c r="N559" s="15" t="s">
        <v>50</v>
      </c>
      <c r="O559" s="15" t="s">
        <v>51</v>
      </c>
    </row>
    <row r="560" spans="1:15">
      <c r="A560" s="14" t="s">
        <v>14</v>
      </c>
      <c r="B560" s="14" t="s">
        <v>8092</v>
      </c>
      <c r="C560" s="14" t="s">
        <v>8093</v>
      </c>
      <c r="D560" s="14" t="s">
        <v>8232</v>
      </c>
      <c r="E560" s="14">
        <v>98</v>
      </c>
      <c r="F560" s="14" t="s">
        <v>8269</v>
      </c>
      <c r="G560" s="14" t="s">
        <v>8270</v>
      </c>
      <c r="H560" s="14"/>
      <c r="I560" s="14" t="s">
        <v>322</v>
      </c>
      <c r="J560" s="11" t="str">
        <f>HYPERLINK("https://www.codechef.com/problems/INOI2201", "https://www.codechef.com/problems/INOI2201")</f>
        <v>https://www.codechef.com/problems/INOI2201</v>
      </c>
      <c r="K560" s="14"/>
      <c r="L560" s="14"/>
      <c r="M560" s="14"/>
      <c r="N560" s="14" t="s">
        <v>50</v>
      </c>
      <c r="O560" s="14" t="s">
        <v>51</v>
      </c>
    </row>
    <row r="561" spans="1:15">
      <c r="A561" s="15" t="s">
        <v>14</v>
      </c>
      <c r="B561" s="15" t="s">
        <v>8092</v>
      </c>
      <c r="C561" s="15" t="s">
        <v>8093</v>
      </c>
      <c r="D561" s="15" t="s">
        <v>8232</v>
      </c>
      <c r="E561" s="15">
        <v>99</v>
      </c>
      <c r="F561" s="15" t="s">
        <v>8271</v>
      </c>
      <c r="G561" s="15" t="s">
        <v>8272</v>
      </c>
      <c r="H561" s="15"/>
      <c r="I561" s="15" t="s">
        <v>322</v>
      </c>
      <c r="J561" s="7" t="str">
        <f>HYPERLINK("https://www.codechef.com/problems/INOI2202", "https://www.codechef.com/problems/INOI2202")</f>
        <v>https://www.codechef.com/problems/INOI2202</v>
      </c>
      <c r="K561" s="15"/>
      <c r="L561" s="15"/>
      <c r="M561" s="15"/>
      <c r="N561" s="15" t="s">
        <v>50</v>
      </c>
      <c r="O561" s="15" t="s">
        <v>51</v>
      </c>
    </row>
    <row r="562" spans="1:15">
      <c r="A562" s="14" t="s">
        <v>14</v>
      </c>
      <c r="B562" s="14" t="s">
        <v>8092</v>
      </c>
      <c r="C562" s="14" t="s">
        <v>8093</v>
      </c>
      <c r="D562" s="14" t="s">
        <v>8232</v>
      </c>
      <c r="E562" s="14">
        <v>100</v>
      </c>
      <c r="F562" s="14" t="s">
        <v>8273</v>
      </c>
      <c r="G562" s="14" t="s">
        <v>8274</v>
      </c>
      <c r="H562" s="14"/>
      <c r="I562" s="14" t="s">
        <v>322</v>
      </c>
      <c r="J562" s="11" t="str">
        <f>HYPERLINK("https://www.codechef.com/problems/INOI2203A", "https://www.codechef.com/problems/INOI2203A")</f>
        <v>https://www.codechef.com/problems/INOI2203A</v>
      </c>
      <c r="K562" s="14"/>
      <c r="L562" s="14"/>
      <c r="M562" s="14"/>
      <c r="N562" s="14" t="s">
        <v>50</v>
      </c>
      <c r="O562" s="14" t="s">
        <v>51</v>
      </c>
    </row>
    <row r="563" spans="1:15">
      <c r="A563" s="15" t="s">
        <v>14</v>
      </c>
      <c r="B563" s="15" t="s">
        <v>8092</v>
      </c>
      <c r="C563" s="15" t="s">
        <v>8093</v>
      </c>
      <c r="D563" s="15" t="s">
        <v>8232</v>
      </c>
      <c r="E563" s="15">
        <v>101</v>
      </c>
      <c r="F563" s="15" t="s">
        <v>8275</v>
      </c>
      <c r="G563" s="15" t="s">
        <v>8276</v>
      </c>
      <c r="H563" s="15"/>
      <c r="I563" s="15" t="s">
        <v>322</v>
      </c>
      <c r="J563" s="7" t="str">
        <f>HYPERLINK("https://www.codechef.com/problems/INOI2302", "https://www.codechef.com/problems/INOI2302")</f>
        <v>https://www.codechef.com/problems/INOI2302</v>
      </c>
      <c r="K563" s="15"/>
      <c r="L563" s="15"/>
      <c r="M563" s="15"/>
      <c r="N563" s="15" t="s">
        <v>50</v>
      </c>
      <c r="O563" s="15" t="s">
        <v>51</v>
      </c>
    </row>
    <row r="564" spans="1:15">
      <c r="A564" s="14" t="s">
        <v>14</v>
      </c>
      <c r="B564" s="14" t="s">
        <v>8092</v>
      </c>
      <c r="C564" s="14" t="s">
        <v>8093</v>
      </c>
      <c r="D564" s="14" t="s">
        <v>8232</v>
      </c>
      <c r="E564" s="14">
        <v>102</v>
      </c>
      <c r="F564" s="14" t="s">
        <v>8277</v>
      </c>
      <c r="G564" s="14" t="s">
        <v>8278</v>
      </c>
      <c r="H564" s="14"/>
      <c r="I564" s="14" t="s">
        <v>322</v>
      </c>
      <c r="J564" s="11" t="str">
        <f>HYPERLINK("https://www.codechef.com/problems/INOI2301", "https://www.codechef.com/problems/INOI2301")</f>
        <v>https://www.codechef.com/problems/INOI2301</v>
      </c>
      <c r="K564" s="14"/>
      <c r="L564" s="14"/>
      <c r="M564" s="14"/>
      <c r="N564" s="14" t="s">
        <v>50</v>
      </c>
      <c r="O564" s="14" t="s">
        <v>51</v>
      </c>
    </row>
    <row r="565" spans="1:15">
      <c r="A565" s="15" t="s">
        <v>14</v>
      </c>
      <c r="B565" s="15" t="s">
        <v>8092</v>
      </c>
      <c r="C565" s="15" t="s">
        <v>8093</v>
      </c>
      <c r="D565" s="15" t="s">
        <v>8232</v>
      </c>
      <c r="E565" s="15">
        <v>103</v>
      </c>
      <c r="F565" s="15" t="s">
        <v>8279</v>
      </c>
      <c r="G565" s="15" t="s">
        <v>8280</v>
      </c>
      <c r="H565" s="15"/>
      <c r="I565" s="15" t="s">
        <v>322</v>
      </c>
      <c r="J565" s="7" t="str">
        <f>HYPERLINK("https://www.codechef.com/problems/INOI2303", "https://www.codechef.com/problems/INOI2303")</f>
        <v>https://www.codechef.com/problems/INOI2303</v>
      </c>
      <c r="K565" s="15"/>
      <c r="L565" s="15"/>
      <c r="M565" s="15"/>
      <c r="N565" s="15" t="s">
        <v>50</v>
      </c>
      <c r="O565" s="15" t="s">
        <v>51</v>
      </c>
    </row>
    <row r="566" spans="1:15">
      <c r="A566" s="14" t="s">
        <v>14</v>
      </c>
      <c r="B566" s="14" t="s">
        <v>8092</v>
      </c>
      <c r="C566" s="14" t="s">
        <v>8093</v>
      </c>
      <c r="D566" s="14" t="s">
        <v>8232</v>
      </c>
      <c r="E566" s="14">
        <v>104</v>
      </c>
      <c r="F566" s="14" t="s">
        <v>8281</v>
      </c>
      <c r="G566" s="14" t="s">
        <v>8282</v>
      </c>
      <c r="H566" s="14"/>
      <c r="I566" s="14" t="s">
        <v>322</v>
      </c>
      <c r="J566" s="11" t="str">
        <f>HYPERLINK("https://www.codechef.com/problems/INOI26P0", "https://www.codechef.com/problems/INOI26P0")</f>
        <v>https://www.codechef.com/problems/INOI26P0</v>
      </c>
      <c r="K566" s="14"/>
      <c r="L566" s="14" t="s">
        <v>8283</v>
      </c>
      <c r="M566" s="14"/>
      <c r="N566" s="14" t="s">
        <v>50</v>
      </c>
      <c r="O566" s="14" t="s">
        <v>51</v>
      </c>
    </row>
    <row r="567" spans="1:15">
      <c r="A567" s="15" t="s">
        <v>14</v>
      </c>
      <c r="B567" s="15" t="s">
        <v>8092</v>
      </c>
      <c r="C567" s="15" t="s">
        <v>8093</v>
      </c>
      <c r="D567" s="15" t="s">
        <v>8232</v>
      </c>
      <c r="E567" s="15">
        <v>105</v>
      </c>
      <c r="F567" s="15" t="s">
        <v>8284</v>
      </c>
      <c r="G567" s="15" t="s">
        <v>8285</v>
      </c>
      <c r="H567" s="15"/>
      <c r="I567" s="15" t="s">
        <v>322</v>
      </c>
      <c r="J567" s="7" t="str">
        <f>HYPERLINK("https://www.codechef.com/problems/INOI26P1", "https://www.codechef.com/problems/INOI26P1")</f>
        <v>https://www.codechef.com/problems/INOI26P1</v>
      </c>
      <c r="K567" s="15"/>
      <c r="L567" s="15" t="s">
        <v>8283</v>
      </c>
      <c r="M567" s="15"/>
      <c r="N567" s="15" t="s">
        <v>50</v>
      </c>
      <c r="O567" s="15" t="s">
        <v>51</v>
      </c>
    </row>
    <row r="568" spans="1:15">
      <c r="A568" s="14" t="s">
        <v>14</v>
      </c>
      <c r="B568" s="14" t="s">
        <v>8092</v>
      </c>
      <c r="C568" s="14" t="s">
        <v>8093</v>
      </c>
      <c r="D568" s="14" t="s">
        <v>8232</v>
      </c>
      <c r="E568" s="14">
        <v>106</v>
      </c>
      <c r="F568" s="14" t="s">
        <v>8286</v>
      </c>
      <c r="G568" s="14" t="s">
        <v>8287</v>
      </c>
      <c r="H568" s="14"/>
      <c r="I568" s="14" t="s">
        <v>322</v>
      </c>
      <c r="J568" s="11" t="str">
        <f>HYPERLINK("https://www.codechef.com/problems/INOI26P2", "https://www.codechef.com/problems/INOI26P2")</f>
        <v>https://www.codechef.com/problems/INOI26P2</v>
      </c>
      <c r="K568" s="14"/>
      <c r="L568" s="14" t="s">
        <v>8283</v>
      </c>
      <c r="M568" s="14"/>
      <c r="N568" s="14" t="s">
        <v>50</v>
      </c>
      <c r="O568" s="14" t="s">
        <v>51</v>
      </c>
    </row>
    <row r="569" spans="1:15">
      <c r="A569" s="15" t="s">
        <v>14</v>
      </c>
      <c r="B569" s="15" t="s">
        <v>8288</v>
      </c>
      <c r="C569" s="15" t="s">
        <v>8289</v>
      </c>
      <c r="D569" s="15" t="s">
        <v>8290</v>
      </c>
      <c r="E569" s="15">
        <v>1</v>
      </c>
      <c r="F569" s="15" t="s">
        <v>8291</v>
      </c>
      <c r="G569" s="15" t="s">
        <v>8292</v>
      </c>
      <c r="H569" s="15"/>
      <c r="I569" s="15" t="s">
        <v>96</v>
      </c>
      <c r="J569" s="7" t="str">
        <f>HYPERLINK("https://www.codechef.com/problems/USANBOLT", "https://www.codechef.com/problems/USANBOLT")</f>
        <v>https://www.codechef.com/problems/USANBOLT</v>
      </c>
      <c r="K569" s="15"/>
      <c r="L569" s="15"/>
      <c r="M569" s="15"/>
      <c r="N569" s="15" t="s">
        <v>50</v>
      </c>
      <c r="O569" s="15" t="s">
        <v>51</v>
      </c>
    </row>
    <row r="570" spans="1:15">
      <c r="A570" s="14" t="s">
        <v>14</v>
      </c>
      <c r="B570" s="14" t="s">
        <v>8288</v>
      </c>
      <c r="C570" s="14" t="s">
        <v>8289</v>
      </c>
      <c r="D570" s="14" t="s">
        <v>8290</v>
      </c>
      <c r="E570" s="14">
        <v>2</v>
      </c>
      <c r="F570" s="14" t="s">
        <v>8293</v>
      </c>
      <c r="G570" s="14" t="s">
        <v>8294</v>
      </c>
      <c r="H570" s="14"/>
      <c r="I570" s="14" t="s">
        <v>322</v>
      </c>
      <c r="J570" s="11" t="str">
        <f>HYPERLINK("https://www.codechef.com/problems/SDIFFSTR", "https://www.codechef.com/problems/SDIFFSTR")</f>
        <v>https://www.codechef.com/problems/SDIFFSTR</v>
      </c>
      <c r="K570" s="14"/>
      <c r="L570" s="14"/>
      <c r="M570" s="14"/>
      <c r="N570" s="14" t="s">
        <v>50</v>
      </c>
      <c r="O570" s="14" t="s">
        <v>51</v>
      </c>
    </row>
    <row r="571" spans="1:15">
      <c r="A571" s="15" t="s">
        <v>14</v>
      </c>
      <c r="B571" s="15" t="s">
        <v>8288</v>
      </c>
      <c r="C571" s="15" t="s">
        <v>8289</v>
      </c>
      <c r="D571" s="15" t="s">
        <v>8290</v>
      </c>
      <c r="E571" s="15">
        <v>3</v>
      </c>
      <c r="F571" s="15" t="s">
        <v>8295</v>
      </c>
      <c r="G571" s="15" t="s">
        <v>8296</v>
      </c>
      <c r="H571" s="15"/>
      <c r="I571" s="15" t="s">
        <v>322</v>
      </c>
      <c r="J571" s="7" t="str">
        <f>HYPERLINK("https://www.codechef.com/problems/COLINT", "https://www.codechef.com/problems/COLINT")</f>
        <v>https://www.codechef.com/problems/COLINT</v>
      </c>
      <c r="K571" s="15"/>
      <c r="L571" s="15" t="s">
        <v>3849</v>
      </c>
      <c r="M571" s="15"/>
      <c r="N571" s="15" t="s">
        <v>50</v>
      </c>
      <c r="O571" s="15" t="s">
        <v>51</v>
      </c>
    </row>
    <row r="572" spans="1:15">
      <c r="A572" s="14" t="s">
        <v>14</v>
      </c>
      <c r="B572" s="14" t="s">
        <v>8288</v>
      </c>
      <c r="C572" s="14" t="s">
        <v>8289</v>
      </c>
      <c r="D572" s="14" t="s">
        <v>8290</v>
      </c>
      <c r="E572" s="14">
        <v>4</v>
      </c>
      <c r="F572" s="14" t="s">
        <v>8297</v>
      </c>
      <c r="G572" s="14" t="s">
        <v>8298</v>
      </c>
      <c r="H572" s="14"/>
      <c r="I572" s="14" t="s">
        <v>322</v>
      </c>
      <c r="J572" s="11" t="str">
        <f>HYPERLINK("https://www.codechef.com/problems/EXPCAN", "https://www.codechef.com/problems/EXPCAN")</f>
        <v>https://www.codechef.com/problems/EXPCAN</v>
      </c>
      <c r="K572" s="14"/>
      <c r="L572" s="14" t="s">
        <v>8299</v>
      </c>
      <c r="M572" s="14"/>
      <c r="N572" s="14" t="s">
        <v>50</v>
      </c>
      <c r="O572" s="14" t="s">
        <v>51</v>
      </c>
    </row>
    <row r="573" spans="1:15">
      <c r="A573" s="15" t="s">
        <v>14</v>
      </c>
      <c r="B573" s="15" t="s">
        <v>8288</v>
      </c>
      <c r="C573" s="15" t="s">
        <v>8289</v>
      </c>
      <c r="D573" s="15" t="s">
        <v>8290</v>
      </c>
      <c r="E573" s="15">
        <v>5</v>
      </c>
      <c r="F573" s="15" t="s">
        <v>8300</v>
      </c>
      <c r="G573" s="15" t="s">
        <v>8301</v>
      </c>
      <c r="H573" s="15"/>
      <c r="I573" s="15" t="s">
        <v>322</v>
      </c>
      <c r="J573" s="7" t="str">
        <f>HYPERLINK("https://www.codechef.com/problems/TRGRPH", "https://www.codechef.com/problems/TRGRPH")</f>
        <v>https://www.codechef.com/problems/TRGRPH</v>
      </c>
      <c r="K573" s="15"/>
      <c r="L573" s="15"/>
      <c r="M573" s="15"/>
      <c r="N573" s="15" t="s">
        <v>50</v>
      </c>
      <c r="O573" s="15" t="s">
        <v>51</v>
      </c>
    </row>
    <row r="574" spans="1:15">
      <c r="A574" s="14" t="s">
        <v>14</v>
      </c>
      <c r="B574" s="14" t="s">
        <v>8288</v>
      </c>
      <c r="C574" s="14" t="s">
        <v>8289</v>
      </c>
      <c r="D574" s="14" t="s">
        <v>8290</v>
      </c>
      <c r="E574" s="14">
        <v>6</v>
      </c>
      <c r="F574" s="14" t="s">
        <v>8302</v>
      </c>
      <c r="G574" s="14" t="s">
        <v>8303</v>
      </c>
      <c r="H574" s="14"/>
      <c r="I574" s="14" t="s">
        <v>322</v>
      </c>
      <c r="J574" s="11" t="str">
        <f>HYPERLINK("https://www.codechef.com/problems/MORTGAGE", "https://www.codechef.com/problems/MORTGAGE")</f>
        <v>https://www.codechef.com/problems/MORTGAGE</v>
      </c>
      <c r="K574" s="14"/>
      <c r="L574" s="14"/>
      <c r="M574" s="14"/>
      <c r="N574" s="14" t="s">
        <v>50</v>
      </c>
      <c r="O574" s="14" t="s">
        <v>51</v>
      </c>
    </row>
    <row r="575" spans="1:15">
      <c r="A575" s="15" t="s">
        <v>14</v>
      </c>
      <c r="B575" s="15" t="s">
        <v>8288</v>
      </c>
      <c r="C575" s="15" t="s">
        <v>8289</v>
      </c>
      <c r="D575" s="15" t="s">
        <v>8290</v>
      </c>
      <c r="E575" s="15">
        <v>7</v>
      </c>
      <c r="F575" s="15" t="s">
        <v>8304</v>
      </c>
      <c r="G575" s="15" t="s">
        <v>8305</v>
      </c>
      <c r="H575" s="15"/>
      <c r="I575" s="15" t="s">
        <v>322</v>
      </c>
      <c r="J575" s="7" t="str">
        <f>HYPERLINK("https://www.codechef.com/problems/COLPOLLY", "https://www.codechef.com/problems/COLPOLLY")</f>
        <v>https://www.codechef.com/problems/COLPOLLY</v>
      </c>
      <c r="K575" s="15"/>
      <c r="L575" s="15" t="s">
        <v>8306</v>
      </c>
      <c r="M575" s="15"/>
      <c r="N575" s="15" t="s">
        <v>50</v>
      </c>
      <c r="O575" s="15" t="s">
        <v>51</v>
      </c>
    </row>
    <row r="576" spans="1:15">
      <c r="A576" s="14" t="s">
        <v>14</v>
      </c>
      <c r="B576" s="14" t="s">
        <v>8288</v>
      </c>
      <c r="C576" s="14" t="s">
        <v>8289</v>
      </c>
      <c r="D576" s="14" t="s">
        <v>8290</v>
      </c>
      <c r="E576" s="14">
        <v>8</v>
      </c>
      <c r="F576" s="14" t="s">
        <v>8307</v>
      </c>
      <c r="G576" s="14" t="s">
        <v>8308</v>
      </c>
      <c r="H576" s="14"/>
      <c r="I576" s="14" t="s">
        <v>322</v>
      </c>
      <c r="J576" s="11" t="str">
        <f>HYPERLINK("https://www.codechef.com/problems/POLCON", "https://www.codechef.com/problems/POLCON")</f>
        <v>https://www.codechef.com/problems/POLCON</v>
      </c>
      <c r="K576" s="14"/>
      <c r="L576" s="14"/>
      <c r="M576" s="14"/>
      <c r="N576" s="14" t="s">
        <v>50</v>
      </c>
      <c r="O576" s="14" t="s">
        <v>51</v>
      </c>
    </row>
    <row r="577" spans="1:15">
      <c r="A577" s="15" t="s">
        <v>14</v>
      </c>
      <c r="B577" s="15" t="s">
        <v>8288</v>
      </c>
      <c r="C577" s="15" t="s">
        <v>8289</v>
      </c>
      <c r="D577" s="15" t="s">
        <v>8290</v>
      </c>
      <c r="E577" s="15">
        <v>9</v>
      </c>
      <c r="F577" s="15" t="s">
        <v>4688</v>
      </c>
      <c r="G577" s="15" t="s">
        <v>4689</v>
      </c>
      <c r="H577" s="15"/>
      <c r="I577" s="15" t="s">
        <v>322</v>
      </c>
      <c r="J577" s="7" t="str">
        <f>HYPERLINK("https://www.codechef.com/problems/MOBCNT", "https://www.codechef.com/problems/MOBCNT")</f>
        <v>https://www.codechef.com/problems/MOBCNT</v>
      </c>
      <c r="K577" s="15"/>
      <c r="L577" s="15"/>
      <c r="M577" s="15"/>
      <c r="N577" s="15" t="s">
        <v>50</v>
      </c>
      <c r="O577" s="15" t="s">
        <v>51</v>
      </c>
    </row>
    <row r="578" spans="1:15">
      <c r="A578" s="14" t="s">
        <v>14</v>
      </c>
      <c r="B578" s="14" t="s">
        <v>8288</v>
      </c>
      <c r="C578" s="14" t="s">
        <v>8289</v>
      </c>
      <c r="D578" s="14" t="s">
        <v>8290</v>
      </c>
      <c r="E578" s="14">
        <v>10</v>
      </c>
      <c r="F578" s="14" t="s">
        <v>8309</v>
      </c>
      <c r="G578" s="14" t="s">
        <v>8310</v>
      </c>
      <c r="H578" s="14"/>
      <c r="I578" s="14" t="s">
        <v>322</v>
      </c>
      <c r="J578" s="11" t="str">
        <f>HYPERLINK("https://www.codechef.com/problems/PERMDIST", "https://www.codechef.com/problems/PERMDIST")</f>
        <v>https://www.codechef.com/problems/PERMDIST</v>
      </c>
      <c r="K578" s="14"/>
      <c r="L578" s="14" t="s">
        <v>8311</v>
      </c>
      <c r="M578" s="14"/>
      <c r="N578" s="14" t="s">
        <v>50</v>
      </c>
      <c r="O578" s="14" t="s">
        <v>51</v>
      </c>
    </row>
    <row r="579" spans="1:15">
      <c r="A579" s="15" t="s">
        <v>14</v>
      </c>
      <c r="B579" s="15" t="s">
        <v>8288</v>
      </c>
      <c r="C579" s="15" t="s">
        <v>8289</v>
      </c>
      <c r="D579" s="15" t="s">
        <v>8290</v>
      </c>
      <c r="E579" s="15">
        <v>11</v>
      </c>
      <c r="F579" s="15" t="s">
        <v>8312</v>
      </c>
      <c r="G579" s="15" t="s">
        <v>8313</v>
      </c>
      <c r="H579" s="15"/>
      <c r="I579" s="15" t="s">
        <v>322</v>
      </c>
      <c r="J579" s="7" t="str">
        <f>HYPERLINK("https://www.codechef.com/problems/COMPLEXG", "https://www.codechef.com/problems/COMPLEXG")</f>
        <v>https://www.codechef.com/problems/COMPLEXG</v>
      </c>
      <c r="K579" s="15"/>
      <c r="L579" s="15" t="s">
        <v>8314</v>
      </c>
      <c r="M579" s="15"/>
      <c r="N579" s="15" t="s">
        <v>50</v>
      </c>
      <c r="O579" s="15" t="s">
        <v>51</v>
      </c>
    </row>
    <row r="580" spans="1:15">
      <c r="A580" s="14" t="s">
        <v>14</v>
      </c>
      <c r="B580" s="14" t="s">
        <v>8288</v>
      </c>
      <c r="C580" s="14" t="s">
        <v>8289</v>
      </c>
      <c r="D580" s="14" t="s">
        <v>8290</v>
      </c>
      <c r="E580" s="14">
        <v>12</v>
      </c>
      <c r="F580" s="14" t="s">
        <v>8315</v>
      </c>
      <c r="G580" s="14" t="s">
        <v>8316</v>
      </c>
      <c r="H580" s="14"/>
      <c r="I580" s="14" t="s">
        <v>322</v>
      </c>
      <c r="J580" s="11" t="str">
        <f>HYPERLINK("https://www.codechef.com/problems/LALALANT", "https://www.codechef.com/problems/LALALANT")</f>
        <v>https://www.codechef.com/problems/LALALANT</v>
      </c>
      <c r="K580" s="14"/>
      <c r="L580" s="14" t="s">
        <v>8317</v>
      </c>
      <c r="M580" s="14"/>
      <c r="N580" s="14" t="s">
        <v>50</v>
      </c>
      <c r="O580" s="14" t="s">
        <v>51</v>
      </c>
    </row>
    <row r="581" spans="1:15">
      <c r="A581" s="15" t="s">
        <v>14</v>
      </c>
      <c r="B581" s="15" t="s">
        <v>8288</v>
      </c>
      <c r="C581" s="15" t="s">
        <v>8289</v>
      </c>
      <c r="D581" s="15" t="s">
        <v>8318</v>
      </c>
      <c r="E581" s="15">
        <v>13</v>
      </c>
      <c r="F581" s="15" t="s">
        <v>8319</v>
      </c>
      <c r="G581" s="15" t="s">
        <v>8320</v>
      </c>
      <c r="H581" s="15"/>
      <c r="I581" s="15" t="s">
        <v>96</v>
      </c>
      <c r="J581" s="7" t="str">
        <f>HYPERLINK("https://www.codechef.com/problems/SAFEROBO", "https://www.codechef.com/problems/SAFEROBO")</f>
        <v>https://www.codechef.com/problems/SAFEROBO</v>
      </c>
      <c r="K581" s="15"/>
      <c r="L581" s="15"/>
      <c r="M581" s="15"/>
      <c r="N581" s="15" t="s">
        <v>50</v>
      </c>
      <c r="O581" s="15" t="s">
        <v>51</v>
      </c>
    </row>
    <row r="582" spans="1:15">
      <c r="A582" s="14" t="s">
        <v>14</v>
      </c>
      <c r="B582" s="14" t="s">
        <v>8288</v>
      </c>
      <c r="C582" s="14" t="s">
        <v>8289</v>
      </c>
      <c r="D582" s="14" t="s">
        <v>8318</v>
      </c>
      <c r="E582" s="14">
        <v>14</v>
      </c>
      <c r="F582" s="14" t="s">
        <v>8321</v>
      </c>
      <c r="G582" s="14" t="s">
        <v>8322</v>
      </c>
      <c r="H582" s="14"/>
      <c r="I582" s="14" t="s">
        <v>322</v>
      </c>
      <c r="J582" s="11" t="str">
        <f>HYPERLINK("https://www.codechef.com/problems/MEANPROB", "https://www.codechef.com/problems/MEANPROB")</f>
        <v>https://www.codechef.com/problems/MEANPROB</v>
      </c>
      <c r="K582" s="14"/>
      <c r="L582" s="14" t="s">
        <v>8323</v>
      </c>
      <c r="M582" s="14"/>
      <c r="N582" s="14" t="s">
        <v>50</v>
      </c>
      <c r="O582" s="14" t="s">
        <v>51</v>
      </c>
    </row>
    <row r="583" spans="1:15">
      <c r="A583" s="15" t="s">
        <v>14</v>
      </c>
      <c r="B583" s="15" t="s">
        <v>8288</v>
      </c>
      <c r="C583" s="15" t="s">
        <v>8289</v>
      </c>
      <c r="D583" s="15" t="s">
        <v>8318</v>
      </c>
      <c r="E583" s="15">
        <v>15</v>
      </c>
      <c r="F583" s="15" t="s">
        <v>8324</v>
      </c>
      <c r="G583" s="15" t="s">
        <v>8325</v>
      </c>
      <c r="H583" s="15"/>
      <c r="I583" s="15" t="s">
        <v>322</v>
      </c>
      <c r="J583" s="7" t="str">
        <f>HYPERLINK("https://www.codechef.com/problems/TELNET", "https://www.codechef.com/problems/TELNET")</f>
        <v>https://www.codechef.com/problems/TELNET</v>
      </c>
      <c r="K583" s="15"/>
      <c r="L583" s="15"/>
      <c r="M583" s="15"/>
      <c r="N583" s="15" t="s">
        <v>50</v>
      </c>
      <c r="O583" s="15" t="s">
        <v>51</v>
      </c>
    </row>
    <row r="584" spans="1:15">
      <c r="A584" s="14" t="s">
        <v>14</v>
      </c>
      <c r="B584" s="14" t="s">
        <v>8288</v>
      </c>
      <c r="C584" s="14" t="s">
        <v>8289</v>
      </c>
      <c r="D584" s="14" t="s">
        <v>8318</v>
      </c>
      <c r="E584" s="14">
        <v>16</v>
      </c>
      <c r="F584" s="14" t="s">
        <v>8326</v>
      </c>
      <c r="G584" s="14" t="s">
        <v>8327</v>
      </c>
      <c r="H584" s="14"/>
      <c r="I584" s="14" t="s">
        <v>322</v>
      </c>
      <c r="J584" s="11" t="str">
        <f>HYPERLINK("https://www.codechef.com/problems/EAREA", "https://www.codechef.com/problems/EAREA")</f>
        <v>https://www.codechef.com/problems/EAREA</v>
      </c>
      <c r="K584" s="14"/>
      <c r="L584" s="14" t="s">
        <v>8328</v>
      </c>
      <c r="M584" s="14"/>
      <c r="N584" s="14" t="s">
        <v>50</v>
      </c>
      <c r="O584" s="14" t="s">
        <v>51</v>
      </c>
    </row>
    <row r="585" spans="1:15">
      <c r="A585" s="15" t="s">
        <v>14</v>
      </c>
      <c r="B585" s="15" t="s">
        <v>8288</v>
      </c>
      <c r="C585" s="15" t="s">
        <v>8289</v>
      </c>
      <c r="D585" s="15" t="s">
        <v>8318</v>
      </c>
      <c r="E585" s="15">
        <v>17</v>
      </c>
      <c r="F585" s="15" t="s">
        <v>8329</v>
      </c>
      <c r="G585" s="15" t="s">
        <v>8330</v>
      </c>
      <c r="H585" s="15"/>
      <c r="I585" s="15" t="s">
        <v>322</v>
      </c>
      <c r="J585" s="7" t="str">
        <f>HYPERLINK("https://www.codechef.com/problems/UNBAL", "https://www.codechef.com/problems/UNBAL")</f>
        <v>https://www.codechef.com/problems/UNBAL</v>
      </c>
      <c r="K585" s="15"/>
      <c r="L585" s="15"/>
      <c r="M585" s="15"/>
      <c r="N585" s="15" t="s">
        <v>50</v>
      </c>
      <c r="O585" s="15" t="s">
        <v>51</v>
      </c>
    </row>
    <row r="586" spans="1:15">
      <c r="A586" s="14" t="s">
        <v>14</v>
      </c>
      <c r="B586" s="14" t="s">
        <v>8288</v>
      </c>
      <c r="C586" s="14" t="s">
        <v>8289</v>
      </c>
      <c r="D586" s="14" t="s">
        <v>8318</v>
      </c>
      <c r="E586" s="14">
        <v>18</v>
      </c>
      <c r="F586" s="14" t="s">
        <v>8331</v>
      </c>
      <c r="G586" s="14" t="s">
        <v>8332</v>
      </c>
      <c r="H586" s="14"/>
      <c r="I586" s="14" t="s">
        <v>322</v>
      </c>
      <c r="J586" s="11" t="str">
        <f>HYPERLINK("https://www.codechef.com/problems/TRGAME", "https://www.codechef.com/problems/TRGAME")</f>
        <v>https://www.codechef.com/problems/TRGAME</v>
      </c>
      <c r="K586" s="14"/>
      <c r="L586" s="14"/>
      <c r="M586" s="14"/>
      <c r="N586" s="14" t="s">
        <v>50</v>
      </c>
      <c r="O586" s="14" t="s">
        <v>51</v>
      </c>
    </row>
    <row r="587" spans="1:15">
      <c r="A587" s="15" t="s">
        <v>14</v>
      </c>
      <c r="B587" s="15" t="s">
        <v>8288</v>
      </c>
      <c r="C587" s="15" t="s">
        <v>8289</v>
      </c>
      <c r="D587" s="15" t="s">
        <v>8318</v>
      </c>
      <c r="E587" s="15">
        <v>19</v>
      </c>
      <c r="F587" s="15" t="s">
        <v>8333</v>
      </c>
      <c r="G587" s="15" t="s">
        <v>8334</v>
      </c>
      <c r="H587" s="15"/>
      <c r="I587" s="15" t="s">
        <v>322</v>
      </c>
      <c r="J587" s="7" t="str">
        <f>HYPERLINK("https://www.codechef.com/problems/DICITIES", "https://www.codechef.com/problems/DICITIES")</f>
        <v>https://www.codechef.com/problems/DICITIES</v>
      </c>
      <c r="K587" s="15"/>
      <c r="L587" s="15" t="s">
        <v>8335</v>
      </c>
      <c r="M587" s="15"/>
      <c r="N587" s="15" t="s">
        <v>50</v>
      </c>
      <c r="O587" s="15" t="s">
        <v>51</v>
      </c>
    </row>
    <row r="588" spans="1:15">
      <c r="A588" s="14" t="s">
        <v>14</v>
      </c>
      <c r="B588" s="14" t="s">
        <v>8288</v>
      </c>
      <c r="C588" s="14" t="s">
        <v>8289</v>
      </c>
      <c r="D588" s="14" t="s">
        <v>8318</v>
      </c>
      <c r="E588" s="14">
        <v>20</v>
      </c>
      <c r="F588" s="14" t="s">
        <v>8336</v>
      </c>
      <c r="G588" s="14" t="s">
        <v>8337</v>
      </c>
      <c r="H588" s="14"/>
      <c r="I588" s="14" t="s">
        <v>322</v>
      </c>
      <c r="J588" s="11" t="str">
        <f>HYPERLINK("https://www.codechef.com/problems/TRANSACT", "https://www.codechef.com/problems/TRANSACT")</f>
        <v>https://www.codechef.com/problems/TRANSACT</v>
      </c>
      <c r="K588" s="14"/>
      <c r="L588" s="14"/>
      <c r="M588" s="14"/>
      <c r="N588" s="14" t="s">
        <v>50</v>
      </c>
      <c r="O588" s="14" t="s">
        <v>51</v>
      </c>
    </row>
    <row r="589" spans="1:15">
      <c r="A589" s="15" t="s">
        <v>14</v>
      </c>
      <c r="B589" s="15" t="s">
        <v>8288</v>
      </c>
      <c r="C589" s="15" t="s">
        <v>8289</v>
      </c>
      <c r="D589" s="15" t="s">
        <v>8318</v>
      </c>
      <c r="E589" s="15">
        <v>21</v>
      </c>
      <c r="F589" s="15" t="s">
        <v>8338</v>
      </c>
      <c r="G589" s="15" t="s">
        <v>8339</v>
      </c>
      <c r="H589" s="15"/>
      <c r="I589" s="15" t="s">
        <v>322</v>
      </c>
      <c r="J589" s="7" t="str">
        <f>HYPERLINK("https://www.codechef.com/problems/GUESSMID", "https://www.codechef.com/problems/GUESSMID")</f>
        <v>https://www.codechef.com/problems/GUESSMID</v>
      </c>
      <c r="K589" s="15"/>
      <c r="L589" s="15" t="s">
        <v>8340</v>
      </c>
      <c r="M589" s="15"/>
      <c r="N589" s="15" t="s">
        <v>50</v>
      </c>
      <c r="O589" s="15" t="s">
        <v>51</v>
      </c>
    </row>
    <row r="590" spans="1:15">
      <c r="A590" s="14" t="s">
        <v>14</v>
      </c>
      <c r="B590" s="14" t="s">
        <v>8288</v>
      </c>
      <c r="C590" s="14" t="s">
        <v>8289</v>
      </c>
      <c r="D590" s="14" t="s">
        <v>8318</v>
      </c>
      <c r="E590" s="14">
        <v>22</v>
      </c>
      <c r="F590" s="14" t="s">
        <v>8341</v>
      </c>
      <c r="G590" s="14" t="s">
        <v>8342</v>
      </c>
      <c r="H590" s="14"/>
      <c r="I590" s="14" t="s">
        <v>322</v>
      </c>
      <c r="J590" s="11" t="str">
        <f>HYPERLINK("https://www.codechef.com/problems/BINPALIN", "https://www.codechef.com/problems/BINPALIN")</f>
        <v>https://www.codechef.com/problems/BINPALIN</v>
      </c>
      <c r="K590" s="14"/>
      <c r="L590" s="14" t="s">
        <v>8343</v>
      </c>
      <c r="M590" s="14"/>
      <c r="N590" s="14" t="s">
        <v>50</v>
      </c>
      <c r="O590" s="14" t="s">
        <v>51</v>
      </c>
    </row>
    <row r="591" spans="1:15">
      <c r="A591" s="15" t="s">
        <v>14</v>
      </c>
      <c r="B591" s="15" t="s">
        <v>8288</v>
      </c>
      <c r="C591" s="15" t="s">
        <v>8289</v>
      </c>
      <c r="D591" s="15" t="s">
        <v>8318</v>
      </c>
      <c r="E591" s="15">
        <v>23</v>
      </c>
      <c r="F591" s="15" t="s">
        <v>8344</v>
      </c>
      <c r="G591" s="15" t="s">
        <v>8345</v>
      </c>
      <c r="H591" s="15"/>
      <c r="I591" s="15" t="s">
        <v>322</v>
      </c>
      <c r="J591" s="7" t="str">
        <f>HYPERLINK("https://www.codechef.com/problems/SMTOUR", "https://www.codechef.com/problems/SMTOUR")</f>
        <v>https://www.codechef.com/problems/SMTOUR</v>
      </c>
      <c r="K591" s="15"/>
      <c r="L591" s="15"/>
      <c r="M591" s="15"/>
      <c r="N591" s="15" t="s">
        <v>50</v>
      </c>
      <c r="O591" s="15" t="s">
        <v>51</v>
      </c>
    </row>
    <row r="592" spans="1:15">
      <c r="A592" s="14" t="s">
        <v>14</v>
      </c>
      <c r="B592" s="14" t="s">
        <v>8288</v>
      </c>
      <c r="C592" s="14" t="s">
        <v>8289</v>
      </c>
      <c r="D592" s="14" t="s">
        <v>8346</v>
      </c>
      <c r="E592" s="14">
        <v>24</v>
      </c>
      <c r="F592" s="14" t="s">
        <v>8347</v>
      </c>
      <c r="G592" s="14" t="s">
        <v>8348</v>
      </c>
      <c r="H592" s="14"/>
      <c r="I592" s="14" t="s">
        <v>96</v>
      </c>
      <c r="J592" s="11" t="str">
        <f>HYPERLINK("https://www.codechef.com/problems/WALKFAST", "https://www.codechef.com/problems/WALKFAST")</f>
        <v>https://www.codechef.com/problems/WALKFAST</v>
      </c>
      <c r="K592" s="14"/>
      <c r="L592" s="14"/>
      <c r="M592" s="14"/>
      <c r="N592" s="14" t="s">
        <v>50</v>
      </c>
      <c r="O592" s="14" t="s">
        <v>51</v>
      </c>
    </row>
    <row r="593" spans="1:15">
      <c r="A593" s="15" t="s">
        <v>14</v>
      </c>
      <c r="B593" s="15" t="s">
        <v>8288</v>
      </c>
      <c r="C593" s="15" t="s">
        <v>8289</v>
      </c>
      <c r="D593" s="15" t="s">
        <v>8346</v>
      </c>
      <c r="E593" s="15">
        <v>25</v>
      </c>
      <c r="F593" s="15" t="s">
        <v>8349</v>
      </c>
      <c r="G593" s="15" t="s">
        <v>8350</v>
      </c>
      <c r="H593" s="15"/>
      <c r="I593" s="15" t="s">
        <v>322</v>
      </c>
      <c r="J593" s="7" t="str">
        <f>HYPERLINK("https://www.codechef.com/problems/BALLCOL", "https://www.codechef.com/problems/BALLCOL")</f>
        <v>https://www.codechef.com/problems/BALLCOL</v>
      </c>
      <c r="K593" s="15"/>
      <c r="L593" s="15" t="s">
        <v>8351</v>
      </c>
      <c r="M593" s="15"/>
      <c r="N593" s="15" t="s">
        <v>50</v>
      </c>
      <c r="O593" s="15" t="s">
        <v>51</v>
      </c>
    </row>
    <row r="594" spans="1:15">
      <c r="A594" s="14" t="s">
        <v>14</v>
      </c>
      <c r="B594" s="14" t="s">
        <v>8288</v>
      </c>
      <c r="C594" s="14" t="s">
        <v>8289</v>
      </c>
      <c r="D594" s="14" t="s">
        <v>8346</v>
      </c>
      <c r="E594" s="14">
        <v>26</v>
      </c>
      <c r="F594" s="14" t="s">
        <v>8352</v>
      </c>
      <c r="G594" s="14" t="s">
        <v>8353</v>
      </c>
      <c r="H594" s="14"/>
      <c r="I594" s="14" t="s">
        <v>322</v>
      </c>
      <c r="J594" s="11" t="str">
        <f>HYPERLINK("https://www.codechef.com/problems/MAXDIVER", "https://www.codechef.com/problems/MAXDIVER")</f>
        <v>https://www.codechef.com/problems/MAXDIVER</v>
      </c>
      <c r="K594" s="14"/>
      <c r="L594" s="14"/>
      <c r="M594" s="14"/>
      <c r="N594" s="14" t="s">
        <v>50</v>
      </c>
      <c r="O594" s="14" t="s">
        <v>51</v>
      </c>
    </row>
    <row r="595" spans="1:15">
      <c r="A595" s="15" t="s">
        <v>14</v>
      </c>
      <c r="B595" s="15" t="s">
        <v>8288</v>
      </c>
      <c r="C595" s="15" t="s">
        <v>8289</v>
      </c>
      <c r="D595" s="15" t="s">
        <v>8346</v>
      </c>
      <c r="E595" s="15">
        <v>27</v>
      </c>
      <c r="F595" s="15" t="s">
        <v>8354</v>
      </c>
      <c r="G595" s="15" t="s">
        <v>8355</v>
      </c>
      <c r="H595" s="15"/>
      <c r="I595" s="15" t="s">
        <v>322</v>
      </c>
      <c r="J595" s="7" t="str">
        <f>HYPERLINK("https://www.codechef.com/problems/RANDID", "https://www.codechef.com/problems/RANDID")</f>
        <v>https://www.codechef.com/problems/RANDID</v>
      </c>
      <c r="K595" s="15"/>
      <c r="L595" s="15"/>
      <c r="M595" s="15"/>
      <c r="N595" s="15" t="s">
        <v>50</v>
      </c>
      <c r="O595" s="15" t="s">
        <v>51</v>
      </c>
    </row>
    <row r="596" spans="1:15">
      <c r="A596" s="14" t="s">
        <v>14</v>
      </c>
      <c r="B596" s="14" t="s">
        <v>8288</v>
      </c>
      <c r="C596" s="14" t="s">
        <v>8289</v>
      </c>
      <c r="D596" s="14" t="s">
        <v>8346</v>
      </c>
      <c r="E596" s="14">
        <v>28</v>
      </c>
      <c r="F596" s="14" t="s">
        <v>8356</v>
      </c>
      <c r="G596" s="14" t="s">
        <v>8357</v>
      </c>
      <c r="H596" s="14"/>
      <c r="I596" s="14" t="s">
        <v>322</v>
      </c>
      <c r="J596" s="11" t="str">
        <f>HYPERLINK("https://www.codechef.com/problems/AWKMINI", "https://www.codechef.com/problems/AWKMINI")</f>
        <v>https://www.codechef.com/problems/AWKMINI</v>
      </c>
      <c r="K596" s="14"/>
      <c r="L596" s="14" t="s">
        <v>8358</v>
      </c>
      <c r="M596" s="14"/>
      <c r="N596" s="14" t="s">
        <v>50</v>
      </c>
      <c r="O596" s="14" t="s">
        <v>51</v>
      </c>
    </row>
    <row r="597" spans="1:15">
      <c r="A597" s="15" t="s">
        <v>14</v>
      </c>
      <c r="B597" s="15" t="s">
        <v>8288</v>
      </c>
      <c r="C597" s="15" t="s">
        <v>8289</v>
      </c>
      <c r="D597" s="15" t="s">
        <v>8346</v>
      </c>
      <c r="E597" s="15">
        <v>29</v>
      </c>
      <c r="F597" s="15" t="s">
        <v>8359</v>
      </c>
      <c r="G597" s="15" t="s">
        <v>8360</v>
      </c>
      <c r="H597" s="15"/>
      <c r="I597" s="15" t="s">
        <v>322</v>
      </c>
      <c r="J597" s="7" t="str">
        <f>HYPERLINK("https://www.codechef.com/problems/VARMIN", "https://www.codechef.com/problems/VARMIN")</f>
        <v>https://www.codechef.com/problems/VARMIN</v>
      </c>
      <c r="K597" s="15"/>
      <c r="L597" s="15"/>
      <c r="M597" s="15"/>
      <c r="N597" s="15" t="s">
        <v>50</v>
      </c>
      <c r="O597" s="15" t="s">
        <v>51</v>
      </c>
    </row>
    <row r="598" spans="1:15">
      <c r="A598" s="14" t="s">
        <v>14</v>
      </c>
      <c r="B598" s="14" t="s">
        <v>8288</v>
      </c>
      <c r="C598" s="14" t="s">
        <v>8289</v>
      </c>
      <c r="D598" s="14" t="s">
        <v>8346</v>
      </c>
      <c r="E598" s="14">
        <v>30</v>
      </c>
      <c r="F598" s="14" t="s">
        <v>8361</v>
      </c>
      <c r="G598" s="14" t="s">
        <v>8362</v>
      </c>
      <c r="H598" s="14"/>
      <c r="I598" s="14" t="s">
        <v>322</v>
      </c>
      <c r="J598" s="11" t="str">
        <f>HYPERLINK("https://www.codechef.com/problems/SEGDIR2", "https://www.codechef.com/problems/SEGDIR2")</f>
        <v>https://www.codechef.com/problems/SEGDIR2</v>
      </c>
      <c r="K598" s="14"/>
      <c r="L598" s="14"/>
      <c r="M598" s="14"/>
      <c r="N598" s="14" t="s">
        <v>50</v>
      </c>
      <c r="O598" s="14" t="s">
        <v>51</v>
      </c>
    </row>
    <row r="599" spans="1:15">
      <c r="A599" s="15" t="s">
        <v>14</v>
      </c>
      <c r="B599" s="15" t="s">
        <v>8288</v>
      </c>
      <c r="C599" s="15" t="s">
        <v>8289</v>
      </c>
      <c r="D599" s="15" t="s">
        <v>8346</v>
      </c>
      <c r="E599" s="15">
        <v>31</v>
      </c>
      <c r="F599" s="15" t="s">
        <v>8363</v>
      </c>
      <c r="G599" s="15" t="s">
        <v>8364</v>
      </c>
      <c r="H599" s="15"/>
      <c r="I599" s="15" t="s">
        <v>322</v>
      </c>
      <c r="J599" s="7" t="str">
        <f>HYPERLINK("https://www.codechef.com/problems/SUBMATCH", "https://www.codechef.com/problems/SUBMATCH")</f>
        <v>https://www.codechef.com/problems/SUBMATCH</v>
      </c>
      <c r="K599" s="15"/>
      <c r="L599" s="15"/>
      <c r="M599" s="15"/>
      <c r="N599" s="15" t="s">
        <v>50</v>
      </c>
      <c r="O599" s="15" t="s">
        <v>51</v>
      </c>
    </row>
    <row r="600" spans="1:15">
      <c r="A600" s="14" t="s">
        <v>14</v>
      </c>
      <c r="B600" s="14" t="s">
        <v>8288</v>
      </c>
      <c r="C600" s="14" t="s">
        <v>8289</v>
      </c>
      <c r="D600" s="14" t="s">
        <v>8346</v>
      </c>
      <c r="E600" s="14">
        <v>32</v>
      </c>
      <c r="F600" s="14" t="s">
        <v>8365</v>
      </c>
      <c r="G600" s="14" t="s">
        <v>8366</v>
      </c>
      <c r="H600" s="14"/>
      <c r="I600" s="14" t="s">
        <v>322</v>
      </c>
      <c r="J600" s="11" t="str">
        <f>HYPERLINK("https://www.codechef.com/problems/GRAPHCON", "https://www.codechef.com/problems/GRAPHCON")</f>
        <v>https://www.codechef.com/problems/GRAPHCON</v>
      </c>
      <c r="K600" s="14"/>
      <c r="L600" s="14" t="s">
        <v>2833</v>
      </c>
      <c r="M600" s="14"/>
      <c r="N600" s="14" t="s">
        <v>50</v>
      </c>
      <c r="O600" s="14" t="s">
        <v>51</v>
      </c>
    </row>
    <row r="601" spans="1:15">
      <c r="A601" s="15" t="s">
        <v>14</v>
      </c>
      <c r="B601" s="15" t="s">
        <v>8288</v>
      </c>
      <c r="C601" s="15" t="s">
        <v>8289</v>
      </c>
      <c r="D601" s="15" t="s">
        <v>8346</v>
      </c>
      <c r="E601" s="15">
        <v>33</v>
      </c>
      <c r="F601" s="15" t="s">
        <v>8367</v>
      </c>
      <c r="G601" s="15" t="s">
        <v>8368</v>
      </c>
      <c r="H601" s="15"/>
      <c r="I601" s="15" t="s">
        <v>322</v>
      </c>
      <c r="J601" s="7" t="str">
        <f>HYPERLINK("https://www.codechef.com/problems/BALLSUM", "https://www.codechef.com/problems/BALLSUM")</f>
        <v>https://www.codechef.com/problems/BALLSUM</v>
      </c>
      <c r="K601" s="15"/>
      <c r="L601" s="15" t="s">
        <v>8369</v>
      </c>
      <c r="M601" s="15"/>
      <c r="N601" s="15" t="s">
        <v>50</v>
      </c>
      <c r="O601" s="15" t="s">
        <v>51</v>
      </c>
    </row>
    <row r="602" spans="1:15">
      <c r="A602" s="14" t="s">
        <v>14</v>
      </c>
      <c r="B602" s="14" t="s">
        <v>8288</v>
      </c>
      <c r="C602" s="14" t="s">
        <v>8289</v>
      </c>
      <c r="D602" s="14" t="s">
        <v>8346</v>
      </c>
      <c r="E602" s="14">
        <v>34</v>
      </c>
      <c r="F602" s="14" t="s">
        <v>8370</v>
      </c>
      <c r="G602" s="14" t="s">
        <v>8371</v>
      </c>
      <c r="H602" s="14"/>
      <c r="I602" s="14" t="s">
        <v>322</v>
      </c>
      <c r="J602" s="11" t="str">
        <f>HYPERLINK("https://www.codechef.com/problems/ANAJOBS", "https://www.codechef.com/problems/ANAJOBS")</f>
        <v>https://www.codechef.com/problems/ANAJOBS</v>
      </c>
      <c r="K602" s="14"/>
      <c r="L602" s="14" t="s">
        <v>8372</v>
      </c>
      <c r="M602" s="14"/>
      <c r="N602" s="14" t="s">
        <v>50</v>
      </c>
      <c r="O602" s="14" t="s">
        <v>51</v>
      </c>
    </row>
    <row r="603" spans="1:15">
      <c r="A603" s="15" t="s">
        <v>14</v>
      </c>
      <c r="B603" s="15" t="s">
        <v>8288</v>
      </c>
      <c r="C603" s="15" t="s">
        <v>8289</v>
      </c>
      <c r="D603" s="15" t="s">
        <v>8373</v>
      </c>
      <c r="E603" s="15">
        <v>35</v>
      </c>
      <c r="F603" s="15" t="s">
        <v>8374</v>
      </c>
      <c r="G603" s="15" t="s">
        <v>8375</v>
      </c>
      <c r="H603" s="15"/>
      <c r="I603" s="15" t="s">
        <v>49</v>
      </c>
      <c r="J603" s="7" t="str">
        <f>HYPERLINK("https://www.codechef.com/problems/DISCSHOP", "https://www.codechef.com/problems/DISCSHOP")</f>
        <v>https://www.codechef.com/problems/DISCSHOP</v>
      </c>
      <c r="K603" s="15"/>
      <c r="L603" s="15" t="s">
        <v>8376</v>
      </c>
      <c r="M603" s="15"/>
      <c r="N603" s="15" t="s">
        <v>50</v>
      </c>
      <c r="O603" s="15" t="s">
        <v>51</v>
      </c>
    </row>
    <row r="604" spans="1:15">
      <c r="A604" s="14" t="s">
        <v>14</v>
      </c>
      <c r="B604" s="14" t="s">
        <v>8288</v>
      </c>
      <c r="C604" s="14" t="s">
        <v>8289</v>
      </c>
      <c r="D604" s="14" t="s">
        <v>8373</v>
      </c>
      <c r="E604" s="14">
        <v>36</v>
      </c>
      <c r="F604" s="14" t="s">
        <v>8377</v>
      </c>
      <c r="G604" s="14" t="s">
        <v>8378</v>
      </c>
      <c r="H604" s="14"/>
      <c r="I604" s="14" t="s">
        <v>96</v>
      </c>
      <c r="J604" s="11" t="str">
        <f>HYPERLINK("https://www.codechef.com/problems/TRAINSET", "https://www.codechef.com/problems/TRAINSET")</f>
        <v>https://www.codechef.com/problems/TRAINSET</v>
      </c>
      <c r="K604" s="14"/>
      <c r="L604" s="14"/>
      <c r="M604" s="14"/>
      <c r="N604" s="14" t="s">
        <v>50</v>
      </c>
      <c r="O604" s="14" t="s">
        <v>51</v>
      </c>
    </row>
    <row r="605" spans="1:15">
      <c r="A605" s="15" t="s">
        <v>14</v>
      </c>
      <c r="B605" s="15" t="s">
        <v>8288</v>
      </c>
      <c r="C605" s="15" t="s">
        <v>8289</v>
      </c>
      <c r="D605" s="15" t="s">
        <v>8373</v>
      </c>
      <c r="E605" s="15">
        <v>37</v>
      </c>
      <c r="F605" s="15" t="s">
        <v>8379</v>
      </c>
      <c r="G605" s="15" t="s">
        <v>8380</v>
      </c>
      <c r="H605" s="15"/>
      <c r="I605" s="15" t="s">
        <v>322</v>
      </c>
      <c r="J605" s="7" t="str">
        <f>HYPERLINK("https://www.codechef.com/problems/PENS", "https://www.codechef.com/problems/PENS")</f>
        <v>https://www.codechef.com/problems/PENS</v>
      </c>
      <c r="K605" s="15"/>
      <c r="L605" s="15"/>
      <c r="M605" s="15"/>
      <c r="N605" s="15" t="s">
        <v>50</v>
      </c>
      <c r="O605" s="15" t="s">
        <v>51</v>
      </c>
    </row>
    <row r="606" spans="1:15">
      <c r="A606" s="14" t="s">
        <v>14</v>
      </c>
      <c r="B606" s="14" t="s">
        <v>8288</v>
      </c>
      <c r="C606" s="14" t="s">
        <v>8289</v>
      </c>
      <c r="D606" s="14" t="s">
        <v>8373</v>
      </c>
      <c r="E606" s="14">
        <v>38</v>
      </c>
      <c r="F606" s="14" t="s">
        <v>8381</v>
      </c>
      <c r="G606" s="14" t="s">
        <v>8382</v>
      </c>
      <c r="H606" s="14"/>
      <c r="I606" s="14" t="s">
        <v>322</v>
      </c>
      <c r="J606" s="11" t="str">
        <f>HYPERLINK("https://www.codechef.com/problems/BEAUTPAR", "https://www.codechef.com/problems/BEAUTPAR")</f>
        <v>https://www.codechef.com/problems/BEAUTPAR</v>
      </c>
      <c r="K606" s="14"/>
      <c r="L606" s="14" t="s">
        <v>8383</v>
      </c>
      <c r="M606" s="14"/>
      <c r="N606" s="14" t="s">
        <v>50</v>
      </c>
      <c r="O606" s="14" t="s">
        <v>51</v>
      </c>
    </row>
    <row r="607" spans="1:15">
      <c r="A607" s="15" t="s">
        <v>14</v>
      </c>
      <c r="B607" s="15" t="s">
        <v>8288</v>
      </c>
      <c r="C607" s="15" t="s">
        <v>8289</v>
      </c>
      <c r="D607" s="15" t="s">
        <v>8373</v>
      </c>
      <c r="E607" s="15">
        <v>39</v>
      </c>
      <c r="F607" s="15" t="s">
        <v>8384</v>
      </c>
      <c r="G607" s="15" t="s">
        <v>8385</v>
      </c>
      <c r="H607" s="15"/>
      <c r="I607" s="15" t="s">
        <v>322</v>
      </c>
      <c r="J607" s="7" t="str">
        <f>HYPERLINK("https://www.codechef.com/problems/SHUFGRID", "https://www.codechef.com/problems/SHUFGRID")</f>
        <v>https://www.codechef.com/problems/SHUFGRID</v>
      </c>
      <c r="K607" s="15"/>
      <c r="L607" s="15"/>
      <c r="M607" s="15"/>
      <c r="N607" s="15" t="s">
        <v>50</v>
      </c>
      <c r="O607" s="15" t="s">
        <v>51</v>
      </c>
    </row>
    <row r="608" spans="1:15">
      <c r="A608" s="14" t="s">
        <v>14</v>
      </c>
      <c r="B608" s="14" t="s">
        <v>8288</v>
      </c>
      <c r="C608" s="14" t="s">
        <v>8289</v>
      </c>
      <c r="D608" s="14" t="s">
        <v>8373</v>
      </c>
      <c r="E608" s="14">
        <v>40</v>
      </c>
      <c r="F608" s="14" t="s">
        <v>8386</v>
      </c>
      <c r="G608" s="14" t="s">
        <v>8387</v>
      </c>
      <c r="H608" s="14"/>
      <c r="I608" s="14" t="s">
        <v>322</v>
      </c>
      <c r="J608" s="11" t="str">
        <f>HYPERLINK("https://www.codechef.com/problems/SPS", "https://www.codechef.com/problems/SPS")</f>
        <v>https://www.codechef.com/problems/SPS</v>
      </c>
      <c r="K608" s="14"/>
      <c r="L608" s="14"/>
      <c r="M608" s="14"/>
      <c r="N608" s="14" t="s">
        <v>50</v>
      </c>
      <c r="O608" s="14" t="s">
        <v>51</v>
      </c>
    </row>
    <row r="609" spans="1:15">
      <c r="A609" s="15" t="s">
        <v>14</v>
      </c>
      <c r="B609" s="15" t="s">
        <v>8288</v>
      </c>
      <c r="C609" s="15" t="s">
        <v>8289</v>
      </c>
      <c r="D609" s="15" t="s">
        <v>8373</v>
      </c>
      <c r="E609" s="15">
        <v>41</v>
      </c>
      <c r="F609" s="15" t="s">
        <v>4457</v>
      </c>
      <c r="G609" s="15" t="s">
        <v>4458</v>
      </c>
      <c r="H609" s="15"/>
      <c r="I609" s="15" t="s">
        <v>322</v>
      </c>
      <c r="J609" s="7" t="str">
        <f>HYPERLINK("https://www.codechef.com/problems/SEGDIR", "https://www.codechef.com/problems/SEGDIR")</f>
        <v>https://www.codechef.com/problems/SEGDIR</v>
      </c>
      <c r="K609" s="15"/>
      <c r="L609" s="15"/>
      <c r="M609" s="15"/>
      <c r="N609" s="15" t="s">
        <v>50</v>
      </c>
      <c r="O609" s="15" t="s">
        <v>51</v>
      </c>
    </row>
    <row r="610" spans="1:15">
      <c r="A610" s="14" t="s">
        <v>14</v>
      </c>
      <c r="B610" s="14" t="s">
        <v>8288</v>
      </c>
      <c r="C610" s="14" t="s">
        <v>8289</v>
      </c>
      <c r="D610" s="14" t="s">
        <v>8388</v>
      </c>
      <c r="E610" s="14">
        <v>42</v>
      </c>
      <c r="F610" s="14" t="s">
        <v>8389</v>
      </c>
      <c r="G610" s="14" t="s">
        <v>8390</v>
      </c>
      <c r="H610" s="14"/>
      <c r="I610" s="14" t="s">
        <v>322</v>
      </c>
      <c r="J610" s="11" t="str">
        <f>HYPERLINK("https://www.codechef.com/problems/GVAWAY", "https://www.codechef.com/problems/GVAWAY")</f>
        <v>https://www.codechef.com/problems/GVAWAY</v>
      </c>
      <c r="K610" s="14"/>
      <c r="L610" s="14" t="s">
        <v>8391</v>
      </c>
      <c r="M610" s="14"/>
      <c r="N610" s="14" t="s">
        <v>50</v>
      </c>
      <c r="O610" s="14" t="s">
        <v>51</v>
      </c>
    </row>
    <row r="611" spans="1:15">
      <c r="A611" s="15" t="s">
        <v>14</v>
      </c>
      <c r="B611" s="15" t="s">
        <v>8288</v>
      </c>
      <c r="C611" s="15" t="s">
        <v>8289</v>
      </c>
      <c r="D611" s="15" t="s">
        <v>8388</v>
      </c>
      <c r="E611" s="15">
        <v>43</v>
      </c>
      <c r="F611" s="15" t="s">
        <v>8392</v>
      </c>
      <c r="G611" s="15" t="s">
        <v>8393</v>
      </c>
      <c r="H611" s="15"/>
      <c r="I611" s="15" t="s">
        <v>322</v>
      </c>
      <c r="J611" s="7" t="str">
        <f>HYPERLINK("https://www.codechef.com/problems/ARRQRY", "https://www.codechef.com/problems/ARRQRY")</f>
        <v>https://www.codechef.com/problems/ARRQRY</v>
      </c>
      <c r="K611" s="15"/>
      <c r="L611" s="15" t="s">
        <v>8394</v>
      </c>
      <c r="M611" s="15"/>
      <c r="N611" s="15" t="s">
        <v>50</v>
      </c>
      <c r="O611" s="15" t="s">
        <v>51</v>
      </c>
    </row>
    <row r="612" spans="1:15">
      <c r="A612" s="14" t="s">
        <v>14</v>
      </c>
      <c r="B612" s="14" t="s">
        <v>8288</v>
      </c>
      <c r="C612" s="14" t="s">
        <v>8289</v>
      </c>
      <c r="D612" s="14" t="s">
        <v>8388</v>
      </c>
      <c r="E612" s="14">
        <v>44</v>
      </c>
      <c r="F612" s="14" t="s">
        <v>8395</v>
      </c>
      <c r="G612" s="14" t="s">
        <v>8396</v>
      </c>
      <c r="H612" s="14"/>
      <c r="I612" s="14" t="s">
        <v>322</v>
      </c>
      <c r="J612" s="11" t="str">
        <f>HYPERLINK("https://www.codechef.com/problems/PRMPRT", "https://www.codechef.com/problems/PRMPRT")</f>
        <v>https://www.codechef.com/problems/PRMPRT</v>
      </c>
      <c r="K612" s="14"/>
      <c r="L612" s="14" t="s">
        <v>8397</v>
      </c>
      <c r="M612" s="14"/>
      <c r="N612" s="14" t="s">
        <v>50</v>
      </c>
      <c r="O612" s="14" t="s">
        <v>51</v>
      </c>
    </row>
    <row r="613" spans="1:15">
      <c r="A613" s="15" t="s">
        <v>14</v>
      </c>
      <c r="B613" s="15" t="s">
        <v>8288</v>
      </c>
      <c r="C613" s="15" t="s">
        <v>8289</v>
      </c>
      <c r="D613" s="15" t="s">
        <v>8388</v>
      </c>
      <c r="E613" s="15">
        <v>45</v>
      </c>
      <c r="F613" s="15" t="s">
        <v>8398</v>
      </c>
      <c r="G613" s="15" t="s">
        <v>8399</v>
      </c>
      <c r="H613" s="15"/>
      <c r="I613" s="15" t="s">
        <v>322</v>
      </c>
      <c r="J613" s="7" t="str">
        <f>HYPERLINK("https://www.codechef.com/problems/WALK4", "https://www.codechef.com/problems/WALK4")</f>
        <v>https://www.codechef.com/problems/WALK4</v>
      </c>
      <c r="K613" s="15"/>
      <c r="L613" s="15"/>
      <c r="M613" s="15"/>
      <c r="N613" s="15" t="s">
        <v>50</v>
      </c>
      <c r="O613" s="15" t="s">
        <v>51</v>
      </c>
    </row>
    <row r="614" spans="1:15">
      <c r="A614" s="14" t="s">
        <v>14</v>
      </c>
      <c r="B614" s="14" t="s">
        <v>8288</v>
      </c>
      <c r="C614" s="14" t="s">
        <v>8289</v>
      </c>
      <c r="D614" s="14" t="s">
        <v>8388</v>
      </c>
      <c r="E614" s="14">
        <v>46</v>
      </c>
      <c r="F614" s="14" t="s">
        <v>8400</v>
      </c>
      <c r="G614" s="14" t="s">
        <v>8401</v>
      </c>
      <c r="H614" s="14"/>
      <c r="I614" s="14" t="s">
        <v>322</v>
      </c>
      <c r="J614" s="11" t="str">
        <f>HYPERLINK("https://www.codechef.com/problems/FCIPL", "https://www.codechef.com/problems/FCIPL")</f>
        <v>https://www.codechef.com/problems/FCIPL</v>
      </c>
      <c r="K614" s="14"/>
      <c r="L614" s="14" t="s">
        <v>8402</v>
      </c>
      <c r="M614" s="14"/>
      <c r="N614" s="14" t="s">
        <v>50</v>
      </c>
      <c r="O614" s="14" t="s">
        <v>51</v>
      </c>
    </row>
    <row r="615" spans="1:15">
      <c r="A615" s="15" t="s">
        <v>14</v>
      </c>
      <c r="B615" s="15" t="s">
        <v>8288</v>
      </c>
      <c r="C615" s="15" t="s">
        <v>8289</v>
      </c>
      <c r="D615" s="15" t="s">
        <v>8388</v>
      </c>
      <c r="E615" s="15">
        <v>47</v>
      </c>
      <c r="F615" s="15" t="s">
        <v>8403</v>
      </c>
      <c r="G615" s="15" t="s">
        <v>8404</v>
      </c>
      <c r="H615" s="15"/>
      <c r="I615" s="15" t="s">
        <v>322</v>
      </c>
      <c r="J615" s="7" t="str">
        <f>HYPERLINK("https://www.codechef.com/problems/KPRB", "https://www.codechef.com/problems/KPRB")</f>
        <v>https://www.codechef.com/problems/KPRB</v>
      </c>
      <c r="K615" s="15"/>
      <c r="L615" s="15" t="s">
        <v>8405</v>
      </c>
      <c r="M615" s="15"/>
      <c r="N615" s="15" t="s">
        <v>50</v>
      </c>
      <c r="O615" s="15" t="s">
        <v>51</v>
      </c>
    </row>
    <row r="616" spans="1:15">
      <c r="A616" s="14" t="s">
        <v>14</v>
      </c>
      <c r="B616" s="14" t="s">
        <v>8288</v>
      </c>
      <c r="C616" s="14" t="s">
        <v>8289</v>
      </c>
      <c r="D616" s="14" t="s">
        <v>8388</v>
      </c>
      <c r="E616" s="14">
        <v>48</v>
      </c>
      <c r="F616" s="14" t="s">
        <v>8406</v>
      </c>
      <c r="G616" s="14" t="s">
        <v>8407</v>
      </c>
      <c r="H616" s="14"/>
      <c r="I616" s="14" t="s">
        <v>322</v>
      </c>
      <c r="J616" s="11" t="str">
        <f>HYPERLINK("https://www.codechef.com/problems/WGTNKLC", "https://www.codechef.com/problems/WGTNKLC")</f>
        <v>https://www.codechef.com/problems/WGTNKLC</v>
      </c>
      <c r="K616" s="14"/>
      <c r="L616" s="14"/>
      <c r="M616" s="14"/>
      <c r="N616" s="14" t="s">
        <v>50</v>
      </c>
      <c r="O616" s="14" t="s">
        <v>51</v>
      </c>
    </row>
    <row r="617" spans="1:15">
      <c r="A617" s="15" t="s">
        <v>14</v>
      </c>
      <c r="B617" s="15" t="s">
        <v>8288</v>
      </c>
      <c r="C617" s="15" t="s">
        <v>8289</v>
      </c>
      <c r="D617" s="15" t="s">
        <v>8388</v>
      </c>
      <c r="E617" s="15">
        <v>49</v>
      </c>
      <c r="F617" s="15" t="s">
        <v>8408</v>
      </c>
      <c r="G617" s="15" t="s">
        <v>8409</v>
      </c>
      <c r="H617" s="15"/>
      <c r="I617" s="15" t="s">
        <v>322</v>
      </c>
      <c r="J617" s="7" t="str">
        <f>HYPERLINK("https://www.codechef.com/problems/MINDIST", "https://www.codechef.com/problems/MINDIST")</f>
        <v>https://www.codechef.com/problems/MINDIST</v>
      </c>
      <c r="K617" s="15"/>
      <c r="L617" s="15" t="s">
        <v>8410</v>
      </c>
      <c r="M617" s="15"/>
      <c r="N617" s="15" t="s">
        <v>50</v>
      </c>
      <c r="O617" s="15" t="s">
        <v>51</v>
      </c>
    </row>
    <row r="618" spans="1:15">
      <c r="A618" s="14" t="s">
        <v>14</v>
      </c>
      <c r="B618" s="14" t="s">
        <v>8288</v>
      </c>
      <c r="C618" s="14" t="s">
        <v>8289</v>
      </c>
      <c r="D618" s="14" t="s">
        <v>8388</v>
      </c>
      <c r="E618" s="14">
        <v>50</v>
      </c>
      <c r="F618" s="14" t="s">
        <v>8411</v>
      </c>
      <c r="G618" s="14" t="s">
        <v>8412</v>
      </c>
      <c r="H618" s="14"/>
      <c r="I618" s="14" t="s">
        <v>322</v>
      </c>
      <c r="J618" s="11" t="str">
        <f>HYPERLINK("https://www.codechef.com/problems/BEAUAR", "https://www.codechef.com/problems/BEAUAR")</f>
        <v>https://www.codechef.com/problems/BEAUAR</v>
      </c>
      <c r="K618" s="14"/>
      <c r="L618" s="14" t="s">
        <v>8413</v>
      </c>
      <c r="M618" s="14"/>
      <c r="N618" s="14" t="s">
        <v>50</v>
      </c>
      <c r="O618" s="14" t="s">
        <v>51</v>
      </c>
    </row>
    <row r="619" spans="1:15">
      <c r="A619" s="15" t="s">
        <v>14</v>
      </c>
      <c r="B619" s="15" t="s">
        <v>8288</v>
      </c>
      <c r="C619" s="15" t="s">
        <v>8289</v>
      </c>
      <c r="D619" s="15" t="s">
        <v>8388</v>
      </c>
      <c r="E619" s="15">
        <v>51</v>
      </c>
      <c r="F619" s="15" t="s">
        <v>8414</v>
      </c>
      <c r="G619" s="15" t="s">
        <v>8415</v>
      </c>
      <c r="H619" s="15"/>
      <c r="I619" s="15" t="s">
        <v>322</v>
      </c>
      <c r="J619" s="7" t="str">
        <f>HYPERLINK("https://www.codechef.com/problems/LNDNCK", "https://www.codechef.com/problems/LNDNCK")</f>
        <v>https://www.codechef.com/problems/LNDNCK</v>
      </c>
      <c r="K619" s="15"/>
      <c r="L619" s="15" t="s">
        <v>8416</v>
      </c>
      <c r="M619" s="15"/>
      <c r="N619" s="15" t="s">
        <v>50</v>
      </c>
      <c r="O619" s="15" t="s">
        <v>51</v>
      </c>
    </row>
    <row r="620" spans="1:15">
      <c r="A620" s="14" t="s">
        <v>14</v>
      </c>
      <c r="B620" s="14" t="s">
        <v>8288</v>
      </c>
      <c r="C620" s="14" t="s">
        <v>8289</v>
      </c>
      <c r="D620" s="14" t="s">
        <v>8417</v>
      </c>
      <c r="E620" s="14">
        <v>52</v>
      </c>
      <c r="F620" s="14" t="s">
        <v>8418</v>
      </c>
      <c r="G620" s="14" t="s">
        <v>8419</v>
      </c>
      <c r="H620" s="14"/>
      <c r="I620" s="14" t="s">
        <v>49</v>
      </c>
      <c r="J620" s="11" t="str">
        <f>HYPERLINK("https://www.codechef.com/problems/LIFELTD", "https://www.codechef.com/problems/LIFELTD")</f>
        <v>https://www.codechef.com/problems/LIFELTD</v>
      </c>
      <c r="K620" s="14"/>
      <c r="L620" s="14" t="s">
        <v>2331</v>
      </c>
      <c r="M620" s="14"/>
      <c r="N620" s="14" t="s">
        <v>50</v>
      </c>
      <c r="O620" s="14" t="s">
        <v>51</v>
      </c>
    </row>
    <row r="621" spans="1:15">
      <c r="A621" s="15" t="s">
        <v>14</v>
      </c>
      <c r="B621" s="15" t="s">
        <v>8288</v>
      </c>
      <c r="C621" s="15" t="s">
        <v>8289</v>
      </c>
      <c r="D621" s="15" t="s">
        <v>8417</v>
      </c>
      <c r="E621" s="15">
        <v>53</v>
      </c>
      <c r="F621" s="15" t="s">
        <v>8420</v>
      </c>
      <c r="G621" s="15" t="s">
        <v>8421</v>
      </c>
      <c r="H621" s="15"/>
      <c r="I621" s="15" t="s">
        <v>322</v>
      </c>
      <c r="J621" s="7" t="str">
        <f>HYPERLINK("https://www.codechef.com/problems/CAPTBIRD", "https://www.codechef.com/problems/CAPTBIRD")</f>
        <v>https://www.codechef.com/problems/CAPTBIRD</v>
      </c>
      <c r="K621" s="15"/>
      <c r="L621" s="15" t="s">
        <v>8351</v>
      </c>
      <c r="M621" s="15"/>
      <c r="N621" s="15" t="s">
        <v>50</v>
      </c>
      <c r="O621" s="15" t="s">
        <v>51</v>
      </c>
    </row>
    <row r="622" spans="1:15">
      <c r="A622" s="14" t="s">
        <v>14</v>
      </c>
      <c r="B622" s="14" t="s">
        <v>8288</v>
      </c>
      <c r="C622" s="14" t="s">
        <v>8289</v>
      </c>
      <c r="D622" s="14" t="s">
        <v>8417</v>
      </c>
      <c r="E622" s="14">
        <v>54</v>
      </c>
      <c r="F622" s="14" t="s">
        <v>8422</v>
      </c>
      <c r="G622" s="14" t="s">
        <v>8423</v>
      </c>
      <c r="H622" s="14"/>
      <c r="I622" s="14" t="s">
        <v>322</v>
      </c>
      <c r="J622" s="11" t="str">
        <f>HYPERLINK("https://www.codechef.com/problems/EOSUBSEQ", "https://www.codechef.com/problems/EOSUBSEQ")</f>
        <v>https://www.codechef.com/problems/EOSUBSEQ</v>
      </c>
      <c r="K622" s="14"/>
      <c r="L622" s="14" t="s">
        <v>639</v>
      </c>
      <c r="M622" s="14"/>
      <c r="N622" s="14" t="s">
        <v>50</v>
      </c>
      <c r="O622" s="14" t="s">
        <v>51</v>
      </c>
    </row>
    <row r="623" spans="1:15">
      <c r="A623" s="15" t="s">
        <v>14</v>
      </c>
      <c r="B623" s="15" t="s">
        <v>8288</v>
      </c>
      <c r="C623" s="15" t="s">
        <v>8289</v>
      </c>
      <c r="D623" s="15" t="s">
        <v>8417</v>
      </c>
      <c r="E623" s="15">
        <v>55</v>
      </c>
      <c r="F623" s="15" t="s">
        <v>8424</v>
      </c>
      <c r="G623" s="15" t="s">
        <v>8425</v>
      </c>
      <c r="H623" s="15"/>
      <c r="I623" s="15" t="s">
        <v>322</v>
      </c>
      <c r="J623" s="7" t="str">
        <f>HYPERLINK("https://www.codechef.com/problems/PREFNUM", "https://www.codechef.com/problems/PREFNUM")</f>
        <v>https://www.codechef.com/problems/PREFNUM</v>
      </c>
      <c r="K623" s="15"/>
      <c r="L623" s="15" t="s">
        <v>8426</v>
      </c>
      <c r="M623" s="15"/>
      <c r="N623" s="15" t="s">
        <v>50</v>
      </c>
      <c r="O623" s="15" t="s">
        <v>51</v>
      </c>
    </row>
    <row r="624" spans="1:15">
      <c r="A624" s="14" t="s">
        <v>14</v>
      </c>
      <c r="B624" s="14" t="s">
        <v>8288</v>
      </c>
      <c r="C624" s="14" t="s">
        <v>8289</v>
      </c>
      <c r="D624" s="14" t="s">
        <v>8417</v>
      </c>
      <c r="E624" s="14">
        <v>56</v>
      </c>
      <c r="F624" s="14" t="s">
        <v>8427</v>
      </c>
      <c r="G624" s="14" t="s">
        <v>8428</v>
      </c>
      <c r="H624" s="14"/>
      <c r="I624" s="14" t="s">
        <v>322</v>
      </c>
      <c r="J624" s="11" t="str">
        <f>HYPERLINK("https://www.codechef.com/problems/AUTOCARS", "https://www.codechef.com/problems/AUTOCARS")</f>
        <v>https://www.codechef.com/problems/AUTOCARS</v>
      </c>
      <c r="K624" s="14"/>
      <c r="L624" s="14" t="s">
        <v>8429</v>
      </c>
      <c r="M624" s="14"/>
      <c r="N624" s="14" t="s">
        <v>50</v>
      </c>
      <c r="O624" s="14" t="s">
        <v>51</v>
      </c>
    </row>
    <row r="625" spans="1:15">
      <c r="A625" s="15" t="s">
        <v>14</v>
      </c>
      <c r="B625" s="15" t="s">
        <v>8288</v>
      </c>
      <c r="C625" s="15" t="s">
        <v>8289</v>
      </c>
      <c r="D625" s="15" t="s">
        <v>8417</v>
      </c>
      <c r="E625" s="15">
        <v>57</v>
      </c>
      <c r="F625" s="15" t="s">
        <v>8430</v>
      </c>
      <c r="G625" s="15" t="s">
        <v>8431</v>
      </c>
      <c r="H625" s="15"/>
      <c r="I625" s="15" t="s">
        <v>322</v>
      </c>
      <c r="J625" s="7" t="str">
        <f>HYPERLINK("https://www.codechef.com/problems/SIRUSERI", "https://www.codechef.com/problems/SIRUSERI")</f>
        <v>https://www.codechef.com/problems/SIRUSERI</v>
      </c>
      <c r="K625" s="15"/>
      <c r="L625" s="15"/>
      <c r="M625" s="15"/>
      <c r="N625" s="15" t="s">
        <v>50</v>
      </c>
      <c r="O625" s="15" t="s">
        <v>51</v>
      </c>
    </row>
    <row r="626" spans="1:15">
      <c r="A626" s="14" t="s">
        <v>14</v>
      </c>
      <c r="B626" s="14" t="s">
        <v>8288</v>
      </c>
      <c r="C626" s="14" t="s">
        <v>8289</v>
      </c>
      <c r="D626" s="14" t="s">
        <v>8417</v>
      </c>
      <c r="E626" s="14">
        <v>58</v>
      </c>
      <c r="F626" s="14" t="s">
        <v>8432</v>
      </c>
      <c r="G626" s="14" t="s">
        <v>8433</v>
      </c>
      <c r="H626" s="14"/>
      <c r="I626" s="14" t="s">
        <v>322</v>
      </c>
      <c r="J626" s="11" t="str">
        <f>HYPERLINK("https://www.codechef.com/problems/THSTRS", "https://www.codechef.com/problems/THSTRS")</f>
        <v>https://www.codechef.com/problems/THSTRS</v>
      </c>
      <c r="K626" s="14"/>
      <c r="L626" s="14"/>
      <c r="M626" s="14"/>
      <c r="N626" s="14" t="s">
        <v>50</v>
      </c>
      <c r="O626" s="14" t="s">
        <v>51</v>
      </c>
    </row>
    <row r="627" spans="1:15">
      <c r="A627" s="15" t="s">
        <v>14</v>
      </c>
      <c r="B627" s="15" t="s">
        <v>8288</v>
      </c>
      <c r="C627" s="15" t="s">
        <v>8289</v>
      </c>
      <c r="D627" s="15" t="s">
        <v>8417</v>
      </c>
      <c r="E627" s="15">
        <v>59</v>
      </c>
      <c r="F627" s="15" t="s">
        <v>8434</v>
      </c>
      <c r="G627" s="15" t="s">
        <v>8435</v>
      </c>
      <c r="H627" s="15"/>
      <c r="I627" s="15" t="s">
        <v>322</v>
      </c>
      <c r="J627" s="7" t="str">
        <f>HYPERLINK("https://www.codechef.com/problems/WALKTREE", "https://www.codechef.com/problems/WALKTREE")</f>
        <v>https://www.codechef.com/problems/WALKTREE</v>
      </c>
      <c r="K627" s="15"/>
      <c r="L627" s="15"/>
      <c r="M627" s="15"/>
      <c r="N627" s="15" t="s">
        <v>50</v>
      </c>
      <c r="O627" s="15" t="s">
        <v>51</v>
      </c>
    </row>
    <row r="628" spans="1:15">
      <c r="A628" s="14" t="s">
        <v>14</v>
      </c>
      <c r="B628" s="14" t="s">
        <v>8288</v>
      </c>
      <c r="C628" s="14" t="s">
        <v>8289</v>
      </c>
      <c r="D628" s="14" t="s">
        <v>8417</v>
      </c>
      <c r="E628" s="14">
        <v>60</v>
      </c>
      <c r="F628" s="14" t="s">
        <v>8436</v>
      </c>
      <c r="G628" s="14" t="s">
        <v>8437</v>
      </c>
      <c r="H628" s="14"/>
      <c r="I628" s="14" t="s">
        <v>322</v>
      </c>
      <c r="J628" s="11" t="str">
        <f>HYPERLINK("https://www.codechef.com/problems/GAMOFNUM", "https://www.codechef.com/problems/GAMOFNUM")</f>
        <v>https://www.codechef.com/problems/GAMOFNUM</v>
      </c>
      <c r="K628" s="14"/>
      <c r="L628" s="14" t="s">
        <v>8438</v>
      </c>
      <c r="M628" s="14"/>
      <c r="N628" s="14" t="s">
        <v>50</v>
      </c>
      <c r="O628" s="14" t="s">
        <v>51</v>
      </c>
    </row>
    <row r="629" spans="1:15">
      <c r="A629" s="15" t="s">
        <v>14</v>
      </c>
      <c r="B629" s="15" t="s">
        <v>8288</v>
      </c>
      <c r="C629" s="15" t="s">
        <v>8289</v>
      </c>
      <c r="D629" s="15" t="s">
        <v>8417</v>
      </c>
      <c r="E629" s="15">
        <v>61</v>
      </c>
      <c r="F629" s="15" t="s">
        <v>8439</v>
      </c>
      <c r="G629" s="15" t="s">
        <v>8440</v>
      </c>
      <c r="H629" s="15"/>
      <c r="I629" s="15" t="s">
        <v>322</v>
      </c>
      <c r="J629" s="7" t="str">
        <f>HYPERLINK("https://www.codechef.com/problems/POLYSTR", "https://www.codechef.com/problems/POLYSTR")</f>
        <v>https://www.codechef.com/problems/POLYSTR</v>
      </c>
      <c r="K629" s="15"/>
      <c r="L629" s="15" t="s">
        <v>8429</v>
      </c>
      <c r="M629" s="15"/>
      <c r="N629" s="15" t="s">
        <v>50</v>
      </c>
      <c r="O629" s="15" t="s">
        <v>51</v>
      </c>
    </row>
    <row r="630" spans="1:15">
      <c r="A630" s="14" t="s">
        <v>14</v>
      </c>
      <c r="B630" s="14" t="s">
        <v>8288</v>
      </c>
      <c r="C630" s="14" t="s">
        <v>8289</v>
      </c>
      <c r="D630" s="14" t="s">
        <v>8417</v>
      </c>
      <c r="E630" s="14">
        <v>62</v>
      </c>
      <c r="F630" s="14" t="s">
        <v>8441</v>
      </c>
      <c r="G630" s="14" t="s">
        <v>8442</v>
      </c>
      <c r="H630" s="14"/>
      <c r="I630" s="14" t="s">
        <v>322</v>
      </c>
      <c r="J630" s="11" t="str">
        <f>HYPERLINK("https://www.codechef.com/problems/NGONS", "https://www.codechef.com/problems/NGONS")</f>
        <v>https://www.codechef.com/problems/NGONS</v>
      </c>
      <c r="K630" s="14"/>
      <c r="L630" s="14" t="s">
        <v>8443</v>
      </c>
      <c r="M630" s="14"/>
      <c r="N630" s="14" t="s">
        <v>50</v>
      </c>
      <c r="O630" s="14" t="s">
        <v>51</v>
      </c>
    </row>
    <row r="631" spans="1:15">
      <c r="A631" s="15" t="s">
        <v>14</v>
      </c>
      <c r="B631" s="15" t="s">
        <v>8288</v>
      </c>
      <c r="C631" s="15" t="s">
        <v>8289</v>
      </c>
      <c r="D631" s="15" t="s">
        <v>8444</v>
      </c>
      <c r="E631" s="15">
        <v>63</v>
      </c>
      <c r="F631" s="15" t="s">
        <v>8445</v>
      </c>
      <c r="G631" s="15" t="s">
        <v>8446</v>
      </c>
      <c r="H631" s="15"/>
      <c r="I631" s="15" t="s">
        <v>49</v>
      </c>
      <c r="J631" s="7" t="str">
        <f>HYPERLINK("https://www.codechef.com/problems/ISITCAKE", "https://www.codechef.com/problems/ISITCAKE")</f>
        <v>https://www.codechef.com/problems/ISITCAKE</v>
      </c>
      <c r="K631" s="15"/>
      <c r="L631" s="15" t="s">
        <v>67</v>
      </c>
      <c r="M631" s="15"/>
      <c r="N631" s="15" t="s">
        <v>50</v>
      </c>
      <c r="O631" s="15" t="s">
        <v>51</v>
      </c>
    </row>
    <row r="632" spans="1:15">
      <c r="A632" s="14" t="s">
        <v>14</v>
      </c>
      <c r="B632" s="14" t="s">
        <v>8288</v>
      </c>
      <c r="C632" s="14" t="s">
        <v>8289</v>
      </c>
      <c r="D632" s="14" t="s">
        <v>8444</v>
      </c>
      <c r="E632" s="14">
        <v>64</v>
      </c>
      <c r="F632" s="14" t="s">
        <v>8447</v>
      </c>
      <c r="G632" s="14" t="s">
        <v>8448</v>
      </c>
      <c r="H632" s="14"/>
      <c r="I632" s="14" t="s">
        <v>96</v>
      </c>
      <c r="J632" s="11" t="str">
        <f>HYPERLINK("https://www.codechef.com/problems/CNTFAIL", "https://www.codechef.com/problems/CNTFAIL")</f>
        <v>https://www.codechef.com/problems/CNTFAIL</v>
      </c>
      <c r="K632" s="14"/>
      <c r="L632" s="14" t="s">
        <v>2548</v>
      </c>
      <c r="M632" s="14"/>
      <c r="N632" s="14" t="s">
        <v>50</v>
      </c>
      <c r="O632" s="14" t="s">
        <v>51</v>
      </c>
    </row>
    <row r="633" spans="1:15">
      <c r="A633" s="15" t="s">
        <v>14</v>
      </c>
      <c r="B633" s="15" t="s">
        <v>8288</v>
      </c>
      <c r="C633" s="15" t="s">
        <v>8289</v>
      </c>
      <c r="D633" s="15" t="s">
        <v>8444</v>
      </c>
      <c r="E633" s="15">
        <v>65</v>
      </c>
      <c r="F633" s="15" t="s">
        <v>8449</v>
      </c>
      <c r="G633" s="15" t="s">
        <v>8450</v>
      </c>
      <c r="H633" s="15"/>
      <c r="I633" s="15" t="s">
        <v>96</v>
      </c>
      <c r="J633" s="7" t="str">
        <f>HYPERLINK("https://www.codechef.com/problems/ARMYFGT", "https://www.codechef.com/problems/ARMYFGT")</f>
        <v>https://www.codechef.com/problems/ARMYFGT</v>
      </c>
      <c r="K633" s="15"/>
      <c r="L633" s="15" t="s">
        <v>3209</v>
      </c>
      <c r="M633" s="15"/>
      <c r="N633" s="15" t="s">
        <v>50</v>
      </c>
      <c r="O633" s="15" t="s">
        <v>51</v>
      </c>
    </row>
    <row r="634" spans="1:15">
      <c r="A634" s="14" t="s">
        <v>14</v>
      </c>
      <c r="B634" s="14" t="s">
        <v>8288</v>
      </c>
      <c r="C634" s="14" t="s">
        <v>8289</v>
      </c>
      <c r="D634" s="14" t="s">
        <v>8444</v>
      </c>
      <c r="E634" s="14">
        <v>66</v>
      </c>
      <c r="F634" s="14" t="s">
        <v>8451</v>
      </c>
      <c r="G634" s="14" t="s">
        <v>8452</v>
      </c>
      <c r="H634" s="14"/>
      <c r="I634" s="14" t="s">
        <v>96</v>
      </c>
      <c r="J634" s="11" t="str">
        <f>HYPERLINK("https://www.codechef.com/problems/AVLBLT", "https://www.codechef.com/problems/AVLBLT")</f>
        <v>https://www.codechef.com/problems/AVLBLT</v>
      </c>
      <c r="K634" s="14"/>
      <c r="L634" s="14" t="s">
        <v>8453</v>
      </c>
      <c r="M634" s="14"/>
      <c r="N634" s="14" t="s">
        <v>50</v>
      </c>
      <c r="O634" s="14" t="s">
        <v>51</v>
      </c>
    </row>
    <row r="635" spans="1:15">
      <c r="A635" s="15" t="s">
        <v>14</v>
      </c>
      <c r="B635" s="15" t="s">
        <v>8288</v>
      </c>
      <c r="C635" s="15" t="s">
        <v>8289</v>
      </c>
      <c r="D635" s="15" t="s">
        <v>8444</v>
      </c>
      <c r="E635" s="15">
        <v>67</v>
      </c>
      <c r="F635" s="15" t="s">
        <v>8454</v>
      </c>
      <c r="G635" s="15" t="s">
        <v>8455</v>
      </c>
      <c r="H635" s="15"/>
      <c r="I635" s="15" t="s">
        <v>322</v>
      </c>
      <c r="J635" s="7" t="str">
        <f>HYPERLINK("https://www.codechef.com/problems/MARTING1", "https://www.codechef.com/problems/MARTING1")</f>
        <v>https://www.codechef.com/problems/MARTING1</v>
      </c>
      <c r="K635" s="15"/>
      <c r="L635" s="15" t="s">
        <v>8453</v>
      </c>
      <c r="M635" s="15"/>
      <c r="N635" s="15" t="s">
        <v>50</v>
      </c>
      <c r="O635" s="15" t="s">
        <v>51</v>
      </c>
    </row>
    <row r="636" spans="1:15">
      <c r="A636" s="14" t="s">
        <v>14</v>
      </c>
      <c r="B636" s="14" t="s">
        <v>8288</v>
      </c>
      <c r="C636" s="14" t="s">
        <v>8289</v>
      </c>
      <c r="D636" s="14" t="s">
        <v>8444</v>
      </c>
      <c r="E636" s="14">
        <v>68</v>
      </c>
      <c r="F636" s="14" t="s">
        <v>8456</v>
      </c>
      <c r="G636" s="14" t="s">
        <v>8457</v>
      </c>
      <c r="H636" s="14"/>
      <c r="I636" s="14" t="s">
        <v>322</v>
      </c>
      <c r="J636" s="11" t="str">
        <f>HYPERLINK("https://www.codechef.com/problems/PALPATH", "https://www.codechef.com/problems/PALPATH")</f>
        <v>https://www.codechef.com/problems/PALPATH</v>
      </c>
      <c r="K636" s="14"/>
      <c r="L636" s="14"/>
      <c r="M636" s="14"/>
      <c r="N636" s="14" t="s">
        <v>50</v>
      </c>
      <c r="O636" s="14" t="s">
        <v>51</v>
      </c>
    </row>
    <row r="637" spans="1:15">
      <c r="A637" s="15" t="s">
        <v>14</v>
      </c>
      <c r="B637" s="15" t="s">
        <v>8288</v>
      </c>
      <c r="C637" s="15" t="s">
        <v>8289</v>
      </c>
      <c r="D637" s="15" t="s">
        <v>8444</v>
      </c>
      <c r="E637" s="15">
        <v>69</v>
      </c>
      <c r="F637" s="15" t="s">
        <v>8458</v>
      </c>
      <c r="G637" s="15" t="s">
        <v>8459</v>
      </c>
      <c r="H637" s="15"/>
      <c r="I637" s="15" t="s">
        <v>322</v>
      </c>
      <c r="J637" s="7" t="str">
        <f>HYPERLINK("https://www.codechef.com/problems/SAUNA", "https://www.codechef.com/problems/SAUNA")</f>
        <v>https://www.codechef.com/problems/SAUNA</v>
      </c>
      <c r="K637" s="15"/>
      <c r="L637" s="15"/>
      <c r="M637" s="15"/>
      <c r="N637" s="15" t="s">
        <v>50</v>
      </c>
      <c r="O637" s="15" t="s">
        <v>51</v>
      </c>
    </row>
    <row r="638" spans="1:15">
      <c r="A638" s="14" t="s">
        <v>14</v>
      </c>
      <c r="B638" s="14" t="s">
        <v>8288</v>
      </c>
      <c r="C638" s="14" t="s">
        <v>8289</v>
      </c>
      <c r="D638" s="14" t="s">
        <v>8444</v>
      </c>
      <c r="E638" s="14">
        <v>70</v>
      </c>
      <c r="F638" s="14" t="s">
        <v>8460</v>
      </c>
      <c r="G638" s="14" t="s">
        <v>8461</v>
      </c>
      <c r="H638" s="14"/>
      <c r="I638" s="14" t="s">
        <v>322</v>
      </c>
      <c r="J638" s="11" t="str">
        <f>HYPERLINK("https://www.codechef.com/problems/BALSUB", "https://www.codechef.com/problems/BALSUB")</f>
        <v>https://www.codechef.com/problems/BALSUB</v>
      </c>
      <c r="K638" s="14"/>
      <c r="L638" s="14" t="s">
        <v>639</v>
      </c>
      <c r="M638" s="14"/>
      <c r="N638" s="14" t="s">
        <v>50</v>
      </c>
      <c r="O638" s="14" t="s">
        <v>51</v>
      </c>
    </row>
    <row r="639" spans="1:15">
      <c r="A639" s="15" t="s">
        <v>14</v>
      </c>
      <c r="B639" s="15" t="s">
        <v>8288</v>
      </c>
      <c r="C639" s="15" t="s">
        <v>8289</v>
      </c>
      <c r="D639" s="15" t="s">
        <v>8444</v>
      </c>
      <c r="E639" s="15">
        <v>71</v>
      </c>
      <c r="F639" s="15" t="s">
        <v>8462</v>
      </c>
      <c r="G639" s="15" t="s">
        <v>8463</v>
      </c>
      <c r="H639" s="15"/>
      <c r="I639" s="15" t="s">
        <v>322</v>
      </c>
      <c r="J639" s="7" t="str">
        <f>HYPERLINK("https://www.codechef.com/problems/ALIENINV", "https://www.codechef.com/problems/ALIENINV")</f>
        <v>https://www.codechef.com/problems/ALIENINV</v>
      </c>
      <c r="K639" s="15"/>
      <c r="L639" s="15" t="s">
        <v>8464</v>
      </c>
      <c r="M639" s="15"/>
      <c r="N639" s="15" t="s">
        <v>50</v>
      </c>
      <c r="O639" s="15" t="s">
        <v>51</v>
      </c>
    </row>
    <row r="640" spans="1:15">
      <c r="A640" s="14" t="s">
        <v>14</v>
      </c>
      <c r="B640" s="14" t="s">
        <v>8288</v>
      </c>
      <c r="C640" s="14" t="s">
        <v>8289</v>
      </c>
      <c r="D640" s="14" t="s">
        <v>8444</v>
      </c>
      <c r="E640" s="14">
        <v>72</v>
      </c>
      <c r="F640" s="14" t="s">
        <v>8465</v>
      </c>
      <c r="G640" s="14" t="s">
        <v>8466</v>
      </c>
      <c r="H640" s="14"/>
      <c r="I640" s="14" t="s">
        <v>322</v>
      </c>
      <c r="J640" s="11" t="str">
        <f>HYPERLINK("https://www.codechef.com/problems/KHULJA", "https://www.codechef.com/problems/KHULJA")</f>
        <v>https://www.codechef.com/problems/KHULJA</v>
      </c>
      <c r="K640" s="14"/>
      <c r="L640" s="14" t="s">
        <v>8467</v>
      </c>
      <c r="M640" s="14"/>
      <c r="N640" s="14" t="s">
        <v>50</v>
      </c>
      <c r="O640" s="14" t="s">
        <v>51</v>
      </c>
    </row>
    <row r="641" spans="1:15">
      <c r="A641" s="15" t="s">
        <v>14</v>
      </c>
      <c r="B641" s="15" t="s">
        <v>8288</v>
      </c>
      <c r="C641" s="15" t="s">
        <v>8289</v>
      </c>
      <c r="D641" s="15" t="s">
        <v>8444</v>
      </c>
      <c r="E641" s="15">
        <v>73</v>
      </c>
      <c r="F641" s="15" t="s">
        <v>8468</v>
      </c>
      <c r="G641" s="15" t="s">
        <v>8469</v>
      </c>
      <c r="H641" s="15"/>
      <c r="I641" s="15" t="s">
        <v>322</v>
      </c>
      <c r="J641" s="7" t="str">
        <f>HYPERLINK("https://www.codechef.com/problems/REFORMS", "https://www.codechef.com/problems/REFORMS")</f>
        <v>https://www.codechef.com/problems/REFORMS</v>
      </c>
      <c r="K641" s="15"/>
      <c r="L641" s="15"/>
      <c r="M641" s="15"/>
      <c r="N641" s="15" t="s">
        <v>50</v>
      </c>
      <c r="O641" s="15" t="s">
        <v>51</v>
      </c>
    </row>
    <row r="642" spans="1:15">
      <c r="A642" s="14" t="s">
        <v>14</v>
      </c>
      <c r="B642" s="14" t="s">
        <v>8288</v>
      </c>
      <c r="C642" s="14" t="s">
        <v>8289</v>
      </c>
      <c r="D642" s="14" t="s">
        <v>8444</v>
      </c>
      <c r="E642" s="14">
        <v>74</v>
      </c>
      <c r="F642" s="14" t="s">
        <v>8470</v>
      </c>
      <c r="G642" s="14" t="s">
        <v>8471</v>
      </c>
      <c r="H642" s="14"/>
      <c r="I642" s="14" t="s">
        <v>322</v>
      </c>
      <c r="J642" s="11" t="str">
        <f>HYPERLINK("https://www.codechef.com/problems/SQRECT", "https://www.codechef.com/problems/SQRECT")</f>
        <v>https://www.codechef.com/problems/SQRECT</v>
      </c>
      <c r="K642" s="14"/>
      <c r="L642" s="14"/>
      <c r="M642" s="14"/>
      <c r="N642" s="14" t="s">
        <v>50</v>
      </c>
      <c r="O642" s="14" t="s">
        <v>51</v>
      </c>
    </row>
    <row r="643" spans="1:15">
      <c r="A643" s="15" t="s">
        <v>14</v>
      </c>
      <c r="B643" s="15" t="s">
        <v>8288</v>
      </c>
      <c r="C643" s="15" t="s">
        <v>8289</v>
      </c>
      <c r="D643" s="15" t="s">
        <v>8472</v>
      </c>
      <c r="E643" s="15">
        <v>75</v>
      </c>
      <c r="F643" s="15" t="s">
        <v>8473</v>
      </c>
      <c r="G643" s="15" t="s">
        <v>8474</v>
      </c>
      <c r="H643" s="15"/>
      <c r="I643" s="15" t="s">
        <v>49</v>
      </c>
      <c r="J643" s="7" t="str">
        <f>HYPERLINK("https://www.codechef.com/problems/VALIDSTK", "https://www.codechef.com/problems/VALIDSTK")</f>
        <v>https://www.codechef.com/problems/VALIDSTK</v>
      </c>
      <c r="K643" s="15"/>
      <c r="L643" s="15"/>
      <c r="M643" s="15"/>
      <c r="N643" s="15" t="s">
        <v>50</v>
      </c>
      <c r="O643" s="15" t="s">
        <v>51</v>
      </c>
    </row>
    <row r="644" spans="1:15">
      <c r="A644" s="14" t="s">
        <v>14</v>
      </c>
      <c r="B644" s="14" t="s">
        <v>8288</v>
      </c>
      <c r="C644" s="14" t="s">
        <v>8289</v>
      </c>
      <c r="D644" s="14" t="s">
        <v>8472</v>
      </c>
      <c r="E644" s="14">
        <v>76</v>
      </c>
      <c r="F644" s="14" t="s">
        <v>8475</v>
      </c>
      <c r="G644" s="14" t="s">
        <v>8476</v>
      </c>
      <c r="H644" s="14"/>
      <c r="I644" s="14" t="s">
        <v>322</v>
      </c>
      <c r="J644" s="11" t="str">
        <f>HYPERLINK("https://www.codechef.com/problems/BUCKETWA", "https://www.codechef.com/problems/BUCKETWA")</f>
        <v>https://www.codechef.com/problems/BUCKETWA</v>
      </c>
      <c r="K644" s="14"/>
      <c r="L644" s="14" t="s">
        <v>8477</v>
      </c>
      <c r="M644" s="14"/>
      <c r="N644" s="14" t="s">
        <v>50</v>
      </c>
      <c r="O644" s="14" t="s">
        <v>51</v>
      </c>
    </row>
    <row r="645" spans="1:15">
      <c r="A645" s="15" t="s">
        <v>14</v>
      </c>
      <c r="B645" s="15" t="s">
        <v>8288</v>
      </c>
      <c r="C645" s="15" t="s">
        <v>8289</v>
      </c>
      <c r="D645" s="15" t="s">
        <v>8472</v>
      </c>
      <c r="E645" s="15">
        <v>77</v>
      </c>
      <c r="F645" s="15" t="s">
        <v>8478</v>
      </c>
      <c r="G645" s="15" t="s">
        <v>8479</v>
      </c>
      <c r="H645" s="15"/>
      <c r="I645" s="15" t="s">
        <v>96</v>
      </c>
      <c r="J645" s="7" t="str">
        <f>HYPERLINK("https://www.codechef.com/problems/READCOST", "https://www.codechef.com/problems/READCOST")</f>
        <v>https://www.codechef.com/problems/READCOST</v>
      </c>
      <c r="K645" s="15"/>
      <c r="L645" s="15"/>
      <c r="M645" s="15"/>
      <c r="N645" s="15" t="s">
        <v>50</v>
      </c>
      <c r="O645" s="15" t="s">
        <v>51</v>
      </c>
    </row>
    <row r="646" spans="1:15">
      <c r="A646" s="14" t="s">
        <v>14</v>
      </c>
      <c r="B646" s="14" t="s">
        <v>8288</v>
      </c>
      <c r="C646" s="14" t="s">
        <v>8289</v>
      </c>
      <c r="D646" s="14" t="s">
        <v>8472</v>
      </c>
      <c r="E646" s="14">
        <v>78</v>
      </c>
      <c r="F646" s="14" t="s">
        <v>8480</v>
      </c>
      <c r="G646" s="14" t="s">
        <v>8481</v>
      </c>
      <c r="H646" s="14"/>
      <c r="I646" s="14" t="s">
        <v>322</v>
      </c>
      <c r="J646" s="11" t="str">
        <f>HYPERLINK("https://www.codechef.com/problems/BEAUKONO", "https://www.codechef.com/problems/BEAUKONO")</f>
        <v>https://www.codechef.com/problems/BEAUKONO</v>
      </c>
      <c r="K646" s="14"/>
      <c r="L646" s="14" t="s">
        <v>8482</v>
      </c>
      <c r="M646" s="14"/>
      <c r="N646" s="14" t="s">
        <v>50</v>
      </c>
      <c r="O646" s="14" t="s">
        <v>51</v>
      </c>
    </row>
    <row r="647" spans="1:15">
      <c r="A647" s="15" t="s">
        <v>14</v>
      </c>
      <c r="B647" s="15" t="s">
        <v>8288</v>
      </c>
      <c r="C647" s="15" t="s">
        <v>8289</v>
      </c>
      <c r="D647" s="15" t="s">
        <v>8472</v>
      </c>
      <c r="E647" s="15">
        <v>79</v>
      </c>
      <c r="F647" s="15" t="s">
        <v>8483</v>
      </c>
      <c r="G647" s="15" t="s">
        <v>8484</v>
      </c>
      <c r="H647" s="15"/>
      <c r="I647" s="15" t="s">
        <v>322</v>
      </c>
      <c r="J647" s="7" t="str">
        <f>HYPERLINK("https://www.codechef.com/problems/TILEBAG", "https://www.codechef.com/problems/TILEBAG")</f>
        <v>https://www.codechef.com/problems/TILEBAG</v>
      </c>
      <c r="K647" s="15"/>
      <c r="L647" s="15"/>
      <c r="M647" s="15"/>
      <c r="N647" s="15" t="s">
        <v>50</v>
      </c>
      <c r="O647" s="15" t="s">
        <v>51</v>
      </c>
    </row>
    <row r="648" spans="1:15">
      <c r="A648" s="14" t="s">
        <v>14</v>
      </c>
      <c r="B648" s="14" t="s">
        <v>8288</v>
      </c>
      <c r="C648" s="14" t="s">
        <v>8289</v>
      </c>
      <c r="D648" s="14" t="s">
        <v>8472</v>
      </c>
      <c r="E648" s="14">
        <v>80</v>
      </c>
      <c r="F648" s="14" t="s">
        <v>8485</v>
      </c>
      <c r="G648" s="14" t="s">
        <v>8486</v>
      </c>
      <c r="H648" s="14"/>
      <c r="I648" s="14" t="s">
        <v>322</v>
      </c>
      <c r="J648" s="11" t="str">
        <f>HYPERLINK("https://www.codechef.com/problems/SNOWMAN", "https://www.codechef.com/problems/SNOWMAN")</f>
        <v>https://www.codechef.com/problems/SNOWMAN</v>
      </c>
      <c r="K648" s="14"/>
      <c r="L648" s="14"/>
      <c r="M648" s="14"/>
      <c r="N648" s="14" t="s">
        <v>50</v>
      </c>
      <c r="O648" s="14" t="s">
        <v>51</v>
      </c>
    </row>
    <row r="649" spans="1:15">
      <c r="A649" s="15" t="s">
        <v>14</v>
      </c>
      <c r="B649" s="15" t="s">
        <v>8288</v>
      </c>
      <c r="C649" s="15" t="s">
        <v>8289</v>
      </c>
      <c r="D649" s="15" t="s">
        <v>8472</v>
      </c>
      <c r="E649" s="15">
        <v>81</v>
      </c>
      <c r="F649" s="15" t="s">
        <v>8487</v>
      </c>
      <c r="G649" s="15" t="s">
        <v>8488</v>
      </c>
      <c r="H649" s="15"/>
      <c r="I649" s="15" t="s">
        <v>322</v>
      </c>
      <c r="J649" s="7" t="str">
        <f>HYPERLINK("https://www.codechef.com/problems/YASPP", "https://www.codechef.com/problems/YASPP")</f>
        <v>https://www.codechef.com/problems/YASPP</v>
      </c>
      <c r="K649" s="15"/>
      <c r="L649" s="15"/>
      <c r="M649" s="15"/>
      <c r="N649" s="15" t="s">
        <v>50</v>
      </c>
      <c r="O649" s="15" t="s">
        <v>51</v>
      </c>
    </row>
    <row r="650" spans="1:15">
      <c r="A650" s="14" t="s">
        <v>14</v>
      </c>
      <c r="B650" s="14" t="s">
        <v>8288</v>
      </c>
      <c r="C650" s="14" t="s">
        <v>8289</v>
      </c>
      <c r="D650" s="14" t="s">
        <v>8472</v>
      </c>
      <c r="E650" s="14">
        <v>82</v>
      </c>
      <c r="F650" s="14" t="s">
        <v>8489</v>
      </c>
      <c r="G650" s="14" t="s">
        <v>8490</v>
      </c>
      <c r="H650" s="14"/>
      <c r="I650" s="14" t="s">
        <v>322</v>
      </c>
      <c r="J650" s="11" t="str">
        <f>HYPERLINK("https://www.codechef.com/problems/ABSDIFFS", "https://www.codechef.com/problems/ABSDIFFS")</f>
        <v>https://www.codechef.com/problems/ABSDIFFS</v>
      </c>
      <c r="K650" s="14"/>
      <c r="L650" s="14" t="s">
        <v>8491</v>
      </c>
      <c r="M650" s="14"/>
      <c r="N650" s="14" t="s">
        <v>50</v>
      </c>
      <c r="O650" s="14" t="s">
        <v>51</v>
      </c>
    </row>
    <row r="651" spans="1:15">
      <c r="A651" s="15" t="s">
        <v>14</v>
      </c>
      <c r="B651" s="15" t="s">
        <v>8288</v>
      </c>
      <c r="C651" s="15" t="s">
        <v>8289</v>
      </c>
      <c r="D651" s="15" t="s">
        <v>8472</v>
      </c>
      <c r="E651" s="15">
        <v>83</v>
      </c>
      <c r="F651" s="15" t="s">
        <v>8492</v>
      </c>
      <c r="G651" s="15" t="s">
        <v>8493</v>
      </c>
      <c r="H651" s="15"/>
      <c r="I651" s="15" t="s">
        <v>322</v>
      </c>
      <c r="J651" s="7" t="str">
        <f>HYPERLINK("https://www.codechef.com/problems/ALIENCOW", "https://www.codechef.com/problems/ALIENCOW")</f>
        <v>https://www.codechef.com/problems/ALIENCOW</v>
      </c>
      <c r="K651" s="15"/>
      <c r="L651" s="15" t="s">
        <v>8494</v>
      </c>
      <c r="M651" s="15"/>
      <c r="N651" s="15" t="s">
        <v>50</v>
      </c>
      <c r="O651" s="15" t="s">
        <v>51</v>
      </c>
    </row>
    <row r="652" spans="1:15">
      <c r="A652" s="14" t="s">
        <v>14</v>
      </c>
      <c r="B652" s="14" t="s">
        <v>8288</v>
      </c>
      <c r="C652" s="14" t="s">
        <v>8289</v>
      </c>
      <c r="D652" s="14" t="s">
        <v>8472</v>
      </c>
      <c r="E652" s="14">
        <v>84</v>
      </c>
      <c r="F652" s="14" t="s">
        <v>8495</v>
      </c>
      <c r="G652" s="14" t="s">
        <v>8496</v>
      </c>
      <c r="H652" s="14"/>
      <c r="I652" s="14" t="s">
        <v>322</v>
      </c>
      <c r="J652" s="11" t="str">
        <f>HYPERLINK("https://www.codechef.com/problems/JOSEPHUS", "https://www.codechef.com/problems/JOSEPHUS")</f>
        <v>https://www.codechef.com/problems/JOSEPHUS</v>
      </c>
      <c r="K652" s="14"/>
      <c r="L652" s="14" t="s">
        <v>3582</v>
      </c>
      <c r="M652" s="14"/>
      <c r="N652" s="14" t="s">
        <v>50</v>
      </c>
      <c r="O652" s="14" t="s">
        <v>51</v>
      </c>
    </row>
    <row r="653" spans="1:15">
      <c r="A653" s="15" t="s">
        <v>14</v>
      </c>
      <c r="B653" s="15" t="s">
        <v>8288</v>
      </c>
      <c r="C653" s="15" t="s">
        <v>8289</v>
      </c>
      <c r="D653" s="15" t="s">
        <v>8472</v>
      </c>
      <c r="E653" s="15">
        <v>85</v>
      </c>
      <c r="F653" s="15" t="s">
        <v>8497</v>
      </c>
      <c r="G653" s="15" t="s">
        <v>8498</v>
      </c>
      <c r="H653" s="15"/>
      <c r="I653" s="15" t="s">
        <v>322</v>
      </c>
      <c r="J653" s="7" t="str">
        <f>HYPERLINK("https://www.codechef.com/problems/YAEXP", "https://www.codechef.com/problems/YAEXP")</f>
        <v>https://www.codechef.com/problems/YAEXP</v>
      </c>
      <c r="K653" s="15"/>
      <c r="L653" s="15"/>
      <c r="M653" s="15"/>
      <c r="N653" s="15" t="s">
        <v>50</v>
      </c>
      <c r="O653" s="15" t="s">
        <v>51</v>
      </c>
    </row>
    <row r="654" spans="1:15">
      <c r="A654" s="14" t="s">
        <v>14</v>
      </c>
      <c r="B654" s="14" t="s">
        <v>8288</v>
      </c>
      <c r="C654" s="14" t="s">
        <v>8289</v>
      </c>
      <c r="D654" s="14" t="s">
        <v>8472</v>
      </c>
      <c r="E654" s="14">
        <v>86</v>
      </c>
      <c r="F654" s="14" t="s">
        <v>8499</v>
      </c>
      <c r="G654" s="14" t="s">
        <v>8500</v>
      </c>
      <c r="H654" s="14"/>
      <c r="I654" s="14" t="s">
        <v>322</v>
      </c>
      <c r="J654" s="11" t="str">
        <f>HYPERLINK("https://www.codechef.com/problems/MULHANOI", "https://www.codechef.com/problems/MULHANOI")</f>
        <v>https://www.codechef.com/problems/MULHANOI</v>
      </c>
      <c r="K654" s="14"/>
      <c r="L654" s="14" t="s">
        <v>8501</v>
      </c>
      <c r="M654" s="14"/>
      <c r="N654" s="14" t="s">
        <v>50</v>
      </c>
      <c r="O654" s="14" t="s">
        <v>51</v>
      </c>
    </row>
    <row r="655" spans="1:15">
      <c r="A655" s="15" t="s">
        <v>14</v>
      </c>
      <c r="B655" s="15" t="s">
        <v>8288</v>
      </c>
      <c r="C655" s="15" t="s">
        <v>8289</v>
      </c>
      <c r="D655" s="15" t="s">
        <v>8502</v>
      </c>
      <c r="E655" s="15">
        <v>87</v>
      </c>
      <c r="F655" s="15" t="s">
        <v>8503</v>
      </c>
      <c r="G655" s="15" t="s">
        <v>8504</v>
      </c>
      <c r="H655" s="15"/>
      <c r="I655" s="15" t="s">
        <v>322</v>
      </c>
      <c r="J655" s="7" t="str">
        <f>HYPERLINK("https://www.codechef.com/problems/ROBOGAME", "https://www.codechef.com/problems/ROBOGAME")</f>
        <v>https://www.codechef.com/problems/ROBOGAME</v>
      </c>
      <c r="K655" s="15"/>
      <c r="L655" s="15"/>
      <c r="M655" s="15"/>
      <c r="N655" s="15" t="s">
        <v>50</v>
      </c>
      <c r="O655" s="15" t="s">
        <v>51</v>
      </c>
    </row>
    <row r="656" spans="1:15">
      <c r="A656" s="14" t="s">
        <v>14</v>
      </c>
      <c r="B656" s="14" t="s">
        <v>8288</v>
      </c>
      <c r="C656" s="14" t="s">
        <v>8289</v>
      </c>
      <c r="D656" s="14" t="s">
        <v>8502</v>
      </c>
      <c r="E656" s="14">
        <v>88</v>
      </c>
      <c r="F656" s="14" t="s">
        <v>8505</v>
      </c>
      <c r="G656" s="14" t="s">
        <v>8506</v>
      </c>
      <c r="H656" s="14"/>
      <c r="I656" s="14" t="s">
        <v>322</v>
      </c>
      <c r="J656" s="11" t="str">
        <f>HYPERLINK("https://www.codechef.com/problems/REDCGAME", "https://www.codechef.com/problems/REDCGAME")</f>
        <v>https://www.codechef.com/problems/REDCGAME</v>
      </c>
      <c r="K656" s="14"/>
      <c r="L656" s="14"/>
      <c r="M656" s="14"/>
      <c r="N656" s="14" t="s">
        <v>50</v>
      </c>
      <c r="O656" s="14" t="s">
        <v>51</v>
      </c>
    </row>
    <row r="657" spans="1:15">
      <c r="A657" s="15" t="s">
        <v>14</v>
      </c>
      <c r="B657" s="15" t="s">
        <v>8288</v>
      </c>
      <c r="C657" s="15" t="s">
        <v>8289</v>
      </c>
      <c r="D657" s="15" t="s">
        <v>8502</v>
      </c>
      <c r="E657" s="15">
        <v>89</v>
      </c>
      <c r="F657" s="15" t="s">
        <v>8507</v>
      </c>
      <c r="G657" s="15" t="s">
        <v>8508</v>
      </c>
      <c r="H657" s="15"/>
      <c r="I657" s="15" t="s">
        <v>322</v>
      </c>
      <c r="J657" s="7" t="str">
        <f>HYPERLINK("https://www.codechef.com/problems/WORDGRID", "https://www.codechef.com/problems/WORDGRID")</f>
        <v>https://www.codechef.com/problems/WORDGRID</v>
      </c>
      <c r="K657" s="15"/>
      <c r="L657" s="15"/>
      <c r="M657" s="15"/>
      <c r="N657" s="15" t="s">
        <v>50</v>
      </c>
      <c r="O657" s="15" t="s">
        <v>51</v>
      </c>
    </row>
    <row r="658" spans="1:15">
      <c r="A658" s="14" t="s">
        <v>14</v>
      </c>
      <c r="B658" s="14" t="s">
        <v>8288</v>
      </c>
      <c r="C658" s="14" t="s">
        <v>8289</v>
      </c>
      <c r="D658" s="14" t="s">
        <v>8502</v>
      </c>
      <c r="E658" s="14">
        <v>90</v>
      </c>
      <c r="F658" s="14" t="s">
        <v>8509</v>
      </c>
      <c r="G658" s="14" t="s">
        <v>8510</v>
      </c>
      <c r="H658" s="14"/>
      <c r="I658" s="14" t="s">
        <v>322</v>
      </c>
      <c r="J658" s="11" t="str">
        <f>HYPERLINK("https://www.codechef.com/problems/BIPFAMIL", "https://www.codechef.com/problems/BIPFAMIL")</f>
        <v>https://www.codechef.com/problems/BIPFAMIL</v>
      </c>
      <c r="K658" s="14"/>
      <c r="L658" s="14" t="s">
        <v>8429</v>
      </c>
      <c r="M658" s="14"/>
      <c r="N658" s="14" t="s">
        <v>50</v>
      </c>
      <c r="O658" s="14" t="s">
        <v>51</v>
      </c>
    </row>
    <row r="659" spans="1:15">
      <c r="A659" s="15" t="s">
        <v>14</v>
      </c>
      <c r="B659" s="15" t="s">
        <v>8288</v>
      </c>
      <c r="C659" s="15" t="s">
        <v>8289</v>
      </c>
      <c r="D659" s="15" t="s">
        <v>8502</v>
      </c>
      <c r="E659" s="15">
        <v>91</v>
      </c>
      <c r="F659" s="15" t="s">
        <v>8511</v>
      </c>
      <c r="G659" s="15" t="s">
        <v>8512</v>
      </c>
      <c r="H659" s="15"/>
      <c r="I659" s="15" t="s">
        <v>322</v>
      </c>
      <c r="J659" s="7" t="str">
        <f>HYPERLINK("https://www.codechef.com/problems/PRESTIGE", "https://www.codechef.com/problems/PRESTIGE")</f>
        <v>https://www.codechef.com/problems/PRESTIGE</v>
      </c>
      <c r="K659" s="15"/>
      <c r="L659" s="15"/>
      <c r="M659" s="15"/>
      <c r="N659" s="15" t="s">
        <v>50</v>
      </c>
      <c r="O659" s="15" t="s">
        <v>51</v>
      </c>
    </row>
    <row r="660" spans="1:15">
      <c r="A660" s="14" t="s">
        <v>14</v>
      </c>
      <c r="B660" s="14" t="s">
        <v>8288</v>
      </c>
      <c r="C660" s="14" t="s">
        <v>8289</v>
      </c>
      <c r="D660" s="14" t="s">
        <v>8513</v>
      </c>
      <c r="E660" s="14">
        <v>92</v>
      </c>
      <c r="F660" s="14" t="s">
        <v>8514</v>
      </c>
      <c r="G660" s="14" t="s">
        <v>8515</v>
      </c>
      <c r="H660" s="14"/>
      <c r="I660" s="14" t="s">
        <v>96</v>
      </c>
      <c r="J660" s="11" t="str">
        <f>HYPERLINK("https://www.codechef.com/problems/NOMATCH", "https://www.codechef.com/problems/NOMATCH")</f>
        <v>https://www.codechef.com/problems/NOMATCH</v>
      </c>
      <c r="K660" s="14"/>
      <c r="L660" s="14" t="s">
        <v>8516</v>
      </c>
      <c r="M660" s="14"/>
      <c r="N660" s="14" t="s">
        <v>50</v>
      </c>
      <c r="O660" s="14" t="s">
        <v>51</v>
      </c>
    </row>
    <row r="661" spans="1:15">
      <c r="A661" s="15" t="s">
        <v>14</v>
      </c>
      <c r="B661" s="15" t="s">
        <v>8288</v>
      </c>
      <c r="C661" s="15" t="s">
        <v>8289</v>
      </c>
      <c r="D661" s="15" t="s">
        <v>8513</v>
      </c>
      <c r="E661" s="15">
        <v>93</v>
      </c>
      <c r="F661" s="15" t="s">
        <v>8517</v>
      </c>
      <c r="G661" s="15" t="s">
        <v>8518</v>
      </c>
      <c r="H661" s="15"/>
      <c r="I661" s="15" t="s">
        <v>322</v>
      </c>
      <c r="J661" s="7" t="str">
        <f>HYPERLINK("https://www.codechef.com/problems/PERIODCN", "https://www.codechef.com/problems/PERIODCN")</f>
        <v>https://www.codechef.com/problems/PERIODCN</v>
      </c>
      <c r="K661" s="15"/>
      <c r="L661" s="15" t="s">
        <v>1439</v>
      </c>
      <c r="M661" s="15"/>
      <c r="N661" s="15" t="s">
        <v>50</v>
      </c>
      <c r="O661" s="15" t="s">
        <v>51</v>
      </c>
    </row>
    <row r="662" spans="1:15">
      <c r="A662" s="14" t="s">
        <v>14</v>
      </c>
      <c r="B662" s="14" t="s">
        <v>8288</v>
      </c>
      <c r="C662" s="14" t="s">
        <v>8289</v>
      </c>
      <c r="D662" s="14" t="s">
        <v>8513</v>
      </c>
      <c r="E662" s="14">
        <v>94</v>
      </c>
      <c r="F662" s="14" t="s">
        <v>8519</v>
      </c>
      <c r="G662" s="14" t="s">
        <v>8520</v>
      </c>
      <c r="H662" s="14"/>
      <c r="I662" s="14" t="s">
        <v>322</v>
      </c>
      <c r="J662" s="11" t="str">
        <f>HYPERLINK("https://www.codechef.com/problems/SORTALGO", "https://www.codechef.com/problems/SORTALGO")</f>
        <v>https://www.codechef.com/problems/SORTALGO</v>
      </c>
      <c r="K662" s="14"/>
      <c r="L662" s="14"/>
      <c r="M662" s="14"/>
      <c r="N662" s="14" t="s">
        <v>50</v>
      </c>
      <c r="O662" s="14" t="s">
        <v>51</v>
      </c>
    </row>
    <row r="663" spans="1:15">
      <c r="A663" s="15" t="s">
        <v>14</v>
      </c>
      <c r="B663" s="15" t="s">
        <v>8288</v>
      </c>
      <c r="C663" s="15" t="s">
        <v>8289</v>
      </c>
      <c r="D663" s="15" t="s">
        <v>8513</v>
      </c>
      <c r="E663" s="15">
        <v>95</v>
      </c>
      <c r="F663" s="15" t="s">
        <v>8521</v>
      </c>
      <c r="G663" s="15" t="s">
        <v>8522</v>
      </c>
      <c r="H663" s="15"/>
      <c r="I663" s="15" t="s">
        <v>322</v>
      </c>
      <c r="J663" s="7" t="str">
        <f>HYPERLINK("https://www.codechef.com/problems/BINGAME", "https://www.codechef.com/problems/BINGAME")</f>
        <v>https://www.codechef.com/problems/BINGAME</v>
      </c>
      <c r="K663" s="15"/>
      <c r="L663" s="15" t="s">
        <v>8523</v>
      </c>
      <c r="M663" s="15"/>
      <c r="N663" s="15" t="s">
        <v>50</v>
      </c>
      <c r="O663" s="15" t="s">
        <v>51</v>
      </c>
    </row>
    <row r="664" spans="1:15">
      <c r="A664" s="14" t="s">
        <v>14</v>
      </c>
      <c r="B664" s="14" t="s">
        <v>8288</v>
      </c>
      <c r="C664" s="14" t="s">
        <v>8289</v>
      </c>
      <c r="D664" s="14" t="s">
        <v>8513</v>
      </c>
      <c r="E664" s="14">
        <v>96</v>
      </c>
      <c r="F664" s="14" t="s">
        <v>8524</v>
      </c>
      <c r="G664" s="14" t="s">
        <v>8525</v>
      </c>
      <c r="H664" s="14"/>
      <c r="I664" s="14" t="s">
        <v>322</v>
      </c>
      <c r="J664" s="11" t="str">
        <f>HYPERLINK("https://www.codechef.com/problems/SQRTRI", "https://www.codechef.com/problems/SQRTRI")</f>
        <v>https://www.codechef.com/problems/SQRTRI</v>
      </c>
      <c r="K664" s="14"/>
      <c r="L664" s="14"/>
      <c r="M664" s="14"/>
      <c r="N664" s="14" t="s">
        <v>50</v>
      </c>
      <c r="O664" s="14" t="s">
        <v>51</v>
      </c>
    </row>
    <row r="665" spans="1:15">
      <c r="A665" s="15" t="s">
        <v>14</v>
      </c>
      <c r="B665" s="15" t="s">
        <v>8288</v>
      </c>
      <c r="C665" s="15" t="s">
        <v>8289</v>
      </c>
      <c r="D665" s="15" t="s">
        <v>8513</v>
      </c>
      <c r="E665" s="15">
        <v>97</v>
      </c>
      <c r="F665" s="15" t="s">
        <v>8526</v>
      </c>
      <c r="G665" s="15" t="s">
        <v>8527</v>
      </c>
      <c r="H665" s="15"/>
      <c r="I665" s="15" t="s">
        <v>322</v>
      </c>
      <c r="J665" s="7" t="str">
        <f>HYPERLINK("https://www.codechef.com/problems/GRAPHAND", "https://www.codechef.com/problems/GRAPHAND")</f>
        <v>https://www.codechef.com/problems/GRAPHAND</v>
      </c>
      <c r="K665" s="15"/>
      <c r="L665" s="15" t="s">
        <v>8528</v>
      </c>
      <c r="M665" s="15"/>
      <c r="N665" s="15" t="s">
        <v>50</v>
      </c>
      <c r="O665" s="15" t="s">
        <v>51</v>
      </c>
    </row>
    <row r="666" spans="1:15">
      <c r="A666" s="14" t="s">
        <v>14</v>
      </c>
      <c r="B666" s="14" t="s">
        <v>8288</v>
      </c>
      <c r="C666" s="14" t="s">
        <v>8289</v>
      </c>
      <c r="D666" s="14" t="s">
        <v>8513</v>
      </c>
      <c r="E666" s="14">
        <v>98</v>
      </c>
      <c r="F666" s="14" t="s">
        <v>8529</v>
      </c>
      <c r="G666" s="14" t="s">
        <v>8530</v>
      </c>
      <c r="H666" s="14"/>
      <c r="I666" s="14" t="s">
        <v>322</v>
      </c>
      <c r="J666" s="11" t="str">
        <f>HYPERLINK("https://www.codechef.com/problems/SUBSUMX", "https://www.codechef.com/problems/SUBSUMX")</f>
        <v>https://www.codechef.com/problems/SUBSUMX</v>
      </c>
      <c r="K666" s="14"/>
      <c r="L666" s="14"/>
      <c r="M666" s="14"/>
      <c r="N666" s="14" t="s">
        <v>50</v>
      </c>
      <c r="O666" s="14" t="s">
        <v>51</v>
      </c>
    </row>
    <row r="667" spans="1:15">
      <c r="A667" s="15" t="s">
        <v>14</v>
      </c>
      <c r="B667" s="15" t="s">
        <v>8288</v>
      </c>
      <c r="C667" s="15" t="s">
        <v>8289</v>
      </c>
      <c r="D667" s="15" t="s">
        <v>8513</v>
      </c>
      <c r="E667" s="15">
        <v>99</v>
      </c>
      <c r="F667" s="15" t="s">
        <v>8531</v>
      </c>
      <c r="G667" s="15" t="s">
        <v>8532</v>
      </c>
      <c r="H667" s="15"/>
      <c r="I667" s="15" t="s">
        <v>322</v>
      </c>
      <c r="J667" s="7" t="str">
        <f>HYPERLINK("https://www.codechef.com/problems/POLITRI", "https://www.codechef.com/problems/POLITRI")</f>
        <v>https://www.codechef.com/problems/POLITRI</v>
      </c>
      <c r="K667" s="15"/>
      <c r="L667" s="15" t="s">
        <v>8533</v>
      </c>
      <c r="M667" s="15"/>
      <c r="N667" s="15" t="s">
        <v>50</v>
      </c>
      <c r="O667" s="15" t="s">
        <v>51</v>
      </c>
    </row>
    <row r="668" spans="1:15">
      <c r="A668" s="14" t="s">
        <v>14</v>
      </c>
      <c r="B668" s="14" t="s">
        <v>8288</v>
      </c>
      <c r="C668" s="14" t="s">
        <v>8289</v>
      </c>
      <c r="D668" s="14" t="s">
        <v>8513</v>
      </c>
      <c r="E668" s="14">
        <v>100</v>
      </c>
      <c r="F668" s="14" t="s">
        <v>8534</v>
      </c>
      <c r="G668" s="14" t="s">
        <v>8535</v>
      </c>
      <c r="H668" s="14"/>
      <c r="I668" s="14" t="s">
        <v>322</v>
      </c>
      <c r="J668" s="11" t="str">
        <f>HYPERLINK("https://www.codechef.com/problems/MAFIASYN", "https://www.codechef.com/problems/MAFIASYN")</f>
        <v>https://www.codechef.com/problems/MAFIASYN</v>
      </c>
      <c r="K668" s="14"/>
      <c r="L668" s="14" t="s">
        <v>8536</v>
      </c>
      <c r="M668" s="14"/>
      <c r="N668" s="14" t="s">
        <v>50</v>
      </c>
      <c r="O668" s="14" t="s">
        <v>51</v>
      </c>
    </row>
    <row r="669" spans="1:15">
      <c r="A669" s="15" t="s">
        <v>14</v>
      </c>
      <c r="B669" s="15" t="s">
        <v>8288</v>
      </c>
      <c r="C669" s="15" t="s">
        <v>8289</v>
      </c>
      <c r="D669" s="15" t="s">
        <v>8513</v>
      </c>
      <c r="E669" s="15">
        <v>101</v>
      </c>
      <c r="F669" s="15" t="s">
        <v>8537</v>
      </c>
      <c r="G669" s="15" t="s">
        <v>8538</v>
      </c>
      <c r="H669" s="15"/>
      <c r="I669" s="15" t="s">
        <v>322</v>
      </c>
      <c r="J669" s="7" t="str">
        <f>HYPERLINK("https://www.codechef.com/problems/VASTLIFE", "https://www.codechef.com/problems/VASTLIFE")</f>
        <v>https://www.codechef.com/problems/VASTLIFE</v>
      </c>
      <c r="K669" s="15"/>
      <c r="L669" s="15"/>
      <c r="M669" s="15"/>
      <c r="N669" s="15" t="s">
        <v>50</v>
      </c>
      <c r="O669" s="15" t="s">
        <v>51</v>
      </c>
    </row>
    <row r="670" spans="1:15">
      <c r="A670" s="14" t="s">
        <v>14</v>
      </c>
      <c r="B670" s="14" t="s">
        <v>8288</v>
      </c>
      <c r="C670" s="14" t="s">
        <v>8289</v>
      </c>
      <c r="D670" s="14" t="s">
        <v>8513</v>
      </c>
      <c r="E670" s="14">
        <v>102</v>
      </c>
      <c r="F670" s="14" t="s">
        <v>4680</v>
      </c>
      <c r="G670" s="14" t="s">
        <v>4681</v>
      </c>
      <c r="H670" s="14"/>
      <c r="I670" s="14" t="s">
        <v>322</v>
      </c>
      <c r="J670" s="11" t="str">
        <f>HYPERLINK("https://www.codechef.com/problems/INFDIV", "https://www.codechef.com/problems/INFDIV")</f>
        <v>https://www.codechef.com/problems/INFDIV</v>
      </c>
      <c r="K670" s="14"/>
      <c r="L670" s="14"/>
      <c r="M670" s="14"/>
      <c r="N670" s="14" t="s">
        <v>50</v>
      </c>
      <c r="O670" s="14" t="s">
        <v>51</v>
      </c>
    </row>
    <row r="671" spans="1:15">
      <c r="A671" s="15" t="s">
        <v>14</v>
      </c>
      <c r="B671" s="15" t="s">
        <v>8288</v>
      </c>
      <c r="C671" s="15" t="s">
        <v>8289</v>
      </c>
      <c r="D671" s="15" t="s">
        <v>8513</v>
      </c>
      <c r="E671" s="15">
        <v>103</v>
      </c>
      <c r="F671" s="15" t="s">
        <v>71</v>
      </c>
      <c r="G671" s="15" t="s">
        <v>72</v>
      </c>
      <c r="H671" s="15" t="s">
        <v>73</v>
      </c>
      <c r="I671" s="15" t="s">
        <v>49</v>
      </c>
      <c r="J671" s="7" t="str">
        <f>HYPERLINK("https://www.codechef.com/problems/PLAYPIAN", "https://www.codechef.com/problems/PLAYPIAN")</f>
        <v>https://www.codechef.com/problems/PLAYPIAN</v>
      </c>
      <c r="K671" s="15"/>
      <c r="L671" s="15"/>
      <c r="M671" s="15"/>
      <c r="N671" s="15" t="s">
        <v>50</v>
      </c>
      <c r="O671" s="15" t="s">
        <v>51</v>
      </c>
    </row>
    <row r="672" spans="1:15">
      <c r="A672" s="14" t="s">
        <v>14</v>
      </c>
      <c r="B672" s="14" t="s">
        <v>8288</v>
      </c>
      <c r="C672" s="14" t="s">
        <v>8289</v>
      </c>
      <c r="D672" s="14" t="s">
        <v>8539</v>
      </c>
      <c r="E672" s="14">
        <v>104</v>
      </c>
      <c r="F672" s="14" t="s">
        <v>8540</v>
      </c>
      <c r="G672" s="14" t="s">
        <v>8541</v>
      </c>
      <c r="H672" s="14"/>
      <c r="I672" s="14" t="s">
        <v>96</v>
      </c>
      <c r="J672" s="11" t="str">
        <f>HYPERLINK("https://www.codechef.com/problems/COUPSYS", "https://www.codechef.com/problems/COUPSYS")</f>
        <v>https://www.codechef.com/problems/COUPSYS</v>
      </c>
      <c r="K672" s="14"/>
      <c r="L672" s="14" t="s">
        <v>1701</v>
      </c>
      <c r="M672" s="14"/>
      <c r="N672" s="14" t="s">
        <v>50</v>
      </c>
      <c r="O672" s="14" t="s">
        <v>51</v>
      </c>
    </row>
    <row r="673" spans="1:15">
      <c r="A673" s="15" t="s">
        <v>14</v>
      </c>
      <c r="B673" s="15" t="s">
        <v>8288</v>
      </c>
      <c r="C673" s="15" t="s">
        <v>8289</v>
      </c>
      <c r="D673" s="15" t="s">
        <v>8539</v>
      </c>
      <c r="E673" s="15">
        <v>105</v>
      </c>
      <c r="F673" s="15" t="s">
        <v>8542</v>
      </c>
      <c r="G673" s="15" t="s">
        <v>8543</v>
      </c>
      <c r="H673" s="15"/>
      <c r="I673" s="15" t="s">
        <v>322</v>
      </c>
      <c r="J673" s="7" t="str">
        <f>HYPERLINK("https://www.codechef.com/problems/OPTCODE", "https://www.codechef.com/problems/OPTCODE")</f>
        <v>https://www.codechef.com/problems/OPTCODE</v>
      </c>
      <c r="K673" s="15"/>
      <c r="L673" s="15" t="s">
        <v>3457</v>
      </c>
      <c r="M673" s="15"/>
      <c r="N673" s="15" t="s">
        <v>50</v>
      </c>
      <c r="O673" s="15" t="s">
        <v>51</v>
      </c>
    </row>
    <row r="674" spans="1:15">
      <c r="A674" s="14" t="s">
        <v>14</v>
      </c>
      <c r="B674" s="14" t="s">
        <v>8288</v>
      </c>
      <c r="C674" s="14" t="s">
        <v>8289</v>
      </c>
      <c r="D674" s="14" t="s">
        <v>8539</v>
      </c>
      <c r="E674" s="14">
        <v>106</v>
      </c>
      <c r="F674" s="14" t="s">
        <v>8544</v>
      </c>
      <c r="G674" s="14" t="s">
        <v>8545</v>
      </c>
      <c r="H674" s="14"/>
      <c r="I674" s="14" t="s">
        <v>322</v>
      </c>
      <c r="J674" s="11" t="str">
        <f>HYPERLINK("https://www.codechef.com/problems/TALESQUA", "https://www.codechef.com/problems/TALESQUA")</f>
        <v>https://www.codechef.com/problems/TALESQUA</v>
      </c>
      <c r="K674" s="14"/>
      <c r="L674" s="14"/>
      <c r="M674" s="14"/>
      <c r="N674" s="14" t="s">
        <v>50</v>
      </c>
      <c r="O674" s="14" t="s">
        <v>51</v>
      </c>
    </row>
    <row r="675" spans="1:15">
      <c r="A675" s="15" t="s">
        <v>14</v>
      </c>
      <c r="B675" s="15" t="s">
        <v>8288</v>
      </c>
      <c r="C675" s="15" t="s">
        <v>8289</v>
      </c>
      <c r="D675" s="15" t="s">
        <v>8539</v>
      </c>
      <c r="E675" s="15">
        <v>107</v>
      </c>
      <c r="F675" s="15" t="s">
        <v>8546</v>
      </c>
      <c r="G675" s="15" t="s">
        <v>8547</v>
      </c>
      <c r="H675" s="15"/>
      <c r="I675" s="15" t="s">
        <v>322</v>
      </c>
      <c r="J675" s="7" t="str">
        <f>HYPERLINK("https://www.codechef.com/problems/TALETRI", "https://www.codechef.com/problems/TALETRI")</f>
        <v>https://www.codechef.com/problems/TALETRI</v>
      </c>
      <c r="K675" s="15"/>
      <c r="L675" s="15"/>
      <c r="M675" s="15"/>
      <c r="N675" s="15" t="s">
        <v>50</v>
      </c>
      <c r="O675" s="15" t="s">
        <v>51</v>
      </c>
    </row>
    <row r="676" spans="1:15">
      <c r="A676" s="14" t="s">
        <v>14</v>
      </c>
      <c r="B676" s="14" t="s">
        <v>8288</v>
      </c>
      <c r="C676" s="14" t="s">
        <v>8289</v>
      </c>
      <c r="D676" s="14" t="s">
        <v>8539</v>
      </c>
      <c r="E676" s="14">
        <v>108</v>
      </c>
      <c r="F676" s="14" t="s">
        <v>8548</v>
      </c>
      <c r="G676" s="14" t="s">
        <v>8549</v>
      </c>
      <c r="H676" s="14"/>
      <c r="I676" s="14" t="s">
        <v>322</v>
      </c>
      <c r="J676" s="11" t="str">
        <f>HYPERLINK("https://www.codechef.com/problems/TRICHEF", "https://www.codechef.com/problems/TRICHEF")</f>
        <v>https://www.codechef.com/problems/TRICHEF</v>
      </c>
      <c r="K676" s="14"/>
      <c r="L676" s="14"/>
      <c r="M676" s="14"/>
      <c r="N676" s="14" t="s">
        <v>50</v>
      </c>
      <c r="O676" s="14" t="s">
        <v>51</v>
      </c>
    </row>
    <row r="677" spans="1:15">
      <c r="A677" s="15" t="s">
        <v>14</v>
      </c>
      <c r="B677" s="15" t="s">
        <v>8288</v>
      </c>
      <c r="C677" s="15" t="s">
        <v>8289</v>
      </c>
      <c r="D677" s="15" t="s">
        <v>8539</v>
      </c>
      <c r="E677" s="15">
        <v>109</v>
      </c>
      <c r="F677" s="15" t="s">
        <v>8550</v>
      </c>
      <c r="G677" s="15" t="s">
        <v>8551</v>
      </c>
      <c r="H677" s="15"/>
      <c r="I677" s="15" t="s">
        <v>322</v>
      </c>
      <c r="J677" s="7" t="str">
        <f>HYPERLINK("https://www.codechef.com/problems/QTRAGAIN", "https://www.codechef.com/problems/QTRAGAIN")</f>
        <v>https://www.codechef.com/problems/QTRAGAIN</v>
      </c>
      <c r="K677" s="15"/>
      <c r="L677" s="15"/>
      <c r="M677" s="15"/>
      <c r="N677" s="15" t="s">
        <v>50</v>
      </c>
      <c r="O677" s="15" t="s">
        <v>51</v>
      </c>
    </row>
    <row r="678" spans="1:15">
      <c r="A678" s="14" t="s">
        <v>14</v>
      </c>
      <c r="B678" s="14" t="s">
        <v>8288</v>
      </c>
      <c r="C678" s="14" t="s">
        <v>8289</v>
      </c>
      <c r="D678" s="14" t="s">
        <v>8539</v>
      </c>
      <c r="E678" s="14">
        <v>110</v>
      </c>
      <c r="F678" s="14" t="s">
        <v>8552</v>
      </c>
      <c r="G678" s="14" t="s">
        <v>8553</v>
      </c>
      <c r="H678" s="14"/>
      <c r="I678" s="14" t="s">
        <v>96</v>
      </c>
      <c r="J678" s="11" t="str">
        <f>HYPERLINK("https://www.codechef.com/problems/ZUBWALLT", "https://www.codechef.com/problems/ZUBWALLT")</f>
        <v>https://www.codechef.com/problems/ZUBWALLT</v>
      </c>
      <c r="K678" s="14"/>
      <c r="L678" s="14"/>
      <c r="M678" s="14"/>
      <c r="N678" s="14" t="s">
        <v>50</v>
      </c>
      <c r="O678" s="14" t="s">
        <v>51</v>
      </c>
    </row>
    <row r="679" spans="1:15">
      <c r="A679" s="15" t="s">
        <v>14</v>
      </c>
      <c r="B679" s="15" t="s">
        <v>8288</v>
      </c>
      <c r="C679" s="15" t="s">
        <v>8289</v>
      </c>
      <c r="D679" s="15" t="s">
        <v>8539</v>
      </c>
      <c r="E679" s="15">
        <v>111</v>
      </c>
      <c r="F679" s="15" t="s">
        <v>8554</v>
      </c>
      <c r="G679" s="15" t="s">
        <v>8555</v>
      </c>
      <c r="H679" s="15"/>
      <c r="I679" s="15" t="s">
        <v>322</v>
      </c>
      <c r="J679" s="7" t="str">
        <f>HYPERLINK("https://www.codechef.com/problems/KALADIN", "https://www.codechef.com/problems/KALADIN")</f>
        <v>https://www.codechef.com/problems/KALADIN</v>
      </c>
      <c r="K679" s="15"/>
      <c r="L679" s="15" t="s">
        <v>3890</v>
      </c>
      <c r="M679" s="15"/>
      <c r="N679" s="15" t="s">
        <v>50</v>
      </c>
      <c r="O679" s="15" t="s">
        <v>51</v>
      </c>
    </row>
    <row r="680" spans="1:15">
      <c r="A680" s="14" t="s">
        <v>14</v>
      </c>
      <c r="B680" s="14" t="s">
        <v>8288</v>
      </c>
      <c r="C680" s="14" t="s">
        <v>8289</v>
      </c>
      <c r="D680" s="14" t="s">
        <v>8539</v>
      </c>
      <c r="E680" s="14">
        <v>112</v>
      </c>
      <c r="F680" s="14" t="s">
        <v>8556</v>
      </c>
      <c r="G680" s="14" t="s">
        <v>8557</v>
      </c>
      <c r="H680" s="14"/>
      <c r="I680" s="14" t="s">
        <v>322</v>
      </c>
      <c r="J680" s="11" t="str">
        <f>HYPERLINK("https://www.codechef.com/problems/LIGHTARE", "https://www.codechef.com/problems/LIGHTARE")</f>
        <v>https://www.codechef.com/problems/LIGHTARE</v>
      </c>
      <c r="K680" s="14"/>
      <c r="L680" s="14" t="s">
        <v>8558</v>
      </c>
      <c r="M680" s="14"/>
      <c r="N680" s="14" t="s">
        <v>50</v>
      </c>
      <c r="O680" s="14" t="s">
        <v>51</v>
      </c>
    </row>
    <row r="681" spans="1:15">
      <c r="A681" s="15" t="s">
        <v>14</v>
      </c>
      <c r="B681" s="15" t="s">
        <v>8288</v>
      </c>
      <c r="C681" s="15" t="s">
        <v>8289</v>
      </c>
      <c r="D681" s="15" t="s">
        <v>8559</v>
      </c>
      <c r="E681" s="15">
        <v>113</v>
      </c>
      <c r="F681" s="15" t="s">
        <v>8560</v>
      </c>
      <c r="G681" s="15" t="s">
        <v>8561</v>
      </c>
      <c r="H681" s="15"/>
      <c r="I681" s="15" t="s">
        <v>49</v>
      </c>
      <c r="J681" s="7" t="str">
        <f>HYPERLINK("https://www.codechef.com/problems/CODERLIF", "https://www.codechef.com/problems/CODERLIF")</f>
        <v>https://www.codechef.com/problems/CODERLIF</v>
      </c>
      <c r="K681" s="15"/>
      <c r="L681" s="15" t="s">
        <v>67</v>
      </c>
      <c r="M681" s="15"/>
      <c r="N681" s="15" t="s">
        <v>50</v>
      </c>
      <c r="O681" s="15" t="s">
        <v>51</v>
      </c>
    </row>
    <row r="682" spans="1:15">
      <c r="A682" s="14" t="s">
        <v>14</v>
      </c>
      <c r="B682" s="14" t="s">
        <v>8288</v>
      </c>
      <c r="C682" s="14" t="s">
        <v>8289</v>
      </c>
      <c r="D682" s="14" t="s">
        <v>8559</v>
      </c>
      <c r="E682" s="14">
        <v>114</v>
      </c>
      <c r="F682" s="14" t="s">
        <v>8562</v>
      </c>
      <c r="G682" s="14" t="s">
        <v>8563</v>
      </c>
      <c r="H682" s="14"/>
      <c r="I682" s="14" t="s">
        <v>322</v>
      </c>
      <c r="J682" s="11" t="str">
        <f>HYPERLINK("https://www.codechef.com/problems/QUADFUNC", "https://www.codechef.com/problems/QUADFUNC")</f>
        <v>https://www.codechef.com/problems/QUADFUNC</v>
      </c>
      <c r="K682" s="14"/>
      <c r="L682" s="14"/>
      <c r="M682" s="14"/>
      <c r="N682" s="14" t="s">
        <v>50</v>
      </c>
      <c r="O682" s="14" t="s">
        <v>51</v>
      </c>
    </row>
    <row r="683" spans="1:15">
      <c r="A683" s="15" t="s">
        <v>14</v>
      </c>
      <c r="B683" s="15" t="s">
        <v>8288</v>
      </c>
      <c r="C683" s="15" t="s">
        <v>8289</v>
      </c>
      <c r="D683" s="15" t="s">
        <v>8559</v>
      </c>
      <c r="E683" s="15">
        <v>115</v>
      </c>
      <c r="F683" s="15" t="s">
        <v>8564</v>
      </c>
      <c r="G683" s="15" t="s">
        <v>8565</v>
      </c>
      <c r="H683" s="15"/>
      <c r="I683" s="15" t="s">
        <v>322</v>
      </c>
      <c r="J683" s="7" t="str">
        <f>HYPERLINK("https://www.codechef.com/problems/LAUGHMEN", "https://www.codechef.com/problems/LAUGHMEN")</f>
        <v>https://www.codechef.com/problems/LAUGHMEN</v>
      </c>
      <c r="K683" s="15"/>
      <c r="L683" s="15" t="s">
        <v>2681</v>
      </c>
      <c r="M683" s="15"/>
      <c r="N683" s="15" t="s">
        <v>50</v>
      </c>
      <c r="O683" s="15" t="s">
        <v>51</v>
      </c>
    </row>
    <row r="684" spans="1:15">
      <c r="A684" s="14" t="s">
        <v>14</v>
      </c>
      <c r="B684" s="14" t="s">
        <v>8288</v>
      </c>
      <c r="C684" s="14" t="s">
        <v>8289</v>
      </c>
      <c r="D684" s="14" t="s">
        <v>8559</v>
      </c>
      <c r="E684" s="14">
        <v>116</v>
      </c>
      <c r="F684" s="14" t="s">
        <v>8566</v>
      </c>
      <c r="G684" s="14" t="s">
        <v>8567</v>
      </c>
      <c r="H684" s="14"/>
      <c r="I684" s="14" t="s">
        <v>322</v>
      </c>
      <c r="J684" s="11" t="str">
        <f>HYPERLINK("https://www.codechef.com/problems/AMBOXES", "https://www.codechef.com/problems/AMBOXES")</f>
        <v>https://www.codechef.com/problems/AMBOXES</v>
      </c>
      <c r="K684" s="14"/>
      <c r="L684" s="14" t="s">
        <v>8429</v>
      </c>
      <c r="M684" s="14"/>
      <c r="N684" s="14" t="s">
        <v>50</v>
      </c>
      <c r="O684" s="14" t="s">
        <v>51</v>
      </c>
    </row>
    <row r="685" spans="1:15">
      <c r="A685" s="15" t="s">
        <v>14</v>
      </c>
      <c r="B685" s="15" t="s">
        <v>8288</v>
      </c>
      <c r="C685" s="15" t="s">
        <v>8289</v>
      </c>
      <c r="D685" s="15" t="s">
        <v>8559</v>
      </c>
      <c r="E685" s="15">
        <v>117</v>
      </c>
      <c r="F685" s="15" t="s">
        <v>8568</v>
      </c>
      <c r="G685" s="15" t="s">
        <v>8569</v>
      </c>
      <c r="H685" s="15"/>
      <c r="I685" s="15" t="s">
        <v>322</v>
      </c>
      <c r="J685" s="7" t="str">
        <f>HYPERLINK("https://www.codechef.com/problems/CRYPCUR", "https://www.codechef.com/problems/CRYPCUR")</f>
        <v>https://www.codechef.com/problems/CRYPCUR</v>
      </c>
      <c r="K685" s="15"/>
      <c r="L685" s="15" t="s">
        <v>8570</v>
      </c>
      <c r="M685" s="15"/>
      <c r="N685" s="15" t="s">
        <v>50</v>
      </c>
      <c r="O685" s="15" t="s">
        <v>51</v>
      </c>
    </row>
    <row r="686" spans="1:15">
      <c r="A686" s="14" t="s">
        <v>14</v>
      </c>
      <c r="B686" s="14" t="s">
        <v>8288</v>
      </c>
      <c r="C686" s="14" t="s">
        <v>8289</v>
      </c>
      <c r="D686" s="14" t="s">
        <v>8559</v>
      </c>
      <c r="E686" s="14">
        <v>118</v>
      </c>
      <c r="F686" s="14" t="s">
        <v>8571</v>
      </c>
      <c r="G686" s="14" t="s">
        <v>8572</v>
      </c>
      <c r="H686" s="14"/>
      <c r="I686" s="14" t="s">
        <v>322</v>
      </c>
      <c r="J686" s="11" t="str">
        <f>HYPERLINK("https://www.codechef.com/problems/AMLEX", "https://www.codechef.com/problems/AMLEX")</f>
        <v>https://www.codechef.com/problems/AMLEX</v>
      </c>
      <c r="K686" s="14"/>
      <c r="L686" s="14" t="s">
        <v>8573</v>
      </c>
      <c r="M686" s="14"/>
      <c r="N686" s="14" t="s">
        <v>50</v>
      </c>
      <c r="O686" s="14" t="s">
        <v>51</v>
      </c>
    </row>
    <row r="687" spans="1:15">
      <c r="A687" s="15" t="s">
        <v>14</v>
      </c>
      <c r="B687" s="15" t="s">
        <v>8288</v>
      </c>
      <c r="C687" s="15" t="s">
        <v>8289</v>
      </c>
      <c r="D687" s="15" t="s">
        <v>8559</v>
      </c>
      <c r="E687" s="15">
        <v>119</v>
      </c>
      <c r="F687" s="15" t="s">
        <v>8574</v>
      </c>
      <c r="G687" s="15" t="s">
        <v>8575</v>
      </c>
      <c r="H687" s="15"/>
      <c r="I687" s="15" t="s">
        <v>322</v>
      </c>
      <c r="J687" s="7" t="str">
        <f>HYPERLINK("https://www.codechef.com/problems/AMMAGIC", "https://www.codechef.com/problems/AMMAGIC")</f>
        <v>https://www.codechef.com/problems/AMMAGIC</v>
      </c>
      <c r="K687" s="15"/>
      <c r="L687" s="15" t="s">
        <v>8576</v>
      </c>
      <c r="M687" s="15"/>
      <c r="N687" s="15" t="s">
        <v>50</v>
      </c>
      <c r="O687" s="15" t="s">
        <v>51</v>
      </c>
    </row>
    <row r="688" spans="1:15">
      <c r="A688" s="14" t="s">
        <v>14</v>
      </c>
      <c r="B688" s="14" t="s">
        <v>8288</v>
      </c>
      <c r="C688" s="14" t="s">
        <v>8289</v>
      </c>
      <c r="D688" s="14" t="s">
        <v>8559</v>
      </c>
      <c r="E688" s="14">
        <v>120</v>
      </c>
      <c r="F688" s="14" t="s">
        <v>8577</v>
      </c>
      <c r="G688" s="14" t="s">
        <v>8578</v>
      </c>
      <c r="H688" s="14"/>
      <c r="I688" s="14" t="s">
        <v>322</v>
      </c>
      <c r="J688" s="11" t="str">
        <f>HYPERLINK("https://www.codechef.com/problems/AMDRUNK", "https://www.codechef.com/problems/AMDRUNK")</f>
        <v>https://www.codechef.com/problems/AMDRUNK</v>
      </c>
      <c r="K688" s="14"/>
      <c r="L688" s="14" t="s">
        <v>8579</v>
      </c>
      <c r="M688" s="14"/>
      <c r="N688" s="14" t="s">
        <v>50</v>
      </c>
      <c r="O688" s="14" t="s">
        <v>51</v>
      </c>
    </row>
    <row r="689" spans="1:15">
      <c r="A689" s="15" t="s">
        <v>14</v>
      </c>
      <c r="B689" s="15" t="s">
        <v>8288</v>
      </c>
      <c r="C689" s="15" t="s">
        <v>8289</v>
      </c>
      <c r="D689" s="15" t="s">
        <v>8559</v>
      </c>
      <c r="E689" s="15">
        <v>121</v>
      </c>
      <c r="F689" s="15" t="s">
        <v>8580</v>
      </c>
      <c r="G689" s="15" t="s">
        <v>8581</v>
      </c>
      <c r="H689" s="15"/>
      <c r="I689" s="15" t="s">
        <v>322</v>
      </c>
      <c r="J689" s="7" t="str">
        <f>HYPERLINK("https://www.codechef.com/problems/AMRACES", "https://www.codechef.com/problems/AMRACES")</f>
        <v>https://www.codechef.com/problems/AMRACES</v>
      </c>
      <c r="K689" s="15"/>
      <c r="L689" s="15" t="s">
        <v>8582</v>
      </c>
      <c r="M689" s="15"/>
      <c r="N689" s="15" t="s">
        <v>50</v>
      </c>
      <c r="O689" s="15" t="s">
        <v>51</v>
      </c>
    </row>
    <row r="690" spans="1:15">
      <c r="A690" s="14" t="s">
        <v>14</v>
      </c>
      <c r="B690" s="14" t="s">
        <v>8288</v>
      </c>
      <c r="C690" s="14" t="s">
        <v>8289</v>
      </c>
      <c r="D690" s="14" t="s">
        <v>8559</v>
      </c>
      <c r="E690" s="14">
        <v>122</v>
      </c>
      <c r="F690" s="14" t="s">
        <v>8583</v>
      </c>
      <c r="G690" s="14" t="s">
        <v>8584</v>
      </c>
      <c r="H690" s="14"/>
      <c r="I690" s="14" t="s">
        <v>322</v>
      </c>
      <c r="J690" s="11" t="str">
        <f>HYPERLINK("https://www.codechef.com/problems/AMPUZZLE", "https://www.codechef.com/problems/AMPUZZLE")</f>
        <v>https://www.codechef.com/problems/AMPUZZLE</v>
      </c>
      <c r="K690" s="14"/>
      <c r="L690" s="14" t="s">
        <v>8464</v>
      </c>
      <c r="M690" s="14"/>
      <c r="N690" s="14" t="s">
        <v>50</v>
      </c>
      <c r="O690" s="14" t="s">
        <v>51</v>
      </c>
    </row>
    <row r="691" spans="1:15">
      <c r="A691" s="15" t="s">
        <v>14</v>
      </c>
      <c r="B691" s="15" t="s">
        <v>8288</v>
      </c>
      <c r="C691" s="15" t="s">
        <v>8289</v>
      </c>
      <c r="D691" s="15" t="s">
        <v>8559</v>
      </c>
      <c r="E691" s="15">
        <v>123</v>
      </c>
      <c r="F691" s="15" t="s">
        <v>8585</v>
      </c>
      <c r="G691" s="15" t="s">
        <v>8586</v>
      </c>
      <c r="H691" s="15"/>
      <c r="I691" s="15" t="s">
        <v>322</v>
      </c>
      <c r="J691" s="7" t="str">
        <f>HYPERLINK("https://www.codechef.com/problems/SIMPPOLY", "https://www.codechef.com/problems/SIMPPOLY")</f>
        <v>https://www.codechef.com/problems/SIMPPOLY</v>
      </c>
      <c r="K691" s="15"/>
      <c r="L691" s="15"/>
      <c r="M691" s="15"/>
      <c r="N691" s="15" t="s">
        <v>50</v>
      </c>
      <c r="O691" s="15" t="s">
        <v>51</v>
      </c>
    </row>
    <row r="692" spans="1:15">
      <c r="A692" s="14" t="s">
        <v>14</v>
      </c>
      <c r="B692" s="14" t="s">
        <v>8288</v>
      </c>
      <c r="C692" s="14" t="s">
        <v>8289</v>
      </c>
      <c r="D692" s="14" t="s">
        <v>8587</v>
      </c>
      <c r="E692" s="14">
        <v>124</v>
      </c>
      <c r="F692" s="14" t="s">
        <v>8588</v>
      </c>
      <c r="G692" s="14" t="s">
        <v>8589</v>
      </c>
      <c r="H692" s="14"/>
      <c r="I692" s="14" t="s">
        <v>96</v>
      </c>
      <c r="J692" s="11" t="str">
        <f>HYPERLINK("https://www.codechef.com/problems/GOODBAD", "https://www.codechef.com/problems/GOODBAD")</f>
        <v>https://www.codechef.com/problems/GOODBAD</v>
      </c>
      <c r="K692" s="14"/>
      <c r="L692" s="14" t="s">
        <v>2344</v>
      </c>
      <c r="M692" s="14"/>
      <c r="N692" s="14" t="s">
        <v>50</v>
      </c>
      <c r="O692" s="14" t="s">
        <v>51</v>
      </c>
    </row>
    <row r="693" spans="1:15">
      <c r="A693" s="15" t="s">
        <v>14</v>
      </c>
      <c r="B693" s="15" t="s">
        <v>8288</v>
      </c>
      <c r="C693" s="15" t="s">
        <v>8289</v>
      </c>
      <c r="D693" s="15" t="s">
        <v>8587</v>
      </c>
      <c r="E693" s="15">
        <v>125</v>
      </c>
      <c r="F693" s="15" t="s">
        <v>8590</v>
      </c>
      <c r="G693" s="15" t="s">
        <v>8591</v>
      </c>
      <c r="H693" s="15"/>
      <c r="I693" s="15" t="s">
        <v>322</v>
      </c>
      <c r="J693" s="7" t="str">
        <f>HYPERLINK("https://www.codechef.com/problems/MINSTR", "https://www.codechef.com/problems/MINSTR")</f>
        <v>https://www.codechef.com/problems/MINSTR</v>
      </c>
      <c r="K693" s="15"/>
      <c r="L693" s="15" t="s">
        <v>3460</v>
      </c>
      <c r="M693" s="15"/>
      <c r="N693" s="15" t="s">
        <v>50</v>
      </c>
      <c r="O693" s="15" t="s">
        <v>51</v>
      </c>
    </row>
    <row r="694" spans="1:15">
      <c r="A694" s="14" t="s">
        <v>14</v>
      </c>
      <c r="B694" s="14" t="s">
        <v>8288</v>
      </c>
      <c r="C694" s="14" t="s">
        <v>8289</v>
      </c>
      <c r="D694" s="14" t="s">
        <v>8587</v>
      </c>
      <c r="E694" s="14">
        <v>126</v>
      </c>
      <c r="F694" s="14" t="s">
        <v>8592</v>
      </c>
      <c r="G694" s="14" t="s">
        <v>8593</v>
      </c>
      <c r="H694" s="14"/>
      <c r="I694" s="14" t="s">
        <v>322</v>
      </c>
      <c r="J694" s="11" t="str">
        <f>HYPERLINK("https://www.codechef.com/problems/OBEXPVAL", "https://www.codechef.com/problems/OBEXPVAL")</f>
        <v>https://www.codechef.com/problems/OBEXPVAL</v>
      </c>
      <c r="K694" s="14"/>
      <c r="L694" s="14"/>
      <c r="M694" s="14"/>
      <c r="N694" s="14" t="s">
        <v>50</v>
      </c>
      <c r="O694" s="14" t="s">
        <v>51</v>
      </c>
    </row>
    <row r="695" spans="1:15">
      <c r="A695" s="15" t="s">
        <v>14</v>
      </c>
      <c r="B695" s="15" t="s">
        <v>8288</v>
      </c>
      <c r="C695" s="15" t="s">
        <v>8289</v>
      </c>
      <c r="D695" s="15" t="s">
        <v>8587</v>
      </c>
      <c r="E695" s="15">
        <v>127</v>
      </c>
      <c r="F695" s="15" t="s">
        <v>8594</v>
      </c>
      <c r="G695" s="15" t="s">
        <v>8595</v>
      </c>
      <c r="H695" s="15"/>
      <c r="I695" s="15" t="s">
        <v>322</v>
      </c>
      <c r="J695" s="7" t="str">
        <f>HYPERLINK("https://www.codechef.com/problems/MRO", "https://www.codechef.com/problems/MRO")</f>
        <v>https://www.codechef.com/problems/MRO</v>
      </c>
      <c r="K695" s="15"/>
      <c r="L695" s="15" t="s">
        <v>8596</v>
      </c>
      <c r="M695" s="15"/>
      <c r="N695" s="15" t="s">
        <v>50</v>
      </c>
      <c r="O695" s="15" t="s">
        <v>51</v>
      </c>
    </row>
    <row r="696" spans="1:15">
      <c r="A696" s="14" t="s">
        <v>14</v>
      </c>
      <c r="B696" s="14" t="s">
        <v>8288</v>
      </c>
      <c r="C696" s="14" t="s">
        <v>8289</v>
      </c>
      <c r="D696" s="14" t="s">
        <v>8587</v>
      </c>
      <c r="E696" s="14">
        <v>128</v>
      </c>
      <c r="F696" s="14" t="s">
        <v>8597</v>
      </c>
      <c r="G696" s="14" t="s">
        <v>8598</v>
      </c>
      <c r="H696" s="14"/>
      <c r="I696" s="14" t="s">
        <v>322</v>
      </c>
      <c r="J696" s="11" t="str">
        <f>HYPERLINK("https://www.codechef.com/problems/AREAFIGR", "https://www.codechef.com/problems/AREAFIGR")</f>
        <v>https://www.codechef.com/problems/AREAFIGR</v>
      </c>
      <c r="K696" s="14"/>
      <c r="L696" s="14" t="s">
        <v>8599</v>
      </c>
      <c r="M696" s="14"/>
      <c r="N696" s="14" t="s">
        <v>50</v>
      </c>
      <c r="O696" s="14" t="s">
        <v>51</v>
      </c>
    </row>
    <row r="697" spans="1:15">
      <c r="A697" s="15" t="s">
        <v>14</v>
      </c>
      <c r="B697" s="15" t="s">
        <v>8288</v>
      </c>
      <c r="C697" s="15" t="s">
        <v>8289</v>
      </c>
      <c r="D697" s="15" t="s">
        <v>8587</v>
      </c>
      <c r="E697" s="15">
        <v>129</v>
      </c>
      <c r="F697" s="15" t="s">
        <v>8600</v>
      </c>
      <c r="G697" s="15" t="s">
        <v>8601</v>
      </c>
      <c r="H697" s="15"/>
      <c r="I697" s="15" t="s">
        <v>322</v>
      </c>
      <c r="J697" s="7" t="str">
        <f>HYPERLINK("https://www.codechef.com/problems/BLREDSET", "https://www.codechef.com/problems/BLREDSET")</f>
        <v>https://www.codechef.com/problems/BLREDSET</v>
      </c>
      <c r="K697" s="15"/>
      <c r="L697" s="15" t="s">
        <v>3985</v>
      </c>
      <c r="M697" s="15"/>
      <c r="N697" s="15" t="s">
        <v>50</v>
      </c>
      <c r="O697" s="15" t="s">
        <v>51</v>
      </c>
    </row>
    <row r="698" spans="1:15">
      <c r="A698" s="14" t="s">
        <v>14</v>
      </c>
      <c r="B698" s="14" t="s">
        <v>8288</v>
      </c>
      <c r="C698" s="14" t="s">
        <v>8289</v>
      </c>
      <c r="D698" s="14" t="s">
        <v>8587</v>
      </c>
      <c r="E698" s="14">
        <v>130</v>
      </c>
      <c r="F698" s="14" t="s">
        <v>8602</v>
      </c>
      <c r="G698" s="14" t="s">
        <v>8603</v>
      </c>
      <c r="H698" s="14"/>
      <c r="I698" s="14" t="s">
        <v>322</v>
      </c>
      <c r="J698" s="11" t="str">
        <f>HYPERLINK("https://www.codechef.com/problems/VRTXCOVR", "https://www.codechef.com/problems/VRTXCOVR")</f>
        <v>https://www.codechef.com/problems/VRTXCOVR</v>
      </c>
      <c r="K698" s="14"/>
      <c r="L698" s="14"/>
      <c r="M698" s="14"/>
      <c r="N698" s="14" t="s">
        <v>50</v>
      </c>
      <c r="O698" s="14" t="s">
        <v>51</v>
      </c>
    </row>
    <row r="699" spans="1:15">
      <c r="A699" s="15" t="s">
        <v>14</v>
      </c>
      <c r="B699" s="15" t="s">
        <v>8288</v>
      </c>
      <c r="C699" s="15" t="s">
        <v>8289</v>
      </c>
      <c r="D699" s="15" t="s">
        <v>8587</v>
      </c>
      <c r="E699" s="15">
        <v>131</v>
      </c>
      <c r="F699" s="15" t="s">
        <v>8604</v>
      </c>
      <c r="G699" s="15" t="s">
        <v>8605</v>
      </c>
      <c r="H699" s="15"/>
      <c r="I699" s="15" t="s">
        <v>322</v>
      </c>
      <c r="J699" s="7" t="str">
        <f>HYPERLINK("https://www.codechef.com/problems/DEFOREST", "https://www.codechef.com/problems/DEFOREST")</f>
        <v>https://www.codechef.com/problems/DEFOREST</v>
      </c>
      <c r="K699" s="15"/>
      <c r="L699" s="15" t="s">
        <v>8606</v>
      </c>
      <c r="M699" s="15"/>
      <c r="N699" s="15" t="s">
        <v>50</v>
      </c>
      <c r="O699" s="15" t="s">
        <v>51</v>
      </c>
    </row>
    <row r="700" spans="1:15">
      <c r="A700" s="14" t="s">
        <v>14</v>
      </c>
      <c r="B700" s="14" t="s">
        <v>8288</v>
      </c>
      <c r="C700" s="14" t="s">
        <v>8289</v>
      </c>
      <c r="D700" s="14" t="s">
        <v>8587</v>
      </c>
      <c r="E700" s="14">
        <v>132</v>
      </c>
      <c r="F700" s="14" t="s">
        <v>8607</v>
      </c>
      <c r="G700" s="14" t="s">
        <v>8608</v>
      </c>
      <c r="H700" s="14"/>
      <c r="I700" s="14" t="s">
        <v>322</v>
      </c>
      <c r="J700" s="11" t="str">
        <f>HYPERLINK("https://www.codechef.com/problems/CODIE", "https://www.codechef.com/problems/CODIE")</f>
        <v>https://www.codechef.com/problems/CODIE</v>
      </c>
      <c r="K700" s="14"/>
      <c r="L700" s="14" t="s">
        <v>8609</v>
      </c>
      <c r="M700" s="14"/>
      <c r="N700" s="14" t="s">
        <v>50</v>
      </c>
      <c r="O700" s="14" t="s">
        <v>51</v>
      </c>
    </row>
    <row r="701" spans="1:15">
      <c r="A701" s="15" t="s">
        <v>14</v>
      </c>
      <c r="B701" s="15" t="s">
        <v>8288</v>
      </c>
      <c r="C701" s="15" t="s">
        <v>8289</v>
      </c>
      <c r="D701" s="15" t="s">
        <v>8587</v>
      </c>
      <c r="E701" s="15">
        <v>133</v>
      </c>
      <c r="F701" s="15" t="s">
        <v>8610</v>
      </c>
      <c r="G701" s="15" t="s">
        <v>8611</v>
      </c>
      <c r="H701" s="15"/>
      <c r="I701" s="15" t="s">
        <v>322</v>
      </c>
      <c r="J701" s="7" t="str">
        <f>HYPERLINK("https://www.codechef.com/problems/MANCBST", "https://www.codechef.com/problems/MANCBST")</f>
        <v>https://www.codechef.com/problems/MANCBST</v>
      </c>
      <c r="K701" s="15"/>
      <c r="L701" s="15"/>
      <c r="M701" s="15"/>
      <c r="N701" s="15" t="s">
        <v>50</v>
      </c>
      <c r="O701" s="15" t="s">
        <v>51</v>
      </c>
    </row>
    <row r="702" spans="1:15">
      <c r="A702" s="14" t="s">
        <v>14</v>
      </c>
      <c r="B702" s="14" t="s">
        <v>8288</v>
      </c>
      <c r="C702" s="14" t="s">
        <v>8289</v>
      </c>
      <c r="D702" s="14" t="s">
        <v>8612</v>
      </c>
      <c r="E702" s="14">
        <v>134</v>
      </c>
      <c r="F702" s="14" t="s">
        <v>8613</v>
      </c>
      <c r="G702" s="14" t="s">
        <v>8614</v>
      </c>
      <c r="H702" s="14"/>
      <c r="I702" s="14" t="s">
        <v>49</v>
      </c>
      <c r="J702" s="11" t="str">
        <f>HYPERLINK("https://www.codechef.com/problems/ZUBREACH", "https://www.codechef.com/problems/ZUBREACH")</f>
        <v>https://www.codechef.com/problems/ZUBREACH</v>
      </c>
      <c r="K702" s="14"/>
      <c r="L702" s="14"/>
      <c r="M702" s="14"/>
      <c r="N702" s="14" t="s">
        <v>50</v>
      </c>
      <c r="O702" s="14" t="s">
        <v>51</v>
      </c>
    </row>
    <row r="703" spans="1:15">
      <c r="A703" s="15" t="s">
        <v>14</v>
      </c>
      <c r="B703" s="15" t="s">
        <v>8288</v>
      </c>
      <c r="C703" s="15" t="s">
        <v>8289</v>
      </c>
      <c r="D703" s="15" t="s">
        <v>8612</v>
      </c>
      <c r="E703" s="15">
        <v>135</v>
      </c>
      <c r="F703" s="15" t="s">
        <v>8615</v>
      </c>
      <c r="G703" s="15" t="s">
        <v>8616</v>
      </c>
      <c r="H703" s="15"/>
      <c r="I703" s="15" t="s">
        <v>322</v>
      </c>
      <c r="J703" s="7" t="str">
        <f>HYPERLINK("https://www.codechef.com/problems/ZUBTRCNT", "https://www.codechef.com/problems/ZUBTRCNT")</f>
        <v>https://www.codechef.com/problems/ZUBTRCNT</v>
      </c>
      <c r="K703" s="15"/>
      <c r="L703" s="15"/>
      <c r="M703" s="15"/>
      <c r="N703" s="15" t="s">
        <v>50</v>
      </c>
      <c r="O703" s="15" t="s">
        <v>51</v>
      </c>
    </row>
    <row r="704" spans="1:15">
      <c r="A704" s="14" t="s">
        <v>14</v>
      </c>
      <c r="B704" s="14" t="s">
        <v>8288</v>
      </c>
      <c r="C704" s="14" t="s">
        <v>8289</v>
      </c>
      <c r="D704" s="14" t="s">
        <v>8612</v>
      </c>
      <c r="E704" s="14">
        <v>136</v>
      </c>
      <c r="F704" s="14" t="s">
        <v>8617</v>
      </c>
      <c r="G704" s="14" t="s">
        <v>8618</v>
      </c>
      <c r="H704" s="14"/>
      <c r="I704" s="14" t="s">
        <v>322</v>
      </c>
      <c r="J704" s="11" t="str">
        <f>HYPERLINK("https://www.codechef.com/problems/ZUBAPCNT", "https://www.codechef.com/problems/ZUBAPCNT")</f>
        <v>https://www.codechef.com/problems/ZUBAPCNT</v>
      </c>
      <c r="K704" s="14"/>
      <c r="L704" s="14"/>
      <c r="M704" s="14"/>
      <c r="N704" s="14" t="s">
        <v>50</v>
      </c>
      <c r="O704" s="14" t="s">
        <v>51</v>
      </c>
    </row>
    <row r="705" spans="1:15">
      <c r="A705" s="15" t="s">
        <v>14</v>
      </c>
      <c r="B705" s="15" t="s">
        <v>8288</v>
      </c>
      <c r="C705" s="15" t="s">
        <v>8289</v>
      </c>
      <c r="D705" s="15" t="s">
        <v>8612</v>
      </c>
      <c r="E705" s="15">
        <v>137</v>
      </c>
      <c r="F705" s="15" t="s">
        <v>8619</v>
      </c>
      <c r="G705" s="15" t="s">
        <v>8620</v>
      </c>
      <c r="H705" s="15"/>
      <c r="I705" s="15" t="s">
        <v>96</v>
      </c>
      <c r="J705" s="7" t="str">
        <f>HYPERLINK("https://www.codechef.com/problems/ZUBRIDER", "https://www.codechef.com/problems/ZUBRIDER")</f>
        <v>https://www.codechef.com/problems/ZUBRIDER</v>
      </c>
      <c r="K705" s="15"/>
      <c r="L705" s="15"/>
      <c r="M705" s="15"/>
      <c r="N705" s="15" t="s">
        <v>50</v>
      </c>
      <c r="O705" s="15" t="s">
        <v>51</v>
      </c>
    </row>
    <row r="706" spans="1:15">
      <c r="A706" s="14" t="s">
        <v>14</v>
      </c>
      <c r="B706" s="14" t="s">
        <v>8288</v>
      </c>
      <c r="C706" s="14" t="s">
        <v>8289</v>
      </c>
      <c r="D706" s="14" t="s">
        <v>8612</v>
      </c>
      <c r="E706" s="14">
        <v>138</v>
      </c>
      <c r="F706" s="14" t="s">
        <v>8621</v>
      </c>
      <c r="G706" s="14" t="s">
        <v>8622</v>
      </c>
      <c r="H706" s="14"/>
      <c r="I706" s="14" t="s">
        <v>322</v>
      </c>
      <c r="J706" s="11" t="str">
        <f>HYPERLINK("https://www.codechef.com/problems/ZUBGOLD", "https://www.codechef.com/problems/ZUBGOLD")</f>
        <v>https://www.codechef.com/problems/ZUBGOLD</v>
      </c>
      <c r="K706" s="14"/>
      <c r="L706" s="14"/>
      <c r="M706" s="14"/>
      <c r="N706" s="14" t="s">
        <v>50</v>
      </c>
      <c r="O706" s="14" t="s">
        <v>51</v>
      </c>
    </row>
    <row r="707" spans="1:15">
      <c r="A707" s="15" t="s">
        <v>14</v>
      </c>
      <c r="B707" s="15" t="s">
        <v>8288</v>
      </c>
      <c r="C707" s="15" t="s">
        <v>8289</v>
      </c>
      <c r="D707" s="15" t="s">
        <v>8612</v>
      </c>
      <c r="E707" s="15">
        <v>139</v>
      </c>
      <c r="F707" s="15" t="s">
        <v>8623</v>
      </c>
      <c r="G707" s="15" t="s">
        <v>8624</v>
      </c>
      <c r="H707" s="15"/>
      <c r="I707" s="15" t="s">
        <v>322</v>
      </c>
      <c r="J707" s="7" t="str">
        <f>HYPERLINK("https://www.codechef.com/problems/ZUBPASSR", "https://www.codechef.com/problems/ZUBPASSR")</f>
        <v>https://www.codechef.com/problems/ZUBPASSR</v>
      </c>
      <c r="K707" s="15"/>
      <c r="L707" s="15"/>
      <c r="M707" s="15"/>
      <c r="N707" s="15" t="s">
        <v>50</v>
      </c>
      <c r="O707" s="15" t="s">
        <v>51</v>
      </c>
    </row>
    <row r="708" spans="1:15">
      <c r="A708" s="14" t="s">
        <v>14</v>
      </c>
      <c r="B708" s="14" t="s">
        <v>8288</v>
      </c>
      <c r="C708" s="14" t="s">
        <v>8289</v>
      </c>
      <c r="D708" s="14" t="s">
        <v>8612</v>
      </c>
      <c r="E708" s="14">
        <v>140</v>
      </c>
      <c r="F708" s="14" t="s">
        <v>8625</v>
      </c>
      <c r="G708" s="14" t="s">
        <v>8626</v>
      </c>
      <c r="H708" s="14"/>
      <c r="I708" s="14" t="s">
        <v>322</v>
      </c>
      <c r="J708" s="11" t="str">
        <f>HYPERLINK("https://www.codechef.com/problems/RAWPOWER", "https://www.codechef.com/problems/RAWPOWER")</f>
        <v>https://www.codechef.com/problems/RAWPOWER</v>
      </c>
      <c r="K708" s="14"/>
      <c r="L708" s="14"/>
      <c r="M708" s="14"/>
      <c r="N708" s="14" t="s">
        <v>50</v>
      </c>
      <c r="O708" s="14" t="s">
        <v>51</v>
      </c>
    </row>
    <row r="709" spans="1:15">
      <c r="A709" s="15" t="s">
        <v>14</v>
      </c>
      <c r="B709" s="15" t="s">
        <v>8288</v>
      </c>
      <c r="C709" s="15" t="s">
        <v>8289</v>
      </c>
      <c r="D709" s="15" t="s">
        <v>8612</v>
      </c>
      <c r="E709" s="15">
        <v>141</v>
      </c>
      <c r="F709" s="15" t="s">
        <v>8627</v>
      </c>
      <c r="G709" s="15" t="s">
        <v>8628</v>
      </c>
      <c r="H709" s="15"/>
      <c r="I709" s="15" t="s">
        <v>322</v>
      </c>
      <c r="J709" s="7" t="str">
        <f>HYPERLINK("https://www.codechef.com/problems/ZUBHTREE", "https://www.codechef.com/problems/ZUBHTREE")</f>
        <v>https://www.codechef.com/problems/ZUBHTREE</v>
      </c>
      <c r="K709" s="15"/>
      <c r="L709" s="15"/>
      <c r="M709" s="15"/>
      <c r="N709" s="15" t="s">
        <v>50</v>
      </c>
      <c r="O709" s="15" t="s">
        <v>51</v>
      </c>
    </row>
    <row r="710" spans="1:15">
      <c r="A710" s="14" t="s">
        <v>14</v>
      </c>
      <c r="B710" s="14" t="s">
        <v>8288</v>
      </c>
      <c r="C710" s="14" t="s">
        <v>8289</v>
      </c>
      <c r="D710" s="14" t="s">
        <v>8612</v>
      </c>
      <c r="E710" s="14">
        <v>142</v>
      </c>
      <c r="F710" s="14" t="s">
        <v>8629</v>
      </c>
      <c r="G710" s="14" t="s">
        <v>8630</v>
      </c>
      <c r="H710" s="14"/>
      <c r="I710" s="14" t="s">
        <v>322</v>
      </c>
      <c r="J710" s="11" t="str">
        <f>HYPERLINK("https://www.codechef.com/problems/ZUBSECRT", "https://www.codechef.com/problems/ZUBSECRT")</f>
        <v>https://www.codechef.com/problems/ZUBSECRT</v>
      </c>
      <c r="K710" s="14"/>
      <c r="L710" s="14"/>
      <c r="M710" s="14"/>
      <c r="N710" s="14" t="s">
        <v>50</v>
      </c>
      <c r="O710" s="14" t="s">
        <v>51</v>
      </c>
    </row>
    <row r="711" spans="1:15">
      <c r="A711" s="15" t="s">
        <v>14</v>
      </c>
      <c r="B711" s="15" t="s">
        <v>8288</v>
      </c>
      <c r="C711" s="15" t="s">
        <v>8289</v>
      </c>
      <c r="D711" s="15" t="s">
        <v>8612</v>
      </c>
      <c r="E711" s="15">
        <v>143</v>
      </c>
      <c r="F711" s="15" t="s">
        <v>8631</v>
      </c>
      <c r="G711" s="15" t="s">
        <v>8632</v>
      </c>
      <c r="H711" s="15"/>
      <c r="I711" s="15" t="s">
        <v>322</v>
      </c>
      <c r="J711" s="7" t="str">
        <f>HYPERLINK("https://www.codechef.com/problems/ZUBPALK", "https://www.codechef.com/problems/ZUBPALK")</f>
        <v>https://www.codechef.com/problems/ZUBPALK</v>
      </c>
      <c r="K711" s="15"/>
      <c r="L711" s="15"/>
      <c r="M711" s="15"/>
      <c r="N711" s="15" t="s">
        <v>50</v>
      </c>
      <c r="O711" s="15" t="s">
        <v>51</v>
      </c>
    </row>
    <row r="712" spans="1:15">
      <c r="A712" s="14" t="s">
        <v>14</v>
      </c>
      <c r="B712" s="14" t="s">
        <v>8288</v>
      </c>
      <c r="C712" s="14" t="s">
        <v>8289</v>
      </c>
      <c r="D712" s="14" t="s">
        <v>8612</v>
      </c>
      <c r="E712" s="14">
        <v>144</v>
      </c>
      <c r="F712" s="14" t="s">
        <v>8633</v>
      </c>
      <c r="G712" s="14" t="s">
        <v>8634</v>
      </c>
      <c r="H712" s="14"/>
      <c r="I712" s="14" t="s">
        <v>322</v>
      </c>
      <c r="J712" s="11" t="str">
        <f>HYPERLINK("https://www.codechef.com/problems/ZUBSPOIL", "https://www.codechef.com/problems/ZUBSPOIL")</f>
        <v>https://www.codechef.com/problems/ZUBSPOIL</v>
      </c>
      <c r="K712" s="14"/>
      <c r="L712" s="14"/>
      <c r="M712" s="14"/>
      <c r="N712" s="14" t="s">
        <v>50</v>
      </c>
      <c r="O712" s="14" t="s">
        <v>51</v>
      </c>
    </row>
    <row r="713" spans="1:15">
      <c r="A713" s="15" t="s">
        <v>14</v>
      </c>
      <c r="B713" s="15" t="s">
        <v>8288</v>
      </c>
      <c r="C713" s="15" t="s">
        <v>8289</v>
      </c>
      <c r="D713" s="15" t="s">
        <v>8635</v>
      </c>
      <c r="E713" s="15">
        <v>145</v>
      </c>
      <c r="F713" s="15" t="s">
        <v>8636</v>
      </c>
      <c r="G713" s="15" t="s">
        <v>8637</v>
      </c>
      <c r="H713" s="15"/>
      <c r="I713" s="15" t="s">
        <v>96</v>
      </c>
      <c r="J713" s="7" t="str">
        <f>HYPERLINK("https://www.codechef.com/problems/ORDTEAMS", "https://www.codechef.com/problems/ORDTEAMS")</f>
        <v>https://www.codechef.com/problems/ORDTEAMS</v>
      </c>
      <c r="K713" s="15"/>
      <c r="L713" s="15" t="s">
        <v>273</v>
      </c>
      <c r="M713" s="15"/>
      <c r="N713" s="15" t="s">
        <v>50</v>
      </c>
      <c r="O713" s="15" t="s">
        <v>51</v>
      </c>
    </row>
    <row r="714" spans="1:15">
      <c r="A714" s="14" t="s">
        <v>14</v>
      </c>
      <c r="B714" s="14" t="s">
        <v>8288</v>
      </c>
      <c r="C714" s="14" t="s">
        <v>8289</v>
      </c>
      <c r="D714" s="14" t="s">
        <v>8635</v>
      </c>
      <c r="E714" s="14">
        <v>146</v>
      </c>
      <c r="F714" s="14" t="s">
        <v>8638</v>
      </c>
      <c r="G714" s="14" t="s">
        <v>8639</v>
      </c>
      <c r="H714" s="14"/>
      <c r="I714" s="14" t="s">
        <v>322</v>
      </c>
      <c r="J714" s="11" t="str">
        <f>HYPERLINK("https://www.codechef.com/problems/STDDEV", "https://www.codechef.com/problems/STDDEV")</f>
        <v>https://www.codechef.com/problems/STDDEV</v>
      </c>
      <c r="K714" s="14"/>
      <c r="L714" s="14"/>
      <c r="M714" s="14"/>
      <c r="N714" s="14" t="s">
        <v>50</v>
      </c>
      <c r="O714" s="14" t="s">
        <v>51</v>
      </c>
    </row>
    <row r="715" spans="1:15">
      <c r="A715" s="15" t="s">
        <v>14</v>
      </c>
      <c r="B715" s="15" t="s">
        <v>8288</v>
      </c>
      <c r="C715" s="15" t="s">
        <v>8289</v>
      </c>
      <c r="D715" s="15" t="s">
        <v>8635</v>
      </c>
      <c r="E715" s="15">
        <v>147</v>
      </c>
      <c r="F715" s="15" t="s">
        <v>8640</v>
      </c>
      <c r="G715" s="15" t="s">
        <v>8641</v>
      </c>
      <c r="H715" s="15"/>
      <c r="I715" s="15" t="s">
        <v>322</v>
      </c>
      <c r="J715" s="7" t="str">
        <f>HYPERLINK("https://www.codechef.com/problems/COMPEXP", "https://www.codechef.com/problems/COMPEXP")</f>
        <v>https://www.codechef.com/problems/COMPEXP</v>
      </c>
      <c r="K715" s="15"/>
      <c r="L715" s="15" t="s">
        <v>3890</v>
      </c>
      <c r="M715" s="15"/>
      <c r="N715" s="15" t="s">
        <v>50</v>
      </c>
      <c r="O715" s="15" t="s">
        <v>51</v>
      </c>
    </row>
    <row r="716" spans="1:15">
      <c r="A716" s="14" t="s">
        <v>14</v>
      </c>
      <c r="B716" s="14" t="s">
        <v>8288</v>
      </c>
      <c r="C716" s="14" t="s">
        <v>8289</v>
      </c>
      <c r="D716" s="14" t="s">
        <v>8635</v>
      </c>
      <c r="E716" s="14">
        <v>148</v>
      </c>
      <c r="F716" s="14" t="s">
        <v>8642</v>
      </c>
      <c r="G716" s="14" t="s">
        <v>8643</v>
      </c>
      <c r="H716" s="14"/>
      <c r="I716" s="14" t="s">
        <v>322</v>
      </c>
      <c r="J716" s="11" t="str">
        <f>HYPERLINK("https://www.codechef.com/problems/EQUALMOD", "https://www.codechef.com/problems/EQUALMOD")</f>
        <v>https://www.codechef.com/problems/EQUALMOD</v>
      </c>
      <c r="K716" s="14"/>
      <c r="L716" s="14" t="s">
        <v>8644</v>
      </c>
      <c r="M716" s="14"/>
      <c r="N716" s="14" t="s">
        <v>50</v>
      </c>
      <c r="O716" s="14" t="s">
        <v>51</v>
      </c>
    </row>
    <row r="717" spans="1:15">
      <c r="A717" s="15" t="s">
        <v>14</v>
      </c>
      <c r="B717" s="15" t="s">
        <v>8288</v>
      </c>
      <c r="C717" s="15" t="s">
        <v>8289</v>
      </c>
      <c r="D717" s="15" t="s">
        <v>8635</v>
      </c>
      <c r="E717" s="15">
        <v>149</v>
      </c>
      <c r="F717" s="15" t="s">
        <v>8645</v>
      </c>
      <c r="G717" s="15" t="s">
        <v>8646</v>
      </c>
      <c r="H717" s="15"/>
      <c r="I717" s="15" t="s">
        <v>322</v>
      </c>
      <c r="J717" s="7" t="str">
        <f>HYPERLINK("https://www.codechef.com/problems/TWOTREES", "https://www.codechef.com/problems/TWOTREES")</f>
        <v>https://www.codechef.com/problems/TWOTREES</v>
      </c>
      <c r="K717" s="15"/>
      <c r="L717" s="15"/>
      <c r="M717" s="15"/>
      <c r="N717" s="15" t="s">
        <v>50</v>
      </c>
      <c r="O717" s="15" t="s">
        <v>51</v>
      </c>
    </row>
    <row r="718" spans="1:15">
      <c r="A718" s="14" t="s">
        <v>14</v>
      </c>
      <c r="B718" s="14" t="s">
        <v>8288</v>
      </c>
      <c r="C718" s="14" t="s">
        <v>8289</v>
      </c>
      <c r="D718" s="14" t="s">
        <v>8647</v>
      </c>
      <c r="E718" s="14">
        <v>150</v>
      </c>
      <c r="F718" s="14" t="s">
        <v>8648</v>
      </c>
      <c r="G718" s="14" t="s">
        <v>8649</v>
      </c>
      <c r="H718" s="14"/>
      <c r="I718" s="14" t="s">
        <v>49</v>
      </c>
      <c r="J718" s="11" t="str">
        <f>HYPERLINK("https://www.codechef.com/problems/STRLBP", "https://www.codechef.com/problems/STRLBP")</f>
        <v>https://www.codechef.com/problems/STRLBP</v>
      </c>
      <c r="K718" s="14"/>
      <c r="L718" s="14"/>
      <c r="M718" s="14"/>
      <c r="N718" s="14" t="s">
        <v>50</v>
      </c>
      <c r="O718" s="14" t="s">
        <v>51</v>
      </c>
    </row>
    <row r="719" spans="1:15">
      <c r="A719" s="15" t="s">
        <v>14</v>
      </c>
      <c r="B719" s="15" t="s">
        <v>8288</v>
      </c>
      <c r="C719" s="15" t="s">
        <v>8289</v>
      </c>
      <c r="D719" s="15" t="s">
        <v>8647</v>
      </c>
      <c r="E719" s="15">
        <v>151</v>
      </c>
      <c r="F719" s="15" t="s">
        <v>8650</v>
      </c>
      <c r="G719" s="15" t="s">
        <v>8651</v>
      </c>
      <c r="H719" s="15"/>
      <c r="I719" s="15" t="s">
        <v>96</v>
      </c>
      <c r="J719" s="7" t="str">
        <f>HYPERLINK("https://www.codechef.com/problems/SPAMCLAS", "https://www.codechef.com/problems/SPAMCLAS")</f>
        <v>https://www.codechef.com/problems/SPAMCLAS</v>
      </c>
      <c r="K719" s="15"/>
      <c r="L719" s="15"/>
      <c r="M719" s="15"/>
      <c r="N719" s="15" t="s">
        <v>50</v>
      </c>
      <c r="O719" s="15" t="s">
        <v>51</v>
      </c>
    </row>
    <row r="720" spans="1:15">
      <c r="A720" s="14" t="s">
        <v>14</v>
      </c>
      <c r="B720" s="14" t="s">
        <v>8288</v>
      </c>
      <c r="C720" s="14" t="s">
        <v>8289</v>
      </c>
      <c r="D720" s="14" t="s">
        <v>8647</v>
      </c>
      <c r="E720" s="14">
        <v>152</v>
      </c>
      <c r="F720" s="14" t="s">
        <v>8652</v>
      </c>
      <c r="G720" s="14" t="s">
        <v>8653</v>
      </c>
      <c r="H720" s="14"/>
      <c r="I720" s="14" t="s">
        <v>322</v>
      </c>
      <c r="J720" s="11" t="str">
        <f>HYPERLINK("https://www.codechef.com/problems/GENPERM", "https://www.codechef.com/problems/GENPERM")</f>
        <v>https://www.codechef.com/problems/GENPERM</v>
      </c>
      <c r="K720" s="14"/>
      <c r="L720" s="14" t="s">
        <v>8654</v>
      </c>
      <c r="M720" s="14"/>
      <c r="N720" s="14" t="s">
        <v>50</v>
      </c>
      <c r="O720" s="14" t="s">
        <v>51</v>
      </c>
    </row>
    <row r="721" spans="1:15">
      <c r="A721" s="15" t="s">
        <v>14</v>
      </c>
      <c r="B721" s="15" t="s">
        <v>8288</v>
      </c>
      <c r="C721" s="15" t="s">
        <v>8289</v>
      </c>
      <c r="D721" s="15" t="s">
        <v>8647</v>
      </c>
      <c r="E721" s="15">
        <v>153</v>
      </c>
      <c r="F721" s="15" t="s">
        <v>8655</v>
      </c>
      <c r="G721" s="15" t="s">
        <v>8656</v>
      </c>
      <c r="H721" s="15"/>
      <c r="I721" s="15" t="s">
        <v>322</v>
      </c>
      <c r="J721" s="7" t="str">
        <f>HYPERLINK("https://www.codechef.com/problems/SADQ", "https://www.codechef.com/problems/SADQ")</f>
        <v>https://www.codechef.com/problems/SADQ</v>
      </c>
      <c r="K721" s="15"/>
      <c r="L721" s="15"/>
      <c r="M721" s="15"/>
      <c r="N721" s="15" t="s">
        <v>50</v>
      </c>
      <c r="O721" s="15" t="s">
        <v>51</v>
      </c>
    </row>
    <row r="722" spans="1:15">
      <c r="A722" s="14" t="s">
        <v>14</v>
      </c>
      <c r="B722" s="14" t="s">
        <v>8288</v>
      </c>
      <c r="C722" s="14" t="s">
        <v>8289</v>
      </c>
      <c r="D722" s="14" t="s">
        <v>8647</v>
      </c>
      <c r="E722" s="14">
        <v>154</v>
      </c>
      <c r="F722" s="14" t="s">
        <v>8657</v>
      </c>
      <c r="G722" s="14" t="s">
        <v>8658</v>
      </c>
      <c r="H722" s="14"/>
      <c r="I722" s="14" t="s">
        <v>322</v>
      </c>
      <c r="J722" s="11" t="str">
        <f>HYPERLINK("https://www.codechef.com/problems/NUMBGAME", "https://www.codechef.com/problems/NUMBGAME")</f>
        <v>https://www.codechef.com/problems/NUMBGAME</v>
      </c>
      <c r="K722" s="14"/>
      <c r="L722" s="14" t="s">
        <v>8659</v>
      </c>
      <c r="M722" s="14"/>
      <c r="N722" s="14" t="s">
        <v>50</v>
      </c>
      <c r="O722" s="14" t="s">
        <v>51</v>
      </c>
    </row>
    <row r="723" spans="1:15">
      <c r="A723" s="15" t="s">
        <v>14</v>
      </c>
      <c r="B723" s="15" t="s">
        <v>8288</v>
      </c>
      <c r="C723" s="15" t="s">
        <v>8289</v>
      </c>
      <c r="D723" s="15" t="s">
        <v>8647</v>
      </c>
      <c r="E723" s="15">
        <v>155</v>
      </c>
      <c r="F723" s="15" t="s">
        <v>8660</v>
      </c>
      <c r="G723" s="15" t="s">
        <v>8661</v>
      </c>
      <c r="H723" s="15"/>
      <c r="I723" s="15" t="s">
        <v>322</v>
      </c>
      <c r="J723" s="7" t="str">
        <f>HYPERLINK("https://www.codechef.com/problems/TAXITURN", "https://www.codechef.com/problems/TAXITURN")</f>
        <v>https://www.codechef.com/problems/TAXITURN</v>
      </c>
      <c r="K723" s="15"/>
      <c r="L723" s="15"/>
      <c r="M723" s="15"/>
      <c r="N723" s="15" t="s">
        <v>50</v>
      </c>
      <c r="O723" s="15" t="s">
        <v>51</v>
      </c>
    </row>
    <row r="724" spans="1:15">
      <c r="A724" s="14" t="s">
        <v>14</v>
      </c>
      <c r="B724" s="14" t="s">
        <v>8288</v>
      </c>
      <c r="C724" s="14" t="s">
        <v>8289</v>
      </c>
      <c r="D724" s="14" t="s">
        <v>8647</v>
      </c>
      <c r="E724" s="14">
        <v>156</v>
      </c>
      <c r="F724" s="14" t="s">
        <v>8662</v>
      </c>
      <c r="G724" s="14" t="s">
        <v>8663</v>
      </c>
      <c r="H724" s="14"/>
      <c r="I724" s="14" t="s">
        <v>322</v>
      </c>
      <c r="J724" s="11" t="str">
        <f>HYPERLINK("https://www.codechef.com/problems/NONOVSEG", "https://www.codechef.com/problems/NONOVSEG")</f>
        <v>https://www.codechef.com/problems/NONOVSEG</v>
      </c>
      <c r="K724" s="14"/>
      <c r="L724" s="14" t="s">
        <v>8664</v>
      </c>
      <c r="M724" s="14"/>
      <c r="N724" s="14" t="s">
        <v>50</v>
      </c>
      <c r="O724" s="14" t="s">
        <v>51</v>
      </c>
    </row>
    <row r="725" spans="1:15">
      <c r="A725" s="15" t="s">
        <v>14</v>
      </c>
      <c r="B725" s="15" t="s">
        <v>8288</v>
      </c>
      <c r="C725" s="15" t="s">
        <v>8289</v>
      </c>
      <c r="D725" s="15" t="s">
        <v>8647</v>
      </c>
      <c r="E725" s="15">
        <v>157</v>
      </c>
      <c r="F725" s="15" t="s">
        <v>8665</v>
      </c>
      <c r="G725" s="15" t="s">
        <v>8666</v>
      </c>
      <c r="H725" s="15"/>
      <c r="I725" s="15" t="s">
        <v>322</v>
      </c>
      <c r="J725" s="7" t="str">
        <f>HYPERLINK("https://www.codechef.com/problems/XORQUERY", "https://www.codechef.com/problems/XORQUERY")</f>
        <v>https://www.codechef.com/problems/XORQUERY</v>
      </c>
      <c r="K725" s="15"/>
      <c r="L725" s="15"/>
      <c r="M725" s="15"/>
      <c r="N725" s="15" t="s">
        <v>50</v>
      </c>
      <c r="O725" s="15" t="s">
        <v>51</v>
      </c>
    </row>
    <row r="726" spans="1:15">
      <c r="A726" s="14" t="s">
        <v>14</v>
      </c>
      <c r="B726" s="14" t="s">
        <v>8288</v>
      </c>
      <c r="C726" s="14" t="s">
        <v>8289</v>
      </c>
      <c r="D726" s="14" t="s">
        <v>8647</v>
      </c>
      <c r="E726" s="14">
        <v>158</v>
      </c>
      <c r="F726" s="14" t="s">
        <v>8667</v>
      </c>
      <c r="G726" s="14" t="s">
        <v>8668</v>
      </c>
      <c r="H726" s="14"/>
      <c r="I726" s="14" t="s">
        <v>322</v>
      </c>
      <c r="J726" s="11" t="str">
        <f>HYPERLINK("https://www.codechef.com/problems/SCIENCEF", "https://www.codechef.com/problems/SCIENCEF")</f>
        <v>https://www.codechef.com/problems/SCIENCEF</v>
      </c>
      <c r="K726" s="14"/>
      <c r="L726" s="14"/>
      <c r="M726" s="14"/>
      <c r="N726" s="14" t="s">
        <v>50</v>
      </c>
      <c r="O726" s="14" t="s">
        <v>51</v>
      </c>
    </row>
    <row r="727" spans="1:15">
      <c r="A727" s="15" t="s">
        <v>14</v>
      </c>
      <c r="B727" s="15" t="s">
        <v>8288</v>
      </c>
      <c r="C727" s="15" t="s">
        <v>8289</v>
      </c>
      <c r="D727" s="15" t="s">
        <v>8647</v>
      </c>
      <c r="E727" s="15">
        <v>159</v>
      </c>
      <c r="F727" s="15" t="s">
        <v>8669</v>
      </c>
      <c r="G727" s="15" t="s">
        <v>8670</v>
      </c>
      <c r="H727" s="15"/>
      <c r="I727" s="15" t="s">
        <v>322</v>
      </c>
      <c r="J727" s="7" t="str">
        <f>HYPERLINK("https://www.codechef.com/problems/DISCAREA", "https://www.codechef.com/problems/DISCAREA")</f>
        <v>https://www.codechef.com/problems/DISCAREA</v>
      </c>
      <c r="K727" s="15"/>
      <c r="L727" s="15" t="s">
        <v>8671</v>
      </c>
      <c r="M727" s="15"/>
      <c r="N727" s="15" t="s">
        <v>50</v>
      </c>
      <c r="O727" s="15" t="s">
        <v>51</v>
      </c>
    </row>
    <row r="728" spans="1:15">
      <c r="A728" s="14" t="s">
        <v>14</v>
      </c>
      <c r="B728" s="14" t="s">
        <v>8288</v>
      </c>
      <c r="C728" s="14" t="s">
        <v>8289</v>
      </c>
      <c r="D728" s="14" t="s">
        <v>8672</v>
      </c>
      <c r="E728" s="14">
        <v>160</v>
      </c>
      <c r="F728" s="14" t="s">
        <v>8673</v>
      </c>
      <c r="G728" s="14" t="s">
        <v>8674</v>
      </c>
      <c r="H728" s="14"/>
      <c r="I728" s="14" t="s">
        <v>96</v>
      </c>
      <c r="J728" s="11" t="str">
        <f>HYPERLINK("https://www.codechef.com/problems/KOL16B", "https://www.codechef.com/problems/KOL16B")</f>
        <v>https://www.codechef.com/problems/KOL16B</v>
      </c>
      <c r="K728" s="14"/>
      <c r="L728" s="14" t="s">
        <v>1376</v>
      </c>
      <c r="M728" s="14"/>
      <c r="N728" s="14" t="s">
        <v>50</v>
      </c>
      <c r="O728" s="14" t="s">
        <v>51</v>
      </c>
    </row>
    <row r="729" spans="1:15">
      <c r="A729" s="15" t="s">
        <v>14</v>
      </c>
      <c r="B729" s="15" t="s">
        <v>8288</v>
      </c>
      <c r="C729" s="15" t="s">
        <v>8289</v>
      </c>
      <c r="D729" s="15" t="s">
        <v>8672</v>
      </c>
      <c r="E729" s="15">
        <v>161</v>
      </c>
      <c r="F729" s="15" t="s">
        <v>8675</v>
      </c>
      <c r="G729" s="15" t="s">
        <v>8676</v>
      </c>
      <c r="H729" s="15"/>
      <c r="I729" s="15" t="s">
        <v>49</v>
      </c>
      <c r="J729" s="7" t="str">
        <f>HYPERLINK("https://www.codechef.com/problems/KOL16J", "https://www.codechef.com/problems/KOL16J")</f>
        <v>https://www.codechef.com/problems/KOL16J</v>
      </c>
      <c r="K729" s="15"/>
      <c r="L729" s="15" t="s">
        <v>8677</v>
      </c>
      <c r="M729" s="15"/>
      <c r="N729" s="15" t="s">
        <v>50</v>
      </c>
      <c r="O729" s="15" t="s">
        <v>51</v>
      </c>
    </row>
    <row r="730" spans="1:15">
      <c r="A730" s="14" t="s">
        <v>14</v>
      </c>
      <c r="B730" s="14" t="s">
        <v>8288</v>
      </c>
      <c r="C730" s="14" t="s">
        <v>8289</v>
      </c>
      <c r="D730" s="14" t="s">
        <v>8672</v>
      </c>
      <c r="E730" s="14">
        <v>162</v>
      </c>
      <c r="F730" s="14" t="s">
        <v>8678</v>
      </c>
      <c r="G730" s="14" t="s">
        <v>8679</v>
      </c>
      <c r="H730" s="14"/>
      <c r="I730" s="14" t="s">
        <v>322</v>
      </c>
      <c r="J730" s="11" t="str">
        <f>HYPERLINK("https://www.codechef.com/problems/KOL16H", "https://www.codechef.com/problems/KOL16H")</f>
        <v>https://www.codechef.com/problems/KOL16H</v>
      </c>
      <c r="K730" s="14"/>
      <c r="L730" s="14" t="s">
        <v>8680</v>
      </c>
      <c r="M730" s="14"/>
      <c r="N730" s="14" t="s">
        <v>50</v>
      </c>
      <c r="O730" s="14" t="s">
        <v>51</v>
      </c>
    </row>
    <row r="731" spans="1:15">
      <c r="A731" s="15" t="s">
        <v>14</v>
      </c>
      <c r="B731" s="15" t="s">
        <v>8288</v>
      </c>
      <c r="C731" s="15" t="s">
        <v>8289</v>
      </c>
      <c r="D731" s="15" t="s">
        <v>8672</v>
      </c>
      <c r="E731" s="15">
        <v>163</v>
      </c>
      <c r="F731" s="15" t="s">
        <v>8681</v>
      </c>
      <c r="G731" s="15" t="s">
        <v>8682</v>
      </c>
      <c r="H731" s="15"/>
      <c r="I731" s="15" t="s">
        <v>322</v>
      </c>
      <c r="J731" s="7" t="str">
        <f>HYPERLINK("https://www.codechef.com/problems/KOL16F", "https://www.codechef.com/problems/KOL16F")</f>
        <v>https://www.codechef.com/problems/KOL16F</v>
      </c>
      <c r="K731" s="15"/>
      <c r="L731" s="15" t="s">
        <v>8683</v>
      </c>
      <c r="M731" s="15"/>
      <c r="N731" s="15" t="s">
        <v>50</v>
      </c>
      <c r="O731" s="15" t="s">
        <v>51</v>
      </c>
    </row>
    <row r="732" spans="1:15">
      <c r="A732" s="14" t="s">
        <v>14</v>
      </c>
      <c r="B732" s="14" t="s">
        <v>8288</v>
      </c>
      <c r="C732" s="14" t="s">
        <v>8289</v>
      </c>
      <c r="D732" s="14" t="s">
        <v>8672</v>
      </c>
      <c r="E732" s="14">
        <v>164</v>
      </c>
      <c r="F732" s="14" t="s">
        <v>8684</v>
      </c>
      <c r="G732" s="14" t="s">
        <v>8685</v>
      </c>
      <c r="H732" s="14"/>
      <c r="I732" s="14" t="s">
        <v>322</v>
      </c>
      <c r="J732" s="11" t="str">
        <f>HYPERLINK("https://www.codechef.com/problems/KOL16E", "https://www.codechef.com/problems/KOL16E")</f>
        <v>https://www.codechef.com/problems/KOL16E</v>
      </c>
      <c r="K732" s="14"/>
      <c r="L732" s="14" t="s">
        <v>8686</v>
      </c>
      <c r="M732" s="14"/>
      <c r="N732" s="14" t="s">
        <v>50</v>
      </c>
      <c r="O732" s="14" t="s">
        <v>51</v>
      </c>
    </row>
    <row r="733" spans="1:15">
      <c r="A733" s="15" t="s">
        <v>14</v>
      </c>
      <c r="B733" s="15" t="s">
        <v>8288</v>
      </c>
      <c r="C733" s="15" t="s">
        <v>8289</v>
      </c>
      <c r="D733" s="15" t="s">
        <v>8672</v>
      </c>
      <c r="E733" s="15">
        <v>165</v>
      </c>
      <c r="F733" s="15" t="s">
        <v>8687</v>
      </c>
      <c r="G733" s="15" t="s">
        <v>8688</v>
      </c>
      <c r="H733" s="15"/>
      <c r="I733" s="15" t="s">
        <v>322</v>
      </c>
      <c r="J733" s="7" t="str">
        <f>HYPERLINK("https://www.codechef.com/problems/KOL16K", "https://www.codechef.com/problems/KOL16K")</f>
        <v>https://www.codechef.com/problems/KOL16K</v>
      </c>
      <c r="K733" s="15"/>
      <c r="L733" s="15" t="s">
        <v>8689</v>
      </c>
      <c r="M733" s="15"/>
      <c r="N733" s="15" t="s">
        <v>50</v>
      </c>
      <c r="O733" s="15" t="s">
        <v>51</v>
      </c>
    </row>
    <row r="734" spans="1:15">
      <c r="A734" s="14" t="s">
        <v>14</v>
      </c>
      <c r="B734" s="14" t="s">
        <v>8288</v>
      </c>
      <c r="C734" s="14" t="s">
        <v>8289</v>
      </c>
      <c r="D734" s="14" t="s">
        <v>8672</v>
      </c>
      <c r="E734" s="14">
        <v>166</v>
      </c>
      <c r="F734" s="14" t="s">
        <v>8690</v>
      </c>
      <c r="G734" s="14" t="s">
        <v>8691</v>
      </c>
      <c r="H734" s="14"/>
      <c r="I734" s="14" t="s">
        <v>322</v>
      </c>
      <c r="J734" s="11" t="str">
        <f>HYPERLINK("https://www.codechef.com/problems/KOL16A", "https://www.codechef.com/problems/KOL16A")</f>
        <v>https://www.codechef.com/problems/KOL16A</v>
      </c>
      <c r="K734" s="14"/>
      <c r="L734" s="14" t="s">
        <v>8692</v>
      </c>
      <c r="M734" s="14"/>
      <c r="N734" s="14" t="s">
        <v>50</v>
      </c>
      <c r="O734" s="14" t="s">
        <v>51</v>
      </c>
    </row>
    <row r="735" spans="1:15">
      <c r="A735" s="15" t="s">
        <v>14</v>
      </c>
      <c r="B735" s="15" t="s">
        <v>8288</v>
      </c>
      <c r="C735" s="15" t="s">
        <v>8289</v>
      </c>
      <c r="D735" s="15" t="s">
        <v>8672</v>
      </c>
      <c r="E735" s="15">
        <v>167</v>
      </c>
      <c r="F735" s="15" t="s">
        <v>8693</v>
      </c>
      <c r="G735" s="15" t="s">
        <v>8694</v>
      </c>
      <c r="H735" s="15"/>
      <c r="I735" s="15" t="s">
        <v>322</v>
      </c>
      <c r="J735" s="7" t="str">
        <f>HYPERLINK("https://www.codechef.com/problems/KOL16L", "https://www.codechef.com/problems/KOL16L")</f>
        <v>https://www.codechef.com/problems/KOL16L</v>
      </c>
      <c r="K735" s="15"/>
      <c r="L735" s="15" t="s">
        <v>8695</v>
      </c>
      <c r="M735" s="15"/>
      <c r="N735" s="15" t="s">
        <v>50</v>
      </c>
      <c r="O735" s="15" t="s">
        <v>51</v>
      </c>
    </row>
    <row r="736" spans="1:15">
      <c r="A736" s="14" t="s">
        <v>14</v>
      </c>
      <c r="B736" s="14" t="s">
        <v>8288</v>
      </c>
      <c r="C736" s="14" t="s">
        <v>8289</v>
      </c>
      <c r="D736" s="14" t="s">
        <v>8672</v>
      </c>
      <c r="E736" s="14">
        <v>168</v>
      </c>
      <c r="F736" s="14" t="s">
        <v>8696</v>
      </c>
      <c r="G736" s="14" t="s">
        <v>8697</v>
      </c>
      <c r="H736" s="14"/>
      <c r="I736" s="14" t="s">
        <v>322</v>
      </c>
      <c r="J736" s="11" t="str">
        <f>HYPERLINK("https://www.codechef.com/problems/KOL16C", "https://www.codechef.com/problems/KOL16C")</f>
        <v>https://www.codechef.com/problems/KOL16C</v>
      </c>
      <c r="K736" s="14"/>
      <c r="L736" s="14" t="s">
        <v>8698</v>
      </c>
      <c r="M736" s="14"/>
      <c r="N736" s="14" t="s">
        <v>50</v>
      </c>
      <c r="O736" s="14" t="s">
        <v>51</v>
      </c>
    </row>
    <row r="737" spans="1:15">
      <c r="A737" s="15" t="s">
        <v>14</v>
      </c>
      <c r="B737" s="15" t="s">
        <v>8288</v>
      </c>
      <c r="C737" s="15" t="s">
        <v>8289</v>
      </c>
      <c r="D737" s="15" t="s">
        <v>8672</v>
      </c>
      <c r="E737" s="15">
        <v>169</v>
      </c>
      <c r="F737" s="15" t="s">
        <v>8699</v>
      </c>
      <c r="G737" s="15" t="s">
        <v>8700</v>
      </c>
      <c r="H737" s="15"/>
      <c r="I737" s="15" t="s">
        <v>322</v>
      </c>
      <c r="J737" s="7" t="str">
        <f>HYPERLINK("https://www.codechef.com/problems/KOL16D", "https://www.codechef.com/problems/KOL16D")</f>
        <v>https://www.codechef.com/problems/KOL16D</v>
      </c>
      <c r="K737" s="15"/>
      <c r="L737" s="15" t="s">
        <v>8701</v>
      </c>
      <c r="M737" s="15"/>
      <c r="N737" s="15" t="s">
        <v>50</v>
      </c>
      <c r="O737" s="15" t="s">
        <v>51</v>
      </c>
    </row>
    <row r="738" spans="1:15">
      <c r="A738" s="14" t="s">
        <v>14</v>
      </c>
      <c r="B738" s="14" t="s">
        <v>8288</v>
      </c>
      <c r="C738" s="14" t="s">
        <v>8289</v>
      </c>
      <c r="D738" s="14" t="s">
        <v>8672</v>
      </c>
      <c r="E738" s="14">
        <v>170</v>
      </c>
      <c r="F738" s="14" t="s">
        <v>8702</v>
      </c>
      <c r="G738" s="14" t="s">
        <v>8703</v>
      </c>
      <c r="H738" s="14"/>
      <c r="I738" s="14" t="s">
        <v>322</v>
      </c>
      <c r="J738" s="11" t="str">
        <f>HYPERLINK("https://www.codechef.com/problems/KOL16I", "https://www.codechef.com/problems/KOL16I")</f>
        <v>https://www.codechef.com/problems/KOL16I</v>
      </c>
      <c r="K738" s="14"/>
      <c r="L738" s="14" t="s">
        <v>8704</v>
      </c>
      <c r="M738" s="14"/>
      <c r="N738" s="14" t="s">
        <v>50</v>
      </c>
      <c r="O738" s="14" t="s">
        <v>51</v>
      </c>
    </row>
    <row r="739" spans="1:15">
      <c r="A739" s="15" t="s">
        <v>14</v>
      </c>
      <c r="B739" s="15" t="s">
        <v>8288</v>
      </c>
      <c r="C739" s="15" t="s">
        <v>8289</v>
      </c>
      <c r="D739" s="15" t="s">
        <v>8672</v>
      </c>
      <c r="E739" s="15">
        <v>171</v>
      </c>
      <c r="F739" s="15" t="s">
        <v>8705</v>
      </c>
      <c r="G739" s="15" t="s">
        <v>8706</v>
      </c>
      <c r="H739" s="15"/>
      <c r="I739" s="15" t="s">
        <v>322</v>
      </c>
      <c r="J739" s="7" t="str">
        <f>HYPERLINK("https://www.codechef.com/problems/KOL16G", "https://www.codechef.com/problems/KOL16G")</f>
        <v>https://www.codechef.com/problems/KOL16G</v>
      </c>
      <c r="K739" s="15"/>
      <c r="L739" s="15" t="s">
        <v>8707</v>
      </c>
      <c r="M739" s="15"/>
      <c r="N739" s="15" t="s">
        <v>50</v>
      </c>
      <c r="O739" s="15" t="s">
        <v>51</v>
      </c>
    </row>
    <row r="740" spans="1:15">
      <c r="A740" s="14" t="s">
        <v>14</v>
      </c>
      <c r="B740" s="14" t="s">
        <v>8288</v>
      </c>
      <c r="C740" s="14" t="s">
        <v>8289</v>
      </c>
      <c r="D740" s="14" t="s">
        <v>8708</v>
      </c>
      <c r="E740" s="14">
        <v>172</v>
      </c>
      <c r="F740" s="14" t="s">
        <v>8709</v>
      </c>
      <c r="G740" s="14" t="s">
        <v>8710</v>
      </c>
      <c r="H740" s="14"/>
      <c r="I740" s="14" t="s">
        <v>322</v>
      </c>
      <c r="J740" s="11" t="str">
        <f>HYPERLINK("https://www.codechef.com/problems/AMR16A", "https://www.codechef.com/problems/AMR16A")</f>
        <v>https://www.codechef.com/problems/AMR16A</v>
      </c>
      <c r="K740" s="14"/>
      <c r="L740" s="14" t="s">
        <v>8501</v>
      </c>
      <c r="M740" s="14"/>
      <c r="N740" s="14" t="s">
        <v>50</v>
      </c>
      <c r="O740" s="14" t="s">
        <v>51</v>
      </c>
    </row>
    <row r="741" spans="1:15">
      <c r="A741" s="15" t="s">
        <v>14</v>
      </c>
      <c r="B741" s="15" t="s">
        <v>8288</v>
      </c>
      <c r="C741" s="15" t="s">
        <v>8289</v>
      </c>
      <c r="D741" s="15" t="s">
        <v>8708</v>
      </c>
      <c r="E741" s="15">
        <v>173</v>
      </c>
      <c r="F741" s="15" t="s">
        <v>8711</v>
      </c>
      <c r="G741" s="15" t="s">
        <v>8712</v>
      </c>
      <c r="H741" s="15"/>
      <c r="I741" s="15" t="s">
        <v>322</v>
      </c>
      <c r="J741" s="7" t="str">
        <f>HYPERLINK("https://www.codechef.com/problems/AMR16B", "https://www.codechef.com/problems/AMR16B")</f>
        <v>https://www.codechef.com/problems/AMR16B</v>
      </c>
      <c r="K741" s="15"/>
      <c r="L741" s="15" t="s">
        <v>8501</v>
      </c>
      <c r="M741" s="15"/>
      <c r="N741" s="15" t="s">
        <v>50</v>
      </c>
      <c r="O741" s="15" t="s">
        <v>51</v>
      </c>
    </row>
    <row r="742" spans="1:15">
      <c r="A742" s="14" t="s">
        <v>14</v>
      </c>
      <c r="B742" s="14" t="s">
        <v>8288</v>
      </c>
      <c r="C742" s="14" t="s">
        <v>8289</v>
      </c>
      <c r="D742" s="14" t="s">
        <v>8708</v>
      </c>
      <c r="E742" s="14">
        <v>174</v>
      </c>
      <c r="F742" s="14" t="s">
        <v>8713</v>
      </c>
      <c r="G742" s="14" t="s">
        <v>8714</v>
      </c>
      <c r="H742" s="14"/>
      <c r="I742" s="14" t="s">
        <v>322</v>
      </c>
      <c r="J742" s="11" t="str">
        <f>HYPERLINK("https://www.codechef.com/problems/AMR16C", "https://www.codechef.com/problems/AMR16C")</f>
        <v>https://www.codechef.com/problems/AMR16C</v>
      </c>
      <c r="K742" s="14"/>
      <c r="L742" s="14" t="s">
        <v>8715</v>
      </c>
      <c r="M742" s="14"/>
      <c r="N742" s="14" t="s">
        <v>50</v>
      </c>
      <c r="O742" s="14" t="s">
        <v>51</v>
      </c>
    </row>
    <row r="743" spans="1:15">
      <c r="A743" s="15" t="s">
        <v>14</v>
      </c>
      <c r="B743" s="15" t="s">
        <v>8288</v>
      </c>
      <c r="C743" s="15" t="s">
        <v>8289</v>
      </c>
      <c r="D743" s="15" t="s">
        <v>8708</v>
      </c>
      <c r="E743" s="15">
        <v>175</v>
      </c>
      <c r="F743" s="15" t="s">
        <v>8716</v>
      </c>
      <c r="G743" s="15" t="s">
        <v>8717</v>
      </c>
      <c r="H743" s="15"/>
      <c r="I743" s="15" t="s">
        <v>49</v>
      </c>
      <c r="J743" s="7" t="str">
        <f>HYPERLINK("https://www.codechef.com/problems/AMR16D", "https://www.codechef.com/problems/AMR16D")</f>
        <v>https://www.codechef.com/problems/AMR16D</v>
      </c>
      <c r="K743" s="15"/>
      <c r="L743" s="15" t="s">
        <v>8501</v>
      </c>
      <c r="M743" s="15"/>
      <c r="N743" s="15" t="s">
        <v>50</v>
      </c>
      <c r="O743" s="15" t="s">
        <v>51</v>
      </c>
    </row>
    <row r="744" spans="1:15">
      <c r="A744" s="14" t="s">
        <v>14</v>
      </c>
      <c r="B744" s="14" t="s">
        <v>8288</v>
      </c>
      <c r="C744" s="14" t="s">
        <v>8289</v>
      </c>
      <c r="D744" s="14" t="s">
        <v>8708</v>
      </c>
      <c r="E744" s="14">
        <v>176</v>
      </c>
      <c r="F744" s="14" t="s">
        <v>8718</v>
      </c>
      <c r="G744" s="14" t="s">
        <v>8719</v>
      </c>
      <c r="H744" s="14"/>
      <c r="I744" s="14" t="s">
        <v>322</v>
      </c>
      <c r="J744" s="11" t="str">
        <f>HYPERLINK("https://www.codechef.com/problems/AMR16F", "https://www.codechef.com/problems/AMR16F")</f>
        <v>https://www.codechef.com/problems/AMR16F</v>
      </c>
      <c r="K744" s="14"/>
      <c r="L744" s="14" t="s">
        <v>8720</v>
      </c>
      <c r="M744" s="14"/>
      <c r="N744" s="14" t="s">
        <v>50</v>
      </c>
      <c r="O744" s="14" t="s">
        <v>51</v>
      </c>
    </row>
    <row r="745" spans="1:15">
      <c r="A745" s="15" t="s">
        <v>14</v>
      </c>
      <c r="B745" s="15" t="s">
        <v>8288</v>
      </c>
      <c r="C745" s="15" t="s">
        <v>8289</v>
      </c>
      <c r="D745" s="15" t="s">
        <v>8708</v>
      </c>
      <c r="E745" s="15">
        <v>177</v>
      </c>
      <c r="F745" s="15" t="s">
        <v>8721</v>
      </c>
      <c r="G745" s="15" t="s">
        <v>8722</v>
      </c>
      <c r="H745" s="15"/>
      <c r="I745" s="15" t="s">
        <v>322</v>
      </c>
      <c r="J745" s="7" t="str">
        <f>HYPERLINK("https://www.codechef.com/problems/AMR16H", "https://www.codechef.com/problems/AMR16H")</f>
        <v>https://www.codechef.com/problems/AMR16H</v>
      </c>
      <c r="K745" s="15"/>
      <c r="L745" s="15" t="s">
        <v>8720</v>
      </c>
      <c r="M745" s="15"/>
      <c r="N745" s="15" t="s">
        <v>50</v>
      </c>
      <c r="O745" s="15" t="s">
        <v>51</v>
      </c>
    </row>
    <row r="746" spans="1:15">
      <c r="A746" s="14" t="s">
        <v>14</v>
      </c>
      <c r="B746" s="14" t="s">
        <v>8288</v>
      </c>
      <c r="C746" s="14" t="s">
        <v>8289</v>
      </c>
      <c r="D746" s="14" t="s">
        <v>8708</v>
      </c>
      <c r="E746" s="14">
        <v>178</v>
      </c>
      <c r="F746" s="14" t="s">
        <v>8723</v>
      </c>
      <c r="G746" s="14" t="s">
        <v>8724</v>
      </c>
      <c r="H746" s="14"/>
      <c r="I746" s="14" t="s">
        <v>322</v>
      </c>
      <c r="J746" s="11" t="str">
        <f>HYPERLINK("https://www.codechef.com/problems/AMR16G", "https://www.codechef.com/problems/AMR16G")</f>
        <v>https://www.codechef.com/problems/AMR16G</v>
      </c>
      <c r="K746" s="14"/>
      <c r="L746" s="14" t="s">
        <v>8501</v>
      </c>
      <c r="M746" s="14"/>
      <c r="N746" s="14" t="s">
        <v>50</v>
      </c>
      <c r="O746" s="14" t="s">
        <v>51</v>
      </c>
    </row>
    <row r="747" spans="1:15">
      <c r="A747" s="15" t="s">
        <v>14</v>
      </c>
      <c r="B747" s="15" t="s">
        <v>8288</v>
      </c>
      <c r="C747" s="15" t="s">
        <v>8289</v>
      </c>
      <c r="D747" s="15" t="s">
        <v>8708</v>
      </c>
      <c r="E747" s="15">
        <v>179</v>
      </c>
      <c r="F747" s="15" t="s">
        <v>8725</v>
      </c>
      <c r="G747" s="15" t="s">
        <v>8726</v>
      </c>
      <c r="H747" s="15"/>
      <c r="I747" s="15" t="s">
        <v>322</v>
      </c>
      <c r="J747" s="7" t="str">
        <f>HYPERLINK("https://www.codechef.com/problems/AMR16I", "https://www.codechef.com/problems/AMR16I")</f>
        <v>https://www.codechef.com/problems/AMR16I</v>
      </c>
      <c r="K747" s="15"/>
      <c r="L747" s="15" t="s">
        <v>8727</v>
      </c>
      <c r="M747" s="15"/>
      <c r="N747" s="15" t="s">
        <v>50</v>
      </c>
      <c r="O747" s="15" t="s">
        <v>51</v>
      </c>
    </row>
    <row r="748" spans="1:15">
      <c r="A748" s="14" t="s">
        <v>14</v>
      </c>
      <c r="B748" s="14" t="s">
        <v>8288</v>
      </c>
      <c r="C748" s="14" t="s">
        <v>8289</v>
      </c>
      <c r="D748" s="14" t="s">
        <v>8708</v>
      </c>
      <c r="E748" s="14">
        <v>180</v>
      </c>
      <c r="F748" s="14" t="s">
        <v>8728</v>
      </c>
      <c r="G748" s="14" t="s">
        <v>8729</v>
      </c>
      <c r="H748" s="14"/>
      <c r="I748" s="14" t="s">
        <v>322</v>
      </c>
      <c r="J748" s="11" t="str">
        <f>HYPERLINK("https://www.codechef.com/problems/AMR16J", "https://www.codechef.com/problems/AMR16J")</f>
        <v>https://www.codechef.com/problems/AMR16J</v>
      </c>
      <c r="K748" s="14"/>
      <c r="L748" s="14" t="s">
        <v>8720</v>
      </c>
      <c r="M748" s="14"/>
      <c r="N748" s="14" t="s">
        <v>50</v>
      </c>
      <c r="O748" s="14" t="s">
        <v>51</v>
      </c>
    </row>
    <row r="749" spans="1:15">
      <c r="A749" s="15" t="s">
        <v>14</v>
      </c>
      <c r="B749" s="15" t="s">
        <v>8288</v>
      </c>
      <c r="C749" s="15" t="s">
        <v>8289</v>
      </c>
      <c r="D749" s="15" t="s">
        <v>8708</v>
      </c>
      <c r="E749" s="15">
        <v>181</v>
      </c>
      <c r="F749" s="15" t="s">
        <v>8730</v>
      </c>
      <c r="G749" s="15" t="s">
        <v>8731</v>
      </c>
      <c r="H749" s="15"/>
      <c r="I749" s="15" t="s">
        <v>322</v>
      </c>
      <c r="J749" s="7" t="str">
        <f>HYPERLINK("https://www.codechef.com/problems/AMR16L", "https://www.codechef.com/problems/AMR16L")</f>
        <v>https://www.codechef.com/problems/AMR16L</v>
      </c>
      <c r="K749" s="15"/>
      <c r="L749" s="15"/>
      <c r="M749" s="15"/>
      <c r="N749" s="15" t="s">
        <v>50</v>
      </c>
      <c r="O749" s="15" t="s">
        <v>51</v>
      </c>
    </row>
    <row r="750" spans="1:15">
      <c r="A750" s="14" t="s">
        <v>14</v>
      </c>
      <c r="B750" s="14" t="s">
        <v>8288</v>
      </c>
      <c r="C750" s="14" t="s">
        <v>8289</v>
      </c>
      <c r="D750" s="14" t="s">
        <v>8732</v>
      </c>
      <c r="E750" s="14">
        <v>182</v>
      </c>
      <c r="F750" s="14" t="s">
        <v>8733</v>
      </c>
      <c r="G750" s="14" t="s">
        <v>8734</v>
      </c>
      <c r="H750" s="14"/>
      <c r="I750" s="14" t="s">
        <v>49</v>
      </c>
      <c r="J750" s="11" t="str">
        <f>HYPERLINK("https://www.codechef.com/problems/CHN16G", "https://www.codechef.com/problems/CHN16G")</f>
        <v>https://www.codechef.com/problems/CHN16G</v>
      </c>
      <c r="K750" s="14"/>
      <c r="L750" s="14" t="s">
        <v>8501</v>
      </c>
      <c r="M750" s="14"/>
      <c r="N750" s="14" t="s">
        <v>50</v>
      </c>
      <c r="O750" s="14" t="s">
        <v>51</v>
      </c>
    </row>
    <row r="751" spans="1:15">
      <c r="A751" s="15" t="s">
        <v>14</v>
      </c>
      <c r="B751" s="15" t="s">
        <v>8288</v>
      </c>
      <c r="C751" s="15" t="s">
        <v>8289</v>
      </c>
      <c r="D751" s="15" t="s">
        <v>8732</v>
      </c>
      <c r="E751" s="15">
        <v>183</v>
      </c>
      <c r="F751" s="15" t="s">
        <v>8735</v>
      </c>
      <c r="G751" s="15" t="s">
        <v>8736</v>
      </c>
      <c r="H751" s="15"/>
      <c r="I751" s="15" t="s">
        <v>322</v>
      </c>
      <c r="J751" s="7" t="str">
        <f>HYPERLINK("https://www.codechef.com/problems/CHN16F", "https://www.codechef.com/problems/CHN16F")</f>
        <v>https://www.codechef.com/problems/CHN16F</v>
      </c>
      <c r="K751" s="15"/>
      <c r="L751" s="15" t="s">
        <v>8501</v>
      </c>
      <c r="M751" s="15"/>
      <c r="N751" s="15" t="s">
        <v>50</v>
      </c>
      <c r="O751" s="15" t="s">
        <v>51</v>
      </c>
    </row>
    <row r="752" spans="1:15">
      <c r="A752" s="14" t="s">
        <v>14</v>
      </c>
      <c r="B752" s="14" t="s">
        <v>8288</v>
      </c>
      <c r="C752" s="14" t="s">
        <v>8289</v>
      </c>
      <c r="D752" s="14" t="s">
        <v>8732</v>
      </c>
      <c r="E752" s="14">
        <v>184</v>
      </c>
      <c r="F752" s="14" t="s">
        <v>8737</v>
      </c>
      <c r="G752" s="14" t="s">
        <v>8738</v>
      </c>
      <c r="H752" s="14"/>
      <c r="I752" s="14" t="s">
        <v>96</v>
      </c>
      <c r="J752" s="11" t="str">
        <f>HYPERLINK("https://www.codechef.com/problems/CHN16C", "https://www.codechef.com/problems/CHN16C")</f>
        <v>https://www.codechef.com/problems/CHN16C</v>
      </c>
      <c r="K752" s="14"/>
      <c r="L752" s="14" t="s">
        <v>8501</v>
      </c>
      <c r="M752" s="14"/>
      <c r="N752" s="14" t="s">
        <v>50</v>
      </c>
      <c r="O752" s="14" t="s">
        <v>51</v>
      </c>
    </row>
    <row r="753" spans="1:15">
      <c r="A753" s="15" t="s">
        <v>14</v>
      </c>
      <c r="B753" s="15" t="s">
        <v>8288</v>
      </c>
      <c r="C753" s="15" t="s">
        <v>8289</v>
      </c>
      <c r="D753" s="15" t="s">
        <v>8732</v>
      </c>
      <c r="E753" s="15">
        <v>185</v>
      </c>
      <c r="F753" s="15" t="s">
        <v>8739</v>
      </c>
      <c r="G753" s="15" t="s">
        <v>8740</v>
      </c>
      <c r="H753" s="15"/>
      <c r="I753" s="15" t="s">
        <v>322</v>
      </c>
      <c r="J753" s="7" t="str">
        <f>HYPERLINK("https://www.codechef.com/problems/CHN16I", "https://www.codechef.com/problems/CHN16I")</f>
        <v>https://www.codechef.com/problems/CHN16I</v>
      </c>
      <c r="K753" s="15"/>
      <c r="L753" s="15" t="s">
        <v>8501</v>
      </c>
      <c r="M753" s="15"/>
      <c r="N753" s="15" t="s">
        <v>50</v>
      </c>
      <c r="O753" s="15" t="s">
        <v>51</v>
      </c>
    </row>
    <row r="754" spans="1:15">
      <c r="A754" s="14" t="s">
        <v>14</v>
      </c>
      <c r="B754" s="14" t="s">
        <v>8288</v>
      </c>
      <c r="C754" s="14" t="s">
        <v>8289</v>
      </c>
      <c r="D754" s="14" t="s">
        <v>8732</v>
      </c>
      <c r="E754" s="14">
        <v>186</v>
      </c>
      <c r="F754" s="14" t="s">
        <v>8741</v>
      </c>
      <c r="G754" s="14" t="s">
        <v>8742</v>
      </c>
      <c r="H754" s="14"/>
      <c r="I754" s="14" t="s">
        <v>322</v>
      </c>
      <c r="J754" s="11" t="str">
        <f>HYPERLINK("https://www.codechef.com/problems/CHN16B", "https://www.codechef.com/problems/CHN16B")</f>
        <v>https://www.codechef.com/problems/CHN16B</v>
      </c>
      <c r="K754" s="14"/>
      <c r="L754" s="14" t="s">
        <v>8501</v>
      </c>
      <c r="M754" s="14"/>
      <c r="N754" s="14" t="s">
        <v>50</v>
      </c>
      <c r="O754" s="14" t="s">
        <v>51</v>
      </c>
    </row>
    <row r="755" spans="1:15">
      <c r="A755" s="15" t="s">
        <v>14</v>
      </c>
      <c r="B755" s="15" t="s">
        <v>8288</v>
      </c>
      <c r="C755" s="15" t="s">
        <v>8289</v>
      </c>
      <c r="D755" s="15" t="s">
        <v>8732</v>
      </c>
      <c r="E755" s="15">
        <v>187</v>
      </c>
      <c r="F755" s="15" t="s">
        <v>8743</v>
      </c>
      <c r="G755" s="15" t="s">
        <v>8744</v>
      </c>
      <c r="H755" s="15"/>
      <c r="I755" s="15" t="s">
        <v>322</v>
      </c>
      <c r="J755" s="7" t="str">
        <f>HYPERLINK("https://www.codechef.com/problems/CHN16A", "https://www.codechef.com/problems/CHN16A")</f>
        <v>https://www.codechef.com/problems/CHN16A</v>
      </c>
      <c r="K755" s="15"/>
      <c r="L755" s="15" t="s">
        <v>8501</v>
      </c>
      <c r="M755" s="15"/>
      <c r="N755" s="15" t="s">
        <v>50</v>
      </c>
      <c r="O755" s="15" t="s">
        <v>51</v>
      </c>
    </row>
    <row r="756" spans="1:15">
      <c r="A756" s="14" t="s">
        <v>14</v>
      </c>
      <c r="B756" s="14" t="s">
        <v>8288</v>
      </c>
      <c r="C756" s="14" t="s">
        <v>8289</v>
      </c>
      <c r="D756" s="14" t="s">
        <v>8732</v>
      </c>
      <c r="E756" s="14">
        <v>188</v>
      </c>
      <c r="F756" s="14" t="s">
        <v>8745</v>
      </c>
      <c r="G756" s="14" t="s">
        <v>8746</v>
      </c>
      <c r="H756" s="14"/>
      <c r="I756" s="14" t="s">
        <v>322</v>
      </c>
      <c r="J756" s="11" t="str">
        <f>HYPERLINK("https://www.codechef.com/problems/CHN16J", "https://www.codechef.com/problems/CHN16J")</f>
        <v>https://www.codechef.com/problems/CHN16J</v>
      </c>
      <c r="K756" s="14"/>
      <c r="L756" s="14" t="s">
        <v>8501</v>
      </c>
      <c r="M756" s="14"/>
      <c r="N756" s="14" t="s">
        <v>50</v>
      </c>
      <c r="O756" s="14" t="s">
        <v>51</v>
      </c>
    </row>
    <row r="757" spans="1:15">
      <c r="A757" s="15" t="s">
        <v>14</v>
      </c>
      <c r="B757" s="15" t="s">
        <v>8288</v>
      </c>
      <c r="C757" s="15" t="s">
        <v>8289</v>
      </c>
      <c r="D757" s="15" t="s">
        <v>8732</v>
      </c>
      <c r="E757" s="15">
        <v>189</v>
      </c>
      <c r="F757" s="15" t="s">
        <v>8747</v>
      </c>
      <c r="G757" s="15" t="s">
        <v>8748</v>
      </c>
      <c r="H757" s="15"/>
      <c r="I757" s="15" t="s">
        <v>322</v>
      </c>
      <c r="J757" s="7" t="str">
        <f>HYPERLINK("https://www.codechef.com/problems/CHN16D", "https://www.codechef.com/problems/CHN16D")</f>
        <v>https://www.codechef.com/problems/CHN16D</v>
      </c>
      <c r="K757" s="15"/>
      <c r="L757" s="15" t="s">
        <v>8501</v>
      </c>
      <c r="M757" s="15"/>
      <c r="N757" s="15" t="s">
        <v>50</v>
      </c>
      <c r="O757" s="15" t="s">
        <v>51</v>
      </c>
    </row>
    <row r="758" spans="1:15">
      <c r="A758" s="14" t="s">
        <v>14</v>
      </c>
      <c r="B758" s="14" t="s">
        <v>8288</v>
      </c>
      <c r="C758" s="14" t="s">
        <v>8289</v>
      </c>
      <c r="D758" s="14" t="s">
        <v>8732</v>
      </c>
      <c r="E758" s="14">
        <v>190</v>
      </c>
      <c r="F758" s="14" t="s">
        <v>8749</v>
      </c>
      <c r="G758" s="14" t="s">
        <v>8750</v>
      </c>
      <c r="H758" s="14"/>
      <c r="I758" s="14" t="s">
        <v>322</v>
      </c>
      <c r="J758" s="11" t="str">
        <f>HYPERLINK("https://www.codechef.com/problems/CHN16E", "https://www.codechef.com/problems/CHN16E")</f>
        <v>https://www.codechef.com/problems/CHN16E</v>
      </c>
      <c r="K758" s="14"/>
      <c r="L758" s="14" t="s">
        <v>8501</v>
      </c>
      <c r="M758" s="14"/>
      <c r="N758" s="14" t="s">
        <v>50</v>
      </c>
      <c r="O758" s="14" t="s">
        <v>51</v>
      </c>
    </row>
    <row r="759" spans="1:15">
      <c r="A759" s="15" t="s">
        <v>14</v>
      </c>
      <c r="B759" s="15" t="s">
        <v>8288</v>
      </c>
      <c r="C759" s="15" t="s">
        <v>8289</v>
      </c>
      <c r="D759" s="15" t="s">
        <v>8732</v>
      </c>
      <c r="E759" s="15">
        <v>191</v>
      </c>
      <c r="F759" s="15" t="s">
        <v>8751</v>
      </c>
      <c r="G759" s="15" t="s">
        <v>8752</v>
      </c>
      <c r="H759" s="15"/>
      <c r="I759" s="15" t="s">
        <v>322</v>
      </c>
      <c r="J759" s="7" t="str">
        <f>HYPERLINK("https://www.codechef.com/problems/CHN16H", "https://www.codechef.com/problems/CHN16H")</f>
        <v>https://www.codechef.com/problems/CHN16H</v>
      </c>
      <c r="K759" s="15"/>
      <c r="L759" s="15" t="s">
        <v>8501</v>
      </c>
      <c r="M759" s="15"/>
      <c r="N759" s="15" t="s">
        <v>50</v>
      </c>
      <c r="O759" s="15" t="s">
        <v>51</v>
      </c>
    </row>
    <row r="760" spans="1:15">
      <c r="A760" s="14" t="s">
        <v>14</v>
      </c>
      <c r="B760" s="14" t="s">
        <v>8288</v>
      </c>
      <c r="C760" s="14" t="s">
        <v>8289</v>
      </c>
      <c r="D760" s="14" t="s">
        <v>8753</v>
      </c>
      <c r="E760" s="14">
        <v>192</v>
      </c>
      <c r="F760" s="14" t="s">
        <v>8754</v>
      </c>
      <c r="G760" s="14" t="s">
        <v>8755</v>
      </c>
      <c r="H760" s="14"/>
      <c r="I760" s="14" t="s">
        <v>322</v>
      </c>
      <c r="J760" s="11" t="str">
        <f>HYPERLINK("https://www.codechef.com/problems/KGP16H", "https://www.codechef.com/problems/KGP16H")</f>
        <v>https://www.codechef.com/problems/KGP16H</v>
      </c>
      <c r="K760" s="14"/>
      <c r="L760" s="14" t="s">
        <v>8756</v>
      </c>
      <c r="M760" s="14"/>
      <c r="N760" s="14" t="s">
        <v>50</v>
      </c>
      <c r="O760" s="14" t="s">
        <v>51</v>
      </c>
    </row>
    <row r="761" spans="1:15">
      <c r="A761" s="15" t="s">
        <v>14</v>
      </c>
      <c r="B761" s="15" t="s">
        <v>8288</v>
      </c>
      <c r="C761" s="15" t="s">
        <v>8289</v>
      </c>
      <c r="D761" s="15" t="s">
        <v>8753</v>
      </c>
      <c r="E761" s="15">
        <v>193</v>
      </c>
      <c r="F761" s="15" t="s">
        <v>8757</v>
      </c>
      <c r="G761" s="15" t="s">
        <v>8758</v>
      </c>
      <c r="H761" s="15"/>
      <c r="I761" s="15" t="s">
        <v>322</v>
      </c>
      <c r="J761" s="7" t="str">
        <f>HYPERLINK("https://www.codechef.com/problems/KGP16E", "https://www.codechef.com/problems/KGP16E")</f>
        <v>https://www.codechef.com/problems/KGP16E</v>
      </c>
      <c r="K761" s="15"/>
      <c r="L761" s="15" t="s">
        <v>8501</v>
      </c>
      <c r="M761" s="15"/>
      <c r="N761" s="15" t="s">
        <v>50</v>
      </c>
      <c r="O761" s="15" t="s">
        <v>51</v>
      </c>
    </row>
    <row r="762" spans="1:15">
      <c r="A762" s="14" t="s">
        <v>14</v>
      </c>
      <c r="B762" s="14" t="s">
        <v>8288</v>
      </c>
      <c r="C762" s="14" t="s">
        <v>8289</v>
      </c>
      <c r="D762" s="14" t="s">
        <v>8753</v>
      </c>
      <c r="E762" s="14">
        <v>194</v>
      </c>
      <c r="F762" s="14" t="s">
        <v>8759</v>
      </c>
      <c r="G762" s="14" t="s">
        <v>8760</v>
      </c>
      <c r="H762" s="14"/>
      <c r="I762" s="14" t="s">
        <v>322</v>
      </c>
      <c r="J762" s="11" t="str">
        <f>HYPERLINK("https://www.codechef.com/problems/KGP16F", "https://www.codechef.com/problems/KGP16F")</f>
        <v>https://www.codechef.com/problems/KGP16F</v>
      </c>
      <c r="K762" s="14"/>
      <c r="L762" s="14" t="s">
        <v>8761</v>
      </c>
      <c r="M762" s="14"/>
      <c r="N762" s="14" t="s">
        <v>50</v>
      </c>
      <c r="O762" s="14" t="s">
        <v>51</v>
      </c>
    </row>
    <row r="763" spans="1:15">
      <c r="A763" s="15" t="s">
        <v>14</v>
      </c>
      <c r="B763" s="15" t="s">
        <v>8288</v>
      </c>
      <c r="C763" s="15" t="s">
        <v>8289</v>
      </c>
      <c r="D763" s="15" t="s">
        <v>8753</v>
      </c>
      <c r="E763" s="15">
        <v>195</v>
      </c>
      <c r="F763" s="15" t="s">
        <v>8762</v>
      </c>
      <c r="G763" s="15" t="s">
        <v>8763</v>
      </c>
      <c r="H763" s="15"/>
      <c r="I763" s="15" t="s">
        <v>322</v>
      </c>
      <c r="J763" s="7" t="str">
        <f>HYPERLINK("https://www.codechef.com/problems/KGP16D", "https://www.codechef.com/problems/KGP16D")</f>
        <v>https://www.codechef.com/problems/KGP16D</v>
      </c>
      <c r="K763" s="15"/>
      <c r="L763" s="15" t="s">
        <v>8764</v>
      </c>
      <c r="M763" s="15"/>
      <c r="N763" s="15" t="s">
        <v>50</v>
      </c>
      <c r="O763" s="15" t="s">
        <v>51</v>
      </c>
    </row>
    <row r="764" spans="1:15">
      <c r="A764" s="14" t="s">
        <v>14</v>
      </c>
      <c r="B764" s="14" t="s">
        <v>8288</v>
      </c>
      <c r="C764" s="14" t="s">
        <v>8289</v>
      </c>
      <c r="D764" s="14" t="s">
        <v>8753</v>
      </c>
      <c r="E764" s="14">
        <v>196</v>
      </c>
      <c r="F764" s="14" t="s">
        <v>8765</v>
      </c>
      <c r="G764" s="14" t="s">
        <v>8766</v>
      </c>
      <c r="H764" s="14"/>
      <c r="I764" s="14" t="s">
        <v>322</v>
      </c>
      <c r="J764" s="11" t="str">
        <f>HYPERLINK("https://www.codechef.com/problems/KGP16C", "https://www.codechef.com/problems/KGP16C")</f>
        <v>https://www.codechef.com/problems/KGP16C</v>
      </c>
      <c r="K764" s="14"/>
      <c r="L764" s="14" t="s">
        <v>8767</v>
      </c>
      <c r="M764" s="14"/>
      <c r="N764" s="14" t="s">
        <v>50</v>
      </c>
      <c r="O764" s="14" t="s">
        <v>51</v>
      </c>
    </row>
    <row r="765" spans="1:15">
      <c r="A765" s="15" t="s">
        <v>14</v>
      </c>
      <c r="B765" s="15" t="s">
        <v>8288</v>
      </c>
      <c r="C765" s="15" t="s">
        <v>8289</v>
      </c>
      <c r="D765" s="15" t="s">
        <v>8753</v>
      </c>
      <c r="E765" s="15">
        <v>197</v>
      </c>
      <c r="F765" s="15" t="s">
        <v>8768</v>
      </c>
      <c r="G765" s="15" t="s">
        <v>8769</v>
      </c>
      <c r="H765" s="15"/>
      <c r="I765" s="15" t="s">
        <v>322</v>
      </c>
      <c r="J765" s="7" t="str">
        <f>HYPERLINK("https://www.codechef.com/problems/KGP16K", "https://www.codechef.com/problems/KGP16K")</f>
        <v>https://www.codechef.com/problems/KGP16K</v>
      </c>
      <c r="K765" s="15"/>
      <c r="L765" s="15" t="s">
        <v>8770</v>
      </c>
      <c r="M765" s="15"/>
      <c r="N765" s="15" t="s">
        <v>50</v>
      </c>
      <c r="O765" s="15" t="s">
        <v>51</v>
      </c>
    </row>
    <row r="766" spans="1:15">
      <c r="A766" s="14" t="s">
        <v>14</v>
      </c>
      <c r="B766" s="14" t="s">
        <v>8288</v>
      </c>
      <c r="C766" s="14" t="s">
        <v>8289</v>
      </c>
      <c r="D766" s="14" t="s">
        <v>8753</v>
      </c>
      <c r="E766" s="14">
        <v>198</v>
      </c>
      <c r="F766" s="14" t="s">
        <v>8771</v>
      </c>
      <c r="G766" s="14" t="s">
        <v>8772</v>
      </c>
      <c r="H766" s="14"/>
      <c r="I766" s="14" t="s">
        <v>322</v>
      </c>
      <c r="J766" s="11" t="str">
        <f>HYPERLINK("https://www.codechef.com/problems/KGP16B", "https://www.codechef.com/problems/KGP16B")</f>
        <v>https://www.codechef.com/problems/KGP16B</v>
      </c>
      <c r="K766" s="14"/>
      <c r="L766" s="14" t="s">
        <v>8773</v>
      </c>
      <c r="M766" s="14"/>
      <c r="N766" s="14" t="s">
        <v>50</v>
      </c>
      <c r="O766" s="14" t="s">
        <v>51</v>
      </c>
    </row>
    <row r="767" spans="1:15">
      <c r="A767" s="15" t="s">
        <v>14</v>
      </c>
      <c r="B767" s="15" t="s">
        <v>8288</v>
      </c>
      <c r="C767" s="15" t="s">
        <v>8289</v>
      </c>
      <c r="D767" s="15" t="s">
        <v>8753</v>
      </c>
      <c r="E767" s="15">
        <v>199</v>
      </c>
      <c r="F767" s="15" t="s">
        <v>8774</v>
      </c>
      <c r="G767" s="15" t="s">
        <v>8775</v>
      </c>
      <c r="H767" s="15"/>
      <c r="I767" s="15" t="s">
        <v>322</v>
      </c>
      <c r="J767" s="7" t="str">
        <f>HYPERLINK("https://www.codechef.com/problems/KGP16J", "https://www.codechef.com/problems/KGP16J")</f>
        <v>https://www.codechef.com/problems/KGP16J</v>
      </c>
      <c r="K767" s="15"/>
      <c r="L767" s="15" t="s">
        <v>8776</v>
      </c>
      <c r="M767" s="15"/>
      <c r="N767" s="15" t="s">
        <v>50</v>
      </c>
      <c r="O767" s="15" t="s">
        <v>51</v>
      </c>
    </row>
    <row r="768" spans="1:15">
      <c r="A768" s="14" t="s">
        <v>14</v>
      </c>
      <c r="B768" s="14" t="s">
        <v>8288</v>
      </c>
      <c r="C768" s="14" t="s">
        <v>8289</v>
      </c>
      <c r="D768" s="14" t="s">
        <v>8753</v>
      </c>
      <c r="E768" s="14">
        <v>200</v>
      </c>
      <c r="F768" s="14" t="s">
        <v>8777</v>
      </c>
      <c r="G768" s="14" t="s">
        <v>8778</v>
      </c>
      <c r="H768" s="14"/>
      <c r="I768" s="14" t="s">
        <v>322</v>
      </c>
      <c r="J768" s="11" t="str">
        <f>HYPERLINK("https://www.codechef.com/problems/KGP16A", "https://www.codechef.com/problems/KGP16A")</f>
        <v>https://www.codechef.com/problems/KGP16A</v>
      </c>
      <c r="K768" s="14"/>
      <c r="L768" s="14" t="s">
        <v>8779</v>
      </c>
      <c r="M768" s="14"/>
      <c r="N768" s="14" t="s">
        <v>50</v>
      </c>
      <c r="O768" s="14" t="s">
        <v>51</v>
      </c>
    </row>
    <row r="769" spans="1:15">
      <c r="A769" s="15" t="s">
        <v>14</v>
      </c>
      <c r="B769" s="15" t="s">
        <v>8288</v>
      </c>
      <c r="C769" s="15" t="s">
        <v>8289</v>
      </c>
      <c r="D769" s="15" t="s">
        <v>8753</v>
      </c>
      <c r="E769" s="15">
        <v>201</v>
      </c>
      <c r="F769" s="15" t="s">
        <v>8780</v>
      </c>
      <c r="G769" s="15" t="s">
        <v>8781</v>
      </c>
      <c r="H769" s="15"/>
      <c r="I769" s="15" t="s">
        <v>322</v>
      </c>
      <c r="J769" s="7" t="str">
        <f>HYPERLINK("https://www.codechef.com/problems/KGP16G", "https://www.codechef.com/problems/KGP16G")</f>
        <v>https://www.codechef.com/problems/KGP16G</v>
      </c>
      <c r="K769" s="15"/>
      <c r="L769" s="15" t="s">
        <v>8782</v>
      </c>
      <c r="M769" s="15"/>
      <c r="N769" s="15" t="s">
        <v>50</v>
      </c>
      <c r="O769" s="15" t="s">
        <v>51</v>
      </c>
    </row>
    <row r="770" spans="1:15">
      <c r="A770" s="14" t="s">
        <v>14</v>
      </c>
      <c r="B770" s="14" t="s">
        <v>8288</v>
      </c>
      <c r="C770" s="14" t="s">
        <v>8289</v>
      </c>
      <c r="D770" s="14" t="s">
        <v>8753</v>
      </c>
      <c r="E770" s="14">
        <v>202</v>
      </c>
      <c r="F770" s="14" t="s">
        <v>8783</v>
      </c>
      <c r="G770" s="14" t="s">
        <v>8784</v>
      </c>
      <c r="H770" s="14"/>
      <c r="I770" s="14" t="s">
        <v>322</v>
      </c>
      <c r="J770" s="11" t="str">
        <f>HYPERLINK("https://www.codechef.com/problems/KGP16I", "https://www.codechef.com/problems/KGP16I")</f>
        <v>https://www.codechef.com/problems/KGP16I</v>
      </c>
      <c r="K770" s="14"/>
      <c r="L770" s="14" t="s">
        <v>8501</v>
      </c>
      <c r="M770" s="14"/>
      <c r="N770" s="14" t="s">
        <v>50</v>
      </c>
      <c r="O770" s="14" t="s">
        <v>51</v>
      </c>
    </row>
    <row r="771" spans="1:15">
      <c r="A771" s="15" t="s">
        <v>14</v>
      </c>
      <c r="B771" s="15" t="s">
        <v>8288</v>
      </c>
      <c r="C771" s="15" t="s">
        <v>8289</v>
      </c>
      <c r="D771" s="15" t="s">
        <v>8785</v>
      </c>
      <c r="E771" s="15">
        <v>203</v>
      </c>
      <c r="F771" s="15" t="s">
        <v>8786</v>
      </c>
      <c r="G771" s="15" t="s">
        <v>8787</v>
      </c>
      <c r="H771" s="15"/>
      <c r="I771" s="15" t="s">
        <v>49</v>
      </c>
      <c r="J771" s="7" t="str">
        <f>HYPERLINK("https://www.codechef.com/problems/ICPC16A", "https://www.codechef.com/problems/ICPC16A")</f>
        <v>https://www.codechef.com/problems/ICPC16A</v>
      </c>
      <c r="K771" s="15"/>
      <c r="L771" s="15" t="s">
        <v>8501</v>
      </c>
      <c r="M771" s="15"/>
      <c r="N771" s="15" t="s">
        <v>50</v>
      </c>
      <c r="O771" s="15" t="s">
        <v>51</v>
      </c>
    </row>
    <row r="772" spans="1:15">
      <c r="A772" s="14" t="s">
        <v>14</v>
      </c>
      <c r="B772" s="14" t="s">
        <v>8288</v>
      </c>
      <c r="C772" s="14" t="s">
        <v>8289</v>
      </c>
      <c r="D772" s="14" t="s">
        <v>8785</v>
      </c>
      <c r="E772" s="14">
        <v>204</v>
      </c>
      <c r="F772" s="14" t="s">
        <v>8788</v>
      </c>
      <c r="G772" s="14" t="s">
        <v>8789</v>
      </c>
      <c r="H772" s="14"/>
      <c r="I772" s="14" t="s">
        <v>322</v>
      </c>
      <c r="J772" s="11" t="str">
        <f>HYPERLINK("https://www.codechef.com/problems/ICPC16B", "https://www.codechef.com/problems/ICPC16B")</f>
        <v>https://www.codechef.com/problems/ICPC16B</v>
      </c>
      <c r="K772" s="14"/>
      <c r="L772" s="14" t="s">
        <v>8501</v>
      </c>
      <c r="M772" s="14"/>
      <c r="N772" s="14" t="s">
        <v>50</v>
      </c>
      <c r="O772" s="14" t="s">
        <v>51</v>
      </c>
    </row>
    <row r="773" spans="1:15">
      <c r="A773" s="15" t="s">
        <v>14</v>
      </c>
      <c r="B773" s="15" t="s">
        <v>8288</v>
      </c>
      <c r="C773" s="15" t="s">
        <v>8289</v>
      </c>
      <c r="D773" s="15" t="s">
        <v>8785</v>
      </c>
      <c r="E773" s="15">
        <v>205</v>
      </c>
      <c r="F773" s="15" t="s">
        <v>8790</v>
      </c>
      <c r="G773" s="15" t="s">
        <v>8791</v>
      </c>
      <c r="H773" s="15"/>
      <c r="I773" s="15" t="s">
        <v>322</v>
      </c>
      <c r="J773" s="7" t="str">
        <f>HYPERLINK("https://www.codechef.com/problems/ICPC16C", "https://www.codechef.com/problems/ICPC16C")</f>
        <v>https://www.codechef.com/problems/ICPC16C</v>
      </c>
      <c r="K773" s="15"/>
      <c r="L773" s="15" t="s">
        <v>8501</v>
      </c>
      <c r="M773" s="15"/>
      <c r="N773" s="15" t="s">
        <v>50</v>
      </c>
      <c r="O773" s="15" t="s">
        <v>51</v>
      </c>
    </row>
    <row r="774" spans="1:15">
      <c r="A774" s="14" t="s">
        <v>14</v>
      </c>
      <c r="B774" s="14" t="s">
        <v>8288</v>
      </c>
      <c r="C774" s="14" t="s">
        <v>8289</v>
      </c>
      <c r="D774" s="14" t="s">
        <v>8785</v>
      </c>
      <c r="E774" s="14">
        <v>206</v>
      </c>
      <c r="F774" s="14" t="s">
        <v>8792</v>
      </c>
      <c r="G774" s="14" t="s">
        <v>8793</v>
      </c>
      <c r="H774" s="14"/>
      <c r="I774" s="14" t="s">
        <v>322</v>
      </c>
      <c r="J774" s="11" t="str">
        <f>HYPERLINK("https://www.codechef.com/problems/ICPC16D", "https://www.codechef.com/problems/ICPC16D")</f>
        <v>https://www.codechef.com/problems/ICPC16D</v>
      </c>
      <c r="K774" s="14"/>
      <c r="L774" s="14" t="s">
        <v>8501</v>
      </c>
      <c r="M774" s="14"/>
      <c r="N774" s="14" t="s">
        <v>50</v>
      </c>
      <c r="O774" s="14" t="s">
        <v>51</v>
      </c>
    </row>
    <row r="775" spans="1:15">
      <c r="A775" s="15" t="s">
        <v>14</v>
      </c>
      <c r="B775" s="15" t="s">
        <v>8288</v>
      </c>
      <c r="C775" s="15" t="s">
        <v>8289</v>
      </c>
      <c r="D775" s="15" t="s">
        <v>8785</v>
      </c>
      <c r="E775" s="15">
        <v>207</v>
      </c>
      <c r="F775" s="15" t="s">
        <v>8794</v>
      </c>
      <c r="G775" s="15" t="s">
        <v>8795</v>
      </c>
      <c r="H775" s="15"/>
      <c r="I775" s="15" t="s">
        <v>322</v>
      </c>
      <c r="J775" s="7" t="str">
        <f>HYPERLINK("https://www.codechef.com/problems/ICPC16E", "https://www.codechef.com/problems/ICPC16E")</f>
        <v>https://www.codechef.com/problems/ICPC16E</v>
      </c>
      <c r="K775" s="15"/>
      <c r="L775" s="15" t="s">
        <v>8501</v>
      </c>
      <c r="M775" s="15"/>
      <c r="N775" s="15" t="s">
        <v>50</v>
      </c>
      <c r="O775" s="15" t="s">
        <v>51</v>
      </c>
    </row>
    <row r="776" spans="1:15">
      <c r="A776" s="14" t="s">
        <v>14</v>
      </c>
      <c r="B776" s="14" t="s">
        <v>8288</v>
      </c>
      <c r="C776" s="14" t="s">
        <v>8289</v>
      </c>
      <c r="D776" s="14" t="s">
        <v>8785</v>
      </c>
      <c r="E776" s="14">
        <v>208</v>
      </c>
      <c r="F776" s="14" t="s">
        <v>8796</v>
      </c>
      <c r="G776" s="14" t="s">
        <v>8797</v>
      </c>
      <c r="H776" s="14"/>
      <c r="I776" s="14" t="s">
        <v>322</v>
      </c>
      <c r="J776" s="11" t="str">
        <f>HYPERLINK("https://www.codechef.com/problems/ICPC16G", "https://www.codechef.com/problems/ICPC16G")</f>
        <v>https://www.codechef.com/problems/ICPC16G</v>
      </c>
      <c r="K776" s="14"/>
      <c r="L776" s="14" t="s">
        <v>8798</v>
      </c>
      <c r="M776" s="14"/>
      <c r="N776" s="14" t="s">
        <v>50</v>
      </c>
      <c r="O776" s="14" t="s">
        <v>51</v>
      </c>
    </row>
    <row r="777" spans="1:15">
      <c r="A777" s="15" t="s">
        <v>14</v>
      </c>
      <c r="B777" s="15" t="s">
        <v>8288</v>
      </c>
      <c r="C777" s="15" t="s">
        <v>8289</v>
      </c>
      <c r="D777" s="15" t="s">
        <v>8785</v>
      </c>
      <c r="E777" s="15">
        <v>209</v>
      </c>
      <c r="F777" s="15" t="s">
        <v>8799</v>
      </c>
      <c r="G777" s="15" t="s">
        <v>8800</v>
      </c>
      <c r="H777" s="15"/>
      <c r="I777" s="15" t="s">
        <v>322</v>
      </c>
      <c r="J777" s="7" t="str">
        <f>HYPERLINK("https://www.codechef.com/problems/ICPC16F", "https://www.codechef.com/problems/ICPC16F")</f>
        <v>https://www.codechef.com/problems/ICPC16F</v>
      </c>
      <c r="K777" s="15"/>
      <c r="L777" s="15" t="s">
        <v>8801</v>
      </c>
      <c r="M777" s="15"/>
      <c r="N777" s="15" t="s">
        <v>50</v>
      </c>
      <c r="O777" s="15" t="s">
        <v>51</v>
      </c>
    </row>
    <row r="778" spans="1:15">
      <c r="A778" s="14" t="s">
        <v>14</v>
      </c>
      <c r="B778" s="14" t="s">
        <v>8288</v>
      </c>
      <c r="C778" s="14" t="s">
        <v>8289</v>
      </c>
      <c r="D778" s="14" t="s">
        <v>8802</v>
      </c>
      <c r="E778" s="14">
        <v>210</v>
      </c>
      <c r="F778" s="14" t="s">
        <v>8803</v>
      </c>
      <c r="G778" s="14" t="s">
        <v>8804</v>
      </c>
      <c r="H778" s="14"/>
      <c r="I778" s="14" t="s">
        <v>322</v>
      </c>
      <c r="J778" s="11" t="str">
        <f>HYPERLINK("https://www.codechef.com/problems/INF16I", "https://www.codechef.com/problems/INF16I")</f>
        <v>https://www.codechef.com/problems/INF16I</v>
      </c>
      <c r="K778" s="14"/>
      <c r="L778" s="14" t="s">
        <v>8501</v>
      </c>
      <c r="M778" s="14"/>
      <c r="N778" s="14" t="s">
        <v>50</v>
      </c>
      <c r="O778" s="14" t="s">
        <v>51</v>
      </c>
    </row>
    <row r="779" spans="1:15">
      <c r="A779" s="15" t="s">
        <v>14</v>
      </c>
      <c r="B779" s="15" t="s">
        <v>8288</v>
      </c>
      <c r="C779" s="15" t="s">
        <v>8289</v>
      </c>
      <c r="D779" s="15" t="s">
        <v>8802</v>
      </c>
      <c r="E779" s="15">
        <v>211</v>
      </c>
      <c r="F779" s="15" t="s">
        <v>8805</v>
      </c>
      <c r="G779" s="15" t="s">
        <v>8806</v>
      </c>
      <c r="H779" s="15"/>
      <c r="I779" s="15" t="s">
        <v>322</v>
      </c>
      <c r="J779" s="7" t="str">
        <f>HYPERLINK("https://www.codechef.com/problems/INF16E", "https://www.codechef.com/problems/INF16E")</f>
        <v>https://www.codechef.com/problems/INF16E</v>
      </c>
      <c r="K779" s="15"/>
      <c r="L779" s="15" t="s">
        <v>8807</v>
      </c>
      <c r="M779" s="15"/>
      <c r="N779" s="15" t="s">
        <v>50</v>
      </c>
      <c r="O779" s="15" t="s">
        <v>51</v>
      </c>
    </row>
    <row r="780" spans="1:15">
      <c r="A780" s="14" t="s">
        <v>14</v>
      </c>
      <c r="B780" s="14" t="s">
        <v>8288</v>
      </c>
      <c r="C780" s="14" t="s">
        <v>8289</v>
      </c>
      <c r="D780" s="14" t="s">
        <v>8802</v>
      </c>
      <c r="E780" s="14">
        <v>212</v>
      </c>
      <c r="F780" s="14" t="s">
        <v>8808</v>
      </c>
      <c r="G780" s="14" t="s">
        <v>8809</v>
      </c>
      <c r="H780" s="14"/>
      <c r="I780" s="14" t="s">
        <v>322</v>
      </c>
      <c r="J780" s="11" t="str">
        <f>HYPERLINK("https://www.codechef.com/problems/INF16H", "https://www.codechef.com/problems/INF16H")</f>
        <v>https://www.codechef.com/problems/INF16H</v>
      </c>
      <c r="K780" s="14"/>
      <c r="L780" s="14" t="s">
        <v>8807</v>
      </c>
      <c r="M780" s="14"/>
      <c r="N780" s="14" t="s">
        <v>50</v>
      </c>
      <c r="O780" s="14" t="s">
        <v>51</v>
      </c>
    </row>
    <row r="781" spans="1:15">
      <c r="A781" s="15" t="s">
        <v>14</v>
      </c>
      <c r="B781" s="15" t="s">
        <v>8288</v>
      </c>
      <c r="C781" s="15" t="s">
        <v>8289</v>
      </c>
      <c r="D781" s="15" t="s">
        <v>8802</v>
      </c>
      <c r="E781" s="15">
        <v>213</v>
      </c>
      <c r="F781" s="15" t="s">
        <v>8810</v>
      </c>
      <c r="G781" s="15" t="s">
        <v>8811</v>
      </c>
      <c r="H781" s="15"/>
      <c r="I781" s="15" t="s">
        <v>322</v>
      </c>
      <c r="J781" s="7" t="str">
        <f>HYPERLINK("https://www.codechef.com/problems/INF16A", "https://www.codechef.com/problems/INF16A")</f>
        <v>https://www.codechef.com/problems/INF16A</v>
      </c>
      <c r="K781" s="15"/>
      <c r="L781" s="15" t="s">
        <v>8807</v>
      </c>
      <c r="M781" s="15"/>
      <c r="N781" s="15" t="s">
        <v>50</v>
      </c>
      <c r="O781" s="15" t="s">
        <v>51</v>
      </c>
    </row>
    <row r="782" spans="1:15">
      <c r="A782" s="14" t="s">
        <v>14</v>
      </c>
      <c r="B782" s="14" t="s">
        <v>8288</v>
      </c>
      <c r="C782" s="14" t="s">
        <v>8289</v>
      </c>
      <c r="D782" s="14" t="s">
        <v>8802</v>
      </c>
      <c r="E782" s="14">
        <v>214</v>
      </c>
      <c r="F782" s="14" t="s">
        <v>8812</v>
      </c>
      <c r="G782" s="14" t="s">
        <v>8813</v>
      </c>
      <c r="H782" s="14"/>
      <c r="I782" s="14" t="s">
        <v>322</v>
      </c>
      <c r="J782" s="11" t="str">
        <f>HYPERLINK("https://www.codechef.com/problems/INF16C", "https://www.codechef.com/problems/INF16C")</f>
        <v>https://www.codechef.com/problems/INF16C</v>
      </c>
      <c r="K782" s="14"/>
      <c r="L782" s="14" t="s">
        <v>8807</v>
      </c>
      <c r="M782" s="14"/>
      <c r="N782" s="14" t="s">
        <v>50</v>
      </c>
      <c r="O782" s="14" t="s">
        <v>51</v>
      </c>
    </row>
    <row r="783" spans="1:15">
      <c r="A783" s="15" t="s">
        <v>14</v>
      </c>
      <c r="B783" s="15" t="s">
        <v>8288</v>
      </c>
      <c r="C783" s="15" t="s">
        <v>8289</v>
      </c>
      <c r="D783" s="15" t="s">
        <v>8802</v>
      </c>
      <c r="E783" s="15">
        <v>215</v>
      </c>
      <c r="F783" s="15" t="s">
        <v>8814</v>
      </c>
      <c r="G783" s="15" t="s">
        <v>8815</v>
      </c>
      <c r="H783" s="15"/>
      <c r="I783" s="15" t="s">
        <v>322</v>
      </c>
      <c r="J783" s="7" t="str">
        <f>HYPERLINK("https://www.codechef.com/problems/INF16D", "https://www.codechef.com/problems/INF16D")</f>
        <v>https://www.codechef.com/problems/INF16D</v>
      </c>
      <c r="K783" s="15"/>
      <c r="L783" s="15" t="s">
        <v>8807</v>
      </c>
      <c r="M783" s="15"/>
      <c r="N783" s="15" t="s">
        <v>50</v>
      </c>
      <c r="O783" s="15" t="s">
        <v>51</v>
      </c>
    </row>
    <row r="784" spans="1:15">
      <c r="A784" s="14" t="s">
        <v>14</v>
      </c>
      <c r="B784" s="14" t="s">
        <v>8288</v>
      </c>
      <c r="C784" s="14" t="s">
        <v>8289</v>
      </c>
      <c r="D784" s="14" t="s">
        <v>8802</v>
      </c>
      <c r="E784" s="14">
        <v>216</v>
      </c>
      <c r="F784" s="14" t="s">
        <v>8816</v>
      </c>
      <c r="G784" s="14" t="s">
        <v>8817</v>
      </c>
      <c r="H784" s="14"/>
      <c r="I784" s="14" t="s">
        <v>322</v>
      </c>
      <c r="J784" s="11" t="str">
        <f>HYPERLINK("https://www.codechef.com/problems/INF16L", "https://www.codechef.com/problems/INF16L")</f>
        <v>https://www.codechef.com/problems/INF16L</v>
      </c>
      <c r="K784" s="14"/>
      <c r="L784" s="14" t="s">
        <v>8501</v>
      </c>
      <c r="M784" s="14"/>
      <c r="N784" s="14" t="s">
        <v>50</v>
      </c>
      <c r="O784" s="14" t="s">
        <v>51</v>
      </c>
    </row>
    <row r="785" spans="1:15">
      <c r="A785" s="15" t="s">
        <v>14</v>
      </c>
      <c r="B785" s="15" t="s">
        <v>8288</v>
      </c>
      <c r="C785" s="15" t="s">
        <v>8289</v>
      </c>
      <c r="D785" s="15" t="s">
        <v>8802</v>
      </c>
      <c r="E785" s="15">
        <v>217</v>
      </c>
      <c r="F785" s="15" t="s">
        <v>8818</v>
      </c>
      <c r="G785" s="15" t="s">
        <v>8819</v>
      </c>
      <c r="H785" s="15"/>
      <c r="I785" s="15" t="s">
        <v>322</v>
      </c>
      <c r="J785" s="7" t="str">
        <f>HYPERLINK("https://www.codechef.com/problems/INF16B", "https://www.codechef.com/problems/INF16B")</f>
        <v>https://www.codechef.com/problems/INF16B</v>
      </c>
      <c r="K785" s="15"/>
      <c r="L785" s="15" t="s">
        <v>8807</v>
      </c>
      <c r="M785" s="15"/>
      <c r="N785" s="15" t="s">
        <v>50</v>
      </c>
      <c r="O785" s="15" t="s">
        <v>51</v>
      </c>
    </row>
    <row r="786" spans="1:15">
      <c r="A786" s="14" t="s">
        <v>14</v>
      </c>
      <c r="B786" s="14" t="s">
        <v>8288</v>
      </c>
      <c r="C786" s="14" t="s">
        <v>8289</v>
      </c>
      <c r="D786" s="14" t="s">
        <v>8802</v>
      </c>
      <c r="E786" s="14">
        <v>218</v>
      </c>
      <c r="F786" s="14" t="s">
        <v>8820</v>
      </c>
      <c r="G786" s="14" t="s">
        <v>8821</v>
      </c>
      <c r="H786" s="14"/>
      <c r="I786" s="14" t="s">
        <v>322</v>
      </c>
      <c r="J786" s="11" t="str">
        <f>HYPERLINK("https://www.codechef.com/problems/INF16F", "https://www.codechef.com/problems/INF16F")</f>
        <v>https://www.codechef.com/problems/INF16F</v>
      </c>
      <c r="K786" s="14"/>
      <c r="L786" s="14" t="s">
        <v>8807</v>
      </c>
      <c r="M786" s="14"/>
      <c r="N786" s="14" t="s">
        <v>50</v>
      </c>
      <c r="O786" s="14" t="s">
        <v>51</v>
      </c>
    </row>
    <row r="787" spans="1:15">
      <c r="A787" s="15" t="s">
        <v>14</v>
      </c>
      <c r="B787" s="15" t="s">
        <v>8288</v>
      </c>
      <c r="C787" s="15" t="s">
        <v>8289</v>
      </c>
      <c r="D787" s="15" t="s">
        <v>8802</v>
      </c>
      <c r="E787" s="15">
        <v>219</v>
      </c>
      <c r="F787" s="15" t="s">
        <v>8822</v>
      </c>
      <c r="G787" s="15" t="s">
        <v>8823</v>
      </c>
      <c r="H787" s="15"/>
      <c r="I787" s="15" t="s">
        <v>322</v>
      </c>
      <c r="J787" s="7" t="str">
        <f>HYPERLINK("https://www.codechef.com/problems/INF16J", "https://www.codechef.com/problems/INF16J")</f>
        <v>https://www.codechef.com/problems/INF16J</v>
      </c>
      <c r="K787" s="15"/>
      <c r="L787" s="15" t="s">
        <v>8501</v>
      </c>
      <c r="M787" s="15"/>
      <c r="N787" s="15" t="s">
        <v>50</v>
      </c>
      <c r="O787" s="15" t="s">
        <v>51</v>
      </c>
    </row>
    <row r="788" spans="1:15">
      <c r="A788" s="14" t="s">
        <v>14</v>
      </c>
      <c r="B788" s="14" t="s">
        <v>8288</v>
      </c>
      <c r="C788" s="14" t="s">
        <v>8289</v>
      </c>
      <c r="D788" s="14" t="s">
        <v>8802</v>
      </c>
      <c r="E788" s="14">
        <v>220</v>
      </c>
      <c r="F788" s="14" t="s">
        <v>8824</v>
      </c>
      <c r="G788" s="14" t="s">
        <v>8825</v>
      </c>
      <c r="H788" s="14"/>
      <c r="I788" s="14" t="s">
        <v>322</v>
      </c>
      <c r="J788" s="11" t="str">
        <f>HYPERLINK("https://www.codechef.com/problems/INF16K", "https://www.codechef.com/problems/INF16K")</f>
        <v>https://www.codechef.com/problems/INF16K</v>
      </c>
      <c r="K788" s="14"/>
      <c r="L788" s="14" t="s">
        <v>8501</v>
      </c>
      <c r="M788" s="14"/>
      <c r="N788" s="14" t="s">
        <v>50</v>
      </c>
      <c r="O788" s="14" t="s">
        <v>51</v>
      </c>
    </row>
    <row r="789" spans="1:15">
      <c r="A789" s="15" t="s">
        <v>14</v>
      </c>
      <c r="B789" s="15" t="s">
        <v>8288</v>
      </c>
      <c r="C789" s="15" t="s">
        <v>8289</v>
      </c>
      <c r="D789" s="15" t="s">
        <v>8826</v>
      </c>
      <c r="E789" s="15">
        <v>221</v>
      </c>
      <c r="F789" s="15" t="s">
        <v>8827</v>
      </c>
      <c r="G789" s="15" t="s">
        <v>8828</v>
      </c>
      <c r="H789" s="15"/>
      <c r="I789" s="15" t="s">
        <v>322</v>
      </c>
      <c r="J789" s="7" t="str">
        <f>HYPERLINK("https://www.codechef.com/problems/CHN05", "https://www.codechef.com/problems/CHN05")</f>
        <v>https://www.codechef.com/problems/CHN05</v>
      </c>
      <c r="K789" s="15"/>
      <c r="L789" s="15" t="s">
        <v>8829</v>
      </c>
      <c r="M789" s="15"/>
      <c r="N789" s="15" t="s">
        <v>50</v>
      </c>
      <c r="O789" s="15" t="s">
        <v>51</v>
      </c>
    </row>
    <row r="790" spans="1:15">
      <c r="A790" s="14" t="s">
        <v>14</v>
      </c>
      <c r="B790" s="14" t="s">
        <v>8288</v>
      </c>
      <c r="C790" s="14" t="s">
        <v>8289</v>
      </c>
      <c r="D790" s="14" t="s">
        <v>8826</v>
      </c>
      <c r="E790" s="14">
        <v>222</v>
      </c>
      <c r="F790" s="14" t="s">
        <v>8830</v>
      </c>
      <c r="G790" s="14" t="s">
        <v>8831</v>
      </c>
      <c r="H790" s="14"/>
      <c r="I790" s="14" t="s">
        <v>322</v>
      </c>
      <c r="J790" s="11" t="str">
        <f>HYPERLINK("https://www.codechef.com/problems/CHN08", "https://www.codechef.com/problems/CHN08")</f>
        <v>https://www.codechef.com/problems/CHN08</v>
      </c>
      <c r="K790" s="14"/>
      <c r="L790" s="14" t="s">
        <v>8832</v>
      </c>
      <c r="M790" s="14"/>
      <c r="N790" s="14" t="s">
        <v>50</v>
      </c>
      <c r="O790" s="14" t="s">
        <v>51</v>
      </c>
    </row>
    <row r="791" spans="1:15">
      <c r="A791" s="15" t="s">
        <v>14</v>
      </c>
      <c r="B791" s="15" t="s">
        <v>8288</v>
      </c>
      <c r="C791" s="15" t="s">
        <v>8289</v>
      </c>
      <c r="D791" s="15" t="s">
        <v>8826</v>
      </c>
      <c r="E791" s="15">
        <v>223</v>
      </c>
      <c r="F791" s="15" t="s">
        <v>8833</v>
      </c>
      <c r="G791" s="15" t="s">
        <v>8834</v>
      </c>
      <c r="H791" s="15"/>
      <c r="I791" s="15" t="s">
        <v>96</v>
      </c>
      <c r="J791" s="7" t="str">
        <f>HYPERLINK("https://www.codechef.com/problems/CHN01", "https://www.codechef.com/problems/CHN01")</f>
        <v>https://www.codechef.com/problems/CHN01</v>
      </c>
      <c r="K791" s="15"/>
      <c r="L791" s="15" t="s">
        <v>8835</v>
      </c>
      <c r="M791" s="15"/>
      <c r="N791" s="15" t="s">
        <v>50</v>
      </c>
      <c r="O791" s="15" t="s">
        <v>51</v>
      </c>
    </row>
    <row r="792" spans="1:15">
      <c r="A792" s="14" t="s">
        <v>14</v>
      </c>
      <c r="B792" s="14" t="s">
        <v>8288</v>
      </c>
      <c r="C792" s="14" t="s">
        <v>8289</v>
      </c>
      <c r="D792" s="14" t="s">
        <v>8826</v>
      </c>
      <c r="E792" s="14">
        <v>224</v>
      </c>
      <c r="F792" s="14" t="s">
        <v>8836</v>
      </c>
      <c r="G792" s="14" t="s">
        <v>8837</v>
      </c>
      <c r="H792" s="14"/>
      <c r="I792" s="14" t="s">
        <v>322</v>
      </c>
      <c r="J792" s="11" t="str">
        <f>HYPERLINK("https://www.codechef.com/problems/CHN03", "https://www.codechef.com/problems/CHN03")</f>
        <v>https://www.codechef.com/problems/CHN03</v>
      </c>
      <c r="K792" s="14"/>
      <c r="L792" s="14" t="s">
        <v>8838</v>
      </c>
      <c r="M792" s="14"/>
      <c r="N792" s="14" t="s">
        <v>50</v>
      </c>
      <c r="O792" s="14" t="s">
        <v>51</v>
      </c>
    </row>
    <row r="793" spans="1:15">
      <c r="A793" s="15" t="s">
        <v>14</v>
      </c>
      <c r="B793" s="15" t="s">
        <v>8288</v>
      </c>
      <c r="C793" s="15" t="s">
        <v>8289</v>
      </c>
      <c r="D793" s="15" t="s">
        <v>8826</v>
      </c>
      <c r="E793" s="15">
        <v>225</v>
      </c>
      <c r="F793" s="15" t="s">
        <v>8839</v>
      </c>
      <c r="G793" s="15" t="s">
        <v>8840</v>
      </c>
      <c r="H793" s="15"/>
      <c r="I793" s="15" t="s">
        <v>322</v>
      </c>
      <c r="J793" s="7" t="str">
        <f>HYPERLINK("https://www.codechef.com/problems/CHN07", "https://www.codechef.com/problems/CHN07")</f>
        <v>https://www.codechef.com/problems/CHN07</v>
      </c>
      <c r="K793" s="15"/>
      <c r="L793" s="15" t="s">
        <v>8841</v>
      </c>
      <c r="M793" s="15"/>
      <c r="N793" s="15" t="s">
        <v>50</v>
      </c>
      <c r="O793" s="15" t="s">
        <v>51</v>
      </c>
    </row>
    <row r="794" spans="1:15">
      <c r="A794" s="14" t="s">
        <v>14</v>
      </c>
      <c r="B794" s="14" t="s">
        <v>8288</v>
      </c>
      <c r="C794" s="14" t="s">
        <v>8289</v>
      </c>
      <c r="D794" s="14" t="s">
        <v>8826</v>
      </c>
      <c r="E794" s="14">
        <v>226</v>
      </c>
      <c r="F794" s="14" t="s">
        <v>8842</v>
      </c>
      <c r="G794" s="14" t="s">
        <v>8843</v>
      </c>
      <c r="H794" s="14"/>
      <c r="I794" s="14" t="s">
        <v>322</v>
      </c>
      <c r="J794" s="11" t="str">
        <f>HYPERLINK("https://www.codechef.com/problems/CHN02", "https://www.codechef.com/problems/CHN02")</f>
        <v>https://www.codechef.com/problems/CHN02</v>
      </c>
      <c r="K794" s="14"/>
      <c r="L794" s="14" t="s">
        <v>8844</v>
      </c>
      <c r="M794" s="14"/>
      <c r="N794" s="14" t="s">
        <v>50</v>
      </c>
      <c r="O794" s="14" t="s">
        <v>51</v>
      </c>
    </row>
    <row r="795" spans="1:15">
      <c r="A795" s="15" t="s">
        <v>14</v>
      </c>
      <c r="B795" s="15" t="s">
        <v>8288</v>
      </c>
      <c r="C795" s="15" t="s">
        <v>8289</v>
      </c>
      <c r="D795" s="15" t="s">
        <v>8826</v>
      </c>
      <c r="E795" s="15">
        <v>227</v>
      </c>
      <c r="F795" s="15" t="s">
        <v>8845</v>
      </c>
      <c r="G795" s="15" t="s">
        <v>8846</v>
      </c>
      <c r="H795" s="15"/>
      <c r="I795" s="15" t="s">
        <v>322</v>
      </c>
      <c r="J795" s="7" t="str">
        <f>HYPERLINK("https://www.codechef.com/problems/CHN10", "https://www.codechef.com/problems/CHN10")</f>
        <v>https://www.codechef.com/problems/CHN10</v>
      </c>
      <c r="K795" s="15"/>
      <c r="L795" s="15" t="s">
        <v>8847</v>
      </c>
      <c r="M795" s="15"/>
      <c r="N795" s="15" t="s">
        <v>50</v>
      </c>
      <c r="O795" s="15" t="s">
        <v>51</v>
      </c>
    </row>
    <row r="796" spans="1:15">
      <c r="A796" s="14" t="s">
        <v>14</v>
      </c>
      <c r="B796" s="14" t="s">
        <v>8288</v>
      </c>
      <c r="C796" s="14" t="s">
        <v>8289</v>
      </c>
      <c r="D796" s="14" t="s">
        <v>8826</v>
      </c>
      <c r="E796" s="14">
        <v>228</v>
      </c>
      <c r="F796" s="14" t="s">
        <v>8848</v>
      </c>
      <c r="G796" s="14" t="s">
        <v>8849</v>
      </c>
      <c r="H796" s="14"/>
      <c r="I796" s="14" t="s">
        <v>322</v>
      </c>
      <c r="J796" s="11" t="str">
        <f>HYPERLINK("https://www.codechef.com/problems/CHN04", "https://www.codechef.com/problems/CHN04")</f>
        <v>https://www.codechef.com/problems/CHN04</v>
      </c>
      <c r="K796" s="14"/>
      <c r="L796" s="14" t="s">
        <v>8850</v>
      </c>
      <c r="M796" s="14"/>
      <c r="N796" s="14" t="s">
        <v>50</v>
      </c>
      <c r="O796" s="14" t="s">
        <v>51</v>
      </c>
    </row>
    <row r="797" spans="1:15">
      <c r="A797" s="15" t="s">
        <v>14</v>
      </c>
      <c r="B797" s="15" t="s">
        <v>8288</v>
      </c>
      <c r="C797" s="15" t="s">
        <v>8289</v>
      </c>
      <c r="D797" s="15" t="s">
        <v>8826</v>
      </c>
      <c r="E797" s="15">
        <v>229</v>
      </c>
      <c r="F797" s="15" t="s">
        <v>8851</v>
      </c>
      <c r="G797" s="15" t="s">
        <v>8852</v>
      </c>
      <c r="H797" s="15"/>
      <c r="I797" s="15" t="s">
        <v>322</v>
      </c>
      <c r="J797" s="7" t="str">
        <f>HYPERLINK("https://www.codechef.com/problems/CHN06", "https://www.codechef.com/problems/CHN06")</f>
        <v>https://www.codechef.com/problems/CHN06</v>
      </c>
      <c r="K797" s="15"/>
      <c r="L797" s="15" t="s">
        <v>8853</v>
      </c>
      <c r="M797" s="15"/>
      <c r="N797" s="15" t="s">
        <v>50</v>
      </c>
      <c r="O797" s="15" t="s">
        <v>51</v>
      </c>
    </row>
    <row r="798" spans="1:15">
      <c r="A798" s="14" t="s">
        <v>14</v>
      </c>
      <c r="B798" s="14" t="s">
        <v>8288</v>
      </c>
      <c r="C798" s="14" t="s">
        <v>8289</v>
      </c>
      <c r="D798" s="14" t="s">
        <v>8826</v>
      </c>
      <c r="E798" s="14">
        <v>230</v>
      </c>
      <c r="F798" s="14" t="s">
        <v>64</v>
      </c>
      <c r="G798" s="14" t="s">
        <v>65</v>
      </c>
      <c r="H798" s="14" t="s">
        <v>66</v>
      </c>
      <c r="I798" s="14" t="s">
        <v>49</v>
      </c>
      <c r="J798" s="11" t="str">
        <f>HYPERLINK("https://www.codechef.com/problems/CHN09", "https://www.codechef.com/problems/CHN09")</f>
        <v>https://www.codechef.com/problems/CHN09</v>
      </c>
      <c r="K798" s="14"/>
      <c r="L798" s="14" t="s">
        <v>67</v>
      </c>
      <c r="M798" s="14"/>
      <c r="N798" s="14" t="s">
        <v>50</v>
      </c>
      <c r="O798" s="14" t="s">
        <v>51</v>
      </c>
    </row>
    <row r="799" spans="1:15">
      <c r="A799" s="15" t="s">
        <v>14</v>
      </c>
      <c r="B799" s="15" t="s">
        <v>8288</v>
      </c>
      <c r="C799" s="15" t="s">
        <v>8289</v>
      </c>
      <c r="D799" s="15" t="s">
        <v>8826</v>
      </c>
      <c r="E799" s="15">
        <v>231</v>
      </c>
      <c r="F799" s="15" t="s">
        <v>8854</v>
      </c>
      <c r="G799" s="15" t="s">
        <v>8855</v>
      </c>
      <c r="H799" s="15"/>
      <c r="I799" s="15" t="s">
        <v>322</v>
      </c>
      <c r="J799" s="7" t="str">
        <f>HYPERLINK("https://www.codechef.com/problems/CHN11", "https://www.codechef.com/problems/CHN11")</f>
        <v>https://www.codechef.com/problems/CHN11</v>
      </c>
      <c r="K799" s="15"/>
      <c r="L799" s="15" t="s">
        <v>8856</v>
      </c>
      <c r="M799" s="15"/>
      <c r="N799" s="15" t="s">
        <v>50</v>
      </c>
      <c r="O799" s="15" t="s">
        <v>51</v>
      </c>
    </row>
    <row r="800" spans="1:15">
      <c r="A800" s="14" t="s">
        <v>14</v>
      </c>
      <c r="B800" s="14" t="s">
        <v>8288</v>
      </c>
      <c r="C800" s="14" t="s">
        <v>8289</v>
      </c>
      <c r="D800" s="14" t="s">
        <v>8826</v>
      </c>
      <c r="E800" s="14">
        <v>232</v>
      </c>
      <c r="F800" s="14" t="s">
        <v>8857</v>
      </c>
      <c r="G800" s="14" t="s">
        <v>8858</v>
      </c>
      <c r="H800" s="14"/>
      <c r="I800" s="14" t="s">
        <v>322</v>
      </c>
      <c r="J800" s="11" t="str">
        <f>HYPERLINK("https://www.codechef.com/problems/CHN12", "https://www.codechef.com/problems/CHN12")</f>
        <v>https://www.codechef.com/problems/CHN12</v>
      </c>
      <c r="K800" s="14"/>
      <c r="L800" s="14" t="s">
        <v>8859</v>
      </c>
      <c r="M800" s="14"/>
      <c r="N800" s="14" t="s">
        <v>50</v>
      </c>
      <c r="O800" s="14" t="s">
        <v>51</v>
      </c>
    </row>
    <row r="801" spans="1:15">
      <c r="A801" s="15" t="s">
        <v>14</v>
      </c>
      <c r="B801" s="15" t="s">
        <v>8288</v>
      </c>
      <c r="C801" s="15" t="s">
        <v>8289</v>
      </c>
      <c r="D801" s="15" t="s">
        <v>8860</v>
      </c>
      <c r="E801" s="15">
        <v>233</v>
      </c>
      <c r="F801" s="15" t="s">
        <v>8861</v>
      </c>
      <c r="G801" s="15" t="s">
        <v>8862</v>
      </c>
      <c r="H801" s="15"/>
      <c r="I801" s="15" t="s">
        <v>96</v>
      </c>
      <c r="J801" s="7" t="str">
        <f>HYPERLINK("https://www.codechef.com/problems/KOL1505", "https://www.codechef.com/problems/KOL1505")</f>
        <v>https://www.codechef.com/problems/KOL1505</v>
      </c>
      <c r="K801" s="15"/>
      <c r="L801" s="15" t="s">
        <v>105</v>
      </c>
      <c r="M801" s="15"/>
      <c r="N801" s="15" t="s">
        <v>50</v>
      </c>
      <c r="O801" s="15" t="s">
        <v>51</v>
      </c>
    </row>
    <row r="802" spans="1:15">
      <c r="A802" s="14" t="s">
        <v>14</v>
      </c>
      <c r="B802" s="14" t="s">
        <v>8288</v>
      </c>
      <c r="C802" s="14" t="s">
        <v>8289</v>
      </c>
      <c r="D802" s="14" t="s">
        <v>8860</v>
      </c>
      <c r="E802" s="14">
        <v>234</v>
      </c>
      <c r="F802" s="14" t="s">
        <v>8863</v>
      </c>
      <c r="G802" s="14" t="s">
        <v>8864</v>
      </c>
      <c r="H802" s="14"/>
      <c r="I802" s="14" t="s">
        <v>322</v>
      </c>
      <c r="J802" s="11" t="str">
        <f>HYPERLINK("https://www.codechef.com/problems/KOL1504", "https://www.codechef.com/problems/KOL1504")</f>
        <v>https://www.codechef.com/problems/KOL1504</v>
      </c>
      <c r="K802" s="14"/>
      <c r="L802" s="14" t="s">
        <v>2138</v>
      </c>
      <c r="M802" s="14"/>
      <c r="N802" s="14" t="s">
        <v>50</v>
      </c>
      <c r="O802" s="14" t="s">
        <v>51</v>
      </c>
    </row>
    <row r="803" spans="1:15">
      <c r="A803" s="15" t="s">
        <v>14</v>
      </c>
      <c r="B803" s="15" t="s">
        <v>8288</v>
      </c>
      <c r="C803" s="15" t="s">
        <v>8289</v>
      </c>
      <c r="D803" s="15" t="s">
        <v>8860</v>
      </c>
      <c r="E803" s="15">
        <v>235</v>
      </c>
      <c r="F803" s="15" t="s">
        <v>8865</v>
      </c>
      <c r="G803" s="15" t="s">
        <v>8866</v>
      </c>
      <c r="H803" s="15"/>
      <c r="I803" s="15" t="s">
        <v>322</v>
      </c>
      <c r="J803" s="7" t="str">
        <f>HYPERLINK("https://www.codechef.com/problems/KOL1502", "https://www.codechef.com/problems/KOL1502")</f>
        <v>https://www.codechef.com/problems/KOL1502</v>
      </c>
      <c r="K803" s="15"/>
      <c r="L803" s="15" t="s">
        <v>8867</v>
      </c>
      <c r="M803" s="15"/>
      <c r="N803" s="15" t="s">
        <v>50</v>
      </c>
      <c r="O803" s="15" t="s">
        <v>51</v>
      </c>
    </row>
    <row r="804" spans="1:15">
      <c r="A804" s="14" t="s">
        <v>14</v>
      </c>
      <c r="B804" s="14" t="s">
        <v>8288</v>
      </c>
      <c r="C804" s="14" t="s">
        <v>8289</v>
      </c>
      <c r="D804" s="14" t="s">
        <v>8860</v>
      </c>
      <c r="E804" s="14">
        <v>236</v>
      </c>
      <c r="F804" s="14" t="s">
        <v>8868</v>
      </c>
      <c r="G804" s="14" t="s">
        <v>8869</v>
      </c>
      <c r="H804" s="14"/>
      <c r="I804" s="14" t="s">
        <v>322</v>
      </c>
      <c r="J804" s="11" t="str">
        <f>HYPERLINK("https://www.codechef.com/problems/KOL1509", "https://www.codechef.com/problems/KOL1509")</f>
        <v>https://www.codechef.com/problems/KOL1509</v>
      </c>
      <c r="K804" s="14"/>
      <c r="L804" s="14" t="s">
        <v>8870</v>
      </c>
      <c r="M804" s="14"/>
      <c r="N804" s="14" t="s">
        <v>50</v>
      </c>
      <c r="O804" s="14" t="s">
        <v>51</v>
      </c>
    </row>
    <row r="805" spans="1:15">
      <c r="A805" s="15" t="s">
        <v>14</v>
      </c>
      <c r="B805" s="15" t="s">
        <v>8288</v>
      </c>
      <c r="C805" s="15" t="s">
        <v>8289</v>
      </c>
      <c r="D805" s="15" t="s">
        <v>8860</v>
      </c>
      <c r="E805" s="15">
        <v>237</v>
      </c>
      <c r="F805" s="15" t="s">
        <v>8871</v>
      </c>
      <c r="G805" s="15" t="s">
        <v>8872</v>
      </c>
      <c r="H805" s="15"/>
      <c r="I805" s="15" t="s">
        <v>322</v>
      </c>
      <c r="J805" s="7" t="str">
        <f>HYPERLINK("https://www.codechef.com/problems/KOL1506", "https://www.codechef.com/problems/KOL1506")</f>
        <v>https://www.codechef.com/problems/KOL1506</v>
      </c>
      <c r="K805" s="15"/>
      <c r="L805" s="15" t="s">
        <v>8873</v>
      </c>
      <c r="M805" s="15"/>
      <c r="N805" s="15" t="s">
        <v>50</v>
      </c>
      <c r="O805" s="15" t="s">
        <v>51</v>
      </c>
    </row>
    <row r="806" spans="1:15">
      <c r="A806" s="14" t="s">
        <v>14</v>
      </c>
      <c r="B806" s="14" t="s">
        <v>8288</v>
      </c>
      <c r="C806" s="14" t="s">
        <v>8289</v>
      </c>
      <c r="D806" s="14" t="s">
        <v>8860</v>
      </c>
      <c r="E806" s="14">
        <v>238</v>
      </c>
      <c r="F806" s="14" t="s">
        <v>8874</v>
      </c>
      <c r="G806" s="14" t="s">
        <v>8875</v>
      </c>
      <c r="H806" s="14"/>
      <c r="I806" s="14" t="s">
        <v>322</v>
      </c>
      <c r="J806" s="11" t="str">
        <f>HYPERLINK("https://www.codechef.com/problems/KOL1510", "https://www.codechef.com/problems/KOL1510")</f>
        <v>https://www.codechef.com/problems/KOL1510</v>
      </c>
      <c r="K806" s="14"/>
      <c r="L806" s="14" t="s">
        <v>8876</v>
      </c>
      <c r="M806" s="14"/>
      <c r="N806" s="14" t="s">
        <v>50</v>
      </c>
      <c r="O806" s="14" t="s">
        <v>51</v>
      </c>
    </row>
    <row r="807" spans="1:15">
      <c r="A807" s="15" t="s">
        <v>14</v>
      </c>
      <c r="B807" s="15" t="s">
        <v>8288</v>
      </c>
      <c r="C807" s="15" t="s">
        <v>8289</v>
      </c>
      <c r="D807" s="15" t="s">
        <v>8860</v>
      </c>
      <c r="E807" s="15">
        <v>239</v>
      </c>
      <c r="F807" s="15" t="s">
        <v>8877</v>
      </c>
      <c r="G807" s="15" t="s">
        <v>8878</v>
      </c>
      <c r="H807" s="15"/>
      <c r="I807" s="15" t="s">
        <v>322</v>
      </c>
      <c r="J807" s="7" t="str">
        <f>HYPERLINK("https://www.codechef.com/problems/KOL1503", "https://www.codechef.com/problems/KOL1503")</f>
        <v>https://www.codechef.com/problems/KOL1503</v>
      </c>
      <c r="K807" s="15"/>
      <c r="L807" s="15" t="s">
        <v>8879</v>
      </c>
      <c r="M807" s="15"/>
      <c r="N807" s="15" t="s">
        <v>50</v>
      </c>
      <c r="O807" s="15" t="s">
        <v>51</v>
      </c>
    </row>
    <row r="808" spans="1:15">
      <c r="A808" s="14" t="s">
        <v>14</v>
      </c>
      <c r="B808" s="14" t="s">
        <v>8288</v>
      </c>
      <c r="C808" s="14" t="s">
        <v>8289</v>
      </c>
      <c r="D808" s="14" t="s">
        <v>8860</v>
      </c>
      <c r="E808" s="14">
        <v>240</v>
      </c>
      <c r="F808" s="14" t="s">
        <v>8880</v>
      </c>
      <c r="G808" s="14" t="s">
        <v>8881</v>
      </c>
      <c r="H808" s="14"/>
      <c r="I808" s="14" t="s">
        <v>322</v>
      </c>
      <c r="J808" s="11" t="str">
        <f>HYPERLINK("https://www.codechef.com/problems/KOL1508", "https://www.codechef.com/problems/KOL1508")</f>
        <v>https://www.codechef.com/problems/KOL1508</v>
      </c>
      <c r="K808" s="14"/>
      <c r="L808" s="14" t="s">
        <v>8882</v>
      </c>
      <c r="M808" s="14"/>
      <c r="N808" s="14" t="s">
        <v>50</v>
      </c>
      <c r="O808" s="14" t="s">
        <v>51</v>
      </c>
    </row>
    <row r="809" spans="1:15">
      <c r="A809" s="15" t="s">
        <v>14</v>
      </c>
      <c r="B809" s="15" t="s">
        <v>8288</v>
      </c>
      <c r="C809" s="15" t="s">
        <v>8289</v>
      </c>
      <c r="D809" s="15" t="s">
        <v>8860</v>
      </c>
      <c r="E809" s="15">
        <v>241</v>
      </c>
      <c r="F809" s="15" t="s">
        <v>8883</v>
      </c>
      <c r="G809" s="15" t="s">
        <v>8884</v>
      </c>
      <c r="H809" s="15"/>
      <c r="I809" s="15" t="s">
        <v>322</v>
      </c>
      <c r="J809" s="7" t="str">
        <f>HYPERLINK("https://www.codechef.com/problems/KOL1507", "https://www.codechef.com/problems/KOL1507")</f>
        <v>https://www.codechef.com/problems/KOL1507</v>
      </c>
      <c r="K809" s="15"/>
      <c r="L809" s="15" t="s">
        <v>8885</v>
      </c>
      <c r="M809" s="15"/>
      <c r="N809" s="15" t="s">
        <v>50</v>
      </c>
      <c r="O809" s="15" t="s">
        <v>51</v>
      </c>
    </row>
    <row r="810" spans="1:15">
      <c r="A810" s="14" t="s">
        <v>14</v>
      </c>
      <c r="B810" s="14" t="s">
        <v>8288</v>
      </c>
      <c r="C810" s="14" t="s">
        <v>8289</v>
      </c>
      <c r="D810" s="14" t="s">
        <v>8860</v>
      </c>
      <c r="E810" s="14">
        <v>242</v>
      </c>
      <c r="F810" s="14" t="s">
        <v>8886</v>
      </c>
      <c r="G810" s="14" t="s">
        <v>8887</v>
      </c>
      <c r="H810" s="14"/>
      <c r="I810" s="14" t="s">
        <v>322</v>
      </c>
      <c r="J810" s="11" t="str">
        <f>HYPERLINK("https://www.codechef.com/problems/KOL1501", "https://www.codechef.com/problems/KOL1501")</f>
        <v>https://www.codechef.com/problems/KOL1501</v>
      </c>
      <c r="K810" s="14"/>
      <c r="L810" s="14" t="s">
        <v>639</v>
      </c>
      <c r="M810" s="14"/>
      <c r="N810" s="14" t="s">
        <v>50</v>
      </c>
      <c r="O810" s="14" t="s">
        <v>51</v>
      </c>
    </row>
    <row r="811" spans="1:15">
      <c r="A811" s="15" t="s">
        <v>14</v>
      </c>
      <c r="B811" s="15" t="s">
        <v>8288</v>
      </c>
      <c r="C811" s="15" t="s">
        <v>8289</v>
      </c>
      <c r="D811" s="15" t="s">
        <v>8860</v>
      </c>
      <c r="E811" s="15">
        <v>243</v>
      </c>
      <c r="F811" s="15" t="s">
        <v>8888</v>
      </c>
      <c r="G811" s="15" t="s">
        <v>8889</v>
      </c>
      <c r="H811" s="15"/>
      <c r="I811" s="15" t="s">
        <v>322</v>
      </c>
      <c r="J811" s="7" t="str">
        <f>HYPERLINK("https://www.codechef.com/problems/KOL1511", "https://www.codechef.com/problems/KOL1511")</f>
        <v>https://www.codechef.com/problems/KOL1511</v>
      </c>
      <c r="K811" s="15"/>
      <c r="L811" s="15" t="s">
        <v>8890</v>
      </c>
      <c r="M811" s="15"/>
      <c r="N811" s="15" t="s">
        <v>50</v>
      </c>
      <c r="O811" s="15" t="s">
        <v>51</v>
      </c>
    </row>
    <row r="812" spans="1:15">
      <c r="A812" s="14" t="s">
        <v>14</v>
      </c>
      <c r="B812" s="14" t="s">
        <v>8288</v>
      </c>
      <c r="C812" s="14" t="s">
        <v>8289</v>
      </c>
      <c r="D812" s="14" t="s">
        <v>8891</v>
      </c>
      <c r="E812" s="14">
        <v>244</v>
      </c>
      <c r="F812" s="14" t="s">
        <v>8892</v>
      </c>
      <c r="G812" s="14" t="s">
        <v>8893</v>
      </c>
      <c r="H812" s="14"/>
      <c r="I812" s="14" t="s">
        <v>322</v>
      </c>
      <c r="J812" s="11" t="str">
        <f>HYPERLINK("https://www.codechef.com/problems/AMJMP", "https://www.codechef.com/problems/AMJMP")</f>
        <v>https://www.codechef.com/problems/AMJMP</v>
      </c>
      <c r="K812" s="14"/>
      <c r="L812" s="14" t="s">
        <v>8894</v>
      </c>
      <c r="M812" s="14"/>
      <c r="N812" s="14" t="s">
        <v>50</v>
      </c>
      <c r="O812" s="14" t="s">
        <v>51</v>
      </c>
    </row>
    <row r="813" spans="1:15">
      <c r="A813" s="15" t="s">
        <v>14</v>
      </c>
      <c r="B813" s="15" t="s">
        <v>8288</v>
      </c>
      <c r="C813" s="15" t="s">
        <v>8289</v>
      </c>
      <c r="D813" s="15" t="s">
        <v>8891</v>
      </c>
      <c r="E813" s="15">
        <v>245</v>
      </c>
      <c r="F813" s="15" t="s">
        <v>8895</v>
      </c>
      <c r="G813" s="15" t="s">
        <v>8896</v>
      </c>
      <c r="H813" s="15"/>
      <c r="I813" s="15" t="s">
        <v>322</v>
      </c>
      <c r="J813" s="7" t="str">
        <f>HYPERLINK("https://www.codechef.com/problems/AMSS", "https://www.codechef.com/problems/AMSS")</f>
        <v>https://www.codechef.com/problems/AMSS</v>
      </c>
      <c r="K813" s="15"/>
      <c r="L813" s="15" t="s">
        <v>8897</v>
      </c>
      <c r="M813" s="15"/>
      <c r="N813" s="15" t="s">
        <v>50</v>
      </c>
      <c r="O813" s="15" t="s">
        <v>51</v>
      </c>
    </row>
    <row r="814" spans="1:15">
      <c r="A814" s="14" t="s">
        <v>14</v>
      </c>
      <c r="B814" s="14" t="s">
        <v>8288</v>
      </c>
      <c r="C814" s="14" t="s">
        <v>8289</v>
      </c>
      <c r="D814" s="14" t="s">
        <v>8891</v>
      </c>
      <c r="E814" s="14">
        <v>246</v>
      </c>
      <c r="F814" s="14" t="s">
        <v>8099</v>
      </c>
      <c r="G814" s="14" t="s">
        <v>8898</v>
      </c>
      <c r="H814" s="14"/>
      <c r="I814" s="14" t="s">
        <v>322</v>
      </c>
      <c r="J814" s="11" t="str">
        <f>HYPERLINK("https://www.codechef.com/problems/AMLPALIN", "https://www.codechef.com/problems/AMLPALIN")</f>
        <v>https://www.codechef.com/problems/AMLPALIN</v>
      </c>
      <c r="K814" s="14"/>
      <c r="L814" s="14" t="s">
        <v>8899</v>
      </c>
      <c r="M814" s="14"/>
      <c r="N814" s="14" t="s">
        <v>50</v>
      </c>
      <c r="O814" s="14" t="s">
        <v>51</v>
      </c>
    </row>
    <row r="815" spans="1:15">
      <c r="A815" s="15" t="s">
        <v>14</v>
      </c>
      <c r="B815" s="15" t="s">
        <v>8288</v>
      </c>
      <c r="C815" s="15" t="s">
        <v>8289</v>
      </c>
      <c r="D815" s="15" t="s">
        <v>8891</v>
      </c>
      <c r="E815" s="15">
        <v>247</v>
      </c>
      <c r="F815" s="15" t="s">
        <v>8900</v>
      </c>
      <c r="G815" s="15" t="s">
        <v>8901</v>
      </c>
      <c r="H815" s="15"/>
      <c r="I815" s="15" t="s">
        <v>322</v>
      </c>
      <c r="J815" s="7" t="str">
        <f>HYPERLINK("https://www.codechef.com/problems/AMGIT", "https://www.codechef.com/problems/AMGIT")</f>
        <v>https://www.codechef.com/problems/AMGIT</v>
      </c>
      <c r="K815" s="15"/>
      <c r="L815" s="15" t="s">
        <v>8902</v>
      </c>
      <c r="M815" s="15"/>
      <c r="N815" s="15" t="s">
        <v>50</v>
      </c>
      <c r="O815" s="15" t="s">
        <v>51</v>
      </c>
    </row>
    <row r="816" spans="1:15">
      <c r="A816" s="14" t="s">
        <v>14</v>
      </c>
      <c r="B816" s="14" t="s">
        <v>8288</v>
      </c>
      <c r="C816" s="14" t="s">
        <v>8289</v>
      </c>
      <c r="D816" s="14" t="s">
        <v>8891</v>
      </c>
      <c r="E816" s="14">
        <v>248</v>
      </c>
      <c r="F816" s="14" t="s">
        <v>8903</v>
      </c>
      <c r="G816" s="14" t="s">
        <v>8904</v>
      </c>
      <c r="H816" s="14"/>
      <c r="I816" s="14" t="s">
        <v>96</v>
      </c>
      <c r="J816" s="11" t="str">
        <f>HYPERLINK("https://www.codechef.com/problems/AMBDAY", "https://www.codechef.com/problems/AMBDAY")</f>
        <v>https://www.codechef.com/problems/AMBDAY</v>
      </c>
      <c r="K816" s="14"/>
      <c r="L816" s="14" t="s">
        <v>8905</v>
      </c>
      <c r="M816" s="14"/>
      <c r="N816" s="14" t="s">
        <v>50</v>
      </c>
      <c r="O816" s="14" t="s">
        <v>51</v>
      </c>
    </row>
    <row r="817" spans="1:15">
      <c r="A817" s="15" t="s">
        <v>14</v>
      </c>
      <c r="B817" s="15" t="s">
        <v>8288</v>
      </c>
      <c r="C817" s="15" t="s">
        <v>8289</v>
      </c>
      <c r="D817" s="15" t="s">
        <v>8891</v>
      </c>
      <c r="E817" s="15">
        <v>249</v>
      </c>
      <c r="F817" s="15" t="s">
        <v>8906</v>
      </c>
      <c r="G817" s="15" t="s">
        <v>8907</v>
      </c>
      <c r="H817" s="15"/>
      <c r="I817" s="15" t="s">
        <v>322</v>
      </c>
      <c r="J817" s="7" t="str">
        <f>HYPERLINK("https://www.codechef.com/problems/AMCAS", "https://www.codechef.com/problems/AMCAS")</f>
        <v>https://www.codechef.com/problems/AMCAS</v>
      </c>
      <c r="K817" s="15"/>
      <c r="L817" s="15" t="s">
        <v>8908</v>
      </c>
      <c r="M817" s="15"/>
      <c r="N817" s="15" t="s">
        <v>50</v>
      </c>
      <c r="O817" s="15" t="s">
        <v>51</v>
      </c>
    </row>
    <row r="818" spans="1:15">
      <c r="A818" s="14" t="s">
        <v>14</v>
      </c>
      <c r="B818" s="14" t="s">
        <v>8288</v>
      </c>
      <c r="C818" s="14" t="s">
        <v>8289</v>
      </c>
      <c r="D818" s="14" t="s">
        <v>8891</v>
      </c>
      <c r="E818" s="14">
        <v>250</v>
      </c>
      <c r="F818" s="14" t="s">
        <v>8909</v>
      </c>
      <c r="G818" s="14" t="s">
        <v>8910</v>
      </c>
      <c r="H818" s="14"/>
      <c r="I818" s="14" t="s">
        <v>322</v>
      </c>
      <c r="J818" s="11" t="str">
        <f>HYPERLINK("https://www.codechef.com/problems/AMCAM", "https://www.codechef.com/problems/AMCAM")</f>
        <v>https://www.codechef.com/problems/AMCAM</v>
      </c>
      <c r="K818" s="14"/>
      <c r="L818" s="14" t="s">
        <v>8911</v>
      </c>
      <c r="M818" s="14"/>
      <c r="N818" s="14" t="s">
        <v>50</v>
      </c>
      <c r="O818" s="14" t="s">
        <v>51</v>
      </c>
    </row>
    <row r="819" spans="1:15">
      <c r="A819" s="15" t="s">
        <v>14</v>
      </c>
      <c r="B819" s="15" t="s">
        <v>8288</v>
      </c>
      <c r="C819" s="15" t="s">
        <v>8289</v>
      </c>
      <c r="D819" s="15" t="s">
        <v>8891</v>
      </c>
      <c r="E819" s="15">
        <v>251</v>
      </c>
      <c r="F819" s="15" t="s">
        <v>8912</v>
      </c>
      <c r="G819" s="15" t="s">
        <v>8913</v>
      </c>
      <c r="H819" s="15"/>
      <c r="I819" s="15" t="s">
        <v>322</v>
      </c>
      <c r="J819" s="7" t="str">
        <f>HYPERLINK("https://www.codechef.com/problems/AMMAM", "https://www.codechef.com/problems/AMMAM")</f>
        <v>https://www.codechef.com/problems/AMMAM</v>
      </c>
      <c r="K819" s="15"/>
      <c r="L819" s="15" t="s">
        <v>8914</v>
      </c>
      <c r="M819" s="15"/>
      <c r="N819" s="15" t="s">
        <v>50</v>
      </c>
      <c r="O819" s="15" t="s">
        <v>51</v>
      </c>
    </row>
    <row r="820" spans="1:15">
      <c r="A820" s="14" t="s">
        <v>14</v>
      </c>
      <c r="B820" s="14" t="s">
        <v>8288</v>
      </c>
      <c r="C820" s="14" t="s">
        <v>8289</v>
      </c>
      <c r="D820" s="14" t="s">
        <v>8891</v>
      </c>
      <c r="E820" s="14">
        <v>252</v>
      </c>
      <c r="F820" s="14" t="s">
        <v>8915</v>
      </c>
      <c r="G820" s="14" t="s">
        <v>8916</v>
      </c>
      <c r="H820" s="14"/>
      <c r="I820" s="14" t="s">
        <v>322</v>
      </c>
      <c r="J820" s="11" t="str">
        <f>HYPERLINK("https://www.codechef.com/problems/AMCOINS", "https://www.codechef.com/problems/AMCOINS")</f>
        <v>https://www.codechef.com/problems/AMCOINS</v>
      </c>
      <c r="K820" s="14"/>
      <c r="L820" s="14" t="s">
        <v>8917</v>
      </c>
      <c r="M820" s="14"/>
      <c r="N820" s="14" t="s">
        <v>50</v>
      </c>
      <c r="O820" s="14" t="s">
        <v>51</v>
      </c>
    </row>
    <row r="821" spans="1:15">
      <c r="A821" s="15" t="s">
        <v>14</v>
      </c>
      <c r="B821" s="15" t="s">
        <v>8288</v>
      </c>
      <c r="C821" s="15" t="s">
        <v>8289</v>
      </c>
      <c r="D821" s="15" t="s">
        <v>8891</v>
      </c>
      <c r="E821" s="15">
        <v>253</v>
      </c>
      <c r="F821" s="15" t="s">
        <v>8918</v>
      </c>
      <c r="G821" s="15" t="s">
        <v>8919</v>
      </c>
      <c r="H821" s="15"/>
      <c r="I821" s="15" t="s">
        <v>322</v>
      </c>
      <c r="J821" s="7" t="str">
        <f>HYPERLINK("https://www.codechef.com/problems/AMCOP", "https://www.codechef.com/problems/AMCOP")</f>
        <v>https://www.codechef.com/problems/AMCOP</v>
      </c>
      <c r="K821" s="15"/>
      <c r="L821" s="15" t="s">
        <v>8920</v>
      </c>
      <c r="M821" s="15"/>
      <c r="N821" s="15" t="s">
        <v>50</v>
      </c>
      <c r="O821" s="15" t="s">
        <v>51</v>
      </c>
    </row>
    <row r="822" spans="1:15">
      <c r="A822" s="14" t="s">
        <v>14</v>
      </c>
      <c r="B822" s="14" t="s">
        <v>8288</v>
      </c>
      <c r="C822" s="14" t="s">
        <v>8289</v>
      </c>
      <c r="D822" s="14" t="s">
        <v>8921</v>
      </c>
      <c r="E822" s="14">
        <v>254</v>
      </c>
      <c r="F822" s="14" t="s">
        <v>8922</v>
      </c>
      <c r="G822" s="14" t="s">
        <v>8923</v>
      </c>
      <c r="H822" s="14"/>
      <c r="I822" s="14" t="s">
        <v>322</v>
      </c>
      <c r="J822" s="11" t="str">
        <f>HYPERLINK("https://www.codechef.com/problems/KGP13B", "https://www.codechef.com/problems/KGP13B")</f>
        <v>https://www.codechef.com/problems/KGP13B</v>
      </c>
      <c r="K822" s="14"/>
      <c r="L822" s="14" t="s">
        <v>8924</v>
      </c>
      <c r="M822" s="14"/>
      <c r="N822" s="14" t="s">
        <v>50</v>
      </c>
      <c r="O822" s="14" t="s">
        <v>51</v>
      </c>
    </row>
    <row r="823" spans="1:15">
      <c r="A823" s="15" t="s">
        <v>14</v>
      </c>
      <c r="B823" s="15" t="s">
        <v>8288</v>
      </c>
      <c r="C823" s="15" t="s">
        <v>8289</v>
      </c>
      <c r="D823" s="15" t="s">
        <v>8921</v>
      </c>
      <c r="E823" s="15">
        <v>255</v>
      </c>
      <c r="F823" s="15" t="s">
        <v>8925</v>
      </c>
      <c r="G823" s="15" t="s">
        <v>8926</v>
      </c>
      <c r="H823" s="15"/>
      <c r="I823" s="15" t="s">
        <v>322</v>
      </c>
      <c r="J823" s="7" t="str">
        <f>HYPERLINK("https://www.codechef.com/problems/KGP13F", "https://www.codechef.com/problems/KGP13F")</f>
        <v>https://www.codechef.com/problems/KGP13F</v>
      </c>
      <c r="K823" s="15"/>
      <c r="L823" s="15" t="s">
        <v>8927</v>
      </c>
      <c r="M823" s="15"/>
      <c r="N823" s="15" t="s">
        <v>50</v>
      </c>
      <c r="O823" s="15" t="s">
        <v>51</v>
      </c>
    </row>
    <row r="824" spans="1:15">
      <c r="A824" s="14" t="s">
        <v>14</v>
      </c>
      <c r="B824" s="14" t="s">
        <v>8288</v>
      </c>
      <c r="C824" s="14" t="s">
        <v>8289</v>
      </c>
      <c r="D824" s="14" t="s">
        <v>8921</v>
      </c>
      <c r="E824" s="14">
        <v>256</v>
      </c>
      <c r="F824" s="14" t="s">
        <v>8928</v>
      </c>
      <c r="G824" s="14" t="s">
        <v>8929</v>
      </c>
      <c r="H824" s="14"/>
      <c r="I824" s="14" t="s">
        <v>322</v>
      </c>
      <c r="J824" s="11" t="str">
        <f>HYPERLINK("https://www.codechef.com/problems/KGP13A", "https://www.codechef.com/problems/KGP13A")</f>
        <v>https://www.codechef.com/problems/KGP13A</v>
      </c>
      <c r="K824" s="14"/>
      <c r="L824" s="14" t="s">
        <v>8930</v>
      </c>
      <c r="M824" s="14"/>
      <c r="N824" s="14" t="s">
        <v>50</v>
      </c>
      <c r="O824" s="14" t="s">
        <v>51</v>
      </c>
    </row>
    <row r="825" spans="1:15">
      <c r="A825" s="15" t="s">
        <v>14</v>
      </c>
      <c r="B825" s="15" t="s">
        <v>8288</v>
      </c>
      <c r="C825" s="15" t="s">
        <v>8289</v>
      </c>
      <c r="D825" s="15" t="s">
        <v>8921</v>
      </c>
      <c r="E825" s="15">
        <v>257</v>
      </c>
      <c r="F825" s="15" t="s">
        <v>8931</v>
      </c>
      <c r="G825" s="15" t="s">
        <v>8932</v>
      </c>
      <c r="H825" s="15"/>
      <c r="I825" s="15" t="s">
        <v>322</v>
      </c>
      <c r="J825" s="7" t="str">
        <f>HYPERLINK("https://www.codechef.com/problems/KGP13I", "https://www.codechef.com/problems/KGP13I")</f>
        <v>https://www.codechef.com/problems/KGP13I</v>
      </c>
      <c r="K825" s="15"/>
      <c r="L825" s="15" t="s">
        <v>8933</v>
      </c>
      <c r="M825" s="15"/>
      <c r="N825" s="15" t="s">
        <v>50</v>
      </c>
      <c r="O825" s="15" t="s">
        <v>51</v>
      </c>
    </row>
    <row r="826" spans="1:15">
      <c r="A826" s="14" t="s">
        <v>14</v>
      </c>
      <c r="B826" s="14" t="s">
        <v>8288</v>
      </c>
      <c r="C826" s="14" t="s">
        <v>8289</v>
      </c>
      <c r="D826" s="14" t="s">
        <v>8921</v>
      </c>
      <c r="E826" s="14">
        <v>258</v>
      </c>
      <c r="F826" s="14" t="s">
        <v>8934</v>
      </c>
      <c r="G826" s="14" t="s">
        <v>8935</v>
      </c>
      <c r="H826" s="14"/>
      <c r="I826" s="14" t="s">
        <v>322</v>
      </c>
      <c r="J826" s="11" t="str">
        <f>HYPERLINK("https://www.codechef.com/problems/KGP13G", "https://www.codechef.com/problems/KGP13G")</f>
        <v>https://www.codechef.com/problems/KGP13G</v>
      </c>
      <c r="K826" s="14"/>
      <c r="L826" s="14" t="s">
        <v>8936</v>
      </c>
      <c r="M826" s="14"/>
      <c r="N826" s="14" t="s">
        <v>50</v>
      </c>
      <c r="O826" s="14" t="s">
        <v>51</v>
      </c>
    </row>
    <row r="827" spans="1:15">
      <c r="A827" s="15" t="s">
        <v>14</v>
      </c>
      <c r="B827" s="15" t="s">
        <v>8288</v>
      </c>
      <c r="C827" s="15" t="s">
        <v>8289</v>
      </c>
      <c r="D827" s="15" t="s">
        <v>8921</v>
      </c>
      <c r="E827" s="15">
        <v>259</v>
      </c>
      <c r="F827" s="15" t="s">
        <v>8937</v>
      </c>
      <c r="G827" s="15" t="s">
        <v>8938</v>
      </c>
      <c r="H827" s="15"/>
      <c r="I827" s="15" t="s">
        <v>322</v>
      </c>
      <c r="J827" s="7" t="str">
        <f>HYPERLINK("https://www.codechef.com/problems/KGP13C", "https://www.codechef.com/problems/KGP13C")</f>
        <v>https://www.codechef.com/problems/KGP13C</v>
      </c>
      <c r="K827" s="15"/>
      <c r="L827" s="15" t="s">
        <v>8933</v>
      </c>
      <c r="M827" s="15"/>
      <c r="N827" s="15" t="s">
        <v>50</v>
      </c>
      <c r="O827" s="15" t="s">
        <v>51</v>
      </c>
    </row>
    <row r="828" spans="1:15">
      <c r="A828" s="14" t="s">
        <v>14</v>
      </c>
      <c r="B828" s="14" t="s">
        <v>8288</v>
      </c>
      <c r="C828" s="14" t="s">
        <v>8289</v>
      </c>
      <c r="D828" s="14" t="s">
        <v>8921</v>
      </c>
      <c r="E828" s="14">
        <v>260</v>
      </c>
      <c r="F828" s="14" t="s">
        <v>8939</v>
      </c>
      <c r="G828" s="14" t="s">
        <v>8940</v>
      </c>
      <c r="H828" s="14"/>
      <c r="I828" s="14" t="s">
        <v>322</v>
      </c>
      <c r="J828" s="11" t="str">
        <f>HYPERLINK("https://www.codechef.com/problems/KGP13H", "https://www.codechef.com/problems/KGP13H")</f>
        <v>https://www.codechef.com/problems/KGP13H</v>
      </c>
      <c r="K828" s="14"/>
      <c r="L828" s="14" t="s">
        <v>8941</v>
      </c>
      <c r="M828" s="14"/>
      <c r="N828" s="14" t="s">
        <v>50</v>
      </c>
      <c r="O828" s="14" t="s">
        <v>51</v>
      </c>
    </row>
    <row r="829" spans="1:15">
      <c r="A829" s="15" t="s">
        <v>14</v>
      </c>
      <c r="B829" s="15" t="s">
        <v>8288</v>
      </c>
      <c r="C829" s="15" t="s">
        <v>8289</v>
      </c>
      <c r="D829" s="15" t="s">
        <v>8921</v>
      </c>
      <c r="E829" s="15">
        <v>261</v>
      </c>
      <c r="F829" s="15" t="s">
        <v>8942</v>
      </c>
      <c r="G829" s="15" t="s">
        <v>8943</v>
      </c>
      <c r="H829" s="15"/>
      <c r="I829" s="15" t="s">
        <v>322</v>
      </c>
      <c r="J829" s="7" t="str">
        <f>HYPERLINK("https://www.codechef.com/problems/KGP13E", "https://www.codechef.com/problems/KGP13E")</f>
        <v>https://www.codechef.com/problems/KGP13E</v>
      </c>
      <c r="K829" s="15"/>
      <c r="L829" s="15" t="s">
        <v>8944</v>
      </c>
      <c r="M829" s="15"/>
      <c r="N829" s="15" t="s">
        <v>50</v>
      </c>
      <c r="O829" s="15" t="s">
        <v>51</v>
      </c>
    </row>
    <row r="830" spans="1:15">
      <c r="A830" s="14" t="s">
        <v>14</v>
      </c>
      <c r="B830" s="14" t="s">
        <v>8288</v>
      </c>
      <c r="C830" s="14" t="s">
        <v>8289</v>
      </c>
      <c r="D830" s="14" t="s">
        <v>8921</v>
      </c>
      <c r="E830" s="14">
        <v>262</v>
      </c>
      <c r="F830" s="14" t="s">
        <v>8945</v>
      </c>
      <c r="G830" s="14" t="s">
        <v>8946</v>
      </c>
      <c r="H830" s="14"/>
      <c r="I830" s="14" t="s">
        <v>322</v>
      </c>
      <c r="J830" s="11" t="str">
        <f>HYPERLINK("https://www.codechef.com/problems/KGP13J", "https://www.codechef.com/problems/KGP13J")</f>
        <v>https://www.codechef.com/problems/KGP13J</v>
      </c>
      <c r="K830" s="14"/>
      <c r="L830" s="14" t="s">
        <v>8947</v>
      </c>
      <c r="M830" s="14"/>
      <c r="N830" s="14" t="s">
        <v>50</v>
      </c>
      <c r="O830" s="14" t="s">
        <v>51</v>
      </c>
    </row>
    <row r="831" spans="1:15">
      <c r="A831" s="15" t="s">
        <v>14</v>
      </c>
      <c r="B831" s="15" t="s">
        <v>8288</v>
      </c>
      <c r="C831" s="15" t="s">
        <v>8289</v>
      </c>
      <c r="D831" s="15" t="s">
        <v>8921</v>
      </c>
      <c r="E831" s="15">
        <v>263</v>
      </c>
      <c r="F831" s="15" t="s">
        <v>8948</v>
      </c>
      <c r="G831" s="15" t="s">
        <v>8949</v>
      </c>
      <c r="H831" s="15"/>
      <c r="I831" s="15" t="s">
        <v>322</v>
      </c>
      <c r="J831" s="7" t="str">
        <f>HYPERLINK("https://www.codechef.com/problems/KGP13D", "https://www.codechef.com/problems/KGP13D")</f>
        <v>https://www.codechef.com/problems/KGP13D</v>
      </c>
      <c r="K831" s="15"/>
      <c r="L831" s="15" t="s">
        <v>8950</v>
      </c>
      <c r="M831" s="15"/>
      <c r="N831" s="15" t="s">
        <v>50</v>
      </c>
      <c r="O831" s="15" t="s">
        <v>51</v>
      </c>
    </row>
    <row r="832" spans="1:15">
      <c r="A832" s="14" t="s">
        <v>14</v>
      </c>
      <c r="B832" s="14" t="s">
        <v>8288</v>
      </c>
      <c r="C832" s="14" t="s">
        <v>8289</v>
      </c>
      <c r="D832" s="14" t="s">
        <v>8951</v>
      </c>
      <c r="E832" s="14">
        <v>264</v>
      </c>
      <c r="F832" s="14" t="s">
        <v>8952</v>
      </c>
      <c r="G832" s="14" t="s">
        <v>8953</v>
      </c>
      <c r="H832" s="14"/>
      <c r="I832" s="14" t="s">
        <v>322</v>
      </c>
      <c r="J832" s="11" t="str">
        <f>HYPERLINK("https://www.codechef.com/problems/KAN13C", "https://www.codechef.com/problems/KAN13C")</f>
        <v>https://www.codechef.com/problems/KAN13C</v>
      </c>
      <c r="K832" s="14"/>
      <c r="L832" s="14" t="s">
        <v>8954</v>
      </c>
      <c r="M832" s="14"/>
      <c r="N832" s="14" t="s">
        <v>50</v>
      </c>
      <c r="O832" s="14" t="s">
        <v>51</v>
      </c>
    </row>
    <row r="833" spans="1:15">
      <c r="A833" s="15" t="s">
        <v>14</v>
      </c>
      <c r="B833" s="15" t="s">
        <v>8288</v>
      </c>
      <c r="C833" s="15" t="s">
        <v>8289</v>
      </c>
      <c r="D833" s="15" t="s">
        <v>8951</v>
      </c>
      <c r="E833" s="15">
        <v>265</v>
      </c>
      <c r="F833" s="15" t="s">
        <v>8955</v>
      </c>
      <c r="G833" s="15" t="s">
        <v>8956</v>
      </c>
      <c r="H833" s="15"/>
      <c r="I833" s="15" t="s">
        <v>96</v>
      </c>
      <c r="J833" s="7" t="str">
        <f>HYPERLINK("https://www.codechef.com/problems/KAN13G", "https://www.codechef.com/problems/KAN13G")</f>
        <v>https://www.codechef.com/problems/KAN13G</v>
      </c>
      <c r="K833" s="15"/>
      <c r="L833" s="15" t="s">
        <v>8957</v>
      </c>
      <c r="M833" s="15"/>
      <c r="N833" s="15" t="s">
        <v>50</v>
      </c>
      <c r="O833" s="15" t="s">
        <v>51</v>
      </c>
    </row>
    <row r="834" spans="1:15">
      <c r="A834" s="14" t="s">
        <v>14</v>
      </c>
      <c r="B834" s="14" t="s">
        <v>8288</v>
      </c>
      <c r="C834" s="14" t="s">
        <v>8289</v>
      </c>
      <c r="D834" s="14" t="s">
        <v>8951</v>
      </c>
      <c r="E834" s="14">
        <v>266</v>
      </c>
      <c r="F834" s="14" t="s">
        <v>8958</v>
      </c>
      <c r="G834" s="14" t="s">
        <v>8959</v>
      </c>
      <c r="H834" s="14"/>
      <c r="I834" s="14" t="s">
        <v>322</v>
      </c>
      <c r="J834" s="11" t="str">
        <f>HYPERLINK("https://www.codechef.com/problems/KAN13A", "https://www.codechef.com/problems/KAN13A")</f>
        <v>https://www.codechef.com/problems/KAN13A</v>
      </c>
      <c r="K834" s="14"/>
      <c r="L834" s="14" t="s">
        <v>8960</v>
      </c>
      <c r="M834" s="14"/>
      <c r="N834" s="14" t="s">
        <v>50</v>
      </c>
      <c r="O834" s="14" t="s">
        <v>51</v>
      </c>
    </row>
    <row r="835" spans="1:15">
      <c r="A835" s="15" t="s">
        <v>14</v>
      </c>
      <c r="B835" s="15" t="s">
        <v>8288</v>
      </c>
      <c r="C835" s="15" t="s">
        <v>8289</v>
      </c>
      <c r="D835" s="15" t="s">
        <v>8951</v>
      </c>
      <c r="E835" s="15">
        <v>267</v>
      </c>
      <c r="F835" s="15" t="s">
        <v>8961</v>
      </c>
      <c r="G835" s="15" t="s">
        <v>8962</v>
      </c>
      <c r="H835" s="15"/>
      <c r="I835" s="15" t="s">
        <v>322</v>
      </c>
      <c r="J835" s="7" t="str">
        <f>HYPERLINK("https://www.codechef.com/problems/KAN13E", "https://www.codechef.com/problems/KAN13E")</f>
        <v>https://www.codechef.com/problems/KAN13E</v>
      </c>
      <c r="K835" s="15"/>
      <c r="L835" s="15" t="s">
        <v>8963</v>
      </c>
      <c r="M835" s="15"/>
      <c r="N835" s="15" t="s">
        <v>50</v>
      </c>
      <c r="O835" s="15" t="s">
        <v>51</v>
      </c>
    </row>
    <row r="836" spans="1:15">
      <c r="A836" s="14" t="s">
        <v>14</v>
      </c>
      <c r="B836" s="14" t="s">
        <v>8288</v>
      </c>
      <c r="C836" s="14" t="s">
        <v>8289</v>
      </c>
      <c r="D836" s="14" t="s">
        <v>8951</v>
      </c>
      <c r="E836" s="14">
        <v>268</v>
      </c>
      <c r="F836" s="14" t="s">
        <v>8964</v>
      </c>
      <c r="G836" s="14" t="s">
        <v>8965</v>
      </c>
      <c r="H836" s="14"/>
      <c r="I836" s="14" t="s">
        <v>322</v>
      </c>
      <c r="J836" s="11" t="str">
        <f>HYPERLINK("https://www.codechef.com/problems/KAN13F", "https://www.codechef.com/problems/KAN13F")</f>
        <v>https://www.codechef.com/problems/KAN13F</v>
      </c>
      <c r="K836" s="14"/>
      <c r="L836" s="14" t="s">
        <v>8966</v>
      </c>
      <c r="M836" s="14"/>
      <c r="N836" s="14" t="s">
        <v>50</v>
      </c>
      <c r="O836" s="14" t="s">
        <v>51</v>
      </c>
    </row>
    <row r="837" spans="1:15">
      <c r="A837" s="15" t="s">
        <v>14</v>
      </c>
      <c r="B837" s="15" t="s">
        <v>8288</v>
      </c>
      <c r="C837" s="15" t="s">
        <v>8289</v>
      </c>
      <c r="D837" s="15" t="s">
        <v>8951</v>
      </c>
      <c r="E837" s="15">
        <v>269</v>
      </c>
      <c r="F837" s="15" t="s">
        <v>8967</v>
      </c>
      <c r="G837" s="15" t="s">
        <v>8968</v>
      </c>
      <c r="H837" s="15"/>
      <c r="I837" s="15" t="s">
        <v>322</v>
      </c>
      <c r="J837" s="7" t="str">
        <f>HYPERLINK("https://www.codechef.com/problems/KAN13B", "https://www.codechef.com/problems/KAN13B")</f>
        <v>https://www.codechef.com/problems/KAN13B</v>
      </c>
      <c r="K837" s="15"/>
      <c r="L837" s="15" t="s">
        <v>8969</v>
      </c>
      <c r="M837" s="15"/>
      <c r="N837" s="15" t="s">
        <v>50</v>
      </c>
      <c r="O837" s="15" t="s">
        <v>51</v>
      </c>
    </row>
    <row r="838" spans="1:15">
      <c r="A838" s="14" t="s">
        <v>14</v>
      </c>
      <c r="B838" s="14" t="s">
        <v>8288</v>
      </c>
      <c r="C838" s="14" t="s">
        <v>8289</v>
      </c>
      <c r="D838" s="14" t="s">
        <v>8951</v>
      </c>
      <c r="E838" s="14">
        <v>270</v>
      </c>
      <c r="F838" s="14" t="s">
        <v>8970</v>
      </c>
      <c r="G838" s="14" t="s">
        <v>8971</v>
      </c>
      <c r="H838" s="14"/>
      <c r="I838" s="14" t="s">
        <v>322</v>
      </c>
      <c r="J838" s="11" t="str">
        <f>HYPERLINK("https://www.codechef.com/problems/KAN13D", "https://www.codechef.com/problems/KAN13D")</f>
        <v>https://www.codechef.com/problems/KAN13D</v>
      </c>
      <c r="K838" s="14"/>
      <c r="L838" s="14" t="s">
        <v>8972</v>
      </c>
      <c r="M838" s="14"/>
      <c r="N838" s="14" t="s">
        <v>50</v>
      </c>
      <c r="O838" s="14" t="s">
        <v>51</v>
      </c>
    </row>
    <row r="839" spans="1:15">
      <c r="A839" s="15" t="s">
        <v>14</v>
      </c>
      <c r="B839" s="15" t="s">
        <v>8288</v>
      </c>
      <c r="C839" s="15" t="s">
        <v>8289</v>
      </c>
      <c r="D839" s="15" t="s">
        <v>8951</v>
      </c>
      <c r="E839" s="15">
        <v>271</v>
      </c>
      <c r="F839" s="15" t="s">
        <v>8973</v>
      </c>
      <c r="G839" s="15" t="s">
        <v>8974</v>
      </c>
      <c r="H839" s="15"/>
      <c r="I839" s="15" t="s">
        <v>322</v>
      </c>
      <c r="J839" s="7" t="str">
        <f>HYPERLINK("https://www.codechef.com/problems/KAN13H", "https://www.codechef.com/problems/KAN13H")</f>
        <v>https://www.codechef.com/problems/KAN13H</v>
      </c>
      <c r="K839" s="15"/>
      <c r="L839" s="15" t="s">
        <v>8960</v>
      </c>
      <c r="M839" s="15"/>
      <c r="N839" s="15" t="s">
        <v>50</v>
      </c>
      <c r="O839" s="15" t="s">
        <v>51</v>
      </c>
    </row>
    <row r="840" spans="1:15">
      <c r="A840" s="14" t="s">
        <v>14</v>
      </c>
      <c r="B840" s="14" t="s">
        <v>8288</v>
      </c>
      <c r="C840" s="14" t="s">
        <v>8289</v>
      </c>
      <c r="D840" s="14" t="s">
        <v>8951</v>
      </c>
      <c r="E840" s="14">
        <v>272</v>
      </c>
      <c r="F840" s="14" t="s">
        <v>8975</v>
      </c>
      <c r="G840" s="14" t="s">
        <v>8976</v>
      </c>
      <c r="H840" s="14"/>
      <c r="I840" s="14" t="s">
        <v>322</v>
      </c>
      <c r="J840" s="11" t="str">
        <f>HYPERLINK("https://www.codechef.com/problems/KAN13I", "https://www.codechef.com/problems/KAN13I")</f>
        <v>https://www.codechef.com/problems/KAN13I</v>
      </c>
      <c r="K840" s="14"/>
      <c r="L840" s="14" t="s">
        <v>8977</v>
      </c>
      <c r="M840" s="14"/>
      <c r="N840" s="14" t="s">
        <v>50</v>
      </c>
      <c r="O840" s="14" t="s">
        <v>51</v>
      </c>
    </row>
    <row r="841" spans="1:15">
      <c r="A841" s="15" t="s">
        <v>14</v>
      </c>
      <c r="B841" s="15" t="s">
        <v>8288</v>
      </c>
      <c r="C841" s="15" t="s">
        <v>8289</v>
      </c>
      <c r="D841" s="15" t="s">
        <v>8978</v>
      </c>
      <c r="E841" s="15">
        <v>273</v>
      </c>
      <c r="F841" s="15" t="s">
        <v>8979</v>
      </c>
      <c r="G841" s="15" t="s">
        <v>8980</v>
      </c>
      <c r="H841" s="15"/>
      <c r="I841" s="15" t="s">
        <v>322</v>
      </c>
      <c r="J841" s="7" t="str">
        <f>HYPERLINK("https://www.codechef.com/problems/MSTRINGS", "https://www.codechef.com/problems/MSTRINGS")</f>
        <v>https://www.codechef.com/problems/MSTRINGS</v>
      </c>
      <c r="K841" s="15"/>
      <c r="L841" s="15" t="s">
        <v>8981</v>
      </c>
      <c r="M841" s="15"/>
      <c r="N841" s="15" t="s">
        <v>50</v>
      </c>
      <c r="O841" s="15" t="s">
        <v>51</v>
      </c>
    </row>
    <row r="842" spans="1:15">
      <c r="A842" s="14" t="s">
        <v>14</v>
      </c>
      <c r="B842" s="14" t="s">
        <v>8288</v>
      </c>
      <c r="C842" s="14" t="s">
        <v>8289</v>
      </c>
      <c r="D842" s="14" t="s">
        <v>8978</v>
      </c>
      <c r="E842" s="14">
        <v>274</v>
      </c>
      <c r="F842" s="14" t="s">
        <v>8982</v>
      </c>
      <c r="G842" s="14" t="s">
        <v>8983</v>
      </c>
      <c r="H842" s="14"/>
      <c r="I842" s="14" t="s">
        <v>322</v>
      </c>
      <c r="J842" s="11" t="str">
        <f>HYPERLINK("https://www.codechef.com/problems/LIGHTS", "https://www.codechef.com/problems/LIGHTS")</f>
        <v>https://www.codechef.com/problems/LIGHTS</v>
      </c>
      <c r="K842" s="14"/>
      <c r="L842" s="14" t="s">
        <v>8981</v>
      </c>
      <c r="M842" s="14"/>
      <c r="N842" s="14" t="s">
        <v>50</v>
      </c>
      <c r="O842" s="14" t="s">
        <v>51</v>
      </c>
    </row>
    <row r="843" spans="1:15">
      <c r="A843" s="15" t="s">
        <v>14</v>
      </c>
      <c r="B843" s="15" t="s">
        <v>8288</v>
      </c>
      <c r="C843" s="15" t="s">
        <v>8289</v>
      </c>
      <c r="D843" s="15" t="s">
        <v>8978</v>
      </c>
      <c r="E843" s="15">
        <v>275</v>
      </c>
      <c r="F843" s="15" t="s">
        <v>8984</v>
      </c>
      <c r="G843" s="15" t="s">
        <v>8985</v>
      </c>
      <c r="H843" s="15"/>
      <c r="I843" s="15" t="s">
        <v>322</v>
      </c>
      <c r="J843" s="7" t="str">
        <f>HYPERLINK("https://www.codechef.com/problems/CBLOCKS", "https://www.codechef.com/problems/CBLOCKS")</f>
        <v>https://www.codechef.com/problems/CBLOCKS</v>
      </c>
      <c r="K843" s="15"/>
      <c r="L843" s="15" t="s">
        <v>8981</v>
      </c>
      <c r="M843" s="15"/>
      <c r="N843" s="15" t="s">
        <v>50</v>
      </c>
      <c r="O843" s="15" t="s">
        <v>51</v>
      </c>
    </row>
    <row r="844" spans="1:15">
      <c r="A844" s="14" t="s">
        <v>14</v>
      </c>
      <c r="B844" s="14" t="s">
        <v>8288</v>
      </c>
      <c r="C844" s="14" t="s">
        <v>8289</v>
      </c>
      <c r="D844" s="14" t="s">
        <v>8978</v>
      </c>
      <c r="E844" s="14">
        <v>276</v>
      </c>
      <c r="F844" s="14" t="s">
        <v>8986</v>
      </c>
      <c r="G844" s="14" t="s">
        <v>8987</v>
      </c>
      <c r="H844" s="14"/>
      <c r="I844" s="14" t="s">
        <v>322</v>
      </c>
      <c r="J844" s="11" t="str">
        <f>HYPERLINK("https://www.codechef.com/problems/ATKCTR", "https://www.codechef.com/problems/ATKCTR")</f>
        <v>https://www.codechef.com/problems/ATKCTR</v>
      </c>
      <c r="K844" s="14"/>
      <c r="L844" s="14" t="s">
        <v>8981</v>
      </c>
      <c r="M844" s="14"/>
      <c r="N844" s="14" t="s">
        <v>50</v>
      </c>
      <c r="O844" s="14" t="s">
        <v>51</v>
      </c>
    </row>
    <row r="845" spans="1:15">
      <c r="A845" s="15" t="s">
        <v>14</v>
      </c>
      <c r="B845" s="15" t="s">
        <v>8288</v>
      </c>
      <c r="C845" s="15" t="s">
        <v>8289</v>
      </c>
      <c r="D845" s="15" t="s">
        <v>8978</v>
      </c>
      <c r="E845" s="15">
        <v>277</v>
      </c>
      <c r="F845" s="15" t="s">
        <v>8988</v>
      </c>
      <c r="G845" s="15" t="s">
        <v>8989</v>
      </c>
      <c r="H845" s="15"/>
      <c r="I845" s="15" t="s">
        <v>322</v>
      </c>
      <c r="J845" s="7" t="str">
        <f>HYPERLINK("https://www.codechef.com/problems/FSSYNC", "https://www.codechef.com/problems/FSSYNC")</f>
        <v>https://www.codechef.com/problems/FSSYNC</v>
      </c>
      <c r="K845" s="15"/>
      <c r="L845" s="15" t="s">
        <v>8981</v>
      </c>
      <c r="M845" s="15"/>
      <c r="N845" s="15" t="s">
        <v>50</v>
      </c>
      <c r="O845" s="15" t="s">
        <v>51</v>
      </c>
    </row>
    <row r="846" spans="1:15">
      <c r="A846" s="14" t="s">
        <v>14</v>
      </c>
      <c r="B846" s="14" t="s">
        <v>8288</v>
      </c>
      <c r="C846" s="14" t="s">
        <v>8289</v>
      </c>
      <c r="D846" s="14" t="s">
        <v>8978</v>
      </c>
      <c r="E846" s="14">
        <v>278</v>
      </c>
      <c r="F846" s="14" t="s">
        <v>8990</v>
      </c>
      <c r="G846" s="14" t="s">
        <v>8991</v>
      </c>
      <c r="H846" s="14"/>
      <c r="I846" s="14" t="s">
        <v>322</v>
      </c>
      <c r="J846" s="11" t="str">
        <f>HYPERLINK("https://www.codechef.com/problems/PSTRINGS", "https://www.codechef.com/problems/PSTRINGS")</f>
        <v>https://www.codechef.com/problems/PSTRINGS</v>
      </c>
      <c r="K846" s="14"/>
      <c r="L846" s="14" t="s">
        <v>8981</v>
      </c>
      <c r="M846" s="14"/>
      <c r="N846" s="14" t="s">
        <v>50</v>
      </c>
      <c r="O846" s="14" t="s">
        <v>51</v>
      </c>
    </row>
    <row r="847" spans="1:15">
      <c r="A847" s="15" t="s">
        <v>14</v>
      </c>
      <c r="B847" s="15" t="s">
        <v>8288</v>
      </c>
      <c r="C847" s="15" t="s">
        <v>8289</v>
      </c>
      <c r="D847" s="15" t="s">
        <v>8978</v>
      </c>
      <c r="E847" s="15">
        <v>279</v>
      </c>
      <c r="F847" s="15" t="s">
        <v>8992</v>
      </c>
      <c r="G847" s="15" t="s">
        <v>8993</v>
      </c>
      <c r="H847" s="15"/>
      <c r="I847" s="15" t="s">
        <v>322</v>
      </c>
      <c r="J847" s="7" t="str">
        <f>HYPERLINK("https://www.codechef.com/problems/RNEST", "https://www.codechef.com/problems/RNEST")</f>
        <v>https://www.codechef.com/problems/RNEST</v>
      </c>
      <c r="K847" s="15"/>
      <c r="L847" s="15"/>
      <c r="M847" s="15"/>
      <c r="N847" s="15" t="s">
        <v>50</v>
      </c>
      <c r="O847" s="15" t="s">
        <v>51</v>
      </c>
    </row>
    <row r="848" spans="1:15">
      <c r="A848" s="14" t="s">
        <v>14</v>
      </c>
      <c r="B848" s="14" t="s">
        <v>8288</v>
      </c>
      <c r="C848" s="14" t="s">
        <v>8289</v>
      </c>
      <c r="D848" s="14" t="s">
        <v>8978</v>
      </c>
      <c r="E848" s="14">
        <v>280</v>
      </c>
      <c r="F848" s="14" t="s">
        <v>8994</v>
      </c>
      <c r="G848" s="14" t="s">
        <v>8995</v>
      </c>
      <c r="H848" s="14"/>
      <c r="I848" s="14" t="s">
        <v>322</v>
      </c>
      <c r="J848" s="11" t="str">
        <f>HYPERLINK("https://www.codechef.com/problems/BALL", "https://www.codechef.com/problems/BALL")</f>
        <v>https://www.codechef.com/problems/BALL</v>
      </c>
      <c r="K848" s="14"/>
      <c r="L848" s="14" t="s">
        <v>8981</v>
      </c>
      <c r="M848" s="14"/>
      <c r="N848" s="14" t="s">
        <v>50</v>
      </c>
      <c r="O848" s="14" t="s">
        <v>51</v>
      </c>
    </row>
    <row r="849" spans="1:15">
      <c r="A849" s="15" t="s">
        <v>14</v>
      </c>
      <c r="B849" s="15" t="s">
        <v>8288</v>
      </c>
      <c r="C849" s="15" t="s">
        <v>8289</v>
      </c>
      <c r="D849" s="15" t="s">
        <v>8978</v>
      </c>
      <c r="E849" s="15">
        <v>281</v>
      </c>
      <c r="F849" s="15" t="s">
        <v>8996</v>
      </c>
      <c r="G849" s="15" t="s">
        <v>8997</v>
      </c>
      <c r="H849" s="15"/>
      <c r="I849" s="15" t="s">
        <v>322</v>
      </c>
      <c r="J849" s="7" t="str">
        <f>HYPERLINK("https://www.codechef.com/problems/MINMAX", "https://www.codechef.com/problems/MINMAX")</f>
        <v>https://www.codechef.com/problems/MINMAX</v>
      </c>
      <c r="K849" s="15"/>
      <c r="L849" s="15" t="s">
        <v>8998</v>
      </c>
      <c r="M849" s="15"/>
      <c r="N849" s="15" t="s">
        <v>50</v>
      </c>
      <c r="O849" s="15" t="s">
        <v>51</v>
      </c>
    </row>
    <row r="850" spans="1:15">
      <c r="A850" s="14" t="s">
        <v>14</v>
      </c>
      <c r="B850" s="14" t="s">
        <v>8288</v>
      </c>
      <c r="C850" s="14" t="s">
        <v>8289</v>
      </c>
      <c r="D850" s="14" t="s">
        <v>8978</v>
      </c>
      <c r="E850" s="14">
        <v>282</v>
      </c>
      <c r="F850" s="14" t="s">
        <v>8999</v>
      </c>
      <c r="G850" s="14" t="s">
        <v>9000</v>
      </c>
      <c r="H850" s="14"/>
      <c r="I850" s="14" t="s">
        <v>322</v>
      </c>
      <c r="J850" s="11" t="str">
        <f>HYPERLINK("https://www.codechef.com/problems/FINDHOLES", "https://www.codechef.com/problems/FINDHOLES")</f>
        <v>https://www.codechef.com/problems/FINDHOLES</v>
      </c>
      <c r="K850" s="14"/>
      <c r="L850" s="14"/>
      <c r="M850" s="14"/>
      <c r="N850" s="14" t="s">
        <v>50</v>
      </c>
      <c r="O850" s="14" t="s">
        <v>51</v>
      </c>
    </row>
    <row r="851" spans="1:15">
      <c r="A851" s="15" t="s">
        <v>14</v>
      </c>
      <c r="B851" s="15" t="s">
        <v>8288</v>
      </c>
      <c r="C851" s="15" t="s">
        <v>8289</v>
      </c>
      <c r="D851" s="15" t="s">
        <v>8978</v>
      </c>
      <c r="E851" s="15">
        <v>283</v>
      </c>
      <c r="F851" s="15" t="s">
        <v>9001</v>
      </c>
      <c r="G851" s="15" t="s">
        <v>9002</v>
      </c>
      <c r="H851" s="15"/>
      <c r="I851" s="15" t="s">
        <v>322</v>
      </c>
      <c r="J851" s="7" t="str">
        <f>HYPERLINK("https://www.codechef.com/problems/DQPERMS", "https://www.codechef.com/problems/DQPERMS")</f>
        <v>https://www.codechef.com/problems/DQPERMS</v>
      </c>
      <c r="K851" s="15"/>
      <c r="L851" s="15" t="s">
        <v>9003</v>
      </c>
      <c r="M851" s="15"/>
      <c r="N851" s="15" t="s">
        <v>50</v>
      </c>
      <c r="O851" s="15" t="s">
        <v>51</v>
      </c>
    </row>
    <row r="852" spans="1:15">
      <c r="A852" s="14" t="s">
        <v>14</v>
      </c>
      <c r="B852" s="14" t="s">
        <v>9004</v>
      </c>
      <c r="C852" s="14" t="s">
        <v>9005</v>
      </c>
      <c r="D852" s="14" t="s">
        <v>9006</v>
      </c>
      <c r="E852" s="14">
        <v>1</v>
      </c>
      <c r="F852" s="14" t="s">
        <v>9007</v>
      </c>
      <c r="G852" s="14" t="s">
        <v>9008</v>
      </c>
      <c r="H852" s="14"/>
      <c r="I852" s="14" t="s">
        <v>49</v>
      </c>
      <c r="J852" s="11" t="str">
        <f>HYPERLINK("https://www.codechef.com/problems/FKLJMW01", "https://www.codechef.com/problems/FKLJMW01")</f>
        <v>https://www.codechef.com/problems/FKLJMW01</v>
      </c>
      <c r="K852" s="14"/>
      <c r="L852" s="14"/>
      <c r="M852" s="14"/>
      <c r="N852" s="14" t="s">
        <v>50</v>
      </c>
      <c r="O852" s="14" t="s">
        <v>51</v>
      </c>
    </row>
    <row r="853" spans="1:15">
      <c r="A853" s="15" t="s">
        <v>14</v>
      </c>
      <c r="B853" s="15" t="s">
        <v>9004</v>
      </c>
      <c r="C853" s="15" t="s">
        <v>9005</v>
      </c>
      <c r="D853" s="15" t="s">
        <v>9006</v>
      </c>
      <c r="E853" s="15">
        <v>2</v>
      </c>
      <c r="F853" s="15" t="s">
        <v>9009</v>
      </c>
      <c r="G853" s="15" t="s">
        <v>9010</v>
      </c>
      <c r="H853" s="15"/>
      <c r="I853" s="15" t="s">
        <v>49</v>
      </c>
      <c r="J853" s="7" t="str">
        <f>HYPERLINK("https://www.codechef.com/problems/FKLJMW02", "https://www.codechef.com/problems/FKLJMW02")</f>
        <v>https://www.codechef.com/problems/FKLJMW02</v>
      </c>
      <c r="K853" s="15"/>
      <c r="L853" s="15"/>
      <c r="M853" s="15"/>
      <c r="N853" s="15" t="s">
        <v>50</v>
      </c>
      <c r="O853" s="15" t="s">
        <v>51</v>
      </c>
    </row>
    <row r="854" spans="1:15">
      <c r="A854" s="14" t="s">
        <v>14</v>
      </c>
      <c r="B854" s="14" t="s">
        <v>9004</v>
      </c>
      <c r="C854" s="14" t="s">
        <v>9005</v>
      </c>
      <c r="D854" s="14" t="s">
        <v>9006</v>
      </c>
      <c r="E854" s="14">
        <v>3</v>
      </c>
      <c r="F854" s="14" t="s">
        <v>9011</v>
      </c>
      <c r="G854" s="14" t="s">
        <v>9012</v>
      </c>
      <c r="H854" s="14"/>
      <c r="I854" s="14" t="s">
        <v>96</v>
      </c>
      <c r="J854" s="11" t="str">
        <f>HYPERLINK("https://www.codechef.com/problems/FKLJMW03", "https://www.codechef.com/problems/FKLJMW03")</f>
        <v>https://www.codechef.com/problems/FKLJMW03</v>
      </c>
      <c r="K854" s="14"/>
      <c r="L854" s="14"/>
      <c r="M854" s="14"/>
      <c r="N854" s="14" t="s">
        <v>50</v>
      </c>
      <c r="O854" s="14" t="s">
        <v>51</v>
      </c>
    </row>
    <row r="855" spans="1:15">
      <c r="A855" s="15" t="s">
        <v>14</v>
      </c>
      <c r="B855" s="15" t="s">
        <v>9004</v>
      </c>
      <c r="C855" s="15" t="s">
        <v>9005</v>
      </c>
      <c r="D855" s="15" t="s">
        <v>9013</v>
      </c>
      <c r="E855" s="15">
        <v>4</v>
      </c>
      <c r="F855" s="15" t="s">
        <v>9014</v>
      </c>
      <c r="G855" s="15" t="s">
        <v>9015</v>
      </c>
      <c r="H855" s="15"/>
      <c r="I855" s="15" t="s">
        <v>49</v>
      </c>
      <c r="J855" s="7" t="str">
        <f>HYPERLINK("https://www.codechef.com/problems/QCROZK01", "https://www.codechef.com/problems/QCROZK01")</f>
        <v>https://www.codechef.com/problems/QCROZK01</v>
      </c>
      <c r="K855" s="15"/>
      <c r="L855" s="15"/>
      <c r="M855" s="15"/>
      <c r="N855" s="15" t="s">
        <v>50</v>
      </c>
      <c r="O855" s="15" t="s">
        <v>51</v>
      </c>
    </row>
    <row r="856" spans="1:15">
      <c r="A856" s="14" t="s">
        <v>14</v>
      </c>
      <c r="B856" s="14" t="s">
        <v>9004</v>
      </c>
      <c r="C856" s="14" t="s">
        <v>9005</v>
      </c>
      <c r="D856" s="14" t="s">
        <v>9013</v>
      </c>
      <c r="E856" s="14">
        <v>5</v>
      </c>
      <c r="F856" s="14" t="s">
        <v>9016</v>
      </c>
      <c r="G856" s="14" t="s">
        <v>9017</v>
      </c>
      <c r="H856" s="14"/>
      <c r="I856" s="14" t="s">
        <v>96</v>
      </c>
      <c r="J856" s="11" t="str">
        <f>HYPERLINK("https://www.codechef.com/problems/QCROZK02", "https://www.codechef.com/problems/QCROZK02")</f>
        <v>https://www.codechef.com/problems/QCROZK02</v>
      </c>
      <c r="K856" s="14"/>
      <c r="L856" s="14"/>
      <c r="M856" s="14"/>
      <c r="N856" s="14" t="s">
        <v>50</v>
      </c>
      <c r="O856" s="14" t="s">
        <v>51</v>
      </c>
    </row>
    <row r="857" spans="1:15">
      <c r="A857" s="15" t="s">
        <v>14</v>
      </c>
      <c r="B857" s="15" t="s">
        <v>9004</v>
      </c>
      <c r="C857" s="15" t="s">
        <v>9005</v>
      </c>
      <c r="D857" s="15" t="s">
        <v>9018</v>
      </c>
      <c r="E857" s="15">
        <v>6</v>
      </c>
      <c r="F857" s="15" t="s">
        <v>9019</v>
      </c>
      <c r="G857" s="15" t="s">
        <v>9020</v>
      </c>
      <c r="H857" s="15"/>
      <c r="I857" s="15" t="s">
        <v>49</v>
      </c>
      <c r="J857" s="7" t="str">
        <f>HYPERLINK("https://www.codechef.com/problems/GFOLDX01", "https://www.codechef.com/problems/GFOLDX01")</f>
        <v>https://www.codechef.com/problems/GFOLDX01</v>
      </c>
      <c r="K857" s="15"/>
      <c r="L857" s="15"/>
      <c r="M857" s="15"/>
      <c r="N857" s="15" t="s">
        <v>50</v>
      </c>
      <c r="O857" s="15" t="s">
        <v>51</v>
      </c>
    </row>
    <row r="858" spans="1:15">
      <c r="A858" s="14" t="s">
        <v>14</v>
      </c>
      <c r="B858" s="14" t="s">
        <v>9004</v>
      </c>
      <c r="C858" s="14" t="s">
        <v>9005</v>
      </c>
      <c r="D858" s="14" t="s">
        <v>9018</v>
      </c>
      <c r="E858" s="14">
        <v>7</v>
      </c>
      <c r="F858" s="14" t="s">
        <v>9021</v>
      </c>
      <c r="G858" s="14" t="s">
        <v>9022</v>
      </c>
      <c r="H858" s="14"/>
      <c r="I858" s="14" t="s">
        <v>49</v>
      </c>
      <c r="J858" s="11" t="str">
        <f>HYPERLINK("https://www.codechef.com/problems/GFOLDX02", "https://www.codechef.com/problems/GFOLDX02")</f>
        <v>https://www.codechef.com/problems/GFOLDX02</v>
      </c>
      <c r="K858" s="14"/>
      <c r="L858" s="14"/>
      <c r="M858" s="14"/>
      <c r="N858" s="14" t="s">
        <v>50</v>
      </c>
      <c r="O858" s="14" t="s">
        <v>51</v>
      </c>
    </row>
    <row r="859" spans="1:15">
      <c r="A859" s="15" t="s">
        <v>14</v>
      </c>
      <c r="B859" s="15" t="s">
        <v>9004</v>
      </c>
      <c r="C859" s="15" t="s">
        <v>9005</v>
      </c>
      <c r="D859" s="15" t="s">
        <v>9018</v>
      </c>
      <c r="E859" s="15">
        <v>8</v>
      </c>
      <c r="F859" s="15" t="s">
        <v>9023</v>
      </c>
      <c r="G859" s="15" t="s">
        <v>9024</v>
      </c>
      <c r="H859" s="15"/>
      <c r="I859" s="15" t="s">
        <v>49</v>
      </c>
      <c r="J859" s="7" t="str">
        <f>HYPERLINK("https://www.codechef.com/problems/GFOLDX03", "https://www.codechef.com/problems/GFOLDX03")</f>
        <v>https://www.codechef.com/problems/GFOLDX03</v>
      </c>
      <c r="K859" s="15"/>
      <c r="L859" s="15"/>
      <c r="M859" s="15"/>
      <c r="N859" s="15" t="s">
        <v>50</v>
      </c>
      <c r="O859" s="15" t="s">
        <v>51</v>
      </c>
    </row>
    <row r="860" spans="1:15">
      <c r="A860" s="14" t="s">
        <v>14</v>
      </c>
      <c r="B860" s="14" t="s">
        <v>9004</v>
      </c>
      <c r="C860" s="14" t="s">
        <v>9005</v>
      </c>
      <c r="D860" s="14" t="s">
        <v>9018</v>
      </c>
      <c r="E860" s="14">
        <v>9</v>
      </c>
      <c r="F860" s="14" t="s">
        <v>9025</v>
      </c>
      <c r="G860" s="14" t="s">
        <v>9026</v>
      </c>
      <c r="H860" s="14"/>
      <c r="I860" s="14" t="s">
        <v>49</v>
      </c>
      <c r="J860" s="11" t="str">
        <f>HYPERLINK("https://www.codechef.com/problems/GFOLDX04", "https://www.codechef.com/problems/GFOLDX04")</f>
        <v>https://www.codechef.com/problems/GFOLDX04</v>
      </c>
      <c r="K860" s="14"/>
      <c r="L860" s="14"/>
      <c r="M860" s="14"/>
      <c r="N860" s="14" t="s">
        <v>50</v>
      </c>
      <c r="O860" s="14" t="s">
        <v>51</v>
      </c>
    </row>
    <row r="861" spans="1:15">
      <c r="A861" s="15" t="s">
        <v>14</v>
      </c>
      <c r="B861" s="15" t="s">
        <v>9004</v>
      </c>
      <c r="C861" s="15" t="s">
        <v>9005</v>
      </c>
      <c r="D861" s="15" t="s">
        <v>9018</v>
      </c>
      <c r="E861" s="15">
        <v>10</v>
      </c>
      <c r="F861" s="15" t="s">
        <v>9027</v>
      </c>
      <c r="G861" s="15" t="s">
        <v>9028</v>
      </c>
      <c r="H861" s="15"/>
      <c r="I861" s="15" t="s">
        <v>49</v>
      </c>
      <c r="J861" s="7" t="str">
        <f>HYPERLINK("https://www.codechef.com/problems/GFOLDX05", "https://www.codechef.com/problems/GFOLDX05")</f>
        <v>https://www.codechef.com/problems/GFOLDX05</v>
      </c>
      <c r="K861" s="15"/>
      <c r="L861" s="15"/>
      <c r="M861" s="15"/>
      <c r="N861" s="15" t="s">
        <v>50</v>
      </c>
      <c r="O861" s="15" t="s">
        <v>51</v>
      </c>
    </row>
    <row r="862" spans="1:15">
      <c r="A862" s="14" t="s">
        <v>14</v>
      </c>
      <c r="B862" s="14" t="s">
        <v>9004</v>
      </c>
      <c r="C862" s="14" t="s">
        <v>9005</v>
      </c>
      <c r="D862" s="14" t="s">
        <v>9029</v>
      </c>
      <c r="E862" s="14">
        <v>11</v>
      </c>
      <c r="F862" s="14" t="s">
        <v>9030</v>
      </c>
      <c r="G862" s="14" t="s">
        <v>9031</v>
      </c>
      <c r="H862" s="14"/>
      <c r="I862" s="14" t="s">
        <v>49</v>
      </c>
      <c r="J862" s="11" t="str">
        <f>HYPERLINK("https://www.codechef.com/problems/JGCFSS01", "https://www.codechef.com/problems/JGCFSS01")</f>
        <v>https://www.codechef.com/problems/JGCFSS01</v>
      </c>
      <c r="K862" s="14"/>
      <c r="L862" s="14"/>
      <c r="M862" s="14"/>
      <c r="N862" s="14" t="s">
        <v>50</v>
      </c>
      <c r="O862" s="14" t="s">
        <v>51</v>
      </c>
    </row>
    <row r="863" spans="1:15">
      <c r="A863" s="15" t="s">
        <v>14</v>
      </c>
      <c r="B863" s="15" t="s">
        <v>9004</v>
      </c>
      <c r="C863" s="15" t="s">
        <v>9005</v>
      </c>
      <c r="D863" s="15" t="s">
        <v>9029</v>
      </c>
      <c r="E863" s="15">
        <v>12</v>
      </c>
      <c r="F863" s="15" t="s">
        <v>9032</v>
      </c>
      <c r="G863" s="15" t="s">
        <v>9033</v>
      </c>
      <c r="H863" s="15"/>
      <c r="I863" s="15" t="s">
        <v>49</v>
      </c>
      <c r="J863" s="7" t="str">
        <f>HYPERLINK("https://www.codechef.com/problems/JGCFSS02", "https://www.codechef.com/problems/JGCFSS02")</f>
        <v>https://www.codechef.com/problems/JGCFSS02</v>
      </c>
      <c r="K863" s="15"/>
      <c r="L863" s="15"/>
      <c r="M863" s="15"/>
      <c r="N863" s="15" t="s">
        <v>50</v>
      </c>
      <c r="O863" s="15" t="s">
        <v>51</v>
      </c>
    </row>
    <row r="864" spans="1:15">
      <c r="A864" s="14" t="s">
        <v>14</v>
      </c>
      <c r="B864" s="14" t="s">
        <v>9004</v>
      </c>
      <c r="C864" s="14" t="s">
        <v>9005</v>
      </c>
      <c r="D864" s="14" t="s">
        <v>9029</v>
      </c>
      <c r="E864" s="14">
        <v>13</v>
      </c>
      <c r="F864" s="14" t="s">
        <v>9034</v>
      </c>
      <c r="G864" s="14" t="s">
        <v>9035</v>
      </c>
      <c r="H864" s="14"/>
      <c r="I864" s="14" t="s">
        <v>96</v>
      </c>
      <c r="J864" s="11" t="str">
        <f>HYPERLINK("https://www.codechef.com/problems/JGCFSS03", "https://www.codechef.com/problems/JGCFSS03")</f>
        <v>https://www.codechef.com/problems/JGCFSS03</v>
      </c>
      <c r="K864" s="14"/>
      <c r="L864" s="14"/>
      <c r="M864" s="14"/>
      <c r="N864" s="14" t="s">
        <v>50</v>
      </c>
      <c r="O864" s="14" t="s">
        <v>51</v>
      </c>
    </row>
    <row r="865" spans="1:15">
      <c r="A865" s="15" t="s">
        <v>14</v>
      </c>
      <c r="B865" s="15" t="s">
        <v>9004</v>
      </c>
      <c r="C865" s="15" t="s">
        <v>9005</v>
      </c>
      <c r="D865" s="15" t="s">
        <v>9029</v>
      </c>
      <c r="E865" s="15">
        <v>14</v>
      </c>
      <c r="F865" s="15" t="s">
        <v>9036</v>
      </c>
      <c r="G865" s="15" t="s">
        <v>9037</v>
      </c>
      <c r="H865" s="15"/>
      <c r="I865" s="15" t="s">
        <v>49</v>
      </c>
      <c r="J865" s="7" t="str">
        <f>HYPERLINK("https://www.codechef.com/problems/JGCFSS04", "https://www.codechef.com/problems/JGCFSS04")</f>
        <v>https://www.codechef.com/problems/JGCFSS04</v>
      </c>
      <c r="K865" s="15"/>
      <c r="L865" s="15"/>
      <c r="M865" s="15"/>
      <c r="N865" s="15" t="s">
        <v>50</v>
      </c>
      <c r="O865" s="15" t="s">
        <v>51</v>
      </c>
    </row>
    <row r="866" spans="1:15">
      <c r="A866" s="14" t="s">
        <v>14</v>
      </c>
      <c r="B866" s="14" t="s">
        <v>9004</v>
      </c>
      <c r="C866" s="14" t="s">
        <v>9005</v>
      </c>
      <c r="D866" s="14" t="s">
        <v>9029</v>
      </c>
      <c r="E866" s="14">
        <v>15</v>
      </c>
      <c r="F866" s="14" t="s">
        <v>9038</v>
      </c>
      <c r="G866" s="14" t="s">
        <v>9039</v>
      </c>
      <c r="H866" s="14"/>
      <c r="I866" s="14" t="s">
        <v>96</v>
      </c>
      <c r="J866" s="11" t="str">
        <f>HYPERLINK("https://www.codechef.com/problems/JGCFSS05", "https://www.codechef.com/problems/JGCFSS05")</f>
        <v>https://www.codechef.com/problems/JGCFSS05</v>
      </c>
      <c r="K866" s="14"/>
      <c r="L866" s="14"/>
      <c r="M866" s="14"/>
      <c r="N866" s="14" t="s">
        <v>50</v>
      </c>
      <c r="O866" s="14" t="s">
        <v>51</v>
      </c>
    </row>
    <row r="867" spans="1:15">
      <c r="A867" s="15" t="s">
        <v>14</v>
      </c>
      <c r="B867" s="15" t="s">
        <v>9004</v>
      </c>
      <c r="C867" s="15" t="s">
        <v>9005</v>
      </c>
      <c r="D867" s="15" t="s">
        <v>9040</v>
      </c>
      <c r="E867" s="15">
        <v>16</v>
      </c>
      <c r="F867" s="15" t="s">
        <v>9041</v>
      </c>
      <c r="G867" s="15" t="s">
        <v>9042</v>
      </c>
      <c r="H867" s="15"/>
      <c r="I867" s="15" t="s">
        <v>49</v>
      </c>
      <c r="J867" s="7" t="str">
        <f>HYPERLINK("https://www.codechef.com/problems/RWQVQU01", "https://www.codechef.com/problems/RWQVQU01")</f>
        <v>https://www.codechef.com/problems/RWQVQU01</v>
      </c>
      <c r="K867" s="15"/>
      <c r="L867" s="15"/>
      <c r="M867" s="15"/>
      <c r="N867" s="15" t="s">
        <v>50</v>
      </c>
      <c r="O867" s="15" t="s">
        <v>51</v>
      </c>
    </row>
    <row r="868" spans="1:15">
      <c r="A868" s="14" t="s">
        <v>14</v>
      </c>
      <c r="B868" s="14" t="s">
        <v>9004</v>
      </c>
      <c r="C868" s="14" t="s">
        <v>9005</v>
      </c>
      <c r="D868" s="14" t="s">
        <v>9040</v>
      </c>
      <c r="E868" s="14">
        <v>17</v>
      </c>
      <c r="F868" s="14" t="s">
        <v>9043</v>
      </c>
      <c r="G868" s="14" t="s">
        <v>9044</v>
      </c>
      <c r="H868" s="14"/>
      <c r="I868" s="14" t="s">
        <v>49</v>
      </c>
      <c r="J868" s="11" t="str">
        <f>HYPERLINK("https://www.codechef.com/problems/RWQVQU02", "https://www.codechef.com/problems/RWQVQU02")</f>
        <v>https://www.codechef.com/problems/RWQVQU02</v>
      </c>
      <c r="K868" s="14"/>
      <c r="L868" s="14"/>
      <c r="M868" s="14"/>
      <c r="N868" s="14" t="s">
        <v>50</v>
      </c>
      <c r="O868" s="14" t="s">
        <v>51</v>
      </c>
    </row>
    <row r="869" spans="1:15">
      <c r="A869" s="15" t="s">
        <v>14</v>
      </c>
      <c r="B869" s="15" t="s">
        <v>9004</v>
      </c>
      <c r="C869" s="15" t="s">
        <v>9005</v>
      </c>
      <c r="D869" s="15" t="s">
        <v>9040</v>
      </c>
      <c r="E869" s="15">
        <v>18</v>
      </c>
      <c r="F869" s="15" t="s">
        <v>9045</v>
      </c>
      <c r="G869" s="15" t="s">
        <v>9046</v>
      </c>
      <c r="H869" s="15"/>
      <c r="I869" s="15" t="s">
        <v>49</v>
      </c>
      <c r="J869" s="7" t="str">
        <f>HYPERLINK("https://www.codechef.com/problems/RWQVQU03", "https://www.codechef.com/problems/RWQVQU03")</f>
        <v>https://www.codechef.com/problems/RWQVQU03</v>
      </c>
      <c r="K869" s="15"/>
      <c r="L869" s="15"/>
      <c r="M869" s="15"/>
      <c r="N869" s="15" t="s">
        <v>50</v>
      </c>
      <c r="O869" s="15" t="s">
        <v>51</v>
      </c>
    </row>
    <row r="870" spans="1:15">
      <c r="A870" s="14" t="s">
        <v>14</v>
      </c>
      <c r="B870" s="14" t="s">
        <v>9004</v>
      </c>
      <c r="C870" s="14" t="s">
        <v>9005</v>
      </c>
      <c r="D870" s="14" t="s">
        <v>9040</v>
      </c>
      <c r="E870" s="14">
        <v>19</v>
      </c>
      <c r="F870" s="14" t="s">
        <v>9047</v>
      </c>
      <c r="G870" s="14" t="s">
        <v>9048</v>
      </c>
      <c r="H870" s="14"/>
      <c r="I870" s="14" t="s">
        <v>49</v>
      </c>
      <c r="J870" s="11" t="str">
        <f>HYPERLINK("https://www.codechef.com/problems/RWQVQU04", "https://www.codechef.com/problems/RWQVQU04")</f>
        <v>https://www.codechef.com/problems/RWQVQU04</v>
      </c>
      <c r="K870" s="14"/>
      <c r="L870" s="14"/>
      <c r="M870" s="14"/>
      <c r="N870" s="14" t="s">
        <v>50</v>
      </c>
      <c r="O870" s="14" t="s">
        <v>51</v>
      </c>
    </row>
    <row r="871" spans="1:15">
      <c r="A871" s="15" t="s">
        <v>14</v>
      </c>
      <c r="B871" s="15" t="s">
        <v>9004</v>
      </c>
      <c r="C871" s="15" t="s">
        <v>9005</v>
      </c>
      <c r="D871" s="15" t="s">
        <v>9049</v>
      </c>
      <c r="E871" s="15">
        <v>20</v>
      </c>
      <c r="F871" s="15" t="s">
        <v>9050</v>
      </c>
      <c r="G871" s="15" t="s">
        <v>9051</v>
      </c>
      <c r="H871" s="15"/>
      <c r="I871" s="15" t="s">
        <v>49</v>
      </c>
      <c r="J871" s="7" t="str">
        <f>HYPERLINK("https://www.codechef.com/problems/HZBXOB01", "https://www.codechef.com/problems/HZBXOB01")</f>
        <v>https://www.codechef.com/problems/HZBXOB01</v>
      </c>
      <c r="K871" s="15"/>
      <c r="L871" s="15"/>
      <c r="M871" s="15"/>
      <c r="N871" s="15" t="s">
        <v>50</v>
      </c>
      <c r="O871" s="15" t="s">
        <v>51</v>
      </c>
    </row>
    <row r="872" spans="1:15">
      <c r="A872" s="14" t="s">
        <v>14</v>
      </c>
      <c r="B872" s="14" t="s">
        <v>9004</v>
      </c>
      <c r="C872" s="14" t="s">
        <v>9005</v>
      </c>
      <c r="D872" s="14" t="s">
        <v>9049</v>
      </c>
      <c r="E872" s="14">
        <v>21</v>
      </c>
      <c r="F872" s="14" t="s">
        <v>9052</v>
      </c>
      <c r="G872" s="14" t="s">
        <v>9053</v>
      </c>
      <c r="H872" s="14"/>
      <c r="I872" s="14" t="s">
        <v>49</v>
      </c>
      <c r="J872" s="11" t="str">
        <f>HYPERLINK("https://www.codechef.com/problems/HZBXOB02", "https://www.codechef.com/problems/HZBXOB02")</f>
        <v>https://www.codechef.com/problems/HZBXOB02</v>
      </c>
      <c r="K872" s="14"/>
      <c r="L872" s="14"/>
      <c r="M872" s="14"/>
      <c r="N872" s="14" t="s">
        <v>50</v>
      </c>
      <c r="O872" s="14" t="s">
        <v>51</v>
      </c>
    </row>
    <row r="873" spans="1:15">
      <c r="A873" s="15" t="s">
        <v>14</v>
      </c>
      <c r="B873" s="15" t="s">
        <v>9004</v>
      </c>
      <c r="C873" s="15" t="s">
        <v>9005</v>
      </c>
      <c r="D873" s="15" t="s">
        <v>9049</v>
      </c>
      <c r="E873" s="15">
        <v>22</v>
      </c>
      <c r="F873" s="15" t="s">
        <v>9054</v>
      </c>
      <c r="G873" s="15" t="s">
        <v>9055</v>
      </c>
      <c r="H873" s="15"/>
      <c r="I873" s="15" t="s">
        <v>96</v>
      </c>
      <c r="J873" s="7" t="str">
        <f>HYPERLINK("https://www.codechef.com/problems/HZBXOB03", "https://www.codechef.com/problems/HZBXOB03")</f>
        <v>https://www.codechef.com/problems/HZBXOB03</v>
      </c>
      <c r="K873" s="15"/>
      <c r="L873" s="15"/>
      <c r="M873" s="15"/>
      <c r="N873" s="15" t="s">
        <v>50</v>
      </c>
      <c r="O873" s="15" t="s">
        <v>51</v>
      </c>
    </row>
    <row r="874" spans="1:15">
      <c r="A874" s="14" t="s">
        <v>14</v>
      </c>
      <c r="B874" s="14" t="s">
        <v>9004</v>
      </c>
      <c r="C874" s="14" t="s">
        <v>9005</v>
      </c>
      <c r="D874" s="14" t="s">
        <v>9049</v>
      </c>
      <c r="E874" s="14">
        <v>23</v>
      </c>
      <c r="F874" s="14" t="s">
        <v>9056</v>
      </c>
      <c r="G874" s="14" t="s">
        <v>9057</v>
      </c>
      <c r="H874" s="14"/>
      <c r="I874" s="14" t="s">
        <v>96</v>
      </c>
      <c r="J874" s="11" t="str">
        <f>HYPERLINK("https://www.codechef.com/problems/HZBXOB04", "https://www.codechef.com/problems/HZBXOB04")</f>
        <v>https://www.codechef.com/problems/HZBXOB04</v>
      </c>
      <c r="K874" s="14"/>
      <c r="L874" s="14"/>
      <c r="M874" s="14"/>
      <c r="N874" s="14" t="s">
        <v>50</v>
      </c>
      <c r="O874" s="14" t="s">
        <v>51</v>
      </c>
    </row>
    <row r="875" spans="1:15">
      <c r="A875" s="15" t="s">
        <v>14</v>
      </c>
      <c r="B875" s="15" t="s">
        <v>9004</v>
      </c>
      <c r="C875" s="15" t="s">
        <v>9005</v>
      </c>
      <c r="D875" s="15" t="s">
        <v>9058</v>
      </c>
      <c r="E875" s="15">
        <v>24</v>
      </c>
      <c r="F875" s="15" t="s">
        <v>9059</v>
      </c>
      <c r="G875" s="15" t="s">
        <v>9060</v>
      </c>
      <c r="H875" s="15"/>
      <c r="I875" s="15" t="s">
        <v>49</v>
      </c>
      <c r="J875" s="7" t="str">
        <f>HYPERLINK("https://www.codechef.com/problems/SBZUNI01", "https://www.codechef.com/problems/SBZUNI01")</f>
        <v>https://www.codechef.com/problems/SBZUNI01</v>
      </c>
      <c r="K875" s="15"/>
      <c r="L875" s="15"/>
      <c r="M875" s="15"/>
      <c r="N875" s="15" t="s">
        <v>50</v>
      </c>
      <c r="O875" s="15" t="s">
        <v>51</v>
      </c>
    </row>
    <row r="876" spans="1:15">
      <c r="A876" s="14" t="s">
        <v>14</v>
      </c>
      <c r="B876" s="14" t="s">
        <v>9004</v>
      </c>
      <c r="C876" s="14" t="s">
        <v>9005</v>
      </c>
      <c r="D876" s="14" t="s">
        <v>9058</v>
      </c>
      <c r="E876" s="14">
        <v>25</v>
      </c>
      <c r="F876" s="14" t="s">
        <v>9061</v>
      </c>
      <c r="G876" s="14" t="s">
        <v>9062</v>
      </c>
      <c r="H876" s="14"/>
      <c r="I876" s="14" t="s">
        <v>49</v>
      </c>
      <c r="J876" s="11" t="str">
        <f>HYPERLINK("https://www.codechef.com/problems/SBZUNI02", "https://www.codechef.com/problems/SBZUNI02")</f>
        <v>https://www.codechef.com/problems/SBZUNI02</v>
      </c>
      <c r="K876" s="14"/>
      <c r="L876" s="14"/>
      <c r="M876" s="14"/>
      <c r="N876" s="14" t="s">
        <v>50</v>
      </c>
      <c r="O876" s="14" t="s">
        <v>51</v>
      </c>
    </row>
    <row r="877" spans="1:15">
      <c r="A877" s="15" t="s">
        <v>14</v>
      </c>
      <c r="B877" s="15" t="s">
        <v>9004</v>
      </c>
      <c r="C877" s="15" t="s">
        <v>9005</v>
      </c>
      <c r="D877" s="15" t="s">
        <v>9058</v>
      </c>
      <c r="E877" s="15">
        <v>26</v>
      </c>
      <c r="F877" s="15" t="s">
        <v>9063</v>
      </c>
      <c r="G877" s="15" t="s">
        <v>9064</v>
      </c>
      <c r="H877" s="15"/>
      <c r="I877" s="15" t="s">
        <v>49</v>
      </c>
      <c r="J877" s="7" t="str">
        <f>HYPERLINK("https://www.codechef.com/problems/SBZUNI03", "https://www.codechef.com/problems/SBZUNI03")</f>
        <v>https://www.codechef.com/problems/SBZUNI03</v>
      </c>
      <c r="K877" s="15"/>
      <c r="L877" s="15"/>
      <c r="M877" s="15"/>
      <c r="N877" s="15" t="s">
        <v>50</v>
      </c>
      <c r="O877" s="15" t="s">
        <v>51</v>
      </c>
    </row>
    <row r="878" spans="1:15">
      <c r="A878" s="14" t="s">
        <v>14</v>
      </c>
      <c r="B878" s="14" t="s">
        <v>9004</v>
      </c>
      <c r="C878" s="14" t="s">
        <v>9005</v>
      </c>
      <c r="D878" s="14" t="s">
        <v>9058</v>
      </c>
      <c r="E878" s="14">
        <v>27</v>
      </c>
      <c r="F878" s="14" t="s">
        <v>9065</v>
      </c>
      <c r="G878" s="14" t="s">
        <v>9066</v>
      </c>
      <c r="H878" s="14"/>
      <c r="I878" s="14" t="s">
        <v>96</v>
      </c>
      <c r="J878" s="11" t="str">
        <f>HYPERLINK("https://www.codechef.com/problems/SBZUNI04", "https://www.codechef.com/problems/SBZUNI04")</f>
        <v>https://www.codechef.com/problems/SBZUNI04</v>
      </c>
      <c r="K878" s="14"/>
      <c r="L878" s="14"/>
      <c r="M878" s="14"/>
      <c r="N878" s="14" t="s">
        <v>50</v>
      </c>
      <c r="O878" s="14" t="s">
        <v>51</v>
      </c>
    </row>
    <row r="879" spans="1:15">
      <c r="A879" s="15" t="s">
        <v>14</v>
      </c>
      <c r="B879" s="15" t="s">
        <v>9004</v>
      </c>
      <c r="C879" s="15" t="s">
        <v>9005</v>
      </c>
      <c r="D879" s="15" t="s">
        <v>9067</v>
      </c>
      <c r="E879" s="15">
        <v>28</v>
      </c>
      <c r="F879" s="15" t="s">
        <v>9068</v>
      </c>
      <c r="G879" s="15" t="s">
        <v>9069</v>
      </c>
      <c r="H879" s="15"/>
      <c r="I879" s="15" t="s">
        <v>49</v>
      </c>
      <c r="J879" s="7" t="str">
        <f>HYPERLINK("https://www.codechef.com/problems/RLQUIY01", "https://www.codechef.com/problems/RLQUIY01")</f>
        <v>https://www.codechef.com/problems/RLQUIY01</v>
      </c>
      <c r="K879" s="15"/>
      <c r="L879" s="15"/>
      <c r="M879" s="15"/>
      <c r="N879" s="15" t="s">
        <v>50</v>
      </c>
      <c r="O879" s="15" t="s">
        <v>51</v>
      </c>
    </row>
    <row r="880" spans="1:15">
      <c r="A880" s="14" t="s">
        <v>14</v>
      </c>
      <c r="B880" s="14" t="s">
        <v>9004</v>
      </c>
      <c r="C880" s="14" t="s">
        <v>9005</v>
      </c>
      <c r="D880" s="14" t="s">
        <v>9067</v>
      </c>
      <c r="E880" s="14">
        <v>29</v>
      </c>
      <c r="F880" s="14" t="s">
        <v>9070</v>
      </c>
      <c r="G880" s="14" t="s">
        <v>9071</v>
      </c>
      <c r="H880" s="14"/>
      <c r="I880" s="14" t="s">
        <v>49</v>
      </c>
      <c r="J880" s="11" t="str">
        <f>HYPERLINK("https://www.codechef.com/problems/RLQUIY02", "https://www.codechef.com/problems/RLQUIY02")</f>
        <v>https://www.codechef.com/problems/RLQUIY02</v>
      </c>
      <c r="K880" s="14"/>
      <c r="L880" s="14"/>
      <c r="M880" s="14"/>
      <c r="N880" s="14" t="s">
        <v>50</v>
      </c>
      <c r="O880" s="14" t="s">
        <v>51</v>
      </c>
    </row>
    <row r="881" spans="1:15">
      <c r="A881" s="15" t="s">
        <v>14</v>
      </c>
      <c r="B881" s="15" t="s">
        <v>9004</v>
      </c>
      <c r="C881" s="15" t="s">
        <v>9005</v>
      </c>
      <c r="D881" s="15" t="s">
        <v>9067</v>
      </c>
      <c r="E881" s="15">
        <v>30</v>
      </c>
      <c r="F881" s="15" t="s">
        <v>9072</v>
      </c>
      <c r="G881" s="15" t="s">
        <v>9073</v>
      </c>
      <c r="H881" s="15"/>
      <c r="I881" s="15" t="s">
        <v>49</v>
      </c>
      <c r="J881" s="7" t="str">
        <f>HYPERLINK("https://www.codechef.com/problems/RLQUIY03", "https://www.codechef.com/problems/RLQUIY03")</f>
        <v>https://www.codechef.com/problems/RLQUIY03</v>
      </c>
      <c r="K881" s="15"/>
      <c r="L881" s="15"/>
      <c r="M881" s="15"/>
      <c r="N881" s="15" t="s">
        <v>50</v>
      </c>
      <c r="O881" s="15" t="s">
        <v>51</v>
      </c>
    </row>
    <row r="882" spans="1:15">
      <c r="A882" s="14" t="s">
        <v>14</v>
      </c>
      <c r="B882" s="14" t="s">
        <v>9004</v>
      </c>
      <c r="C882" s="14" t="s">
        <v>9005</v>
      </c>
      <c r="D882" s="14" t="s">
        <v>9067</v>
      </c>
      <c r="E882" s="14">
        <v>31</v>
      </c>
      <c r="F882" s="14" t="s">
        <v>9074</v>
      </c>
      <c r="G882" s="14" t="s">
        <v>9075</v>
      </c>
      <c r="H882" s="14"/>
      <c r="I882" s="14" t="s">
        <v>96</v>
      </c>
      <c r="J882" s="11" t="str">
        <f>HYPERLINK("https://www.codechef.com/problems/RLQUIY04", "https://www.codechef.com/problems/RLQUIY04")</f>
        <v>https://www.codechef.com/problems/RLQUIY04</v>
      </c>
      <c r="K882" s="14"/>
      <c r="L882" s="14"/>
      <c r="M882" s="14"/>
      <c r="N882" s="14" t="s">
        <v>50</v>
      </c>
      <c r="O882" s="14" t="s">
        <v>51</v>
      </c>
    </row>
    <row r="883" spans="1:15">
      <c r="A883" s="15" t="s">
        <v>14</v>
      </c>
      <c r="B883" s="15" t="s">
        <v>9004</v>
      </c>
      <c r="C883" s="15" t="s">
        <v>9005</v>
      </c>
      <c r="D883" s="15" t="s">
        <v>9067</v>
      </c>
      <c r="E883" s="15">
        <v>32</v>
      </c>
      <c r="F883" s="15" t="s">
        <v>9076</v>
      </c>
      <c r="G883" s="15" t="s">
        <v>9077</v>
      </c>
      <c r="H883" s="15"/>
      <c r="I883" s="15" t="s">
        <v>49</v>
      </c>
      <c r="J883" s="7" t="str">
        <f>HYPERLINK("https://www.codechef.com/problems/RLQUIY05", "https://www.codechef.com/problems/RLQUIY05")</f>
        <v>https://www.codechef.com/problems/RLQUIY05</v>
      </c>
      <c r="K883" s="15"/>
      <c r="L883" s="15"/>
      <c r="M883" s="15"/>
      <c r="N883" s="15" t="s">
        <v>50</v>
      </c>
      <c r="O883" s="15" t="s">
        <v>51</v>
      </c>
    </row>
    <row r="884" spans="1:15">
      <c r="A884" s="14" t="s">
        <v>14</v>
      </c>
      <c r="B884" s="14" t="s">
        <v>9004</v>
      </c>
      <c r="C884" s="14" t="s">
        <v>9005</v>
      </c>
      <c r="D884" s="14" t="s">
        <v>9067</v>
      </c>
      <c r="E884" s="14">
        <v>33</v>
      </c>
      <c r="F884" s="14" t="s">
        <v>9078</v>
      </c>
      <c r="G884" s="14" t="s">
        <v>9079</v>
      </c>
      <c r="H884" s="14"/>
      <c r="I884" s="14" t="s">
        <v>49</v>
      </c>
      <c r="J884" s="11" t="str">
        <f>HYPERLINK("https://www.codechef.com/problems/RLQUIY06", "https://www.codechef.com/problems/RLQUIY06")</f>
        <v>https://www.codechef.com/problems/RLQUIY06</v>
      </c>
      <c r="K884" s="14"/>
      <c r="L884" s="14"/>
      <c r="M884" s="14"/>
      <c r="N884" s="14" t="s">
        <v>50</v>
      </c>
      <c r="O884" s="14" t="s">
        <v>51</v>
      </c>
    </row>
    <row r="885" spans="1:15">
      <c r="A885" s="15" t="s">
        <v>14</v>
      </c>
      <c r="B885" s="15" t="s">
        <v>9004</v>
      </c>
      <c r="C885" s="15" t="s">
        <v>9005</v>
      </c>
      <c r="D885" s="15" t="s">
        <v>9067</v>
      </c>
      <c r="E885" s="15">
        <v>34</v>
      </c>
      <c r="F885" s="15" t="s">
        <v>9080</v>
      </c>
      <c r="G885" s="15" t="s">
        <v>9081</v>
      </c>
      <c r="H885" s="15"/>
      <c r="I885" s="15" t="s">
        <v>96</v>
      </c>
      <c r="J885" s="7" t="str">
        <f>HYPERLINK("https://www.codechef.com/problems/RLQUIY07", "https://www.codechef.com/problems/RLQUIY07")</f>
        <v>https://www.codechef.com/problems/RLQUIY07</v>
      </c>
      <c r="K885" s="15"/>
      <c r="L885" s="15"/>
      <c r="M885" s="15"/>
      <c r="N885" s="15" t="s">
        <v>50</v>
      </c>
      <c r="O885" s="15" t="s">
        <v>51</v>
      </c>
    </row>
    <row r="886" spans="1:15">
      <c r="A886" s="14" t="s">
        <v>14</v>
      </c>
      <c r="B886" s="14" t="s">
        <v>9004</v>
      </c>
      <c r="C886" s="14" t="s">
        <v>9005</v>
      </c>
      <c r="D886" s="14" t="s">
        <v>9067</v>
      </c>
      <c r="E886" s="14">
        <v>35</v>
      </c>
      <c r="F886" s="14" t="s">
        <v>9082</v>
      </c>
      <c r="G886" s="14" t="s">
        <v>9083</v>
      </c>
      <c r="H886" s="14"/>
      <c r="I886" s="14" t="s">
        <v>96</v>
      </c>
      <c r="J886" s="11" t="str">
        <f>HYPERLINK("https://www.codechef.com/problems/RLQUIY08", "https://www.codechef.com/problems/RLQUIY08")</f>
        <v>https://www.codechef.com/problems/RLQUIY08</v>
      </c>
      <c r="K886" s="14"/>
      <c r="L886" s="14"/>
      <c r="M886" s="14"/>
      <c r="N886" s="14" t="s">
        <v>50</v>
      </c>
      <c r="O886" s="14" t="s">
        <v>51</v>
      </c>
    </row>
    <row r="887" spans="1:15">
      <c r="A887" s="15" t="s">
        <v>14</v>
      </c>
      <c r="B887" s="15" t="s">
        <v>9004</v>
      </c>
      <c r="C887" s="15" t="s">
        <v>9005</v>
      </c>
      <c r="D887" s="15" t="s">
        <v>9067</v>
      </c>
      <c r="E887" s="15">
        <v>36</v>
      </c>
      <c r="F887" s="15" t="s">
        <v>9084</v>
      </c>
      <c r="G887" s="15" t="s">
        <v>9085</v>
      </c>
      <c r="H887" s="15"/>
      <c r="I887" s="15" t="s">
        <v>49</v>
      </c>
      <c r="J887" s="7" t="str">
        <f>HYPERLINK("https://www.codechef.com/problems/RLQUIY09", "https://www.codechef.com/problems/RLQUIY09")</f>
        <v>https://www.codechef.com/problems/RLQUIY09</v>
      </c>
      <c r="K887" s="15"/>
      <c r="L887" s="15"/>
      <c r="M887" s="15"/>
      <c r="N887" s="15" t="s">
        <v>50</v>
      </c>
      <c r="O887" s="15" t="s">
        <v>51</v>
      </c>
    </row>
    <row r="888" spans="1:15">
      <c r="A888" s="14" t="s">
        <v>14</v>
      </c>
      <c r="B888" s="14" t="s">
        <v>9004</v>
      </c>
      <c r="C888" s="14" t="s">
        <v>9005</v>
      </c>
      <c r="D888" s="14" t="s">
        <v>9067</v>
      </c>
      <c r="E888" s="14">
        <v>37</v>
      </c>
      <c r="F888" s="14" t="s">
        <v>9086</v>
      </c>
      <c r="G888" s="14" t="s">
        <v>9087</v>
      </c>
      <c r="H888" s="14"/>
      <c r="I888" s="14" t="s">
        <v>49</v>
      </c>
      <c r="J888" s="11" t="str">
        <f>HYPERLINK("https://www.codechef.com/problems/RLQUIY10", "https://www.codechef.com/problems/RLQUIY10")</f>
        <v>https://www.codechef.com/problems/RLQUIY10</v>
      </c>
      <c r="K888" s="14"/>
      <c r="L888" s="14"/>
      <c r="M888" s="14"/>
      <c r="N888" s="14" t="s">
        <v>50</v>
      </c>
      <c r="O888" s="14" t="s">
        <v>51</v>
      </c>
    </row>
    <row r="889" spans="1:15">
      <c r="A889" s="15" t="s">
        <v>14</v>
      </c>
      <c r="B889" s="15" t="s">
        <v>9004</v>
      </c>
      <c r="C889" s="15" t="s">
        <v>9005</v>
      </c>
      <c r="D889" s="15" t="s">
        <v>9088</v>
      </c>
      <c r="E889" s="15">
        <v>38</v>
      </c>
      <c r="F889" s="15" t="s">
        <v>9089</v>
      </c>
      <c r="G889" s="15" t="s">
        <v>9090</v>
      </c>
      <c r="H889" s="15"/>
      <c r="I889" s="15" t="s">
        <v>49</v>
      </c>
      <c r="J889" s="7" t="str">
        <f>HYPERLINK("https://www.codechef.com/problems/ZGOROH01", "https://www.codechef.com/problems/ZGOROH01")</f>
        <v>https://www.codechef.com/problems/ZGOROH01</v>
      </c>
      <c r="K889" s="15"/>
      <c r="L889" s="15"/>
      <c r="M889" s="15"/>
      <c r="N889" s="15" t="s">
        <v>50</v>
      </c>
      <c r="O889" s="15" t="s">
        <v>51</v>
      </c>
    </row>
    <row r="890" spans="1:15">
      <c r="A890" s="14" t="s">
        <v>14</v>
      </c>
      <c r="B890" s="14" t="s">
        <v>9004</v>
      </c>
      <c r="C890" s="14" t="s">
        <v>9005</v>
      </c>
      <c r="D890" s="14" t="s">
        <v>9088</v>
      </c>
      <c r="E890" s="14">
        <v>39</v>
      </c>
      <c r="F890" s="14" t="s">
        <v>9091</v>
      </c>
      <c r="G890" s="14" t="s">
        <v>9092</v>
      </c>
      <c r="H890" s="14"/>
      <c r="I890" s="14" t="s">
        <v>49</v>
      </c>
      <c r="J890" s="11" t="str">
        <f>HYPERLINK("https://www.codechef.com/problems/ZGOROH02", "https://www.codechef.com/problems/ZGOROH02")</f>
        <v>https://www.codechef.com/problems/ZGOROH02</v>
      </c>
      <c r="K890" s="14"/>
      <c r="L890" s="14"/>
      <c r="M890" s="14"/>
      <c r="N890" s="14" t="s">
        <v>50</v>
      </c>
      <c r="O890" s="14" t="s">
        <v>51</v>
      </c>
    </row>
    <row r="891" spans="1:15">
      <c r="A891" s="15" t="s">
        <v>14</v>
      </c>
      <c r="B891" s="15" t="s">
        <v>9004</v>
      </c>
      <c r="C891" s="15" t="s">
        <v>9005</v>
      </c>
      <c r="D891" s="15" t="s">
        <v>9088</v>
      </c>
      <c r="E891" s="15">
        <v>40</v>
      </c>
      <c r="F891" s="15" t="s">
        <v>9093</v>
      </c>
      <c r="G891" s="15" t="s">
        <v>9094</v>
      </c>
      <c r="H891" s="15"/>
      <c r="I891" s="15" t="s">
        <v>96</v>
      </c>
      <c r="J891" s="7" t="str">
        <f>HYPERLINK("https://www.codechef.com/problems/ZGOROH03", "https://www.codechef.com/problems/ZGOROH03")</f>
        <v>https://www.codechef.com/problems/ZGOROH03</v>
      </c>
      <c r="K891" s="15"/>
      <c r="L891" s="15"/>
      <c r="M891" s="15"/>
      <c r="N891" s="15" t="s">
        <v>50</v>
      </c>
      <c r="O891" s="15" t="s">
        <v>51</v>
      </c>
    </row>
    <row r="892" spans="1:15">
      <c r="A892" s="14" t="s">
        <v>14</v>
      </c>
      <c r="B892" s="14" t="s">
        <v>9004</v>
      </c>
      <c r="C892" s="14" t="s">
        <v>9005</v>
      </c>
      <c r="D892" s="14" t="s">
        <v>9095</v>
      </c>
      <c r="E892" s="14">
        <v>41</v>
      </c>
      <c r="F892" s="14" t="s">
        <v>9096</v>
      </c>
      <c r="G892" s="14" t="s">
        <v>9097</v>
      </c>
      <c r="H892" s="14"/>
      <c r="I892" s="14" t="s">
        <v>49</v>
      </c>
      <c r="J892" s="11" t="str">
        <f>HYPERLINK("https://www.codechef.com/problems/SFRSHO01", "https://www.codechef.com/problems/SFRSHO01")</f>
        <v>https://www.codechef.com/problems/SFRSHO01</v>
      </c>
      <c r="K892" s="14"/>
      <c r="L892" s="14"/>
      <c r="M892" s="14"/>
      <c r="N892" s="14" t="s">
        <v>50</v>
      </c>
      <c r="O892" s="14" t="s">
        <v>51</v>
      </c>
    </row>
    <row r="893" spans="1:15">
      <c r="A893" s="15" t="s">
        <v>14</v>
      </c>
      <c r="B893" s="15" t="s">
        <v>9004</v>
      </c>
      <c r="C893" s="15" t="s">
        <v>9005</v>
      </c>
      <c r="D893" s="15" t="s">
        <v>9095</v>
      </c>
      <c r="E893" s="15">
        <v>42</v>
      </c>
      <c r="F893" s="15" t="s">
        <v>9098</v>
      </c>
      <c r="G893" s="15" t="s">
        <v>9099</v>
      </c>
      <c r="H893" s="15"/>
      <c r="I893" s="15" t="s">
        <v>49</v>
      </c>
      <c r="J893" s="7" t="str">
        <f>HYPERLINK("https://www.codechef.com/problems/SFRSHO02", "https://www.codechef.com/problems/SFRSHO02")</f>
        <v>https://www.codechef.com/problems/SFRSHO02</v>
      </c>
      <c r="K893" s="15"/>
      <c r="L893" s="15"/>
      <c r="M893" s="15"/>
      <c r="N893" s="15" t="s">
        <v>50</v>
      </c>
      <c r="O893" s="15" t="s">
        <v>51</v>
      </c>
    </row>
    <row r="894" spans="1:15">
      <c r="A894" s="14" t="s">
        <v>14</v>
      </c>
      <c r="B894" s="14" t="s">
        <v>9004</v>
      </c>
      <c r="C894" s="14" t="s">
        <v>9005</v>
      </c>
      <c r="D894" s="14" t="s">
        <v>9095</v>
      </c>
      <c r="E894" s="14">
        <v>43</v>
      </c>
      <c r="F894" s="14" t="s">
        <v>9100</v>
      </c>
      <c r="G894" s="14" t="s">
        <v>9101</v>
      </c>
      <c r="H894" s="14"/>
      <c r="I894" s="14" t="s">
        <v>49</v>
      </c>
      <c r="J894" s="11" t="str">
        <f>HYPERLINK("https://www.codechef.com/problems/SFRSHO03", "https://www.codechef.com/problems/SFRSHO03")</f>
        <v>https://www.codechef.com/problems/SFRSHO03</v>
      </c>
      <c r="K894" s="14"/>
      <c r="L894" s="14"/>
      <c r="M894" s="14"/>
      <c r="N894" s="14" t="s">
        <v>50</v>
      </c>
      <c r="O894" s="14" t="s">
        <v>51</v>
      </c>
    </row>
    <row r="895" spans="1:15">
      <c r="A895" s="15" t="s">
        <v>14</v>
      </c>
      <c r="B895" s="15" t="s">
        <v>9004</v>
      </c>
      <c r="C895" s="15" t="s">
        <v>9005</v>
      </c>
      <c r="D895" s="15" t="s">
        <v>9095</v>
      </c>
      <c r="E895" s="15">
        <v>44</v>
      </c>
      <c r="F895" s="15" t="s">
        <v>9102</v>
      </c>
      <c r="G895" s="15" t="s">
        <v>9103</v>
      </c>
      <c r="H895" s="15"/>
      <c r="I895" s="15" t="s">
        <v>96</v>
      </c>
      <c r="J895" s="7" t="str">
        <f>HYPERLINK("https://www.codechef.com/problems/SFRSHO04", "https://www.codechef.com/problems/SFRSHO04")</f>
        <v>https://www.codechef.com/problems/SFRSHO04</v>
      </c>
      <c r="K895" s="15"/>
      <c r="L895" s="15"/>
      <c r="M895" s="15"/>
      <c r="N895" s="15" t="s">
        <v>50</v>
      </c>
      <c r="O895" s="15" t="s">
        <v>51</v>
      </c>
    </row>
    <row r="896" spans="1:15">
      <c r="A896" s="14" t="s">
        <v>14</v>
      </c>
      <c r="B896" s="14" t="s">
        <v>9004</v>
      </c>
      <c r="C896" s="14" t="s">
        <v>9005</v>
      </c>
      <c r="D896" s="14" t="s">
        <v>9095</v>
      </c>
      <c r="E896" s="14">
        <v>45</v>
      </c>
      <c r="F896" s="14" t="s">
        <v>9104</v>
      </c>
      <c r="G896" s="14" t="s">
        <v>9105</v>
      </c>
      <c r="H896" s="14"/>
      <c r="I896" s="14" t="s">
        <v>96</v>
      </c>
      <c r="J896" s="11" t="str">
        <f>HYPERLINK("https://www.codechef.com/problems/SFRSHO05", "https://www.codechef.com/problems/SFRSHO05")</f>
        <v>https://www.codechef.com/problems/SFRSHO05</v>
      </c>
      <c r="K896" s="14"/>
      <c r="L896" s="14"/>
      <c r="M896" s="14"/>
      <c r="N896" s="14" t="s">
        <v>50</v>
      </c>
      <c r="O896" s="14" t="s">
        <v>51</v>
      </c>
    </row>
    <row r="897" spans="1:15">
      <c r="A897" s="15" t="s">
        <v>14</v>
      </c>
      <c r="B897" s="15" t="s">
        <v>9004</v>
      </c>
      <c r="C897" s="15" t="s">
        <v>9005</v>
      </c>
      <c r="D897" s="15" t="s">
        <v>9095</v>
      </c>
      <c r="E897" s="15">
        <v>46</v>
      </c>
      <c r="F897" s="15" t="s">
        <v>9106</v>
      </c>
      <c r="G897" s="15" t="s">
        <v>9107</v>
      </c>
      <c r="H897" s="15"/>
      <c r="I897" s="15" t="s">
        <v>49</v>
      </c>
      <c r="J897" s="7" t="str">
        <f>HYPERLINK("https://www.codechef.com/problems/SFRSHO06", "https://www.codechef.com/problems/SFRSHO06")</f>
        <v>https://www.codechef.com/problems/SFRSHO06</v>
      </c>
      <c r="K897" s="15"/>
      <c r="L897" s="15"/>
      <c r="M897" s="15"/>
      <c r="N897" s="15" t="s">
        <v>50</v>
      </c>
      <c r="O897" s="15" t="s">
        <v>51</v>
      </c>
    </row>
    <row r="898" spans="1:15">
      <c r="A898" s="14" t="s">
        <v>14</v>
      </c>
      <c r="B898" s="14" t="s">
        <v>9108</v>
      </c>
      <c r="C898" s="14" t="s">
        <v>9109</v>
      </c>
      <c r="D898" s="14" t="s">
        <v>9110</v>
      </c>
      <c r="E898" s="14">
        <v>1</v>
      </c>
      <c r="F898" s="14" t="s">
        <v>9111</v>
      </c>
      <c r="G898" s="14" t="s">
        <v>9112</v>
      </c>
      <c r="H898" s="14"/>
      <c r="I898" s="14" t="s">
        <v>49</v>
      </c>
      <c r="J898" s="11" t="str">
        <f>HYPERLINK("https://www.codechef.com/problems/YAZFDJ01", "https://www.codechef.com/problems/YAZFDJ01")</f>
        <v>https://www.codechef.com/problems/YAZFDJ01</v>
      </c>
      <c r="K898" s="14"/>
      <c r="L898" s="14"/>
      <c r="M898" s="14"/>
      <c r="N898" s="14" t="s">
        <v>50</v>
      </c>
      <c r="O898" s="14" t="s">
        <v>51</v>
      </c>
    </row>
    <row r="899" spans="1:15">
      <c r="A899" s="15" t="s">
        <v>14</v>
      </c>
      <c r="B899" s="15" t="s">
        <v>9108</v>
      </c>
      <c r="C899" s="15" t="s">
        <v>9109</v>
      </c>
      <c r="D899" s="15" t="s">
        <v>9110</v>
      </c>
      <c r="E899" s="15">
        <v>2</v>
      </c>
      <c r="F899" s="15" t="s">
        <v>9113</v>
      </c>
      <c r="G899" s="15" t="s">
        <v>9114</v>
      </c>
      <c r="H899" s="15"/>
      <c r="I899" s="15" t="s">
        <v>49</v>
      </c>
      <c r="J899" s="7" t="str">
        <f>HYPERLINK("https://www.codechef.com/problems/YAZFDJ02", "https://www.codechef.com/problems/YAZFDJ02")</f>
        <v>https://www.codechef.com/problems/YAZFDJ02</v>
      </c>
      <c r="K899" s="15"/>
      <c r="L899" s="15"/>
      <c r="M899" s="15"/>
      <c r="N899" s="15" t="s">
        <v>50</v>
      </c>
      <c r="O899" s="15" t="s">
        <v>51</v>
      </c>
    </row>
    <row r="900" spans="1:15">
      <c r="A900" s="14" t="s">
        <v>14</v>
      </c>
      <c r="B900" s="14" t="s">
        <v>9108</v>
      </c>
      <c r="C900" s="14" t="s">
        <v>9109</v>
      </c>
      <c r="D900" s="14" t="s">
        <v>9110</v>
      </c>
      <c r="E900" s="14">
        <v>3</v>
      </c>
      <c r="F900" s="14" t="s">
        <v>9115</v>
      </c>
      <c r="G900" s="14" t="s">
        <v>9116</v>
      </c>
      <c r="H900" s="14"/>
      <c r="I900" s="14" t="s">
        <v>49</v>
      </c>
      <c r="J900" s="11" t="str">
        <f>HYPERLINK("https://www.codechef.com/problems/YAZFDJ03", "https://www.codechef.com/problems/YAZFDJ03")</f>
        <v>https://www.codechef.com/problems/YAZFDJ03</v>
      </c>
      <c r="K900" s="14"/>
      <c r="L900" s="14"/>
      <c r="M900" s="14"/>
      <c r="N900" s="14" t="s">
        <v>50</v>
      </c>
      <c r="O900" s="14" t="s">
        <v>51</v>
      </c>
    </row>
    <row r="901" spans="1:15">
      <c r="A901" s="15" t="s">
        <v>14</v>
      </c>
      <c r="B901" s="15" t="s">
        <v>9108</v>
      </c>
      <c r="C901" s="15" t="s">
        <v>9109</v>
      </c>
      <c r="D901" s="15" t="s">
        <v>9117</v>
      </c>
      <c r="E901" s="15">
        <v>4</v>
      </c>
      <c r="F901" s="15" t="s">
        <v>9118</v>
      </c>
      <c r="G901" s="15" t="s">
        <v>9119</v>
      </c>
      <c r="H901" s="15"/>
      <c r="I901" s="15" t="s">
        <v>49</v>
      </c>
      <c r="J901" s="7" t="str">
        <f>HYPERLINK("https://www.codechef.com/problems/WEFWTL01", "https://www.codechef.com/problems/WEFWTL01")</f>
        <v>https://www.codechef.com/problems/WEFWTL01</v>
      </c>
      <c r="K901" s="15"/>
      <c r="L901" s="15"/>
      <c r="M901" s="15"/>
      <c r="N901" s="15" t="s">
        <v>50</v>
      </c>
      <c r="O901" s="15" t="s">
        <v>51</v>
      </c>
    </row>
    <row r="902" spans="1:15">
      <c r="A902" s="14" t="s">
        <v>14</v>
      </c>
      <c r="B902" s="14" t="s">
        <v>9108</v>
      </c>
      <c r="C902" s="14" t="s">
        <v>9109</v>
      </c>
      <c r="D902" s="14" t="s">
        <v>9117</v>
      </c>
      <c r="E902" s="14">
        <v>5</v>
      </c>
      <c r="F902" s="14" t="s">
        <v>9120</v>
      </c>
      <c r="G902" s="14" t="s">
        <v>9121</v>
      </c>
      <c r="H902" s="14"/>
      <c r="I902" s="14" t="s">
        <v>49</v>
      </c>
      <c r="J902" s="11" t="str">
        <f>HYPERLINK("https://www.codechef.com/problems/WEFWTL02", "https://www.codechef.com/problems/WEFWTL02")</f>
        <v>https://www.codechef.com/problems/WEFWTL02</v>
      </c>
      <c r="K902" s="14"/>
      <c r="L902" s="14"/>
      <c r="M902" s="14"/>
      <c r="N902" s="14" t="s">
        <v>50</v>
      </c>
      <c r="O902" s="14" t="s">
        <v>51</v>
      </c>
    </row>
    <row r="903" spans="1:15">
      <c r="A903" s="15" t="s">
        <v>14</v>
      </c>
      <c r="B903" s="15" t="s">
        <v>9108</v>
      </c>
      <c r="C903" s="15" t="s">
        <v>9109</v>
      </c>
      <c r="D903" s="15" t="s">
        <v>9117</v>
      </c>
      <c r="E903" s="15">
        <v>6</v>
      </c>
      <c r="F903" s="15" t="s">
        <v>9122</v>
      </c>
      <c r="G903" s="15" t="s">
        <v>9123</v>
      </c>
      <c r="H903" s="15"/>
      <c r="I903" s="15" t="s">
        <v>49</v>
      </c>
      <c r="J903" s="7" t="str">
        <f>HYPERLINK("https://www.codechef.com/problems/WEFWTL03", "https://www.codechef.com/problems/WEFWTL03")</f>
        <v>https://www.codechef.com/problems/WEFWTL03</v>
      </c>
      <c r="K903" s="15"/>
      <c r="L903" s="15"/>
      <c r="M903" s="15"/>
      <c r="N903" s="15" t="s">
        <v>50</v>
      </c>
      <c r="O903" s="15" t="s">
        <v>51</v>
      </c>
    </row>
    <row r="904" spans="1:15">
      <c r="A904" s="14" t="s">
        <v>14</v>
      </c>
      <c r="B904" s="14" t="s">
        <v>9108</v>
      </c>
      <c r="C904" s="14" t="s">
        <v>9109</v>
      </c>
      <c r="D904" s="14" t="s">
        <v>9124</v>
      </c>
      <c r="E904" s="14">
        <v>7</v>
      </c>
      <c r="F904" s="14" t="s">
        <v>9125</v>
      </c>
      <c r="G904" s="14" t="s">
        <v>9126</v>
      </c>
      <c r="H904" s="14"/>
      <c r="I904" s="14" t="s">
        <v>49</v>
      </c>
      <c r="J904" s="11" t="str">
        <f>HYPERLINK("https://www.codechef.com/problems/XZYZQE01", "https://www.codechef.com/problems/XZYZQE01")</f>
        <v>https://www.codechef.com/problems/XZYZQE01</v>
      </c>
      <c r="K904" s="14"/>
      <c r="L904" s="14"/>
      <c r="M904" s="14"/>
      <c r="N904" s="14" t="s">
        <v>50</v>
      </c>
      <c r="O904" s="14" t="s">
        <v>51</v>
      </c>
    </row>
    <row r="905" spans="1:15">
      <c r="A905" s="15" t="s">
        <v>14</v>
      </c>
      <c r="B905" s="15" t="s">
        <v>9108</v>
      </c>
      <c r="C905" s="15" t="s">
        <v>9109</v>
      </c>
      <c r="D905" s="15" t="s">
        <v>9124</v>
      </c>
      <c r="E905" s="15">
        <v>8</v>
      </c>
      <c r="F905" s="15" t="s">
        <v>9127</v>
      </c>
      <c r="G905" s="15" t="s">
        <v>9128</v>
      </c>
      <c r="H905" s="15"/>
      <c r="I905" s="15" t="s">
        <v>49</v>
      </c>
      <c r="J905" s="7" t="str">
        <f>HYPERLINK("https://www.codechef.com/problems/XZYZQE02", "https://www.codechef.com/problems/XZYZQE02")</f>
        <v>https://www.codechef.com/problems/XZYZQE02</v>
      </c>
      <c r="K905" s="15"/>
      <c r="L905" s="15"/>
      <c r="M905" s="15"/>
      <c r="N905" s="15" t="s">
        <v>50</v>
      </c>
      <c r="O905" s="15" t="s">
        <v>51</v>
      </c>
    </row>
    <row r="906" spans="1:15">
      <c r="A906" s="14" t="s">
        <v>14</v>
      </c>
      <c r="B906" s="14" t="s">
        <v>9108</v>
      </c>
      <c r="C906" s="14" t="s">
        <v>9109</v>
      </c>
      <c r="D906" s="14" t="s">
        <v>9124</v>
      </c>
      <c r="E906" s="14">
        <v>9</v>
      </c>
      <c r="F906" s="14" t="s">
        <v>9129</v>
      </c>
      <c r="G906" s="14" t="s">
        <v>9130</v>
      </c>
      <c r="H906" s="14"/>
      <c r="I906" s="14" t="s">
        <v>49</v>
      </c>
      <c r="J906" s="11" t="str">
        <f>HYPERLINK("https://www.codechef.com/problems/XZYZQE03", "https://www.codechef.com/problems/XZYZQE03")</f>
        <v>https://www.codechef.com/problems/XZYZQE03</v>
      </c>
      <c r="K906" s="14"/>
      <c r="L906" s="14"/>
      <c r="M906" s="14"/>
      <c r="N906" s="14" t="s">
        <v>50</v>
      </c>
      <c r="O906" s="14" t="s">
        <v>51</v>
      </c>
    </row>
    <row r="907" spans="1:15">
      <c r="A907" s="15" t="s">
        <v>14</v>
      </c>
      <c r="B907" s="15" t="s">
        <v>9108</v>
      </c>
      <c r="C907" s="15" t="s">
        <v>9109</v>
      </c>
      <c r="D907" s="15" t="s">
        <v>9131</v>
      </c>
      <c r="E907" s="15">
        <v>10</v>
      </c>
      <c r="F907" s="15" t="s">
        <v>9132</v>
      </c>
      <c r="G907" s="15" t="s">
        <v>9133</v>
      </c>
      <c r="H907" s="15"/>
      <c r="I907" s="15" t="s">
        <v>49</v>
      </c>
      <c r="J907" s="7" t="str">
        <f>HYPERLINK("https://www.codechef.com/problems/NHWUBU01", "https://www.codechef.com/problems/NHWUBU01")</f>
        <v>https://www.codechef.com/problems/NHWUBU01</v>
      </c>
      <c r="K907" s="15"/>
      <c r="L907" s="15"/>
      <c r="M907" s="15"/>
      <c r="N907" s="15" t="s">
        <v>50</v>
      </c>
      <c r="O907" s="15" t="s">
        <v>51</v>
      </c>
    </row>
    <row r="908" spans="1:15">
      <c r="A908" s="14" t="s">
        <v>14</v>
      </c>
      <c r="B908" s="14" t="s">
        <v>9108</v>
      </c>
      <c r="C908" s="14" t="s">
        <v>9109</v>
      </c>
      <c r="D908" s="14" t="s">
        <v>9131</v>
      </c>
      <c r="E908" s="14">
        <v>11</v>
      </c>
      <c r="F908" s="14" t="s">
        <v>9134</v>
      </c>
      <c r="G908" s="14" t="s">
        <v>9135</v>
      </c>
      <c r="H908" s="14"/>
      <c r="I908" s="14" t="s">
        <v>49</v>
      </c>
      <c r="J908" s="11" t="str">
        <f>HYPERLINK("https://www.codechef.com/problems/NHWUBU02", "https://www.codechef.com/problems/NHWUBU02")</f>
        <v>https://www.codechef.com/problems/NHWUBU02</v>
      </c>
      <c r="K908" s="14"/>
      <c r="L908" s="14"/>
      <c r="M908" s="14"/>
      <c r="N908" s="14" t="s">
        <v>50</v>
      </c>
      <c r="O908" s="14" t="s">
        <v>51</v>
      </c>
    </row>
    <row r="909" spans="1:15">
      <c r="A909" s="15" t="s">
        <v>14</v>
      </c>
      <c r="B909" s="15" t="s">
        <v>9108</v>
      </c>
      <c r="C909" s="15" t="s">
        <v>9109</v>
      </c>
      <c r="D909" s="15" t="s">
        <v>9131</v>
      </c>
      <c r="E909" s="15">
        <v>12</v>
      </c>
      <c r="F909" s="15" t="s">
        <v>9136</v>
      </c>
      <c r="G909" s="15" t="s">
        <v>9137</v>
      </c>
      <c r="H909" s="15"/>
      <c r="I909" s="15" t="s">
        <v>49</v>
      </c>
      <c r="J909" s="7" t="str">
        <f>HYPERLINK("https://www.codechef.com/problems/NHWUBU03", "https://www.codechef.com/problems/NHWUBU03")</f>
        <v>https://www.codechef.com/problems/NHWUBU03</v>
      </c>
      <c r="K909" s="15"/>
      <c r="L909" s="15"/>
      <c r="M909" s="15"/>
      <c r="N909" s="15" t="s">
        <v>50</v>
      </c>
      <c r="O909" s="15" t="s">
        <v>51</v>
      </c>
    </row>
    <row r="910" spans="1:15">
      <c r="A910" s="14" t="s">
        <v>14</v>
      </c>
      <c r="B910" s="14" t="s">
        <v>9108</v>
      </c>
      <c r="C910" s="14" t="s">
        <v>9109</v>
      </c>
      <c r="D910" s="14" t="s">
        <v>9138</v>
      </c>
      <c r="E910" s="14">
        <v>13</v>
      </c>
      <c r="F910" s="14" t="s">
        <v>9139</v>
      </c>
      <c r="G910" s="14" t="s">
        <v>9140</v>
      </c>
      <c r="H910" s="14"/>
      <c r="I910" s="14" t="s">
        <v>49</v>
      </c>
      <c r="J910" s="11" t="str">
        <f>HYPERLINK("https://www.codechef.com/problems/LHZKML01", "https://www.codechef.com/problems/LHZKML01")</f>
        <v>https://www.codechef.com/problems/LHZKML01</v>
      </c>
      <c r="K910" s="14"/>
      <c r="L910" s="14"/>
      <c r="M910" s="14"/>
      <c r="N910" s="14" t="s">
        <v>50</v>
      </c>
      <c r="O910" s="14" t="s">
        <v>51</v>
      </c>
    </row>
    <row r="911" spans="1:15">
      <c r="A911" s="15" t="s">
        <v>14</v>
      </c>
      <c r="B911" s="15" t="s">
        <v>9108</v>
      </c>
      <c r="C911" s="15" t="s">
        <v>9109</v>
      </c>
      <c r="D911" s="15" t="s">
        <v>9138</v>
      </c>
      <c r="E911" s="15">
        <v>14</v>
      </c>
      <c r="F911" s="15" t="s">
        <v>9141</v>
      </c>
      <c r="G911" s="15" t="s">
        <v>9142</v>
      </c>
      <c r="H911" s="15"/>
      <c r="I911" s="15" t="s">
        <v>49</v>
      </c>
      <c r="J911" s="7" t="str">
        <f>HYPERLINK("https://www.codechef.com/problems/LHZKML02", "https://www.codechef.com/problems/LHZKML02")</f>
        <v>https://www.codechef.com/problems/LHZKML02</v>
      </c>
      <c r="K911" s="15"/>
      <c r="L911" s="15"/>
      <c r="M911" s="15"/>
      <c r="N911" s="15" t="s">
        <v>50</v>
      </c>
      <c r="O911" s="15" t="s">
        <v>51</v>
      </c>
    </row>
    <row r="912" spans="1:15">
      <c r="A912" s="14" t="s">
        <v>14</v>
      </c>
      <c r="B912" s="14" t="s">
        <v>9108</v>
      </c>
      <c r="C912" s="14" t="s">
        <v>9109</v>
      </c>
      <c r="D912" s="14" t="s">
        <v>9143</v>
      </c>
      <c r="E912" s="14">
        <v>15</v>
      </c>
      <c r="F912" s="14" t="s">
        <v>9144</v>
      </c>
      <c r="G912" s="14" t="s">
        <v>9145</v>
      </c>
      <c r="H912" s="14"/>
      <c r="I912" s="14" t="s">
        <v>49</v>
      </c>
      <c r="J912" s="11" t="str">
        <f>HYPERLINK("https://www.codechef.com/problems/XJPJKI03", "https://www.codechef.com/problems/XJPJKI03")</f>
        <v>https://www.codechef.com/problems/XJPJKI03</v>
      </c>
      <c r="K912" s="14"/>
      <c r="L912" s="14"/>
      <c r="M912" s="14"/>
      <c r="N912" s="14" t="s">
        <v>50</v>
      </c>
      <c r="O912" s="14" t="s">
        <v>51</v>
      </c>
    </row>
    <row r="913" spans="1:15">
      <c r="A913" s="15" t="s">
        <v>14</v>
      </c>
      <c r="B913" s="15" t="s">
        <v>9108</v>
      </c>
      <c r="C913" s="15" t="s">
        <v>9109</v>
      </c>
      <c r="D913" s="15" t="s">
        <v>9143</v>
      </c>
      <c r="E913" s="15">
        <v>16</v>
      </c>
      <c r="F913" s="15" t="s">
        <v>9146</v>
      </c>
      <c r="G913" s="15" t="s">
        <v>9147</v>
      </c>
      <c r="H913" s="15"/>
      <c r="I913" s="15" t="s">
        <v>49</v>
      </c>
      <c r="J913" s="7" t="str">
        <f>HYPERLINK("https://www.codechef.com/problems/XJPJKI01", "https://www.codechef.com/problems/XJPJKI01")</f>
        <v>https://www.codechef.com/problems/XJPJKI01</v>
      </c>
      <c r="K913" s="15"/>
      <c r="L913" s="15"/>
      <c r="M913" s="15"/>
      <c r="N913" s="15" t="s">
        <v>50</v>
      </c>
      <c r="O913" s="15" t="s">
        <v>51</v>
      </c>
    </row>
    <row r="914" spans="1:15">
      <c r="A914" s="14" t="s">
        <v>14</v>
      </c>
      <c r="B914" s="14" t="s">
        <v>9108</v>
      </c>
      <c r="C914" s="14" t="s">
        <v>9109</v>
      </c>
      <c r="D914" s="14" t="s">
        <v>9143</v>
      </c>
      <c r="E914" s="14">
        <v>17</v>
      </c>
      <c r="F914" s="14" t="s">
        <v>9148</v>
      </c>
      <c r="G914" s="14" t="s">
        <v>9149</v>
      </c>
      <c r="H914" s="14"/>
      <c r="I914" s="14" t="s">
        <v>49</v>
      </c>
      <c r="J914" s="11" t="str">
        <f>HYPERLINK("https://www.codechef.com/problems/XJPJKI02", "https://www.codechef.com/problems/XJPJKI02")</f>
        <v>https://www.codechef.com/problems/XJPJKI02</v>
      </c>
      <c r="K914" s="14"/>
      <c r="L914" s="14"/>
      <c r="M914" s="14"/>
      <c r="N914" s="14" t="s">
        <v>50</v>
      </c>
      <c r="O914" s="14" t="s">
        <v>51</v>
      </c>
    </row>
    <row r="915" spans="1:15">
      <c r="A915" s="15" t="s">
        <v>14</v>
      </c>
      <c r="B915" s="15" t="s">
        <v>9108</v>
      </c>
      <c r="C915" s="15" t="s">
        <v>9109</v>
      </c>
      <c r="D915" s="15" t="s">
        <v>9150</v>
      </c>
      <c r="E915" s="15">
        <v>18</v>
      </c>
      <c r="F915" s="15" t="s">
        <v>9151</v>
      </c>
      <c r="G915" s="15" t="s">
        <v>9152</v>
      </c>
      <c r="H915" s="15"/>
      <c r="I915" s="15" t="s">
        <v>49</v>
      </c>
      <c r="J915" s="7" t="str">
        <f>HYPERLINK("https://www.codechef.com/problems/CAICFV03", "https://www.codechef.com/problems/CAICFV03")</f>
        <v>https://www.codechef.com/problems/CAICFV03</v>
      </c>
      <c r="K915" s="15"/>
      <c r="L915" s="15"/>
      <c r="M915" s="15"/>
      <c r="N915" s="15" t="s">
        <v>50</v>
      </c>
      <c r="O915" s="15" t="s">
        <v>51</v>
      </c>
    </row>
    <row r="916" spans="1:15">
      <c r="A916" s="14" t="s">
        <v>14</v>
      </c>
      <c r="B916" s="14" t="s">
        <v>9108</v>
      </c>
      <c r="C916" s="14" t="s">
        <v>9109</v>
      </c>
      <c r="D916" s="14" t="s">
        <v>9150</v>
      </c>
      <c r="E916" s="14">
        <v>19</v>
      </c>
      <c r="F916" s="14" t="s">
        <v>9153</v>
      </c>
      <c r="G916" s="14" t="s">
        <v>9154</v>
      </c>
      <c r="H916" s="14"/>
      <c r="I916" s="14" t="s">
        <v>49</v>
      </c>
      <c r="J916" s="11" t="str">
        <f>HYPERLINK("https://www.codechef.com/problems/CAICFV01", "https://www.codechef.com/problems/CAICFV01")</f>
        <v>https://www.codechef.com/problems/CAICFV01</v>
      </c>
      <c r="K916" s="14"/>
      <c r="L916" s="14"/>
      <c r="M916" s="14"/>
      <c r="N916" s="14" t="s">
        <v>50</v>
      </c>
      <c r="O916" s="14" t="s">
        <v>51</v>
      </c>
    </row>
    <row r="917" spans="1:15">
      <c r="A917" s="15" t="s">
        <v>14</v>
      </c>
      <c r="B917" s="15" t="s">
        <v>9108</v>
      </c>
      <c r="C917" s="15" t="s">
        <v>9109</v>
      </c>
      <c r="D917" s="15" t="s">
        <v>9150</v>
      </c>
      <c r="E917" s="15">
        <v>20</v>
      </c>
      <c r="F917" s="15" t="s">
        <v>9155</v>
      </c>
      <c r="G917" s="15" t="s">
        <v>9156</v>
      </c>
      <c r="H917" s="15"/>
      <c r="I917" s="15" t="s">
        <v>49</v>
      </c>
      <c r="J917" s="7" t="str">
        <f>HYPERLINK("https://www.codechef.com/problems/CAICFV02", "https://www.codechef.com/problems/CAICFV02")</f>
        <v>https://www.codechef.com/problems/CAICFV02</v>
      </c>
      <c r="K917" s="15"/>
      <c r="L917" s="15"/>
      <c r="M917" s="15"/>
      <c r="N917" s="15" t="s">
        <v>50</v>
      </c>
      <c r="O917" s="15" t="s">
        <v>51</v>
      </c>
    </row>
    <row r="918" spans="1:15">
      <c r="A918" s="14" t="s">
        <v>14</v>
      </c>
      <c r="B918" s="14" t="s">
        <v>9108</v>
      </c>
      <c r="C918" s="14" t="s">
        <v>9109</v>
      </c>
      <c r="D918" s="14" t="s">
        <v>9157</v>
      </c>
      <c r="E918" s="14">
        <v>21</v>
      </c>
      <c r="F918" s="14" t="s">
        <v>9158</v>
      </c>
      <c r="G918" s="14" t="s">
        <v>9159</v>
      </c>
      <c r="H918" s="14"/>
      <c r="I918" s="14" t="s">
        <v>49</v>
      </c>
      <c r="J918" s="11" t="str">
        <f>HYPERLINK("https://www.codechef.com/problems/JDAELJ03", "https://www.codechef.com/problems/JDAELJ03")</f>
        <v>https://www.codechef.com/problems/JDAELJ03</v>
      </c>
      <c r="K918" s="14"/>
      <c r="L918" s="14"/>
      <c r="M918" s="14"/>
      <c r="N918" s="14" t="s">
        <v>50</v>
      </c>
      <c r="O918" s="14" t="s">
        <v>51</v>
      </c>
    </row>
    <row r="919" spans="1:15">
      <c r="A919" s="15" t="s">
        <v>14</v>
      </c>
      <c r="B919" s="15" t="s">
        <v>9108</v>
      </c>
      <c r="C919" s="15" t="s">
        <v>9109</v>
      </c>
      <c r="D919" s="15" t="s">
        <v>9157</v>
      </c>
      <c r="E919" s="15">
        <v>22</v>
      </c>
      <c r="F919" s="15" t="s">
        <v>9160</v>
      </c>
      <c r="G919" s="15" t="s">
        <v>9161</v>
      </c>
      <c r="H919" s="15"/>
      <c r="I919" s="15" t="s">
        <v>49</v>
      </c>
      <c r="J919" s="7" t="str">
        <f>HYPERLINK("https://www.codechef.com/problems/JDAELJ01", "https://www.codechef.com/problems/JDAELJ01")</f>
        <v>https://www.codechef.com/problems/JDAELJ01</v>
      </c>
      <c r="K919" s="15"/>
      <c r="L919" s="15"/>
      <c r="M919" s="15"/>
      <c r="N919" s="15" t="s">
        <v>50</v>
      </c>
      <c r="O919" s="15" t="s">
        <v>51</v>
      </c>
    </row>
    <row r="920" spans="1:15">
      <c r="A920" s="14" t="s">
        <v>14</v>
      </c>
      <c r="B920" s="14" t="s">
        <v>9108</v>
      </c>
      <c r="C920" s="14" t="s">
        <v>9109</v>
      </c>
      <c r="D920" s="14" t="s">
        <v>9157</v>
      </c>
      <c r="E920" s="14">
        <v>23</v>
      </c>
      <c r="F920" s="14" t="s">
        <v>9162</v>
      </c>
      <c r="G920" s="14" t="s">
        <v>9163</v>
      </c>
      <c r="H920" s="14"/>
      <c r="I920" s="14" t="s">
        <v>49</v>
      </c>
      <c r="J920" s="11" t="str">
        <f>HYPERLINK("https://www.codechef.com/problems/JDAELJ02", "https://www.codechef.com/problems/JDAELJ02")</f>
        <v>https://www.codechef.com/problems/JDAELJ02</v>
      </c>
      <c r="K920" s="14"/>
      <c r="L920" s="14"/>
      <c r="M920" s="14"/>
      <c r="N920" s="14" t="s">
        <v>50</v>
      </c>
      <c r="O920" s="14" t="s">
        <v>51</v>
      </c>
    </row>
    <row r="921" spans="1:15">
      <c r="A921" s="15" t="s">
        <v>14</v>
      </c>
      <c r="B921" s="15" t="s">
        <v>9108</v>
      </c>
      <c r="C921" s="15" t="s">
        <v>9109</v>
      </c>
      <c r="D921" s="15" t="s">
        <v>9164</v>
      </c>
      <c r="E921" s="15">
        <v>24</v>
      </c>
      <c r="F921" s="15" t="s">
        <v>9165</v>
      </c>
      <c r="G921" s="15" t="s">
        <v>9166</v>
      </c>
      <c r="H921" s="15"/>
      <c r="I921" s="15" t="s">
        <v>49</v>
      </c>
      <c r="J921" s="7" t="str">
        <f>HYPERLINK("https://www.codechef.com/problems/GKLGAP03", "https://www.codechef.com/problems/GKLGAP03")</f>
        <v>https://www.codechef.com/problems/GKLGAP03</v>
      </c>
      <c r="K921" s="15"/>
      <c r="L921" s="15"/>
      <c r="M921" s="15"/>
      <c r="N921" s="15" t="s">
        <v>50</v>
      </c>
      <c r="O921" s="15" t="s">
        <v>51</v>
      </c>
    </row>
    <row r="922" spans="1:15">
      <c r="A922" s="14" t="s">
        <v>14</v>
      </c>
      <c r="B922" s="14" t="s">
        <v>9108</v>
      </c>
      <c r="C922" s="14" t="s">
        <v>9109</v>
      </c>
      <c r="D922" s="14" t="s">
        <v>9164</v>
      </c>
      <c r="E922" s="14">
        <v>25</v>
      </c>
      <c r="F922" s="14" t="s">
        <v>9167</v>
      </c>
      <c r="G922" s="14" t="s">
        <v>9168</v>
      </c>
      <c r="H922" s="14"/>
      <c r="I922" s="14" t="s">
        <v>49</v>
      </c>
      <c r="J922" s="11" t="str">
        <f>HYPERLINK("https://www.codechef.com/problems/GKLGAP01", "https://www.codechef.com/problems/GKLGAP01")</f>
        <v>https://www.codechef.com/problems/GKLGAP01</v>
      </c>
      <c r="K922" s="14"/>
      <c r="L922" s="14"/>
      <c r="M922" s="14"/>
      <c r="N922" s="14" t="s">
        <v>50</v>
      </c>
      <c r="O922" s="14" t="s">
        <v>51</v>
      </c>
    </row>
    <row r="923" spans="1:15">
      <c r="A923" s="15" t="s">
        <v>14</v>
      </c>
      <c r="B923" s="15" t="s">
        <v>9108</v>
      </c>
      <c r="C923" s="15" t="s">
        <v>9109</v>
      </c>
      <c r="D923" s="15" t="s">
        <v>9164</v>
      </c>
      <c r="E923" s="15">
        <v>26</v>
      </c>
      <c r="F923" s="15" t="s">
        <v>9169</v>
      </c>
      <c r="G923" s="15" t="s">
        <v>9170</v>
      </c>
      <c r="H923" s="15"/>
      <c r="I923" s="15" t="s">
        <v>49</v>
      </c>
      <c r="J923" s="7" t="str">
        <f>HYPERLINK("https://www.codechef.com/problems/GKLGAP02", "https://www.codechef.com/problems/GKLGAP02")</f>
        <v>https://www.codechef.com/problems/GKLGAP02</v>
      </c>
      <c r="K923" s="15"/>
      <c r="L923" s="15"/>
      <c r="M923" s="15"/>
      <c r="N923" s="15" t="s">
        <v>50</v>
      </c>
      <c r="O923" s="15" t="s">
        <v>51</v>
      </c>
    </row>
    <row r="924" spans="1:15">
      <c r="A924" s="14" t="s">
        <v>14</v>
      </c>
      <c r="B924" s="14" t="s">
        <v>9108</v>
      </c>
      <c r="C924" s="14" t="s">
        <v>9109</v>
      </c>
      <c r="D924" s="14" t="s">
        <v>9171</v>
      </c>
      <c r="E924" s="14">
        <v>27</v>
      </c>
      <c r="F924" s="14" t="s">
        <v>9172</v>
      </c>
      <c r="G924" s="14" t="s">
        <v>9173</v>
      </c>
      <c r="H924" s="14"/>
      <c r="I924" s="14" t="s">
        <v>96</v>
      </c>
      <c r="J924" s="11" t="str">
        <f>HYPERLINK("https://www.codechef.com/problems/LWEECH03", "https://www.codechef.com/problems/LWEECH03")</f>
        <v>https://www.codechef.com/problems/LWEECH03</v>
      </c>
      <c r="K924" s="14"/>
      <c r="L924" s="14"/>
      <c r="M924" s="14"/>
      <c r="N924" s="14" t="s">
        <v>50</v>
      </c>
      <c r="O924" s="14" t="s">
        <v>51</v>
      </c>
    </row>
    <row r="925" spans="1:15">
      <c r="A925" s="15" t="s">
        <v>14</v>
      </c>
      <c r="B925" s="15" t="s">
        <v>9108</v>
      </c>
      <c r="C925" s="15" t="s">
        <v>9109</v>
      </c>
      <c r="D925" s="15" t="s">
        <v>9171</v>
      </c>
      <c r="E925" s="15">
        <v>28</v>
      </c>
      <c r="F925" s="15" t="s">
        <v>9174</v>
      </c>
      <c r="G925" s="15" t="s">
        <v>9175</v>
      </c>
      <c r="H925" s="15"/>
      <c r="I925" s="15" t="s">
        <v>96</v>
      </c>
      <c r="J925" s="7" t="str">
        <f>HYPERLINK("https://www.codechef.com/problems/LWEECH01", "https://www.codechef.com/problems/LWEECH01")</f>
        <v>https://www.codechef.com/problems/LWEECH01</v>
      </c>
      <c r="K925" s="15"/>
      <c r="L925" s="15"/>
      <c r="M925" s="15"/>
      <c r="N925" s="15" t="s">
        <v>50</v>
      </c>
      <c r="O925" s="15" t="s">
        <v>51</v>
      </c>
    </row>
    <row r="926" spans="1:15">
      <c r="A926" s="14" t="s">
        <v>14</v>
      </c>
      <c r="B926" s="14" t="s">
        <v>9108</v>
      </c>
      <c r="C926" s="14" t="s">
        <v>9109</v>
      </c>
      <c r="D926" s="14" t="s">
        <v>9171</v>
      </c>
      <c r="E926" s="14">
        <v>29</v>
      </c>
      <c r="F926" s="14" t="s">
        <v>9176</v>
      </c>
      <c r="G926" s="14" t="s">
        <v>9177</v>
      </c>
      <c r="H926" s="14"/>
      <c r="I926" s="14" t="s">
        <v>96</v>
      </c>
      <c r="J926" s="11" t="str">
        <f>HYPERLINK("https://www.codechef.com/problems/LWEECH02", "https://www.codechef.com/problems/LWEECH02")</f>
        <v>https://www.codechef.com/problems/LWEECH02</v>
      </c>
      <c r="K926" s="14"/>
      <c r="L926" s="14"/>
      <c r="M926" s="14"/>
      <c r="N926" s="14" t="s">
        <v>50</v>
      </c>
      <c r="O926" s="14" t="s">
        <v>51</v>
      </c>
    </row>
    <row r="927" spans="1:15">
      <c r="A927" s="15" t="s">
        <v>14</v>
      </c>
      <c r="B927" s="15" t="s">
        <v>9108</v>
      </c>
      <c r="C927" s="15" t="s">
        <v>9109</v>
      </c>
      <c r="D927" s="15" t="s">
        <v>9178</v>
      </c>
      <c r="E927" s="15">
        <v>30</v>
      </c>
      <c r="F927" s="15" t="s">
        <v>9179</v>
      </c>
      <c r="G927" s="15" t="s">
        <v>9180</v>
      </c>
      <c r="H927" s="15"/>
      <c r="I927" s="15" t="s">
        <v>49</v>
      </c>
      <c r="J927" s="7" t="str">
        <f>HYPERLINK("https://www.codechef.com/problems/JTGJPW03", "https://www.codechef.com/problems/JTGJPW03")</f>
        <v>https://www.codechef.com/problems/JTGJPW03</v>
      </c>
      <c r="K927" s="15"/>
      <c r="L927" s="15"/>
      <c r="M927" s="15"/>
      <c r="N927" s="15" t="s">
        <v>50</v>
      </c>
      <c r="O927" s="15" t="s">
        <v>51</v>
      </c>
    </row>
    <row r="928" spans="1:15">
      <c r="A928" s="14" t="s">
        <v>14</v>
      </c>
      <c r="B928" s="14" t="s">
        <v>9108</v>
      </c>
      <c r="C928" s="14" t="s">
        <v>9109</v>
      </c>
      <c r="D928" s="14" t="s">
        <v>9178</v>
      </c>
      <c r="E928" s="14">
        <v>31</v>
      </c>
      <c r="F928" s="14" t="s">
        <v>9181</v>
      </c>
      <c r="G928" s="14" t="s">
        <v>9182</v>
      </c>
      <c r="H928" s="14"/>
      <c r="I928" s="14" t="s">
        <v>49</v>
      </c>
      <c r="J928" s="11" t="str">
        <f>HYPERLINK("https://www.codechef.com/problems/JTGJPW01", "https://www.codechef.com/problems/JTGJPW01")</f>
        <v>https://www.codechef.com/problems/JTGJPW01</v>
      </c>
      <c r="K928" s="14"/>
      <c r="L928" s="14"/>
      <c r="M928" s="14"/>
      <c r="N928" s="14" t="s">
        <v>50</v>
      </c>
      <c r="O928" s="14" t="s">
        <v>51</v>
      </c>
    </row>
    <row r="929" spans="1:15">
      <c r="A929" s="15" t="s">
        <v>14</v>
      </c>
      <c r="B929" s="15" t="s">
        <v>9108</v>
      </c>
      <c r="C929" s="15" t="s">
        <v>9109</v>
      </c>
      <c r="D929" s="15" t="s">
        <v>9178</v>
      </c>
      <c r="E929" s="15">
        <v>32</v>
      </c>
      <c r="F929" s="15" t="s">
        <v>9183</v>
      </c>
      <c r="G929" s="15" t="s">
        <v>9184</v>
      </c>
      <c r="H929" s="15"/>
      <c r="I929" s="15" t="s">
        <v>49</v>
      </c>
      <c r="J929" s="7" t="str">
        <f>HYPERLINK("https://www.codechef.com/problems/JTGJPW02", "https://www.codechef.com/problems/JTGJPW02")</f>
        <v>https://www.codechef.com/problems/JTGJPW02</v>
      </c>
      <c r="K929" s="15"/>
      <c r="L929" s="15"/>
      <c r="M929" s="15"/>
      <c r="N929" s="15" t="s">
        <v>50</v>
      </c>
      <c r="O929" s="15" t="s">
        <v>51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dimension ref="A1:O591"/>
  <sheetViews>
    <sheetView workbookViewId="0"/>
  </sheetViews>
  <sheetFormatPr defaultRowHeight="14.5"/>
  <cols>
    <col min="1" max="1" width="26" customWidth="1"/>
    <col min="2" max="2" width="47" customWidth="1"/>
    <col min="3" max="3" width="182" customWidth="1"/>
    <col min="4" max="4" width="74" customWidth="1"/>
    <col min="5" max="5" width="16" customWidth="1"/>
    <col min="6" max="6" width="53" customWidth="1"/>
    <col min="7" max="7" width="15" customWidth="1"/>
    <col min="8" max="8" width="20" customWidth="1"/>
    <col min="9" max="9" width="19" customWidth="1"/>
    <col min="10" max="10" width="15" customWidth="1"/>
    <col min="11" max="11" width="17" customWidth="1"/>
    <col min="12" max="12" width="34" customWidth="1"/>
    <col min="13"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15</v>
      </c>
      <c r="B2" s="14" t="s">
        <v>9185</v>
      </c>
      <c r="C2" s="14" t="s">
        <v>9186</v>
      </c>
      <c r="D2" s="14" t="s">
        <v>9187</v>
      </c>
      <c r="E2" s="14">
        <v>1</v>
      </c>
      <c r="F2" s="14" t="s">
        <v>6095</v>
      </c>
      <c r="G2" s="14" t="s">
        <v>6096</v>
      </c>
      <c r="H2" s="14"/>
      <c r="I2" s="14" t="s">
        <v>96</v>
      </c>
      <c r="J2" s="11" t="str">
        <f>HYPERLINK("https://www.codechef.com/problems/JUMPEND", "https://www.codechef.com/problems/JUMPEND")</f>
        <v>https://www.codechef.com/problems/JUMPEND</v>
      </c>
      <c r="K2" s="14"/>
      <c r="L2" s="14"/>
      <c r="M2" s="14"/>
      <c r="N2" s="14" t="s">
        <v>50</v>
      </c>
      <c r="O2" s="14" t="s">
        <v>51</v>
      </c>
    </row>
    <row r="3" spans="1:15">
      <c r="A3" s="15" t="s">
        <v>15</v>
      </c>
      <c r="B3" s="15" t="s">
        <v>9185</v>
      </c>
      <c r="C3" s="15" t="s">
        <v>9186</v>
      </c>
      <c r="D3" s="15" t="s">
        <v>9187</v>
      </c>
      <c r="E3" s="15">
        <v>2</v>
      </c>
      <c r="F3" s="15" t="s">
        <v>378</v>
      </c>
      <c r="G3" s="15" t="s">
        <v>379</v>
      </c>
      <c r="H3" s="15" t="s">
        <v>380</v>
      </c>
      <c r="I3" s="15" t="s">
        <v>49</v>
      </c>
      <c r="J3" s="7" t="str">
        <f>HYPERLINK("https://www.codechef.com/problems/NEC", "https://www.codechef.com/problems/NEC")</f>
        <v>https://www.codechef.com/problems/NEC</v>
      </c>
      <c r="K3" s="15"/>
      <c r="L3" s="15"/>
      <c r="M3" s="15"/>
      <c r="N3" s="15" t="s">
        <v>50</v>
      </c>
      <c r="O3" s="15" t="s">
        <v>51</v>
      </c>
    </row>
    <row r="4" spans="1:15">
      <c r="A4" s="14" t="s">
        <v>15</v>
      </c>
      <c r="B4" s="14" t="s">
        <v>9185</v>
      </c>
      <c r="C4" s="14" t="s">
        <v>9186</v>
      </c>
      <c r="D4" s="14" t="s">
        <v>9187</v>
      </c>
      <c r="E4" s="14">
        <v>3</v>
      </c>
      <c r="F4" s="14" t="s">
        <v>393</v>
      </c>
      <c r="G4" s="14" t="s">
        <v>394</v>
      </c>
      <c r="H4" s="14" t="s">
        <v>340</v>
      </c>
      <c r="I4" s="14" t="s">
        <v>96</v>
      </c>
      <c r="J4" s="11" t="str">
        <f>HYPERLINK("https://www.codechef.com/problems/STKSORT", "https://www.codechef.com/problems/STKSORT")</f>
        <v>https://www.codechef.com/problems/STKSORT</v>
      </c>
      <c r="K4" s="14"/>
      <c r="L4" s="14"/>
      <c r="M4" s="14"/>
      <c r="N4" s="14" t="s">
        <v>50</v>
      </c>
      <c r="O4" s="14" t="s">
        <v>51</v>
      </c>
    </row>
    <row r="5" spans="1:15">
      <c r="A5" s="15" t="s">
        <v>15</v>
      </c>
      <c r="B5" s="15" t="s">
        <v>9185</v>
      </c>
      <c r="C5" s="15" t="s">
        <v>9186</v>
      </c>
      <c r="D5" s="15" t="s">
        <v>9187</v>
      </c>
      <c r="E5" s="15">
        <v>4</v>
      </c>
      <c r="F5" s="15" t="s">
        <v>6139</v>
      </c>
      <c r="G5" s="15" t="s">
        <v>6140</v>
      </c>
      <c r="H5" s="15"/>
      <c r="I5" s="15" t="s">
        <v>96</v>
      </c>
      <c r="J5" s="7" t="str">
        <f>HYPERLINK("https://www.codechef.com/problems/PAL_STRING", "https://www.codechef.com/problems/PAL_STRING")</f>
        <v>https://www.codechef.com/problems/PAL_STRING</v>
      </c>
      <c r="K5" s="15"/>
      <c r="L5" s="15"/>
      <c r="M5" s="15"/>
      <c r="N5" s="15" t="s">
        <v>50</v>
      </c>
      <c r="O5" s="15" t="s">
        <v>51</v>
      </c>
    </row>
    <row r="6" spans="1:15">
      <c r="A6" s="14" t="s">
        <v>15</v>
      </c>
      <c r="B6" s="14" t="s">
        <v>9185</v>
      </c>
      <c r="C6" s="14" t="s">
        <v>9186</v>
      </c>
      <c r="D6" s="14" t="s">
        <v>9187</v>
      </c>
      <c r="E6" s="14">
        <v>5</v>
      </c>
      <c r="F6" s="14" t="s">
        <v>341</v>
      </c>
      <c r="G6" s="14" t="s">
        <v>342</v>
      </c>
      <c r="H6" s="14" t="s">
        <v>343</v>
      </c>
      <c r="I6" s="14" t="s">
        <v>96</v>
      </c>
      <c r="J6" s="11" t="str">
        <f>HYPERLINK("https://www.codechef.com/problems/REVSEG", "https://www.codechef.com/problems/REVSEG")</f>
        <v>https://www.codechef.com/problems/REVSEG</v>
      </c>
      <c r="K6" s="14"/>
      <c r="L6" s="14"/>
      <c r="M6" s="14"/>
      <c r="N6" s="14" t="s">
        <v>50</v>
      </c>
      <c r="O6" s="14" t="s">
        <v>51</v>
      </c>
    </row>
    <row r="7" spans="1:15">
      <c r="A7" s="15" t="s">
        <v>15</v>
      </c>
      <c r="B7" s="15" t="s">
        <v>9185</v>
      </c>
      <c r="C7" s="15" t="s">
        <v>9186</v>
      </c>
      <c r="D7" s="15" t="s">
        <v>9187</v>
      </c>
      <c r="E7" s="15">
        <v>6</v>
      </c>
      <c r="F7" s="15" t="s">
        <v>6135</v>
      </c>
      <c r="G7" s="15" t="s">
        <v>6136</v>
      </c>
      <c r="H7" s="15"/>
      <c r="I7" s="15" t="s">
        <v>96</v>
      </c>
      <c r="J7" s="7" t="str">
        <f>HYPERLINK("https://www.codechef.com/problems/PATSEARCH", "https://www.codechef.com/problems/PATSEARCH")</f>
        <v>https://www.codechef.com/problems/PATSEARCH</v>
      </c>
      <c r="K7" s="15"/>
      <c r="L7" s="15"/>
      <c r="M7" s="15"/>
      <c r="N7" s="15" t="s">
        <v>50</v>
      </c>
      <c r="O7" s="15" t="s">
        <v>51</v>
      </c>
    </row>
    <row r="8" spans="1:15">
      <c r="A8" s="14" t="s">
        <v>15</v>
      </c>
      <c r="B8" s="14" t="s">
        <v>9185</v>
      </c>
      <c r="C8" s="14" t="s">
        <v>9186</v>
      </c>
      <c r="D8" s="14" t="s">
        <v>9187</v>
      </c>
      <c r="E8" s="14">
        <v>7</v>
      </c>
      <c r="F8" s="14" t="s">
        <v>355</v>
      </c>
      <c r="G8" s="14" t="s">
        <v>356</v>
      </c>
      <c r="H8" s="14" t="s">
        <v>348</v>
      </c>
      <c r="I8" s="14" t="s">
        <v>96</v>
      </c>
      <c r="J8" s="11" t="str">
        <f>HYPERLINK("https://www.codechef.com/problems/KGRPREV", "https://www.codechef.com/problems/KGRPREV")</f>
        <v>https://www.codechef.com/problems/KGRPREV</v>
      </c>
      <c r="K8" s="14"/>
      <c r="L8" s="14"/>
      <c r="M8" s="14"/>
      <c r="N8" s="14" t="s">
        <v>50</v>
      </c>
      <c r="O8" s="14" t="s">
        <v>51</v>
      </c>
    </row>
    <row r="9" spans="1:15">
      <c r="A9" s="15" t="s">
        <v>15</v>
      </c>
      <c r="B9" s="15" t="s">
        <v>9185</v>
      </c>
      <c r="C9" s="15" t="s">
        <v>9186</v>
      </c>
      <c r="D9" s="15" t="s">
        <v>9187</v>
      </c>
      <c r="E9" s="15">
        <v>8</v>
      </c>
      <c r="F9" s="15" t="s">
        <v>6216</v>
      </c>
      <c r="G9" s="15" t="s">
        <v>6217</v>
      </c>
      <c r="H9" s="15"/>
      <c r="I9" s="15" t="s">
        <v>96</v>
      </c>
      <c r="J9" s="7" t="str">
        <f>HYPERLINK("https://www.codechef.com/problems/RECTREE", "https://www.codechef.com/problems/RECTREE")</f>
        <v>https://www.codechef.com/problems/RECTREE</v>
      </c>
      <c r="K9" s="15"/>
      <c r="L9" s="15"/>
      <c r="M9" s="15"/>
      <c r="N9" s="15" t="s">
        <v>50</v>
      </c>
      <c r="O9" s="15" t="s">
        <v>51</v>
      </c>
    </row>
    <row r="10" spans="1:15">
      <c r="A10" s="14" t="s">
        <v>15</v>
      </c>
      <c r="B10" s="14" t="s">
        <v>9185</v>
      </c>
      <c r="C10" s="14" t="s">
        <v>9186</v>
      </c>
      <c r="D10" s="14" t="s">
        <v>9187</v>
      </c>
      <c r="E10" s="14">
        <v>9</v>
      </c>
      <c r="F10" s="14" t="s">
        <v>6214</v>
      </c>
      <c r="G10" s="14" t="s">
        <v>6215</v>
      </c>
      <c r="H10" s="14"/>
      <c r="I10" s="14" t="s">
        <v>96</v>
      </c>
      <c r="J10" s="11" t="str">
        <f>HYPERLINK("https://www.codechef.com/problems/SUBTCH", "https://www.codechef.com/problems/SUBTCH")</f>
        <v>https://www.codechef.com/problems/SUBTCH</v>
      </c>
      <c r="K10" s="14"/>
      <c r="L10" s="14"/>
      <c r="M10" s="14"/>
      <c r="N10" s="14" t="s">
        <v>50</v>
      </c>
      <c r="O10" s="14" t="s">
        <v>51</v>
      </c>
    </row>
    <row r="11" spans="1:15">
      <c r="A11" s="15" t="s">
        <v>15</v>
      </c>
      <c r="B11" s="15" t="s">
        <v>9185</v>
      </c>
      <c r="C11" s="15" t="s">
        <v>9186</v>
      </c>
      <c r="D11" s="15" t="s">
        <v>9187</v>
      </c>
      <c r="E11" s="15">
        <v>10</v>
      </c>
      <c r="F11" s="15" t="s">
        <v>351</v>
      </c>
      <c r="G11" s="15" t="s">
        <v>352</v>
      </c>
      <c r="H11" s="15" t="s">
        <v>348</v>
      </c>
      <c r="I11" s="15" t="s">
        <v>96</v>
      </c>
      <c r="J11" s="7" t="str">
        <f>HYPERLINK("https://www.codechef.com/problems/STRANGELIST", "https://www.codechef.com/problems/STRANGELIST")</f>
        <v>https://www.codechef.com/problems/STRANGELIST</v>
      </c>
      <c r="K11" s="15"/>
      <c r="L11" s="15"/>
      <c r="M11" s="15"/>
      <c r="N11" s="15" t="s">
        <v>50</v>
      </c>
      <c r="O11" s="15" t="s">
        <v>51</v>
      </c>
    </row>
    <row r="12" spans="1:15">
      <c r="A12" s="14" t="s">
        <v>15</v>
      </c>
      <c r="B12" s="14" t="s">
        <v>9185</v>
      </c>
      <c r="C12" s="14" t="s">
        <v>9186</v>
      </c>
      <c r="D12" s="14" t="s">
        <v>9187</v>
      </c>
      <c r="E12" s="14">
        <v>11</v>
      </c>
      <c r="F12" s="14" t="s">
        <v>6222</v>
      </c>
      <c r="G12" s="14" t="s">
        <v>6223</v>
      </c>
      <c r="H12" s="14"/>
      <c r="I12" s="14" t="s">
        <v>96</v>
      </c>
      <c r="J12" s="11" t="str">
        <f>HYPERLINK("https://www.codechef.com/problems/LCAN3", "https://www.codechef.com/problems/LCAN3")</f>
        <v>https://www.codechef.com/problems/LCAN3</v>
      </c>
      <c r="K12" s="14"/>
      <c r="L12" s="14"/>
      <c r="M12" s="14"/>
      <c r="N12" s="14" t="s">
        <v>50</v>
      </c>
      <c r="O12" s="14" t="s">
        <v>51</v>
      </c>
    </row>
    <row r="13" spans="1:15">
      <c r="A13" s="15" t="s">
        <v>15</v>
      </c>
      <c r="B13" s="15" t="s">
        <v>9185</v>
      </c>
      <c r="C13" s="15" t="s">
        <v>9186</v>
      </c>
      <c r="D13" s="15" t="s">
        <v>9187</v>
      </c>
      <c r="E13" s="15">
        <v>12</v>
      </c>
      <c r="F13" s="15" t="s">
        <v>338</v>
      </c>
      <c r="G13" s="15" t="s">
        <v>339</v>
      </c>
      <c r="H13" s="15" t="s">
        <v>340</v>
      </c>
      <c r="I13" s="15" t="s">
        <v>96</v>
      </c>
      <c r="J13" s="7" t="str">
        <f>HYPERLINK("https://www.codechef.com/problems/RTLL", "https://www.codechef.com/problems/RTLL")</f>
        <v>https://www.codechef.com/problems/RTLL</v>
      </c>
      <c r="K13" s="15"/>
      <c r="L13" s="15"/>
      <c r="M13" s="15"/>
      <c r="N13" s="15" t="s">
        <v>50</v>
      </c>
      <c r="O13" s="15" t="s">
        <v>51</v>
      </c>
    </row>
    <row r="14" spans="1:15">
      <c r="A14" s="14" t="s">
        <v>15</v>
      </c>
      <c r="B14" s="14" t="s">
        <v>9185</v>
      </c>
      <c r="C14" s="14" t="s">
        <v>9186</v>
      </c>
      <c r="D14" s="14" t="s">
        <v>9187</v>
      </c>
      <c r="E14" s="14">
        <v>13</v>
      </c>
      <c r="F14" s="14" t="s">
        <v>325</v>
      </c>
      <c r="G14" s="14" t="s">
        <v>326</v>
      </c>
      <c r="H14" s="14" t="s">
        <v>327</v>
      </c>
      <c r="I14" s="14" t="s">
        <v>49</v>
      </c>
      <c r="J14" s="11" t="str">
        <f>HYPERLINK("https://www.codechef.com/problems/LINKLP", "https://www.codechef.com/problems/LINKLP")</f>
        <v>https://www.codechef.com/problems/LINKLP</v>
      </c>
      <c r="K14" s="14"/>
      <c r="L14" s="14"/>
      <c r="M14" s="14"/>
      <c r="N14" s="14" t="s">
        <v>50</v>
      </c>
      <c r="O14" s="14" t="s">
        <v>51</v>
      </c>
    </row>
    <row r="15" spans="1:15">
      <c r="A15" s="15" t="s">
        <v>15</v>
      </c>
      <c r="B15" s="15" t="s">
        <v>9185</v>
      </c>
      <c r="C15" s="15" t="s">
        <v>9186</v>
      </c>
      <c r="D15" s="15" t="s">
        <v>9187</v>
      </c>
      <c r="E15" s="15">
        <v>14</v>
      </c>
      <c r="F15" s="15" t="s">
        <v>332</v>
      </c>
      <c r="G15" s="15" t="s">
        <v>333</v>
      </c>
      <c r="H15" s="15" t="s">
        <v>327</v>
      </c>
      <c r="I15" s="15" t="s">
        <v>49</v>
      </c>
      <c r="J15" s="7" t="str">
        <f>HYPERLINK("https://www.codechef.com/problems/SEGEO", "https://www.codechef.com/problems/SEGEO")</f>
        <v>https://www.codechef.com/problems/SEGEO</v>
      </c>
      <c r="K15" s="15"/>
      <c r="L15" s="15"/>
      <c r="M15" s="15"/>
      <c r="N15" s="15" t="s">
        <v>50</v>
      </c>
      <c r="O15" s="15" t="s">
        <v>51</v>
      </c>
    </row>
    <row r="16" spans="1:15">
      <c r="A16" s="14" t="s">
        <v>15</v>
      </c>
      <c r="B16" s="14" t="s">
        <v>9185</v>
      </c>
      <c r="C16" s="14" t="s">
        <v>9186</v>
      </c>
      <c r="D16" s="14" t="s">
        <v>9187</v>
      </c>
      <c r="E16" s="14">
        <v>15</v>
      </c>
      <c r="F16" s="14" t="s">
        <v>163</v>
      </c>
      <c r="G16" s="14" t="s">
        <v>164</v>
      </c>
      <c r="H16" s="14"/>
      <c r="I16" s="14" t="s">
        <v>96</v>
      </c>
      <c r="J16" s="11" t="str">
        <f>HYPERLINK("https://www.codechef.com/problems/PREP01", "https://www.codechef.com/problems/PREP01")</f>
        <v>https://www.codechef.com/problems/PREP01</v>
      </c>
      <c r="K16" s="14"/>
      <c r="L16" s="14"/>
      <c r="M16" s="14"/>
      <c r="N16" s="14" t="s">
        <v>50</v>
      </c>
      <c r="O16" s="14" t="s">
        <v>51</v>
      </c>
    </row>
    <row r="17" spans="1:15">
      <c r="A17" s="15" t="s">
        <v>15</v>
      </c>
      <c r="B17" s="15" t="s">
        <v>9185</v>
      </c>
      <c r="C17" s="15" t="s">
        <v>9186</v>
      </c>
      <c r="D17" s="15" t="s">
        <v>9187</v>
      </c>
      <c r="E17" s="15">
        <v>16</v>
      </c>
      <c r="F17" s="15" t="s">
        <v>407</v>
      </c>
      <c r="G17" s="15" t="s">
        <v>408</v>
      </c>
      <c r="H17" s="15" t="s">
        <v>348</v>
      </c>
      <c r="I17" s="15" t="s">
        <v>96</v>
      </c>
      <c r="J17" s="7" t="str">
        <f>HYPERLINK("https://www.codechef.com/problems/PREP23", "https://www.codechef.com/problems/PREP23")</f>
        <v>https://www.codechef.com/problems/PREP23</v>
      </c>
      <c r="K17" s="15"/>
      <c r="L17" s="15"/>
      <c r="M17" s="15"/>
      <c r="N17" s="15" t="s">
        <v>50</v>
      </c>
      <c r="O17" s="15" t="s">
        <v>51</v>
      </c>
    </row>
    <row r="18" spans="1:15">
      <c r="A18" s="14" t="s">
        <v>15</v>
      </c>
      <c r="B18" s="14" t="s">
        <v>9185</v>
      </c>
      <c r="C18" s="14" t="s">
        <v>9186</v>
      </c>
      <c r="D18" s="14" t="s">
        <v>9187</v>
      </c>
      <c r="E18" s="14">
        <v>17</v>
      </c>
      <c r="F18" s="14" t="s">
        <v>6249</v>
      </c>
      <c r="G18" s="14" t="s">
        <v>6250</v>
      </c>
      <c r="H18" s="14"/>
      <c r="I18" s="14" t="s">
        <v>96</v>
      </c>
      <c r="J18" s="11" t="str">
        <f>HYPERLINK("https://www.codechef.com/problems/PREP32", "https://www.codechef.com/problems/PREP32")</f>
        <v>https://www.codechef.com/problems/PREP32</v>
      </c>
      <c r="K18" s="14"/>
      <c r="L18" s="14"/>
      <c r="M18" s="14"/>
      <c r="N18" s="14" t="s">
        <v>50</v>
      </c>
      <c r="O18" s="14" t="s">
        <v>51</v>
      </c>
    </row>
    <row r="19" spans="1:15">
      <c r="A19" s="15" t="s">
        <v>15</v>
      </c>
      <c r="B19" s="15" t="s">
        <v>9185</v>
      </c>
      <c r="C19" s="15" t="s">
        <v>9186</v>
      </c>
      <c r="D19" s="15" t="s">
        <v>9187</v>
      </c>
      <c r="E19" s="15">
        <v>18</v>
      </c>
      <c r="F19" s="15" t="s">
        <v>953</v>
      </c>
      <c r="G19" s="15" t="s">
        <v>954</v>
      </c>
      <c r="H19" s="15"/>
      <c r="I19" s="15" t="s">
        <v>96</v>
      </c>
      <c r="J19" s="7" t="str">
        <f>HYPERLINK("https://www.codechef.com/problems/PREP27", "https://www.codechef.com/problems/PREP27")</f>
        <v>https://www.codechef.com/problems/PREP27</v>
      </c>
      <c r="K19" s="15"/>
      <c r="L19" s="15"/>
      <c r="M19" s="15"/>
      <c r="N19" s="15" t="s">
        <v>50</v>
      </c>
      <c r="O19" s="15" t="s">
        <v>51</v>
      </c>
    </row>
    <row r="20" spans="1:15">
      <c r="A20" s="14" t="s">
        <v>15</v>
      </c>
      <c r="B20" s="14" t="s">
        <v>9185</v>
      </c>
      <c r="C20" s="14" t="s">
        <v>9186</v>
      </c>
      <c r="D20" s="14" t="s">
        <v>9187</v>
      </c>
      <c r="E20" s="14">
        <v>19</v>
      </c>
      <c r="F20" s="14" t="s">
        <v>411</v>
      </c>
      <c r="G20" s="14" t="s">
        <v>412</v>
      </c>
      <c r="H20" s="14" t="s">
        <v>413</v>
      </c>
      <c r="I20" s="14" t="s">
        <v>96</v>
      </c>
      <c r="J20" s="11" t="str">
        <f>HYPERLINK("https://www.codechef.com/problems/PREP22", "https://www.codechef.com/problems/PREP22")</f>
        <v>https://www.codechef.com/problems/PREP22</v>
      </c>
      <c r="K20" s="14"/>
      <c r="L20" s="14" t="s">
        <v>414</v>
      </c>
      <c r="M20" s="14"/>
      <c r="N20" s="14" t="s">
        <v>50</v>
      </c>
      <c r="O20" s="14" t="s">
        <v>51</v>
      </c>
    </row>
    <row r="21" spans="1:15">
      <c r="A21" s="15" t="s">
        <v>15</v>
      </c>
      <c r="B21" s="15" t="s">
        <v>9185</v>
      </c>
      <c r="C21" s="15" t="s">
        <v>9186</v>
      </c>
      <c r="D21" s="15" t="s">
        <v>9187</v>
      </c>
      <c r="E21" s="15">
        <v>20</v>
      </c>
      <c r="F21" s="15" t="s">
        <v>6205</v>
      </c>
      <c r="G21" s="15" t="s">
        <v>6206</v>
      </c>
      <c r="H21" s="15"/>
      <c r="I21" s="15" t="s">
        <v>322</v>
      </c>
      <c r="J21" s="7" t="str">
        <f>HYPERLINK("https://www.codechef.com/problems/PREP36", "https://www.codechef.com/problems/PREP36")</f>
        <v>https://www.codechef.com/problems/PREP36</v>
      </c>
      <c r="K21" s="15"/>
      <c r="L21" s="15"/>
      <c r="M21" s="15"/>
      <c r="N21" s="15" t="s">
        <v>50</v>
      </c>
      <c r="O21" s="15" t="s">
        <v>51</v>
      </c>
    </row>
    <row r="22" spans="1:15">
      <c r="A22" s="14" t="s">
        <v>15</v>
      </c>
      <c r="B22" s="14" t="s">
        <v>9185</v>
      </c>
      <c r="C22" s="14" t="s">
        <v>9186</v>
      </c>
      <c r="D22" s="14" t="s">
        <v>9187</v>
      </c>
      <c r="E22" s="14">
        <v>21</v>
      </c>
      <c r="F22" s="14" t="s">
        <v>396</v>
      </c>
      <c r="G22" s="14" t="s">
        <v>397</v>
      </c>
      <c r="H22" s="14" t="s">
        <v>180</v>
      </c>
      <c r="I22" s="14" t="s">
        <v>49</v>
      </c>
      <c r="J22" s="11" t="str">
        <f>HYPERLINK("https://www.codechef.com/problems/PREP60", "https://www.codechef.com/problems/PREP60")</f>
        <v>https://www.codechef.com/problems/PREP60</v>
      </c>
      <c r="K22" s="14"/>
      <c r="L22" s="14"/>
      <c r="M22" s="14"/>
      <c r="N22" s="14" t="s">
        <v>50</v>
      </c>
      <c r="O22" s="14" t="s">
        <v>51</v>
      </c>
    </row>
    <row r="23" spans="1:15">
      <c r="A23" s="15" t="s">
        <v>15</v>
      </c>
      <c r="B23" s="15" t="s">
        <v>9185</v>
      </c>
      <c r="C23" s="15" t="s">
        <v>9186</v>
      </c>
      <c r="D23" s="15" t="s">
        <v>9187</v>
      </c>
      <c r="E23" s="15">
        <v>22</v>
      </c>
      <c r="F23" s="15" t="s">
        <v>6165</v>
      </c>
      <c r="G23" s="15" t="s">
        <v>6166</v>
      </c>
      <c r="H23" s="15"/>
      <c r="I23" s="15" t="s">
        <v>96</v>
      </c>
      <c r="J23" s="7" t="str">
        <f>HYPERLINK("https://www.codechef.com/problems/PREP54", "https://www.codechef.com/problems/PREP54")</f>
        <v>https://www.codechef.com/problems/PREP54</v>
      </c>
      <c r="K23" s="15"/>
      <c r="L23" s="15"/>
      <c r="M23" s="15"/>
      <c r="N23" s="15" t="s">
        <v>50</v>
      </c>
      <c r="O23" s="15" t="s">
        <v>51</v>
      </c>
    </row>
    <row r="24" spans="1:15">
      <c r="A24" s="14" t="s">
        <v>15</v>
      </c>
      <c r="B24" s="14" t="s">
        <v>9185</v>
      </c>
      <c r="C24" s="14" t="s">
        <v>9186</v>
      </c>
      <c r="D24" s="14" t="s">
        <v>9187</v>
      </c>
      <c r="E24" s="14">
        <v>23</v>
      </c>
      <c r="F24" s="14" t="s">
        <v>310</v>
      </c>
      <c r="G24" s="14" t="s">
        <v>311</v>
      </c>
      <c r="H24" s="14" t="s">
        <v>312</v>
      </c>
      <c r="I24" s="14" t="s">
        <v>49</v>
      </c>
      <c r="J24" s="11" t="str">
        <f>HYPERLINK("https://www.codechef.com/problems/PREP58", "https://www.codechef.com/problems/PREP58")</f>
        <v>https://www.codechef.com/problems/PREP58</v>
      </c>
      <c r="K24" s="14"/>
      <c r="L24" s="14"/>
      <c r="M24" s="14"/>
      <c r="N24" s="14" t="s">
        <v>50</v>
      </c>
      <c r="O24" s="14" t="s">
        <v>51</v>
      </c>
    </row>
    <row r="25" spans="1:15">
      <c r="A25" s="15" t="s">
        <v>15</v>
      </c>
      <c r="B25" s="15" t="s">
        <v>9185</v>
      </c>
      <c r="C25" s="15" t="s">
        <v>9186</v>
      </c>
      <c r="D25" s="15" t="s">
        <v>9187</v>
      </c>
      <c r="E25" s="15">
        <v>24</v>
      </c>
      <c r="F25" s="15" t="s">
        <v>6163</v>
      </c>
      <c r="G25" s="15" t="s">
        <v>6164</v>
      </c>
      <c r="H25" s="15"/>
      <c r="I25" s="15" t="s">
        <v>96</v>
      </c>
      <c r="J25" s="7" t="str">
        <f>HYPERLINK("https://www.codechef.com/problems/PREP57", "https://www.codechef.com/problems/PREP57")</f>
        <v>https://www.codechef.com/problems/PREP57</v>
      </c>
      <c r="K25" s="15"/>
      <c r="L25" s="15"/>
      <c r="M25" s="15"/>
      <c r="N25" s="15" t="s">
        <v>50</v>
      </c>
      <c r="O25" s="15" t="s">
        <v>51</v>
      </c>
    </row>
    <row r="26" spans="1:15">
      <c r="A26" s="14" t="s">
        <v>15</v>
      </c>
      <c r="B26" s="14" t="s">
        <v>9185</v>
      </c>
      <c r="C26" s="14" t="s">
        <v>9186</v>
      </c>
      <c r="D26" s="14" t="s">
        <v>9187</v>
      </c>
      <c r="E26" s="14">
        <v>25</v>
      </c>
      <c r="F26" s="14" t="s">
        <v>943</v>
      </c>
      <c r="G26" s="14" t="s">
        <v>944</v>
      </c>
      <c r="H26" s="14"/>
      <c r="I26" s="14" t="s">
        <v>96</v>
      </c>
      <c r="J26" s="11" t="str">
        <f>HYPERLINK("https://www.codechef.com/problems/PREP51", "https://www.codechef.com/problems/PREP51")</f>
        <v>https://www.codechef.com/problems/PREP51</v>
      </c>
      <c r="K26" s="14"/>
      <c r="L26" s="14" t="s">
        <v>476</v>
      </c>
      <c r="M26" s="14"/>
      <c r="N26" s="14" t="s">
        <v>50</v>
      </c>
      <c r="O26" s="14" t="s">
        <v>51</v>
      </c>
    </row>
    <row r="27" spans="1:15">
      <c r="A27" s="15" t="s">
        <v>15</v>
      </c>
      <c r="B27" s="15" t="s">
        <v>9185</v>
      </c>
      <c r="C27" s="15" t="s">
        <v>9186</v>
      </c>
      <c r="D27" s="15" t="s">
        <v>9187</v>
      </c>
      <c r="E27" s="15">
        <v>26</v>
      </c>
      <c r="F27" s="15" t="s">
        <v>6211</v>
      </c>
      <c r="G27" s="15" t="s">
        <v>6212</v>
      </c>
      <c r="H27" s="15"/>
      <c r="I27" s="15" t="s">
        <v>322</v>
      </c>
      <c r="J27" s="7" t="str">
        <f>HYPERLINK("https://www.codechef.com/problems/PREP49", "https://www.codechef.com/problems/PREP49")</f>
        <v>https://www.codechef.com/problems/PREP49</v>
      </c>
      <c r="K27" s="15"/>
      <c r="L27" s="15"/>
      <c r="M27" s="15"/>
      <c r="N27" s="15" t="s">
        <v>50</v>
      </c>
      <c r="O27" s="15" t="s">
        <v>51</v>
      </c>
    </row>
    <row r="28" spans="1:15">
      <c r="A28" s="14" t="s">
        <v>15</v>
      </c>
      <c r="B28" s="14" t="s">
        <v>9188</v>
      </c>
      <c r="C28" s="14" t="s">
        <v>9189</v>
      </c>
      <c r="D28" s="14" t="s">
        <v>9190</v>
      </c>
      <c r="E28" s="14">
        <v>1</v>
      </c>
      <c r="F28" s="14" t="s">
        <v>6101</v>
      </c>
      <c r="G28" s="14" t="s">
        <v>6102</v>
      </c>
      <c r="H28" s="14"/>
      <c r="I28" s="14" t="s">
        <v>96</v>
      </c>
      <c r="J28" s="11" t="str">
        <f>HYPERLINK("https://www.codechef.com/problems/PTRLP", "https://www.codechef.com/problems/PTRLP")</f>
        <v>https://www.codechef.com/problems/PTRLP</v>
      </c>
      <c r="K28" s="14"/>
      <c r="L28" s="14"/>
      <c r="M28" s="14"/>
      <c r="N28" s="14" t="s">
        <v>50</v>
      </c>
      <c r="O28" s="14" t="s">
        <v>51</v>
      </c>
    </row>
    <row r="29" spans="1:15">
      <c r="A29" s="15" t="s">
        <v>15</v>
      </c>
      <c r="B29" s="15" t="s">
        <v>9188</v>
      </c>
      <c r="C29" s="15" t="s">
        <v>9189</v>
      </c>
      <c r="D29" s="15" t="s">
        <v>9190</v>
      </c>
      <c r="E29" s="15">
        <v>2</v>
      </c>
      <c r="F29" s="15" t="s">
        <v>6139</v>
      </c>
      <c r="G29" s="15" t="s">
        <v>6140</v>
      </c>
      <c r="H29" s="15"/>
      <c r="I29" s="15" t="s">
        <v>96</v>
      </c>
      <c r="J29" s="7" t="str">
        <f>HYPERLINK("https://www.codechef.com/problems/PAL_STRING", "https://www.codechef.com/problems/PAL_STRING")</f>
        <v>https://www.codechef.com/problems/PAL_STRING</v>
      </c>
      <c r="K29" s="15"/>
      <c r="L29" s="15"/>
      <c r="M29" s="15"/>
      <c r="N29" s="15" t="s">
        <v>50</v>
      </c>
      <c r="O29" s="15" t="s">
        <v>51</v>
      </c>
    </row>
    <row r="30" spans="1:15">
      <c r="A30" s="14" t="s">
        <v>15</v>
      </c>
      <c r="B30" s="14" t="s">
        <v>9188</v>
      </c>
      <c r="C30" s="14" t="s">
        <v>9189</v>
      </c>
      <c r="D30" s="14" t="s">
        <v>9190</v>
      </c>
      <c r="E30" s="14">
        <v>3</v>
      </c>
      <c r="F30" s="14" t="s">
        <v>315</v>
      </c>
      <c r="G30" s="14" t="s">
        <v>316</v>
      </c>
      <c r="H30" s="14" t="s">
        <v>180</v>
      </c>
      <c r="I30" s="14" t="s">
        <v>49</v>
      </c>
      <c r="J30" s="11" t="str">
        <f>HYPERLINK("https://www.codechef.com/problems/LLMID", "https://www.codechef.com/problems/LLMID")</f>
        <v>https://www.codechef.com/problems/LLMID</v>
      </c>
      <c r="K30" s="14"/>
      <c r="L30" s="14"/>
      <c r="M30" s="14"/>
      <c r="N30" s="14" t="s">
        <v>50</v>
      </c>
      <c r="O30" s="14" t="s">
        <v>51</v>
      </c>
    </row>
    <row r="31" spans="1:15">
      <c r="A31" s="15" t="s">
        <v>15</v>
      </c>
      <c r="B31" s="15" t="s">
        <v>9188</v>
      </c>
      <c r="C31" s="15" t="s">
        <v>9189</v>
      </c>
      <c r="D31" s="15" t="s">
        <v>9190</v>
      </c>
      <c r="E31" s="15">
        <v>4</v>
      </c>
      <c r="F31" s="15" t="s">
        <v>6216</v>
      </c>
      <c r="G31" s="15" t="s">
        <v>6217</v>
      </c>
      <c r="H31" s="15"/>
      <c r="I31" s="15" t="s">
        <v>96</v>
      </c>
      <c r="J31" s="7" t="str">
        <f>HYPERLINK("https://www.codechef.com/problems/RECTREE", "https://www.codechef.com/problems/RECTREE")</f>
        <v>https://www.codechef.com/problems/RECTREE</v>
      </c>
      <c r="K31" s="15"/>
      <c r="L31" s="15"/>
      <c r="M31" s="15"/>
      <c r="N31" s="15" t="s">
        <v>50</v>
      </c>
      <c r="O31" s="15" t="s">
        <v>51</v>
      </c>
    </row>
    <row r="32" spans="1:15">
      <c r="A32" s="14" t="s">
        <v>15</v>
      </c>
      <c r="B32" s="14" t="s">
        <v>9188</v>
      </c>
      <c r="C32" s="14" t="s">
        <v>9189</v>
      </c>
      <c r="D32" s="14" t="s">
        <v>9190</v>
      </c>
      <c r="E32" s="14">
        <v>5</v>
      </c>
      <c r="F32" s="14" t="s">
        <v>6214</v>
      </c>
      <c r="G32" s="14" t="s">
        <v>6215</v>
      </c>
      <c r="H32" s="14"/>
      <c r="I32" s="14" t="s">
        <v>96</v>
      </c>
      <c r="J32" s="11" t="str">
        <f>HYPERLINK("https://www.codechef.com/problems/SUBTCH", "https://www.codechef.com/problems/SUBTCH")</f>
        <v>https://www.codechef.com/problems/SUBTCH</v>
      </c>
      <c r="K32" s="14"/>
      <c r="L32" s="14"/>
      <c r="M32" s="14"/>
      <c r="N32" s="14" t="s">
        <v>50</v>
      </c>
      <c r="O32" s="14" t="s">
        <v>51</v>
      </c>
    </row>
    <row r="33" spans="1:15">
      <c r="A33" s="15" t="s">
        <v>15</v>
      </c>
      <c r="B33" s="15" t="s">
        <v>9188</v>
      </c>
      <c r="C33" s="15" t="s">
        <v>9189</v>
      </c>
      <c r="D33" s="15" t="s">
        <v>9190</v>
      </c>
      <c r="E33" s="15">
        <v>6</v>
      </c>
      <c r="F33" s="15" t="s">
        <v>346</v>
      </c>
      <c r="G33" s="15" t="s">
        <v>347</v>
      </c>
      <c r="H33" s="15" t="s">
        <v>348</v>
      </c>
      <c r="I33" s="15" t="s">
        <v>96</v>
      </c>
      <c r="J33" s="7" t="str">
        <f>HYPERLINK("https://www.codechef.com/problems/NSELL", "https://www.codechef.com/problems/NSELL")</f>
        <v>https://www.codechef.com/problems/NSELL</v>
      </c>
      <c r="K33" s="15"/>
      <c r="L33" s="15"/>
      <c r="M33" s="15"/>
      <c r="N33" s="15" t="s">
        <v>50</v>
      </c>
      <c r="O33" s="15" t="s">
        <v>51</v>
      </c>
    </row>
    <row r="34" spans="1:15">
      <c r="A34" s="14" t="s">
        <v>15</v>
      </c>
      <c r="B34" s="14" t="s">
        <v>9188</v>
      </c>
      <c r="C34" s="14" t="s">
        <v>9189</v>
      </c>
      <c r="D34" s="14" t="s">
        <v>9190</v>
      </c>
      <c r="E34" s="14">
        <v>7</v>
      </c>
      <c r="F34" s="14" t="s">
        <v>6159</v>
      </c>
      <c r="G34" s="14" t="s">
        <v>6160</v>
      </c>
      <c r="H34" s="14"/>
      <c r="I34" s="14" t="s">
        <v>96</v>
      </c>
      <c r="J34" s="11" t="str">
        <f>HYPERLINK("https://www.codechef.com/problems/TRAINLOOP", "https://www.codechef.com/problems/TRAINLOOP")</f>
        <v>https://www.codechef.com/problems/TRAINLOOP</v>
      </c>
      <c r="K34" s="14"/>
      <c r="L34" s="14"/>
      <c r="M34" s="14"/>
      <c r="N34" s="14" t="s">
        <v>50</v>
      </c>
      <c r="O34" s="14" t="s">
        <v>51</v>
      </c>
    </row>
    <row r="35" spans="1:15">
      <c r="A35" s="15" t="s">
        <v>15</v>
      </c>
      <c r="B35" s="15" t="s">
        <v>9188</v>
      </c>
      <c r="C35" s="15" t="s">
        <v>9189</v>
      </c>
      <c r="D35" s="15" t="s">
        <v>9190</v>
      </c>
      <c r="E35" s="15">
        <v>8</v>
      </c>
      <c r="F35" s="15" t="s">
        <v>351</v>
      </c>
      <c r="G35" s="15" t="s">
        <v>352</v>
      </c>
      <c r="H35" s="15" t="s">
        <v>348</v>
      </c>
      <c r="I35" s="15" t="s">
        <v>96</v>
      </c>
      <c r="J35" s="7" t="str">
        <f>HYPERLINK("https://www.codechef.com/problems/STRANGELIST", "https://www.codechef.com/problems/STRANGELIST")</f>
        <v>https://www.codechef.com/problems/STRANGELIST</v>
      </c>
      <c r="K35" s="15"/>
      <c r="L35" s="15"/>
      <c r="M35" s="15"/>
      <c r="N35" s="15" t="s">
        <v>50</v>
      </c>
      <c r="O35" s="15" t="s">
        <v>51</v>
      </c>
    </row>
    <row r="36" spans="1:15">
      <c r="A36" s="14" t="s">
        <v>15</v>
      </c>
      <c r="B36" s="14" t="s">
        <v>9188</v>
      </c>
      <c r="C36" s="14" t="s">
        <v>9189</v>
      </c>
      <c r="D36" s="14" t="s">
        <v>9190</v>
      </c>
      <c r="E36" s="14">
        <v>9</v>
      </c>
      <c r="F36" s="14" t="s">
        <v>338</v>
      </c>
      <c r="G36" s="14" t="s">
        <v>339</v>
      </c>
      <c r="H36" s="14" t="s">
        <v>340</v>
      </c>
      <c r="I36" s="14" t="s">
        <v>96</v>
      </c>
      <c r="J36" s="11" t="str">
        <f>HYPERLINK("https://www.codechef.com/problems/RTLL", "https://www.codechef.com/problems/RTLL")</f>
        <v>https://www.codechef.com/problems/RTLL</v>
      </c>
      <c r="K36" s="14"/>
      <c r="L36" s="14"/>
      <c r="M36" s="14"/>
      <c r="N36" s="14" t="s">
        <v>50</v>
      </c>
      <c r="O36" s="14" t="s">
        <v>51</v>
      </c>
    </row>
    <row r="37" spans="1:15">
      <c r="A37" s="15" t="s">
        <v>15</v>
      </c>
      <c r="B37" s="15" t="s">
        <v>9188</v>
      </c>
      <c r="C37" s="15" t="s">
        <v>9189</v>
      </c>
      <c r="D37" s="15" t="s">
        <v>9190</v>
      </c>
      <c r="E37" s="15">
        <v>10</v>
      </c>
      <c r="F37" s="15" t="s">
        <v>6107</v>
      </c>
      <c r="G37" s="15" t="s">
        <v>6108</v>
      </c>
      <c r="H37" s="15"/>
      <c r="I37" s="15" t="s">
        <v>49</v>
      </c>
      <c r="J37" s="7" t="str">
        <f>HYPERLINK("https://www.codechef.com/problems/PREP05", "https://www.codechef.com/problems/PREP05")</f>
        <v>https://www.codechef.com/problems/PREP05</v>
      </c>
      <c r="K37" s="15"/>
      <c r="L37" s="15"/>
      <c r="M37" s="15"/>
      <c r="N37" s="15" t="s">
        <v>50</v>
      </c>
      <c r="O37" s="15" t="s">
        <v>51</v>
      </c>
    </row>
    <row r="38" spans="1:15">
      <c r="A38" s="14" t="s">
        <v>15</v>
      </c>
      <c r="B38" s="14" t="s">
        <v>9188</v>
      </c>
      <c r="C38" s="14" t="s">
        <v>9189</v>
      </c>
      <c r="D38" s="14" t="s">
        <v>9190</v>
      </c>
      <c r="E38" s="14">
        <v>11</v>
      </c>
      <c r="F38" s="14" t="s">
        <v>953</v>
      </c>
      <c r="G38" s="14" t="s">
        <v>954</v>
      </c>
      <c r="H38" s="14"/>
      <c r="I38" s="14" t="s">
        <v>96</v>
      </c>
      <c r="J38" s="11" t="str">
        <f>HYPERLINK("https://www.codechef.com/problems/PREP27", "https://www.codechef.com/problems/PREP27")</f>
        <v>https://www.codechef.com/problems/PREP27</v>
      </c>
      <c r="K38" s="14"/>
      <c r="L38" s="14"/>
      <c r="M38" s="14"/>
      <c r="N38" s="14" t="s">
        <v>50</v>
      </c>
      <c r="O38" s="14" t="s">
        <v>51</v>
      </c>
    </row>
    <row r="39" spans="1:15">
      <c r="A39" s="15" t="s">
        <v>15</v>
      </c>
      <c r="B39" s="15" t="s">
        <v>9188</v>
      </c>
      <c r="C39" s="15" t="s">
        <v>9189</v>
      </c>
      <c r="D39" s="15" t="s">
        <v>9190</v>
      </c>
      <c r="E39" s="15">
        <v>12</v>
      </c>
      <c r="F39" s="15" t="s">
        <v>411</v>
      </c>
      <c r="G39" s="15" t="s">
        <v>412</v>
      </c>
      <c r="H39" s="15" t="s">
        <v>413</v>
      </c>
      <c r="I39" s="15" t="s">
        <v>96</v>
      </c>
      <c r="J39" s="7" t="str">
        <f>HYPERLINK("https://www.codechef.com/problems/PREP22", "https://www.codechef.com/problems/PREP22")</f>
        <v>https://www.codechef.com/problems/PREP22</v>
      </c>
      <c r="K39" s="15"/>
      <c r="L39" s="15" t="s">
        <v>414</v>
      </c>
      <c r="M39" s="15"/>
      <c r="N39" s="15" t="s">
        <v>50</v>
      </c>
      <c r="O39" s="15" t="s">
        <v>51</v>
      </c>
    </row>
    <row r="40" spans="1:15">
      <c r="A40" s="14" t="s">
        <v>15</v>
      </c>
      <c r="B40" s="14" t="s">
        <v>9188</v>
      </c>
      <c r="C40" s="14" t="s">
        <v>9189</v>
      </c>
      <c r="D40" s="14" t="s">
        <v>9190</v>
      </c>
      <c r="E40" s="14">
        <v>13</v>
      </c>
      <c r="F40" s="14" t="s">
        <v>6165</v>
      </c>
      <c r="G40" s="14" t="s">
        <v>6166</v>
      </c>
      <c r="H40" s="14"/>
      <c r="I40" s="14" t="s">
        <v>96</v>
      </c>
      <c r="J40" s="11" t="str">
        <f>HYPERLINK("https://www.codechef.com/problems/PREP54", "https://www.codechef.com/problems/PREP54")</f>
        <v>https://www.codechef.com/problems/PREP54</v>
      </c>
      <c r="K40" s="14"/>
      <c r="L40" s="14"/>
      <c r="M40" s="14"/>
      <c r="N40" s="14" t="s">
        <v>50</v>
      </c>
      <c r="O40" s="14" t="s">
        <v>51</v>
      </c>
    </row>
    <row r="41" spans="1:15">
      <c r="A41" s="15" t="s">
        <v>15</v>
      </c>
      <c r="B41" s="15" t="s">
        <v>9188</v>
      </c>
      <c r="C41" s="15" t="s">
        <v>9189</v>
      </c>
      <c r="D41" s="15" t="s">
        <v>9190</v>
      </c>
      <c r="E41" s="15">
        <v>14</v>
      </c>
      <c r="F41" s="15" t="s">
        <v>6228</v>
      </c>
      <c r="G41" s="15" t="s">
        <v>6229</v>
      </c>
      <c r="H41" s="15"/>
      <c r="I41" s="15" t="s">
        <v>96</v>
      </c>
      <c r="J41" s="7" t="str">
        <f>HYPERLINK("https://www.codechef.com/problems/PREP65", "https://www.codechef.com/problems/PREP65")</f>
        <v>https://www.codechef.com/problems/PREP65</v>
      </c>
      <c r="K41" s="15"/>
      <c r="L41" s="15"/>
      <c r="M41" s="15"/>
      <c r="N41" s="15" t="s">
        <v>50</v>
      </c>
      <c r="O41" s="15" t="s">
        <v>51</v>
      </c>
    </row>
    <row r="42" spans="1:15">
      <c r="A42" s="14" t="s">
        <v>15</v>
      </c>
      <c r="B42" s="14" t="s">
        <v>9191</v>
      </c>
      <c r="C42" s="14" t="s">
        <v>9192</v>
      </c>
      <c r="D42" s="14" t="s">
        <v>9193</v>
      </c>
      <c r="E42" s="14">
        <v>1</v>
      </c>
      <c r="F42" s="14" t="s">
        <v>6172</v>
      </c>
      <c r="G42" s="14" t="s">
        <v>6173</v>
      </c>
      <c r="H42" s="14"/>
      <c r="I42" s="14" t="s">
        <v>322</v>
      </c>
      <c r="J42" s="11" t="str">
        <f>HYPERLINK("https://www.codechef.com/problems/SUBASUM", "https://www.codechef.com/problems/SUBASUM")</f>
        <v>https://www.codechef.com/problems/SUBASUM</v>
      </c>
      <c r="K42" s="14"/>
      <c r="L42" s="14"/>
      <c r="M42" s="14"/>
      <c r="N42" s="14" t="s">
        <v>50</v>
      </c>
      <c r="O42" s="14" t="s">
        <v>51</v>
      </c>
    </row>
    <row r="43" spans="1:15">
      <c r="A43" s="15" t="s">
        <v>15</v>
      </c>
      <c r="B43" s="15" t="s">
        <v>9191</v>
      </c>
      <c r="C43" s="15" t="s">
        <v>9192</v>
      </c>
      <c r="D43" s="15" t="s">
        <v>9193</v>
      </c>
      <c r="E43" s="15">
        <v>2</v>
      </c>
      <c r="F43" s="15" t="s">
        <v>6101</v>
      </c>
      <c r="G43" s="15" t="s">
        <v>6102</v>
      </c>
      <c r="H43" s="15"/>
      <c r="I43" s="15" t="s">
        <v>96</v>
      </c>
      <c r="J43" s="7" t="str">
        <f>HYPERLINK("https://www.codechef.com/problems/PTRLP", "https://www.codechef.com/problems/PTRLP")</f>
        <v>https://www.codechef.com/problems/PTRLP</v>
      </c>
      <c r="K43" s="15"/>
      <c r="L43" s="15"/>
      <c r="M43" s="15"/>
      <c r="N43" s="15" t="s">
        <v>50</v>
      </c>
      <c r="O43" s="15" t="s">
        <v>51</v>
      </c>
    </row>
    <row r="44" spans="1:15">
      <c r="A44" s="14" t="s">
        <v>15</v>
      </c>
      <c r="B44" s="14" t="s">
        <v>9191</v>
      </c>
      <c r="C44" s="14" t="s">
        <v>9192</v>
      </c>
      <c r="D44" s="14" t="s">
        <v>9193</v>
      </c>
      <c r="E44" s="14">
        <v>3</v>
      </c>
      <c r="F44" s="14" t="s">
        <v>426</v>
      </c>
      <c r="G44" s="14" t="s">
        <v>427</v>
      </c>
      <c r="H44" s="14" t="s">
        <v>361</v>
      </c>
      <c r="I44" s="14" t="s">
        <v>96</v>
      </c>
      <c r="J44" s="11" t="str">
        <f>HYPERLINK("https://www.codechef.com/problems/MAXREC", "https://www.codechef.com/problems/MAXREC")</f>
        <v>https://www.codechef.com/problems/MAXREC</v>
      </c>
      <c r="K44" s="14"/>
      <c r="L44" s="14"/>
      <c r="M44" s="14"/>
      <c r="N44" s="14" t="s">
        <v>50</v>
      </c>
      <c r="O44" s="14" t="s">
        <v>51</v>
      </c>
    </row>
    <row r="45" spans="1:15">
      <c r="A45" s="15" t="s">
        <v>15</v>
      </c>
      <c r="B45" s="15" t="s">
        <v>9191</v>
      </c>
      <c r="C45" s="15" t="s">
        <v>9192</v>
      </c>
      <c r="D45" s="15" t="s">
        <v>9193</v>
      </c>
      <c r="E45" s="15">
        <v>4</v>
      </c>
      <c r="F45" s="15" t="s">
        <v>6218</v>
      </c>
      <c r="G45" s="15" t="s">
        <v>6219</v>
      </c>
      <c r="H45" s="15"/>
      <c r="I45" s="15" t="s">
        <v>96</v>
      </c>
      <c r="J45" s="7" t="str">
        <f>HYPERLINK("https://www.codechef.com/problems/CNTND", "https://www.codechef.com/problems/CNTND")</f>
        <v>https://www.codechef.com/problems/CNTND</v>
      </c>
      <c r="K45" s="15"/>
      <c r="L45" s="15"/>
      <c r="M45" s="15"/>
      <c r="N45" s="15" t="s">
        <v>50</v>
      </c>
      <c r="O45" s="15" t="s">
        <v>51</v>
      </c>
    </row>
    <row r="46" spans="1:15">
      <c r="A46" s="14" t="s">
        <v>15</v>
      </c>
      <c r="B46" s="14" t="s">
        <v>9191</v>
      </c>
      <c r="C46" s="14" t="s">
        <v>9192</v>
      </c>
      <c r="D46" s="14" t="s">
        <v>9193</v>
      </c>
      <c r="E46" s="14">
        <v>5</v>
      </c>
      <c r="F46" s="14" t="s">
        <v>6246</v>
      </c>
      <c r="G46" s="14" t="s">
        <v>6247</v>
      </c>
      <c r="H46" s="14"/>
      <c r="I46" s="14" t="s">
        <v>96</v>
      </c>
      <c r="J46" s="11" t="str">
        <f>HYPERLINK("https://www.codechef.com/problems/PREP19", "https://www.codechef.com/problems/PREP19")</f>
        <v>https://www.codechef.com/problems/PREP19</v>
      </c>
      <c r="K46" s="14"/>
      <c r="L46" s="14"/>
      <c r="M46" s="14"/>
      <c r="N46" s="14" t="s">
        <v>50</v>
      </c>
      <c r="O46" s="14" t="s">
        <v>51</v>
      </c>
    </row>
    <row r="47" spans="1:15">
      <c r="A47" s="15" t="s">
        <v>15</v>
      </c>
      <c r="B47" s="15" t="s">
        <v>9191</v>
      </c>
      <c r="C47" s="15" t="s">
        <v>9192</v>
      </c>
      <c r="D47" s="15" t="s">
        <v>9193</v>
      </c>
      <c r="E47" s="15">
        <v>6</v>
      </c>
      <c r="F47" s="15" t="s">
        <v>6249</v>
      </c>
      <c r="G47" s="15" t="s">
        <v>6250</v>
      </c>
      <c r="H47" s="15"/>
      <c r="I47" s="15" t="s">
        <v>96</v>
      </c>
      <c r="J47" s="7" t="str">
        <f>HYPERLINK("https://www.codechef.com/problems/PREP32", "https://www.codechef.com/problems/PREP32")</f>
        <v>https://www.codechef.com/problems/PREP32</v>
      </c>
      <c r="K47" s="15"/>
      <c r="L47" s="15"/>
      <c r="M47" s="15"/>
      <c r="N47" s="15" t="s">
        <v>50</v>
      </c>
      <c r="O47" s="15" t="s">
        <v>51</v>
      </c>
    </row>
    <row r="48" spans="1:15">
      <c r="A48" s="14" t="s">
        <v>15</v>
      </c>
      <c r="B48" s="14" t="s">
        <v>9191</v>
      </c>
      <c r="C48" s="14" t="s">
        <v>9192</v>
      </c>
      <c r="D48" s="14" t="s">
        <v>9193</v>
      </c>
      <c r="E48" s="14">
        <v>7</v>
      </c>
      <c r="F48" s="14" t="s">
        <v>953</v>
      </c>
      <c r="G48" s="14" t="s">
        <v>954</v>
      </c>
      <c r="H48" s="14"/>
      <c r="I48" s="14" t="s">
        <v>96</v>
      </c>
      <c r="J48" s="11" t="str">
        <f>HYPERLINK("https://www.codechef.com/problems/PREP27", "https://www.codechef.com/problems/PREP27")</f>
        <v>https://www.codechef.com/problems/PREP27</v>
      </c>
      <c r="K48" s="14"/>
      <c r="L48" s="14"/>
      <c r="M48" s="14"/>
      <c r="N48" s="14" t="s">
        <v>50</v>
      </c>
      <c r="O48" s="14" t="s">
        <v>51</v>
      </c>
    </row>
    <row r="49" spans="1:15">
      <c r="A49" s="15" t="s">
        <v>15</v>
      </c>
      <c r="B49" s="15" t="s">
        <v>9191</v>
      </c>
      <c r="C49" s="15" t="s">
        <v>9192</v>
      </c>
      <c r="D49" s="15" t="s">
        <v>9193</v>
      </c>
      <c r="E49" s="15">
        <v>8</v>
      </c>
      <c r="F49" s="15" t="s">
        <v>6205</v>
      </c>
      <c r="G49" s="15" t="s">
        <v>6206</v>
      </c>
      <c r="H49" s="15"/>
      <c r="I49" s="15" t="s">
        <v>322</v>
      </c>
      <c r="J49" s="7" t="str">
        <f>HYPERLINK("https://www.codechef.com/problems/PREP36", "https://www.codechef.com/problems/PREP36")</f>
        <v>https://www.codechef.com/problems/PREP36</v>
      </c>
      <c r="K49" s="15"/>
      <c r="L49" s="15"/>
      <c r="M49" s="15"/>
      <c r="N49" s="15" t="s">
        <v>50</v>
      </c>
      <c r="O49" s="15" t="s">
        <v>51</v>
      </c>
    </row>
    <row r="50" spans="1:15">
      <c r="A50" s="14" t="s">
        <v>15</v>
      </c>
      <c r="B50" s="14" t="s">
        <v>9191</v>
      </c>
      <c r="C50" s="14" t="s">
        <v>9192</v>
      </c>
      <c r="D50" s="14" t="s">
        <v>9193</v>
      </c>
      <c r="E50" s="14">
        <v>9</v>
      </c>
      <c r="F50" s="14" t="s">
        <v>6207</v>
      </c>
      <c r="G50" s="14" t="s">
        <v>6208</v>
      </c>
      <c r="H50" s="14"/>
      <c r="I50" s="14" t="s">
        <v>96</v>
      </c>
      <c r="J50" s="11" t="str">
        <f>HYPERLINK("https://www.codechef.com/problems/PREP37", "https://www.codechef.com/problems/PREP37")</f>
        <v>https://www.codechef.com/problems/PREP37</v>
      </c>
      <c r="K50" s="14"/>
      <c r="L50" s="14"/>
      <c r="M50" s="14"/>
      <c r="N50" s="14" t="s">
        <v>50</v>
      </c>
      <c r="O50" s="14" t="s">
        <v>51</v>
      </c>
    </row>
    <row r="51" spans="1:15">
      <c r="A51" s="15" t="s">
        <v>15</v>
      </c>
      <c r="B51" s="15" t="s">
        <v>9191</v>
      </c>
      <c r="C51" s="15" t="s">
        <v>9192</v>
      </c>
      <c r="D51" s="15" t="s">
        <v>9193</v>
      </c>
      <c r="E51" s="15">
        <v>10</v>
      </c>
      <c r="F51" s="15" t="s">
        <v>6255</v>
      </c>
      <c r="G51" s="15" t="s">
        <v>6256</v>
      </c>
      <c r="H51" s="15"/>
      <c r="I51" s="15" t="s">
        <v>96</v>
      </c>
      <c r="J51" s="7" t="str">
        <f>HYPERLINK("https://www.codechef.com/problems/PREP48", "https://www.codechef.com/problems/PREP48")</f>
        <v>https://www.codechef.com/problems/PREP48</v>
      </c>
      <c r="K51" s="15"/>
      <c r="L51" s="15"/>
      <c r="M51" s="15"/>
      <c r="N51" s="15" t="s">
        <v>50</v>
      </c>
      <c r="O51" s="15" t="s">
        <v>51</v>
      </c>
    </row>
    <row r="52" spans="1:15">
      <c r="A52" s="14" t="s">
        <v>15</v>
      </c>
      <c r="B52" s="14" t="s">
        <v>9191</v>
      </c>
      <c r="C52" s="14" t="s">
        <v>9192</v>
      </c>
      <c r="D52" s="14" t="s">
        <v>9193</v>
      </c>
      <c r="E52" s="14">
        <v>11</v>
      </c>
      <c r="F52" s="14" t="s">
        <v>6267</v>
      </c>
      <c r="G52" s="14" t="s">
        <v>6268</v>
      </c>
      <c r="H52" s="14"/>
      <c r="I52" s="14" t="s">
        <v>322</v>
      </c>
      <c r="J52" s="11" t="str">
        <f>HYPERLINK("https://www.codechef.com/problems/PREP41", "https://www.codechef.com/problems/PREP41")</f>
        <v>https://www.codechef.com/problems/PREP41</v>
      </c>
      <c r="K52" s="14"/>
      <c r="L52" s="14"/>
      <c r="M52" s="14"/>
      <c r="N52" s="14" t="s">
        <v>50</v>
      </c>
      <c r="O52" s="14" t="s">
        <v>51</v>
      </c>
    </row>
    <row r="53" spans="1:15">
      <c r="A53" s="15" t="s">
        <v>15</v>
      </c>
      <c r="B53" s="15" t="s">
        <v>9194</v>
      </c>
      <c r="C53" s="15" t="s">
        <v>9195</v>
      </c>
      <c r="D53" s="15" t="s">
        <v>9196</v>
      </c>
      <c r="E53" s="15">
        <v>1</v>
      </c>
      <c r="F53" s="15" t="s">
        <v>6095</v>
      </c>
      <c r="G53" s="15" t="s">
        <v>6096</v>
      </c>
      <c r="H53" s="15"/>
      <c r="I53" s="15" t="s">
        <v>96</v>
      </c>
      <c r="J53" s="7" t="str">
        <f>HYPERLINK("https://www.codechef.com/problems/JUMPEND", "https://www.codechef.com/problems/JUMPEND")</f>
        <v>https://www.codechef.com/problems/JUMPEND</v>
      </c>
      <c r="K53" s="15"/>
      <c r="L53" s="15"/>
      <c r="M53" s="15"/>
      <c r="N53" s="15" t="s">
        <v>50</v>
      </c>
      <c r="O53" s="15" t="s">
        <v>51</v>
      </c>
    </row>
    <row r="54" spans="1:15">
      <c r="A54" s="14" t="s">
        <v>15</v>
      </c>
      <c r="B54" s="14" t="s">
        <v>9194</v>
      </c>
      <c r="C54" s="14" t="s">
        <v>9195</v>
      </c>
      <c r="D54" s="14" t="s">
        <v>9196</v>
      </c>
      <c r="E54" s="14">
        <v>2</v>
      </c>
      <c r="F54" s="14" t="s">
        <v>6101</v>
      </c>
      <c r="G54" s="14" t="s">
        <v>6102</v>
      </c>
      <c r="H54" s="14"/>
      <c r="I54" s="14" t="s">
        <v>96</v>
      </c>
      <c r="J54" s="11" t="str">
        <f>HYPERLINK("https://www.codechef.com/problems/PTRLP", "https://www.codechef.com/problems/PTRLP")</f>
        <v>https://www.codechef.com/problems/PTRLP</v>
      </c>
      <c r="K54" s="14"/>
      <c r="L54" s="14"/>
      <c r="M54" s="14"/>
      <c r="N54" s="14" t="s">
        <v>50</v>
      </c>
      <c r="O54" s="14" t="s">
        <v>51</v>
      </c>
    </row>
    <row r="55" spans="1:15">
      <c r="A55" s="15" t="s">
        <v>15</v>
      </c>
      <c r="B55" s="15" t="s">
        <v>9194</v>
      </c>
      <c r="C55" s="15" t="s">
        <v>9195</v>
      </c>
      <c r="D55" s="15" t="s">
        <v>9196</v>
      </c>
      <c r="E55" s="15">
        <v>3</v>
      </c>
      <c r="F55" s="15" t="s">
        <v>315</v>
      </c>
      <c r="G55" s="15" t="s">
        <v>316</v>
      </c>
      <c r="H55" s="15" t="s">
        <v>180</v>
      </c>
      <c r="I55" s="15" t="s">
        <v>49</v>
      </c>
      <c r="J55" s="7" t="str">
        <f>HYPERLINK("https://www.codechef.com/problems/LLMID", "https://www.codechef.com/problems/LLMID")</f>
        <v>https://www.codechef.com/problems/LLMID</v>
      </c>
      <c r="K55" s="15"/>
      <c r="L55" s="15"/>
      <c r="M55" s="15"/>
      <c r="N55" s="15" t="s">
        <v>50</v>
      </c>
      <c r="O55" s="15" t="s">
        <v>51</v>
      </c>
    </row>
    <row r="56" spans="1:15">
      <c r="A56" s="14" t="s">
        <v>15</v>
      </c>
      <c r="B56" s="14" t="s">
        <v>9194</v>
      </c>
      <c r="C56" s="14" t="s">
        <v>9195</v>
      </c>
      <c r="D56" s="14" t="s">
        <v>9196</v>
      </c>
      <c r="E56" s="14">
        <v>4</v>
      </c>
      <c r="F56" s="14" t="s">
        <v>6214</v>
      </c>
      <c r="G56" s="14" t="s">
        <v>6215</v>
      </c>
      <c r="H56" s="14"/>
      <c r="I56" s="14" t="s">
        <v>96</v>
      </c>
      <c r="J56" s="11" t="str">
        <f>HYPERLINK("https://www.codechef.com/problems/SUBTCH", "https://www.codechef.com/problems/SUBTCH")</f>
        <v>https://www.codechef.com/problems/SUBTCH</v>
      </c>
      <c r="K56" s="14"/>
      <c r="L56" s="14"/>
      <c r="M56" s="14"/>
      <c r="N56" s="14" t="s">
        <v>50</v>
      </c>
      <c r="O56" s="14" t="s">
        <v>51</v>
      </c>
    </row>
    <row r="57" spans="1:15">
      <c r="A57" s="15" t="s">
        <v>15</v>
      </c>
      <c r="B57" s="15" t="s">
        <v>9194</v>
      </c>
      <c r="C57" s="15" t="s">
        <v>9195</v>
      </c>
      <c r="D57" s="15" t="s">
        <v>9196</v>
      </c>
      <c r="E57" s="15">
        <v>5</v>
      </c>
      <c r="F57" s="15" t="s">
        <v>1280</v>
      </c>
      <c r="G57" s="15" t="s">
        <v>6154</v>
      </c>
      <c r="H57" s="15" t="s">
        <v>312</v>
      </c>
      <c r="I57" s="15" t="s">
        <v>49</v>
      </c>
      <c r="J57" s="7" t="str">
        <f>HYPERLINK("https://www.codechef.com/problems/REMDUP", "https://www.codechef.com/problems/REMDUP")</f>
        <v>https://www.codechef.com/problems/REMDUP</v>
      </c>
      <c r="K57" s="15"/>
      <c r="L57" s="15"/>
      <c r="M57" s="15"/>
      <c r="N57" s="15" t="s">
        <v>50</v>
      </c>
      <c r="O57" s="15" t="s">
        <v>51</v>
      </c>
    </row>
    <row r="58" spans="1:15">
      <c r="A58" s="14" t="s">
        <v>15</v>
      </c>
      <c r="B58" s="14" t="s">
        <v>9194</v>
      </c>
      <c r="C58" s="14" t="s">
        <v>9195</v>
      </c>
      <c r="D58" s="14" t="s">
        <v>9196</v>
      </c>
      <c r="E58" s="14">
        <v>6</v>
      </c>
      <c r="F58" s="14" t="s">
        <v>6118</v>
      </c>
      <c r="G58" s="14" t="s">
        <v>6119</v>
      </c>
      <c r="H58" s="14"/>
      <c r="I58" s="14" t="s">
        <v>96</v>
      </c>
      <c r="J58" s="11" t="str">
        <f>HYPERLINK("https://www.codechef.com/problems/TOYDESIRE", "https://www.codechef.com/problems/TOYDESIRE")</f>
        <v>https://www.codechef.com/problems/TOYDESIRE</v>
      </c>
      <c r="K58" s="14"/>
      <c r="L58" s="14"/>
      <c r="M58" s="14"/>
      <c r="N58" s="14" t="s">
        <v>50</v>
      </c>
      <c r="O58" s="14" t="s">
        <v>51</v>
      </c>
    </row>
    <row r="59" spans="1:15">
      <c r="A59" s="15" t="s">
        <v>15</v>
      </c>
      <c r="B59" s="15" t="s">
        <v>9194</v>
      </c>
      <c r="C59" s="15" t="s">
        <v>9195</v>
      </c>
      <c r="D59" s="15" t="s">
        <v>9196</v>
      </c>
      <c r="E59" s="15">
        <v>7</v>
      </c>
      <c r="F59" s="15" t="s">
        <v>338</v>
      </c>
      <c r="G59" s="15" t="s">
        <v>339</v>
      </c>
      <c r="H59" s="15" t="s">
        <v>340</v>
      </c>
      <c r="I59" s="15" t="s">
        <v>96</v>
      </c>
      <c r="J59" s="7" t="str">
        <f>HYPERLINK("https://www.codechef.com/problems/RTLL", "https://www.codechef.com/problems/RTLL")</f>
        <v>https://www.codechef.com/problems/RTLL</v>
      </c>
      <c r="K59" s="15"/>
      <c r="L59" s="15"/>
      <c r="M59" s="15"/>
      <c r="N59" s="15" t="s">
        <v>50</v>
      </c>
      <c r="O59" s="15" t="s">
        <v>51</v>
      </c>
    </row>
    <row r="60" spans="1:15">
      <c r="A60" s="14" t="s">
        <v>15</v>
      </c>
      <c r="B60" s="14" t="s">
        <v>9194</v>
      </c>
      <c r="C60" s="14" t="s">
        <v>9195</v>
      </c>
      <c r="D60" s="14" t="s">
        <v>9196</v>
      </c>
      <c r="E60" s="14">
        <v>8</v>
      </c>
      <c r="F60" s="14" t="s">
        <v>163</v>
      </c>
      <c r="G60" s="14" t="s">
        <v>164</v>
      </c>
      <c r="H60" s="14"/>
      <c r="I60" s="14" t="s">
        <v>96</v>
      </c>
      <c r="J60" s="11" t="str">
        <f>HYPERLINK("https://www.codechef.com/problems/PREP01", "https://www.codechef.com/problems/PREP01")</f>
        <v>https://www.codechef.com/problems/PREP01</v>
      </c>
      <c r="K60" s="14"/>
      <c r="L60" s="14"/>
      <c r="M60" s="14"/>
      <c r="N60" s="14" t="s">
        <v>50</v>
      </c>
      <c r="O60" s="14" t="s">
        <v>51</v>
      </c>
    </row>
    <row r="61" spans="1:15">
      <c r="A61" s="15" t="s">
        <v>15</v>
      </c>
      <c r="B61" s="15" t="s">
        <v>9194</v>
      </c>
      <c r="C61" s="15" t="s">
        <v>9195</v>
      </c>
      <c r="D61" s="15" t="s">
        <v>9196</v>
      </c>
      <c r="E61" s="15">
        <v>9</v>
      </c>
      <c r="F61" s="15" t="s">
        <v>6111</v>
      </c>
      <c r="G61" s="15" t="s">
        <v>6112</v>
      </c>
      <c r="H61" s="15"/>
      <c r="I61" s="15" t="s">
        <v>49</v>
      </c>
      <c r="J61" s="7" t="str">
        <f>HYPERLINK("https://www.codechef.com/problems/PREP02", "https://www.codechef.com/problems/PREP02")</f>
        <v>https://www.codechef.com/problems/PREP02</v>
      </c>
      <c r="K61" s="15"/>
      <c r="L61" s="15"/>
      <c r="M61" s="15"/>
      <c r="N61" s="15" t="s">
        <v>50</v>
      </c>
      <c r="O61" s="15" t="s">
        <v>51</v>
      </c>
    </row>
    <row r="62" spans="1:15">
      <c r="A62" s="14" t="s">
        <v>15</v>
      </c>
      <c r="B62" s="14" t="s">
        <v>9194</v>
      </c>
      <c r="C62" s="14" t="s">
        <v>9195</v>
      </c>
      <c r="D62" s="14" t="s">
        <v>9196</v>
      </c>
      <c r="E62" s="14">
        <v>10</v>
      </c>
      <c r="F62" s="14" t="s">
        <v>6205</v>
      </c>
      <c r="G62" s="14" t="s">
        <v>6206</v>
      </c>
      <c r="H62" s="14"/>
      <c r="I62" s="14" t="s">
        <v>322</v>
      </c>
      <c r="J62" s="11" t="str">
        <f>HYPERLINK("https://www.codechef.com/problems/PREP36", "https://www.codechef.com/problems/PREP36")</f>
        <v>https://www.codechef.com/problems/PREP36</v>
      </c>
      <c r="K62" s="14"/>
      <c r="L62" s="14"/>
      <c r="M62" s="14"/>
      <c r="N62" s="14" t="s">
        <v>50</v>
      </c>
      <c r="O62" s="14" t="s">
        <v>51</v>
      </c>
    </row>
    <row r="63" spans="1:15">
      <c r="A63" s="15" t="s">
        <v>15</v>
      </c>
      <c r="B63" s="15" t="s">
        <v>9194</v>
      </c>
      <c r="C63" s="15" t="s">
        <v>9195</v>
      </c>
      <c r="D63" s="15" t="s">
        <v>9196</v>
      </c>
      <c r="E63" s="15">
        <v>11</v>
      </c>
      <c r="F63" s="15" t="s">
        <v>6269</v>
      </c>
      <c r="G63" s="15" t="s">
        <v>6270</v>
      </c>
      <c r="H63" s="15"/>
      <c r="I63" s="15" t="s">
        <v>96</v>
      </c>
      <c r="J63" s="7" t="str">
        <f>HYPERLINK("https://www.codechef.com/problems/PREP40", "https://www.codechef.com/problems/PREP40")</f>
        <v>https://www.codechef.com/problems/PREP40</v>
      </c>
      <c r="K63" s="15"/>
      <c r="L63" s="15"/>
      <c r="M63" s="15"/>
      <c r="N63" s="15" t="s">
        <v>50</v>
      </c>
      <c r="O63" s="15" t="s">
        <v>51</v>
      </c>
    </row>
    <row r="64" spans="1:15">
      <c r="A64" s="14" t="s">
        <v>15</v>
      </c>
      <c r="B64" s="14" t="s">
        <v>9194</v>
      </c>
      <c r="C64" s="14" t="s">
        <v>9195</v>
      </c>
      <c r="D64" s="14" t="s">
        <v>9196</v>
      </c>
      <c r="E64" s="14">
        <v>12</v>
      </c>
      <c r="F64" s="14" t="s">
        <v>6258</v>
      </c>
      <c r="G64" s="14" t="s">
        <v>6259</v>
      </c>
      <c r="H64" s="14"/>
      <c r="I64" s="14" t="s">
        <v>49</v>
      </c>
      <c r="J64" s="11" t="str">
        <f>HYPERLINK("https://www.codechef.com/problems/PREP44", "https://www.codechef.com/problems/PREP44")</f>
        <v>https://www.codechef.com/problems/PREP44</v>
      </c>
      <c r="K64" s="14"/>
      <c r="L64" s="14"/>
      <c r="M64" s="14"/>
      <c r="N64" s="14" t="s">
        <v>50</v>
      </c>
      <c r="O64" s="14" t="s">
        <v>51</v>
      </c>
    </row>
    <row r="65" spans="1:15">
      <c r="A65" s="15" t="s">
        <v>15</v>
      </c>
      <c r="B65" s="15" t="s">
        <v>9194</v>
      </c>
      <c r="C65" s="15" t="s">
        <v>9195</v>
      </c>
      <c r="D65" s="15" t="s">
        <v>9196</v>
      </c>
      <c r="E65" s="15">
        <v>13</v>
      </c>
      <c r="F65" s="15" t="s">
        <v>6228</v>
      </c>
      <c r="G65" s="15" t="s">
        <v>6229</v>
      </c>
      <c r="H65" s="15"/>
      <c r="I65" s="15" t="s">
        <v>96</v>
      </c>
      <c r="J65" s="7" t="str">
        <f>HYPERLINK("https://www.codechef.com/problems/PREP65", "https://www.codechef.com/problems/PREP65")</f>
        <v>https://www.codechef.com/problems/PREP65</v>
      </c>
      <c r="K65" s="15"/>
      <c r="L65" s="15"/>
      <c r="M65" s="15"/>
      <c r="N65" s="15" t="s">
        <v>50</v>
      </c>
      <c r="O65" s="15" t="s">
        <v>51</v>
      </c>
    </row>
    <row r="66" spans="1:15">
      <c r="A66" s="14" t="s">
        <v>15</v>
      </c>
      <c r="B66" s="14" t="s">
        <v>9197</v>
      </c>
      <c r="C66" s="14" t="s">
        <v>9198</v>
      </c>
      <c r="D66" s="14" t="s">
        <v>9199</v>
      </c>
      <c r="E66" s="14">
        <v>1</v>
      </c>
      <c r="F66" s="14" t="s">
        <v>6047</v>
      </c>
      <c r="G66" s="14" t="s">
        <v>6048</v>
      </c>
      <c r="H66" s="14"/>
      <c r="I66" s="14" t="s">
        <v>49</v>
      </c>
      <c r="J66" s="11" t="str">
        <f>HYPERLINK("https://www.codechef.com/problems/KNGATK", "https://www.codechef.com/problems/KNGATK")</f>
        <v>https://www.codechef.com/problems/KNGATK</v>
      </c>
      <c r="K66" s="14"/>
      <c r="L66" s="14"/>
      <c r="M66" s="14"/>
      <c r="N66" s="14" t="s">
        <v>50</v>
      </c>
      <c r="O66" s="14" t="s">
        <v>51</v>
      </c>
    </row>
    <row r="67" spans="1:15">
      <c r="A67" s="15" t="s">
        <v>15</v>
      </c>
      <c r="B67" s="15" t="s">
        <v>9197</v>
      </c>
      <c r="C67" s="15" t="s">
        <v>9198</v>
      </c>
      <c r="D67" s="15" t="s">
        <v>9199</v>
      </c>
      <c r="E67" s="15">
        <v>2</v>
      </c>
      <c r="F67" s="15" t="s">
        <v>315</v>
      </c>
      <c r="G67" s="15" t="s">
        <v>316</v>
      </c>
      <c r="H67" s="15" t="s">
        <v>180</v>
      </c>
      <c r="I67" s="15" t="s">
        <v>49</v>
      </c>
      <c r="J67" s="7" t="str">
        <f>HYPERLINK("https://www.codechef.com/problems/LLMID", "https://www.codechef.com/problems/LLMID")</f>
        <v>https://www.codechef.com/problems/LLMID</v>
      </c>
      <c r="K67" s="15"/>
      <c r="L67" s="15"/>
      <c r="M67" s="15"/>
      <c r="N67" s="15" t="s">
        <v>50</v>
      </c>
      <c r="O67" s="15" t="s">
        <v>51</v>
      </c>
    </row>
    <row r="68" spans="1:15">
      <c r="A68" s="14" t="s">
        <v>15</v>
      </c>
      <c r="B68" s="14" t="s">
        <v>9197</v>
      </c>
      <c r="C68" s="14" t="s">
        <v>9198</v>
      </c>
      <c r="D68" s="14" t="s">
        <v>9199</v>
      </c>
      <c r="E68" s="14">
        <v>3</v>
      </c>
      <c r="F68" s="14" t="s">
        <v>6118</v>
      </c>
      <c r="G68" s="14" t="s">
        <v>6119</v>
      </c>
      <c r="H68" s="14"/>
      <c r="I68" s="14" t="s">
        <v>96</v>
      </c>
      <c r="J68" s="11" t="str">
        <f>HYPERLINK("https://www.codechef.com/problems/TOYDESIRE", "https://www.codechef.com/problems/TOYDESIRE")</f>
        <v>https://www.codechef.com/problems/TOYDESIRE</v>
      </c>
      <c r="K68" s="14"/>
      <c r="L68" s="14"/>
      <c r="M68" s="14"/>
      <c r="N68" s="14" t="s">
        <v>50</v>
      </c>
      <c r="O68" s="14" t="s">
        <v>51</v>
      </c>
    </row>
    <row r="69" spans="1:15">
      <c r="A69" s="15" t="s">
        <v>15</v>
      </c>
      <c r="B69" s="15" t="s">
        <v>9197</v>
      </c>
      <c r="C69" s="15" t="s">
        <v>9198</v>
      </c>
      <c r="D69" s="15" t="s">
        <v>9199</v>
      </c>
      <c r="E69" s="15">
        <v>4</v>
      </c>
      <c r="F69" s="15" t="s">
        <v>351</v>
      </c>
      <c r="G69" s="15" t="s">
        <v>352</v>
      </c>
      <c r="H69" s="15" t="s">
        <v>348</v>
      </c>
      <c r="I69" s="15" t="s">
        <v>96</v>
      </c>
      <c r="J69" s="7" t="str">
        <f>HYPERLINK("https://www.codechef.com/problems/STRANGELIST", "https://www.codechef.com/problems/STRANGELIST")</f>
        <v>https://www.codechef.com/problems/STRANGELIST</v>
      </c>
      <c r="K69" s="15"/>
      <c r="L69" s="15"/>
      <c r="M69" s="15"/>
      <c r="N69" s="15" t="s">
        <v>50</v>
      </c>
      <c r="O69" s="15" t="s">
        <v>51</v>
      </c>
    </row>
    <row r="70" spans="1:15">
      <c r="A70" s="14" t="s">
        <v>15</v>
      </c>
      <c r="B70" s="14" t="s">
        <v>9197</v>
      </c>
      <c r="C70" s="14" t="s">
        <v>9198</v>
      </c>
      <c r="D70" s="14" t="s">
        <v>9199</v>
      </c>
      <c r="E70" s="14">
        <v>5</v>
      </c>
      <c r="F70" s="14" t="s">
        <v>307</v>
      </c>
      <c r="G70" s="14" t="s">
        <v>308</v>
      </c>
      <c r="H70" s="14" t="s">
        <v>309</v>
      </c>
      <c r="I70" s="14" t="s">
        <v>49</v>
      </c>
      <c r="J70" s="11" t="str">
        <f>HYPERLINK("https://www.codechef.com/problems/CRITLIST", "https://www.codechef.com/problems/CRITLIST")</f>
        <v>https://www.codechef.com/problems/CRITLIST</v>
      </c>
      <c r="K70" s="14"/>
      <c r="L70" s="14"/>
      <c r="M70" s="14"/>
      <c r="N70" s="14" t="s">
        <v>50</v>
      </c>
      <c r="O70" s="14" t="s">
        <v>51</v>
      </c>
    </row>
    <row r="71" spans="1:15">
      <c r="A71" s="15" t="s">
        <v>15</v>
      </c>
      <c r="B71" s="15" t="s">
        <v>9197</v>
      </c>
      <c r="C71" s="15" t="s">
        <v>9198</v>
      </c>
      <c r="D71" s="15" t="s">
        <v>9199</v>
      </c>
      <c r="E71" s="15">
        <v>6</v>
      </c>
      <c r="F71" s="15" t="s">
        <v>6111</v>
      </c>
      <c r="G71" s="15" t="s">
        <v>6112</v>
      </c>
      <c r="H71" s="15"/>
      <c r="I71" s="15" t="s">
        <v>49</v>
      </c>
      <c r="J71" s="7" t="str">
        <f>HYPERLINK("https://www.codechef.com/problems/PREP02", "https://www.codechef.com/problems/PREP02")</f>
        <v>https://www.codechef.com/problems/PREP02</v>
      </c>
      <c r="K71" s="15"/>
      <c r="L71" s="15"/>
      <c r="M71" s="15"/>
      <c r="N71" s="15" t="s">
        <v>50</v>
      </c>
      <c r="O71" s="15" t="s">
        <v>51</v>
      </c>
    </row>
    <row r="72" spans="1:15">
      <c r="A72" s="14" t="s">
        <v>15</v>
      </c>
      <c r="B72" s="14" t="s">
        <v>9197</v>
      </c>
      <c r="C72" s="14" t="s">
        <v>9198</v>
      </c>
      <c r="D72" s="14" t="s">
        <v>9199</v>
      </c>
      <c r="E72" s="14">
        <v>7</v>
      </c>
      <c r="F72" s="14" t="s">
        <v>6107</v>
      </c>
      <c r="G72" s="14" t="s">
        <v>6108</v>
      </c>
      <c r="H72" s="14"/>
      <c r="I72" s="14" t="s">
        <v>49</v>
      </c>
      <c r="J72" s="11" t="str">
        <f>HYPERLINK("https://www.codechef.com/problems/PREP05", "https://www.codechef.com/problems/PREP05")</f>
        <v>https://www.codechef.com/problems/PREP05</v>
      </c>
      <c r="K72" s="14"/>
      <c r="L72" s="14"/>
      <c r="M72" s="14"/>
      <c r="N72" s="14" t="s">
        <v>50</v>
      </c>
      <c r="O72" s="14" t="s">
        <v>51</v>
      </c>
    </row>
    <row r="73" spans="1:15">
      <c r="A73" s="15" t="s">
        <v>15</v>
      </c>
      <c r="B73" s="15" t="s">
        <v>9197</v>
      </c>
      <c r="C73" s="15" t="s">
        <v>9198</v>
      </c>
      <c r="D73" s="15" t="s">
        <v>9199</v>
      </c>
      <c r="E73" s="15">
        <v>8</v>
      </c>
      <c r="F73" s="15" t="s">
        <v>407</v>
      </c>
      <c r="G73" s="15" t="s">
        <v>408</v>
      </c>
      <c r="H73" s="15" t="s">
        <v>348</v>
      </c>
      <c r="I73" s="15" t="s">
        <v>96</v>
      </c>
      <c r="J73" s="7" t="str">
        <f>HYPERLINK("https://www.codechef.com/problems/PREP23", "https://www.codechef.com/problems/PREP23")</f>
        <v>https://www.codechef.com/problems/PREP23</v>
      </c>
      <c r="K73" s="15"/>
      <c r="L73" s="15"/>
      <c r="M73" s="15"/>
      <c r="N73" s="15" t="s">
        <v>50</v>
      </c>
      <c r="O73" s="15" t="s">
        <v>51</v>
      </c>
    </row>
    <row r="74" spans="1:15">
      <c r="A74" s="14" t="s">
        <v>15</v>
      </c>
      <c r="B74" s="14" t="s">
        <v>9197</v>
      </c>
      <c r="C74" s="14" t="s">
        <v>9198</v>
      </c>
      <c r="D74" s="14" t="s">
        <v>9199</v>
      </c>
      <c r="E74" s="14">
        <v>9</v>
      </c>
      <c r="F74" s="14" t="s">
        <v>6205</v>
      </c>
      <c r="G74" s="14" t="s">
        <v>6206</v>
      </c>
      <c r="H74" s="14"/>
      <c r="I74" s="14" t="s">
        <v>322</v>
      </c>
      <c r="J74" s="11" t="str">
        <f>HYPERLINK("https://www.codechef.com/problems/PREP36", "https://www.codechef.com/problems/PREP36")</f>
        <v>https://www.codechef.com/problems/PREP36</v>
      </c>
      <c r="K74" s="14"/>
      <c r="L74" s="14"/>
      <c r="M74" s="14"/>
      <c r="N74" s="14" t="s">
        <v>50</v>
      </c>
      <c r="O74" s="14" t="s">
        <v>51</v>
      </c>
    </row>
    <row r="75" spans="1:15">
      <c r="A75" s="15" t="s">
        <v>15</v>
      </c>
      <c r="B75" s="15" t="s">
        <v>9197</v>
      </c>
      <c r="C75" s="15" t="s">
        <v>9198</v>
      </c>
      <c r="D75" s="15" t="s">
        <v>9199</v>
      </c>
      <c r="E75" s="15">
        <v>10</v>
      </c>
      <c r="F75" s="15" t="s">
        <v>6209</v>
      </c>
      <c r="G75" s="15" t="s">
        <v>6210</v>
      </c>
      <c r="H75" s="15"/>
      <c r="I75" s="15" t="s">
        <v>322</v>
      </c>
      <c r="J75" s="7" t="str">
        <f>HYPERLINK("https://www.codechef.com/problems/PREP50", "https://www.codechef.com/problems/PREP50")</f>
        <v>https://www.codechef.com/problems/PREP50</v>
      </c>
      <c r="K75" s="15"/>
      <c r="L75" s="15"/>
      <c r="M75" s="15"/>
      <c r="N75" s="15" t="s">
        <v>50</v>
      </c>
      <c r="O75" s="15" t="s">
        <v>51</v>
      </c>
    </row>
    <row r="76" spans="1:15">
      <c r="A76" s="14" t="s">
        <v>15</v>
      </c>
      <c r="B76" s="14" t="s">
        <v>9197</v>
      </c>
      <c r="C76" s="14" t="s">
        <v>9198</v>
      </c>
      <c r="D76" s="14" t="s">
        <v>9199</v>
      </c>
      <c r="E76" s="14">
        <v>11</v>
      </c>
      <c r="F76" s="14" t="s">
        <v>6163</v>
      </c>
      <c r="G76" s="14" t="s">
        <v>6164</v>
      </c>
      <c r="H76" s="14"/>
      <c r="I76" s="14" t="s">
        <v>96</v>
      </c>
      <c r="J76" s="11" t="str">
        <f>HYPERLINK("https://www.codechef.com/problems/PREP57", "https://www.codechef.com/problems/PREP57")</f>
        <v>https://www.codechef.com/problems/PREP57</v>
      </c>
      <c r="K76" s="14"/>
      <c r="L76" s="14"/>
      <c r="M76" s="14"/>
      <c r="N76" s="14" t="s">
        <v>50</v>
      </c>
      <c r="O76" s="14" t="s">
        <v>51</v>
      </c>
    </row>
    <row r="77" spans="1:15">
      <c r="A77" s="15" t="s">
        <v>15</v>
      </c>
      <c r="B77" s="15" t="s">
        <v>9197</v>
      </c>
      <c r="C77" s="15" t="s">
        <v>9198</v>
      </c>
      <c r="D77" s="15" t="s">
        <v>9199</v>
      </c>
      <c r="E77" s="15">
        <v>12</v>
      </c>
      <c r="F77" s="15" t="s">
        <v>305</v>
      </c>
      <c r="G77" s="15" t="s">
        <v>306</v>
      </c>
      <c r="H77" s="15" t="s">
        <v>60</v>
      </c>
      <c r="I77" s="15" t="s">
        <v>49</v>
      </c>
      <c r="J77" s="7" t="str">
        <f>HYPERLINK("https://www.codechef.com/problems/PREP55", "https://www.codechef.com/problems/PREP55")</f>
        <v>https://www.codechef.com/problems/PREP55</v>
      </c>
      <c r="K77" s="15"/>
      <c r="L77" s="15"/>
      <c r="M77" s="15"/>
      <c r="N77" s="15" t="s">
        <v>50</v>
      </c>
      <c r="O77" s="15" t="s">
        <v>51</v>
      </c>
    </row>
    <row r="78" spans="1:15">
      <c r="A78" s="14" t="s">
        <v>15</v>
      </c>
      <c r="B78" s="14" t="s">
        <v>9197</v>
      </c>
      <c r="C78" s="14" t="s">
        <v>9198</v>
      </c>
      <c r="D78" s="14" t="s">
        <v>9199</v>
      </c>
      <c r="E78" s="14">
        <v>13</v>
      </c>
      <c r="F78" s="14" t="s">
        <v>6101</v>
      </c>
      <c r="G78" s="14" t="s">
        <v>6102</v>
      </c>
      <c r="H78" s="14"/>
      <c r="I78" s="14" t="s">
        <v>96</v>
      </c>
      <c r="J78" s="11" t="str">
        <f>HYPERLINK("https://www.codechef.com/problems/PTRLP", "https://www.codechef.com/problems/PTRLP")</f>
        <v>https://www.codechef.com/problems/PTRLP</v>
      </c>
      <c r="K78" s="14"/>
      <c r="L78" s="14"/>
      <c r="M78" s="14"/>
      <c r="N78" s="14" t="s">
        <v>50</v>
      </c>
      <c r="O78" s="14" t="s">
        <v>51</v>
      </c>
    </row>
    <row r="79" spans="1:15">
      <c r="A79" s="15" t="s">
        <v>15</v>
      </c>
      <c r="B79" s="15" t="s">
        <v>9197</v>
      </c>
      <c r="C79" s="15" t="s">
        <v>9198</v>
      </c>
      <c r="D79" s="15" t="s">
        <v>9199</v>
      </c>
      <c r="E79" s="15">
        <v>14</v>
      </c>
      <c r="F79" s="15" t="s">
        <v>6232</v>
      </c>
      <c r="G79" s="15" t="s">
        <v>6233</v>
      </c>
      <c r="H79" s="15"/>
      <c r="I79" s="15" t="s">
        <v>96</v>
      </c>
      <c r="J79" s="7" t="str">
        <f>HYPERLINK("https://www.codechef.com/problems/PREP66", "https://www.codechef.com/problems/PREP66")</f>
        <v>https://www.codechef.com/problems/PREP66</v>
      </c>
      <c r="K79" s="15"/>
      <c r="L79" s="15"/>
      <c r="M79" s="15"/>
      <c r="N79" s="15" t="s">
        <v>50</v>
      </c>
      <c r="O79" s="15" t="s">
        <v>51</v>
      </c>
    </row>
    <row r="80" spans="1:15">
      <c r="A80" s="14" t="s">
        <v>15</v>
      </c>
      <c r="B80" s="14" t="s">
        <v>9197</v>
      </c>
      <c r="C80" s="14" t="s">
        <v>9198</v>
      </c>
      <c r="D80" s="14" t="s">
        <v>9199</v>
      </c>
      <c r="E80" s="14">
        <v>15</v>
      </c>
      <c r="F80" s="14" t="s">
        <v>6263</v>
      </c>
      <c r="G80" s="14" t="s">
        <v>6264</v>
      </c>
      <c r="H80" s="14"/>
      <c r="I80" s="14" t="s">
        <v>322</v>
      </c>
      <c r="J80" s="11" t="str">
        <f>HYPERLINK("https://www.codechef.com/problems/PREP24", "https://www.codechef.com/problems/PREP24")</f>
        <v>https://www.codechef.com/problems/PREP24</v>
      </c>
      <c r="K80" s="14"/>
      <c r="L80" s="14"/>
      <c r="M80" s="14"/>
      <c r="N80" s="14" t="s">
        <v>50</v>
      </c>
      <c r="O80" s="14" t="s">
        <v>51</v>
      </c>
    </row>
    <row r="81" spans="1:15">
      <c r="A81" s="15" t="s">
        <v>15</v>
      </c>
      <c r="B81" s="15" t="s">
        <v>9200</v>
      </c>
      <c r="C81" s="15" t="s">
        <v>9201</v>
      </c>
      <c r="D81" s="15" t="s">
        <v>9202</v>
      </c>
      <c r="E81" s="15">
        <v>1</v>
      </c>
      <c r="F81" s="15" t="s">
        <v>9203</v>
      </c>
      <c r="G81" s="15" t="s">
        <v>9204</v>
      </c>
      <c r="H81" s="15"/>
      <c r="I81" s="15" t="s">
        <v>96</v>
      </c>
      <c r="J81" s="7" t="str">
        <f>HYPERLINK("https://www.codechef.com/problems/CONSPRIMESUM", "https://www.codechef.com/problems/CONSPRIMESUM")</f>
        <v>https://www.codechef.com/problems/CONSPRIMESUM</v>
      </c>
      <c r="K81" s="15"/>
      <c r="L81" s="15"/>
      <c r="M81" s="15"/>
      <c r="N81" s="15" t="s">
        <v>50</v>
      </c>
      <c r="O81" s="15" t="s">
        <v>51</v>
      </c>
    </row>
    <row r="82" spans="1:15">
      <c r="A82" s="14" t="s">
        <v>15</v>
      </c>
      <c r="B82" s="14" t="s">
        <v>9200</v>
      </c>
      <c r="C82" s="14" t="s">
        <v>9201</v>
      </c>
      <c r="D82" s="14" t="s">
        <v>9202</v>
      </c>
      <c r="E82" s="14">
        <v>2</v>
      </c>
      <c r="F82" s="14" t="s">
        <v>9205</v>
      </c>
      <c r="G82" s="14" t="s">
        <v>9206</v>
      </c>
      <c r="H82" s="14"/>
      <c r="I82" s="14" t="s">
        <v>96</v>
      </c>
      <c r="J82" s="11" t="str">
        <f>HYPERLINK("https://www.codechef.com/problems/CONSTPROB", "https://www.codechef.com/problems/CONSTPROB")</f>
        <v>https://www.codechef.com/problems/CONSTPROB</v>
      </c>
      <c r="K82" s="14"/>
      <c r="L82" s="14"/>
      <c r="M82" s="14"/>
      <c r="N82" s="14" t="s">
        <v>50</v>
      </c>
      <c r="O82" s="14" t="s">
        <v>51</v>
      </c>
    </row>
    <row r="83" spans="1:15">
      <c r="A83" s="15" t="s">
        <v>15</v>
      </c>
      <c r="B83" s="15" t="s">
        <v>9200</v>
      </c>
      <c r="C83" s="15" t="s">
        <v>9201</v>
      </c>
      <c r="D83" s="15" t="s">
        <v>9202</v>
      </c>
      <c r="E83" s="15">
        <v>3</v>
      </c>
      <c r="F83" s="15" t="s">
        <v>9207</v>
      </c>
      <c r="G83" s="15" t="s">
        <v>9208</v>
      </c>
      <c r="H83" s="15"/>
      <c r="I83" s="15" t="s">
        <v>322</v>
      </c>
      <c r="J83" s="7" t="str">
        <f>HYPERLINK("https://www.codechef.com/problems/BEETLE", "https://www.codechef.com/problems/BEETLE")</f>
        <v>https://www.codechef.com/problems/BEETLE</v>
      </c>
      <c r="K83" s="15"/>
      <c r="L83" s="15"/>
      <c r="M83" s="15"/>
      <c r="N83" s="15" t="s">
        <v>50</v>
      </c>
      <c r="O83" s="15" t="s">
        <v>51</v>
      </c>
    </row>
    <row r="84" spans="1:15">
      <c r="A84" s="14" t="s">
        <v>15</v>
      </c>
      <c r="B84" s="14" t="s">
        <v>9200</v>
      </c>
      <c r="C84" s="14" t="s">
        <v>9201</v>
      </c>
      <c r="D84" s="14" t="s">
        <v>9202</v>
      </c>
      <c r="E84" s="14">
        <v>4</v>
      </c>
      <c r="F84" s="14" t="s">
        <v>9209</v>
      </c>
      <c r="G84" s="14" t="s">
        <v>9210</v>
      </c>
      <c r="H84" s="14"/>
      <c r="I84" s="14" t="s">
        <v>96</v>
      </c>
      <c r="J84" s="11" t="str">
        <f>HYPERLINK("https://www.codechef.com/problems/RCKCNT", "https://www.codechef.com/problems/RCKCNT")</f>
        <v>https://www.codechef.com/problems/RCKCNT</v>
      </c>
      <c r="K84" s="14"/>
      <c r="L84" s="14"/>
      <c r="M84" s="14"/>
      <c r="N84" s="14" t="s">
        <v>50</v>
      </c>
      <c r="O84" s="14" t="s">
        <v>51</v>
      </c>
    </row>
    <row r="85" spans="1:15">
      <c r="A85" s="15" t="s">
        <v>15</v>
      </c>
      <c r="B85" s="15" t="s">
        <v>9200</v>
      </c>
      <c r="C85" s="15" t="s">
        <v>9201</v>
      </c>
      <c r="D85" s="15" t="s">
        <v>9202</v>
      </c>
      <c r="E85" s="15">
        <v>5</v>
      </c>
      <c r="F85" s="15" t="s">
        <v>9211</v>
      </c>
      <c r="G85" s="15" t="s">
        <v>9212</v>
      </c>
      <c r="H85" s="15"/>
      <c r="I85" s="15" t="s">
        <v>96</v>
      </c>
      <c r="J85" s="7" t="str">
        <f>HYPERLINK("https://www.codechef.com/problems/CAVEPATH", "https://www.codechef.com/problems/CAVEPATH")</f>
        <v>https://www.codechef.com/problems/CAVEPATH</v>
      </c>
      <c r="K85" s="15"/>
      <c r="L85" s="15"/>
      <c r="M85" s="15"/>
      <c r="N85" s="15" t="s">
        <v>50</v>
      </c>
      <c r="O85" s="15" t="s">
        <v>51</v>
      </c>
    </row>
    <row r="86" spans="1:15">
      <c r="A86" s="14" t="s">
        <v>15</v>
      </c>
      <c r="B86" s="14" t="s">
        <v>9200</v>
      </c>
      <c r="C86" s="14" t="s">
        <v>9201</v>
      </c>
      <c r="D86" s="14" t="s">
        <v>9202</v>
      </c>
      <c r="E86" s="14">
        <v>6</v>
      </c>
      <c r="F86" s="14" t="s">
        <v>9213</v>
      </c>
      <c r="G86" s="14" t="s">
        <v>9214</v>
      </c>
      <c r="H86" s="14"/>
      <c r="I86" s="14" t="s">
        <v>96</v>
      </c>
      <c r="J86" s="11" t="str">
        <f>HYPERLINK("https://www.codechef.com/problems/CODEVITA20A", "https://www.codechef.com/problems/CODEVITA20A")</f>
        <v>https://www.codechef.com/problems/CODEVITA20A</v>
      </c>
      <c r="K86" s="14"/>
      <c r="L86" s="14"/>
      <c r="M86" s="14"/>
      <c r="N86" s="14" t="s">
        <v>50</v>
      </c>
      <c r="O86" s="14" t="s">
        <v>51</v>
      </c>
    </row>
    <row r="87" spans="1:15">
      <c r="A87" s="15" t="s">
        <v>15</v>
      </c>
      <c r="B87" s="15" t="s">
        <v>9200</v>
      </c>
      <c r="C87" s="15" t="s">
        <v>9201</v>
      </c>
      <c r="D87" s="15" t="s">
        <v>9202</v>
      </c>
      <c r="E87" s="15">
        <v>7</v>
      </c>
      <c r="F87" s="15" t="s">
        <v>9215</v>
      </c>
      <c r="G87" s="15" t="s">
        <v>9216</v>
      </c>
      <c r="H87" s="15"/>
      <c r="I87" s="15" t="s">
        <v>96</v>
      </c>
      <c r="J87" s="7" t="str">
        <f>HYPERLINK("https://www.codechef.com/problems/CODEVITA20B", "https://www.codechef.com/problems/CODEVITA20B")</f>
        <v>https://www.codechef.com/problems/CODEVITA20B</v>
      </c>
      <c r="K87" s="15"/>
      <c r="L87" s="15"/>
      <c r="M87" s="15"/>
      <c r="N87" s="15" t="s">
        <v>50</v>
      </c>
      <c r="O87" s="15" t="s">
        <v>51</v>
      </c>
    </row>
    <row r="88" spans="1:15">
      <c r="A88" s="14" t="s">
        <v>15</v>
      </c>
      <c r="B88" s="14" t="s">
        <v>9200</v>
      </c>
      <c r="C88" s="14" t="s">
        <v>9201</v>
      </c>
      <c r="D88" s="14" t="s">
        <v>9202</v>
      </c>
      <c r="E88" s="14">
        <v>8</v>
      </c>
      <c r="F88" s="14" t="s">
        <v>9217</v>
      </c>
      <c r="G88" s="14" t="s">
        <v>9218</v>
      </c>
      <c r="H88" s="14"/>
      <c r="I88" s="14" t="s">
        <v>322</v>
      </c>
      <c r="J88" s="11" t="str">
        <f>HYPERLINK("https://www.codechef.com/problems/CODEVITA20C", "https://www.codechef.com/problems/CODEVITA20C")</f>
        <v>https://www.codechef.com/problems/CODEVITA20C</v>
      </c>
      <c r="K88" s="14"/>
      <c r="L88" s="14"/>
      <c r="M88" s="14"/>
      <c r="N88" s="14" t="s">
        <v>50</v>
      </c>
      <c r="O88" s="14" t="s">
        <v>51</v>
      </c>
    </row>
    <row r="89" spans="1:15">
      <c r="A89" s="15" t="s">
        <v>15</v>
      </c>
      <c r="B89" s="15" t="s">
        <v>9200</v>
      </c>
      <c r="C89" s="15" t="s">
        <v>9201</v>
      </c>
      <c r="D89" s="15" t="s">
        <v>9219</v>
      </c>
      <c r="E89" s="15">
        <v>9</v>
      </c>
      <c r="F89" s="15" t="s">
        <v>9220</v>
      </c>
      <c r="G89" s="15" t="s">
        <v>9221</v>
      </c>
      <c r="H89" s="15"/>
      <c r="I89" s="15" t="s">
        <v>322</v>
      </c>
      <c r="J89" s="7" t="str">
        <f>HYPERLINK("https://www.codechef.com/problems/CODEVITA21A", "https://www.codechef.com/problems/CODEVITA21A")</f>
        <v>https://www.codechef.com/problems/CODEVITA21A</v>
      </c>
      <c r="K89" s="15"/>
      <c r="L89" s="15"/>
      <c r="M89" s="15"/>
      <c r="N89" s="15" t="s">
        <v>50</v>
      </c>
      <c r="O89" s="15" t="s">
        <v>51</v>
      </c>
    </row>
    <row r="90" spans="1:15">
      <c r="A90" s="14" t="s">
        <v>15</v>
      </c>
      <c r="B90" s="14" t="s">
        <v>9200</v>
      </c>
      <c r="C90" s="14" t="s">
        <v>9201</v>
      </c>
      <c r="D90" s="14" t="s">
        <v>9219</v>
      </c>
      <c r="E90" s="14">
        <v>10</v>
      </c>
      <c r="F90" s="14" t="s">
        <v>9222</v>
      </c>
      <c r="G90" s="14" t="s">
        <v>9223</v>
      </c>
      <c r="H90" s="14"/>
      <c r="I90" s="14" t="s">
        <v>96</v>
      </c>
      <c r="J90" s="11" t="str">
        <f>HYPERLINK("https://www.codechef.com/problems/CODEVITA21B", "https://www.codechef.com/problems/CODEVITA21B")</f>
        <v>https://www.codechef.com/problems/CODEVITA21B</v>
      </c>
      <c r="K90" s="14"/>
      <c r="L90" s="14"/>
      <c r="M90" s="14"/>
      <c r="N90" s="14" t="s">
        <v>50</v>
      </c>
      <c r="O90" s="14" t="s">
        <v>51</v>
      </c>
    </row>
    <row r="91" spans="1:15">
      <c r="A91" s="15" t="s">
        <v>15</v>
      </c>
      <c r="B91" s="15" t="s">
        <v>9200</v>
      </c>
      <c r="C91" s="15" t="s">
        <v>9201</v>
      </c>
      <c r="D91" s="15" t="s">
        <v>9219</v>
      </c>
      <c r="E91" s="15">
        <v>11</v>
      </c>
      <c r="F91" s="15" t="s">
        <v>9224</v>
      </c>
      <c r="G91" s="15" t="s">
        <v>9225</v>
      </c>
      <c r="H91" s="15"/>
      <c r="I91" s="15" t="s">
        <v>96</v>
      </c>
      <c r="J91" s="7" t="str">
        <f>HYPERLINK("https://www.codechef.com/problems/CODEVITA21C", "https://www.codechef.com/problems/CODEVITA21C")</f>
        <v>https://www.codechef.com/problems/CODEVITA21C</v>
      </c>
      <c r="K91" s="15"/>
      <c r="L91" s="15"/>
      <c r="M91" s="15"/>
      <c r="N91" s="15" t="s">
        <v>50</v>
      </c>
      <c r="O91" s="15" t="s">
        <v>51</v>
      </c>
    </row>
    <row r="92" spans="1:15">
      <c r="A92" s="14" t="s">
        <v>15</v>
      </c>
      <c r="B92" s="14" t="s">
        <v>9200</v>
      </c>
      <c r="C92" s="14" t="s">
        <v>9201</v>
      </c>
      <c r="D92" s="14" t="s">
        <v>9226</v>
      </c>
      <c r="E92" s="14">
        <v>12</v>
      </c>
      <c r="F92" s="14" t="s">
        <v>1304</v>
      </c>
      <c r="G92" s="14" t="s">
        <v>9227</v>
      </c>
      <c r="H92" s="14"/>
      <c r="I92" s="14" t="s">
        <v>96</v>
      </c>
      <c r="J92" s="11" t="str">
        <f>HYPERLINK("https://www.codechef.com/problems/CODEVITA22A", "https://www.codechef.com/problems/CODEVITA22A")</f>
        <v>https://www.codechef.com/problems/CODEVITA22A</v>
      </c>
      <c r="K92" s="14"/>
      <c r="L92" s="14"/>
      <c r="M92" s="14"/>
      <c r="N92" s="14" t="s">
        <v>50</v>
      </c>
      <c r="O92" s="14" t="s">
        <v>51</v>
      </c>
    </row>
    <row r="93" spans="1:15">
      <c r="A93" s="15" t="s">
        <v>15</v>
      </c>
      <c r="B93" s="15" t="s">
        <v>9200</v>
      </c>
      <c r="C93" s="15" t="s">
        <v>9201</v>
      </c>
      <c r="D93" s="15" t="s">
        <v>9226</v>
      </c>
      <c r="E93" s="15">
        <v>13</v>
      </c>
      <c r="F93" s="15" t="s">
        <v>9228</v>
      </c>
      <c r="G93" s="15" t="s">
        <v>9229</v>
      </c>
      <c r="H93" s="15"/>
      <c r="I93" s="15" t="s">
        <v>322</v>
      </c>
      <c r="J93" s="7" t="str">
        <f>HYPERLINK("https://www.codechef.com/problems/CODEVITA22B", "https://www.codechef.com/problems/CODEVITA22B")</f>
        <v>https://www.codechef.com/problems/CODEVITA22B</v>
      </c>
      <c r="K93" s="15"/>
      <c r="L93" s="15"/>
      <c r="M93" s="15"/>
      <c r="N93" s="15" t="s">
        <v>50</v>
      </c>
      <c r="O93" s="15" t="s">
        <v>51</v>
      </c>
    </row>
    <row r="94" spans="1:15">
      <c r="A94" s="14" t="s">
        <v>15</v>
      </c>
      <c r="B94" s="14" t="s">
        <v>9200</v>
      </c>
      <c r="C94" s="14" t="s">
        <v>9201</v>
      </c>
      <c r="D94" s="14" t="s">
        <v>9226</v>
      </c>
      <c r="E94" s="14">
        <v>14</v>
      </c>
      <c r="F94" s="14" t="s">
        <v>9230</v>
      </c>
      <c r="G94" s="14" t="s">
        <v>9231</v>
      </c>
      <c r="H94" s="14"/>
      <c r="I94" s="14" t="s">
        <v>96</v>
      </c>
      <c r="J94" s="11" t="str">
        <f>HYPERLINK("https://www.codechef.com/problems/CODEVITA22C", "https://www.codechef.com/problems/CODEVITA22C")</f>
        <v>https://www.codechef.com/problems/CODEVITA22C</v>
      </c>
      <c r="K94" s="14"/>
      <c r="L94" s="14"/>
      <c r="M94" s="14"/>
      <c r="N94" s="14" t="s">
        <v>50</v>
      </c>
      <c r="O94" s="14" t="s">
        <v>51</v>
      </c>
    </row>
    <row r="95" spans="1:15">
      <c r="A95" s="15" t="s">
        <v>15</v>
      </c>
      <c r="B95" s="15" t="s">
        <v>9200</v>
      </c>
      <c r="C95" s="15" t="s">
        <v>9201</v>
      </c>
      <c r="D95" s="15" t="s">
        <v>9232</v>
      </c>
      <c r="E95" s="15">
        <v>15</v>
      </c>
      <c r="F95" s="15" t="s">
        <v>9233</v>
      </c>
      <c r="G95" s="15" t="s">
        <v>9234</v>
      </c>
      <c r="H95" s="15"/>
      <c r="I95" s="15" t="s">
        <v>96</v>
      </c>
      <c r="J95" s="7" t="str">
        <f>HYPERLINK("https://www.codechef.com/problems/CODEVITA23A", "https://www.codechef.com/problems/CODEVITA23A")</f>
        <v>https://www.codechef.com/problems/CODEVITA23A</v>
      </c>
      <c r="K95" s="15"/>
      <c r="L95" s="15"/>
      <c r="M95" s="15"/>
      <c r="N95" s="15" t="s">
        <v>50</v>
      </c>
      <c r="O95" s="15" t="s">
        <v>51</v>
      </c>
    </row>
    <row r="96" spans="1:15">
      <c r="A96" s="14" t="s">
        <v>15</v>
      </c>
      <c r="B96" s="14" t="s">
        <v>9200</v>
      </c>
      <c r="C96" s="14" t="s">
        <v>9201</v>
      </c>
      <c r="D96" s="14" t="s">
        <v>9232</v>
      </c>
      <c r="E96" s="14">
        <v>16</v>
      </c>
      <c r="F96" s="14" t="s">
        <v>9235</v>
      </c>
      <c r="G96" s="14" t="s">
        <v>9236</v>
      </c>
      <c r="H96" s="14"/>
      <c r="I96" s="14" t="s">
        <v>96</v>
      </c>
      <c r="J96" s="11" t="str">
        <f>HYPERLINK("https://www.codechef.com/problems/CODEVITA23B", "https://www.codechef.com/problems/CODEVITA23B")</f>
        <v>https://www.codechef.com/problems/CODEVITA23B</v>
      </c>
      <c r="K96" s="14"/>
      <c r="L96" s="14"/>
      <c r="M96" s="14"/>
      <c r="N96" s="14" t="s">
        <v>50</v>
      </c>
      <c r="O96" s="14" t="s">
        <v>51</v>
      </c>
    </row>
    <row r="97" spans="1:15">
      <c r="A97" s="15" t="s">
        <v>15</v>
      </c>
      <c r="B97" s="15" t="s">
        <v>9200</v>
      </c>
      <c r="C97" s="15" t="s">
        <v>9201</v>
      </c>
      <c r="D97" s="15" t="s">
        <v>9232</v>
      </c>
      <c r="E97" s="15">
        <v>17</v>
      </c>
      <c r="F97" s="15" t="s">
        <v>9237</v>
      </c>
      <c r="G97" s="15" t="s">
        <v>9238</v>
      </c>
      <c r="H97" s="15"/>
      <c r="I97" s="15" t="s">
        <v>96</v>
      </c>
      <c r="J97" s="7" t="str">
        <f>HYPERLINK("https://www.codechef.com/problems/CODEVITA23C", "https://www.codechef.com/problems/CODEVITA23C")</f>
        <v>https://www.codechef.com/problems/CODEVITA23C</v>
      </c>
      <c r="K97" s="15"/>
      <c r="L97" s="15"/>
      <c r="M97" s="15"/>
      <c r="N97" s="15" t="s">
        <v>50</v>
      </c>
      <c r="O97" s="15" t="s">
        <v>51</v>
      </c>
    </row>
    <row r="98" spans="1:15">
      <c r="A98" s="14" t="s">
        <v>15</v>
      </c>
      <c r="B98" s="14" t="s">
        <v>9200</v>
      </c>
      <c r="C98" s="14" t="s">
        <v>9201</v>
      </c>
      <c r="D98" s="14" t="s">
        <v>9232</v>
      </c>
      <c r="E98" s="14">
        <v>18</v>
      </c>
      <c r="F98" s="14" t="s">
        <v>9239</v>
      </c>
      <c r="G98" s="14" t="s">
        <v>9240</v>
      </c>
      <c r="H98" s="14"/>
      <c r="I98" s="14" t="s">
        <v>96</v>
      </c>
      <c r="J98" s="11" t="str">
        <f>HYPERLINK("https://www.codechef.com/problems/CODEVITA23D", "https://www.codechef.com/problems/CODEVITA23D")</f>
        <v>https://www.codechef.com/problems/CODEVITA23D</v>
      </c>
      <c r="K98" s="14"/>
      <c r="L98" s="14"/>
      <c r="M98" s="14"/>
      <c r="N98" s="14" t="s">
        <v>50</v>
      </c>
      <c r="O98" s="14" t="s">
        <v>51</v>
      </c>
    </row>
    <row r="99" spans="1:15">
      <c r="A99" s="15" t="s">
        <v>15</v>
      </c>
      <c r="B99" s="15" t="s">
        <v>9200</v>
      </c>
      <c r="C99" s="15" t="s">
        <v>9201</v>
      </c>
      <c r="D99" s="15" t="s">
        <v>9232</v>
      </c>
      <c r="E99" s="15">
        <v>19</v>
      </c>
      <c r="F99" s="15" t="s">
        <v>9241</v>
      </c>
      <c r="G99" s="15" t="s">
        <v>9242</v>
      </c>
      <c r="H99" s="15"/>
      <c r="I99" s="15" t="s">
        <v>96</v>
      </c>
      <c r="J99" s="7" t="str">
        <f>HYPERLINK("https://www.codechef.com/problems/CODEVITA23E", "https://www.codechef.com/problems/CODEVITA23E")</f>
        <v>https://www.codechef.com/problems/CODEVITA23E</v>
      </c>
      <c r="K99" s="15"/>
      <c r="L99" s="15"/>
      <c r="M99" s="15"/>
      <c r="N99" s="15" t="s">
        <v>50</v>
      </c>
      <c r="O99" s="15" t="s">
        <v>51</v>
      </c>
    </row>
    <row r="100" spans="1:15">
      <c r="A100" s="14" t="s">
        <v>15</v>
      </c>
      <c r="B100" s="14" t="s">
        <v>9243</v>
      </c>
      <c r="C100" s="14" t="s">
        <v>9244</v>
      </c>
      <c r="D100" s="14" t="s">
        <v>9245</v>
      </c>
      <c r="E100" s="14">
        <v>1</v>
      </c>
      <c r="F100" s="14" t="s">
        <v>9246</v>
      </c>
      <c r="G100" s="14" t="s">
        <v>9247</v>
      </c>
      <c r="H100" s="14"/>
      <c r="I100" s="14" t="s">
        <v>96</v>
      </c>
      <c r="J100" s="11" t="str">
        <f>HYPERLINK("https://www.codechef.com/problems/TCSNQTCP01", "https://www.codechef.com/problems/TCSNQTCP01")</f>
        <v>https://www.codechef.com/problems/TCSNQTCP01</v>
      </c>
      <c r="K100" s="14"/>
      <c r="L100" s="14"/>
      <c r="M100" s="14"/>
      <c r="N100" s="14" t="s">
        <v>50</v>
      </c>
      <c r="O100" s="14" t="s">
        <v>51</v>
      </c>
    </row>
    <row r="101" spans="1:15">
      <c r="A101" s="15" t="s">
        <v>15</v>
      </c>
      <c r="B101" s="15" t="s">
        <v>9243</v>
      </c>
      <c r="C101" s="15" t="s">
        <v>9244</v>
      </c>
      <c r="D101" s="15" t="s">
        <v>9245</v>
      </c>
      <c r="E101" s="15">
        <v>2</v>
      </c>
      <c r="F101" s="15" t="s">
        <v>9248</v>
      </c>
      <c r="G101" s="15" t="s">
        <v>9249</v>
      </c>
      <c r="H101" s="15"/>
      <c r="I101" s="15" t="s">
        <v>96</v>
      </c>
      <c r="J101" s="7" t="str">
        <f>HYPERLINK("https://www.codechef.com/problems/TCSNQTCP02", "https://www.codechef.com/problems/TCSNQTCP02")</f>
        <v>https://www.codechef.com/problems/TCSNQTCP02</v>
      </c>
      <c r="K101" s="15"/>
      <c r="L101" s="15"/>
      <c r="M101" s="15"/>
      <c r="N101" s="15" t="s">
        <v>50</v>
      </c>
      <c r="O101" s="15" t="s">
        <v>51</v>
      </c>
    </row>
    <row r="102" spans="1:15">
      <c r="A102" s="14" t="s">
        <v>15</v>
      </c>
      <c r="B102" s="14" t="s">
        <v>9243</v>
      </c>
      <c r="C102" s="14" t="s">
        <v>9244</v>
      </c>
      <c r="D102" s="14" t="s">
        <v>9245</v>
      </c>
      <c r="E102" s="14">
        <v>3</v>
      </c>
      <c r="F102" s="14" t="s">
        <v>9250</v>
      </c>
      <c r="G102" s="14" t="s">
        <v>9251</v>
      </c>
      <c r="H102" s="14"/>
      <c r="I102" s="14" t="s">
        <v>49</v>
      </c>
      <c r="J102" s="11" t="str">
        <f>HYPERLINK("https://www.codechef.com/problems/TCSNQTCP03", "https://www.codechef.com/problems/TCSNQTCP03")</f>
        <v>https://www.codechef.com/problems/TCSNQTCP03</v>
      </c>
      <c r="K102" s="14"/>
      <c r="L102" s="14"/>
      <c r="M102" s="14"/>
      <c r="N102" s="14" t="s">
        <v>50</v>
      </c>
      <c r="O102" s="14" t="s">
        <v>51</v>
      </c>
    </row>
    <row r="103" spans="1:15">
      <c r="A103" s="15" t="s">
        <v>15</v>
      </c>
      <c r="B103" s="15" t="s">
        <v>9243</v>
      </c>
      <c r="C103" s="15" t="s">
        <v>9244</v>
      </c>
      <c r="D103" s="15" t="s">
        <v>9245</v>
      </c>
      <c r="E103" s="15">
        <v>4</v>
      </c>
      <c r="F103" s="15" t="s">
        <v>9252</v>
      </c>
      <c r="G103" s="15" t="s">
        <v>9253</v>
      </c>
      <c r="H103" s="15"/>
      <c r="I103" s="15" t="s">
        <v>96</v>
      </c>
      <c r="J103" s="7" t="str">
        <f>HYPERLINK("https://www.codechef.com/problems/TCSNQTCP04", "https://www.codechef.com/problems/TCSNQTCP04")</f>
        <v>https://www.codechef.com/problems/TCSNQTCP04</v>
      </c>
      <c r="K103" s="15"/>
      <c r="L103" s="15"/>
      <c r="M103" s="15"/>
      <c r="N103" s="15" t="s">
        <v>50</v>
      </c>
      <c r="O103" s="15" t="s">
        <v>51</v>
      </c>
    </row>
    <row r="104" spans="1:15">
      <c r="A104" s="14" t="s">
        <v>15</v>
      </c>
      <c r="B104" s="14" t="s">
        <v>9243</v>
      </c>
      <c r="C104" s="14" t="s">
        <v>9244</v>
      </c>
      <c r="D104" s="14" t="s">
        <v>9245</v>
      </c>
      <c r="E104" s="14">
        <v>5</v>
      </c>
      <c r="F104" s="14" t="s">
        <v>9254</v>
      </c>
      <c r="G104" s="14" t="s">
        <v>9255</v>
      </c>
      <c r="H104" s="14"/>
      <c r="I104" s="14" t="s">
        <v>49</v>
      </c>
      <c r="J104" s="11" t="str">
        <f>HYPERLINK("https://www.codechef.com/problems/TCSNQTCP05", "https://www.codechef.com/problems/TCSNQTCP05")</f>
        <v>https://www.codechef.com/problems/TCSNQTCP05</v>
      </c>
      <c r="K104" s="14"/>
      <c r="L104" s="14"/>
      <c r="M104" s="14"/>
      <c r="N104" s="14" t="s">
        <v>50</v>
      </c>
      <c r="O104" s="14" t="s">
        <v>51</v>
      </c>
    </row>
    <row r="105" spans="1:15">
      <c r="A105" s="15" t="s">
        <v>15</v>
      </c>
      <c r="B105" s="15" t="s">
        <v>9243</v>
      </c>
      <c r="C105" s="15" t="s">
        <v>9244</v>
      </c>
      <c r="D105" s="15" t="s">
        <v>9245</v>
      </c>
      <c r="E105" s="15">
        <v>6</v>
      </c>
      <c r="F105" s="15" t="s">
        <v>9256</v>
      </c>
      <c r="G105" s="15" t="s">
        <v>9257</v>
      </c>
      <c r="H105" s="15"/>
      <c r="I105" s="15" t="s">
        <v>96</v>
      </c>
      <c r="J105" s="7" t="str">
        <f>HYPERLINK("https://www.codechef.com/problems/TCSNQTCP06", "https://www.codechef.com/problems/TCSNQTCP06")</f>
        <v>https://www.codechef.com/problems/TCSNQTCP06</v>
      </c>
      <c r="K105" s="15"/>
      <c r="L105" s="15"/>
      <c r="M105" s="15"/>
      <c r="N105" s="15" t="s">
        <v>50</v>
      </c>
      <c r="O105" s="15" t="s">
        <v>51</v>
      </c>
    </row>
    <row r="106" spans="1:15">
      <c r="A106" s="14" t="s">
        <v>15</v>
      </c>
      <c r="B106" s="14" t="s">
        <v>9243</v>
      </c>
      <c r="C106" s="14" t="s">
        <v>9244</v>
      </c>
      <c r="D106" s="14" t="s">
        <v>9245</v>
      </c>
      <c r="E106" s="14">
        <v>7</v>
      </c>
      <c r="F106" s="14" t="s">
        <v>781</v>
      </c>
      <c r="G106" s="14" t="s">
        <v>9258</v>
      </c>
      <c r="H106" s="14"/>
      <c r="I106" s="14" t="s">
        <v>96</v>
      </c>
      <c r="J106" s="11" t="str">
        <f>HYPERLINK("https://www.codechef.com/problems/TCSNQTCP07", "https://www.codechef.com/problems/TCSNQTCP07")</f>
        <v>https://www.codechef.com/problems/TCSNQTCP07</v>
      </c>
      <c r="K106" s="14"/>
      <c r="L106" s="14"/>
      <c r="M106" s="14"/>
      <c r="N106" s="14" t="s">
        <v>50</v>
      </c>
      <c r="O106" s="14" t="s">
        <v>51</v>
      </c>
    </row>
    <row r="107" spans="1:15">
      <c r="A107" s="15" t="s">
        <v>15</v>
      </c>
      <c r="B107" s="15" t="s">
        <v>9243</v>
      </c>
      <c r="C107" s="15" t="s">
        <v>9244</v>
      </c>
      <c r="D107" s="15" t="s">
        <v>9245</v>
      </c>
      <c r="E107" s="15">
        <v>8</v>
      </c>
      <c r="F107" s="15" t="s">
        <v>9259</v>
      </c>
      <c r="G107" s="15" t="s">
        <v>9260</v>
      </c>
      <c r="H107" s="15"/>
      <c r="I107" s="15" t="s">
        <v>96</v>
      </c>
      <c r="J107" s="7" t="str">
        <f>HYPERLINK("https://www.codechef.com/problems/TCSNQTCP08", "https://www.codechef.com/problems/TCSNQTCP08")</f>
        <v>https://www.codechef.com/problems/TCSNQTCP08</v>
      </c>
      <c r="K107" s="15"/>
      <c r="L107" s="15"/>
      <c r="M107" s="15"/>
      <c r="N107" s="15" t="s">
        <v>50</v>
      </c>
      <c r="O107" s="15" t="s">
        <v>51</v>
      </c>
    </row>
    <row r="108" spans="1:15">
      <c r="A108" s="14" t="s">
        <v>15</v>
      </c>
      <c r="B108" s="14" t="s">
        <v>9243</v>
      </c>
      <c r="C108" s="14" t="s">
        <v>9244</v>
      </c>
      <c r="D108" s="14" t="s">
        <v>9245</v>
      </c>
      <c r="E108" s="14">
        <v>9</v>
      </c>
      <c r="F108" s="14" t="s">
        <v>9261</v>
      </c>
      <c r="G108" s="14" t="s">
        <v>9262</v>
      </c>
      <c r="H108" s="14"/>
      <c r="I108" s="14" t="s">
        <v>96</v>
      </c>
      <c r="J108" s="11" t="str">
        <f>HYPERLINK("https://www.codechef.com/problems/TCSNQTCP09", "https://www.codechef.com/problems/TCSNQTCP09")</f>
        <v>https://www.codechef.com/problems/TCSNQTCP09</v>
      </c>
      <c r="K108" s="14"/>
      <c r="L108" s="14"/>
      <c r="M108" s="14"/>
      <c r="N108" s="14" t="s">
        <v>50</v>
      </c>
      <c r="O108" s="14" t="s">
        <v>51</v>
      </c>
    </row>
    <row r="109" spans="1:15">
      <c r="A109" s="15" t="s">
        <v>15</v>
      </c>
      <c r="B109" s="15" t="s">
        <v>9243</v>
      </c>
      <c r="C109" s="15" t="s">
        <v>9244</v>
      </c>
      <c r="D109" s="15" t="s">
        <v>9245</v>
      </c>
      <c r="E109" s="15">
        <v>10</v>
      </c>
      <c r="F109" s="15" t="s">
        <v>9263</v>
      </c>
      <c r="G109" s="15" t="s">
        <v>9264</v>
      </c>
      <c r="H109" s="15"/>
      <c r="I109" s="15" t="s">
        <v>96</v>
      </c>
      <c r="J109" s="7" t="str">
        <f>HYPERLINK("https://www.codechef.com/problems/TCSNQTCP10", "https://www.codechef.com/problems/TCSNQTCP10")</f>
        <v>https://www.codechef.com/problems/TCSNQTCP10</v>
      </c>
      <c r="K109" s="15"/>
      <c r="L109" s="15"/>
      <c r="M109" s="15"/>
      <c r="N109" s="15" t="s">
        <v>50</v>
      </c>
      <c r="O109" s="15" t="s">
        <v>51</v>
      </c>
    </row>
    <row r="110" spans="1:15">
      <c r="A110" s="14" t="s">
        <v>15</v>
      </c>
      <c r="B110" s="14" t="s">
        <v>9243</v>
      </c>
      <c r="C110" s="14" t="s">
        <v>9244</v>
      </c>
      <c r="D110" s="14" t="s">
        <v>9265</v>
      </c>
      <c r="E110" s="14">
        <v>11</v>
      </c>
      <c r="F110" s="14" t="s">
        <v>9266</v>
      </c>
      <c r="G110" s="14" t="s">
        <v>9267</v>
      </c>
      <c r="H110" s="14"/>
      <c r="I110" s="14" t="s">
        <v>96</v>
      </c>
      <c r="J110" s="11" t="str">
        <f>HYPERLINK("https://www.codechef.com/problems/TCSNQTNA01", "https://www.codechef.com/problems/TCSNQTNA01")</f>
        <v>https://www.codechef.com/problems/TCSNQTNA01</v>
      </c>
      <c r="K110" s="14"/>
      <c r="L110" s="14"/>
      <c r="M110" s="14"/>
      <c r="N110" s="14" t="s">
        <v>50</v>
      </c>
      <c r="O110" s="14" t="s">
        <v>51</v>
      </c>
    </row>
    <row r="111" spans="1:15">
      <c r="A111" s="15" t="s">
        <v>15</v>
      </c>
      <c r="B111" s="15" t="s">
        <v>9243</v>
      </c>
      <c r="C111" s="15" t="s">
        <v>9244</v>
      </c>
      <c r="D111" s="15" t="s">
        <v>9265</v>
      </c>
      <c r="E111" s="15">
        <v>12</v>
      </c>
      <c r="F111" s="15" t="s">
        <v>9268</v>
      </c>
      <c r="G111" s="15" t="s">
        <v>9269</v>
      </c>
      <c r="H111" s="15"/>
      <c r="I111" s="15" t="s">
        <v>96</v>
      </c>
      <c r="J111" s="7" t="str">
        <f>HYPERLINK("https://www.codechef.com/problems/TCSNQTNA02", "https://www.codechef.com/problems/TCSNQTNA02")</f>
        <v>https://www.codechef.com/problems/TCSNQTNA02</v>
      </c>
      <c r="K111" s="15"/>
      <c r="L111" s="15"/>
      <c r="M111" s="15"/>
      <c r="N111" s="15" t="s">
        <v>50</v>
      </c>
      <c r="O111" s="15" t="s">
        <v>51</v>
      </c>
    </row>
    <row r="112" spans="1:15">
      <c r="A112" s="14" t="s">
        <v>15</v>
      </c>
      <c r="B112" s="14" t="s">
        <v>9243</v>
      </c>
      <c r="C112" s="14" t="s">
        <v>9244</v>
      </c>
      <c r="D112" s="14" t="s">
        <v>9265</v>
      </c>
      <c r="E112" s="14">
        <v>13</v>
      </c>
      <c r="F112" s="14" t="s">
        <v>9270</v>
      </c>
      <c r="G112" s="14" t="s">
        <v>9271</v>
      </c>
      <c r="H112" s="14"/>
      <c r="I112" s="14" t="s">
        <v>96</v>
      </c>
      <c r="J112" s="11" t="str">
        <f>HYPERLINK("https://www.codechef.com/problems/TCSNQTNA04", "https://www.codechef.com/problems/TCSNQTNA04")</f>
        <v>https://www.codechef.com/problems/TCSNQTNA04</v>
      </c>
      <c r="K112" s="14"/>
      <c r="L112" s="14"/>
      <c r="M112" s="14"/>
      <c r="N112" s="14" t="s">
        <v>50</v>
      </c>
      <c r="O112" s="14" t="s">
        <v>51</v>
      </c>
    </row>
    <row r="113" spans="1:15">
      <c r="A113" s="15" t="s">
        <v>15</v>
      </c>
      <c r="B113" s="15" t="s">
        <v>9243</v>
      </c>
      <c r="C113" s="15" t="s">
        <v>9244</v>
      </c>
      <c r="D113" s="15" t="s">
        <v>9265</v>
      </c>
      <c r="E113" s="15">
        <v>14</v>
      </c>
      <c r="F113" s="15" t="s">
        <v>9272</v>
      </c>
      <c r="G113" s="15" t="s">
        <v>9273</v>
      </c>
      <c r="H113" s="15"/>
      <c r="I113" s="15" t="s">
        <v>96</v>
      </c>
      <c r="J113" s="7" t="str">
        <f>HYPERLINK("https://www.codechef.com/problems/TCSNQTNA03", "https://www.codechef.com/problems/TCSNQTNA03")</f>
        <v>https://www.codechef.com/problems/TCSNQTNA03</v>
      </c>
      <c r="K113" s="15"/>
      <c r="L113" s="15"/>
      <c r="M113" s="15"/>
      <c r="N113" s="15" t="s">
        <v>50</v>
      </c>
      <c r="O113" s="15" t="s">
        <v>51</v>
      </c>
    </row>
    <row r="114" spans="1:15">
      <c r="A114" s="14" t="s">
        <v>15</v>
      </c>
      <c r="B114" s="14" t="s">
        <v>9243</v>
      </c>
      <c r="C114" s="14" t="s">
        <v>9244</v>
      </c>
      <c r="D114" s="14" t="s">
        <v>9265</v>
      </c>
      <c r="E114" s="14">
        <v>15</v>
      </c>
      <c r="F114" s="14" t="s">
        <v>9274</v>
      </c>
      <c r="G114" s="14" t="s">
        <v>9275</v>
      </c>
      <c r="H114" s="14"/>
      <c r="I114" s="14" t="s">
        <v>49</v>
      </c>
      <c r="J114" s="11" t="str">
        <f>HYPERLINK("https://www.codechef.com/problems/TCSNQTNA05", "https://www.codechef.com/problems/TCSNQTNA05")</f>
        <v>https://www.codechef.com/problems/TCSNQTNA05</v>
      </c>
      <c r="K114" s="14"/>
      <c r="L114" s="14"/>
      <c r="M114" s="14"/>
      <c r="N114" s="14" t="s">
        <v>50</v>
      </c>
      <c r="O114" s="14" t="s">
        <v>51</v>
      </c>
    </row>
    <row r="115" spans="1:15">
      <c r="A115" s="15" t="s">
        <v>15</v>
      </c>
      <c r="B115" s="15" t="s">
        <v>9243</v>
      </c>
      <c r="C115" s="15" t="s">
        <v>9244</v>
      </c>
      <c r="D115" s="15" t="s">
        <v>9265</v>
      </c>
      <c r="E115" s="15">
        <v>16</v>
      </c>
      <c r="F115" s="15" t="s">
        <v>9276</v>
      </c>
      <c r="G115" s="15" t="s">
        <v>9277</v>
      </c>
      <c r="H115" s="15"/>
      <c r="I115" s="15" t="s">
        <v>49</v>
      </c>
      <c r="J115" s="7" t="str">
        <f>HYPERLINK("https://www.codechef.com/problems/TCSNQTNA06", "https://www.codechef.com/problems/TCSNQTNA06")</f>
        <v>https://www.codechef.com/problems/TCSNQTNA06</v>
      </c>
      <c r="K115" s="15"/>
      <c r="L115" s="15"/>
      <c r="M115" s="15"/>
      <c r="N115" s="15" t="s">
        <v>50</v>
      </c>
      <c r="O115" s="15" t="s">
        <v>51</v>
      </c>
    </row>
    <row r="116" spans="1:15">
      <c r="A116" s="14" t="s">
        <v>15</v>
      </c>
      <c r="B116" s="14" t="s">
        <v>9243</v>
      </c>
      <c r="C116" s="14" t="s">
        <v>9244</v>
      </c>
      <c r="D116" s="14" t="s">
        <v>9265</v>
      </c>
      <c r="E116" s="14">
        <v>17</v>
      </c>
      <c r="F116" s="14" t="s">
        <v>9278</v>
      </c>
      <c r="G116" s="14" t="s">
        <v>9279</v>
      </c>
      <c r="H116" s="14"/>
      <c r="I116" s="14" t="s">
        <v>96</v>
      </c>
      <c r="J116" s="11" t="str">
        <f>HYPERLINK("https://www.codechef.com/problems/TCSNQTNA07", "https://www.codechef.com/problems/TCSNQTNA07")</f>
        <v>https://www.codechef.com/problems/TCSNQTNA07</v>
      </c>
      <c r="K116" s="14"/>
      <c r="L116" s="14"/>
      <c r="M116" s="14"/>
      <c r="N116" s="14" t="s">
        <v>50</v>
      </c>
      <c r="O116" s="14" t="s">
        <v>51</v>
      </c>
    </row>
    <row r="117" spans="1:15">
      <c r="A117" s="15" t="s">
        <v>15</v>
      </c>
      <c r="B117" s="15" t="s">
        <v>9243</v>
      </c>
      <c r="C117" s="15" t="s">
        <v>9244</v>
      </c>
      <c r="D117" s="15" t="s">
        <v>9265</v>
      </c>
      <c r="E117" s="15">
        <v>18</v>
      </c>
      <c r="F117" s="15" t="s">
        <v>9280</v>
      </c>
      <c r="G117" s="15" t="s">
        <v>9281</v>
      </c>
      <c r="H117" s="15"/>
      <c r="I117" s="15" t="s">
        <v>49</v>
      </c>
      <c r="J117" s="7" t="str">
        <f>HYPERLINK("https://www.codechef.com/problems/TCSNQTNA08", "https://www.codechef.com/problems/TCSNQTNA08")</f>
        <v>https://www.codechef.com/problems/TCSNQTNA08</v>
      </c>
      <c r="K117" s="15"/>
      <c r="L117" s="15"/>
      <c r="M117" s="15"/>
      <c r="N117" s="15" t="s">
        <v>50</v>
      </c>
      <c r="O117" s="15" t="s">
        <v>51</v>
      </c>
    </row>
    <row r="118" spans="1:15">
      <c r="A118" s="14" t="s">
        <v>15</v>
      </c>
      <c r="B118" s="14" t="s">
        <v>9243</v>
      </c>
      <c r="C118" s="14" t="s">
        <v>9244</v>
      </c>
      <c r="D118" s="14" t="s">
        <v>9265</v>
      </c>
      <c r="E118" s="14">
        <v>19</v>
      </c>
      <c r="F118" s="14" t="s">
        <v>9282</v>
      </c>
      <c r="G118" s="14" t="s">
        <v>9283</v>
      </c>
      <c r="H118" s="14"/>
      <c r="I118" s="14" t="s">
        <v>49</v>
      </c>
      <c r="J118" s="11" t="str">
        <f>HYPERLINK("https://www.codechef.com/problems/TCSNQTNA09", "https://www.codechef.com/problems/TCSNQTNA09")</f>
        <v>https://www.codechef.com/problems/TCSNQTNA09</v>
      </c>
      <c r="K118" s="14"/>
      <c r="L118" s="14"/>
      <c r="M118" s="14"/>
      <c r="N118" s="14" t="s">
        <v>50</v>
      </c>
      <c r="O118" s="14" t="s">
        <v>51</v>
      </c>
    </row>
    <row r="119" spans="1:15">
      <c r="A119" s="15" t="s">
        <v>15</v>
      </c>
      <c r="B119" s="15" t="s">
        <v>9243</v>
      </c>
      <c r="C119" s="15" t="s">
        <v>9244</v>
      </c>
      <c r="D119" s="15" t="s">
        <v>9265</v>
      </c>
      <c r="E119" s="15">
        <v>20</v>
      </c>
      <c r="F119" s="15" t="s">
        <v>9284</v>
      </c>
      <c r="G119" s="15" t="s">
        <v>9285</v>
      </c>
      <c r="H119" s="15"/>
      <c r="I119" s="15" t="s">
        <v>96</v>
      </c>
      <c r="J119" s="7" t="str">
        <f>HYPERLINK("https://www.codechef.com/problems/TCSNQTNA10", "https://www.codechef.com/problems/TCSNQTNA10")</f>
        <v>https://www.codechef.com/problems/TCSNQTNA10</v>
      </c>
      <c r="K119" s="15"/>
      <c r="L119" s="15"/>
      <c r="M119" s="15"/>
      <c r="N119" s="15" t="s">
        <v>50</v>
      </c>
      <c r="O119" s="15" t="s">
        <v>51</v>
      </c>
    </row>
    <row r="120" spans="1:15">
      <c r="A120" s="14" t="s">
        <v>15</v>
      </c>
      <c r="B120" s="14" t="s">
        <v>9243</v>
      </c>
      <c r="C120" s="14" t="s">
        <v>9244</v>
      </c>
      <c r="D120" s="14" t="s">
        <v>9286</v>
      </c>
      <c r="E120" s="14">
        <v>21</v>
      </c>
      <c r="F120" s="14" t="s">
        <v>9287</v>
      </c>
      <c r="G120" s="14" t="s">
        <v>9288</v>
      </c>
      <c r="H120" s="14"/>
      <c r="I120" s="14" t="s">
        <v>49</v>
      </c>
      <c r="J120" s="11" t="str">
        <f>HYPERLINK("https://www.codechef.com/problems/TCSNQTRA02", "https://www.codechef.com/problems/TCSNQTRA02")</f>
        <v>https://www.codechef.com/problems/TCSNQTRA02</v>
      </c>
      <c r="K120" s="14"/>
      <c r="L120" s="14"/>
      <c r="M120" s="14"/>
      <c r="N120" s="14" t="s">
        <v>50</v>
      </c>
      <c r="O120" s="14" t="s">
        <v>51</v>
      </c>
    </row>
    <row r="121" spans="1:15">
      <c r="A121" s="15" t="s">
        <v>15</v>
      </c>
      <c r="B121" s="15" t="s">
        <v>9243</v>
      </c>
      <c r="C121" s="15" t="s">
        <v>9244</v>
      </c>
      <c r="D121" s="15" t="s">
        <v>9286</v>
      </c>
      <c r="E121" s="15">
        <v>22</v>
      </c>
      <c r="F121" s="15" t="s">
        <v>9289</v>
      </c>
      <c r="G121" s="15" t="s">
        <v>9290</v>
      </c>
      <c r="H121" s="15"/>
      <c r="I121" s="15" t="s">
        <v>49</v>
      </c>
      <c r="J121" s="7" t="str">
        <f>HYPERLINK("https://www.codechef.com/problems/TCSNQTRA03", "https://www.codechef.com/problems/TCSNQTRA03")</f>
        <v>https://www.codechef.com/problems/TCSNQTRA03</v>
      </c>
      <c r="K121" s="15"/>
      <c r="L121" s="15"/>
      <c r="M121" s="15"/>
      <c r="N121" s="15" t="s">
        <v>50</v>
      </c>
      <c r="O121" s="15" t="s">
        <v>51</v>
      </c>
    </row>
    <row r="122" spans="1:15">
      <c r="A122" s="14" t="s">
        <v>15</v>
      </c>
      <c r="B122" s="14" t="s">
        <v>9243</v>
      </c>
      <c r="C122" s="14" t="s">
        <v>9244</v>
      </c>
      <c r="D122" s="14" t="s">
        <v>9286</v>
      </c>
      <c r="E122" s="14">
        <v>23</v>
      </c>
      <c r="F122" s="14" t="s">
        <v>9291</v>
      </c>
      <c r="G122" s="14" t="s">
        <v>9292</v>
      </c>
      <c r="H122" s="14"/>
      <c r="I122" s="14" t="s">
        <v>96</v>
      </c>
      <c r="J122" s="11" t="str">
        <f>HYPERLINK("https://www.codechef.com/problems/TCSNQTRA04", "https://www.codechef.com/problems/TCSNQTRA04")</f>
        <v>https://www.codechef.com/problems/TCSNQTRA04</v>
      </c>
      <c r="K122" s="14"/>
      <c r="L122" s="14"/>
      <c r="M122" s="14"/>
      <c r="N122" s="14" t="s">
        <v>50</v>
      </c>
      <c r="O122" s="14" t="s">
        <v>51</v>
      </c>
    </row>
    <row r="123" spans="1:15">
      <c r="A123" s="15" t="s">
        <v>15</v>
      </c>
      <c r="B123" s="15" t="s">
        <v>9243</v>
      </c>
      <c r="C123" s="15" t="s">
        <v>9244</v>
      </c>
      <c r="D123" s="15" t="s">
        <v>9286</v>
      </c>
      <c r="E123" s="15">
        <v>24</v>
      </c>
      <c r="F123" s="15" t="s">
        <v>9293</v>
      </c>
      <c r="G123" s="15" t="s">
        <v>9294</v>
      </c>
      <c r="H123" s="15"/>
      <c r="I123" s="15" t="s">
        <v>49</v>
      </c>
      <c r="J123" s="7" t="str">
        <f>HYPERLINK("https://www.codechef.com/problems/TCSNQTRA05", "https://www.codechef.com/problems/TCSNQTRA05")</f>
        <v>https://www.codechef.com/problems/TCSNQTRA05</v>
      </c>
      <c r="K123" s="15"/>
      <c r="L123" s="15"/>
      <c r="M123" s="15"/>
      <c r="N123" s="15" t="s">
        <v>50</v>
      </c>
      <c r="O123" s="15" t="s">
        <v>51</v>
      </c>
    </row>
    <row r="124" spans="1:15">
      <c r="A124" s="14" t="s">
        <v>15</v>
      </c>
      <c r="B124" s="14" t="s">
        <v>9243</v>
      </c>
      <c r="C124" s="14" t="s">
        <v>9244</v>
      </c>
      <c r="D124" s="14" t="s">
        <v>9286</v>
      </c>
      <c r="E124" s="14">
        <v>25</v>
      </c>
      <c r="F124" s="14" t="s">
        <v>9295</v>
      </c>
      <c r="G124" s="14" t="s">
        <v>9296</v>
      </c>
      <c r="H124" s="14"/>
      <c r="I124" s="14" t="s">
        <v>96</v>
      </c>
      <c r="J124" s="11" t="str">
        <f>HYPERLINK("https://www.codechef.com/problems/TCSNQTRA06", "https://www.codechef.com/problems/TCSNQTRA06")</f>
        <v>https://www.codechef.com/problems/TCSNQTRA06</v>
      </c>
      <c r="K124" s="14"/>
      <c r="L124" s="14"/>
      <c r="M124" s="14"/>
      <c r="N124" s="14" t="s">
        <v>50</v>
      </c>
      <c r="O124" s="14" t="s">
        <v>51</v>
      </c>
    </row>
    <row r="125" spans="1:15">
      <c r="A125" s="15" t="s">
        <v>15</v>
      </c>
      <c r="B125" s="15" t="s">
        <v>9243</v>
      </c>
      <c r="C125" s="15" t="s">
        <v>9244</v>
      </c>
      <c r="D125" s="15" t="s">
        <v>9286</v>
      </c>
      <c r="E125" s="15">
        <v>26</v>
      </c>
      <c r="F125" s="15" t="s">
        <v>9297</v>
      </c>
      <c r="G125" s="15" t="s">
        <v>9298</v>
      </c>
      <c r="H125" s="15"/>
      <c r="I125" s="15" t="s">
        <v>49</v>
      </c>
      <c r="J125" s="7" t="str">
        <f>HYPERLINK("https://www.codechef.com/problems/TCSNQTRA07", "https://www.codechef.com/problems/TCSNQTRA07")</f>
        <v>https://www.codechef.com/problems/TCSNQTRA07</v>
      </c>
      <c r="K125" s="15"/>
      <c r="L125" s="15"/>
      <c r="M125" s="15"/>
      <c r="N125" s="15" t="s">
        <v>50</v>
      </c>
      <c r="O125" s="15" t="s">
        <v>51</v>
      </c>
    </row>
    <row r="126" spans="1:15">
      <c r="A126" s="14" t="s">
        <v>15</v>
      </c>
      <c r="B126" s="14" t="s">
        <v>9243</v>
      </c>
      <c r="C126" s="14" t="s">
        <v>9244</v>
      </c>
      <c r="D126" s="14" t="s">
        <v>9286</v>
      </c>
      <c r="E126" s="14">
        <v>27</v>
      </c>
      <c r="F126" s="14" t="s">
        <v>6116</v>
      </c>
      <c r="G126" s="14" t="s">
        <v>9299</v>
      </c>
      <c r="H126" s="14"/>
      <c r="I126" s="14" t="s">
        <v>96</v>
      </c>
      <c r="J126" s="11" t="str">
        <f>HYPERLINK("https://www.codechef.com/problems/TCSNQTRA08", "https://www.codechef.com/problems/TCSNQTRA08")</f>
        <v>https://www.codechef.com/problems/TCSNQTRA08</v>
      </c>
      <c r="K126" s="14"/>
      <c r="L126" s="14"/>
      <c r="M126" s="14"/>
      <c r="N126" s="14" t="s">
        <v>50</v>
      </c>
      <c r="O126" s="14" t="s">
        <v>51</v>
      </c>
    </row>
    <row r="127" spans="1:15">
      <c r="A127" s="15" t="s">
        <v>15</v>
      </c>
      <c r="B127" s="15" t="s">
        <v>9243</v>
      </c>
      <c r="C127" s="15" t="s">
        <v>9244</v>
      </c>
      <c r="D127" s="15" t="s">
        <v>9286</v>
      </c>
      <c r="E127" s="15">
        <v>28</v>
      </c>
      <c r="F127" s="15" t="s">
        <v>9300</v>
      </c>
      <c r="G127" s="15" t="s">
        <v>9301</v>
      </c>
      <c r="H127" s="15"/>
      <c r="I127" s="15" t="s">
        <v>49</v>
      </c>
      <c r="J127" s="7" t="str">
        <f>HYPERLINK("https://www.codechef.com/problems/TCSNQTRA09", "https://www.codechef.com/problems/TCSNQTRA09")</f>
        <v>https://www.codechef.com/problems/TCSNQTRA09</v>
      </c>
      <c r="K127" s="15"/>
      <c r="L127" s="15"/>
      <c r="M127" s="15"/>
      <c r="N127" s="15" t="s">
        <v>50</v>
      </c>
      <c r="O127" s="15" t="s">
        <v>51</v>
      </c>
    </row>
    <row r="128" spans="1:15">
      <c r="A128" s="14" t="s">
        <v>15</v>
      </c>
      <c r="B128" s="14" t="s">
        <v>9243</v>
      </c>
      <c r="C128" s="14" t="s">
        <v>9244</v>
      </c>
      <c r="D128" s="14" t="s">
        <v>9286</v>
      </c>
      <c r="E128" s="14">
        <v>29</v>
      </c>
      <c r="F128" s="14" t="s">
        <v>9302</v>
      </c>
      <c r="G128" s="14" t="s">
        <v>9303</v>
      </c>
      <c r="H128" s="14"/>
      <c r="I128" s="14" t="s">
        <v>96</v>
      </c>
      <c r="J128" s="11" t="str">
        <f>HYPERLINK("https://www.codechef.com/problems/TCSNQTRA10", "https://www.codechef.com/problems/TCSNQTRA10")</f>
        <v>https://www.codechef.com/problems/TCSNQTRA10</v>
      </c>
      <c r="K128" s="14"/>
      <c r="L128" s="14"/>
      <c r="M128" s="14"/>
      <c r="N128" s="14" t="s">
        <v>50</v>
      </c>
      <c r="O128" s="14" t="s">
        <v>51</v>
      </c>
    </row>
    <row r="129" spans="1:15">
      <c r="A129" s="15" t="s">
        <v>15</v>
      </c>
      <c r="B129" s="15" t="s">
        <v>9243</v>
      </c>
      <c r="C129" s="15" t="s">
        <v>9244</v>
      </c>
      <c r="D129" s="15" t="s">
        <v>9286</v>
      </c>
      <c r="E129" s="15">
        <v>30</v>
      </c>
      <c r="F129" s="15" t="s">
        <v>9304</v>
      </c>
      <c r="G129" s="15" t="s">
        <v>9305</v>
      </c>
      <c r="H129" s="15"/>
      <c r="I129" s="15" t="s">
        <v>49</v>
      </c>
      <c r="J129" s="7" t="str">
        <f>HYPERLINK("https://www.codechef.com/problems/TCSNQTRA11", "https://www.codechef.com/problems/TCSNQTRA11")</f>
        <v>https://www.codechef.com/problems/TCSNQTRA11</v>
      </c>
      <c r="K129" s="15"/>
      <c r="L129" s="15"/>
      <c r="M129" s="15"/>
      <c r="N129" s="15" t="s">
        <v>50</v>
      </c>
      <c r="O129" s="15" t="s">
        <v>51</v>
      </c>
    </row>
    <row r="130" spans="1:15">
      <c r="A130" s="14" t="s">
        <v>15</v>
      </c>
      <c r="B130" s="14" t="s">
        <v>9243</v>
      </c>
      <c r="C130" s="14" t="s">
        <v>9244</v>
      </c>
      <c r="D130" s="14" t="s">
        <v>9306</v>
      </c>
      <c r="E130" s="14">
        <v>31</v>
      </c>
      <c r="F130" s="14" t="s">
        <v>9307</v>
      </c>
      <c r="G130" s="14" t="s">
        <v>9308</v>
      </c>
      <c r="H130" s="14"/>
      <c r="I130" s="14" t="s">
        <v>49</v>
      </c>
      <c r="J130" s="11" t="str">
        <f>HYPERLINK("https://www.codechef.com/problems/TCSNQTVA02", "https://www.codechef.com/problems/TCSNQTVA02")</f>
        <v>https://www.codechef.com/problems/TCSNQTVA02</v>
      </c>
      <c r="K130" s="14"/>
      <c r="L130" s="14"/>
      <c r="M130" s="14"/>
      <c r="N130" s="14" t="s">
        <v>50</v>
      </c>
      <c r="O130" s="14" t="s">
        <v>51</v>
      </c>
    </row>
    <row r="131" spans="1:15">
      <c r="A131" s="15" t="s">
        <v>15</v>
      </c>
      <c r="B131" s="15" t="s">
        <v>9243</v>
      </c>
      <c r="C131" s="15" t="s">
        <v>9244</v>
      </c>
      <c r="D131" s="15" t="s">
        <v>9306</v>
      </c>
      <c r="E131" s="15">
        <v>32</v>
      </c>
      <c r="F131" s="15" t="s">
        <v>9309</v>
      </c>
      <c r="G131" s="15" t="s">
        <v>9310</v>
      </c>
      <c r="H131" s="15"/>
      <c r="I131" s="15" t="s">
        <v>49</v>
      </c>
      <c r="J131" s="7" t="str">
        <f>HYPERLINK("https://www.codechef.com/problems/TCSNQTVA03", "https://www.codechef.com/problems/TCSNQTVA03")</f>
        <v>https://www.codechef.com/problems/TCSNQTVA03</v>
      </c>
      <c r="K131" s="15"/>
      <c r="L131" s="15"/>
      <c r="M131" s="15"/>
      <c r="N131" s="15" t="s">
        <v>50</v>
      </c>
      <c r="O131" s="15" t="s">
        <v>51</v>
      </c>
    </row>
    <row r="132" spans="1:15">
      <c r="A132" s="14" t="s">
        <v>15</v>
      </c>
      <c r="B132" s="14" t="s">
        <v>9243</v>
      </c>
      <c r="C132" s="14" t="s">
        <v>9244</v>
      </c>
      <c r="D132" s="14" t="s">
        <v>9306</v>
      </c>
      <c r="E132" s="14">
        <v>33</v>
      </c>
      <c r="F132" s="14" t="s">
        <v>9311</v>
      </c>
      <c r="G132" s="14" t="s">
        <v>9312</v>
      </c>
      <c r="H132" s="14"/>
      <c r="I132" s="14" t="s">
        <v>49</v>
      </c>
      <c r="J132" s="11" t="str">
        <f>HYPERLINK("https://www.codechef.com/problems/TCSNQTVA04", "https://www.codechef.com/problems/TCSNQTVA04")</f>
        <v>https://www.codechef.com/problems/TCSNQTVA04</v>
      </c>
      <c r="K132" s="14"/>
      <c r="L132" s="14"/>
      <c r="M132" s="14"/>
      <c r="N132" s="14" t="s">
        <v>50</v>
      </c>
      <c r="O132" s="14" t="s">
        <v>51</v>
      </c>
    </row>
    <row r="133" spans="1:15">
      <c r="A133" s="15" t="s">
        <v>15</v>
      </c>
      <c r="B133" s="15" t="s">
        <v>9243</v>
      </c>
      <c r="C133" s="15" t="s">
        <v>9244</v>
      </c>
      <c r="D133" s="15" t="s">
        <v>9306</v>
      </c>
      <c r="E133" s="15">
        <v>34</v>
      </c>
      <c r="F133" s="15" t="s">
        <v>9313</v>
      </c>
      <c r="G133" s="15" t="s">
        <v>9314</v>
      </c>
      <c r="H133" s="15"/>
      <c r="I133" s="15" t="s">
        <v>49</v>
      </c>
      <c r="J133" s="7" t="str">
        <f>HYPERLINK("https://www.codechef.com/problems/TCSNQTVA05", "https://www.codechef.com/problems/TCSNQTVA05")</f>
        <v>https://www.codechef.com/problems/TCSNQTVA05</v>
      </c>
      <c r="K133" s="15"/>
      <c r="L133" s="15"/>
      <c r="M133" s="15"/>
      <c r="N133" s="15" t="s">
        <v>50</v>
      </c>
      <c r="O133" s="15" t="s">
        <v>51</v>
      </c>
    </row>
    <row r="134" spans="1:15">
      <c r="A134" s="14" t="s">
        <v>15</v>
      </c>
      <c r="B134" s="14" t="s">
        <v>9243</v>
      </c>
      <c r="C134" s="14" t="s">
        <v>9244</v>
      </c>
      <c r="D134" s="14" t="s">
        <v>9306</v>
      </c>
      <c r="E134" s="14">
        <v>35</v>
      </c>
      <c r="F134" s="14" t="s">
        <v>9315</v>
      </c>
      <c r="G134" s="14" t="s">
        <v>9316</v>
      </c>
      <c r="H134" s="14"/>
      <c r="I134" s="14" t="s">
        <v>49</v>
      </c>
      <c r="J134" s="11" t="str">
        <f>HYPERLINK("https://www.codechef.com/problems/TCSNQTVA06", "https://www.codechef.com/problems/TCSNQTVA06")</f>
        <v>https://www.codechef.com/problems/TCSNQTVA06</v>
      </c>
      <c r="K134" s="14"/>
      <c r="L134" s="14"/>
      <c r="M134" s="14"/>
      <c r="N134" s="14" t="s">
        <v>50</v>
      </c>
      <c r="O134" s="14" t="s">
        <v>51</v>
      </c>
    </row>
    <row r="135" spans="1:15">
      <c r="A135" s="15" t="s">
        <v>15</v>
      </c>
      <c r="B135" s="15" t="s">
        <v>9243</v>
      </c>
      <c r="C135" s="15" t="s">
        <v>9244</v>
      </c>
      <c r="D135" s="15" t="s">
        <v>9306</v>
      </c>
      <c r="E135" s="15">
        <v>36</v>
      </c>
      <c r="F135" s="15" t="s">
        <v>9317</v>
      </c>
      <c r="G135" s="15" t="s">
        <v>9318</v>
      </c>
      <c r="H135" s="15"/>
      <c r="I135" s="15" t="s">
        <v>96</v>
      </c>
      <c r="J135" s="7" t="str">
        <f>HYPERLINK("https://www.codechef.com/problems/TCSNQTVA07", "https://www.codechef.com/problems/TCSNQTVA07")</f>
        <v>https://www.codechef.com/problems/TCSNQTVA07</v>
      </c>
      <c r="K135" s="15"/>
      <c r="L135" s="15"/>
      <c r="M135" s="15"/>
      <c r="N135" s="15" t="s">
        <v>50</v>
      </c>
      <c r="O135" s="15" t="s">
        <v>51</v>
      </c>
    </row>
    <row r="136" spans="1:15">
      <c r="A136" s="14" t="s">
        <v>15</v>
      </c>
      <c r="B136" s="14" t="s">
        <v>9243</v>
      </c>
      <c r="C136" s="14" t="s">
        <v>9244</v>
      </c>
      <c r="D136" s="14" t="s">
        <v>9306</v>
      </c>
      <c r="E136" s="14">
        <v>37</v>
      </c>
      <c r="F136" s="14" t="s">
        <v>9319</v>
      </c>
      <c r="G136" s="14" t="s">
        <v>9320</v>
      </c>
      <c r="H136" s="14"/>
      <c r="I136" s="14" t="s">
        <v>49</v>
      </c>
      <c r="J136" s="11" t="str">
        <f>HYPERLINK("https://www.codechef.com/problems/TCSNQTVA08", "https://www.codechef.com/problems/TCSNQTVA08")</f>
        <v>https://www.codechef.com/problems/TCSNQTVA08</v>
      </c>
      <c r="K136" s="14"/>
      <c r="L136" s="14"/>
      <c r="M136" s="14"/>
      <c r="N136" s="14" t="s">
        <v>50</v>
      </c>
      <c r="O136" s="14" t="s">
        <v>51</v>
      </c>
    </row>
    <row r="137" spans="1:15">
      <c r="A137" s="15" t="s">
        <v>15</v>
      </c>
      <c r="B137" s="15" t="s">
        <v>9243</v>
      </c>
      <c r="C137" s="15" t="s">
        <v>9244</v>
      </c>
      <c r="D137" s="15" t="s">
        <v>9306</v>
      </c>
      <c r="E137" s="15">
        <v>38</v>
      </c>
      <c r="F137" s="15" t="s">
        <v>9321</v>
      </c>
      <c r="G137" s="15" t="s">
        <v>9322</v>
      </c>
      <c r="H137" s="15"/>
      <c r="I137" s="15" t="s">
        <v>49</v>
      </c>
      <c r="J137" s="7" t="str">
        <f>HYPERLINK("https://www.codechef.com/problems/TCSNQTVA09", "https://www.codechef.com/problems/TCSNQTVA09")</f>
        <v>https://www.codechef.com/problems/TCSNQTVA09</v>
      </c>
      <c r="K137" s="15"/>
      <c r="L137" s="15"/>
      <c r="M137" s="15"/>
      <c r="N137" s="15" t="s">
        <v>50</v>
      </c>
      <c r="O137" s="15" t="s">
        <v>51</v>
      </c>
    </row>
    <row r="138" spans="1:15">
      <c r="A138" s="14" t="s">
        <v>15</v>
      </c>
      <c r="B138" s="14" t="s">
        <v>9243</v>
      </c>
      <c r="C138" s="14" t="s">
        <v>9244</v>
      </c>
      <c r="D138" s="14" t="s">
        <v>9306</v>
      </c>
      <c r="E138" s="14">
        <v>39</v>
      </c>
      <c r="F138" s="14" t="s">
        <v>9323</v>
      </c>
      <c r="G138" s="14" t="s">
        <v>9324</v>
      </c>
      <c r="H138" s="14"/>
      <c r="I138" s="14" t="s">
        <v>49</v>
      </c>
      <c r="J138" s="11" t="str">
        <f>HYPERLINK("https://www.codechef.com/problems/TCSNQTVA10", "https://www.codechef.com/problems/TCSNQTVA10")</f>
        <v>https://www.codechef.com/problems/TCSNQTVA10</v>
      </c>
      <c r="K138" s="14"/>
      <c r="L138" s="14"/>
      <c r="M138" s="14"/>
      <c r="N138" s="14" t="s">
        <v>50</v>
      </c>
      <c r="O138" s="14" t="s">
        <v>51</v>
      </c>
    </row>
    <row r="139" spans="1:15">
      <c r="A139" s="15" t="s">
        <v>15</v>
      </c>
      <c r="B139" s="15" t="s">
        <v>9243</v>
      </c>
      <c r="C139" s="15" t="s">
        <v>9244</v>
      </c>
      <c r="D139" s="15" t="s">
        <v>9306</v>
      </c>
      <c r="E139" s="15">
        <v>40</v>
      </c>
      <c r="F139" s="15" t="s">
        <v>9325</v>
      </c>
      <c r="G139" s="15" t="s">
        <v>9326</v>
      </c>
      <c r="H139" s="15"/>
      <c r="I139" s="15" t="s">
        <v>49</v>
      </c>
      <c r="J139" s="7" t="str">
        <f>HYPERLINK("https://www.codechef.com/problems/TCSNQTVA11", "https://www.codechef.com/problems/TCSNQTVA11")</f>
        <v>https://www.codechef.com/problems/TCSNQTVA11</v>
      </c>
      <c r="K139" s="15"/>
      <c r="L139" s="15"/>
      <c r="M139" s="15"/>
      <c r="N139" s="15" t="s">
        <v>50</v>
      </c>
      <c r="O139" s="15" t="s">
        <v>51</v>
      </c>
    </row>
    <row r="140" spans="1:15">
      <c r="A140" s="14" t="s">
        <v>15</v>
      </c>
      <c r="B140" s="14" t="s">
        <v>9243</v>
      </c>
      <c r="C140" s="14" t="s">
        <v>9244</v>
      </c>
      <c r="D140" s="14" t="s">
        <v>9327</v>
      </c>
      <c r="E140" s="14">
        <v>41</v>
      </c>
      <c r="F140" s="14" t="s">
        <v>9328</v>
      </c>
      <c r="G140" s="14" t="s">
        <v>9329</v>
      </c>
      <c r="H140" s="14"/>
      <c r="I140" s="14" t="s">
        <v>96</v>
      </c>
      <c r="J140" s="11" t="str">
        <f>HYPERLINK("https://www.codechef.com/problems/TCSNQTQA01", "https://www.codechef.com/problems/TCSNQTQA01")</f>
        <v>https://www.codechef.com/problems/TCSNQTQA01</v>
      </c>
      <c r="K140" s="14"/>
      <c r="L140" s="14"/>
      <c r="M140" s="14"/>
      <c r="N140" s="14" t="s">
        <v>50</v>
      </c>
      <c r="O140" s="14" t="s">
        <v>51</v>
      </c>
    </row>
    <row r="141" spans="1:15">
      <c r="A141" s="15" t="s">
        <v>15</v>
      </c>
      <c r="B141" s="15" t="s">
        <v>9243</v>
      </c>
      <c r="C141" s="15" t="s">
        <v>9244</v>
      </c>
      <c r="D141" s="15" t="s">
        <v>9327</v>
      </c>
      <c r="E141" s="15">
        <v>42</v>
      </c>
      <c r="F141" s="15" t="s">
        <v>9330</v>
      </c>
      <c r="G141" s="15" t="s">
        <v>9331</v>
      </c>
      <c r="H141" s="15"/>
      <c r="I141" s="15" t="s">
        <v>49</v>
      </c>
      <c r="J141" s="7" t="str">
        <f>HYPERLINK("https://www.codechef.com/problems/TCSNQTQA02", "https://www.codechef.com/problems/TCSNQTQA02")</f>
        <v>https://www.codechef.com/problems/TCSNQTQA02</v>
      </c>
      <c r="K141" s="15"/>
      <c r="L141" s="15"/>
      <c r="M141" s="15"/>
      <c r="N141" s="15" t="s">
        <v>50</v>
      </c>
      <c r="O141" s="15" t="s">
        <v>51</v>
      </c>
    </row>
    <row r="142" spans="1:15">
      <c r="A142" s="14" t="s">
        <v>15</v>
      </c>
      <c r="B142" s="14" t="s">
        <v>9243</v>
      </c>
      <c r="C142" s="14" t="s">
        <v>9244</v>
      </c>
      <c r="D142" s="14" t="s">
        <v>9327</v>
      </c>
      <c r="E142" s="14">
        <v>43</v>
      </c>
      <c r="F142" s="14" t="s">
        <v>9332</v>
      </c>
      <c r="G142" s="14" t="s">
        <v>9333</v>
      </c>
      <c r="H142" s="14"/>
      <c r="I142" s="14" t="s">
        <v>49</v>
      </c>
      <c r="J142" s="11" t="str">
        <f>HYPERLINK("https://www.codechef.com/problems/TCSNQTQA03", "https://www.codechef.com/problems/TCSNQTQA03")</f>
        <v>https://www.codechef.com/problems/TCSNQTQA03</v>
      </c>
      <c r="K142" s="14"/>
      <c r="L142" s="14"/>
      <c r="M142" s="14"/>
      <c r="N142" s="14" t="s">
        <v>50</v>
      </c>
      <c r="O142" s="14" t="s">
        <v>51</v>
      </c>
    </row>
    <row r="143" spans="1:15">
      <c r="A143" s="15" t="s">
        <v>15</v>
      </c>
      <c r="B143" s="15" t="s">
        <v>9243</v>
      </c>
      <c r="C143" s="15" t="s">
        <v>9244</v>
      </c>
      <c r="D143" s="15" t="s">
        <v>9327</v>
      </c>
      <c r="E143" s="15">
        <v>44</v>
      </c>
      <c r="F143" s="15" t="s">
        <v>9334</v>
      </c>
      <c r="G143" s="15" t="s">
        <v>9335</v>
      </c>
      <c r="H143" s="15"/>
      <c r="I143" s="15" t="s">
        <v>96</v>
      </c>
      <c r="J143" s="7" t="str">
        <f>HYPERLINK("https://www.codechef.com/problems/TCSNQTQA04", "https://www.codechef.com/problems/TCSNQTQA04")</f>
        <v>https://www.codechef.com/problems/TCSNQTQA04</v>
      </c>
      <c r="K143" s="15"/>
      <c r="L143" s="15"/>
      <c r="M143" s="15"/>
      <c r="N143" s="15" t="s">
        <v>50</v>
      </c>
      <c r="O143" s="15" t="s">
        <v>51</v>
      </c>
    </row>
    <row r="144" spans="1:15">
      <c r="A144" s="14" t="s">
        <v>15</v>
      </c>
      <c r="B144" s="14" t="s">
        <v>9243</v>
      </c>
      <c r="C144" s="14" t="s">
        <v>9244</v>
      </c>
      <c r="D144" s="14" t="s">
        <v>9327</v>
      </c>
      <c r="E144" s="14">
        <v>45</v>
      </c>
      <c r="F144" s="14" t="s">
        <v>9336</v>
      </c>
      <c r="G144" s="14" t="s">
        <v>9337</v>
      </c>
      <c r="H144" s="14"/>
      <c r="I144" s="14" t="s">
        <v>49</v>
      </c>
      <c r="J144" s="11" t="str">
        <f>HYPERLINK("https://www.codechef.com/problems/TCSNQTQA05", "https://www.codechef.com/problems/TCSNQTQA05")</f>
        <v>https://www.codechef.com/problems/TCSNQTQA05</v>
      </c>
      <c r="K144" s="14"/>
      <c r="L144" s="14"/>
      <c r="M144" s="14"/>
      <c r="N144" s="14" t="s">
        <v>50</v>
      </c>
      <c r="O144" s="14" t="s">
        <v>51</v>
      </c>
    </row>
    <row r="145" spans="1:15">
      <c r="A145" s="15" t="s">
        <v>15</v>
      </c>
      <c r="B145" s="15" t="s">
        <v>9243</v>
      </c>
      <c r="C145" s="15" t="s">
        <v>9244</v>
      </c>
      <c r="D145" s="15" t="s">
        <v>9327</v>
      </c>
      <c r="E145" s="15">
        <v>46</v>
      </c>
      <c r="F145" s="15" t="s">
        <v>9338</v>
      </c>
      <c r="G145" s="15" t="s">
        <v>9339</v>
      </c>
      <c r="H145" s="15"/>
      <c r="I145" s="15" t="s">
        <v>49</v>
      </c>
      <c r="J145" s="7" t="str">
        <f>HYPERLINK("https://www.codechef.com/problems/TCSNQTQA06", "https://www.codechef.com/problems/TCSNQTQA06")</f>
        <v>https://www.codechef.com/problems/TCSNQTQA06</v>
      </c>
      <c r="K145" s="15"/>
      <c r="L145" s="15"/>
      <c r="M145" s="15"/>
      <c r="N145" s="15" t="s">
        <v>50</v>
      </c>
      <c r="O145" s="15" t="s">
        <v>51</v>
      </c>
    </row>
    <row r="146" spans="1:15">
      <c r="A146" s="14" t="s">
        <v>15</v>
      </c>
      <c r="B146" s="14" t="s">
        <v>9243</v>
      </c>
      <c r="C146" s="14" t="s">
        <v>9244</v>
      </c>
      <c r="D146" s="14" t="s">
        <v>9327</v>
      </c>
      <c r="E146" s="14">
        <v>47</v>
      </c>
      <c r="F146" s="14" t="s">
        <v>9340</v>
      </c>
      <c r="G146" s="14" t="s">
        <v>9341</v>
      </c>
      <c r="H146" s="14"/>
      <c r="I146" s="14" t="s">
        <v>49</v>
      </c>
      <c r="J146" s="11" t="str">
        <f>HYPERLINK("https://www.codechef.com/problems/TCSNQTQA07", "https://www.codechef.com/problems/TCSNQTQA07")</f>
        <v>https://www.codechef.com/problems/TCSNQTQA07</v>
      </c>
      <c r="K146" s="14"/>
      <c r="L146" s="14"/>
      <c r="M146" s="14"/>
      <c r="N146" s="14" t="s">
        <v>50</v>
      </c>
      <c r="O146" s="14" t="s">
        <v>51</v>
      </c>
    </row>
    <row r="147" spans="1:15">
      <c r="A147" s="15" t="s">
        <v>15</v>
      </c>
      <c r="B147" s="15" t="s">
        <v>9243</v>
      </c>
      <c r="C147" s="15" t="s">
        <v>9244</v>
      </c>
      <c r="D147" s="15" t="s">
        <v>9327</v>
      </c>
      <c r="E147" s="15">
        <v>48</v>
      </c>
      <c r="F147" s="15" t="s">
        <v>9342</v>
      </c>
      <c r="G147" s="15" t="s">
        <v>9343</v>
      </c>
      <c r="H147" s="15"/>
      <c r="I147" s="15" t="s">
        <v>96</v>
      </c>
      <c r="J147" s="7" t="str">
        <f>HYPERLINK("https://www.codechef.com/problems/TCSNQTQA08", "https://www.codechef.com/problems/TCSNQTQA08")</f>
        <v>https://www.codechef.com/problems/TCSNQTQA08</v>
      </c>
      <c r="K147" s="15"/>
      <c r="L147" s="15"/>
      <c r="M147" s="15"/>
      <c r="N147" s="15" t="s">
        <v>50</v>
      </c>
      <c r="O147" s="15" t="s">
        <v>51</v>
      </c>
    </row>
    <row r="148" spans="1:15">
      <c r="A148" s="14" t="s">
        <v>15</v>
      </c>
      <c r="B148" s="14" t="s">
        <v>9243</v>
      </c>
      <c r="C148" s="14" t="s">
        <v>9244</v>
      </c>
      <c r="D148" s="14" t="s">
        <v>9327</v>
      </c>
      <c r="E148" s="14">
        <v>49</v>
      </c>
      <c r="F148" s="14" t="s">
        <v>9344</v>
      </c>
      <c r="G148" s="14" t="s">
        <v>9345</v>
      </c>
      <c r="H148" s="14"/>
      <c r="I148" s="14" t="s">
        <v>96</v>
      </c>
      <c r="J148" s="11" t="str">
        <f>HYPERLINK("https://www.codechef.com/problems/TCSNQTQA09", "https://www.codechef.com/problems/TCSNQTQA09")</f>
        <v>https://www.codechef.com/problems/TCSNQTQA09</v>
      </c>
      <c r="K148" s="14"/>
      <c r="L148" s="14"/>
      <c r="M148" s="14"/>
      <c r="N148" s="14" t="s">
        <v>50</v>
      </c>
      <c r="O148" s="14" t="s">
        <v>51</v>
      </c>
    </row>
    <row r="149" spans="1:15">
      <c r="A149" s="15" t="s">
        <v>15</v>
      </c>
      <c r="B149" s="15" t="s">
        <v>9243</v>
      </c>
      <c r="C149" s="15" t="s">
        <v>9244</v>
      </c>
      <c r="D149" s="15" t="s">
        <v>9327</v>
      </c>
      <c r="E149" s="15">
        <v>50</v>
      </c>
      <c r="F149" s="15" t="s">
        <v>9346</v>
      </c>
      <c r="G149" s="15" t="s">
        <v>9347</v>
      </c>
      <c r="H149" s="15"/>
      <c r="I149" s="15" t="s">
        <v>49</v>
      </c>
      <c r="J149" s="7" t="str">
        <f>HYPERLINK("https://www.codechef.com/problems/TCSNQTQA10", "https://www.codechef.com/problems/TCSNQTQA10")</f>
        <v>https://www.codechef.com/problems/TCSNQTQA10</v>
      </c>
      <c r="K149" s="15"/>
      <c r="L149" s="15"/>
      <c r="M149" s="15"/>
      <c r="N149" s="15" t="s">
        <v>50</v>
      </c>
      <c r="O149" s="15" t="s">
        <v>51</v>
      </c>
    </row>
    <row r="150" spans="1:15">
      <c r="A150" s="14" t="s">
        <v>15</v>
      </c>
      <c r="B150" s="14" t="s">
        <v>9348</v>
      </c>
      <c r="C150" s="14" t="s">
        <v>9349</v>
      </c>
      <c r="D150" s="14" t="s">
        <v>9350</v>
      </c>
      <c r="E150" s="14">
        <v>1</v>
      </c>
      <c r="F150" s="14" t="s">
        <v>9351</v>
      </c>
      <c r="G150" s="14" t="s">
        <v>9352</v>
      </c>
      <c r="H150" s="14"/>
      <c r="I150" s="14" t="s">
        <v>96</v>
      </c>
      <c r="J150" s="11" t="str">
        <f>HYPERLINK("https://www.codechef.com/problems/NUTANIX01", "https://www.codechef.com/problems/NUTANIX01")</f>
        <v>https://www.codechef.com/problems/NUTANIX01</v>
      </c>
      <c r="K150" s="14"/>
      <c r="L150" s="14"/>
      <c r="M150" s="14"/>
      <c r="N150" s="14" t="s">
        <v>50</v>
      </c>
      <c r="O150" s="14" t="s">
        <v>51</v>
      </c>
    </row>
    <row r="151" spans="1:15">
      <c r="A151" s="15" t="s">
        <v>15</v>
      </c>
      <c r="B151" s="15" t="s">
        <v>9348</v>
      </c>
      <c r="C151" s="15" t="s">
        <v>9349</v>
      </c>
      <c r="D151" s="15" t="s">
        <v>9350</v>
      </c>
      <c r="E151" s="15">
        <v>2</v>
      </c>
      <c r="F151" s="15" t="s">
        <v>9353</v>
      </c>
      <c r="G151" s="15" t="s">
        <v>9354</v>
      </c>
      <c r="H151" s="15"/>
      <c r="I151" s="15" t="s">
        <v>96</v>
      </c>
      <c r="J151" s="7" t="str">
        <f>HYPERLINK("https://www.codechef.com/problems/NUTANIX07", "https://www.codechef.com/problems/NUTANIX07")</f>
        <v>https://www.codechef.com/problems/NUTANIX07</v>
      </c>
      <c r="K151" s="15"/>
      <c r="L151" s="15"/>
      <c r="M151" s="15"/>
      <c r="N151" s="15" t="s">
        <v>50</v>
      </c>
      <c r="O151" s="15" t="s">
        <v>51</v>
      </c>
    </row>
    <row r="152" spans="1:15">
      <c r="A152" s="14" t="s">
        <v>15</v>
      </c>
      <c r="B152" s="14" t="s">
        <v>9348</v>
      </c>
      <c r="C152" s="14" t="s">
        <v>9349</v>
      </c>
      <c r="D152" s="14" t="s">
        <v>9350</v>
      </c>
      <c r="E152" s="14">
        <v>3</v>
      </c>
      <c r="F152" s="14" t="s">
        <v>9355</v>
      </c>
      <c r="G152" s="14" t="s">
        <v>9356</v>
      </c>
      <c r="H152" s="14"/>
      <c r="I152" s="14" t="s">
        <v>96</v>
      </c>
      <c r="J152" s="11" t="str">
        <f>HYPERLINK("https://www.codechef.com/problems/NUTANIX12", "https://www.codechef.com/problems/NUTANIX12")</f>
        <v>https://www.codechef.com/problems/NUTANIX12</v>
      </c>
      <c r="K152" s="14"/>
      <c r="L152" s="14"/>
      <c r="M152" s="14"/>
      <c r="N152" s="14" t="s">
        <v>50</v>
      </c>
      <c r="O152" s="14" t="s">
        <v>51</v>
      </c>
    </row>
    <row r="153" spans="1:15">
      <c r="A153" s="15" t="s">
        <v>15</v>
      </c>
      <c r="B153" s="15" t="s">
        <v>9348</v>
      </c>
      <c r="C153" s="15" t="s">
        <v>9349</v>
      </c>
      <c r="D153" s="15" t="s">
        <v>9350</v>
      </c>
      <c r="E153" s="15">
        <v>4</v>
      </c>
      <c r="F153" s="15" t="s">
        <v>9357</v>
      </c>
      <c r="G153" s="15" t="s">
        <v>9358</v>
      </c>
      <c r="H153" s="15"/>
      <c r="I153" s="15" t="s">
        <v>96</v>
      </c>
      <c r="J153" s="7" t="str">
        <f>HYPERLINK("https://www.codechef.com/problems/NUTANIX11", "https://www.codechef.com/problems/NUTANIX11")</f>
        <v>https://www.codechef.com/problems/NUTANIX11</v>
      </c>
      <c r="K153" s="15"/>
      <c r="L153" s="15"/>
      <c r="M153" s="15"/>
      <c r="N153" s="15" t="s">
        <v>50</v>
      </c>
      <c r="O153" s="15" t="s">
        <v>51</v>
      </c>
    </row>
    <row r="154" spans="1:15">
      <c r="A154" s="14" t="s">
        <v>15</v>
      </c>
      <c r="B154" s="14" t="s">
        <v>9348</v>
      </c>
      <c r="C154" s="14" t="s">
        <v>9349</v>
      </c>
      <c r="D154" s="14" t="s">
        <v>9350</v>
      </c>
      <c r="E154" s="14">
        <v>5</v>
      </c>
      <c r="F154" s="14" t="s">
        <v>9359</v>
      </c>
      <c r="G154" s="14" t="s">
        <v>9360</v>
      </c>
      <c r="H154" s="14"/>
      <c r="I154" s="14" t="s">
        <v>96</v>
      </c>
      <c r="J154" s="11" t="str">
        <f>HYPERLINK("https://www.codechef.com/problems/NUTANIX02", "https://www.codechef.com/problems/NUTANIX02")</f>
        <v>https://www.codechef.com/problems/NUTANIX02</v>
      </c>
      <c r="K154" s="14"/>
      <c r="L154" s="14"/>
      <c r="M154" s="14"/>
      <c r="N154" s="14" t="s">
        <v>50</v>
      </c>
      <c r="O154" s="14" t="s">
        <v>51</v>
      </c>
    </row>
    <row r="155" spans="1:15">
      <c r="A155" s="15" t="s">
        <v>15</v>
      </c>
      <c r="B155" s="15" t="s">
        <v>9348</v>
      </c>
      <c r="C155" s="15" t="s">
        <v>9349</v>
      </c>
      <c r="D155" s="15" t="s">
        <v>9350</v>
      </c>
      <c r="E155" s="15">
        <v>6</v>
      </c>
      <c r="F155" s="15" t="s">
        <v>9361</v>
      </c>
      <c r="G155" s="15" t="s">
        <v>9362</v>
      </c>
      <c r="H155" s="15"/>
      <c r="I155" s="15" t="s">
        <v>96</v>
      </c>
      <c r="J155" s="7" t="str">
        <f>HYPERLINK("https://www.codechef.com/problems/NUTANIX03", "https://www.codechef.com/problems/NUTANIX03")</f>
        <v>https://www.codechef.com/problems/NUTANIX03</v>
      </c>
      <c r="K155" s="15"/>
      <c r="L155" s="15"/>
      <c r="M155" s="15"/>
      <c r="N155" s="15" t="s">
        <v>50</v>
      </c>
      <c r="O155" s="15" t="s">
        <v>51</v>
      </c>
    </row>
    <row r="156" spans="1:15">
      <c r="A156" s="14" t="s">
        <v>15</v>
      </c>
      <c r="B156" s="14" t="s">
        <v>9348</v>
      </c>
      <c r="C156" s="14" t="s">
        <v>9349</v>
      </c>
      <c r="D156" s="14" t="s">
        <v>9350</v>
      </c>
      <c r="E156" s="14">
        <v>7</v>
      </c>
      <c r="F156" s="14" t="s">
        <v>9363</v>
      </c>
      <c r="G156" s="14" t="s">
        <v>9364</v>
      </c>
      <c r="H156" s="14"/>
      <c r="I156" s="14" t="s">
        <v>322</v>
      </c>
      <c r="J156" s="11" t="str">
        <f>HYPERLINK("https://www.codechef.com/problems/NUTANIX04", "https://www.codechef.com/problems/NUTANIX04")</f>
        <v>https://www.codechef.com/problems/NUTANIX04</v>
      </c>
      <c r="K156" s="14"/>
      <c r="L156" s="14"/>
      <c r="M156" s="14"/>
      <c r="N156" s="14" t="s">
        <v>50</v>
      </c>
      <c r="O156" s="14" t="s">
        <v>51</v>
      </c>
    </row>
    <row r="157" spans="1:15">
      <c r="A157" s="15" t="s">
        <v>15</v>
      </c>
      <c r="B157" s="15" t="s">
        <v>9348</v>
      </c>
      <c r="C157" s="15" t="s">
        <v>9349</v>
      </c>
      <c r="D157" s="15" t="s">
        <v>9350</v>
      </c>
      <c r="E157" s="15">
        <v>8</v>
      </c>
      <c r="F157" s="15" t="s">
        <v>9365</v>
      </c>
      <c r="G157" s="15" t="s">
        <v>9366</v>
      </c>
      <c r="H157" s="15"/>
      <c r="I157" s="15" t="s">
        <v>96</v>
      </c>
      <c r="J157" s="7" t="str">
        <f>HYPERLINK("https://www.codechef.com/problems/NUTANIX05", "https://www.codechef.com/problems/NUTANIX05")</f>
        <v>https://www.codechef.com/problems/NUTANIX05</v>
      </c>
      <c r="K157" s="15"/>
      <c r="L157" s="15"/>
      <c r="M157" s="15"/>
      <c r="N157" s="15" t="s">
        <v>50</v>
      </c>
      <c r="O157" s="15" t="s">
        <v>51</v>
      </c>
    </row>
    <row r="158" spans="1:15">
      <c r="A158" s="14" t="s">
        <v>15</v>
      </c>
      <c r="B158" s="14" t="s">
        <v>9348</v>
      </c>
      <c r="C158" s="14" t="s">
        <v>9349</v>
      </c>
      <c r="D158" s="14" t="s">
        <v>9350</v>
      </c>
      <c r="E158" s="14">
        <v>9</v>
      </c>
      <c r="F158" s="14" t="s">
        <v>9367</v>
      </c>
      <c r="G158" s="14" t="s">
        <v>9368</v>
      </c>
      <c r="H158" s="14"/>
      <c r="I158" s="14" t="s">
        <v>322</v>
      </c>
      <c r="J158" s="11" t="str">
        <f>HYPERLINK("https://www.codechef.com/problems/NUTANIX08", "https://www.codechef.com/problems/NUTANIX08")</f>
        <v>https://www.codechef.com/problems/NUTANIX08</v>
      </c>
      <c r="K158" s="14"/>
      <c r="L158" s="14"/>
      <c r="M158" s="14"/>
      <c r="N158" s="14" t="s">
        <v>50</v>
      </c>
      <c r="O158" s="14" t="s">
        <v>51</v>
      </c>
    </row>
    <row r="159" spans="1:15">
      <c r="A159" s="15" t="s">
        <v>15</v>
      </c>
      <c r="B159" s="15" t="s">
        <v>9348</v>
      </c>
      <c r="C159" s="15" t="s">
        <v>9349</v>
      </c>
      <c r="D159" s="15" t="s">
        <v>9350</v>
      </c>
      <c r="E159" s="15">
        <v>10</v>
      </c>
      <c r="F159" s="15" t="s">
        <v>9369</v>
      </c>
      <c r="G159" s="15" t="s">
        <v>9370</v>
      </c>
      <c r="H159" s="15"/>
      <c r="I159" s="15" t="s">
        <v>96</v>
      </c>
      <c r="J159" s="7" t="str">
        <f>HYPERLINK("https://www.codechef.com/problems/NUTANIX09", "https://www.codechef.com/problems/NUTANIX09")</f>
        <v>https://www.codechef.com/problems/NUTANIX09</v>
      </c>
      <c r="K159" s="15"/>
      <c r="L159" s="15"/>
      <c r="M159" s="15"/>
      <c r="N159" s="15" t="s">
        <v>50</v>
      </c>
      <c r="O159" s="15" t="s">
        <v>51</v>
      </c>
    </row>
    <row r="160" spans="1:15">
      <c r="A160" s="14" t="s">
        <v>15</v>
      </c>
      <c r="B160" s="14" t="s">
        <v>9348</v>
      </c>
      <c r="C160" s="14" t="s">
        <v>9349</v>
      </c>
      <c r="D160" s="14" t="s">
        <v>9350</v>
      </c>
      <c r="E160" s="14">
        <v>11</v>
      </c>
      <c r="F160" s="14" t="s">
        <v>9371</v>
      </c>
      <c r="G160" s="14" t="s">
        <v>9372</v>
      </c>
      <c r="H160" s="14"/>
      <c r="I160" s="14" t="s">
        <v>96</v>
      </c>
      <c r="J160" s="11" t="str">
        <f>HYPERLINK("https://www.codechef.com/problems/NUTANIX10", "https://www.codechef.com/problems/NUTANIX10")</f>
        <v>https://www.codechef.com/problems/NUTANIX10</v>
      </c>
      <c r="K160" s="14"/>
      <c r="L160" s="14"/>
      <c r="M160" s="14"/>
      <c r="N160" s="14" t="s">
        <v>50</v>
      </c>
      <c r="O160" s="14" t="s">
        <v>51</v>
      </c>
    </row>
    <row r="161" spans="1:15">
      <c r="A161" s="15" t="s">
        <v>15</v>
      </c>
      <c r="B161" s="15" t="s">
        <v>9348</v>
      </c>
      <c r="C161" s="15" t="s">
        <v>9349</v>
      </c>
      <c r="D161" s="15" t="s">
        <v>9350</v>
      </c>
      <c r="E161" s="15">
        <v>12</v>
      </c>
      <c r="F161" s="15" t="s">
        <v>1096</v>
      </c>
      <c r="G161" s="15" t="s">
        <v>9373</v>
      </c>
      <c r="H161" s="15"/>
      <c r="I161" s="15" t="s">
        <v>322</v>
      </c>
      <c r="J161" s="7" t="str">
        <f>HYPERLINK("https://www.codechef.com/problems/NUTANIX06", "https://www.codechef.com/problems/NUTANIX06")</f>
        <v>https://www.codechef.com/problems/NUTANIX06</v>
      </c>
      <c r="K161" s="15"/>
      <c r="L161" s="15"/>
      <c r="M161" s="15"/>
      <c r="N161" s="15" t="s">
        <v>50</v>
      </c>
      <c r="O161" s="15" t="s">
        <v>51</v>
      </c>
    </row>
    <row r="162" spans="1:15">
      <c r="A162" s="14" t="s">
        <v>15</v>
      </c>
      <c r="B162" s="14" t="s">
        <v>9374</v>
      </c>
      <c r="C162" s="14" t="s">
        <v>9375</v>
      </c>
      <c r="D162" s="14" t="s">
        <v>9376</v>
      </c>
      <c r="E162" s="14">
        <v>1</v>
      </c>
      <c r="F162" s="14" t="s">
        <v>9377</v>
      </c>
      <c r="G162" s="14" t="s">
        <v>9378</v>
      </c>
      <c r="H162" s="14"/>
      <c r="I162" s="14" t="s">
        <v>96</v>
      </c>
      <c r="J162" s="11" t="str">
        <f>HYPERLINK("https://www.codechef.com/problems/JUNGLEE01", "https://www.codechef.com/problems/JUNGLEE01")</f>
        <v>https://www.codechef.com/problems/JUNGLEE01</v>
      </c>
      <c r="K162" s="14"/>
      <c r="L162" s="14"/>
      <c r="M162" s="14"/>
      <c r="N162" s="14" t="s">
        <v>50</v>
      </c>
      <c r="O162" s="14" t="s">
        <v>51</v>
      </c>
    </row>
    <row r="163" spans="1:15">
      <c r="A163" s="15" t="s">
        <v>15</v>
      </c>
      <c r="B163" s="15" t="s">
        <v>9374</v>
      </c>
      <c r="C163" s="15" t="s">
        <v>9375</v>
      </c>
      <c r="D163" s="15" t="s">
        <v>9376</v>
      </c>
      <c r="E163" s="15">
        <v>2</v>
      </c>
      <c r="F163" s="15" t="s">
        <v>9379</v>
      </c>
      <c r="G163" s="15" t="s">
        <v>9380</v>
      </c>
      <c r="H163" s="15"/>
      <c r="I163" s="15" t="s">
        <v>96</v>
      </c>
      <c r="J163" s="7" t="str">
        <f>HYPERLINK("https://www.codechef.com/problems/JUNGLEE02", "https://www.codechef.com/problems/JUNGLEE02")</f>
        <v>https://www.codechef.com/problems/JUNGLEE02</v>
      </c>
      <c r="K163" s="15"/>
      <c r="L163" s="15"/>
      <c r="M163" s="15"/>
      <c r="N163" s="15" t="s">
        <v>50</v>
      </c>
      <c r="O163" s="15" t="s">
        <v>51</v>
      </c>
    </row>
    <row r="164" spans="1:15">
      <c r="A164" s="14" t="s">
        <v>15</v>
      </c>
      <c r="B164" s="14" t="s">
        <v>9374</v>
      </c>
      <c r="C164" s="14" t="s">
        <v>9375</v>
      </c>
      <c r="D164" s="14" t="s">
        <v>9376</v>
      </c>
      <c r="E164" s="14">
        <v>3</v>
      </c>
      <c r="F164" s="14" t="s">
        <v>9381</v>
      </c>
      <c r="G164" s="14" t="s">
        <v>9382</v>
      </c>
      <c r="H164" s="14"/>
      <c r="I164" s="14" t="s">
        <v>96</v>
      </c>
      <c r="J164" s="11" t="str">
        <f>HYPERLINK("https://www.codechef.com/problems/JUNGLEE03", "https://www.codechef.com/problems/JUNGLEE03")</f>
        <v>https://www.codechef.com/problems/JUNGLEE03</v>
      </c>
      <c r="K164" s="14"/>
      <c r="L164" s="14"/>
      <c r="M164" s="14"/>
      <c r="N164" s="14" t="s">
        <v>50</v>
      </c>
      <c r="O164" s="14" t="s">
        <v>51</v>
      </c>
    </row>
    <row r="165" spans="1:15">
      <c r="A165" s="15" t="s">
        <v>15</v>
      </c>
      <c r="B165" s="15" t="s">
        <v>9374</v>
      </c>
      <c r="C165" s="15" t="s">
        <v>9375</v>
      </c>
      <c r="D165" s="15" t="s">
        <v>9376</v>
      </c>
      <c r="E165" s="15">
        <v>4</v>
      </c>
      <c r="F165" s="15" t="s">
        <v>9383</v>
      </c>
      <c r="G165" s="15" t="s">
        <v>9384</v>
      </c>
      <c r="H165" s="15"/>
      <c r="I165" s="15" t="s">
        <v>322</v>
      </c>
      <c r="J165" s="7" t="str">
        <f>HYPERLINK("https://www.codechef.com/problems/JUNGLEE07", "https://www.codechef.com/problems/JUNGLEE07")</f>
        <v>https://www.codechef.com/problems/JUNGLEE07</v>
      </c>
      <c r="K165" s="15"/>
      <c r="L165" s="15"/>
      <c r="M165" s="15"/>
      <c r="N165" s="15" t="s">
        <v>50</v>
      </c>
      <c r="O165" s="15" t="s">
        <v>51</v>
      </c>
    </row>
    <row r="166" spans="1:15">
      <c r="A166" s="14" t="s">
        <v>15</v>
      </c>
      <c r="B166" s="14" t="s">
        <v>9374</v>
      </c>
      <c r="C166" s="14" t="s">
        <v>9375</v>
      </c>
      <c r="D166" s="14" t="s">
        <v>9376</v>
      </c>
      <c r="E166" s="14">
        <v>5</v>
      </c>
      <c r="F166" s="14" t="s">
        <v>9385</v>
      </c>
      <c r="G166" s="14" t="s">
        <v>9386</v>
      </c>
      <c r="H166" s="14"/>
      <c r="I166" s="14" t="s">
        <v>96</v>
      </c>
      <c r="J166" s="11" t="str">
        <f>HYPERLINK("https://www.codechef.com/problems/JUNGLEE08", "https://www.codechef.com/problems/JUNGLEE08")</f>
        <v>https://www.codechef.com/problems/JUNGLEE08</v>
      </c>
      <c r="K166" s="14"/>
      <c r="L166" s="14"/>
      <c r="M166" s="14"/>
      <c r="N166" s="14" t="s">
        <v>50</v>
      </c>
      <c r="O166" s="14" t="s">
        <v>51</v>
      </c>
    </row>
    <row r="167" spans="1:15">
      <c r="A167" s="15" t="s">
        <v>15</v>
      </c>
      <c r="B167" s="15" t="s">
        <v>9374</v>
      </c>
      <c r="C167" s="15" t="s">
        <v>9375</v>
      </c>
      <c r="D167" s="15" t="s">
        <v>9376</v>
      </c>
      <c r="E167" s="15">
        <v>6</v>
      </c>
      <c r="F167" s="15" t="s">
        <v>9203</v>
      </c>
      <c r="G167" s="15" t="s">
        <v>9387</v>
      </c>
      <c r="H167" s="15"/>
      <c r="I167" s="15" t="s">
        <v>96</v>
      </c>
      <c r="J167" s="7" t="str">
        <f>HYPERLINK("https://www.codechef.com/problems/JUNGLEE05", "https://www.codechef.com/problems/JUNGLEE05")</f>
        <v>https://www.codechef.com/problems/JUNGLEE05</v>
      </c>
      <c r="K167" s="15"/>
      <c r="L167" s="15"/>
      <c r="M167" s="15"/>
      <c r="N167" s="15" t="s">
        <v>50</v>
      </c>
      <c r="O167" s="15" t="s">
        <v>51</v>
      </c>
    </row>
    <row r="168" spans="1:15">
      <c r="A168" s="14" t="s">
        <v>15</v>
      </c>
      <c r="B168" s="14" t="s">
        <v>9374</v>
      </c>
      <c r="C168" s="14" t="s">
        <v>9375</v>
      </c>
      <c r="D168" s="14" t="s">
        <v>9376</v>
      </c>
      <c r="E168" s="14">
        <v>7</v>
      </c>
      <c r="F168" s="14" t="s">
        <v>9388</v>
      </c>
      <c r="G168" s="14" t="s">
        <v>9389</v>
      </c>
      <c r="H168" s="14"/>
      <c r="I168" s="14" t="s">
        <v>96</v>
      </c>
      <c r="J168" s="11" t="str">
        <f>HYPERLINK("https://www.codechef.com/problems/JUNGLEE06", "https://www.codechef.com/problems/JUNGLEE06")</f>
        <v>https://www.codechef.com/problems/JUNGLEE06</v>
      </c>
      <c r="K168" s="14"/>
      <c r="L168" s="14"/>
      <c r="M168" s="14"/>
      <c r="N168" s="14" t="s">
        <v>50</v>
      </c>
      <c r="O168" s="14" t="s">
        <v>51</v>
      </c>
    </row>
    <row r="169" spans="1:15">
      <c r="A169" s="15" t="s">
        <v>15</v>
      </c>
      <c r="B169" s="15" t="s">
        <v>9374</v>
      </c>
      <c r="C169" s="15" t="s">
        <v>9375</v>
      </c>
      <c r="D169" s="15" t="s">
        <v>9376</v>
      </c>
      <c r="E169" s="15">
        <v>8</v>
      </c>
      <c r="F169" s="15" t="s">
        <v>9390</v>
      </c>
      <c r="G169" s="15" t="s">
        <v>9391</v>
      </c>
      <c r="H169" s="15"/>
      <c r="I169" s="15" t="s">
        <v>322</v>
      </c>
      <c r="J169" s="7" t="str">
        <f>HYPERLINK("https://www.codechef.com/problems/JUNGLEE04", "https://www.codechef.com/problems/JUNGLEE04")</f>
        <v>https://www.codechef.com/problems/JUNGLEE04</v>
      </c>
      <c r="K169" s="15"/>
      <c r="L169" s="15"/>
      <c r="M169" s="15"/>
      <c r="N169" s="15" t="s">
        <v>50</v>
      </c>
      <c r="O169" s="15" t="s">
        <v>51</v>
      </c>
    </row>
    <row r="170" spans="1:15">
      <c r="A170" s="14" t="s">
        <v>15</v>
      </c>
      <c r="B170" s="14" t="s">
        <v>9392</v>
      </c>
      <c r="C170" s="14" t="s">
        <v>9393</v>
      </c>
      <c r="D170" s="14" t="s">
        <v>9394</v>
      </c>
      <c r="E170" s="14">
        <v>1</v>
      </c>
      <c r="F170" s="14" t="s">
        <v>9395</v>
      </c>
      <c r="G170" s="14" t="s">
        <v>9396</v>
      </c>
      <c r="H170" s="14"/>
      <c r="I170" s="14" t="s">
        <v>96</v>
      </c>
      <c r="J170" s="11" t="str">
        <f>HYPERLINK("https://www.codechef.com/problems/VISA04", "https://www.codechef.com/problems/VISA04")</f>
        <v>https://www.codechef.com/problems/VISA04</v>
      </c>
      <c r="K170" s="14"/>
      <c r="L170" s="14"/>
      <c r="M170" s="14"/>
      <c r="N170" s="14" t="s">
        <v>50</v>
      </c>
      <c r="O170" s="14" t="s">
        <v>51</v>
      </c>
    </row>
    <row r="171" spans="1:15">
      <c r="A171" s="15" t="s">
        <v>15</v>
      </c>
      <c r="B171" s="15" t="s">
        <v>9392</v>
      </c>
      <c r="C171" s="15" t="s">
        <v>9393</v>
      </c>
      <c r="D171" s="15" t="s">
        <v>9394</v>
      </c>
      <c r="E171" s="15">
        <v>2</v>
      </c>
      <c r="F171" s="15" t="s">
        <v>9397</v>
      </c>
      <c r="G171" s="15" t="s">
        <v>9398</v>
      </c>
      <c r="H171" s="15"/>
      <c r="I171" s="15" t="s">
        <v>96</v>
      </c>
      <c r="J171" s="7" t="str">
        <f>HYPERLINK("https://www.codechef.com/problems/VISA05", "https://www.codechef.com/problems/VISA05")</f>
        <v>https://www.codechef.com/problems/VISA05</v>
      </c>
      <c r="K171" s="15"/>
      <c r="L171" s="15"/>
      <c r="M171" s="15"/>
      <c r="N171" s="15" t="s">
        <v>50</v>
      </c>
      <c r="O171" s="15" t="s">
        <v>51</v>
      </c>
    </row>
    <row r="172" spans="1:15">
      <c r="A172" s="14" t="s">
        <v>15</v>
      </c>
      <c r="B172" s="14" t="s">
        <v>9392</v>
      </c>
      <c r="C172" s="14" t="s">
        <v>9393</v>
      </c>
      <c r="D172" s="14" t="s">
        <v>9394</v>
      </c>
      <c r="E172" s="14">
        <v>3</v>
      </c>
      <c r="F172" s="14" t="s">
        <v>9399</v>
      </c>
      <c r="G172" s="14" t="s">
        <v>9400</v>
      </c>
      <c r="H172" s="14"/>
      <c r="I172" s="14" t="s">
        <v>49</v>
      </c>
      <c r="J172" s="11" t="str">
        <f>HYPERLINK("https://www.codechef.com/problems/VISA07", "https://www.codechef.com/problems/VISA07")</f>
        <v>https://www.codechef.com/problems/VISA07</v>
      </c>
      <c r="K172" s="14"/>
      <c r="L172" s="14"/>
      <c r="M172" s="14"/>
      <c r="N172" s="14" t="s">
        <v>50</v>
      </c>
      <c r="O172" s="14" t="s">
        <v>51</v>
      </c>
    </row>
    <row r="173" spans="1:15">
      <c r="A173" s="15" t="s">
        <v>15</v>
      </c>
      <c r="B173" s="15" t="s">
        <v>9392</v>
      </c>
      <c r="C173" s="15" t="s">
        <v>9393</v>
      </c>
      <c r="D173" s="15" t="s">
        <v>9394</v>
      </c>
      <c r="E173" s="15">
        <v>4</v>
      </c>
      <c r="F173" s="15" t="s">
        <v>9401</v>
      </c>
      <c r="G173" s="15" t="s">
        <v>9402</v>
      </c>
      <c r="H173" s="15"/>
      <c r="I173" s="15" t="s">
        <v>96</v>
      </c>
      <c r="J173" s="7" t="str">
        <f>HYPERLINK("https://www.codechef.com/problems/VISA08", "https://www.codechef.com/problems/VISA08")</f>
        <v>https://www.codechef.com/problems/VISA08</v>
      </c>
      <c r="K173" s="15"/>
      <c r="L173" s="15"/>
      <c r="M173" s="15"/>
      <c r="N173" s="15" t="s">
        <v>50</v>
      </c>
      <c r="O173" s="15" t="s">
        <v>51</v>
      </c>
    </row>
    <row r="174" spans="1:15">
      <c r="A174" s="14" t="s">
        <v>15</v>
      </c>
      <c r="B174" s="14" t="s">
        <v>9392</v>
      </c>
      <c r="C174" s="14" t="s">
        <v>9393</v>
      </c>
      <c r="D174" s="14" t="s">
        <v>9394</v>
      </c>
      <c r="E174" s="14">
        <v>5</v>
      </c>
      <c r="F174" s="14" t="s">
        <v>9403</v>
      </c>
      <c r="G174" s="14" t="s">
        <v>9404</v>
      </c>
      <c r="H174" s="14"/>
      <c r="I174" s="14" t="s">
        <v>322</v>
      </c>
      <c r="J174" s="11" t="str">
        <f>HYPERLINK("https://www.codechef.com/problems/VISA01", "https://www.codechef.com/problems/VISA01")</f>
        <v>https://www.codechef.com/problems/VISA01</v>
      </c>
      <c r="K174" s="14"/>
      <c r="L174" s="14"/>
      <c r="M174" s="14"/>
      <c r="N174" s="14" t="s">
        <v>50</v>
      </c>
      <c r="O174" s="14" t="s">
        <v>51</v>
      </c>
    </row>
    <row r="175" spans="1:15">
      <c r="A175" s="15" t="s">
        <v>15</v>
      </c>
      <c r="B175" s="15" t="s">
        <v>9392</v>
      </c>
      <c r="C175" s="15" t="s">
        <v>9393</v>
      </c>
      <c r="D175" s="15" t="s">
        <v>9394</v>
      </c>
      <c r="E175" s="15">
        <v>6</v>
      </c>
      <c r="F175" s="15" t="s">
        <v>934</v>
      </c>
      <c r="G175" s="15" t="s">
        <v>935</v>
      </c>
      <c r="H175" s="15"/>
      <c r="I175" s="15" t="s">
        <v>96</v>
      </c>
      <c r="J175" s="7" t="str">
        <f>HYPERLINK("https://www.codechef.com/problems/VISA02", "https://www.codechef.com/problems/VISA02")</f>
        <v>https://www.codechef.com/problems/VISA02</v>
      </c>
      <c r="K175" s="15"/>
      <c r="L175" s="15"/>
      <c r="M175" s="15"/>
      <c r="N175" s="15" t="s">
        <v>50</v>
      </c>
      <c r="O175" s="15" t="s">
        <v>51</v>
      </c>
    </row>
    <row r="176" spans="1:15">
      <c r="A176" s="14" t="s">
        <v>15</v>
      </c>
      <c r="B176" s="14" t="s">
        <v>9392</v>
      </c>
      <c r="C176" s="14" t="s">
        <v>9393</v>
      </c>
      <c r="D176" s="14" t="s">
        <v>9394</v>
      </c>
      <c r="E176" s="14">
        <v>7</v>
      </c>
      <c r="F176" s="14" t="s">
        <v>9405</v>
      </c>
      <c r="G176" s="14" t="s">
        <v>9406</v>
      </c>
      <c r="H176" s="14"/>
      <c r="I176" s="14" t="s">
        <v>322</v>
      </c>
      <c r="J176" s="11" t="str">
        <f>HYPERLINK("https://www.codechef.com/problems/VISA03", "https://www.codechef.com/problems/VISA03")</f>
        <v>https://www.codechef.com/problems/VISA03</v>
      </c>
      <c r="K176" s="14"/>
      <c r="L176" s="14"/>
      <c r="M176" s="14"/>
      <c r="N176" s="14" t="s">
        <v>50</v>
      </c>
      <c r="O176" s="14" t="s">
        <v>51</v>
      </c>
    </row>
    <row r="177" spans="1:15">
      <c r="A177" s="15" t="s">
        <v>15</v>
      </c>
      <c r="B177" s="15" t="s">
        <v>9392</v>
      </c>
      <c r="C177" s="15" t="s">
        <v>9393</v>
      </c>
      <c r="D177" s="15" t="s">
        <v>9394</v>
      </c>
      <c r="E177" s="15">
        <v>8</v>
      </c>
      <c r="F177" s="15" t="s">
        <v>1511</v>
      </c>
      <c r="G177" s="15" t="s">
        <v>7309</v>
      </c>
      <c r="H177" s="15"/>
      <c r="I177" s="15" t="s">
        <v>96</v>
      </c>
      <c r="J177" s="7" t="str">
        <f>HYPERLINK("https://www.codechef.com/problems/VISA06", "https://www.codechef.com/problems/VISA06")</f>
        <v>https://www.codechef.com/problems/VISA06</v>
      </c>
      <c r="K177" s="15"/>
      <c r="L177" s="15"/>
      <c r="M177" s="15"/>
      <c r="N177" s="15" t="s">
        <v>50</v>
      </c>
      <c r="O177" s="15" t="s">
        <v>51</v>
      </c>
    </row>
    <row r="178" spans="1:15">
      <c r="A178" s="14" t="s">
        <v>15</v>
      </c>
      <c r="B178" s="14" t="s">
        <v>9392</v>
      </c>
      <c r="C178" s="14" t="s">
        <v>9393</v>
      </c>
      <c r="D178" s="14" t="s">
        <v>9394</v>
      </c>
      <c r="E178" s="14">
        <v>9</v>
      </c>
      <c r="F178" s="14" t="s">
        <v>1720</v>
      </c>
      <c r="G178" s="14" t="s">
        <v>9407</v>
      </c>
      <c r="H178" s="14"/>
      <c r="I178" s="14" t="s">
        <v>96</v>
      </c>
      <c r="J178" s="11" t="str">
        <f>HYPERLINK("https://www.codechef.com/problems/VISA09", "https://www.codechef.com/problems/VISA09")</f>
        <v>https://www.codechef.com/problems/VISA09</v>
      </c>
      <c r="K178" s="14"/>
      <c r="L178" s="14"/>
      <c r="M178" s="14"/>
      <c r="N178" s="14" t="s">
        <v>50</v>
      </c>
      <c r="O178" s="14" t="s">
        <v>51</v>
      </c>
    </row>
    <row r="179" spans="1:15">
      <c r="A179" s="15" t="s">
        <v>15</v>
      </c>
      <c r="B179" s="15" t="s">
        <v>9392</v>
      </c>
      <c r="C179" s="15" t="s">
        <v>9393</v>
      </c>
      <c r="D179" s="15" t="s">
        <v>9394</v>
      </c>
      <c r="E179" s="15">
        <v>10</v>
      </c>
      <c r="F179" s="15" t="s">
        <v>9408</v>
      </c>
      <c r="G179" s="15" t="s">
        <v>9409</v>
      </c>
      <c r="H179" s="15"/>
      <c r="I179" s="15" t="s">
        <v>96</v>
      </c>
      <c r="J179" s="7" t="str">
        <f>HYPERLINK("https://www.codechef.com/problems/VISA10", "https://www.codechef.com/problems/VISA10")</f>
        <v>https://www.codechef.com/problems/VISA10</v>
      </c>
      <c r="K179" s="15"/>
      <c r="L179" s="15"/>
      <c r="M179" s="15"/>
      <c r="N179" s="15" t="s">
        <v>50</v>
      </c>
      <c r="O179" s="15" t="s">
        <v>51</v>
      </c>
    </row>
    <row r="180" spans="1:15">
      <c r="A180" s="14" t="s">
        <v>15</v>
      </c>
      <c r="B180" s="14" t="s">
        <v>9410</v>
      </c>
      <c r="C180" s="14" t="s">
        <v>9411</v>
      </c>
      <c r="D180" s="14" t="s">
        <v>9412</v>
      </c>
      <c r="E180" s="14">
        <v>1</v>
      </c>
      <c r="F180" s="14" t="s">
        <v>9413</v>
      </c>
      <c r="G180" s="14" t="s">
        <v>9414</v>
      </c>
      <c r="H180" s="14"/>
      <c r="I180" s="14" t="s">
        <v>96</v>
      </c>
      <c r="J180" s="11" t="str">
        <f>HYPERLINK("https://www.codechef.com/problems/PHONEPE01", "https://www.codechef.com/problems/PHONEPE01")</f>
        <v>https://www.codechef.com/problems/PHONEPE01</v>
      </c>
      <c r="K180" s="14"/>
      <c r="L180" s="14"/>
      <c r="M180" s="14"/>
      <c r="N180" s="14" t="s">
        <v>50</v>
      </c>
      <c r="O180" s="14" t="s">
        <v>51</v>
      </c>
    </row>
    <row r="181" spans="1:15">
      <c r="A181" s="15" t="s">
        <v>15</v>
      </c>
      <c r="B181" s="15" t="s">
        <v>9410</v>
      </c>
      <c r="C181" s="15" t="s">
        <v>9411</v>
      </c>
      <c r="D181" s="15" t="s">
        <v>9412</v>
      </c>
      <c r="E181" s="15">
        <v>2</v>
      </c>
      <c r="F181" s="15" t="s">
        <v>9415</v>
      </c>
      <c r="G181" s="15" t="s">
        <v>9416</v>
      </c>
      <c r="H181" s="15"/>
      <c r="I181" s="15" t="s">
        <v>322</v>
      </c>
      <c r="J181" s="7" t="str">
        <f>HYPERLINK("https://www.codechef.com/problems/PHONEPE03", "https://www.codechef.com/problems/PHONEPE03")</f>
        <v>https://www.codechef.com/problems/PHONEPE03</v>
      </c>
      <c r="K181" s="15"/>
      <c r="L181" s="15"/>
      <c r="M181" s="15"/>
      <c r="N181" s="15" t="s">
        <v>50</v>
      </c>
      <c r="O181" s="15" t="s">
        <v>51</v>
      </c>
    </row>
    <row r="182" spans="1:15">
      <c r="A182" s="14" t="s">
        <v>15</v>
      </c>
      <c r="B182" s="14" t="s">
        <v>9410</v>
      </c>
      <c r="C182" s="14" t="s">
        <v>9411</v>
      </c>
      <c r="D182" s="14" t="s">
        <v>9412</v>
      </c>
      <c r="E182" s="14">
        <v>3</v>
      </c>
      <c r="F182" s="14" t="s">
        <v>1185</v>
      </c>
      <c r="G182" s="14" t="s">
        <v>9417</v>
      </c>
      <c r="H182" s="14"/>
      <c r="I182" s="14" t="s">
        <v>322</v>
      </c>
      <c r="J182" s="11" t="str">
        <f>HYPERLINK("https://www.codechef.com/problems/PHONEPE05", "https://www.codechef.com/problems/PHONEPE05")</f>
        <v>https://www.codechef.com/problems/PHONEPE05</v>
      </c>
      <c r="K182" s="14"/>
      <c r="L182" s="14"/>
      <c r="M182" s="14"/>
      <c r="N182" s="14" t="s">
        <v>50</v>
      </c>
      <c r="O182" s="14" t="s">
        <v>51</v>
      </c>
    </row>
    <row r="183" spans="1:15">
      <c r="A183" s="15" t="s">
        <v>15</v>
      </c>
      <c r="B183" s="15" t="s">
        <v>9410</v>
      </c>
      <c r="C183" s="15" t="s">
        <v>9411</v>
      </c>
      <c r="D183" s="15" t="s">
        <v>9412</v>
      </c>
      <c r="E183" s="15">
        <v>4</v>
      </c>
      <c r="F183" s="15" t="s">
        <v>9418</v>
      </c>
      <c r="G183" s="15" t="s">
        <v>9419</v>
      </c>
      <c r="H183" s="15"/>
      <c r="I183" s="15" t="s">
        <v>322</v>
      </c>
      <c r="J183" s="7" t="str">
        <f>HYPERLINK("https://www.codechef.com/problems/PHONEPE06", "https://www.codechef.com/problems/PHONEPE06")</f>
        <v>https://www.codechef.com/problems/PHONEPE06</v>
      </c>
      <c r="K183" s="15"/>
      <c r="L183" s="15"/>
      <c r="M183" s="15"/>
      <c r="N183" s="15" t="s">
        <v>50</v>
      </c>
      <c r="O183" s="15" t="s">
        <v>51</v>
      </c>
    </row>
    <row r="184" spans="1:15">
      <c r="A184" s="14" t="s">
        <v>15</v>
      </c>
      <c r="B184" s="14" t="s">
        <v>9410</v>
      </c>
      <c r="C184" s="14" t="s">
        <v>9411</v>
      </c>
      <c r="D184" s="14" t="s">
        <v>9412</v>
      </c>
      <c r="E184" s="14">
        <v>5</v>
      </c>
      <c r="F184" s="14" t="s">
        <v>9420</v>
      </c>
      <c r="G184" s="14" t="s">
        <v>9421</v>
      </c>
      <c r="H184" s="14"/>
      <c r="I184" s="14" t="s">
        <v>322</v>
      </c>
      <c r="J184" s="11" t="str">
        <f>HYPERLINK("https://www.codechef.com/problems/PHONEPE07", "https://www.codechef.com/problems/PHONEPE07")</f>
        <v>https://www.codechef.com/problems/PHONEPE07</v>
      </c>
      <c r="K184" s="14"/>
      <c r="L184" s="14"/>
      <c r="M184" s="14"/>
      <c r="N184" s="14" t="s">
        <v>50</v>
      </c>
      <c r="O184" s="14" t="s">
        <v>51</v>
      </c>
    </row>
    <row r="185" spans="1:15">
      <c r="A185" s="15" t="s">
        <v>15</v>
      </c>
      <c r="B185" s="15" t="s">
        <v>9410</v>
      </c>
      <c r="C185" s="15" t="s">
        <v>9411</v>
      </c>
      <c r="D185" s="15" t="s">
        <v>9412</v>
      </c>
      <c r="E185" s="15">
        <v>6</v>
      </c>
      <c r="F185" s="15" t="s">
        <v>9422</v>
      </c>
      <c r="G185" s="15" t="s">
        <v>9423</v>
      </c>
      <c r="H185" s="15"/>
      <c r="I185" s="15" t="s">
        <v>322</v>
      </c>
      <c r="J185" s="7" t="str">
        <f>HYPERLINK("https://www.codechef.com/problems/PHONEPE08", "https://www.codechef.com/problems/PHONEPE08")</f>
        <v>https://www.codechef.com/problems/PHONEPE08</v>
      </c>
      <c r="K185" s="15"/>
      <c r="L185" s="15"/>
      <c r="M185" s="15"/>
      <c r="N185" s="15" t="s">
        <v>50</v>
      </c>
      <c r="O185" s="15" t="s">
        <v>51</v>
      </c>
    </row>
    <row r="186" spans="1:15">
      <c r="A186" s="14" t="s">
        <v>15</v>
      </c>
      <c r="B186" s="14" t="s">
        <v>9410</v>
      </c>
      <c r="C186" s="14" t="s">
        <v>9411</v>
      </c>
      <c r="D186" s="14" t="s">
        <v>9412</v>
      </c>
      <c r="E186" s="14">
        <v>7</v>
      </c>
      <c r="F186" s="14" t="s">
        <v>9424</v>
      </c>
      <c r="G186" s="14" t="s">
        <v>9425</v>
      </c>
      <c r="H186" s="14"/>
      <c r="I186" s="14" t="s">
        <v>322</v>
      </c>
      <c r="J186" s="11" t="str">
        <f>HYPERLINK("https://www.codechef.com/problems/PHONEPE02", "https://www.codechef.com/problems/PHONEPE02")</f>
        <v>https://www.codechef.com/problems/PHONEPE02</v>
      </c>
      <c r="K186" s="14"/>
      <c r="L186" s="14"/>
      <c r="M186" s="14"/>
      <c r="N186" s="14" t="s">
        <v>50</v>
      </c>
      <c r="O186" s="14" t="s">
        <v>51</v>
      </c>
    </row>
    <row r="187" spans="1:15">
      <c r="A187" s="15" t="s">
        <v>15</v>
      </c>
      <c r="B187" s="15" t="s">
        <v>9410</v>
      </c>
      <c r="C187" s="15" t="s">
        <v>9411</v>
      </c>
      <c r="D187" s="15" t="s">
        <v>9412</v>
      </c>
      <c r="E187" s="15">
        <v>8</v>
      </c>
      <c r="F187" s="15" t="s">
        <v>9426</v>
      </c>
      <c r="G187" s="15" t="s">
        <v>9427</v>
      </c>
      <c r="H187" s="15"/>
      <c r="I187" s="15" t="s">
        <v>322</v>
      </c>
      <c r="J187" s="7" t="str">
        <f>HYPERLINK("https://www.codechef.com/problems/PHONEPE04", "https://www.codechef.com/problems/PHONEPE04")</f>
        <v>https://www.codechef.com/problems/PHONEPE04</v>
      </c>
      <c r="K187" s="15"/>
      <c r="L187" s="15"/>
      <c r="M187" s="15"/>
      <c r="N187" s="15" t="s">
        <v>50</v>
      </c>
      <c r="O187" s="15" t="s">
        <v>51</v>
      </c>
    </row>
    <row r="188" spans="1:15">
      <c r="A188" s="14" t="s">
        <v>15</v>
      </c>
      <c r="B188" s="14" t="s">
        <v>9428</v>
      </c>
      <c r="C188" s="14" t="s">
        <v>9429</v>
      </c>
      <c r="D188" s="14" t="s">
        <v>9430</v>
      </c>
      <c r="E188" s="14">
        <v>1</v>
      </c>
      <c r="F188" s="14" t="s">
        <v>9431</v>
      </c>
      <c r="G188" s="14" t="s">
        <v>9432</v>
      </c>
      <c r="H188" s="14"/>
      <c r="I188" s="14" t="s">
        <v>49</v>
      </c>
      <c r="J188" s="11" t="str">
        <f>HYPERLINK("https://www.codechef.com/problems/ACCOLITE01", "https://www.codechef.com/problems/ACCOLITE01")</f>
        <v>https://www.codechef.com/problems/ACCOLITE01</v>
      </c>
      <c r="K188" s="14"/>
      <c r="L188" s="14"/>
      <c r="M188" s="14"/>
      <c r="N188" s="14" t="s">
        <v>50</v>
      </c>
      <c r="O188" s="14" t="s">
        <v>51</v>
      </c>
    </row>
    <row r="189" spans="1:15">
      <c r="A189" s="15" t="s">
        <v>15</v>
      </c>
      <c r="B189" s="15" t="s">
        <v>9428</v>
      </c>
      <c r="C189" s="15" t="s">
        <v>9429</v>
      </c>
      <c r="D189" s="15" t="s">
        <v>9430</v>
      </c>
      <c r="E189" s="15">
        <v>2</v>
      </c>
      <c r="F189" s="15" t="s">
        <v>9433</v>
      </c>
      <c r="G189" s="15" t="s">
        <v>9434</v>
      </c>
      <c r="H189" s="15"/>
      <c r="I189" s="15" t="s">
        <v>96</v>
      </c>
      <c r="J189" s="7" t="str">
        <f>HYPERLINK("https://www.codechef.com/problems/ACCOLITE09", "https://www.codechef.com/problems/ACCOLITE09")</f>
        <v>https://www.codechef.com/problems/ACCOLITE09</v>
      </c>
      <c r="K189" s="15"/>
      <c r="L189" s="15"/>
      <c r="M189" s="15"/>
      <c r="N189" s="15" t="s">
        <v>50</v>
      </c>
      <c r="O189" s="15" t="s">
        <v>51</v>
      </c>
    </row>
    <row r="190" spans="1:15">
      <c r="A190" s="14" t="s">
        <v>15</v>
      </c>
      <c r="B190" s="14" t="s">
        <v>9428</v>
      </c>
      <c r="C190" s="14" t="s">
        <v>9429</v>
      </c>
      <c r="D190" s="14" t="s">
        <v>9430</v>
      </c>
      <c r="E190" s="14">
        <v>3</v>
      </c>
      <c r="F190" s="14" t="s">
        <v>9435</v>
      </c>
      <c r="G190" s="14" t="s">
        <v>9436</v>
      </c>
      <c r="H190" s="14"/>
      <c r="I190" s="14" t="s">
        <v>96</v>
      </c>
      <c r="J190" s="11" t="str">
        <f>HYPERLINK("https://www.codechef.com/problems/ACCOLITE02", "https://www.codechef.com/problems/ACCOLITE02")</f>
        <v>https://www.codechef.com/problems/ACCOLITE02</v>
      </c>
      <c r="K190" s="14"/>
      <c r="L190" s="14"/>
      <c r="M190" s="14"/>
      <c r="N190" s="14" t="s">
        <v>50</v>
      </c>
      <c r="O190" s="14" t="s">
        <v>51</v>
      </c>
    </row>
    <row r="191" spans="1:15">
      <c r="A191" s="15" t="s">
        <v>15</v>
      </c>
      <c r="B191" s="15" t="s">
        <v>9428</v>
      </c>
      <c r="C191" s="15" t="s">
        <v>9429</v>
      </c>
      <c r="D191" s="15" t="s">
        <v>9430</v>
      </c>
      <c r="E191" s="15">
        <v>4</v>
      </c>
      <c r="F191" s="15" t="s">
        <v>9437</v>
      </c>
      <c r="G191" s="15" t="s">
        <v>9438</v>
      </c>
      <c r="H191" s="15"/>
      <c r="I191" s="15" t="s">
        <v>322</v>
      </c>
      <c r="J191" s="7" t="str">
        <f>HYPERLINK("https://www.codechef.com/problems/ACCOLITE03", "https://www.codechef.com/problems/ACCOLITE03")</f>
        <v>https://www.codechef.com/problems/ACCOLITE03</v>
      </c>
      <c r="K191" s="15"/>
      <c r="L191" s="15"/>
      <c r="M191" s="15"/>
      <c r="N191" s="15" t="s">
        <v>50</v>
      </c>
      <c r="O191" s="15" t="s">
        <v>51</v>
      </c>
    </row>
    <row r="192" spans="1:15">
      <c r="A192" s="14" t="s">
        <v>15</v>
      </c>
      <c r="B192" s="14" t="s">
        <v>9428</v>
      </c>
      <c r="C192" s="14" t="s">
        <v>9429</v>
      </c>
      <c r="D192" s="14" t="s">
        <v>9430</v>
      </c>
      <c r="E192" s="14">
        <v>5</v>
      </c>
      <c r="F192" s="14" t="s">
        <v>7310</v>
      </c>
      <c r="G192" s="14" t="s">
        <v>7311</v>
      </c>
      <c r="H192" s="14"/>
      <c r="I192" s="14" t="s">
        <v>322</v>
      </c>
      <c r="J192" s="11" t="str">
        <f>HYPERLINK("https://www.codechef.com/problems/ACCOLITE04", "https://www.codechef.com/problems/ACCOLITE04")</f>
        <v>https://www.codechef.com/problems/ACCOLITE04</v>
      </c>
      <c r="K192" s="14"/>
      <c r="L192" s="14"/>
      <c r="M192" s="14"/>
      <c r="N192" s="14" t="s">
        <v>50</v>
      </c>
      <c r="O192" s="14" t="s">
        <v>51</v>
      </c>
    </row>
    <row r="193" spans="1:15">
      <c r="A193" s="15" t="s">
        <v>15</v>
      </c>
      <c r="B193" s="15" t="s">
        <v>9428</v>
      </c>
      <c r="C193" s="15" t="s">
        <v>9429</v>
      </c>
      <c r="D193" s="15" t="s">
        <v>9430</v>
      </c>
      <c r="E193" s="15">
        <v>6</v>
      </c>
      <c r="F193" s="15" t="s">
        <v>9439</v>
      </c>
      <c r="G193" s="15" t="s">
        <v>9440</v>
      </c>
      <c r="H193" s="15"/>
      <c r="I193" s="15" t="s">
        <v>96</v>
      </c>
      <c r="J193" s="7" t="str">
        <f>HYPERLINK("https://www.codechef.com/problems/ACCOLITE05", "https://www.codechef.com/problems/ACCOLITE05")</f>
        <v>https://www.codechef.com/problems/ACCOLITE05</v>
      </c>
      <c r="K193" s="15"/>
      <c r="L193" s="15"/>
      <c r="M193" s="15"/>
      <c r="N193" s="15" t="s">
        <v>50</v>
      </c>
      <c r="O193" s="15" t="s">
        <v>51</v>
      </c>
    </row>
    <row r="194" spans="1:15">
      <c r="A194" s="14" t="s">
        <v>15</v>
      </c>
      <c r="B194" s="14" t="s">
        <v>9428</v>
      </c>
      <c r="C194" s="14" t="s">
        <v>9429</v>
      </c>
      <c r="D194" s="14" t="s">
        <v>9430</v>
      </c>
      <c r="E194" s="14">
        <v>7</v>
      </c>
      <c r="F194" s="14" t="s">
        <v>9441</v>
      </c>
      <c r="G194" s="14" t="s">
        <v>9442</v>
      </c>
      <c r="H194" s="14"/>
      <c r="I194" s="14" t="s">
        <v>96</v>
      </c>
      <c r="J194" s="11" t="str">
        <f>HYPERLINK("https://www.codechef.com/problems/ACCOLITE06", "https://www.codechef.com/problems/ACCOLITE06")</f>
        <v>https://www.codechef.com/problems/ACCOLITE06</v>
      </c>
      <c r="K194" s="14"/>
      <c r="L194" s="14"/>
      <c r="M194" s="14"/>
      <c r="N194" s="14" t="s">
        <v>50</v>
      </c>
      <c r="O194" s="14" t="s">
        <v>51</v>
      </c>
    </row>
    <row r="195" spans="1:15">
      <c r="A195" s="15" t="s">
        <v>15</v>
      </c>
      <c r="B195" s="15" t="s">
        <v>9428</v>
      </c>
      <c r="C195" s="15" t="s">
        <v>9429</v>
      </c>
      <c r="D195" s="15" t="s">
        <v>9430</v>
      </c>
      <c r="E195" s="15">
        <v>8</v>
      </c>
      <c r="F195" s="15" t="s">
        <v>9443</v>
      </c>
      <c r="G195" s="15" t="s">
        <v>9444</v>
      </c>
      <c r="H195" s="15"/>
      <c r="I195" s="15" t="s">
        <v>96</v>
      </c>
      <c r="J195" s="7" t="str">
        <f>HYPERLINK("https://www.codechef.com/problems/ACCOLITE07", "https://www.codechef.com/problems/ACCOLITE07")</f>
        <v>https://www.codechef.com/problems/ACCOLITE07</v>
      </c>
      <c r="K195" s="15"/>
      <c r="L195" s="15"/>
      <c r="M195" s="15"/>
      <c r="N195" s="15" t="s">
        <v>50</v>
      </c>
      <c r="O195" s="15" t="s">
        <v>51</v>
      </c>
    </row>
    <row r="196" spans="1:15">
      <c r="A196" s="14" t="s">
        <v>15</v>
      </c>
      <c r="B196" s="14" t="s">
        <v>9428</v>
      </c>
      <c r="C196" s="14" t="s">
        <v>9429</v>
      </c>
      <c r="D196" s="14" t="s">
        <v>9430</v>
      </c>
      <c r="E196" s="14">
        <v>9</v>
      </c>
      <c r="F196" s="14" t="s">
        <v>9445</v>
      </c>
      <c r="G196" s="14" t="s">
        <v>9446</v>
      </c>
      <c r="H196" s="14"/>
      <c r="I196" s="14" t="s">
        <v>322</v>
      </c>
      <c r="J196" s="11" t="str">
        <f>HYPERLINK("https://www.codechef.com/problems/ACCOLITE08", "https://www.codechef.com/problems/ACCOLITE08")</f>
        <v>https://www.codechef.com/problems/ACCOLITE08</v>
      </c>
      <c r="K196" s="14"/>
      <c r="L196" s="14"/>
      <c r="M196" s="14"/>
      <c r="N196" s="14" t="s">
        <v>50</v>
      </c>
      <c r="O196" s="14" t="s">
        <v>51</v>
      </c>
    </row>
    <row r="197" spans="1:15">
      <c r="A197" s="15" t="s">
        <v>15</v>
      </c>
      <c r="B197" s="15" t="s">
        <v>9447</v>
      </c>
      <c r="C197" s="15" t="s">
        <v>9448</v>
      </c>
      <c r="D197" s="15" t="s">
        <v>9449</v>
      </c>
      <c r="E197" s="15">
        <v>1</v>
      </c>
      <c r="F197" s="15" t="s">
        <v>9450</v>
      </c>
      <c r="G197" s="15" t="s">
        <v>9451</v>
      </c>
      <c r="H197" s="15"/>
      <c r="I197" s="15" t="s">
        <v>322</v>
      </c>
      <c r="J197" s="7" t="str">
        <f>HYPERLINK("https://www.codechef.com/problems/TXSINST02", "https://www.codechef.com/problems/TXSINST02")</f>
        <v>https://www.codechef.com/problems/TXSINST02</v>
      </c>
      <c r="K197" s="15"/>
      <c r="L197" s="15"/>
      <c r="M197" s="15"/>
      <c r="N197" s="15" t="s">
        <v>50</v>
      </c>
      <c r="O197" s="15" t="s">
        <v>51</v>
      </c>
    </row>
    <row r="198" spans="1:15">
      <c r="A198" s="14" t="s">
        <v>15</v>
      </c>
      <c r="B198" s="14" t="s">
        <v>9447</v>
      </c>
      <c r="C198" s="14" t="s">
        <v>9448</v>
      </c>
      <c r="D198" s="14" t="s">
        <v>9449</v>
      </c>
      <c r="E198" s="14">
        <v>2</v>
      </c>
      <c r="F198" s="14" t="s">
        <v>9452</v>
      </c>
      <c r="G198" s="14" t="s">
        <v>9453</v>
      </c>
      <c r="H198" s="14"/>
      <c r="I198" s="14" t="s">
        <v>96</v>
      </c>
      <c r="J198" s="11" t="str">
        <f>HYPERLINK("https://www.codechef.com/problems/TXSINST01", "https://www.codechef.com/problems/TXSINST01")</f>
        <v>https://www.codechef.com/problems/TXSINST01</v>
      </c>
      <c r="K198" s="14"/>
      <c r="L198" s="14"/>
      <c r="M198" s="14"/>
      <c r="N198" s="14" t="s">
        <v>50</v>
      </c>
      <c r="O198" s="14" t="s">
        <v>51</v>
      </c>
    </row>
    <row r="199" spans="1:15">
      <c r="A199" s="15" t="s">
        <v>15</v>
      </c>
      <c r="B199" s="15" t="s">
        <v>9447</v>
      </c>
      <c r="C199" s="15" t="s">
        <v>9448</v>
      </c>
      <c r="D199" s="15" t="s">
        <v>9449</v>
      </c>
      <c r="E199" s="15">
        <v>3</v>
      </c>
      <c r="F199" s="15" t="s">
        <v>9454</v>
      </c>
      <c r="G199" s="15" t="s">
        <v>9455</v>
      </c>
      <c r="H199" s="15"/>
      <c r="I199" s="15" t="s">
        <v>96</v>
      </c>
      <c r="J199" s="7" t="str">
        <f>HYPERLINK("https://www.codechef.com/problems/TXSINST04", "https://www.codechef.com/problems/TXSINST04")</f>
        <v>https://www.codechef.com/problems/TXSINST04</v>
      </c>
      <c r="K199" s="15"/>
      <c r="L199" s="15"/>
      <c r="M199" s="15"/>
      <c r="N199" s="15" t="s">
        <v>50</v>
      </c>
      <c r="O199" s="15" t="s">
        <v>51</v>
      </c>
    </row>
    <row r="200" spans="1:15">
      <c r="A200" s="14" t="s">
        <v>15</v>
      </c>
      <c r="B200" s="14" t="s">
        <v>9447</v>
      </c>
      <c r="C200" s="14" t="s">
        <v>9448</v>
      </c>
      <c r="D200" s="14" t="s">
        <v>9449</v>
      </c>
      <c r="E200" s="14">
        <v>4</v>
      </c>
      <c r="F200" s="14" t="s">
        <v>9456</v>
      </c>
      <c r="G200" s="14" t="s">
        <v>9457</v>
      </c>
      <c r="H200" s="14"/>
      <c r="I200" s="14" t="s">
        <v>322</v>
      </c>
      <c r="J200" s="11" t="str">
        <f>HYPERLINK("https://www.codechef.com/problems/TXSINST05", "https://www.codechef.com/problems/TXSINST05")</f>
        <v>https://www.codechef.com/problems/TXSINST05</v>
      </c>
      <c r="K200" s="14"/>
      <c r="L200" s="14"/>
      <c r="M200" s="14"/>
      <c r="N200" s="14" t="s">
        <v>50</v>
      </c>
      <c r="O200" s="14" t="s">
        <v>51</v>
      </c>
    </row>
    <row r="201" spans="1:15">
      <c r="A201" s="15" t="s">
        <v>15</v>
      </c>
      <c r="B201" s="15" t="s">
        <v>9447</v>
      </c>
      <c r="C201" s="15" t="s">
        <v>9448</v>
      </c>
      <c r="D201" s="15" t="s">
        <v>9449</v>
      </c>
      <c r="E201" s="15">
        <v>5</v>
      </c>
      <c r="F201" s="15" t="s">
        <v>9458</v>
      </c>
      <c r="G201" s="15" t="s">
        <v>9459</v>
      </c>
      <c r="H201" s="15"/>
      <c r="I201" s="15" t="s">
        <v>96</v>
      </c>
      <c r="J201" s="7" t="str">
        <f>HYPERLINK("https://www.codechef.com/problems/TXSINST06", "https://www.codechef.com/problems/TXSINST06")</f>
        <v>https://www.codechef.com/problems/TXSINST06</v>
      </c>
      <c r="K201" s="15"/>
      <c r="L201" s="15"/>
      <c r="M201" s="15"/>
      <c r="N201" s="15" t="s">
        <v>50</v>
      </c>
      <c r="O201" s="15" t="s">
        <v>51</v>
      </c>
    </row>
    <row r="202" spans="1:15">
      <c r="A202" s="14" t="s">
        <v>15</v>
      </c>
      <c r="B202" s="14" t="s">
        <v>9447</v>
      </c>
      <c r="C202" s="14" t="s">
        <v>9448</v>
      </c>
      <c r="D202" s="14" t="s">
        <v>9449</v>
      </c>
      <c r="E202" s="14">
        <v>6</v>
      </c>
      <c r="F202" s="14" t="s">
        <v>9460</v>
      </c>
      <c r="G202" s="14" t="s">
        <v>9461</v>
      </c>
      <c r="H202" s="14"/>
      <c r="I202" s="14" t="s">
        <v>96</v>
      </c>
      <c r="J202" s="11" t="str">
        <f>HYPERLINK("https://www.codechef.com/problems/TXSINST07", "https://www.codechef.com/problems/TXSINST07")</f>
        <v>https://www.codechef.com/problems/TXSINST07</v>
      </c>
      <c r="K202" s="14"/>
      <c r="L202" s="14"/>
      <c r="M202" s="14"/>
      <c r="N202" s="14" t="s">
        <v>50</v>
      </c>
      <c r="O202" s="14" t="s">
        <v>51</v>
      </c>
    </row>
    <row r="203" spans="1:15">
      <c r="A203" s="15" t="s">
        <v>15</v>
      </c>
      <c r="B203" s="15" t="s">
        <v>9447</v>
      </c>
      <c r="C203" s="15" t="s">
        <v>9448</v>
      </c>
      <c r="D203" s="15" t="s">
        <v>9449</v>
      </c>
      <c r="E203" s="15">
        <v>7</v>
      </c>
      <c r="F203" s="15" t="s">
        <v>411</v>
      </c>
      <c r="G203" s="15" t="s">
        <v>9462</v>
      </c>
      <c r="H203" s="15"/>
      <c r="I203" s="15" t="s">
        <v>322</v>
      </c>
      <c r="J203" s="7" t="str">
        <f>HYPERLINK("https://www.codechef.com/problems/TXSINST03", "https://www.codechef.com/problems/TXSINST03")</f>
        <v>https://www.codechef.com/problems/TXSINST03</v>
      </c>
      <c r="K203" s="15"/>
      <c r="L203" s="15"/>
      <c r="M203" s="15"/>
      <c r="N203" s="15" t="s">
        <v>50</v>
      </c>
      <c r="O203" s="15" t="s">
        <v>51</v>
      </c>
    </row>
    <row r="204" spans="1:15">
      <c r="A204" s="14" t="s">
        <v>15</v>
      </c>
      <c r="B204" s="14" t="s">
        <v>9447</v>
      </c>
      <c r="C204" s="14" t="s">
        <v>9448</v>
      </c>
      <c r="D204" s="14" t="s">
        <v>9449</v>
      </c>
      <c r="E204" s="14">
        <v>8</v>
      </c>
      <c r="F204" s="14" t="s">
        <v>9463</v>
      </c>
      <c r="G204" s="14" t="s">
        <v>9464</v>
      </c>
      <c r="H204" s="14"/>
      <c r="I204" s="14" t="s">
        <v>322</v>
      </c>
      <c r="J204" s="11" t="str">
        <f>HYPERLINK("https://www.codechef.com/problems/TXSINST08", "https://www.codechef.com/problems/TXSINST08")</f>
        <v>https://www.codechef.com/problems/TXSINST08</v>
      </c>
      <c r="K204" s="14"/>
      <c r="L204" s="14"/>
      <c r="M204" s="14"/>
      <c r="N204" s="14" t="s">
        <v>50</v>
      </c>
      <c r="O204" s="14" t="s">
        <v>51</v>
      </c>
    </row>
    <row r="205" spans="1:15">
      <c r="A205" s="15" t="s">
        <v>15</v>
      </c>
      <c r="B205" s="15" t="s">
        <v>9465</v>
      </c>
      <c r="C205" s="15" t="s">
        <v>9466</v>
      </c>
      <c r="D205" s="15" t="s">
        <v>9467</v>
      </c>
      <c r="E205" s="15">
        <v>1</v>
      </c>
      <c r="F205" s="15" t="s">
        <v>8961</v>
      </c>
      <c r="G205" s="15" t="s">
        <v>9468</v>
      </c>
      <c r="H205" s="15"/>
      <c r="I205" s="15" t="s">
        <v>322</v>
      </c>
      <c r="J205" s="7" t="str">
        <f>HYPERLINK("https://www.codechef.com/problems/GLEAN01", "https://www.codechef.com/problems/GLEAN01")</f>
        <v>https://www.codechef.com/problems/GLEAN01</v>
      </c>
      <c r="K205" s="15"/>
      <c r="L205" s="15"/>
      <c r="M205" s="15"/>
      <c r="N205" s="15" t="s">
        <v>50</v>
      </c>
      <c r="O205" s="15" t="s">
        <v>51</v>
      </c>
    </row>
    <row r="206" spans="1:15">
      <c r="A206" s="14" t="s">
        <v>15</v>
      </c>
      <c r="B206" s="14" t="s">
        <v>9465</v>
      </c>
      <c r="C206" s="14" t="s">
        <v>9466</v>
      </c>
      <c r="D206" s="14" t="s">
        <v>9467</v>
      </c>
      <c r="E206" s="14">
        <v>2</v>
      </c>
      <c r="F206" s="14" t="s">
        <v>9469</v>
      </c>
      <c r="G206" s="14" t="s">
        <v>9470</v>
      </c>
      <c r="H206" s="14"/>
      <c r="I206" s="14" t="s">
        <v>96</v>
      </c>
      <c r="J206" s="11" t="str">
        <f>HYPERLINK("https://www.codechef.com/problems/GLEAN02", "https://www.codechef.com/problems/GLEAN02")</f>
        <v>https://www.codechef.com/problems/GLEAN02</v>
      </c>
      <c r="K206" s="14"/>
      <c r="L206" s="14"/>
      <c r="M206" s="14"/>
      <c r="N206" s="14" t="s">
        <v>50</v>
      </c>
      <c r="O206" s="14" t="s">
        <v>51</v>
      </c>
    </row>
    <row r="207" spans="1:15">
      <c r="A207" s="15" t="s">
        <v>15</v>
      </c>
      <c r="B207" s="15" t="s">
        <v>9465</v>
      </c>
      <c r="C207" s="15" t="s">
        <v>9466</v>
      </c>
      <c r="D207" s="15" t="s">
        <v>9467</v>
      </c>
      <c r="E207" s="15">
        <v>3</v>
      </c>
      <c r="F207" s="15" t="s">
        <v>9471</v>
      </c>
      <c r="G207" s="15" t="s">
        <v>9472</v>
      </c>
      <c r="H207" s="15"/>
      <c r="I207" s="15" t="s">
        <v>96</v>
      </c>
      <c r="J207" s="7" t="str">
        <f>HYPERLINK("https://www.codechef.com/problems/GLEAN03", "https://www.codechef.com/problems/GLEAN03")</f>
        <v>https://www.codechef.com/problems/GLEAN03</v>
      </c>
      <c r="K207" s="15"/>
      <c r="L207" s="15"/>
      <c r="M207" s="15"/>
      <c r="N207" s="15" t="s">
        <v>50</v>
      </c>
      <c r="O207" s="15" t="s">
        <v>51</v>
      </c>
    </row>
    <row r="208" spans="1:15">
      <c r="A208" s="14" t="s">
        <v>15</v>
      </c>
      <c r="B208" s="14" t="s">
        <v>9465</v>
      </c>
      <c r="C208" s="14" t="s">
        <v>9466</v>
      </c>
      <c r="D208" s="14" t="s">
        <v>9467</v>
      </c>
      <c r="E208" s="14">
        <v>4</v>
      </c>
      <c r="F208" s="14" t="s">
        <v>9473</v>
      </c>
      <c r="G208" s="14" t="s">
        <v>9474</v>
      </c>
      <c r="H208" s="14"/>
      <c r="I208" s="14" t="s">
        <v>96</v>
      </c>
      <c r="J208" s="11" t="str">
        <f>HYPERLINK("https://www.codechef.com/problems/GLEAN04", "https://www.codechef.com/problems/GLEAN04")</f>
        <v>https://www.codechef.com/problems/GLEAN04</v>
      </c>
      <c r="K208" s="14"/>
      <c r="L208" s="14"/>
      <c r="M208" s="14"/>
      <c r="N208" s="14" t="s">
        <v>50</v>
      </c>
      <c r="O208" s="14" t="s">
        <v>51</v>
      </c>
    </row>
    <row r="209" spans="1:15">
      <c r="A209" s="15" t="s">
        <v>15</v>
      </c>
      <c r="B209" s="15" t="s">
        <v>9465</v>
      </c>
      <c r="C209" s="15" t="s">
        <v>9466</v>
      </c>
      <c r="D209" s="15" t="s">
        <v>9467</v>
      </c>
      <c r="E209" s="15">
        <v>5</v>
      </c>
      <c r="F209" s="15" t="s">
        <v>9475</v>
      </c>
      <c r="G209" s="15" t="s">
        <v>9476</v>
      </c>
      <c r="H209" s="15"/>
      <c r="I209" s="15" t="s">
        <v>322</v>
      </c>
      <c r="J209" s="7" t="str">
        <f>HYPERLINK("https://www.codechef.com/problems/GLEAN05", "https://www.codechef.com/problems/GLEAN05")</f>
        <v>https://www.codechef.com/problems/GLEAN05</v>
      </c>
      <c r="K209" s="15"/>
      <c r="L209" s="15"/>
      <c r="M209" s="15"/>
      <c r="N209" s="15" t="s">
        <v>50</v>
      </c>
      <c r="O209" s="15" t="s">
        <v>51</v>
      </c>
    </row>
    <row r="210" spans="1:15">
      <c r="A210" s="14" t="s">
        <v>15</v>
      </c>
      <c r="B210" s="14" t="s">
        <v>9465</v>
      </c>
      <c r="C210" s="14" t="s">
        <v>9466</v>
      </c>
      <c r="D210" s="14" t="s">
        <v>9467</v>
      </c>
      <c r="E210" s="14">
        <v>6</v>
      </c>
      <c r="F210" s="14" t="s">
        <v>9477</v>
      </c>
      <c r="G210" s="14" t="s">
        <v>9478</v>
      </c>
      <c r="H210" s="14"/>
      <c r="I210" s="14" t="s">
        <v>96</v>
      </c>
      <c r="J210" s="11" t="str">
        <f>HYPERLINK("https://www.codechef.com/problems/GLEAN06", "https://www.codechef.com/problems/GLEAN06")</f>
        <v>https://www.codechef.com/problems/GLEAN06</v>
      </c>
      <c r="K210" s="14"/>
      <c r="L210" s="14"/>
      <c r="M210" s="14"/>
      <c r="N210" s="14" t="s">
        <v>50</v>
      </c>
      <c r="O210" s="14" t="s">
        <v>51</v>
      </c>
    </row>
    <row r="211" spans="1:15">
      <c r="A211" s="15" t="s">
        <v>15</v>
      </c>
      <c r="B211" s="15" t="s">
        <v>9465</v>
      </c>
      <c r="C211" s="15" t="s">
        <v>9466</v>
      </c>
      <c r="D211" s="15" t="s">
        <v>9467</v>
      </c>
      <c r="E211" s="15">
        <v>7</v>
      </c>
      <c r="F211" s="15" t="s">
        <v>9479</v>
      </c>
      <c r="G211" s="15" t="s">
        <v>9480</v>
      </c>
      <c r="H211" s="15"/>
      <c r="I211" s="15" t="s">
        <v>96</v>
      </c>
      <c r="J211" s="7" t="str">
        <f>HYPERLINK("https://www.codechef.com/problems/GLEAN07", "https://www.codechef.com/problems/GLEAN07")</f>
        <v>https://www.codechef.com/problems/GLEAN07</v>
      </c>
      <c r="K211" s="15"/>
      <c r="L211" s="15"/>
      <c r="M211" s="15"/>
      <c r="N211" s="15" t="s">
        <v>50</v>
      </c>
      <c r="O211" s="15" t="s">
        <v>51</v>
      </c>
    </row>
    <row r="212" spans="1:15">
      <c r="A212" s="14" t="s">
        <v>15</v>
      </c>
      <c r="B212" s="14" t="s">
        <v>9465</v>
      </c>
      <c r="C212" s="14" t="s">
        <v>9466</v>
      </c>
      <c r="D212" s="14" t="s">
        <v>9467</v>
      </c>
      <c r="E212" s="14">
        <v>8</v>
      </c>
      <c r="F212" s="14" t="s">
        <v>9481</v>
      </c>
      <c r="G212" s="14" t="s">
        <v>9482</v>
      </c>
      <c r="H212" s="14"/>
      <c r="I212" s="14" t="s">
        <v>96</v>
      </c>
      <c r="J212" s="11" t="str">
        <f>HYPERLINK("https://www.codechef.com/problems/GLEAN08", "https://www.codechef.com/problems/GLEAN08")</f>
        <v>https://www.codechef.com/problems/GLEAN08</v>
      </c>
      <c r="K212" s="14"/>
      <c r="L212" s="14"/>
      <c r="M212" s="14"/>
      <c r="N212" s="14" t="s">
        <v>50</v>
      </c>
      <c r="O212" s="14" t="s">
        <v>51</v>
      </c>
    </row>
    <row r="213" spans="1:15">
      <c r="A213" s="15" t="s">
        <v>15</v>
      </c>
      <c r="B213" s="15" t="s">
        <v>9483</v>
      </c>
      <c r="C213" s="15" t="s">
        <v>9484</v>
      </c>
      <c r="D213" s="15" t="s">
        <v>9485</v>
      </c>
      <c r="E213" s="15">
        <v>1</v>
      </c>
      <c r="F213" s="15" t="s">
        <v>9486</v>
      </c>
      <c r="G213" s="15" t="s">
        <v>9487</v>
      </c>
      <c r="H213" s="15"/>
      <c r="I213" s="15" t="s">
        <v>96</v>
      </c>
      <c r="J213" s="7" t="str">
        <f>HYPERLINK("https://www.codechef.com/problems/MAXLIN01", "https://www.codechef.com/problems/MAXLIN01")</f>
        <v>https://www.codechef.com/problems/MAXLIN01</v>
      </c>
      <c r="K213" s="15"/>
      <c r="L213" s="15"/>
      <c r="M213" s="15"/>
      <c r="N213" s="15" t="s">
        <v>50</v>
      </c>
      <c r="O213" s="15" t="s">
        <v>51</v>
      </c>
    </row>
    <row r="214" spans="1:15">
      <c r="A214" s="14" t="s">
        <v>15</v>
      </c>
      <c r="B214" s="14" t="s">
        <v>9483</v>
      </c>
      <c r="C214" s="14" t="s">
        <v>9484</v>
      </c>
      <c r="D214" s="14" t="s">
        <v>9485</v>
      </c>
      <c r="E214" s="14">
        <v>2</v>
      </c>
      <c r="F214" s="14" t="s">
        <v>9488</v>
      </c>
      <c r="G214" s="14" t="s">
        <v>9489</v>
      </c>
      <c r="H214" s="14"/>
      <c r="I214" s="14" t="s">
        <v>96</v>
      </c>
      <c r="J214" s="11" t="str">
        <f>HYPERLINK("https://www.codechef.com/problems/MAXLIN02", "https://www.codechef.com/problems/MAXLIN02")</f>
        <v>https://www.codechef.com/problems/MAXLIN02</v>
      </c>
      <c r="K214" s="14"/>
      <c r="L214" s="14"/>
      <c r="M214" s="14"/>
      <c r="N214" s="14" t="s">
        <v>50</v>
      </c>
      <c r="O214" s="14" t="s">
        <v>51</v>
      </c>
    </row>
    <row r="215" spans="1:15">
      <c r="A215" s="15" t="s">
        <v>15</v>
      </c>
      <c r="B215" s="15" t="s">
        <v>9483</v>
      </c>
      <c r="C215" s="15" t="s">
        <v>9484</v>
      </c>
      <c r="D215" s="15" t="s">
        <v>9485</v>
      </c>
      <c r="E215" s="15">
        <v>3</v>
      </c>
      <c r="F215" s="15" t="s">
        <v>9490</v>
      </c>
      <c r="G215" s="15" t="s">
        <v>9491</v>
      </c>
      <c r="H215" s="15"/>
      <c r="I215" s="15" t="s">
        <v>96</v>
      </c>
      <c r="J215" s="7" t="str">
        <f>HYPERLINK("https://www.codechef.com/problems/MAXLIN03", "https://www.codechef.com/problems/MAXLIN03")</f>
        <v>https://www.codechef.com/problems/MAXLIN03</v>
      </c>
      <c r="K215" s="15"/>
      <c r="L215" s="15"/>
      <c r="M215" s="15"/>
      <c r="N215" s="15" t="s">
        <v>50</v>
      </c>
      <c r="O215" s="15" t="s">
        <v>51</v>
      </c>
    </row>
    <row r="216" spans="1:15">
      <c r="A216" s="14" t="s">
        <v>15</v>
      </c>
      <c r="B216" s="14" t="s">
        <v>9483</v>
      </c>
      <c r="C216" s="14" t="s">
        <v>9484</v>
      </c>
      <c r="D216" s="14" t="s">
        <v>9485</v>
      </c>
      <c r="E216" s="14">
        <v>4</v>
      </c>
      <c r="F216" s="14" t="s">
        <v>9492</v>
      </c>
      <c r="G216" s="14" t="s">
        <v>9493</v>
      </c>
      <c r="H216" s="14"/>
      <c r="I216" s="14" t="s">
        <v>96</v>
      </c>
      <c r="J216" s="11" t="str">
        <f>HYPERLINK("https://www.codechef.com/problems/MAXLIN04", "https://www.codechef.com/problems/MAXLIN04")</f>
        <v>https://www.codechef.com/problems/MAXLIN04</v>
      </c>
      <c r="K216" s="14"/>
      <c r="L216" s="14"/>
      <c r="M216" s="14"/>
      <c r="N216" s="14" t="s">
        <v>50</v>
      </c>
      <c r="O216" s="14" t="s">
        <v>51</v>
      </c>
    </row>
    <row r="217" spans="1:15">
      <c r="A217" s="15" t="s">
        <v>15</v>
      </c>
      <c r="B217" s="15" t="s">
        <v>9483</v>
      </c>
      <c r="C217" s="15" t="s">
        <v>9484</v>
      </c>
      <c r="D217" s="15" t="s">
        <v>9485</v>
      </c>
      <c r="E217" s="15">
        <v>5</v>
      </c>
      <c r="F217" s="15" t="s">
        <v>9494</v>
      </c>
      <c r="G217" s="15" t="s">
        <v>9495</v>
      </c>
      <c r="H217" s="15"/>
      <c r="I217" s="15" t="s">
        <v>96</v>
      </c>
      <c r="J217" s="7" t="str">
        <f>HYPERLINK("https://www.codechef.com/problems/MAXLIN05", "https://www.codechef.com/problems/MAXLIN05")</f>
        <v>https://www.codechef.com/problems/MAXLIN05</v>
      </c>
      <c r="K217" s="15"/>
      <c r="L217" s="15"/>
      <c r="M217" s="15"/>
      <c r="N217" s="15" t="s">
        <v>50</v>
      </c>
      <c r="O217" s="15" t="s">
        <v>51</v>
      </c>
    </row>
    <row r="218" spans="1:15">
      <c r="A218" s="14" t="s">
        <v>15</v>
      </c>
      <c r="B218" s="14" t="s">
        <v>9483</v>
      </c>
      <c r="C218" s="14" t="s">
        <v>9484</v>
      </c>
      <c r="D218" s="14" t="s">
        <v>9485</v>
      </c>
      <c r="E218" s="14">
        <v>6</v>
      </c>
      <c r="F218" s="14" t="s">
        <v>9496</v>
      </c>
      <c r="G218" s="14" t="s">
        <v>9497</v>
      </c>
      <c r="H218" s="14"/>
      <c r="I218" s="14" t="s">
        <v>322</v>
      </c>
      <c r="J218" s="11" t="str">
        <f>HYPERLINK("https://www.codechef.com/problems/MAXLIN06", "https://www.codechef.com/problems/MAXLIN06")</f>
        <v>https://www.codechef.com/problems/MAXLIN06</v>
      </c>
      <c r="K218" s="14"/>
      <c r="L218" s="14"/>
      <c r="M218" s="14"/>
      <c r="N218" s="14" t="s">
        <v>50</v>
      </c>
      <c r="O218" s="14" t="s">
        <v>51</v>
      </c>
    </row>
    <row r="219" spans="1:15">
      <c r="A219" s="15" t="s">
        <v>15</v>
      </c>
      <c r="B219" s="15" t="s">
        <v>9483</v>
      </c>
      <c r="C219" s="15" t="s">
        <v>9484</v>
      </c>
      <c r="D219" s="15" t="s">
        <v>9485</v>
      </c>
      <c r="E219" s="15">
        <v>7</v>
      </c>
      <c r="F219" s="15" t="s">
        <v>9498</v>
      </c>
      <c r="G219" s="15" t="s">
        <v>9499</v>
      </c>
      <c r="H219" s="15"/>
      <c r="I219" s="15" t="s">
        <v>49</v>
      </c>
      <c r="J219" s="7" t="str">
        <f>HYPERLINK("https://www.codechef.com/problems/MAXLIN07", "https://www.codechef.com/problems/MAXLIN07")</f>
        <v>https://www.codechef.com/problems/MAXLIN07</v>
      </c>
      <c r="K219" s="15"/>
      <c r="L219" s="15"/>
      <c r="M219" s="15"/>
      <c r="N219" s="15" t="s">
        <v>50</v>
      </c>
      <c r="O219" s="15" t="s">
        <v>51</v>
      </c>
    </row>
    <row r="220" spans="1:15">
      <c r="A220" s="14" t="s">
        <v>15</v>
      </c>
      <c r="B220" s="14" t="s">
        <v>9483</v>
      </c>
      <c r="C220" s="14" t="s">
        <v>9484</v>
      </c>
      <c r="D220" s="14" t="s">
        <v>9485</v>
      </c>
      <c r="E220" s="14">
        <v>8</v>
      </c>
      <c r="F220" s="14" t="s">
        <v>9500</v>
      </c>
      <c r="G220" s="14" t="s">
        <v>9501</v>
      </c>
      <c r="H220" s="14"/>
      <c r="I220" s="14" t="s">
        <v>96</v>
      </c>
      <c r="J220" s="11" t="str">
        <f>HYPERLINK("https://www.codechef.com/problems/MAXLIN08", "https://www.codechef.com/problems/MAXLIN08")</f>
        <v>https://www.codechef.com/problems/MAXLIN08</v>
      </c>
      <c r="K220" s="14"/>
      <c r="L220" s="14"/>
      <c r="M220" s="14"/>
      <c r="N220" s="14" t="s">
        <v>50</v>
      </c>
      <c r="O220" s="14" t="s">
        <v>51</v>
      </c>
    </row>
    <row r="221" spans="1:15">
      <c r="A221" s="15" t="s">
        <v>15</v>
      </c>
      <c r="B221" s="15" t="s">
        <v>9483</v>
      </c>
      <c r="C221" s="15" t="s">
        <v>9484</v>
      </c>
      <c r="D221" s="15" t="s">
        <v>9485</v>
      </c>
      <c r="E221" s="15">
        <v>9</v>
      </c>
      <c r="F221" s="15" t="s">
        <v>9502</v>
      </c>
      <c r="G221" s="15" t="s">
        <v>9503</v>
      </c>
      <c r="H221" s="15"/>
      <c r="I221" s="15" t="s">
        <v>96</v>
      </c>
      <c r="J221" s="7" t="str">
        <f>HYPERLINK("https://www.codechef.com/problems/MAXLIN09", "https://www.codechef.com/problems/MAXLIN09")</f>
        <v>https://www.codechef.com/problems/MAXLIN09</v>
      </c>
      <c r="K221" s="15"/>
      <c r="L221" s="15"/>
      <c r="M221" s="15"/>
      <c r="N221" s="15" t="s">
        <v>50</v>
      </c>
      <c r="O221" s="15" t="s">
        <v>51</v>
      </c>
    </row>
    <row r="222" spans="1:15">
      <c r="A222" s="14" t="s">
        <v>15</v>
      </c>
      <c r="B222" s="14" t="s">
        <v>9483</v>
      </c>
      <c r="C222" s="14" t="s">
        <v>9484</v>
      </c>
      <c r="D222" s="14" t="s">
        <v>9485</v>
      </c>
      <c r="E222" s="14">
        <v>10</v>
      </c>
      <c r="F222" s="14" t="s">
        <v>9504</v>
      </c>
      <c r="G222" s="14" t="s">
        <v>9505</v>
      </c>
      <c r="H222" s="14"/>
      <c r="I222" s="14" t="s">
        <v>322</v>
      </c>
      <c r="J222" s="11" t="str">
        <f>HYPERLINK("https://www.codechef.com/problems/MAXLIN10", "https://www.codechef.com/problems/MAXLIN10")</f>
        <v>https://www.codechef.com/problems/MAXLIN10</v>
      </c>
      <c r="K222" s="14"/>
      <c r="L222" s="14"/>
      <c r="M222" s="14"/>
      <c r="N222" s="14" t="s">
        <v>50</v>
      </c>
      <c r="O222" s="14" t="s">
        <v>51</v>
      </c>
    </row>
    <row r="223" spans="1:15">
      <c r="A223" s="15" t="s">
        <v>15</v>
      </c>
      <c r="B223" s="15" t="s">
        <v>9506</v>
      </c>
      <c r="C223" s="15" t="s">
        <v>9507</v>
      </c>
      <c r="D223" s="15" t="s">
        <v>9245</v>
      </c>
      <c r="E223" s="15">
        <v>1</v>
      </c>
      <c r="F223" s="15" t="s">
        <v>9508</v>
      </c>
      <c r="G223" s="15" t="s">
        <v>9509</v>
      </c>
      <c r="H223" s="15"/>
      <c r="I223" s="15" t="s">
        <v>96</v>
      </c>
      <c r="J223" s="7" t="str">
        <f>HYPERLINK("https://www.codechef.com/problems/ISHYNF13", "https://www.codechef.com/problems/ISHYNF13")</f>
        <v>https://www.codechef.com/problems/ISHYNF13</v>
      </c>
      <c r="K223" s="15"/>
      <c r="L223" s="15"/>
      <c r="M223" s="15"/>
      <c r="N223" s="15" t="s">
        <v>50</v>
      </c>
      <c r="O223" s="15" t="s">
        <v>51</v>
      </c>
    </row>
    <row r="224" spans="1:15">
      <c r="A224" s="14" t="s">
        <v>15</v>
      </c>
      <c r="B224" s="14" t="s">
        <v>9506</v>
      </c>
      <c r="C224" s="14" t="s">
        <v>9507</v>
      </c>
      <c r="D224" s="14" t="s">
        <v>9245</v>
      </c>
      <c r="E224" s="14">
        <v>2</v>
      </c>
      <c r="F224" s="14" t="s">
        <v>9510</v>
      </c>
      <c r="G224" s="14" t="s">
        <v>9511</v>
      </c>
      <c r="H224" s="14"/>
      <c r="I224" s="14" t="s">
        <v>49</v>
      </c>
      <c r="J224" s="11" t="str">
        <f>HYPERLINK("https://www.codechef.com/problems/ISHYNF14", "https://www.codechef.com/problems/ISHYNF14")</f>
        <v>https://www.codechef.com/problems/ISHYNF14</v>
      </c>
      <c r="K224" s="14"/>
      <c r="L224" s="14"/>
      <c r="M224" s="14"/>
      <c r="N224" s="14" t="s">
        <v>50</v>
      </c>
      <c r="O224" s="14" t="s">
        <v>51</v>
      </c>
    </row>
    <row r="225" spans="1:15">
      <c r="A225" s="15" t="s">
        <v>15</v>
      </c>
      <c r="B225" s="15" t="s">
        <v>9506</v>
      </c>
      <c r="C225" s="15" t="s">
        <v>9507</v>
      </c>
      <c r="D225" s="15" t="s">
        <v>9245</v>
      </c>
      <c r="E225" s="15">
        <v>3</v>
      </c>
      <c r="F225" s="15" t="s">
        <v>9512</v>
      </c>
      <c r="G225" s="15" t="s">
        <v>9513</v>
      </c>
      <c r="H225" s="15"/>
      <c r="I225" s="15" t="s">
        <v>49</v>
      </c>
      <c r="J225" s="7" t="str">
        <f>HYPERLINK("https://www.codechef.com/problems/ISHYNF15", "https://www.codechef.com/problems/ISHYNF15")</f>
        <v>https://www.codechef.com/problems/ISHYNF15</v>
      </c>
      <c r="K225" s="15"/>
      <c r="L225" s="15"/>
      <c r="M225" s="15"/>
      <c r="N225" s="15" t="s">
        <v>50</v>
      </c>
      <c r="O225" s="15" t="s">
        <v>51</v>
      </c>
    </row>
    <row r="226" spans="1:15">
      <c r="A226" s="14" t="s">
        <v>15</v>
      </c>
      <c r="B226" s="14" t="s">
        <v>9506</v>
      </c>
      <c r="C226" s="14" t="s">
        <v>9507</v>
      </c>
      <c r="D226" s="14" t="s">
        <v>9245</v>
      </c>
      <c r="E226" s="14">
        <v>4</v>
      </c>
      <c r="F226" s="14" t="s">
        <v>9514</v>
      </c>
      <c r="G226" s="14" t="s">
        <v>9515</v>
      </c>
      <c r="H226" s="14"/>
      <c r="I226" s="14" t="s">
        <v>49</v>
      </c>
      <c r="J226" s="11" t="str">
        <f>HYPERLINK("https://www.codechef.com/problems/ISHYNF16", "https://www.codechef.com/problems/ISHYNF16")</f>
        <v>https://www.codechef.com/problems/ISHYNF16</v>
      </c>
      <c r="K226" s="14"/>
      <c r="L226" s="14"/>
      <c r="M226" s="14"/>
      <c r="N226" s="14" t="s">
        <v>50</v>
      </c>
      <c r="O226" s="14" t="s">
        <v>51</v>
      </c>
    </row>
    <row r="227" spans="1:15">
      <c r="A227" s="15" t="s">
        <v>15</v>
      </c>
      <c r="B227" s="15" t="s">
        <v>9506</v>
      </c>
      <c r="C227" s="15" t="s">
        <v>9507</v>
      </c>
      <c r="D227" s="15" t="s">
        <v>9245</v>
      </c>
      <c r="E227" s="15">
        <v>5</v>
      </c>
      <c r="F227" s="15" t="s">
        <v>9516</v>
      </c>
      <c r="G227" s="15" t="s">
        <v>9517</v>
      </c>
      <c r="H227" s="15"/>
      <c r="I227" s="15" t="s">
        <v>322</v>
      </c>
      <c r="J227" s="7" t="str">
        <f>HYPERLINK("https://www.codechef.com/problems/ISHYNF17", "https://www.codechef.com/problems/ISHYNF17")</f>
        <v>https://www.codechef.com/problems/ISHYNF17</v>
      </c>
      <c r="K227" s="15"/>
      <c r="L227" s="15"/>
      <c r="M227" s="15"/>
      <c r="N227" s="15" t="s">
        <v>50</v>
      </c>
      <c r="O227" s="15" t="s">
        <v>51</v>
      </c>
    </row>
    <row r="228" spans="1:15">
      <c r="A228" s="14" t="s">
        <v>15</v>
      </c>
      <c r="B228" s="14" t="s">
        <v>9506</v>
      </c>
      <c r="C228" s="14" t="s">
        <v>9507</v>
      </c>
      <c r="D228" s="14" t="s">
        <v>9245</v>
      </c>
      <c r="E228" s="14">
        <v>6</v>
      </c>
      <c r="F228" s="14" t="s">
        <v>9518</v>
      </c>
      <c r="G228" s="14" t="s">
        <v>9519</v>
      </c>
      <c r="H228" s="14"/>
      <c r="I228" s="14" t="s">
        <v>96</v>
      </c>
      <c r="J228" s="11" t="str">
        <f>HYPERLINK("https://www.codechef.com/problems/ISHYNF18", "https://www.codechef.com/problems/ISHYNF18")</f>
        <v>https://www.codechef.com/problems/ISHYNF18</v>
      </c>
      <c r="K228" s="14"/>
      <c r="L228" s="14"/>
      <c r="M228" s="14"/>
      <c r="N228" s="14" t="s">
        <v>50</v>
      </c>
      <c r="O228" s="14" t="s">
        <v>51</v>
      </c>
    </row>
    <row r="229" spans="1:15">
      <c r="A229" s="15" t="s">
        <v>15</v>
      </c>
      <c r="B229" s="15" t="s">
        <v>9506</v>
      </c>
      <c r="C229" s="15" t="s">
        <v>9507</v>
      </c>
      <c r="D229" s="15" t="s">
        <v>9245</v>
      </c>
      <c r="E229" s="15">
        <v>7</v>
      </c>
      <c r="F229" s="15" t="s">
        <v>9520</v>
      </c>
      <c r="G229" s="15" t="s">
        <v>9521</v>
      </c>
      <c r="H229" s="15"/>
      <c r="I229" s="15" t="s">
        <v>96</v>
      </c>
      <c r="J229" s="7" t="str">
        <f>HYPERLINK("https://www.codechef.com/problems/ISHYNF21", "https://www.codechef.com/problems/ISHYNF21")</f>
        <v>https://www.codechef.com/problems/ISHYNF21</v>
      </c>
      <c r="K229" s="15"/>
      <c r="L229" s="15"/>
      <c r="M229" s="15"/>
      <c r="N229" s="15" t="s">
        <v>50</v>
      </c>
      <c r="O229" s="15" t="s">
        <v>51</v>
      </c>
    </row>
    <row r="230" spans="1:15">
      <c r="A230" s="14" t="s">
        <v>15</v>
      </c>
      <c r="B230" s="14" t="s">
        <v>9506</v>
      </c>
      <c r="C230" s="14" t="s">
        <v>9507</v>
      </c>
      <c r="D230" s="14" t="s">
        <v>9245</v>
      </c>
      <c r="E230" s="14">
        <v>8</v>
      </c>
      <c r="F230" s="14" t="s">
        <v>9522</v>
      </c>
      <c r="G230" s="14" t="s">
        <v>9523</v>
      </c>
      <c r="H230" s="14"/>
      <c r="I230" s="14" t="s">
        <v>49</v>
      </c>
      <c r="J230" s="11" t="str">
        <f>HYPERLINK("https://www.codechef.com/problems/ISHYNF22", "https://www.codechef.com/problems/ISHYNF22")</f>
        <v>https://www.codechef.com/problems/ISHYNF22</v>
      </c>
      <c r="K230" s="14"/>
      <c r="L230" s="14"/>
      <c r="M230" s="14"/>
      <c r="N230" s="14" t="s">
        <v>50</v>
      </c>
      <c r="O230" s="14" t="s">
        <v>51</v>
      </c>
    </row>
    <row r="231" spans="1:15">
      <c r="A231" s="15" t="s">
        <v>15</v>
      </c>
      <c r="B231" s="15" t="s">
        <v>9506</v>
      </c>
      <c r="C231" s="15" t="s">
        <v>9507</v>
      </c>
      <c r="D231" s="15" t="s">
        <v>9245</v>
      </c>
      <c r="E231" s="15">
        <v>9</v>
      </c>
      <c r="F231" s="15" t="s">
        <v>9524</v>
      </c>
      <c r="G231" s="15" t="s">
        <v>9525</v>
      </c>
      <c r="H231" s="15"/>
      <c r="I231" s="15" t="s">
        <v>96</v>
      </c>
      <c r="J231" s="7" t="str">
        <f>HYPERLINK("https://www.codechef.com/problems/ISHYNF23", "https://www.codechef.com/problems/ISHYNF23")</f>
        <v>https://www.codechef.com/problems/ISHYNF23</v>
      </c>
      <c r="K231" s="15"/>
      <c r="L231" s="15"/>
      <c r="M231" s="15"/>
      <c r="N231" s="15" t="s">
        <v>50</v>
      </c>
      <c r="O231" s="15" t="s">
        <v>51</v>
      </c>
    </row>
    <row r="232" spans="1:15">
      <c r="A232" s="14" t="s">
        <v>15</v>
      </c>
      <c r="B232" s="14" t="s">
        <v>9506</v>
      </c>
      <c r="C232" s="14" t="s">
        <v>9507</v>
      </c>
      <c r="D232" s="14" t="s">
        <v>9245</v>
      </c>
      <c r="E232" s="14">
        <v>10</v>
      </c>
      <c r="F232" s="14" t="s">
        <v>159</v>
      </c>
      <c r="G232" s="14" t="s">
        <v>160</v>
      </c>
      <c r="H232" s="14"/>
      <c r="I232" s="14" t="s">
        <v>49</v>
      </c>
      <c r="J232" s="11" t="str">
        <f>HYPERLINK("https://www.codechef.com/problems/MISSINPERM", "https://www.codechef.com/problems/MISSINPERM")</f>
        <v>https://www.codechef.com/problems/MISSINPERM</v>
      </c>
      <c r="K232" s="14"/>
      <c r="L232" s="14"/>
      <c r="M232" s="14"/>
      <c r="N232" s="14" t="s">
        <v>50</v>
      </c>
      <c r="O232" s="14" t="s">
        <v>51</v>
      </c>
    </row>
    <row r="233" spans="1:15">
      <c r="A233" s="15" t="s">
        <v>15</v>
      </c>
      <c r="B233" s="15" t="s">
        <v>9506</v>
      </c>
      <c r="C233" s="15" t="s">
        <v>9507</v>
      </c>
      <c r="D233" s="15" t="s">
        <v>9245</v>
      </c>
      <c r="E233" s="15">
        <v>11</v>
      </c>
      <c r="F233" s="15" t="s">
        <v>755</v>
      </c>
      <c r="G233" s="15" t="s">
        <v>756</v>
      </c>
      <c r="H233" s="15"/>
      <c r="I233" s="15" t="s">
        <v>96</v>
      </c>
      <c r="J233" s="7" t="str">
        <f>HYPERLINK("https://www.codechef.com/problems/TWOSUMM", "https://www.codechef.com/problems/TWOSUMM")</f>
        <v>https://www.codechef.com/problems/TWOSUMM</v>
      </c>
      <c r="K233" s="15"/>
      <c r="L233" s="15"/>
      <c r="M233" s="15"/>
      <c r="N233" s="15" t="s">
        <v>50</v>
      </c>
      <c r="O233" s="15" t="s">
        <v>51</v>
      </c>
    </row>
    <row r="234" spans="1:15">
      <c r="A234" s="14" t="s">
        <v>15</v>
      </c>
      <c r="B234" s="14" t="s">
        <v>9506</v>
      </c>
      <c r="C234" s="14" t="s">
        <v>9507</v>
      </c>
      <c r="D234" s="14" t="s">
        <v>9245</v>
      </c>
      <c r="E234" s="14">
        <v>12</v>
      </c>
      <c r="F234" s="14" t="s">
        <v>9526</v>
      </c>
      <c r="G234" s="14" t="s">
        <v>9527</v>
      </c>
      <c r="H234" s="14"/>
      <c r="I234" s="14" t="s">
        <v>96</v>
      </c>
      <c r="J234" s="11" t="str">
        <f>HYPERLINK("https://www.codechef.com/problems/GCYCLEDFS", "https://www.codechef.com/problems/GCYCLEDFS")</f>
        <v>https://www.codechef.com/problems/GCYCLEDFS</v>
      </c>
      <c r="K234" s="14"/>
      <c r="L234" s="14"/>
      <c r="M234" s="14"/>
      <c r="N234" s="14" t="s">
        <v>50</v>
      </c>
      <c r="O234" s="14" t="s">
        <v>51</v>
      </c>
    </row>
    <row r="235" spans="1:15">
      <c r="A235" s="15" t="s">
        <v>15</v>
      </c>
      <c r="B235" s="15" t="s">
        <v>9506</v>
      </c>
      <c r="C235" s="15" t="s">
        <v>9507</v>
      </c>
      <c r="D235" s="15" t="s">
        <v>9245</v>
      </c>
      <c r="E235" s="15">
        <v>13</v>
      </c>
      <c r="F235" s="15" t="s">
        <v>842</v>
      </c>
      <c r="G235" s="15" t="s">
        <v>843</v>
      </c>
      <c r="H235" s="15"/>
      <c r="I235" s="15" t="s">
        <v>96</v>
      </c>
      <c r="J235" s="7" t="str">
        <f>HYPERLINK("https://www.codechef.com/problems/ROTATEARRAY", "https://www.codechef.com/problems/ROTATEARRAY")</f>
        <v>https://www.codechef.com/problems/ROTATEARRAY</v>
      </c>
      <c r="K235" s="15"/>
      <c r="L235" s="15"/>
      <c r="M235" s="15"/>
      <c r="N235" s="15" t="s">
        <v>50</v>
      </c>
      <c r="O235" s="15" t="s">
        <v>51</v>
      </c>
    </row>
    <row r="236" spans="1:15">
      <c r="A236" s="14" t="s">
        <v>15</v>
      </c>
      <c r="B236" s="14" t="s">
        <v>9506</v>
      </c>
      <c r="C236" s="14" t="s">
        <v>9507</v>
      </c>
      <c r="D236" s="14" t="s">
        <v>9245</v>
      </c>
      <c r="E236" s="14">
        <v>14</v>
      </c>
      <c r="F236" s="14" t="s">
        <v>9528</v>
      </c>
      <c r="G236" s="14" t="s">
        <v>9529</v>
      </c>
      <c r="H236" s="14"/>
      <c r="I236" s="14" t="s">
        <v>322</v>
      </c>
      <c r="J236" s="11" t="str">
        <f>HYPERLINK("https://www.codechef.com/problems/ISHYNF01", "https://www.codechef.com/problems/ISHYNF01")</f>
        <v>https://www.codechef.com/problems/ISHYNF01</v>
      </c>
      <c r="K236" s="14"/>
      <c r="L236" s="14"/>
      <c r="M236" s="14"/>
      <c r="N236" s="14" t="s">
        <v>50</v>
      </c>
      <c r="O236" s="14" t="s">
        <v>51</v>
      </c>
    </row>
    <row r="237" spans="1:15">
      <c r="A237" s="15" t="s">
        <v>15</v>
      </c>
      <c r="B237" s="15" t="s">
        <v>9506</v>
      </c>
      <c r="C237" s="15" t="s">
        <v>9507</v>
      </c>
      <c r="D237" s="15" t="s">
        <v>9245</v>
      </c>
      <c r="E237" s="15">
        <v>15</v>
      </c>
      <c r="F237" s="15" t="s">
        <v>1511</v>
      </c>
      <c r="G237" s="15" t="s">
        <v>9530</v>
      </c>
      <c r="H237" s="15"/>
      <c r="I237" s="15" t="s">
        <v>322</v>
      </c>
      <c r="J237" s="7" t="str">
        <f>HYPERLINK("https://www.codechef.com/problems/ISHYNF03", "https://www.codechef.com/problems/ISHYNF03")</f>
        <v>https://www.codechef.com/problems/ISHYNF03</v>
      </c>
      <c r="K237" s="15"/>
      <c r="L237" s="15"/>
      <c r="M237" s="15"/>
      <c r="N237" s="15" t="s">
        <v>50</v>
      </c>
      <c r="O237" s="15" t="s">
        <v>51</v>
      </c>
    </row>
    <row r="238" spans="1:15">
      <c r="A238" s="14" t="s">
        <v>15</v>
      </c>
      <c r="B238" s="14" t="s">
        <v>9506</v>
      </c>
      <c r="C238" s="14" t="s">
        <v>9507</v>
      </c>
      <c r="D238" s="14" t="s">
        <v>9245</v>
      </c>
      <c r="E238" s="14">
        <v>16</v>
      </c>
      <c r="F238" s="14" t="s">
        <v>9531</v>
      </c>
      <c r="G238" s="14" t="s">
        <v>9532</v>
      </c>
      <c r="H238" s="14"/>
      <c r="I238" s="14" t="s">
        <v>322</v>
      </c>
      <c r="J238" s="11" t="str">
        <f>HYPERLINK("https://www.codechef.com/problems/ISHYNF05", "https://www.codechef.com/problems/ISHYNF05")</f>
        <v>https://www.codechef.com/problems/ISHYNF05</v>
      </c>
      <c r="K238" s="14"/>
      <c r="L238" s="14"/>
      <c r="M238" s="14"/>
      <c r="N238" s="14" t="s">
        <v>50</v>
      </c>
      <c r="O238" s="14" t="s">
        <v>51</v>
      </c>
    </row>
    <row r="239" spans="1:15">
      <c r="A239" s="15" t="s">
        <v>15</v>
      </c>
      <c r="B239" s="15" t="s">
        <v>9506</v>
      </c>
      <c r="C239" s="15" t="s">
        <v>9507</v>
      </c>
      <c r="D239" s="15" t="s">
        <v>9245</v>
      </c>
      <c r="E239" s="15">
        <v>17</v>
      </c>
      <c r="F239" s="15" t="s">
        <v>9533</v>
      </c>
      <c r="G239" s="15" t="s">
        <v>9534</v>
      </c>
      <c r="H239" s="15"/>
      <c r="I239" s="15" t="s">
        <v>322</v>
      </c>
      <c r="J239" s="7" t="str">
        <f>HYPERLINK("https://www.codechef.com/problems/ISHYNF06", "https://www.codechef.com/problems/ISHYNF06")</f>
        <v>https://www.codechef.com/problems/ISHYNF06</v>
      </c>
      <c r="K239" s="15"/>
      <c r="L239" s="15"/>
      <c r="M239" s="15"/>
      <c r="N239" s="15" t="s">
        <v>50</v>
      </c>
      <c r="O239" s="15" t="s">
        <v>51</v>
      </c>
    </row>
    <row r="240" spans="1:15">
      <c r="A240" s="14" t="s">
        <v>15</v>
      </c>
      <c r="B240" s="14" t="s">
        <v>9506</v>
      </c>
      <c r="C240" s="14" t="s">
        <v>9507</v>
      </c>
      <c r="D240" s="14" t="s">
        <v>9245</v>
      </c>
      <c r="E240" s="14">
        <v>18</v>
      </c>
      <c r="F240" s="14" t="s">
        <v>1185</v>
      </c>
      <c r="G240" s="14" t="s">
        <v>9535</v>
      </c>
      <c r="H240" s="14"/>
      <c r="I240" s="14" t="s">
        <v>322</v>
      </c>
      <c r="J240" s="11" t="str">
        <f>HYPERLINK("https://www.codechef.com/problems/ISHYNF08", "https://www.codechef.com/problems/ISHYNF08")</f>
        <v>https://www.codechef.com/problems/ISHYNF08</v>
      </c>
      <c r="K240" s="14"/>
      <c r="L240" s="14"/>
      <c r="M240" s="14"/>
      <c r="N240" s="14" t="s">
        <v>50</v>
      </c>
      <c r="O240" s="14" t="s">
        <v>51</v>
      </c>
    </row>
    <row r="241" spans="1:15">
      <c r="A241" s="15" t="s">
        <v>15</v>
      </c>
      <c r="B241" s="15" t="s">
        <v>9506</v>
      </c>
      <c r="C241" s="15" t="s">
        <v>9507</v>
      </c>
      <c r="D241" s="15" t="s">
        <v>9245</v>
      </c>
      <c r="E241" s="15">
        <v>19</v>
      </c>
      <c r="F241" s="15" t="s">
        <v>9536</v>
      </c>
      <c r="G241" s="15" t="s">
        <v>9537</v>
      </c>
      <c r="H241" s="15"/>
      <c r="I241" s="15" t="s">
        <v>322</v>
      </c>
      <c r="J241" s="7" t="str">
        <f>HYPERLINK("https://www.codechef.com/problems/ISHYNF09", "https://www.codechef.com/problems/ISHYNF09")</f>
        <v>https://www.codechef.com/problems/ISHYNF09</v>
      </c>
      <c r="K241" s="15"/>
      <c r="L241" s="15"/>
      <c r="M241" s="15"/>
      <c r="N241" s="15" t="s">
        <v>50</v>
      </c>
      <c r="O241" s="15" t="s">
        <v>51</v>
      </c>
    </row>
    <row r="242" spans="1:15">
      <c r="A242" s="14" t="s">
        <v>15</v>
      </c>
      <c r="B242" s="14" t="s">
        <v>9506</v>
      </c>
      <c r="C242" s="14" t="s">
        <v>9507</v>
      </c>
      <c r="D242" s="14" t="s">
        <v>9245</v>
      </c>
      <c r="E242" s="14">
        <v>20</v>
      </c>
      <c r="F242" s="14" t="s">
        <v>338</v>
      </c>
      <c r="G242" s="14" t="s">
        <v>339</v>
      </c>
      <c r="H242" s="14" t="s">
        <v>340</v>
      </c>
      <c r="I242" s="14" t="s">
        <v>96</v>
      </c>
      <c r="J242" s="11" t="str">
        <f>HYPERLINK("https://www.codechef.com/problems/RTLL", "https://www.codechef.com/problems/RTLL")</f>
        <v>https://www.codechef.com/problems/RTLL</v>
      </c>
      <c r="K242" s="14"/>
      <c r="L242" s="14"/>
      <c r="M242" s="14"/>
      <c r="N242" s="14" t="s">
        <v>50</v>
      </c>
      <c r="O242" s="14" t="s">
        <v>51</v>
      </c>
    </row>
    <row r="243" spans="1:15">
      <c r="A243" s="15" t="s">
        <v>15</v>
      </c>
      <c r="B243" s="15" t="s">
        <v>9506</v>
      </c>
      <c r="C243" s="15" t="s">
        <v>9507</v>
      </c>
      <c r="D243" s="15" t="s">
        <v>9245</v>
      </c>
      <c r="E243" s="15">
        <v>21</v>
      </c>
      <c r="F243" s="15" t="s">
        <v>7825</v>
      </c>
      <c r="G243" s="15" t="s">
        <v>9538</v>
      </c>
      <c r="H243" s="15"/>
      <c r="I243" s="15" t="s">
        <v>49</v>
      </c>
      <c r="J243" s="7" t="str">
        <f>HYPERLINK("https://www.codechef.com/problems/CASS34", "https://www.codechef.com/problems/CASS34")</f>
        <v>https://www.codechef.com/problems/CASS34</v>
      </c>
      <c r="K243" s="15"/>
      <c r="L243" s="15"/>
      <c r="M243" s="15"/>
      <c r="N243" s="15" t="s">
        <v>50</v>
      </c>
      <c r="O243" s="15" t="s">
        <v>51</v>
      </c>
    </row>
    <row r="244" spans="1:15">
      <c r="A244" s="14" t="s">
        <v>15</v>
      </c>
      <c r="B244" s="14" t="s">
        <v>9506</v>
      </c>
      <c r="C244" s="14" t="s">
        <v>9507</v>
      </c>
      <c r="D244" s="14" t="s">
        <v>9245</v>
      </c>
      <c r="E244" s="14">
        <v>22</v>
      </c>
      <c r="F244" s="14" t="s">
        <v>9539</v>
      </c>
      <c r="G244" s="14" t="s">
        <v>9540</v>
      </c>
      <c r="H244" s="14"/>
      <c r="I244" s="14" t="s">
        <v>322</v>
      </c>
      <c r="J244" s="11" t="str">
        <f>HYPERLINK("https://www.codechef.com/problems/ISHYNF19", "https://www.codechef.com/problems/ISHYNF19")</f>
        <v>https://www.codechef.com/problems/ISHYNF19</v>
      </c>
      <c r="K244" s="14"/>
      <c r="L244" s="14"/>
      <c r="M244" s="14"/>
      <c r="N244" s="14" t="s">
        <v>50</v>
      </c>
      <c r="O244" s="14" t="s">
        <v>51</v>
      </c>
    </row>
    <row r="245" spans="1:15">
      <c r="A245" s="15" t="s">
        <v>15</v>
      </c>
      <c r="B245" s="15" t="s">
        <v>9506</v>
      </c>
      <c r="C245" s="15" t="s">
        <v>9507</v>
      </c>
      <c r="D245" s="15" t="s">
        <v>9245</v>
      </c>
      <c r="E245" s="15">
        <v>23</v>
      </c>
      <c r="F245" s="15" t="s">
        <v>9541</v>
      </c>
      <c r="G245" s="15" t="s">
        <v>9542</v>
      </c>
      <c r="H245" s="15"/>
      <c r="I245" s="15" t="s">
        <v>322</v>
      </c>
      <c r="J245" s="7" t="str">
        <f>HYPERLINK("https://www.codechef.com/problems/ISHYNF20", "https://www.codechef.com/problems/ISHYNF20")</f>
        <v>https://www.codechef.com/problems/ISHYNF20</v>
      </c>
      <c r="K245" s="15"/>
      <c r="L245" s="15"/>
      <c r="M245" s="15"/>
      <c r="N245" s="15" t="s">
        <v>50</v>
      </c>
      <c r="O245" s="15" t="s">
        <v>51</v>
      </c>
    </row>
    <row r="246" spans="1:15">
      <c r="A246" s="14" t="s">
        <v>15</v>
      </c>
      <c r="B246" s="14" t="s">
        <v>9506</v>
      </c>
      <c r="C246" s="14" t="s">
        <v>9507</v>
      </c>
      <c r="D246" s="14" t="s">
        <v>9245</v>
      </c>
      <c r="E246" s="14">
        <v>24</v>
      </c>
      <c r="F246" s="14" t="s">
        <v>9543</v>
      </c>
      <c r="G246" s="14" t="s">
        <v>9544</v>
      </c>
      <c r="H246" s="14"/>
      <c r="I246" s="14" t="s">
        <v>322</v>
      </c>
      <c r="J246" s="11" t="str">
        <f>HYPERLINK("https://www.codechef.com/problems/ISHYNF07", "https://www.codechef.com/problems/ISHYNF07")</f>
        <v>https://www.codechef.com/problems/ISHYNF07</v>
      </c>
      <c r="K246" s="14"/>
      <c r="L246" s="14"/>
      <c r="M246" s="14"/>
      <c r="N246" s="14" t="s">
        <v>50</v>
      </c>
      <c r="O246" s="14" t="s">
        <v>51</v>
      </c>
    </row>
    <row r="247" spans="1:15">
      <c r="A247" s="15" t="s">
        <v>15</v>
      </c>
      <c r="B247" s="15" t="s">
        <v>9506</v>
      </c>
      <c r="C247" s="15" t="s">
        <v>9507</v>
      </c>
      <c r="D247" s="15" t="s">
        <v>9265</v>
      </c>
      <c r="E247" s="15">
        <v>25</v>
      </c>
      <c r="F247" s="15" t="s">
        <v>9545</v>
      </c>
      <c r="G247" s="15" t="s">
        <v>9546</v>
      </c>
      <c r="H247" s="15"/>
      <c r="I247" s="15" t="s">
        <v>96</v>
      </c>
      <c r="J247" s="7" t="str">
        <f>HYPERLINK("https://www.codechef.com/problems/AAKCGL01", "https://www.codechef.com/problems/AAKCGL01")</f>
        <v>https://www.codechef.com/problems/AAKCGL01</v>
      </c>
      <c r="K247" s="15"/>
      <c r="L247" s="15"/>
      <c r="M247" s="15"/>
      <c r="N247" s="15" t="s">
        <v>50</v>
      </c>
      <c r="O247" s="15" t="s">
        <v>51</v>
      </c>
    </row>
    <row r="248" spans="1:15">
      <c r="A248" s="14" t="s">
        <v>15</v>
      </c>
      <c r="B248" s="14" t="s">
        <v>9506</v>
      </c>
      <c r="C248" s="14" t="s">
        <v>9507</v>
      </c>
      <c r="D248" s="14" t="s">
        <v>9265</v>
      </c>
      <c r="E248" s="14">
        <v>26</v>
      </c>
      <c r="F248" s="14" t="s">
        <v>9547</v>
      </c>
      <c r="G248" s="14" t="s">
        <v>9548</v>
      </c>
      <c r="H248" s="14"/>
      <c r="I248" s="14" t="s">
        <v>96</v>
      </c>
      <c r="J248" s="11" t="str">
        <f>HYPERLINK("https://www.codechef.com/problems/AAKCGL02", "https://www.codechef.com/problems/AAKCGL02")</f>
        <v>https://www.codechef.com/problems/AAKCGL02</v>
      </c>
      <c r="K248" s="14"/>
      <c r="L248" s="14"/>
      <c r="M248" s="14"/>
      <c r="N248" s="14" t="s">
        <v>50</v>
      </c>
      <c r="O248" s="14" t="s">
        <v>51</v>
      </c>
    </row>
    <row r="249" spans="1:15">
      <c r="A249" s="15" t="s">
        <v>15</v>
      </c>
      <c r="B249" s="15" t="s">
        <v>9506</v>
      </c>
      <c r="C249" s="15" t="s">
        <v>9507</v>
      </c>
      <c r="D249" s="15" t="s">
        <v>9265</v>
      </c>
      <c r="E249" s="15">
        <v>27</v>
      </c>
      <c r="F249" s="15" t="s">
        <v>9549</v>
      </c>
      <c r="G249" s="15" t="s">
        <v>9550</v>
      </c>
      <c r="H249" s="15"/>
      <c r="I249" s="15" t="s">
        <v>96</v>
      </c>
      <c r="J249" s="7" t="str">
        <f>HYPERLINK("https://www.codechef.com/problems/AAKCGL03", "https://www.codechef.com/problems/AAKCGL03")</f>
        <v>https://www.codechef.com/problems/AAKCGL03</v>
      </c>
      <c r="K249" s="15"/>
      <c r="L249" s="15"/>
      <c r="M249" s="15"/>
      <c r="N249" s="15" t="s">
        <v>50</v>
      </c>
      <c r="O249" s="15" t="s">
        <v>51</v>
      </c>
    </row>
    <row r="250" spans="1:15">
      <c r="A250" s="14" t="s">
        <v>15</v>
      </c>
      <c r="B250" s="14" t="s">
        <v>9506</v>
      </c>
      <c r="C250" s="14" t="s">
        <v>9507</v>
      </c>
      <c r="D250" s="14" t="s">
        <v>9265</v>
      </c>
      <c r="E250" s="14">
        <v>28</v>
      </c>
      <c r="F250" s="14" t="s">
        <v>9551</v>
      </c>
      <c r="G250" s="14" t="s">
        <v>9552</v>
      </c>
      <c r="H250" s="14"/>
      <c r="I250" s="14" t="s">
        <v>49</v>
      </c>
      <c r="J250" s="11" t="str">
        <f>HYPERLINK("https://www.codechef.com/problems/AAKCGL04", "https://www.codechef.com/problems/AAKCGL04")</f>
        <v>https://www.codechef.com/problems/AAKCGL04</v>
      </c>
      <c r="K250" s="14"/>
      <c r="L250" s="14"/>
      <c r="M250" s="14"/>
      <c r="N250" s="14" t="s">
        <v>50</v>
      </c>
      <c r="O250" s="14" t="s">
        <v>51</v>
      </c>
    </row>
    <row r="251" spans="1:15">
      <c r="A251" s="15" t="s">
        <v>15</v>
      </c>
      <c r="B251" s="15" t="s">
        <v>9506</v>
      </c>
      <c r="C251" s="15" t="s">
        <v>9507</v>
      </c>
      <c r="D251" s="15" t="s">
        <v>9265</v>
      </c>
      <c r="E251" s="15">
        <v>29</v>
      </c>
      <c r="F251" s="15" t="s">
        <v>9553</v>
      </c>
      <c r="G251" s="15" t="s">
        <v>9554</v>
      </c>
      <c r="H251" s="15"/>
      <c r="I251" s="15" t="s">
        <v>96</v>
      </c>
      <c r="J251" s="7" t="str">
        <f>HYPERLINK("https://www.codechef.com/problems/AAKCGL05", "https://www.codechef.com/problems/AAKCGL05")</f>
        <v>https://www.codechef.com/problems/AAKCGL05</v>
      </c>
      <c r="K251" s="15"/>
      <c r="L251" s="15"/>
      <c r="M251" s="15"/>
      <c r="N251" s="15" t="s">
        <v>50</v>
      </c>
      <c r="O251" s="15" t="s">
        <v>51</v>
      </c>
    </row>
    <row r="252" spans="1:15">
      <c r="A252" s="14" t="s">
        <v>15</v>
      </c>
      <c r="B252" s="14" t="s">
        <v>9506</v>
      </c>
      <c r="C252" s="14" t="s">
        <v>9507</v>
      </c>
      <c r="D252" s="14" t="s">
        <v>9265</v>
      </c>
      <c r="E252" s="14">
        <v>30</v>
      </c>
      <c r="F252" s="14" t="s">
        <v>9338</v>
      </c>
      <c r="G252" s="14" t="s">
        <v>9555</v>
      </c>
      <c r="H252" s="14"/>
      <c r="I252" s="14" t="s">
        <v>96</v>
      </c>
      <c r="J252" s="11" t="str">
        <f>HYPERLINK("https://www.codechef.com/problems/AAKCGL06", "https://www.codechef.com/problems/AAKCGL06")</f>
        <v>https://www.codechef.com/problems/AAKCGL06</v>
      </c>
      <c r="K252" s="14"/>
      <c r="L252" s="14"/>
      <c r="M252" s="14"/>
      <c r="N252" s="14" t="s">
        <v>50</v>
      </c>
      <c r="O252" s="14" t="s">
        <v>51</v>
      </c>
    </row>
    <row r="253" spans="1:15">
      <c r="A253" s="15" t="s">
        <v>15</v>
      </c>
      <c r="B253" s="15" t="s">
        <v>9506</v>
      </c>
      <c r="C253" s="15" t="s">
        <v>9507</v>
      </c>
      <c r="D253" s="15" t="s">
        <v>9265</v>
      </c>
      <c r="E253" s="15">
        <v>31</v>
      </c>
      <c r="F253" s="15" t="s">
        <v>9556</v>
      </c>
      <c r="G253" s="15" t="s">
        <v>9557</v>
      </c>
      <c r="H253" s="15"/>
      <c r="I253" s="15" t="s">
        <v>96</v>
      </c>
      <c r="J253" s="7" t="str">
        <f>HYPERLINK("https://www.codechef.com/problems/AAKCGL07", "https://www.codechef.com/problems/AAKCGL07")</f>
        <v>https://www.codechef.com/problems/AAKCGL07</v>
      </c>
      <c r="K253" s="15"/>
      <c r="L253" s="15"/>
      <c r="M253" s="15"/>
      <c r="N253" s="15" t="s">
        <v>50</v>
      </c>
      <c r="O253" s="15" t="s">
        <v>51</v>
      </c>
    </row>
    <row r="254" spans="1:15">
      <c r="A254" s="14" t="s">
        <v>15</v>
      </c>
      <c r="B254" s="14" t="s">
        <v>9506</v>
      </c>
      <c r="C254" s="14" t="s">
        <v>9507</v>
      </c>
      <c r="D254" s="14" t="s">
        <v>9265</v>
      </c>
      <c r="E254" s="14">
        <v>32</v>
      </c>
      <c r="F254" s="14" t="s">
        <v>9558</v>
      </c>
      <c r="G254" s="14" t="s">
        <v>9559</v>
      </c>
      <c r="H254" s="14"/>
      <c r="I254" s="14" t="s">
        <v>96</v>
      </c>
      <c r="J254" s="11" t="str">
        <f>HYPERLINK("https://www.codechef.com/problems/AAKCGL08", "https://www.codechef.com/problems/AAKCGL08")</f>
        <v>https://www.codechef.com/problems/AAKCGL08</v>
      </c>
      <c r="K254" s="14"/>
      <c r="L254" s="14"/>
      <c r="M254" s="14"/>
      <c r="N254" s="14" t="s">
        <v>50</v>
      </c>
      <c r="O254" s="14" t="s">
        <v>51</v>
      </c>
    </row>
    <row r="255" spans="1:15">
      <c r="A255" s="15" t="s">
        <v>15</v>
      </c>
      <c r="B255" s="15" t="s">
        <v>9506</v>
      </c>
      <c r="C255" s="15" t="s">
        <v>9507</v>
      </c>
      <c r="D255" s="15" t="s">
        <v>9265</v>
      </c>
      <c r="E255" s="15">
        <v>33</v>
      </c>
      <c r="F255" s="15" t="s">
        <v>9560</v>
      </c>
      <c r="G255" s="15" t="s">
        <v>9561</v>
      </c>
      <c r="H255" s="15"/>
      <c r="I255" s="15" t="s">
        <v>96</v>
      </c>
      <c r="J255" s="7" t="str">
        <f>HYPERLINK("https://www.codechef.com/problems/AAKCGL09", "https://www.codechef.com/problems/AAKCGL09")</f>
        <v>https://www.codechef.com/problems/AAKCGL09</v>
      </c>
      <c r="K255" s="15"/>
      <c r="L255" s="15"/>
      <c r="M255" s="15"/>
      <c r="N255" s="15" t="s">
        <v>50</v>
      </c>
      <c r="O255" s="15" t="s">
        <v>51</v>
      </c>
    </row>
    <row r="256" spans="1:15">
      <c r="A256" s="14" t="s">
        <v>15</v>
      </c>
      <c r="B256" s="14" t="s">
        <v>9506</v>
      </c>
      <c r="C256" s="14" t="s">
        <v>9507</v>
      </c>
      <c r="D256" s="14" t="s">
        <v>9265</v>
      </c>
      <c r="E256" s="14">
        <v>34</v>
      </c>
      <c r="F256" s="14" t="s">
        <v>9562</v>
      </c>
      <c r="G256" s="14" t="s">
        <v>9563</v>
      </c>
      <c r="H256" s="14"/>
      <c r="I256" s="14" t="s">
        <v>96</v>
      </c>
      <c r="J256" s="11" t="str">
        <f>HYPERLINK("https://www.codechef.com/problems/AAKCGL10", "https://www.codechef.com/problems/AAKCGL10")</f>
        <v>https://www.codechef.com/problems/AAKCGL10</v>
      </c>
      <c r="K256" s="14"/>
      <c r="L256" s="14"/>
      <c r="M256" s="14"/>
      <c r="N256" s="14" t="s">
        <v>50</v>
      </c>
      <c r="O256" s="14" t="s">
        <v>51</v>
      </c>
    </row>
    <row r="257" spans="1:15">
      <c r="A257" s="15" t="s">
        <v>15</v>
      </c>
      <c r="B257" s="15" t="s">
        <v>9506</v>
      </c>
      <c r="C257" s="15" t="s">
        <v>9507</v>
      </c>
      <c r="D257" s="15" t="s">
        <v>9286</v>
      </c>
      <c r="E257" s="15">
        <v>35</v>
      </c>
      <c r="F257" s="15" t="s">
        <v>9564</v>
      </c>
      <c r="G257" s="15" t="s">
        <v>9565</v>
      </c>
      <c r="H257" s="15"/>
      <c r="I257" s="15" t="s">
        <v>49</v>
      </c>
      <c r="J257" s="7" t="str">
        <f>HYPERLINK("https://www.codechef.com/problems/CJACIF01", "https://www.codechef.com/problems/CJACIF01")</f>
        <v>https://www.codechef.com/problems/CJACIF01</v>
      </c>
      <c r="K257" s="15"/>
      <c r="L257" s="15"/>
      <c r="M257" s="15"/>
      <c r="N257" s="15" t="s">
        <v>50</v>
      </c>
      <c r="O257" s="15" t="s">
        <v>51</v>
      </c>
    </row>
    <row r="258" spans="1:15">
      <c r="A258" s="14" t="s">
        <v>15</v>
      </c>
      <c r="B258" s="14" t="s">
        <v>9506</v>
      </c>
      <c r="C258" s="14" t="s">
        <v>9507</v>
      </c>
      <c r="D258" s="14" t="s">
        <v>9286</v>
      </c>
      <c r="E258" s="14">
        <v>36</v>
      </c>
      <c r="F258" s="14" t="s">
        <v>9566</v>
      </c>
      <c r="G258" s="14" t="s">
        <v>9567</v>
      </c>
      <c r="H258" s="14"/>
      <c r="I258" s="14" t="s">
        <v>49</v>
      </c>
      <c r="J258" s="11" t="str">
        <f>HYPERLINK("https://www.codechef.com/problems/CJACIF02", "https://www.codechef.com/problems/CJACIF02")</f>
        <v>https://www.codechef.com/problems/CJACIF02</v>
      </c>
      <c r="K258" s="14"/>
      <c r="L258" s="14"/>
      <c r="M258" s="14"/>
      <c r="N258" s="14" t="s">
        <v>50</v>
      </c>
      <c r="O258" s="14" t="s">
        <v>51</v>
      </c>
    </row>
    <row r="259" spans="1:15">
      <c r="A259" s="15" t="s">
        <v>15</v>
      </c>
      <c r="B259" s="15" t="s">
        <v>9506</v>
      </c>
      <c r="C259" s="15" t="s">
        <v>9507</v>
      </c>
      <c r="D259" s="15" t="s">
        <v>9286</v>
      </c>
      <c r="E259" s="15">
        <v>37</v>
      </c>
      <c r="F259" s="15" t="s">
        <v>9568</v>
      </c>
      <c r="G259" s="15" t="s">
        <v>9569</v>
      </c>
      <c r="H259" s="15"/>
      <c r="I259" s="15" t="s">
        <v>49</v>
      </c>
      <c r="J259" s="7" t="str">
        <f>HYPERLINK("https://www.codechef.com/problems/CJACIF04", "https://www.codechef.com/problems/CJACIF04")</f>
        <v>https://www.codechef.com/problems/CJACIF04</v>
      </c>
      <c r="K259" s="15"/>
      <c r="L259" s="15"/>
      <c r="M259" s="15"/>
      <c r="N259" s="15" t="s">
        <v>50</v>
      </c>
      <c r="O259" s="15" t="s">
        <v>51</v>
      </c>
    </row>
    <row r="260" spans="1:15">
      <c r="A260" s="14" t="s">
        <v>15</v>
      </c>
      <c r="B260" s="14" t="s">
        <v>9506</v>
      </c>
      <c r="C260" s="14" t="s">
        <v>9507</v>
      </c>
      <c r="D260" s="14" t="s">
        <v>9286</v>
      </c>
      <c r="E260" s="14">
        <v>38</v>
      </c>
      <c r="F260" s="14" t="s">
        <v>9570</v>
      </c>
      <c r="G260" s="14" t="s">
        <v>9571</v>
      </c>
      <c r="H260" s="14"/>
      <c r="I260" s="14" t="s">
        <v>49</v>
      </c>
      <c r="J260" s="11" t="str">
        <f>HYPERLINK("https://www.codechef.com/problems/CJACIF05", "https://www.codechef.com/problems/CJACIF05")</f>
        <v>https://www.codechef.com/problems/CJACIF05</v>
      </c>
      <c r="K260" s="14"/>
      <c r="L260" s="14"/>
      <c r="M260" s="14"/>
      <c r="N260" s="14" t="s">
        <v>50</v>
      </c>
      <c r="O260" s="14" t="s">
        <v>51</v>
      </c>
    </row>
    <row r="261" spans="1:15">
      <c r="A261" s="15" t="s">
        <v>15</v>
      </c>
      <c r="B261" s="15" t="s">
        <v>9506</v>
      </c>
      <c r="C261" s="15" t="s">
        <v>9507</v>
      </c>
      <c r="D261" s="15" t="s">
        <v>9286</v>
      </c>
      <c r="E261" s="15">
        <v>39</v>
      </c>
      <c r="F261" s="15" t="s">
        <v>9572</v>
      </c>
      <c r="G261" s="15" t="s">
        <v>9573</v>
      </c>
      <c r="H261" s="15"/>
      <c r="I261" s="15" t="s">
        <v>49</v>
      </c>
      <c r="J261" s="7" t="str">
        <f>HYPERLINK("https://www.codechef.com/problems/CJACIF06", "https://www.codechef.com/problems/CJACIF06")</f>
        <v>https://www.codechef.com/problems/CJACIF06</v>
      </c>
      <c r="K261" s="15"/>
      <c r="L261" s="15"/>
      <c r="M261" s="15"/>
      <c r="N261" s="15" t="s">
        <v>50</v>
      </c>
      <c r="O261" s="15" t="s">
        <v>51</v>
      </c>
    </row>
    <row r="262" spans="1:15">
      <c r="A262" s="14" t="s">
        <v>15</v>
      </c>
      <c r="B262" s="14" t="s">
        <v>9506</v>
      </c>
      <c r="C262" s="14" t="s">
        <v>9507</v>
      </c>
      <c r="D262" s="14" t="s">
        <v>9286</v>
      </c>
      <c r="E262" s="14">
        <v>40</v>
      </c>
      <c r="F262" s="14" t="s">
        <v>9574</v>
      </c>
      <c r="G262" s="14" t="s">
        <v>9575</v>
      </c>
      <c r="H262" s="14"/>
      <c r="I262" s="14" t="s">
        <v>49</v>
      </c>
      <c r="J262" s="11" t="str">
        <f>HYPERLINK("https://www.codechef.com/problems/CJACIF07", "https://www.codechef.com/problems/CJACIF07")</f>
        <v>https://www.codechef.com/problems/CJACIF07</v>
      </c>
      <c r="K262" s="14"/>
      <c r="L262" s="14"/>
      <c r="M262" s="14"/>
      <c r="N262" s="14" t="s">
        <v>50</v>
      </c>
      <c r="O262" s="14" t="s">
        <v>51</v>
      </c>
    </row>
    <row r="263" spans="1:15">
      <c r="A263" s="15" t="s">
        <v>15</v>
      </c>
      <c r="B263" s="15" t="s">
        <v>9506</v>
      </c>
      <c r="C263" s="15" t="s">
        <v>9507</v>
      </c>
      <c r="D263" s="15" t="s">
        <v>9286</v>
      </c>
      <c r="E263" s="15">
        <v>41</v>
      </c>
      <c r="F263" s="15" t="s">
        <v>9576</v>
      </c>
      <c r="G263" s="15" t="s">
        <v>9577</v>
      </c>
      <c r="H263" s="15"/>
      <c r="I263" s="15" t="s">
        <v>49</v>
      </c>
      <c r="J263" s="7" t="str">
        <f>HYPERLINK("https://www.codechef.com/problems/CJACIF08", "https://www.codechef.com/problems/CJACIF08")</f>
        <v>https://www.codechef.com/problems/CJACIF08</v>
      </c>
      <c r="K263" s="15"/>
      <c r="L263" s="15"/>
      <c r="M263" s="15"/>
      <c r="N263" s="15" t="s">
        <v>50</v>
      </c>
      <c r="O263" s="15" t="s">
        <v>51</v>
      </c>
    </row>
    <row r="264" spans="1:15">
      <c r="A264" s="14" t="s">
        <v>15</v>
      </c>
      <c r="B264" s="14" t="s">
        <v>9506</v>
      </c>
      <c r="C264" s="14" t="s">
        <v>9507</v>
      </c>
      <c r="D264" s="14" t="s">
        <v>9286</v>
      </c>
      <c r="E264" s="14">
        <v>42</v>
      </c>
      <c r="F264" s="14" t="s">
        <v>9578</v>
      </c>
      <c r="G264" s="14" t="s">
        <v>9579</v>
      </c>
      <c r="H264" s="14"/>
      <c r="I264" s="14" t="s">
        <v>49</v>
      </c>
      <c r="J264" s="11" t="str">
        <f>HYPERLINK("https://www.codechef.com/problems/CJACIF09", "https://www.codechef.com/problems/CJACIF09")</f>
        <v>https://www.codechef.com/problems/CJACIF09</v>
      </c>
      <c r="K264" s="14"/>
      <c r="L264" s="14"/>
      <c r="M264" s="14"/>
      <c r="N264" s="14" t="s">
        <v>50</v>
      </c>
      <c r="O264" s="14" t="s">
        <v>51</v>
      </c>
    </row>
    <row r="265" spans="1:15">
      <c r="A265" s="15" t="s">
        <v>15</v>
      </c>
      <c r="B265" s="15" t="s">
        <v>9506</v>
      </c>
      <c r="C265" s="15" t="s">
        <v>9507</v>
      </c>
      <c r="D265" s="15" t="s">
        <v>9286</v>
      </c>
      <c r="E265" s="15">
        <v>43</v>
      </c>
      <c r="F265" s="15" t="s">
        <v>9580</v>
      </c>
      <c r="G265" s="15" t="s">
        <v>9581</v>
      </c>
      <c r="H265" s="15"/>
      <c r="I265" s="15" t="s">
        <v>49</v>
      </c>
      <c r="J265" s="7" t="str">
        <f>HYPERLINK("https://www.codechef.com/problems/CJACIF10", "https://www.codechef.com/problems/CJACIF10")</f>
        <v>https://www.codechef.com/problems/CJACIF10</v>
      </c>
      <c r="K265" s="15"/>
      <c r="L265" s="15"/>
      <c r="M265" s="15"/>
      <c r="N265" s="15" t="s">
        <v>50</v>
      </c>
      <c r="O265" s="15" t="s">
        <v>51</v>
      </c>
    </row>
    <row r="266" spans="1:15">
      <c r="A266" s="14" t="s">
        <v>15</v>
      </c>
      <c r="B266" s="14" t="s">
        <v>9506</v>
      </c>
      <c r="C266" s="14" t="s">
        <v>9507</v>
      </c>
      <c r="D266" s="14" t="s">
        <v>9286</v>
      </c>
      <c r="E266" s="14">
        <v>44</v>
      </c>
      <c r="F266" s="14" t="s">
        <v>9582</v>
      </c>
      <c r="G266" s="14" t="s">
        <v>9583</v>
      </c>
      <c r="H266" s="14"/>
      <c r="I266" s="14" t="s">
        <v>96</v>
      </c>
      <c r="J266" s="11" t="str">
        <f>HYPERLINK("https://www.codechef.com/problems/CJACIF11", "https://www.codechef.com/problems/CJACIF11")</f>
        <v>https://www.codechef.com/problems/CJACIF11</v>
      </c>
      <c r="K266" s="14"/>
      <c r="L266" s="14"/>
      <c r="M266" s="14"/>
      <c r="N266" s="14" t="s">
        <v>50</v>
      </c>
      <c r="O266" s="14" t="s">
        <v>51</v>
      </c>
    </row>
    <row r="267" spans="1:15">
      <c r="A267" s="15" t="s">
        <v>15</v>
      </c>
      <c r="B267" s="15" t="s">
        <v>9506</v>
      </c>
      <c r="C267" s="15" t="s">
        <v>9507</v>
      </c>
      <c r="D267" s="15" t="s">
        <v>9286</v>
      </c>
      <c r="E267" s="15">
        <v>45</v>
      </c>
      <c r="F267" s="15" t="s">
        <v>9584</v>
      </c>
      <c r="G267" s="15" t="s">
        <v>9585</v>
      </c>
      <c r="H267" s="15"/>
      <c r="I267" s="15" t="s">
        <v>49</v>
      </c>
      <c r="J267" s="7" t="str">
        <f>HYPERLINK("https://www.codechef.com/problems/CJACIF12", "https://www.codechef.com/problems/CJACIF12")</f>
        <v>https://www.codechef.com/problems/CJACIF12</v>
      </c>
      <c r="K267" s="15"/>
      <c r="L267" s="15"/>
      <c r="M267" s="15"/>
      <c r="N267" s="15" t="s">
        <v>50</v>
      </c>
      <c r="O267" s="15" t="s">
        <v>51</v>
      </c>
    </row>
    <row r="268" spans="1:15">
      <c r="A268" s="14" t="s">
        <v>15</v>
      </c>
      <c r="B268" s="14" t="s">
        <v>9506</v>
      </c>
      <c r="C268" s="14" t="s">
        <v>9507</v>
      </c>
      <c r="D268" s="14" t="s">
        <v>9286</v>
      </c>
      <c r="E268" s="14">
        <v>46</v>
      </c>
      <c r="F268" s="14" t="s">
        <v>9586</v>
      </c>
      <c r="G268" s="14" t="s">
        <v>9587</v>
      </c>
      <c r="H268" s="14"/>
      <c r="I268" s="14" t="s">
        <v>96</v>
      </c>
      <c r="J268" s="11" t="str">
        <f>HYPERLINK("https://www.codechef.com/problems/CJACIF14", "https://www.codechef.com/problems/CJACIF14")</f>
        <v>https://www.codechef.com/problems/CJACIF14</v>
      </c>
      <c r="K268" s="14"/>
      <c r="L268" s="14"/>
      <c r="M268" s="14"/>
      <c r="N268" s="14" t="s">
        <v>50</v>
      </c>
      <c r="O268" s="14" t="s">
        <v>51</v>
      </c>
    </row>
    <row r="269" spans="1:15">
      <c r="A269" s="15" t="s">
        <v>15</v>
      </c>
      <c r="B269" s="15" t="s">
        <v>9506</v>
      </c>
      <c r="C269" s="15" t="s">
        <v>9507</v>
      </c>
      <c r="D269" s="15" t="s">
        <v>9286</v>
      </c>
      <c r="E269" s="15">
        <v>47</v>
      </c>
      <c r="F269" s="15" t="s">
        <v>9568</v>
      </c>
      <c r="G269" s="15" t="s">
        <v>9588</v>
      </c>
      <c r="H269" s="15"/>
      <c r="I269" s="15" t="s">
        <v>49</v>
      </c>
      <c r="J269" s="7" t="str">
        <f>HYPERLINK("https://www.codechef.com/problems/CJACIF15", "https://www.codechef.com/problems/CJACIF15")</f>
        <v>https://www.codechef.com/problems/CJACIF15</v>
      </c>
      <c r="K269" s="15"/>
      <c r="L269" s="15"/>
      <c r="M269" s="15"/>
      <c r="N269" s="15" t="s">
        <v>50</v>
      </c>
      <c r="O269" s="15" t="s">
        <v>51</v>
      </c>
    </row>
    <row r="270" spans="1:15">
      <c r="A270" s="14" t="s">
        <v>15</v>
      </c>
      <c r="B270" s="14" t="s">
        <v>9506</v>
      </c>
      <c r="C270" s="14" t="s">
        <v>9507</v>
      </c>
      <c r="D270" s="14" t="s">
        <v>9286</v>
      </c>
      <c r="E270" s="14">
        <v>48</v>
      </c>
      <c r="F270" s="14" t="s">
        <v>9580</v>
      </c>
      <c r="G270" s="14" t="s">
        <v>9589</v>
      </c>
      <c r="H270" s="14"/>
      <c r="I270" s="14" t="s">
        <v>49</v>
      </c>
      <c r="J270" s="11" t="str">
        <f>HYPERLINK("https://www.codechef.com/problems/CJACIF16", "https://www.codechef.com/problems/CJACIF16")</f>
        <v>https://www.codechef.com/problems/CJACIF16</v>
      </c>
      <c r="K270" s="14"/>
      <c r="L270" s="14"/>
      <c r="M270" s="14"/>
      <c r="N270" s="14" t="s">
        <v>50</v>
      </c>
      <c r="O270" s="14" t="s">
        <v>51</v>
      </c>
    </row>
    <row r="271" spans="1:15">
      <c r="A271" s="15" t="s">
        <v>15</v>
      </c>
      <c r="B271" s="15" t="s">
        <v>9506</v>
      </c>
      <c r="C271" s="15" t="s">
        <v>9507</v>
      </c>
      <c r="D271" s="15" t="s">
        <v>9286</v>
      </c>
      <c r="E271" s="15">
        <v>49</v>
      </c>
      <c r="F271" s="15" t="s">
        <v>9590</v>
      </c>
      <c r="G271" s="15" t="s">
        <v>9591</v>
      </c>
      <c r="H271" s="15"/>
      <c r="I271" s="15" t="s">
        <v>49</v>
      </c>
      <c r="J271" s="7" t="str">
        <f>HYPERLINK("https://www.codechef.com/problems/CJACIF17", "https://www.codechef.com/problems/CJACIF17")</f>
        <v>https://www.codechef.com/problems/CJACIF17</v>
      </c>
      <c r="K271" s="15"/>
      <c r="L271" s="15"/>
      <c r="M271" s="15"/>
      <c r="N271" s="15" t="s">
        <v>50</v>
      </c>
      <c r="O271" s="15" t="s">
        <v>51</v>
      </c>
    </row>
    <row r="272" spans="1:15">
      <c r="A272" s="14" t="s">
        <v>15</v>
      </c>
      <c r="B272" s="14" t="s">
        <v>9506</v>
      </c>
      <c r="C272" s="14" t="s">
        <v>9507</v>
      </c>
      <c r="D272" s="14" t="s">
        <v>9306</v>
      </c>
      <c r="E272" s="14">
        <v>50</v>
      </c>
      <c r="F272" s="14" t="s">
        <v>9592</v>
      </c>
      <c r="G272" s="14" t="s">
        <v>9593</v>
      </c>
      <c r="H272" s="14"/>
      <c r="I272" s="14" t="s">
        <v>49</v>
      </c>
      <c r="J272" s="11" t="str">
        <f>HYPERLINK("https://www.codechef.com/problems/AAKCGL11", "https://www.codechef.com/problems/AAKCGL11")</f>
        <v>https://www.codechef.com/problems/AAKCGL11</v>
      </c>
      <c r="K272" s="14"/>
      <c r="L272" s="14"/>
      <c r="M272" s="14"/>
      <c r="N272" s="14" t="s">
        <v>50</v>
      </c>
      <c r="O272" s="14" t="s">
        <v>51</v>
      </c>
    </row>
    <row r="273" spans="1:15">
      <c r="A273" s="15" t="s">
        <v>15</v>
      </c>
      <c r="B273" s="15" t="s">
        <v>9506</v>
      </c>
      <c r="C273" s="15" t="s">
        <v>9507</v>
      </c>
      <c r="D273" s="15" t="s">
        <v>9306</v>
      </c>
      <c r="E273" s="15">
        <v>51</v>
      </c>
      <c r="F273" s="15" t="s">
        <v>9594</v>
      </c>
      <c r="G273" s="15" t="s">
        <v>9595</v>
      </c>
      <c r="H273" s="15"/>
      <c r="I273" s="15" t="s">
        <v>49</v>
      </c>
      <c r="J273" s="7" t="str">
        <f>HYPERLINK("https://www.codechef.com/problems/AAKCGL12", "https://www.codechef.com/problems/AAKCGL12")</f>
        <v>https://www.codechef.com/problems/AAKCGL12</v>
      </c>
      <c r="K273" s="15"/>
      <c r="L273" s="15"/>
      <c r="M273" s="15"/>
      <c r="N273" s="15" t="s">
        <v>50</v>
      </c>
      <c r="O273" s="15" t="s">
        <v>51</v>
      </c>
    </row>
    <row r="274" spans="1:15">
      <c r="A274" s="14" t="s">
        <v>15</v>
      </c>
      <c r="B274" s="14" t="s">
        <v>9506</v>
      </c>
      <c r="C274" s="14" t="s">
        <v>9507</v>
      </c>
      <c r="D274" s="14" t="s">
        <v>9306</v>
      </c>
      <c r="E274" s="14">
        <v>52</v>
      </c>
      <c r="F274" s="14" t="s">
        <v>9596</v>
      </c>
      <c r="G274" s="14" t="s">
        <v>9597</v>
      </c>
      <c r="H274" s="14"/>
      <c r="I274" s="14" t="s">
        <v>49</v>
      </c>
      <c r="J274" s="11" t="str">
        <f>HYPERLINK("https://www.codechef.com/problems/AAKCGL13", "https://www.codechef.com/problems/AAKCGL13")</f>
        <v>https://www.codechef.com/problems/AAKCGL13</v>
      </c>
      <c r="K274" s="14"/>
      <c r="L274" s="14"/>
      <c r="M274" s="14"/>
      <c r="N274" s="14" t="s">
        <v>50</v>
      </c>
      <c r="O274" s="14" t="s">
        <v>51</v>
      </c>
    </row>
    <row r="275" spans="1:15">
      <c r="A275" s="15" t="s">
        <v>15</v>
      </c>
      <c r="B275" s="15" t="s">
        <v>9506</v>
      </c>
      <c r="C275" s="15" t="s">
        <v>9507</v>
      </c>
      <c r="D275" s="15" t="s">
        <v>9306</v>
      </c>
      <c r="E275" s="15">
        <v>53</v>
      </c>
      <c r="F275" s="15" t="s">
        <v>9598</v>
      </c>
      <c r="G275" s="15" t="s">
        <v>9599</v>
      </c>
      <c r="H275" s="15"/>
      <c r="I275" s="15" t="s">
        <v>49</v>
      </c>
      <c r="J275" s="7" t="str">
        <f>HYPERLINK("https://www.codechef.com/problems/AAKCGL14", "https://www.codechef.com/problems/AAKCGL14")</f>
        <v>https://www.codechef.com/problems/AAKCGL14</v>
      </c>
      <c r="K275" s="15"/>
      <c r="L275" s="15"/>
      <c r="M275" s="15"/>
      <c r="N275" s="15" t="s">
        <v>50</v>
      </c>
      <c r="O275" s="15" t="s">
        <v>51</v>
      </c>
    </row>
    <row r="276" spans="1:15">
      <c r="A276" s="14" t="s">
        <v>15</v>
      </c>
      <c r="B276" s="14" t="s">
        <v>9506</v>
      </c>
      <c r="C276" s="14" t="s">
        <v>9507</v>
      </c>
      <c r="D276" s="14" t="s">
        <v>9306</v>
      </c>
      <c r="E276" s="14">
        <v>54</v>
      </c>
      <c r="F276" s="14" t="s">
        <v>9600</v>
      </c>
      <c r="G276" s="14" t="s">
        <v>9601</v>
      </c>
      <c r="H276" s="14"/>
      <c r="I276" s="14" t="s">
        <v>49</v>
      </c>
      <c r="J276" s="11" t="str">
        <f>HYPERLINK("https://www.codechef.com/problems/AAKCGL15", "https://www.codechef.com/problems/AAKCGL15")</f>
        <v>https://www.codechef.com/problems/AAKCGL15</v>
      </c>
      <c r="K276" s="14"/>
      <c r="L276" s="14"/>
      <c r="M276" s="14"/>
      <c r="N276" s="14" t="s">
        <v>50</v>
      </c>
      <c r="O276" s="14" t="s">
        <v>51</v>
      </c>
    </row>
    <row r="277" spans="1:15">
      <c r="A277" s="15" t="s">
        <v>15</v>
      </c>
      <c r="B277" s="15" t="s">
        <v>9506</v>
      </c>
      <c r="C277" s="15" t="s">
        <v>9507</v>
      </c>
      <c r="D277" s="15" t="s">
        <v>9306</v>
      </c>
      <c r="E277" s="15">
        <v>55</v>
      </c>
      <c r="F277" s="15" t="s">
        <v>9602</v>
      </c>
      <c r="G277" s="15" t="s">
        <v>9603</v>
      </c>
      <c r="H277" s="15"/>
      <c r="I277" s="15" t="s">
        <v>49</v>
      </c>
      <c r="J277" s="7" t="str">
        <f>HYPERLINK("https://www.codechef.com/problems/AAKCGL16", "https://www.codechef.com/problems/AAKCGL16")</f>
        <v>https://www.codechef.com/problems/AAKCGL16</v>
      </c>
      <c r="K277" s="15"/>
      <c r="L277" s="15"/>
      <c r="M277" s="15"/>
      <c r="N277" s="15" t="s">
        <v>50</v>
      </c>
      <c r="O277" s="15" t="s">
        <v>51</v>
      </c>
    </row>
    <row r="278" spans="1:15">
      <c r="A278" s="14" t="s">
        <v>15</v>
      </c>
      <c r="B278" s="14" t="s">
        <v>9506</v>
      </c>
      <c r="C278" s="14" t="s">
        <v>9507</v>
      </c>
      <c r="D278" s="14" t="s">
        <v>9306</v>
      </c>
      <c r="E278" s="14">
        <v>56</v>
      </c>
      <c r="F278" s="14" t="s">
        <v>9604</v>
      </c>
      <c r="G278" s="14" t="s">
        <v>9605</v>
      </c>
      <c r="H278" s="14"/>
      <c r="I278" s="14" t="s">
        <v>49</v>
      </c>
      <c r="J278" s="11" t="str">
        <f>HYPERLINK("https://www.codechef.com/problems/AAKCGL17", "https://www.codechef.com/problems/AAKCGL17")</f>
        <v>https://www.codechef.com/problems/AAKCGL17</v>
      </c>
      <c r="K278" s="14"/>
      <c r="L278" s="14"/>
      <c r="M278" s="14"/>
      <c r="N278" s="14" t="s">
        <v>50</v>
      </c>
      <c r="O278" s="14" t="s">
        <v>51</v>
      </c>
    </row>
    <row r="279" spans="1:15">
      <c r="A279" s="15" t="s">
        <v>15</v>
      </c>
      <c r="B279" s="15" t="s">
        <v>9506</v>
      </c>
      <c r="C279" s="15" t="s">
        <v>9507</v>
      </c>
      <c r="D279" s="15" t="s">
        <v>9306</v>
      </c>
      <c r="E279" s="15">
        <v>57</v>
      </c>
      <c r="F279" s="15" t="s">
        <v>9606</v>
      </c>
      <c r="G279" s="15" t="s">
        <v>9607</v>
      </c>
      <c r="H279" s="15"/>
      <c r="I279" s="15" t="s">
        <v>49</v>
      </c>
      <c r="J279" s="7" t="str">
        <f>HYPERLINK("https://www.codechef.com/problems/AAKCGL18", "https://www.codechef.com/problems/AAKCGL18")</f>
        <v>https://www.codechef.com/problems/AAKCGL18</v>
      </c>
      <c r="K279" s="15"/>
      <c r="L279" s="15"/>
      <c r="M279" s="15"/>
      <c r="N279" s="15" t="s">
        <v>50</v>
      </c>
      <c r="O279" s="15" t="s">
        <v>51</v>
      </c>
    </row>
    <row r="280" spans="1:15">
      <c r="A280" s="14" t="s">
        <v>15</v>
      </c>
      <c r="B280" s="14" t="s">
        <v>9506</v>
      </c>
      <c r="C280" s="14" t="s">
        <v>9507</v>
      </c>
      <c r="D280" s="14" t="s">
        <v>9306</v>
      </c>
      <c r="E280" s="14">
        <v>58</v>
      </c>
      <c r="F280" s="14" t="s">
        <v>9608</v>
      </c>
      <c r="G280" s="14" t="s">
        <v>9609</v>
      </c>
      <c r="H280" s="14"/>
      <c r="I280" s="14" t="s">
        <v>49</v>
      </c>
      <c r="J280" s="11" t="str">
        <f>HYPERLINK("https://www.codechef.com/problems/AAKCGL19", "https://www.codechef.com/problems/AAKCGL19")</f>
        <v>https://www.codechef.com/problems/AAKCGL19</v>
      </c>
      <c r="K280" s="14"/>
      <c r="L280" s="14"/>
      <c r="M280" s="14"/>
      <c r="N280" s="14" t="s">
        <v>50</v>
      </c>
      <c r="O280" s="14" t="s">
        <v>51</v>
      </c>
    </row>
    <row r="281" spans="1:15">
      <c r="A281" s="15" t="s">
        <v>15</v>
      </c>
      <c r="B281" s="15" t="s">
        <v>9506</v>
      </c>
      <c r="C281" s="15" t="s">
        <v>9507</v>
      </c>
      <c r="D281" s="15" t="s">
        <v>9306</v>
      </c>
      <c r="E281" s="15">
        <v>59</v>
      </c>
      <c r="F281" s="15" t="s">
        <v>9309</v>
      </c>
      <c r="G281" s="15" t="s">
        <v>9610</v>
      </c>
      <c r="H281" s="15"/>
      <c r="I281" s="15" t="s">
        <v>49</v>
      </c>
      <c r="J281" s="7" t="str">
        <f>HYPERLINK("https://www.codechef.com/problems/AAKCGL20", "https://www.codechef.com/problems/AAKCGL20")</f>
        <v>https://www.codechef.com/problems/AAKCGL20</v>
      </c>
      <c r="K281" s="15"/>
      <c r="L281" s="15"/>
      <c r="M281" s="15"/>
      <c r="N281" s="15" t="s">
        <v>50</v>
      </c>
      <c r="O281" s="15" t="s">
        <v>51</v>
      </c>
    </row>
    <row r="282" spans="1:15">
      <c r="A282" s="14" t="s">
        <v>15</v>
      </c>
      <c r="B282" s="14" t="s">
        <v>9506</v>
      </c>
      <c r="C282" s="14" t="s">
        <v>9507</v>
      </c>
      <c r="D282" s="14" t="s">
        <v>9611</v>
      </c>
      <c r="E282" s="14">
        <v>60</v>
      </c>
      <c r="F282" s="14" t="s">
        <v>9612</v>
      </c>
      <c r="G282" s="14" t="s">
        <v>9613</v>
      </c>
      <c r="H282" s="14"/>
      <c r="I282" s="14" t="s">
        <v>49</v>
      </c>
      <c r="J282" s="11" t="str">
        <f>HYPERLINK("https://www.codechef.com/problems/AAKCGL21", "https://www.codechef.com/problems/AAKCGL21")</f>
        <v>https://www.codechef.com/problems/AAKCGL21</v>
      </c>
      <c r="K282" s="14"/>
      <c r="L282" s="14"/>
      <c r="M282" s="14"/>
      <c r="N282" s="14" t="s">
        <v>50</v>
      </c>
      <c r="O282" s="14" t="s">
        <v>51</v>
      </c>
    </row>
    <row r="283" spans="1:15">
      <c r="A283" s="15" t="s">
        <v>15</v>
      </c>
      <c r="B283" s="15" t="s">
        <v>9506</v>
      </c>
      <c r="C283" s="15" t="s">
        <v>9507</v>
      </c>
      <c r="D283" s="15" t="s">
        <v>9611</v>
      </c>
      <c r="E283" s="15">
        <v>61</v>
      </c>
      <c r="F283" s="15" t="s">
        <v>9614</v>
      </c>
      <c r="G283" s="15" t="s">
        <v>9615</v>
      </c>
      <c r="H283" s="15"/>
      <c r="I283" s="15" t="s">
        <v>49</v>
      </c>
      <c r="J283" s="7" t="str">
        <f>HYPERLINK("https://www.codechef.com/problems/AAKCGL22", "https://www.codechef.com/problems/AAKCGL22")</f>
        <v>https://www.codechef.com/problems/AAKCGL22</v>
      </c>
      <c r="K283" s="15"/>
      <c r="L283" s="15"/>
      <c r="M283" s="15"/>
      <c r="N283" s="15" t="s">
        <v>50</v>
      </c>
      <c r="O283" s="15" t="s">
        <v>51</v>
      </c>
    </row>
    <row r="284" spans="1:15">
      <c r="A284" s="14" t="s">
        <v>15</v>
      </c>
      <c r="B284" s="14" t="s">
        <v>9506</v>
      </c>
      <c r="C284" s="14" t="s">
        <v>9507</v>
      </c>
      <c r="D284" s="14" t="s">
        <v>9611</v>
      </c>
      <c r="E284" s="14">
        <v>62</v>
      </c>
      <c r="F284" s="14" t="s">
        <v>9616</v>
      </c>
      <c r="G284" s="14" t="s">
        <v>9617</v>
      </c>
      <c r="H284" s="14"/>
      <c r="I284" s="14" t="s">
        <v>49</v>
      </c>
      <c r="J284" s="11" t="str">
        <f>HYPERLINK("https://www.codechef.com/problems/AAKCGL23", "https://www.codechef.com/problems/AAKCGL23")</f>
        <v>https://www.codechef.com/problems/AAKCGL23</v>
      </c>
      <c r="K284" s="14"/>
      <c r="L284" s="14"/>
      <c r="M284" s="14"/>
      <c r="N284" s="14" t="s">
        <v>50</v>
      </c>
      <c r="O284" s="14" t="s">
        <v>51</v>
      </c>
    </row>
    <row r="285" spans="1:15">
      <c r="A285" s="15" t="s">
        <v>15</v>
      </c>
      <c r="B285" s="15" t="s">
        <v>9506</v>
      </c>
      <c r="C285" s="15" t="s">
        <v>9507</v>
      </c>
      <c r="D285" s="15" t="s">
        <v>9611</v>
      </c>
      <c r="E285" s="15">
        <v>63</v>
      </c>
      <c r="F285" s="15" t="s">
        <v>9618</v>
      </c>
      <c r="G285" s="15" t="s">
        <v>9619</v>
      </c>
      <c r="H285" s="15"/>
      <c r="I285" s="15" t="s">
        <v>49</v>
      </c>
      <c r="J285" s="7" t="str">
        <f>HYPERLINK("https://www.codechef.com/problems/AAKCGL24", "https://www.codechef.com/problems/AAKCGL24")</f>
        <v>https://www.codechef.com/problems/AAKCGL24</v>
      </c>
      <c r="K285" s="15"/>
      <c r="L285" s="15"/>
      <c r="M285" s="15"/>
      <c r="N285" s="15" t="s">
        <v>50</v>
      </c>
      <c r="O285" s="15" t="s">
        <v>51</v>
      </c>
    </row>
    <row r="286" spans="1:15">
      <c r="A286" s="14" t="s">
        <v>15</v>
      </c>
      <c r="B286" s="14" t="s">
        <v>9506</v>
      </c>
      <c r="C286" s="14" t="s">
        <v>9507</v>
      </c>
      <c r="D286" s="14" t="s">
        <v>9611</v>
      </c>
      <c r="E286" s="14">
        <v>64</v>
      </c>
      <c r="F286" s="14" t="s">
        <v>9620</v>
      </c>
      <c r="G286" s="14" t="s">
        <v>9621</v>
      </c>
      <c r="H286" s="14"/>
      <c r="I286" s="14" t="s">
        <v>49</v>
      </c>
      <c r="J286" s="11" t="str">
        <f>HYPERLINK("https://www.codechef.com/problems/AAKCGL25", "https://www.codechef.com/problems/AAKCGL25")</f>
        <v>https://www.codechef.com/problems/AAKCGL25</v>
      </c>
      <c r="K286" s="14"/>
      <c r="L286" s="14"/>
      <c r="M286" s="14"/>
      <c r="N286" s="14" t="s">
        <v>50</v>
      </c>
      <c r="O286" s="14" t="s">
        <v>51</v>
      </c>
    </row>
    <row r="287" spans="1:15">
      <c r="A287" s="15" t="s">
        <v>15</v>
      </c>
      <c r="B287" s="15" t="s">
        <v>9506</v>
      </c>
      <c r="C287" s="15" t="s">
        <v>9507</v>
      </c>
      <c r="D287" s="15" t="s">
        <v>9611</v>
      </c>
      <c r="E287" s="15">
        <v>65</v>
      </c>
      <c r="F287" s="15" t="s">
        <v>9622</v>
      </c>
      <c r="G287" s="15" t="s">
        <v>9623</v>
      </c>
      <c r="H287" s="15"/>
      <c r="I287" s="15" t="s">
        <v>49</v>
      </c>
      <c r="J287" s="7" t="str">
        <f>HYPERLINK("https://www.codechef.com/problems/AAKCGL26", "https://www.codechef.com/problems/AAKCGL26")</f>
        <v>https://www.codechef.com/problems/AAKCGL26</v>
      </c>
      <c r="K287" s="15"/>
      <c r="L287" s="15"/>
      <c r="M287" s="15"/>
      <c r="N287" s="15" t="s">
        <v>50</v>
      </c>
      <c r="O287" s="15" t="s">
        <v>51</v>
      </c>
    </row>
    <row r="288" spans="1:15">
      <c r="A288" s="14" t="s">
        <v>15</v>
      </c>
      <c r="B288" s="14" t="s">
        <v>9506</v>
      </c>
      <c r="C288" s="14" t="s">
        <v>9507</v>
      </c>
      <c r="D288" s="14" t="s">
        <v>9611</v>
      </c>
      <c r="E288" s="14">
        <v>66</v>
      </c>
      <c r="F288" s="14" t="s">
        <v>9624</v>
      </c>
      <c r="G288" s="14" t="s">
        <v>9625</v>
      </c>
      <c r="H288" s="14"/>
      <c r="I288" s="14" t="s">
        <v>49</v>
      </c>
      <c r="J288" s="11" t="str">
        <f>HYPERLINK("https://www.codechef.com/problems/AAKCGL27", "https://www.codechef.com/problems/AAKCGL27")</f>
        <v>https://www.codechef.com/problems/AAKCGL27</v>
      </c>
      <c r="K288" s="14"/>
      <c r="L288" s="14"/>
      <c r="M288" s="14"/>
      <c r="N288" s="14" t="s">
        <v>50</v>
      </c>
      <c r="O288" s="14" t="s">
        <v>51</v>
      </c>
    </row>
    <row r="289" spans="1:15">
      <c r="A289" s="15" t="s">
        <v>15</v>
      </c>
      <c r="B289" s="15" t="s">
        <v>9506</v>
      </c>
      <c r="C289" s="15" t="s">
        <v>9507</v>
      </c>
      <c r="D289" s="15" t="s">
        <v>9611</v>
      </c>
      <c r="E289" s="15">
        <v>67</v>
      </c>
      <c r="F289" s="15" t="s">
        <v>9626</v>
      </c>
      <c r="G289" s="15" t="s">
        <v>9627</v>
      </c>
      <c r="H289" s="15"/>
      <c r="I289" s="15" t="s">
        <v>49</v>
      </c>
      <c r="J289" s="7" t="str">
        <f>HYPERLINK("https://www.codechef.com/problems/AAKCGL28", "https://www.codechef.com/problems/AAKCGL28")</f>
        <v>https://www.codechef.com/problems/AAKCGL28</v>
      </c>
      <c r="K289" s="15"/>
      <c r="L289" s="15"/>
      <c r="M289" s="15"/>
      <c r="N289" s="15" t="s">
        <v>50</v>
      </c>
      <c r="O289" s="15" t="s">
        <v>51</v>
      </c>
    </row>
    <row r="290" spans="1:15">
      <c r="A290" s="14" t="s">
        <v>15</v>
      </c>
      <c r="B290" s="14" t="s">
        <v>9506</v>
      </c>
      <c r="C290" s="14" t="s">
        <v>9507</v>
      </c>
      <c r="D290" s="14" t="s">
        <v>9611</v>
      </c>
      <c r="E290" s="14">
        <v>68</v>
      </c>
      <c r="F290" s="14" t="s">
        <v>9628</v>
      </c>
      <c r="G290" s="14" t="s">
        <v>9629</v>
      </c>
      <c r="H290" s="14"/>
      <c r="I290" s="14" t="s">
        <v>49</v>
      </c>
      <c r="J290" s="11" t="str">
        <f>HYPERLINK("https://www.codechef.com/problems/AAKCGL29", "https://www.codechef.com/problems/AAKCGL29")</f>
        <v>https://www.codechef.com/problems/AAKCGL29</v>
      </c>
      <c r="K290" s="14"/>
      <c r="L290" s="14"/>
      <c r="M290" s="14"/>
      <c r="N290" s="14" t="s">
        <v>50</v>
      </c>
      <c r="O290" s="14" t="s">
        <v>51</v>
      </c>
    </row>
    <row r="291" spans="1:15">
      <c r="A291" s="15" t="s">
        <v>15</v>
      </c>
      <c r="B291" s="15" t="s">
        <v>9506</v>
      </c>
      <c r="C291" s="15" t="s">
        <v>9507</v>
      </c>
      <c r="D291" s="15" t="s">
        <v>9611</v>
      </c>
      <c r="E291" s="15">
        <v>69</v>
      </c>
      <c r="F291" s="15" t="s">
        <v>9630</v>
      </c>
      <c r="G291" s="15" t="s">
        <v>9631</v>
      </c>
      <c r="H291" s="15"/>
      <c r="I291" s="15" t="s">
        <v>49</v>
      </c>
      <c r="J291" s="7" t="str">
        <f>HYPERLINK("https://www.codechef.com/problems/AAKCGL30", "https://www.codechef.com/problems/AAKCGL30")</f>
        <v>https://www.codechef.com/problems/AAKCGL30</v>
      </c>
      <c r="K291" s="15"/>
      <c r="L291" s="15"/>
      <c r="M291" s="15"/>
      <c r="N291" s="15" t="s">
        <v>50</v>
      </c>
      <c r="O291" s="15" t="s">
        <v>51</v>
      </c>
    </row>
    <row r="292" spans="1:15">
      <c r="A292" s="14" t="s">
        <v>15</v>
      </c>
      <c r="B292" s="14" t="s">
        <v>9506</v>
      </c>
      <c r="C292" s="14" t="s">
        <v>9507</v>
      </c>
      <c r="D292" s="14" t="s">
        <v>9611</v>
      </c>
      <c r="E292" s="14">
        <v>70</v>
      </c>
      <c r="F292" s="14" t="s">
        <v>9632</v>
      </c>
      <c r="G292" s="14" t="s">
        <v>9633</v>
      </c>
      <c r="H292" s="14"/>
      <c r="I292" s="14" t="s">
        <v>49</v>
      </c>
      <c r="J292" s="11" t="str">
        <f>HYPERLINK("https://www.codechef.com/problems/AAKCGL31", "https://www.codechef.com/problems/AAKCGL31")</f>
        <v>https://www.codechef.com/problems/AAKCGL31</v>
      </c>
      <c r="K292" s="14"/>
      <c r="L292" s="14"/>
      <c r="M292" s="14"/>
      <c r="N292" s="14" t="s">
        <v>50</v>
      </c>
      <c r="O292" s="14" t="s">
        <v>51</v>
      </c>
    </row>
    <row r="293" spans="1:15">
      <c r="A293" s="15" t="s">
        <v>15</v>
      </c>
      <c r="B293" s="15" t="s">
        <v>9506</v>
      </c>
      <c r="C293" s="15" t="s">
        <v>9507</v>
      </c>
      <c r="D293" s="15" t="s">
        <v>9611</v>
      </c>
      <c r="E293" s="15">
        <v>71</v>
      </c>
      <c r="F293" s="15" t="s">
        <v>9634</v>
      </c>
      <c r="G293" s="15" t="s">
        <v>9635</v>
      </c>
      <c r="H293" s="15"/>
      <c r="I293" s="15" t="s">
        <v>49</v>
      </c>
      <c r="J293" s="7" t="str">
        <f>HYPERLINK("https://www.codechef.com/problems/AAKCGL32", "https://www.codechef.com/problems/AAKCGL32")</f>
        <v>https://www.codechef.com/problems/AAKCGL32</v>
      </c>
      <c r="K293" s="15"/>
      <c r="L293" s="15"/>
      <c r="M293" s="15"/>
      <c r="N293" s="15" t="s">
        <v>50</v>
      </c>
      <c r="O293" s="15" t="s">
        <v>51</v>
      </c>
    </row>
    <row r="294" spans="1:15">
      <c r="A294" s="14" t="s">
        <v>15</v>
      </c>
      <c r="B294" s="14" t="s">
        <v>9506</v>
      </c>
      <c r="C294" s="14" t="s">
        <v>9507</v>
      </c>
      <c r="D294" s="14" t="s">
        <v>9611</v>
      </c>
      <c r="E294" s="14">
        <v>72</v>
      </c>
      <c r="F294" s="14" t="s">
        <v>9636</v>
      </c>
      <c r="G294" s="14" t="s">
        <v>9637</v>
      </c>
      <c r="H294" s="14"/>
      <c r="I294" s="14" t="s">
        <v>49</v>
      </c>
      <c r="J294" s="11" t="str">
        <f>HYPERLINK("https://www.codechef.com/problems/AAKCGL33", "https://www.codechef.com/problems/AAKCGL33")</f>
        <v>https://www.codechef.com/problems/AAKCGL33</v>
      </c>
      <c r="K294" s="14"/>
      <c r="L294" s="14"/>
      <c r="M294" s="14"/>
      <c r="N294" s="14" t="s">
        <v>50</v>
      </c>
      <c r="O294" s="14" t="s">
        <v>51</v>
      </c>
    </row>
    <row r="295" spans="1:15">
      <c r="A295" s="15" t="s">
        <v>15</v>
      </c>
      <c r="B295" s="15" t="s">
        <v>9506</v>
      </c>
      <c r="C295" s="15" t="s">
        <v>9507</v>
      </c>
      <c r="D295" s="15" t="s">
        <v>9611</v>
      </c>
      <c r="E295" s="15">
        <v>73</v>
      </c>
      <c r="F295" s="15" t="s">
        <v>9638</v>
      </c>
      <c r="G295" s="15" t="s">
        <v>9639</v>
      </c>
      <c r="H295" s="15"/>
      <c r="I295" s="15" t="s">
        <v>49</v>
      </c>
      <c r="J295" s="7" t="str">
        <f>HYPERLINK("https://www.codechef.com/problems/AAKCGL34", "https://www.codechef.com/problems/AAKCGL34")</f>
        <v>https://www.codechef.com/problems/AAKCGL34</v>
      </c>
      <c r="K295" s="15"/>
      <c r="L295" s="15"/>
      <c r="M295" s="15"/>
      <c r="N295" s="15" t="s">
        <v>50</v>
      </c>
      <c r="O295" s="15" t="s">
        <v>51</v>
      </c>
    </row>
    <row r="296" spans="1:15">
      <c r="A296" s="14" t="s">
        <v>15</v>
      </c>
      <c r="B296" s="14" t="s">
        <v>9506</v>
      </c>
      <c r="C296" s="14" t="s">
        <v>9507</v>
      </c>
      <c r="D296" s="14" t="s">
        <v>9611</v>
      </c>
      <c r="E296" s="14">
        <v>74</v>
      </c>
      <c r="F296" s="14" t="s">
        <v>9640</v>
      </c>
      <c r="G296" s="14" t="s">
        <v>9641</v>
      </c>
      <c r="H296" s="14"/>
      <c r="I296" s="14" t="s">
        <v>49</v>
      </c>
      <c r="J296" s="11" t="str">
        <f>HYPERLINK("https://www.codechef.com/problems/AAKCGL35", "https://www.codechef.com/problems/AAKCGL35")</f>
        <v>https://www.codechef.com/problems/AAKCGL35</v>
      </c>
      <c r="K296" s="14"/>
      <c r="L296" s="14"/>
      <c r="M296" s="14"/>
      <c r="N296" s="14" t="s">
        <v>50</v>
      </c>
      <c r="O296" s="14" t="s">
        <v>51</v>
      </c>
    </row>
    <row r="297" spans="1:15">
      <c r="A297" s="15" t="s">
        <v>15</v>
      </c>
      <c r="B297" s="15" t="s">
        <v>9506</v>
      </c>
      <c r="C297" s="15" t="s">
        <v>9507</v>
      </c>
      <c r="D297" s="15" t="s">
        <v>9611</v>
      </c>
      <c r="E297" s="15">
        <v>75</v>
      </c>
      <c r="F297" s="15" t="s">
        <v>9642</v>
      </c>
      <c r="G297" s="15" t="s">
        <v>9643</v>
      </c>
      <c r="H297" s="15"/>
      <c r="I297" s="15" t="s">
        <v>49</v>
      </c>
      <c r="J297" s="7" t="str">
        <f>HYPERLINK("https://www.codechef.com/problems/AAKCGL36", "https://www.codechef.com/problems/AAKCGL36")</f>
        <v>https://www.codechef.com/problems/AAKCGL36</v>
      </c>
      <c r="K297" s="15"/>
      <c r="L297" s="15"/>
      <c r="M297" s="15"/>
      <c r="N297" s="15" t="s">
        <v>50</v>
      </c>
      <c r="O297" s="15" t="s">
        <v>51</v>
      </c>
    </row>
    <row r="298" spans="1:15">
      <c r="A298" s="14" t="s">
        <v>15</v>
      </c>
      <c r="B298" s="14" t="s">
        <v>9506</v>
      </c>
      <c r="C298" s="14" t="s">
        <v>9507</v>
      </c>
      <c r="D298" s="14" t="s">
        <v>9611</v>
      </c>
      <c r="E298" s="14">
        <v>76</v>
      </c>
      <c r="F298" s="14" t="s">
        <v>9644</v>
      </c>
      <c r="G298" s="14" t="s">
        <v>9645</v>
      </c>
      <c r="H298" s="14"/>
      <c r="I298" s="14" t="s">
        <v>49</v>
      </c>
      <c r="J298" s="11" t="str">
        <f>HYPERLINK("https://www.codechef.com/problems/AAKCGL37", "https://www.codechef.com/problems/AAKCGL37")</f>
        <v>https://www.codechef.com/problems/AAKCGL37</v>
      </c>
      <c r="K298" s="14"/>
      <c r="L298" s="14"/>
      <c r="M298" s="14"/>
      <c r="N298" s="14" t="s">
        <v>50</v>
      </c>
      <c r="O298" s="14" t="s">
        <v>51</v>
      </c>
    </row>
    <row r="299" spans="1:15">
      <c r="A299" s="15" t="s">
        <v>15</v>
      </c>
      <c r="B299" s="15" t="s">
        <v>9506</v>
      </c>
      <c r="C299" s="15" t="s">
        <v>9507</v>
      </c>
      <c r="D299" s="15" t="s">
        <v>9611</v>
      </c>
      <c r="E299" s="15">
        <v>77</v>
      </c>
      <c r="F299" s="15" t="s">
        <v>9646</v>
      </c>
      <c r="G299" s="15" t="s">
        <v>9647</v>
      </c>
      <c r="H299" s="15"/>
      <c r="I299" s="15" t="s">
        <v>49</v>
      </c>
      <c r="J299" s="7" t="str">
        <f>HYPERLINK("https://www.codechef.com/problems/AAKCGL38", "https://www.codechef.com/problems/AAKCGL38")</f>
        <v>https://www.codechef.com/problems/AAKCGL38</v>
      </c>
      <c r="K299" s="15"/>
      <c r="L299" s="15"/>
      <c r="M299" s="15"/>
      <c r="N299" s="15" t="s">
        <v>50</v>
      </c>
      <c r="O299" s="15" t="s">
        <v>51</v>
      </c>
    </row>
    <row r="300" spans="1:15">
      <c r="A300" s="14" t="s">
        <v>15</v>
      </c>
      <c r="B300" s="14" t="s">
        <v>9506</v>
      </c>
      <c r="C300" s="14" t="s">
        <v>9507</v>
      </c>
      <c r="D300" s="14" t="s">
        <v>9611</v>
      </c>
      <c r="E300" s="14">
        <v>78</v>
      </c>
      <c r="F300" s="14" t="s">
        <v>9648</v>
      </c>
      <c r="G300" s="14" t="s">
        <v>9649</v>
      </c>
      <c r="H300" s="14"/>
      <c r="I300" s="14" t="s">
        <v>49</v>
      </c>
      <c r="J300" s="11" t="str">
        <f>HYPERLINK("https://www.codechef.com/problems/AAKCGL39", "https://www.codechef.com/problems/AAKCGL39")</f>
        <v>https://www.codechef.com/problems/AAKCGL39</v>
      </c>
      <c r="K300" s="14"/>
      <c r="L300" s="14"/>
      <c r="M300" s="14"/>
      <c r="N300" s="14" t="s">
        <v>50</v>
      </c>
      <c r="O300" s="14" t="s">
        <v>51</v>
      </c>
    </row>
    <row r="301" spans="1:15">
      <c r="A301" s="15" t="s">
        <v>15</v>
      </c>
      <c r="B301" s="15" t="s">
        <v>9506</v>
      </c>
      <c r="C301" s="15" t="s">
        <v>9507</v>
      </c>
      <c r="D301" s="15" t="s">
        <v>9611</v>
      </c>
      <c r="E301" s="15">
        <v>79</v>
      </c>
      <c r="F301" s="15" t="s">
        <v>9650</v>
      </c>
      <c r="G301" s="15" t="s">
        <v>9651</v>
      </c>
      <c r="H301" s="15"/>
      <c r="I301" s="15" t="s">
        <v>49</v>
      </c>
      <c r="J301" s="7" t="str">
        <f>HYPERLINK("https://www.codechef.com/problems/AAKCGL40", "https://www.codechef.com/problems/AAKCGL40")</f>
        <v>https://www.codechef.com/problems/AAKCGL40</v>
      </c>
      <c r="K301" s="15"/>
      <c r="L301" s="15"/>
      <c r="M301" s="15"/>
      <c r="N301" s="15" t="s">
        <v>50</v>
      </c>
      <c r="O301" s="15" t="s">
        <v>51</v>
      </c>
    </row>
    <row r="302" spans="1:15">
      <c r="A302" s="14" t="s">
        <v>15</v>
      </c>
      <c r="B302" s="14" t="s">
        <v>9506</v>
      </c>
      <c r="C302" s="14" t="s">
        <v>9507</v>
      </c>
      <c r="D302" s="14" t="s">
        <v>9611</v>
      </c>
      <c r="E302" s="14">
        <v>80</v>
      </c>
      <c r="F302" s="14" t="s">
        <v>9652</v>
      </c>
      <c r="G302" s="14" t="s">
        <v>9653</v>
      </c>
      <c r="H302" s="14"/>
      <c r="I302" s="14" t="s">
        <v>49</v>
      </c>
      <c r="J302" s="11" t="str">
        <f>HYPERLINK("https://www.codechef.com/problems/AAKCGL41", "https://www.codechef.com/problems/AAKCGL41")</f>
        <v>https://www.codechef.com/problems/AAKCGL41</v>
      </c>
      <c r="K302" s="14"/>
      <c r="L302" s="14"/>
      <c r="M302" s="14"/>
      <c r="N302" s="14" t="s">
        <v>50</v>
      </c>
      <c r="O302" s="14" t="s">
        <v>51</v>
      </c>
    </row>
    <row r="303" spans="1:15">
      <c r="A303" s="15" t="s">
        <v>15</v>
      </c>
      <c r="B303" s="15" t="s">
        <v>9506</v>
      </c>
      <c r="C303" s="15" t="s">
        <v>9507</v>
      </c>
      <c r="D303" s="15" t="s">
        <v>9611</v>
      </c>
      <c r="E303" s="15">
        <v>81</v>
      </c>
      <c r="F303" s="15" t="s">
        <v>9654</v>
      </c>
      <c r="G303" s="15" t="s">
        <v>9655</v>
      </c>
      <c r="H303" s="15"/>
      <c r="I303" s="15" t="s">
        <v>49</v>
      </c>
      <c r="J303" s="7" t="str">
        <f>HYPERLINK("https://www.codechef.com/problems/AAKCGL42", "https://www.codechef.com/problems/AAKCGL42")</f>
        <v>https://www.codechef.com/problems/AAKCGL42</v>
      </c>
      <c r="K303" s="15"/>
      <c r="L303" s="15"/>
      <c r="M303" s="15"/>
      <c r="N303" s="15" t="s">
        <v>50</v>
      </c>
      <c r="O303" s="15" t="s">
        <v>51</v>
      </c>
    </row>
    <row r="304" spans="1:15">
      <c r="A304" s="14" t="s">
        <v>15</v>
      </c>
      <c r="B304" s="14" t="s">
        <v>9506</v>
      </c>
      <c r="C304" s="14" t="s">
        <v>9507</v>
      </c>
      <c r="D304" s="14" t="s">
        <v>9611</v>
      </c>
      <c r="E304" s="14">
        <v>82</v>
      </c>
      <c r="F304" s="14" t="s">
        <v>9656</v>
      </c>
      <c r="G304" s="14" t="s">
        <v>9657</v>
      </c>
      <c r="H304" s="14"/>
      <c r="I304" s="14" t="s">
        <v>49</v>
      </c>
      <c r="J304" s="11" t="str">
        <f>HYPERLINK("https://www.codechef.com/problems/AAKCGL43", "https://www.codechef.com/problems/AAKCGL43")</f>
        <v>https://www.codechef.com/problems/AAKCGL43</v>
      </c>
      <c r="K304" s="14"/>
      <c r="L304" s="14"/>
      <c r="M304" s="14"/>
      <c r="N304" s="14" t="s">
        <v>50</v>
      </c>
      <c r="O304" s="14" t="s">
        <v>51</v>
      </c>
    </row>
    <row r="305" spans="1:15">
      <c r="A305" s="15" t="s">
        <v>15</v>
      </c>
      <c r="B305" s="15" t="s">
        <v>9506</v>
      </c>
      <c r="C305" s="15" t="s">
        <v>9507</v>
      </c>
      <c r="D305" s="15" t="s">
        <v>9611</v>
      </c>
      <c r="E305" s="15">
        <v>83</v>
      </c>
      <c r="F305" s="15" t="s">
        <v>9658</v>
      </c>
      <c r="G305" s="15" t="s">
        <v>9659</v>
      </c>
      <c r="H305" s="15"/>
      <c r="I305" s="15" t="s">
        <v>49</v>
      </c>
      <c r="J305" s="7" t="str">
        <f>HYPERLINK("https://www.codechef.com/problems/AAKCGL44", "https://www.codechef.com/problems/AAKCGL44")</f>
        <v>https://www.codechef.com/problems/AAKCGL44</v>
      </c>
      <c r="K305" s="15"/>
      <c r="L305" s="15"/>
      <c r="M305" s="15"/>
      <c r="N305" s="15" t="s">
        <v>50</v>
      </c>
      <c r="O305" s="15" t="s">
        <v>51</v>
      </c>
    </row>
    <row r="306" spans="1:15">
      <c r="A306" s="14" t="s">
        <v>15</v>
      </c>
      <c r="B306" s="14" t="s">
        <v>9506</v>
      </c>
      <c r="C306" s="14" t="s">
        <v>9507</v>
      </c>
      <c r="D306" s="14" t="s">
        <v>9611</v>
      </c>
      <c r="E306" s="14">
        <v>84</v>
      </c>
      <c r="F306" s="14" t="s">
        <v>9660</v>
      </c>
      <c r="G306" s="14" t="s">
        <v>9661</v>
      </c>
      <c r="H306" s="14"/>
      <c r="I306" s="14" t="s">
        <v>49</v>
      </c>
      <c r="J306" s="11" t="str">
        <f>HYPERLINK("https://www.codechef.com/problems/AAKCGL45", "https://www.codechef.com/problems/AAKCGL45")</f>
        <v>https://www.codechef.com/problems/AAKCGL45</v>
      </c>
      <c r="K306" s="14"/>
      <c r="L306" s="14"/>
      <c r="M306" s="14"/>
      <c r="N306" s="14" t="s">
        <v>50</v>
      </c>
      <c r="O306" s="14" t="s">
        <v>51</v>
      </c>
    </row>
    <row r="307" spans="1:15">
      <c r="A307" s="15" t="s">
        <v>15</v>
      </c>
      <c r="B307" s="15" t="s">
        <v>9662</v>
      </c>
      <c r="C307" s="15" t="s">
        <v>9663</v>
      </c>
      <c r="D307" s="15" t="s">
        <v>9245</v>
      </c>
      <c r="E307" s="15">
        <v>1</v>
      </c>
      <c r="F307" s="15" t="s">
        <v>9664</v>
      </c>
      <c r="G307" s="15" t="s">
        <v>9665</v>
      </c>
      <c r="H307" s="15"/>
      <c r="I307" s="15" t="s">
        <v>96</v>
      </c>
      <c r="J307" s="7" t="str">
        <f>HYPERLINK("https://www.codechef.com/problems/YJQPVI01", "https://www.codechef.com/problems/YJQPVI01")</f>
        <v>https://www.codechef.com/problems/YJQPVI01</v>
      </c>
      <c r="K307" s="15"/>
      <c r="L307" s="15"/>
      <c r="M307" s="15"/>
      <c r="N307" s="15" t="s">
        <v>50</v>
      </c>
      <c r="O307" s="15" t="s">
        <v>51</v>
      </c>
    </row>
    <row r="308" spans="1:15">
      <c r="A308" s="14" t="s">
        <v>15</v>
      </c>
      <c r="B308" s="14" t="s">
        <v>9662</v>
      </c>
      <c r="C308" s="14" t="s">
        <v>9663</v>
      </c>
      <c r="D308" s="14" t="s">
        <v>9245</v>
      </c>
      <c r="E308" s="14">
        <v>2</v>
      </c>
      <c r="F308" s="14" t="s">
        <v>9666</v>
      </c>
      <c r="G308" s="14" t="s">
        <v>9667</v>
      </c>
      <c r="H308" s="14"/>
      <c r="I308" s="14" t="s">
        <v>49</v>
      </c>
      <c r="J308" s="11" t="str">
        <f>HYPERLINK("https://www.codechef.com/problems/YJQPVI02", "https://www.codechef.com/problems/YJQPVI02")</f>
        <v>https://www.codechef.com/problems/YJQPVI02</v>
      </c>
      <c r="K308" s="14"/>
      <c r="L308" s="14"/>
      <c r="M308" s="14"/>
      <c r="N308" s="14" t="s">
        <v>50</v>
      </c>
      <c r="O308" s="14" t="s">
        <v>51</v>
      </c>
    </row>
    <row r="309" spans="1:15">
      <c r="A309" s="15" t="s">
        <v>15</v>
      </c>
      <c r="B309" s="15" t="s">
        <v>9662</v>
      </c>
      <c r="C309" s="15" t="s">
        <v>9663</v>
      </c>
      <c r="D309" s="15" t="s">
        <v>9245</v>
      </c>
      <c r="E309" s="15">
        <v>3</v>
      </c>
      <c r="F309" s="15" t="s">
        <v>9668</v>
      </c>
      <c r="G309" s="15" t="s">
        <v>9669</v>
      </c>
      <c r="H309" s="15"/>
      <c r="I309" s="15" t="s">
        <v>49</v>
      </c>
      <c r="J309" s="7" t="str">
        <f>HYPERLINK("https://www.codechef.com/problems/YJQPVI03", "https://www.codechef.com/problems/YJQPVI03")</f>
        <v>https://www.codechef.com/problems/YJQPVI03</v>
      </c>
      <c r="K309" s="15"/>
      <c r="L309" s="15"/>
      <c r="M309" s="15"/>
      <c r="N309" s="15" t="s">
        <v>50</v>
      </c>
      <c r="O309" s="15" t="s">
        <v>51</v>
      </c>
    </row>
    <row r="310" spans="1:15">
      <c r="A310" s="14" t="s">
        <v>15</v>
      </c>
      <c r="B310" s="14" t="s">
        <v>9662</v>
      </c>
      <c r="C310" s="14" t="s">
        <v>9663</v>
      </c>
      <c r="D310" s="14" t="s">
        <v>9245</v>
      </c>
      <c r="E310" s="14">
        <v>4</v>
      </c>
      <c r="F310" s="14" t="s">
        <v>9670</v>
      </c>
      <c r="G310" s="14" t="s">
        <v>9671</v>
      </c>
      <c r="H310" s="14"/>
      <c r="I310" s="14" t="s">
        <v>96</v>
      </c>
      <c r="J310" s="11" t="str">
        <f>HYPERLINK("https://www.codechef.com/problems/YJQPVI04", "https://www.codechef.com/problems/YJQPVI04")</f>
        <v>https://www.codechef.com/problems/YJQPVI04</v>
      </c>
      <c r="K310" s="14"/>
      <c r="L310" s="14"/>
      <c r="M310" s="14"/>
      <c r="N310" s="14" t="s">
        <v>50</v>
      </c>
      <c r="O310" s="14" t="s">
        <v>51</v>
      </c>
    </row>
    <row r="311" spans="1:15">
      <c r="A311" s="15" t="s">
        <v>15</v>
      </c>
      <c r="B311" s="15" t="s">
        <v>9662</v>
      </c>
      <c r="C311" s="15" t="s">
        <v>9663</v>
      </c>
      <c r="D311" s="15" t="s">
        <v>9245</v>
      </c>
      <c r="E311" s="15">
        <v>5</v>
      </c>
      <c r="F311" s="15" t="s">
        <v>9672</v>
      </c>
      <c r="G311" s="15" t="s">
        <v>9673</v>
      </c>
      <c r="H311" s="15"/>
      <c r="I311" s="15" t="s">
        <v>49</v>
      </c>
      <c r="J311" s="7" t="str">
        <f>HYPERLINK("https://www.codechef.com/problems/YJQPVI05", "https://www.codechef.com/problems/YJQPVI05")</f>
        <v>https://www.codechef.com/problems/YJQPVI05</v>
      </c>
      <c r="K311" s="15"/>
      <c r="L311" s="15"/>
      <c r="M311" s="15"/>
      <c r="N311" s="15" t="s">
        <v>50</v>
      </c>
      <c r="O311" s="15" t="s">
        <v>51</v>
      </c>
    </row>
    <row r="312" spans="1:15">
      <c r="A312" s="14" t="s">
        <v>15</v>
      </c>
      <c r="B312" s="14" t="s">
        <v>9662</v>
      </c>
      <c r="C312" s="14" t="s">
        <v>9663</v>
      </c>
      <c r="D312" s="14" t="s">
        <v>9245</v>
      </c>
      <c r="E312" s="14">
        <v>6</v>
      </c>
      <c r="F312" s="14" t="s">
        <v>9674</v>
      </c>
      <c r="G312" s="14" t="s">
        <v>9675</v>
      </c>
      <c r="H312" s="14"/>
      <c r="I312" s="14" t="s">
        <v>49</v>
      </c>
      <c r="J312" s="11" t="str">
        <f>HYPERLINK("https://www.codechef.com/problems/YJQPVI06", "https://www.codechef.com/problems/YJQPVI06")</f>
        <v>https://www.codechef.com/problems/YJQPVI06</v>
      </c>
      <c r="K312" s="14"/>
      <c r="L312" s="14"/>
      <c r="M312" s="14"/>
      <c r="N312" s="14" t="s">
        <v>50</v>
      </c>
      <c r="O312" s="14" t="s">
        <v>51</v>
      </c>
    </row>
    <row r="313" spans="1:15">
      <c r="A313" s="15" t="s">
        <v>15</v>
      </c>
      <c r="B313" s="15" t="s">
        <v>9662</v>
      </c>
      <c r="C313" s="15" t="s">
        <v>9663</v>
      </c>
      <c r="D313" s="15" t="s">
        <v>9245</v>
      </c>
      <c r="E313" s="15">
        <v>7</v>
      </c>
      <c r="F313" s="15" t="s">
        <v>9676</v>
      </c>
      <c r="G313" s="15" t="s">
        <v>9677</v>
      </c>
      <c r="H313" s="15"/>
      <c r="I313" s="15" t="s">
        <v>49</v>
      </c>
      <c r="J313" s="7" t="str">
        <f>HYPERLINK("https://www.codechef.com/problems/YJQPVI07", "https://www.codechef.com/problems/YJQPVI07")</f>
        <v>https://www.codechef.com/problems/YJQPVI07</v>
      </c>
      <c r="K313" s="15"/>
      <c r="L313" s="15"/>
      <c r="M313" s="15"/>
      <c r="N313" s="15" t="s">
        <v>50</v>
      </c>
      <c r="O313" s="15" t="s">
        <v>51</v>
      </c>
    </row>
    <row r="314" spans="1:15">
      <c r="A314" s="14" t="s">
        <v>15</v>
      </c>
      <c r="B314" s="14" t="s">
        <v>9662</v>
      </c>
      <c r="C314" s="14" t="s">
        <v>9663</v>
      </c>
      <c r="D314" s="14" t="s">
        <v>9245</v>
      </c>
      <c r="E314" s="14">
        <v>8</v>
      </c>
      <c r="F314" s="14" t="s">
        <v>9678</v>
      </c>
      <c r="G314" s="14" t="s">
        <v>9679</v>
      </c>
      <c r="H314" s="14"/>
      <c r="I314" s="14" t="s">
        <v>49</v>
      </c>
      <c r="J314" s="11" t="str">
        <f>HYPERLINK("https://www.codechef.com/problems/YJQPVI08", "https://www.codechef.com/problems/YJQPVI08")</f>
        <v>https://www.codechef.com/problems/YJQPVI08</v>
      </c>
      <c r="K314" s="14"/>
      <c r="L314" s="14"/>
      <c r="M314" s="14"/>
      <c r="N314" s="14" t="s">
        <v>50</v>
      </c>
      <c r="O314" s="14" t="s">
        <v>51</v>
      </c>
    </row>
    <row r="315" spans="1:15">
      <c r="A315" s="15" t="s">
        <v>15</v>
      </c>
      <c r="B315" s="15" t="s">
        <v>9662</v>
      </c>
      <c r="C315" s="15" t="s">
        <v>9663</v>
      </c>
      <c r="D315" s="15" t="s">
        <v>9245</v>
      </c>
      <c r="E315" s="15">
        <v>9</v>
      </c>
      <c r="F315" s="15" t="s">
        <v>9680</v>
      </c>
      <c r="G315" s="15" t="s">
        <v>9681</v>
      </c>
      <c r="H315" s="15"/>
      <c r="I315" s="15" t="s">
        <v>49</v>
      </c>
      <c r="J315" s="7" t="str">
        <f>HYPERLINK("https://www.codechef.com/problems/YJQPVI14", "https://www.codechef.com/problems/YJQPVI14")</f>
        <v>https://www.codechef.com/problems/YJQPVI14</v>
      </c>
      <c r="K315" s="15"/>
      <c r="L315" s="15"/>
      <c r="M315" s="15"/>
      <c r="N315" s="15" t="s">
        <v>50</v>
      </c>
      <c r="O315" s="15" t="s">
        <v>51</v>
      </c>
    </row>
    <row r="316" spans="1:15">
      <c r="A316" s="14" t="s">
        <v>15</v>
      </c>
      <c r="B316" s="14" t="s">
        <v>9662</v>
      </c>
      <c r="C316" s="14" t="s">
        <v>9663</v>
      </c>
      <c r="D316" s="14" t="s">
        <v>9245</v>
      </c>
      <c r="E316" s="14">
        <v>10</v>
      </c>
      <c r="F316" s="14" t="s">
        <v>9682</v>
      </c>
      <c r="G316" s="14" t="s">
        <v>9683</v>
      </c>
      <c r="H316" s="14"/>
      <c r="I316" s="14" t="s">
        <v>49</v>
      </c>
      <c r="J316" s="11" t="str">
        <f>HYPERLINK("https://www.codechef.com/problems/YJQPVI15", "https://www.codechef.com/problems/YJQPVI15")</f>
        <v>https://www.codechef.com/problems/YJQPVI15</v>
      </c>
      <c r="K316" s="14"/>
      <c r="L316" s="14"/>
      <c r="M316" s="14"/>
      <c r="N316" s="14" t="s">
        <v>50</v>
      </c>
      <c r="O316" s="14" t="s">
        <v>51</v>
      </c>
    </row>
    <row r="317" spans="1:15">
      <c r="A317" s="15" t="s">
        <v>15</v>
      </c>
      <c r="B317" s="15" t="s">
        <v>9662</v>
      </c>
      <c r="C317" s="15" t="s">
        <v>9663</v>
      </c>
      <c r="D317" s="15" t="s">
        <v>9245</v>
      </c>
      <c r="E317" s="15">
        <v>11</v>
      </c>
      <c r="F317" s="15" t="s">
        <v>9684</v>
      </c>
      <c r="G317" s="15" t="s">
        <v>9685</v>
      </c>
      <c r="H317" s="15"/>
      <c r="I317" s="15" t="s">
        <v>49</v>
      </c>
      <c r="J317" s="7" t="str">
        <f>HYPERLINK("https://www.codechef.com/problems/YJQPVI16", "https://www.codechef.com/problems/YJQPVI16")</f>
        <v>https://www.codechef.com/problems/YJQPVI16</v>
      </c>
      <c r="K317" s="15"/>
      <c r="L317" s="15"/>
      <c r="M317" s="15"/>
      <c r="N317" s="15" t="s">
        <v>50</v>
      </c>
      <c r="O317" s="15" t="s">
        <v>51</v>
      </c>
    </row>
    <row r="318" spans="1:15">
      <c r="A318" s="14" t="s">
        <v>15</v>
      </c>
      <c r="B318" s="14" t="s">
        <v>9662</v>
      </c>
      <c r="C318" s="14" t="s">
        <v>9663</v>
      </c>
      <c r="D318" s="14" t="s">
        <v>9245</v>
      </c>
      <c r="E318" s="14">
        <v>12</v>
      </c>
      <c r="F318" s="14" t="s">
        <v>9686</v>
      </c>
      <c r="G318" s="14" t="s">
        <v>9687</v>
      </c>
      <c r="H318" s="14"/>
      <c r="I318" s="14" t="s">
        <v>49</v>
      </c>
      <c r="J318" s="11" t="str">
        <f>HYPERLINK("https://www.codechef.com/problems/YJQPVI17", "https://www.codechef.com/problems/YJQPVI17")</f>
        <v>https://www.codechef.com/problems/YJQPVI17</v>
      </c>
      <c r="K318" s="14"/>
      <c r="L318" s="14"/>
      <c r="M318" s="14"/>
      <c r="N318" s="14" t="s">
        <v>50</v>
      </c>
      <c r="O318" s="14" t="s">
        <v>51</v>
      </c>
    </row>
    <row r="319" spans="1:15">
      <c r="A319" s="15" t="s">
        <v>15</v>
      </c>
      <c r="B319" s="15" t="s">
        <v>9662</v>
      </c>
      <c r="C319" s="15" t="s">
        <v>9663</v>
      </c>
      <c r="D319" s="15" t="s">
        <v>9245</v>
      </c>
      <c r="E319" s="15">
        <v>13</v>
      </c>
      <c r="F319" s="15" t="s">
        <v>9688</v>
      </c>
      <c r="G319" s="15" t="s">
        <v>9689</v>
      </c>
      <c r="H319" s="15"/>
      <c r="I319" s="15" t="s">
        <v>49</v>
      </c>
      <c r="J319" s="7" t="str">
        <f>HYPERLINK("https://www.codechef.com/problems/YJQPVI18", "https://www.codechef.com/problems/YJQPVI18")</f>
        <v>https://www.codechef.com/problems/YJQPVI18</v>
      </c>
      <c r="K319" s="15"/>
      <c r="L319" s="15"/>
      <c r="M319" s="15"/>
      <c r="N319" s="15" t="s">
        <v>50</v>
      </c>
      <c r="O319" s="15" t="s">
        <v>51</v>
      </c>
    </row>
    <row r="320" spans="1:15">
      <c r="A320" s="14" t="s">
        <v>15</v>
      </c>
      <c r="B320" s="14" t="s">
        <v>9662</v>
      </c>
      <c r="C320" s="14" t="s">
        <v>9663</v>
      </c>
      <c r="D320" s="14" t="s">
        <v>9245</v>
      </c>
      <c r="E320" s="14">
        <v>14</v>
      </c>
      <c r="F320" s="14" t="s">
        <v>9690</v>
      </c>
      <c r="G320" s="14" t="s">
        <v>9691</v>
      </c>
      <c r="H320" s="14"/>
      <c r="I320" s="14" t="s">
        <v>49</v>
      </c>
      <c r="J320" s="11" t="str">
        <f>HYPERLINK("https://www.codechef.com/problems/YJQPVI19", "https://www.codechef.com/problems/YJQPVI19")</f>
        <v>https://www.codechef.com/problems/YJQPVI19</v>
      </c>
      <c r="K320" s="14"/>
      <c r="L320" s="14"/>
      <c r="M320" s="14"/>
      <c r="N320" s="14" t="s">
        <v>50</v>
      </c>
      <c r="O320" s="14" t="s">
        <v>51</v>
      </c>
    </row>
    <row r="321" spans="1:15">
      <c r="A321" s="15" t="s">
        <v>15</v>
      </c>
      <c r="B321" s="15" t="s">
        <v>9662</v>
      </c>
      <c r="C321" s="15" t="s">
        <v>9663</v>
      </c>
      <c r="D321" s="15" t="s">
        <v>9245</v>
      </c>
      <c r="E321" s="15">
        <v>15</v>
      </c>
      <c r="F321" s="15" t="s">
        <v>9692</v>
      </c>
      <c r="G321" s="15" t="s">
        <v>9693</v>
      </c>
      <c r="H321" s="15"/>
      <c r="I321" s="15" t="s">
        <v>96</v>
      </c>
      <c r="J321" s="7" t="str">
        <f>HYPERLINK("https://www.codechef.com/problems/YJQPVI09", "https://www.codechef.com/problems/YJQPVI09")</f>
        <v>https://www.codechef.com/problems/YJQPVI09</v>
      </c>
      <c r="K321" s="15"/>
      <c r="L321" s="15"/>
      <c r="M321" s="15"/>
      <c r="N321" s="15" t="s">
        <v>50</v>
      </c>
      <c r="O321" s="15" t="s">
        <v>51</v>
      </c>
    </row>
    <row r="322" spans="1:15">
      <c r="A322" s="14" t="s">
        <v>15</v>
      </c>
      <c r="B322" s="14" t="s">
        <v>9662</v>
      </c>
      <c r="C322" s="14" t="s">
        <v>9663</v>
      </c>
      <c r="D322" s="14" t="s">
        <v>9245</v>
      </c>
      <c r="E322" s="14">
        <v>16</v>
      </c>
      <c r="F322" s="14" t="s">
        <v>9694</v>
      </c>
      <c r="G322" s="14" t="s">
        <v>9695</v>
      </c>
      <c r="H322" s="14"/>
      <c r="I322" s="14" t="s">
        <v>96</v>
      </c>
      <c r="J322" s="11" t="str">
        <f>HYPERLINK("https://www.codechef.com/problems/YJQPVI10", "https://www.codechef.com/problems/YJQPVI10")</f>
        <v>https://www.codechef.com/problems/YJQPVI10</v>
      </c>
      <c r="K322" s="14"/>
      <c r="L322" s="14"/>
      <c r="M322" s="14"/>
      <c r="N322" s="14" t="s">
        <v>50</v>
      </c>
      <c r="O322" s="14" t="s">
        <v>51</v>
      </c>
    </row>
    <row r="323" spans="1:15">
      <c r="A323" s="15" t="s">
        <v>15</v>
      </c>
      <c r="B323" s="15" t="s">
        <v>9662</v>
      </c>
      <c r="C323" s="15" t="s">
        <v>9663</v>
      </c>
      <c r="D323" s="15" t="s">
        <v>9245</v>
      </c>
      <c r="E323" s="15">
        <v>17</v>
      </c>
      <c r="F323" s="15" t="s">
        <v>9696</v>
      </c>
      <c r="G323" s="15" t="s">
        <v>9697</v>
      </c>
      <c r="H323" s="15"/>
      <c r="I323" s="15" t="s">
        <v>96</v>
      </c>
      <c r="J323" s="7" t="str">
        <f>HYPERLINK("https://www.codechef.com/problems/YJQPVI11", "https://www.codechef.com/problems/YJQPVI11")</f>
        <v>https://www.codechef.com/problems/YJQPVI11</v>
      </c>
      <c r="K323" s="15"/>
      <c r="L323" s="15"/>
      <c r="M323" s="15"/>
      <c r="N323" s="15" t="s">
        <v>50</v>
      </c>
      <c r="O323" s="15" t="s">
        <v>51</v>
      </c>
    </row>
    <row r="324" spans="1:15">
      <c r="A324" s="14" t="s">
        <v>15</v>
      </c>
      <c r="B324" s="14" t="s">
        <v>9662</v>
      </c>
      <c r="C324" s="14" t="s">
        <v>9663</v>
      </c>
      <c r="D324" s="14" t="s">
        <v>9245</v>
      </c>
      <c r="E324" s="14">
        <v>18</v>
      </c>
      <c r="F324" s="14" t="s">
        <v>9698</v>
      </c>
      <c r="G324" s="14" t="s">
        <v>9699</v>
      </c>
      <c r="H324" s="14"/>
      <c r="I324" s="14" t="s">
        <v>49</v>
      </c>
      <c r="J324" s="11" t="str">
        <f>HYPERLINK("https://www.codechef.com/problems/YJQPVI12", "https://www.codechef.com/problems/YJQPVI12")</f>
        <v>https://www.codechef.com/problems/YJQPVI12</v>
      </c>
      <c r="K324" s="14"/>
      <c r="L324" s="14"/>
      <c r="M324" s="14"/>
      <c r="N324" s="14" t="s">
        <v>50</v>
      </c>
      <c r="O324" s="14" t="s">
        <v>51</v>
      </c>
    </row>
    <row r="325" spans="1:15">
      <c r="A325" s="15" t="s">
        <v>15</v>
      </c>
      <c r="B325" s="15" t="s">
        <v>9662</v>
      </c>
      <c r="C325" s="15" t="s">
        <v>9663</v>
      </c>
      <c r="D325" s="15" t="s">
        <v>9245</v>
      </c>
      <c r="E325" s="15">
        <v>19</v>
      </c>
      <c r="F325" s="15" t="s">
        <v>9700</v>
      </c>
      <c r="G325" s="15" t="s">
        <v>9701</v>
      </c>
      <c r="H325" s="15"/>
      <c r="I325" s="15" t="s">
        <v>96</v>
      </c>
      <c r="J325" s="7" t="str">
        <f>HYPERLINK("https://www.codechef.com/problems/YJQPVI13", "https://www.codechef.com/problems/YJQPVI13")</f>
        <v>https://www.codechef.com/problems/YJQPVI13</v>
      </c>
      <c r="K325" s="15"/>
      <c r="L325" s="15"/>
      <c r="M325" s="15"/>
      <c r="N325" s="15" t="s">
        <v>50</v>
      </c>
      <c r="O325" s="15" t="s">
        <v>51</v>
      </c>
    </row>
    <row r="326" spans="1:15">
      <c r="A326" s="14" t="s">
        <v>15</v>
      </c>
      <c r="B326" s="14" t="s">
        <v>9662</v>
      </c>
      <c r="C326" s="14" t="s">
        <v>9663</v>
      </c>
      <c r="D326" s="14" t="s">
        <v>9245</v>
      </c>
      <c r="E326" s="14">
        <v>20</v>
      </c>
      <c r="F326" s="14" t="s">
        <v>9702</v>
      </c>
      <c r="G326" s="14" t="s">
        <v>9703</v>
      </c>
      <c r="H326" s="14"/>
      <c r="I326" s="14" t="s">
        <v>96</v>
      </c>
      <c r="J326" s="11" t="str">
        <f>HYPERLINK("https://www.codechef.com/problems/YJQPVI20", "https://www.codechef.com/problems/YJQPVI20")</f>
        <v>https://www.codechef.com/problems/YJQPVI20</v>
      </c>
      <c r="K326" s="14"/>
      <c r="L326" s="14"/>
      <c r="M326" s="14"/>
      <c r="N326" s="14" t="s">
        <v>50</v>
      </c>
      <c r="O326" s="14" t="s">
        <v>51</v>
      </c>
    </row>
    <row r="327" spans="1:15">
      <c r="A327" s="15" t="s">
        <v>15</v>
      </c>
      <c r="B327" s="15" t="s">
        <v>9662</v>
      </c>
      <c r="C327" s="15" t="s">
        <v>9663</v>
      </c>
      <c r="D327" s="15" t="s">
        <v>9245</v>
      </c>
      <c r="E327" s="15">
        <v>21</v>
      </c>
      <c r="F327" s="15" t="s">
        <v>336</v>
      </c>
      <c r="G327" s="15" t="s">
        <v>9704</v>
      </c>
      <c r="H327" s="15"/>
      <c r="I327" s="15" t="s">
        <v>96</v>
      </c>
      <c r="J327" s="7" t="str">
        <f>HYPERLINK("https://www.codechef.com/problems/YJQPVI21", "https://www.codechef.com/problems/YJQPVI21")</f>
        <v>https://www.codechef.com/problems/YJQPVI21</v>
      </c>
      <c r="K327" s="15"/>
      <c r="L327" s="15"/>
      <c r="M327" s="15"/>
      <c r="N327" s="15" t="s">
        <v>50</v>
      </c>
      <c r="O327" s="15" t="s">
        <v>51</v>
      </c>
    </row>
    <row r="328" spans="1:15">
      <c r="A328" s="14" t="s">
        <v>15</v>
      </c>
      <c r="B328" s="14" t="s">
        <v>9662</v>
      </c>
      <c r="C328" s="14" t="s">
        <v>9663</v>
      </c>
      <c r="D328" s="14" t="s">
        <v>9245</v>
      </c>
      <c r="E328" s="14">
        <v>22</v>
      </c>
      <c r="F328" s="14" t="s">
        <v>9705</v>
      </c>
      <c r="G328" s="14" t="s">
        <v>9706</v>
      </c>
      <c r="H328" s="14"/>
      <c r="I328" s="14" t="s">
        <v>322</v>
      </c>
      <c r="J328" s="11" t="str">
        <f>HYPERLINK("https://www.codechef.com/problems/YJQPVI22", "https://www.codechef.com/problems/YJQPVI22")</f>
        <v>https://www.codechef.com/problems/YJQPVI22</v>
      </c>
      <c r="K328" s="14"/>
      <c r="L328" s="14"/>
      <c r="M328" s="14"/>
      <c r="N328" s="14" t="s">
        <v>50</v>
      </c>
      <c r="O328" s="14" t="s">
        <v>51</v>
      </c>
    </row>
    <row r="329" spans="1:15">
      <c r="A329" s="15" t="s">
        <v>15</v>
      </c>
      <c r="B329" s="15" t="s">
        <v>9662</v>
      </c>
      <c r="C329" s="15" t="s">
        <v>9663</v>
      </c>
      <c r="D329" s="15" t="s">
        <v>9245</v>
      </c>
      <c r="E329" s="15">
        <v>23</v>
      </c>
      <c r="F329" s="15" t="s">
        <v>9707</v>
      </c>
      <c r="G329" s="15" t="s">
        <v>9708</v>
      </c>
      <c r="H329" s="15"/>
      <c r="I329" s="15" t="s">
        <v>322</v>
      </c>
      <c r="J329" s="7" t="str">
        <f>HYPERLINK("https://www.codechef.com/problems/YJQPVI23", "https://www.codechef.com/problems/YJQPVI23")</f>
        <v>https://www.codechef.com/problems/YJQPVI23</v>
      </c>
      <c r="K329" s="15"/>
      <c r="L329" s="15"/>
      <c r="M329" s="15"/>
      <c r="N329" s="15" t="s">
        <v>50</v>
      </c>
      <c r="O329" s="15" t="s">
        <v>51</v>
      </c>
    </row>
    <row r="330" spans="1:15">
      <c r="A330" s="14" t="s">
        <v>15</v>
      </c>
      <c r="B330" s="14" t="s">
        <v>9662</v>
      </c>
      <c r="C330" s="14" t="s">
        <v>9663</v>
      </c>
      <c r="D330" s="14" t="s">
        <v>9245</v>
      </c>
      <c r="E330" s="14">
        <v>24</v>
      </c>
      <c r="F330" s="14" t="s">
        <v>9709</v>
      </c>
      <c r="G330" s="14" t="s">
        <v>9710</v>
      </c>
      <c r="H330" s="14"/>
      <c r="I330" s="14" t="s">
        <v>96</v>
      </c>
      <c r="J330" s="11" t="str">
        <f>HYPERLINK("https://www.codechef.com/problems/YJQPVI24", "https://www.codechef.com/problems/YJQPVI24")</f>
        <v>https://www.codechef.com/problems/YJQPVI24</v>
      </c>
      <c r="K330" s="14"/>
      <c r="L330" s="14"/>
      <c r="M330" s="14"/>
      <c r="N330" s="14" t="s">
        <v>50</v>
      </c>
      <c r="O330" s="14" t="s">
        <v>51</v>
      </c>
    </row>
    <row r="331" spans="1:15">
      <c r="A331" s="15" t="s">
        <v>15</v>
      </c>
      <c r="B331" s="15" t="s">
        <v>9662</v>
      </c>
      <c r="C331" s="15" t="s">
        <v>9663</v>
      </c>
      <c r="D331" s="15" t="s">
        <v>9245</v>
      </c>
      <c r="E331" s="15">
        <v>25</v>
      </c>
      <c r="F331" s="15" t="s">
        <v>9711</v>
      </c>
      <c r="G331" s="15" t="s">
        <v>9712</v>
      </c>
      <c r="H331" s="15"/>
      <c r="I331" s="15" t="s">
        <v>322</v>
      </c>
      <c r="J331" s="7" t="str">
        <f>HYPERLINK("https://www.codechef.com/problems/YJQPVI25", "https://www.codechef.com/problems/YJQPVI25")</f>
        <v>https://www.codechef.com/problems/YJQPVI25</v>
      </c>
      <c r="K331" s="15"/>
      <c r="L331" s="15"/>
      <c r="M331" s="15"/>
      <c r="N331" s="15" t="s">
        <v>50</v>
      </c>
      <c r="O331" s="15" t="s">
        <v>51</v>
      </c>
    </row>
    <row r="332" spans="1:15">
      <c r="A332" s="14" t="s">
        <v>15</v>
      </c>
      <c r="B332" s="14" t="s">
        <v>9662</v>
      </c>
      <c r="C332" s="14" t="s">
        <v>9663</v>
      </c>
      <c r="D332" s="14" t="s">
        <v>9245</v>
      </c>
      <c r="E332" s="14">
        <v>26</v>
      </c>
      <c r="F332" s="14" t="s">
        <v>9713</v>
      </c>
      <c r="G332" s="14" t="s">
        <v>9714</v>
      </c>
      <c r="H332" s="14"/>
      <c r="I332" s="14" t="s">
        <v>322</v>
      </c>
      <c r="J332" s="11" t="str">
        <f>HYPERLINK("https://www.codechef.com/problems/YJQPVI26", "https://www.codechef.com/problems/YJQPVI26")</f>
        <v>https://www.codechef.com/problems/YJQPVI26</v>
      </c>
      <c r="K332" s="14"/>
      <c r="L332" s="14"/>
      <c r="M332" s="14"/>
      <c r="N332" s="14" t="s">
        <v>50</v>
      </c>
      <c r="O332" s="14" t="s">
        <v>51</v>
      </c>
    </row>
    <row r="333" spans="1:15">
      <c r="A333" s="15" t="s">
        <v>15</v>
      </c>
      <c r="B333" s="15" t="s">
        <v>9662</v>
      </c>
      <c r="C333" s="15" t="s">
        <v>9663</v>
      </c>
      <c r="D333" s="15" t="s">
        <v>9265</v>
      </c>
      <c r="E333" s="15">
        <v>27</v>
      </c>
      <c r="F333" s="15" t="s">
        <v>9715</v>
      </c>
      <c r="G333" s="15" t="s">
        <v>9716</v>
      </c>
      <c r="H333" s="15"/>
      <c r="I333" s="15" t="s">
        <v>49</v>
      </c>
      <c r="J333" s="7" t="str">
        <f>HYPERLINK("https://www.codechef.com/problems/LKCCTY01", "https://www.codechef.com/problems/LKCCTY01")</f>
        <v>https://www.codechef.com/problems/LKCCTY01</v>
      </c>
      <c r="K333" s="15"/>
      <c r="L333" s="15"/>
      <c r="M333" s="15"/>
      <c r="N333" s="15" t="s">
        <v>50</v>
      </c>
      <c r="O333" s="15" t="s">
        <v>51</v>
      </c>
    </row>
    <row r="334" spans="1:15">
      <c r="A334" s="14" t="s">
        <v>15</v>
      </c>
      <c r="B334" s="14" t="s">
        <v>9662</v>
      </c>
      <c r="C334" s="14" t="s">
        <v>9663</v>
      </c>
      <c r="D334" s="14" t="s">
        <v>9265</v>
      </c>
      <c r="E334" s="14">
        <v>28</v>
      </c>
      <c r="F334" s="14" t="s">
        <v>9717</v>
      </c>
      <c r="G334" s="14" t="s">
        <v>9718</v>
      </c>
      <c r="H334" s="14"/>
      <c r="I334" s="14" t="s">
        <v>96</v>
      </c>
      <c r="J334" s="11" t="str">
        <f>HYPERLINK("https://www.codechef.com/problems/LKCCTY02", "https://www.codechef.com/problems/LKCCTY02")</f>
        <v>https://www.codechef.com/problems/LKCCTY02</v>
      </c>
      <c r="K334" s="14"/>
      <c r="L334" s="14"/>
      <c r="M334" s="14"/>
      <c r="N334" s="14" t="s">
        <v>50</v>
      </c>
      <c r="O334" s="14" t="s">
        <v>51</v>
      </c>
    </row>
    <row r="335" spans="1:15">
      <c r="A335" s="15" t="s">
        <v>15</v>
      </c>
      <c r="B335" s="15" t="s">
        <v>9662</v>
      </c>
      <c r="C335" s="15" t="s">
        <v>9663</v>
      </c>
      <c r="D335" s="15" t="s">
        <v>9265</v>
      </c>
      <c r="E335" s="15">
        <v>29</v>
      </c>
      <c r="F335" s="15" t="s">
        <v>9719</v>
      </c>
      <c r="G335" s="15" t="s">
        <v>9720</v>
      </c>
      <c r="H335" s="15"/>
      <c r="I335" s="15" t="s">
        <v>49</v>
      </c>
      <c r="J335" s="7" t="str">
        <f>HYPERLINK("https://www.codechef.com/problems/LKCCTY03", "https://www.codechef.com/problems/LKCCTY03")</f>
        <v>https://www.codechef.com/problems/LKCCTY03</v>
      </c>
      <c r="K335" s="15"/>
      <c r="L335" s="15"/>
      <c r="M335" s="15"/>
      <c r="N335" s="15" t="s">
        <v>50</v>
      </c>
      <c r="O335" s="15" t="s">
        <v>51</v>
      </c>
    </row>
    <row r="336" spans="1:15">
      <c r="A336" s="14" t="s">
        <v>15</v>
      </c>
      <c r="B336" s="14" t="s">
        <v>9662</v>
      </c>
      <c r="C336" s="14" t="s">
        <v>9663</v>
      </c>
      <c r="D336" s="14" t="s">
        <v>9265</v>
      </c>
      <c r="E336" s="14">
        <v>30</v>
      </c>
      <c r="F336" s="14" t="s">
        <v>9721</v>
      </c>
      <c r="G336" s="14" t="s">
        <v>9722</v>
      </c>
      <c r="H336" s="14"/>
      <c r="I336" s="14" t="s">
        <v>49</v>
      </c>
      <c r="J336" s="11" t="str">
        <f>HYPERLINK("https://www.codechef.com/problems/LKCCTY04", "https://www.codechef.com/problems/LKCCTY04")</f>
        <v>https://www.codechef.com/problems/LKCCTY04</v>
      </c>
      <c r="K336" s="14"/>
      <c r="L336" s="14"/>
      <c r="M336" s="14"/>
      <c r="N336" s="14" t="s">
        <v>50</v>
      </c>
      <c r="O336" s="14" t="s">
        <v>51</v>
      </c>
    </row>
    <row r="337" spans="1:15">
      <c r="A337" s="15" t="s">
        <v>15</v>
      </c>
      <c r="B337" s="15" t="s">
        <v>9662</v>
      </c>
      <c r="C337" s="15" t="s">
        <v>9663</v>
      </c>
      <c r="D337" s="15" t="s">
        <v>9265</v>
      </c>
      <c r="E337" s="15">
        <v>31</v>
      </c>
      <c r="F337" s="15" t="s">
        <v>9723</v>
      </c>
      <c r="G337" s="15" t="s">
        <v>9724</v>
      </c>
      <c r="H337" s="15"/>
      <c r="I337" s="15" t="s">
        <v>49</v>
      </c>
      <c r="J337" s="7" t="str">
        <f>HYPERLINK("https://www.codechef.com/problems/LKCCTY05", "https://www.codechef.com/problems/LKCCTY05")</f>
        <v>https://www.codechef.com/problems/LKCCTY05</v>
      </c>
      <c r="K337" s="15"/>
      <c r="L337" s="15"/>
      <c r="M337" s="15"/>
      <c r="N337" s="15" t="s">
        <v>50</v>
      </c>
      <c r="O337" s="15" t="s">
        <v>51</v>
      </c>
    </row>
    <row r="338" spans="1:15">
      <c r="A338" s="14" t="s">
        <v>15</v>
      </c>
      <c r="B338" s="14" t="s">
        <v>9662</v>
      </c>
      <c r="C338" s="14" t="s">
        <v>9663</v>
      </c>
      <c r="D338" s="14" t="s">
        <v>9265</v>
      </c>
      <c r="E338" s="14">
        <v>32</v>
      </c>
      <c r="F338" s="14" t="s">
        <v>9725</v>
      </c>
      <c r="G338" s="14" t="s">
        <v>9726</v>
      </c>
      <c r="H338" s="14"/>
      <c r="I338" s="14" t="s">
        <v>49</v>
      </c>
      <c r="J338" s="11" t="str">
        <f>HYPERLINK("https://www.codechef.com/problems/LKCCTY06", "https://www.codechef.com/problems/LKCCTY06")</f>
        <v>https://www.codechef.com/problems/LKCCTY06</v>
      </c>
      <c r="K338" s="14"/>
      <c r="L338" s="14"/>
      <c r="M338" s="14"/>
      <c r="N338" s="14" t="s">
        <v>50</v>
      </c>
      <c r="O338" s="14" t="s">
        <v>51</v>
      </c>
    </row>
    <row r="339" spans="1:15">
      <c r="A339" s="15" t="s">
        <v>15</v>
      </c>
      <c r="B339" s="15" t="s">
        <v>9662</v>
      </c>
      <c r="C339" s="15" t="s">
        <v>9663</v>
      </c>
      <c r="D339" s="15" t="s">
        <v>9265</v>
      </c>
      <c r="E339" s="15">
        <v>33</v>
      </c>
      <c r="F339" s="15" t="s">
        <v>9727</v>
      </c>
      <c r="G339" s="15" t="s">
        <v>9728</v>
      </c>
      <c r="H339" s="15"/>
      <c r="I339" s="15" t="s">
        <v>49</v>
      </c>
      <c r="J339" s="7" t="str">
        <f>HYPERLINK("https://www.codechef.com/problems/LKCCTY07", "https://www.codechef.com/problems/LKCCTY07")</f>
        <v>https://www.codechef.com/problems/LKCCTY07</v>
      </c>
      <c r="K339" s="15"/>
      <c r="L339" s="15"/>
      <c r="M339" s="15"/>
      <c r="N339" s="15" t="s">
        <v>50</v>
      </c>
      <c r="O339" s="15" t="s">
        <v>51</v>
      </c>
    </row>
    <row r="340" spans="1:15">
      <c r="A340" s="14" t="s">
        <v>15</v>
      </c>
      <c r="B340" s="14" t="s">
        <v>9662</v>
      </c>
      <c r="C340" s="14" t="s">
        <v>9663</v>
      </c>
      <c r="D340" s="14" t="s">
        <v>9265</v>
      </c>
      <c r="E340" s="14">
        <v>34</v>
      </c>
      <c r="F340" s="14" t="s">
        <v>9729</v>
      </c>
      <c r="G340" s="14" t="s">
        <v>9730</v>
      </c>
      <c r="H340" s="14"/>
      <c r="I340" s="14" t="s">
        <v>49</v>
      </c>
      <c r="J340" s="11" t="str">
        <f>HYPERLINK("https://www.codechef.com/problems/LKCCTY08", "https://www.codechef.com/problems/LKCCTY08")</f>
        <v>https://www.codechef.com/problems/LKCCTY08</v>
      </c>
      <c r="K340" s="14"/>
      <c r="L340" s="14"/>
      <c r="M340" s="14"/>
      <c r="N340" s="14" t="s">
        <v>50</v>
      </c>
      <c r="O340" s="14" t="s">
        <v>51</v>
      </c>
    </row>
    <row r="341" spans="1:15">
      <c r="A341" s="15" t="s">
        <v>15</v>
      </c>
      <c r="B341" s="15" t="s">
        <v>9662</v>
      </c>
      <c r="C341" s="15" t="s">
        <v>9663</v>
      </c>
      <c r="D341" s="15" t="s">
        <v>9265</v>
      </c>
      <c r="E341" s="15">
        <v>35</v>
      </c>
      <c r="F341" s="15" t="s">
        <v>9731</v>
      </c>
      <c r="G341" s="15" t="s">
        <v>9732</v>
      </c>
      <c r="H341" s="15"/>
      <c r="I341" s="15" t="s">
        <v>96</v>
      </c>
      <c r="J341" s="7" t="str">
        <f>HYPERLINK("https://www.codechef.com/problems/LKCCTY09", "https://www.codechef.com/problems/LKCCTY09")</f>
        <v>https://www.codechef.com/problems/LKCCTY09</v>
      </c>
      <c r="K341" s="15"/>
      <c r="L341" s="15"/>
      <c r="M341" s="15"/>
      <c r="N341" s="15" t="s">
        <v>50</v>
      </c>
      <c r="O341" s="15" t="s">
        <v>51</v>
      </c>
    </row>
    <row r="342" spans="1:15">
      <c r="A342" s="14" t="s">
        <v>15</v>
      </c>
      <c r="B342" s="14" t="s">
        <v>9662</v>
      </c>
      <c r="C342" s="14" t="s">
        <v>9663</v>
      </c>
      <c r="D342" s="14" t="s">
        <v>9265</v>
      </c>
      <c r="E342" s="14">
        <v>36</v>
      </c>
      <c r="F342" s="14" t="s">
        <v>9733</v>
      </c>
      <c r="G342" s="14" t="s">
        <v>9734</v>
      </c>
      <c r="H342" s="14"/>
      <c r="I342" s="14" t="s">
        <v>96</v>
      </c>
      <c r="J342" s="11" t="str">
        <f>HYPERLINK("https://www.codechef.com/problems/LKCCTY10", "https://www.codechef.com/problems/LKCCTY10")</f>
        <v>https://www.codechef.com/problems/LKCCTY10</v>
      </c>
      <c r="K342" s="14"/>
      <c r="L342" s="14"/>
      <c r="M342" s="14"/>
      <c r="N342" s="14" t="s">
        <v>50</v>
      </c>
      <c r="O342" s="14" t="s">
        <v>51</v>
      </c>
    </row>
    <row r="343" spans="1:15">
      <c r="A343" s="15" t="s">
        <v>15</v>
      </c>
      <c r="B343" s="15" t="s">
        <v>9662</v>
      </c>
      <c r="C343" s="15" t="s">
        <v>9663</v>
      </c>
      <c r="D343" s="15" t="s">
        <v>9265</v>
      </c>
      <c r="E343" s="15">
        <v>37</v>
      </c>
      <c r="F343" s="15" t="s">
        <v>9735</v>
      </c>
      <c r="G343" s="15" t="s">
        <v>9736</v>
      </c>
      <c r="H343" s="15"/>
      <c r="I343" s="15" t="s">
        <v>49</v>
      </c>
      <c r="J343" s="7" t="str">
        <f>HYPERLINK("https://www.codechef.com/problems/LKCCTY11", "https://www.codechef.com/problems/LKCCTY11")</f>
        <v>https://www.codechef.com/problems/LKCCTY11</v>
      </c>
      <c r="K343" s="15"/>
      <c r="L343" s="15"/>
      <c r="M343" s="15"/>
      <c r="N343" s="15" t="s">
        <v>50</v>
      </c>
      <c r="O343" s="15" t="s">
        <v>51</v>
      </c>
    </row>
    <row r="344" spans="1:15">
      <c r="A344" s="14" t="s">
        <v>15</v>
      </c>
      <c r="B344" s="14" t="s">
        <v>9662</v>
      </c>
      <c r="C344" s="14" t="s">
        <v>9663</v>
      </c>
      <c r="D344" s="14" t="s">
        <v>9265</v>
      </c>
      <c r="E344" s="14">
        <v>38</v>
      </c>
      <c r="F344" s="14" t="s">
        <v>9737</v>
      </c>
      <c r="G344" s="14" t="s">
        <v>9738</v>
      </c>
      <c r="H344" s="14"/>
      <c r="I344" s="14" t="s">
        <v>96</v>
      </c>
      <c r="J344" s="11" t="str">
        <f>HYPERLINK("https://www.codechef.com/problems/LKCCTY12", "https://www.codechef.com/problems/LKCCTY12")</f>
        <v>https://www.codechef.com/problems/LKCCTY12</v>
      </c>
      <c r="K344" s="14"/>
      <c r="L344" s="14"/>
      <c r="M344" s="14"/>
      <c r="N344" s="14" t="s">
        <v>50</v>
      </c>
      <c r="O344" s="14" t="s">
        <v>51</v>
      </c>
    </row>
    <row r="345" spans="1:15">
      <c r="A345" s="15" t="s">
        <v>15</v>
      </c>
      <c r="B345" s="15" t="s">
        <v>9662</v>
      </c>
      <c r="C345" s="15" t="s">
        <v>9663</v>
      </c>
      <c r="D345" s="15" t="s">
        <v>9265</v>
      </c>
      <c r="E345" s="15">
        <v>39</v>
      </c>
      <c r="F345" s="15" t="s">
        <v>9739</v>
      </c>
      <c r="G345" s="15" t="s">
        <v>9740</v>
      </c>
      <c r="H345" s="15"/>
      <c r="I345" s="15" t="s">
        <v>96</v>
      </c>
      <c r="J345" s="7" t="str">
        <f>HYPERLINK("https://www.codechef.com/problems/LKCCTY13", "https://www.codechef.com/problems/LKCCTY13")</f>
        <v>https://www.codechef.com/problems/LKCCTY13</v>
      </c>
      <c r="K345" s="15"/>
      <c r="L345" s="15"/>
      <c r="M345" s="15"/>
      <c r="N345" s="15" t="s">
        <v>50</v>
      </c>
      <c r="O345" s="15" t="s">
        <v>51</v>
      </c>
    </row>
    <row r="346" spans="1:15">
      <c r="A346" s="14" t="s">
        <v>15</v>
      </c>
      <c r="B346" s="14" t="s">
        <v>9662</v>
      </c>
      <c r="C346" s="14" t="s">
        <v>9663</v>
      </c>
      <c r="D346" s="14" t="s">
        <v>9265</v>
      </c>
      <c r="E346" s="14">
        <v>40</v>
      </c>
      <c r="F346" s="14" t="s">
        <v>9741</v>
      </c>
      <c r="G346" s="14" t="s">
        <v>9742</v>
      </c>
      <c r="H346" s="14"/>
      <c r="I346" s="14" t="s">
        <v>96</v>
      </c>
      <c r="J346" s="11" t="str">
        <f>HYPERLINK("https://www.codechef.com/problems/LKCCTY14", "https://www.codechef.com/problems/LKCCTY14")</f>
        <v>https://www.codechef.com/problems/LKCCTY14</v>
      </c>
      <c r="K346" s="14"/>
      <c r="L346" s="14"/>
      <c r="M346" s="14"/>
      <c r="N346" s="14" t="s">
        <v>50</v>
      </c>
      <c r="O346" s="14" t="s">
        <v>51</v>
      </c>
    </row>
    <row r="347" spans="1:15">
      <c r="A347" s="15" t="s">
        <v>15</v>
      </c>
      <c r="B347" s="15" t="s">
        <v>9662</v>
      </c>
      <c r="C347" s="15" t="s">
        <v>9663</v>
      </c>
      <c r="D347" s="15" t="s">
        <v>9286</v>
      </c>
      <c r="E347" s="15">
        <v>41</v>
      </c>
      <c r="F347" s="15" t="s">
        <v>9743</v>
      </c>
      <c r="G347" s="15" t="s">
        <v>9744</v>
      </c>
      <c r="H347" s="15"/>
      <c r="I347" s="15" t="s">
        <v>96</v>
      </c>
      <c r="J347" s="7" t="str">
        <f>HYPERLINK("https://www.codechef.com/problems/LKCCTY15", "https://www.codechef.com/problems/LKCCTY15")</f>
        <v>https://www.codechef.com/problems/LKCCTY15</v>
      </c>
      <c r="K347" s="15"/>
      <c r="L347" s="15"/>
      <c r="M347" s="15"/>
      <c r="N347" s="15" t="s">
        <v>50</v>
      </c>
      <c r="O347" s="15" t="s">
        <v>51</v>
      </c>
    </row>
    <row r="348" spans="1:15">
      <c r="A348" s="14" t="s">
        <v>15</v>
      </c>
      <c r="B348" s="14" t="s">
        <v>9662</v>
      </c>
      <c r="C348" s="14" t="s">
        <v>9663</v>
      </c>
      <c r="D348" s="14" t="s">
        <v>9286</v>
      </c>
      <c r="E348" s="14">
        <v>42</v>
      </c>
      <c r="F348" s="14" t="s">
        <v>9745</v>
      </c>
      <c r="G348" s="14" t="s">
        <v>9746</v>
      </c>
      <c r="H348" s="14"/>
      <c r="I348" s="14" t="s">
        <v>96</v>
      </c>
      <c r="J348" s="11" t="str">
        <f>HYPERLINK("https://www.codechef.com/problems/LKCCTY16", "https://www.codechef.com/problems/LKCCTY16")</f>
        <v>https://www.codechef.com/problems/LKCCTY16</v>
      </c>
      <c r="K348" s="14"/>
      <c r="L348" s="14"/>
      <c r="M348" s="14"/>
      <c r="N348" s="14" t="s">
        <v>50</v>
      </c>
      <c r="O348" s="14" t="s">
        <v>51</v>
      </c>
    </row>
    <row r="349" spans="1:15">
      <c r="A349" s="15" t="s">
        <v>15</v>
      </c>
      <c r="B349" s="15" t="s">
        <v>9662</v>
      </c>
      <c r="C349" s="15" t="s">
        <v>9663</v>
      </c>
      <c r="D349" s="15" t="s">
        <v>9286</v>
      </c>
      <c r="E349" s="15">
        <v>43</v>
      </c>
      <c r="F349" s="15" t="s">
        <v>6116</v>
      </c>
      <c r="G349" s="15" t="s">
        <v>9747</v>
      </c>
      <c r="H349" s="15"/>
      <c r="I349" s="15" t="s">
        <v>96</v>
      </c>
      <c r="J349" s="7" t="str">
        <f>HYPERLINK("https://www.codechef.com/problems/LKCCTY17", "https://www.codechef.com/problems/LKCCTY17")</f>
        <v>https://www.codechef.com/problems/LKCCTY17</v>
      </c>
      <c r="K349" s="15"/>
      <c r="L349" s="15"/>
      <c r="M349" s="15"/>
      <c r="N349" s="15" t="s">
        <v>50</v>
      </c>
      <c r="O349" s="15" t="s">
        <v>51</v>
      </c>
    </row>
    <row r="350" spans="1:15">
      <c r="A350" s="14" t="s">
        <v>15</v>
      </c>
      <c r="B350" s="14" t="s">
        <v>9662</v>
      </c>
      <c r="C350" s="14" t="s">
        <v>9663</v>
      </c>
      <c r="D350" s="14" t="s">
        <v>9286</v>
      </c>
      <c r="E350" s="14">
        <v>44</v>
      </c>
      <c r="F350" s="14" t="s">
        <v>9748</v>
      </c>
      <c r="G350" s="14" t="s">
        <v>9749</v>
      </c>
      <c r="H350" s="14"/>
      <c r="I350" s="14" t="s">
        <v>96</v>
      </c>
      <c r="J350" s="11" t="str">
        <f>HYPERLINK("https://www.codechef.com/problems/LKCCTY18", "https://www.codechef.com/problems/LKCCTY18")</f>
        <v>https://www.codechef.com/problems/LKCCTY18</v>
      </c>
      <c r="K350" s="14"/>
      <c r="L350" s="14"/>
      <c r="M350" s="14"/>
      <c r="N350" s="14" t="s">
        <v>50</v>
      </c>
      <c r="O350" s="14" t="s">
        <v>51</v>
      </c>
    </row>
    <row r="351" spans="1:15">
      <c r="A351" s="15" t="s">
        <v>15</v>
      </c>
      <c r="B351" s="15" t="s">
        <v>9662</v>
      </c>
      <c r="C351" s="15" t="s">
        <v>9663</v>
      </c>
      <c r="D351" s="15" t="s">
        <v>9286</v>
      </c>
      <c r="E351" s="15">
        <v>45</v>
      </c>
      <c r="F351" s="15" t="s">
        <v>9750</v>
      </c>
      <c r="G351" s="15" t="s">
        <v>9751</v>
      </c>
      <c r="H351" s="15"/>
      <c r="I351" s="15" t="s">
        <v>96</v>
      </c>
      <c r="J351" s="7" t="str">
        <f>HYPERLINK("https://www.codechef.com/problems/LKCCTY19", "https://www.codechef.com/problems/LKCCTY19")</f>
        <v>https://www.codechef.com/problems/LKCCTY19</v>
      </c>
      <c r="K351" s="15"/>
      <c r="L351" s="15"/>
      <c r="M351" s="15"/>
      <c r="N351" s="15" t="s">
        <v>50</v>
      </c>
      <c r="O351" s="15" t="s">
        <v>51</v>
      </c>
    </row>
    <row r="352" spans="1:15">
      <c r="A352" s="14" t="s">
        <v>15</v>
      </c>
      <c r="B352" s="14" t="s">
        <v>9662</v>
      </c>
      <c r="C352" s="14" t="s">
        <v>9663</v>
      </c>
      <c r="D352" s="14" t="s">
        <v>9286</v>
      </c>
      <c r="E352" s="14">
        <v>46</v>
      </c>
      <c r="F352" s="14" t="s">
        <v>9752</v>
      </c>
      <c r="G352" s="14" t="s">
        <v>9753</v>
      </c>
      <c r="H352" s="14"/>
      <c r="I352" s="14" t="s">
        <v>49</v>
      </c>
      <c r="J352" s="11" t="str">
        <f>HYPERLINK("https://www.codechef.com/problems/LKCCTY20", "https://www.codechef.com/problems/LKCCTY20")</f>
        <v>https://www.codechef.com/problems/LKCCTY20</v>
      </c>
      <c r="K352" s="14"/>
      <c r="L352" s="14"/>
      <c r="M352" s="14"/>
      <c r="N352" s="14" t="s">
        <v>50</v>
      </c>
      <c r="O352" s="14" t="s">
        <v>51</v>
      </c>
    </row>
    <row r="353" spans="1:15">
      <c r="A353" s="15" t="s">
        <v>15</v>
      </c>
      <c r="B353" s="15" t="s">
        <v>9662</v>
      </c>
      <c r="C353" s="15" t="s">
        <v>9663</v>
      </c>
      <c r="D353" s="15" t="s">
        <v>9286</v>
      </c>
      <c r="E353" s="15">
        <v>47</v>
      </c>
      <c r="F353" s="15" t="s">
        <v>9754</v>
      </c>
      <c r="G353" s="15" t="s">
        <v>9755</v>
      </c>
      <c r="H353" s="15"/>
      <c r="I353" s="15" t="s">
        <v>96</v>
      </c>
      <c r="J353" s="7" t="str">
        <f>HYPERLINK("https://www.codechef.com/problems/NJTODZ37", "https://www.codechef.com/problems/NJTODZ37")</f>
        <v>https://www.codechef.com/problems/NJTODZ37</v>
      </c>
      <c r="K353" s="15"/>
      <c r="L353" s="15"/>
      <c r="M353" s="15"/>
      <c r="N353" s="15" t="s">
        <v>50</v>
      </c>
      <c r="O353" s="15" t="s">
        <v>51</v>
      </c>
    </row>
    <row r="354" spans="1:15">
      <c r="A354" s="14" t="s">
        <v>15</v>
      </c>
      <c r="B354" s="14" t="s">
        <v>9662</v>
      </c>
      <c r="C354" s="14" t="s">
        <v>9663</v>
      </c>
      <c r="D354" s="14" t="s">
        <v>9286</v>
      </c>
      <c r="E354" s="14">
        <v>48</v>
      </c>
      <c r="F354" s="14" t="s">
        <v>9756</v>
      </c>
      <c r="G354" s="14" t="s">
        <v>9757</v>
      </c>
      <c r="H354" s="14"/>
      <c r="I354" s="14" t="s">
        <v>49</v>
      </c>
      <c r="J354" s="11" t="str">
        <f>HYPERLINK("https://www.codechef.com/problems/NJTODZ38", "https://www.codechef.com/problems/NJTODZ38")</f>
        <v>https://www.codechef.com/problems/NJTODZ38</v>
      </c>
      <c r="K354" s="14"/>
      <c r="L354" s="14"/>
      <c r="M354" s="14"/>
      <c r="N354" s="14" t="s">
        <v>50</v>
      </c>
      <c r="O354" s="14" t="s">
        <v>51</v>
      </c>
    </row>
    <row r="355" spans="1:15">
      <c r="A355" s="15" t="s">
        <v>15</v>
      </c>
      <c r="B355" s="15" t="s">
        <v>9662</v>
      </c>
      <c r="C355" s="15" t="s">
        <v>9663</v>
      </c>
      <c r="D355" s="15" t="s">
        <v>9286</v>
      </c>
      <c r="E355" s="15">
        <v>49</v>
      </c>
      <c r="F355" s="15" t="s">
        <v>9758</v>
      </c>
      <c r="G355" s="15" t="s">
        <v>9759</v>
      </c>
      <c r="H355" s="15"/>
      <c r="I355" s="15" t="s">
        <v>49</v>
      </c>
      <c r="J355" s="7" t="str">
        <f>HYPERLINK("https://www.codechef.com/problems/NJTODZ39", "https://www.codechef.com/problems/NJTODZ39")</f>
        <v>https://www.codechef.com/problems/NJTODZ39</v>
      </c>
      <c r="K355" s="15"/>
      <c r="L355" s="15"/>
      <c r="M355" s="15"/>
      <c r="N355" s="15" t="s">
        <v>50</v>
      </c>
      <c r="O355" s="15" t="s">
        <v>51</v>
      </c>
    </row>
    <row r="356" spans="1:15">
      <c r="A356" s="14" t="s">
        <v>15</v>
      </c>
      <c r="B356" s="14" t="s">
        <v>9662</v>
      </c>
      <c r="C356" s="14" t="s">
        <v>9663</v>
      </c>
      <c r="D356" s="14" t="s">
        <v>9286</v>
      </c>
      <c r="E356" s="14">
        <v>50</v>
      </c>
      <c r="F356" s="14" t="s">
        <v>9760</v>
      </c>
      <c r="G356" s="14" t="s">
        <v>9761</v>
      </c>
      <c r="H356" s="14"/>
      <c r="I356" s="14" t="s">
        <v>49</v>
      </c>
      <c r="J356" s="11" t="str">
        <f>HYPERLINK("https://www.codechef.com/problems/NJTODZ40", "https://www.codechef.com/problems/NJTODZ40")</f>
        <v>https://www.codechef.com/problems/NJTODZ40</v>
      </c>
      <c r="K356" s="14"/>
      <c r="L356" s="14"/>
      <c r="M356" s="14"/>
      <c r="N356" s="14" t="s">
        <v>50</v>
      </c>
      <c r="O356" s="14" t="s">
        <v>51</v>
      </c>
    </row>
    <row r="357" spans="1:15">
      <c r="A357" s="15" t="s">
        <v>15</v>
      </c>
      <c r="B357" s="15" t="s">
        <v>9662</v>
      </c>
      <c r="C357" s="15" t="s">
        <v>9663</v>
      </c>
      <c r="D357" s="15" t="s">
        <v>9286</v>
      </c>
      <c r="E357" s="15">
        <v>51</v>
      </c>
      <c r="F357" s="15" t="s">
        <v>9762</v>
      </c>
      <c r="G357" s="15" t="s">
        <v>9763</v>
      </c>
      <c r="H357" s="15"/>
      <c r="I357" s="15" t="s">
        <v>49</v>
      </c>
      <c r="J357" s="7" t="str">
        <f>HYPERLINK("https://www.codechef.com/problems/NJTODZ41", "https://www.codechef.com/problems/NJTODZ41")</f>
        <v>https://www.codechef.com/problems/NJTODZ41</v>
      </c>
      <c r="K357" s="15"/>
      <c r="L357" s="15"/>
      <c r="M357" s="15"/>
      <c r="N357" s="15" t="s">
        <v>50</v>
      </c>
      <c r="O357" s="15" t="s">
        <v>51</v>
      </c>
    </row>
    <row r="358" spans="1:15">
      <c r="A358" s="14" t="s">
        <v>15</v>
      </c>
      <c r="B358" s="14" t="s">
        <v>9662</v>
      </c>
      <c r="C358" s="14" t="s">
        <v>9663</v>
      </c>
      <c r="D358" s="14" t="s">
        <v>9286</v>
      </c>
      <c r="E358" s="14">
        <v>52</v>
      </c>
      <c r="F358" s="14" t="s">
        <v>9764</v>
      </c>
      <c r="G358" s="14" t="s">
        <v>9765</v>
      </c>
      <c r="H358" s="14"/>
      <c r="I358" s="14" t="s">
        <v>49</v>
      </c>
      <c r="J358" s="11" t="str">
        <f>HYPERLINK("https://www.codechef.com/problems/NJTODZ42", "https://www.codechef.com/problems/NJTODZ42")</f>
        <v>https://www.codechef.com/problems/NJTODZ42</v>
      </c>
      <c r="K358" s="14"/>
      <c r="L358" s="14"/>
      <c r="M358" s="14"/>
      <c r="N358" s="14" t="s">
        <v>50</v>
      </c>
      <c r="O358" s="14" t="s">
        <v>51</v>
      </c>
    </row>
    <row r="359" spans="1:15">
      <c r="A359" s="15" t="s">
        <v>15</v>
      </c>
      <c r="B359" s="15" t="s">
        <v>9662</v>
      </c>
      <c r="C359" s="15" t="s">
        <v>9663</v>
      </c>
      <c r="D359" s="15" t="s">
        <v>9286</v>
      </c>
      <c r="E359" s="15">
        <v>53</v>
      </c>
      <c r="F359" s="15" t="s">
        <v>9766</v>
      </c>
      <c r="G359" s="15" t="s">
        <v>9767</v>
      </c>
      <c r="H359" s="15"/>
      <c r="I359" s="15" t="s">
        <v>96</v>
      </c>
      <c r="J359" s="7" t="str">
        <f>HYPERLINK("https://www.codechef.com/problems/NJTODZ43", "https://www.codechef.com/problems/NJTODZ43")</f>
        <v>https://www.codechef.com/problems/NJTODZ43</v>
      </c>
      <c r="K359" s="15"/>
      <c r="L359" s="15"/>
      <c r="M359" s="15"/>
      <c r="N359" s="15" t="s">
        <v>50</v>
      </c>
      <c r="O359" s="15" t="s">
        <v>51</v>
      </c>
    </row>
    <row r="360" spans="1:15">
      <c r="A360" s="14" t="s">
        <v>15</v>
      </c>
      <c r="B360" s="14" t="s">
        <v>9662</v>
      </c>
      <c r="C360" s="14" t="s">
        <v>9663</v>
      </c>
      <c r="D360" s="14" t="s">
        <v>9286</v>
      </c>
      <c r="E360" s="14">
        <v>54</v>
      </c>
      <c r="F360" s="14" t="s">
        <v>9768</v>
      </c>
      <c r="G360" s="14" t="s">
        <v>9769</v>
      </c>
      <c r="H360" s="14"/>
      <c r="I360" s="14" t="s">
        <v>49</v>
      </c>
      <c r="J360" s="11" t="str">
        <f>HYPERLINK("https://www.codechef.com/problems/NJTODZ44", "https://www.codechef.com/problems/NJTODZ44")</f>
        <v>https://www.codechef.com/problems/NJTODZ44</v>
      </c>
      <c r="K360" s="14"/>
      <c r="L360" s="14"/>
      <c r="M360" s="14"/>
      <c r="N360" s="14" t="s">
        <v>50</v>
      </c>
      <c r="O360" s="14" t="s">
        <v>51</v>
      </c>
    </row>
    <row r="361" spans="1:15">
      <c r="A361" s="15" t="s">
        <v>15</v>
      </c>
      <c r="B361" s="15" t="s">
        <v>9662</v>
      </c>
      <c r="C361" s="15" t="s">
        <v>9663</v>
      </c>
      <c r="D361" s="15" t="s">
        <v>9286</v>
      </c>
      <c r="E361" s="15">
        <v>55</v>
      </c>
      <c r="F361" s="15" t="s">
        <v>9770</v>
      </c>
      <c r="G361" s="15" t="s">
        <v>9771</v>
      </c>
      <c r="H361" s="15"/>
      <c r="I361" s="15" t="s">
        <v>49</v>
      </c>
      <c r="J361" s="7" t="str">
        <f>HYPERLINK("https://www.codechef.com/problems/NJTODZ45", "https://www.codechef.com/problems/NJTODZ45")</f>
        <v>https://www.codechef.com/problems/NJTODZ45</v>
      </c>
      <c r="K361" s="15"/>
      <c r="L361" s="15"/>
      <c r="M361" s="15"/>
      <c r="N361" s="15" t="s">
        <v>50</v>
      </c>
      <c r="O361" s="15" t="s">
        <v>51</v>
      </c>
    </row>
    <row r="362" spans="1:15">
      <c r="A362" s="14" t="s">
        <v>15</v>
      </c>
      <c r="B362" s="14" t="s">
        <v>9662</v>
      </c>
      <c r="C362" s="14" t="s">
        <v>9663</v>
      </c>
      <c r="D362" s="14" t="s">
        <v>9286</v>
      </c>
      <c r="E362" s="14">
        <v>56</v>
      </c>
      <c r="F362" s="14" t="s">
        <v>9758</v>
      </c>
      <c r="G362" s="14" t="s">
        <v>9772</v>
      </c>
      <c r="H362" s="14"/>
      <c r="I362" s="14" t="s">
        <v>49</v>
      </c>
      <c r="J362" s="11" t="str">
        <f>HYPERLINK("https://www.codechef.com/problems/NJTODZ46", "https://www.codechef.com/problems/NJTODZ46")</f>
        <v>https://www.codechef.com/problems/NJTODZ46</v>
      </c>
      <c r="K362" s="14"/>
      <c r="L362" s="14"/>
      <c r="M362" s="14"/>
      <c r="N362" s="14" t="s">
        <v>50</v>
      </c>
      <c r="O362" s="14" t="s">
        <v>51</v>
      </c>
    </row>
    <row r="363" spans="1:15">
      <c r="A363" s="15" t="s">
        <v>15</v>
      </c>
      <c r="B363" s="15" t="s">
        <v>9662</v>
      </c>
      <c r="C363" s="15" t="s">
        <v>9663</v>
      </c>
      <c r="D363" s="15" t="s">
        <v>9306</v>
      </c>
      <c r="E363" s="15">
        <v>57</v>
      </c>
      <c r="F363" s="15" t="s">
        <v>9773</v>
      </c>
      <c r="G363" s="15" t="s">
        <v>9774</v>
      </c>
      <c r="H363" s="15"/>
      <c r="I363" s="15" t="s">
        <v>49</v>
      </c>
      <c r="J363" s="7" t="str">
        <f>HYPERLINK("https://www.codechef.com/problems/LKCCTY21", "https://www.codechef.com/problems/LKCCTY21")</f>
        <v>https://www.codechef.com/problems/LKCCTY21</v>
      </c>
      <c r="K363" s="15"/>
      <c r="L363" s="15"/>
      <c r="M363" s="15"/>
      <c r="N363" s="15" t="s">
        <v>50</v>
      </c>
      <c r="O363" s="15" t="s">
        <v>51</v>
      </c>
    </row>
    <row r="364" spans="1:15">
      <c r="A364" s="14" t="s">
        <v>15</v>
      </c>
      <c r="B364" s="14" t="s">
        <v>9662</v>
      </c>
      <c r="C364" s="14" t="s">
        <v>9663</v>
      </c>
      <c r="D364" s="14" t="s">
        <v>9306</v>
      </c>
      <c r="E364" s="14">
        <v>58</v>
      </c>
      <c r="F364" s="14" t="s">
        <v>9775</v>
      </c>
      <c r="G364" s="14" t="s">
        <v>9776</v>
      </c>
      <c r="H364" s="14"/>
      <c r="I364" s="14" t="s">
        <v>49</v>
      </c>
      <c r="J364" s="11" t="str">
        <f>HYPERLINK("https://www.codechef.com/problems/LKCCTY22", "https://www.codechef.com/problems/LKCCTY22")</f>
        <v>https://www.codechef.com/problems/LKCCTY22</v>
      </c>
      <c r="K364" s="14"/>
      <c r="L364" s="14"/>
      <c r="M364" s="14"/>
      <c r="N364" s="14" t="s">
        <v>50</v>
      </c>
      <c r="O364" s="14" t="s">
        <v>51</v>
      </c>
    </row>
    <row r="365" spans="1:15">
      <c r="A365" s="15" t="s">
        <v>15</v>
      </c>
      <c r="B365" s="15" t="s">
        <v>9662</v>
      </c>
      <c r="C365" s="15" t="s">
        <v>9663</v>
      </c>
      <c r="D365" s="15" t="s">
        <v>9306</v>
      </c>
      <c r="E365" s="15">
        <v>59</v>
      </c>
      <c r="F365" s="15" t="s">
        <v>9777</v>
      </c>
      <c r="G365" s="15" t="s">
        <v>9778</v>
      </c>
      <c r="H365" s="15"/>
      <c r="I365" s="15" t="s">
        <v>49</v>
      </c>
      <c r="J365" s="7" t="str">
        <f>HYPERLINK("https://www.codechef.com/problems/LKCCTY23", "https://www.codechef.com/problems/LKCCTY23")</f>
        <v>https://www.codechef.com/problems/LKCCTY23</v>
      </c>
      <c r="K365" s="15"/>
      <c r="L365" s="15"/>
      <c r="M365" s="15"/>
      <c r="N365" s="15" t="s">
        <v>50</v>
      </c>
      <c r="O365" s="15" t="s">
        <v>51</v>
      </c>
    </row>
    <row r="366" spans="1:15">
      <c r="A366" s="14" t="s">
        <v>15</v>
      </c>
      <c r="B366" s="14" t="s">
        <v>9662</v>
      </c>
      <c r="C366" s="14" t="s">
        <v>9663</v>
      </c>
      <c r="D366" s="14" t="s">
        <v>9306</v>
      </c>
      <c r="E366" s="14">
        <v>60</v>
      </c>
      <c r="F366" s="14" t="s">
        <v>9775</v>
      </c>
      <c r="G366" s="14" t="s">
        <v>9779</v>
      </c>
      <c r="H366" s="14"/>
      <c r="I366" s="14" t="s">
        <v>49</v>
      </c>
      <c r="J366" s="11" t="str">
        <f>HYPERLINK("https://www.codechef.com/problems/LKCCTY24", "https://www.codechef.com/problems/LKCCTY24")</f>
        <v>https://www.codechef.com/problems/LKCCTY24</v>
      </c>
      <c r="K366" s="14"/>
      <c r="L366" s="14"/>
      <c r="M366" s="14"/>
      <c r="N366" s="14" t="s">
        <v>50</v>
      </c>
      <c r="O366" s="14" t="s">
        <v>51</v>
      </c>
    </row>
    <row r="367" spans="1:15">
      <c r="A367" s="15" t="s">
        <v>15</v>
      </c>
      <c r="B367" s="15" t="s">
        <v>9662</v>
      </c>
      <c r="C367" s="15" t="s">
        <v>9663</v>
      </c>
      <c r="D367" s="15" t="s">
        <v>9306</v>
      </c>
      <c r="E367" s="15">
        <v>61</v>
      </c>
      <c r="F367" s="15" t="s">
        <v>9780</v>
      </c>
      <c r="G367" s="15" t="s">
        <v>9781</v>
      </c>
      <c r="H367" s="15"/>
      <c r="I367" s="15" t="s">
        <v>49</v>
      </c>
      <c r="J367" s="7" t="str">
        <f>HYPERLINK("https://www.codechef.com/problems/LKCCTY25", "https://www.codechef.com/problems/LKCCTY25")</f>
        <v>https://www.codechef.com/problems/LKCCTY25</v>
      </c>
      <c r="K367" s="15"/>
      <c r="L367" s="15"/>
      <c r="M367" s="15"/>
      <c r="N367" s="15" t="s">
        <v>50</v>
      </c>
      <c r="O367" s="15" t="s">
        <v>51</v>
      </c>
    </row>
    <row r="368" spans="1:15">
      <c r="A368" s="14" t="s">
        <v>15</v>
      </c>
      <c r="B368" s="14" t="s">
        <v>9662</v>
      </c>
      <c r="C368" s="14" t="s">
        <v>9663</v>
      </c>
      <c r="D368" s="14" t="s">
        <v>9327</v>
      </c>
      <c r="E368" s="14">
        <v>62</v>
      </c>
      <c r="F368" s="14" t="s">
        <v>9782</v>
      </c>
      <c r="G368" s="14" t="s">
        <v>9783</v>
      </c>
      <c r="H368" s="14"/>
      <c r="I368" s="14" t="s">
        <v>49</v>
      </c>
      <c r="J368" s="11" t="str">
        <f>HYPERLINK("https://www.codechef.com/problems/NJTODZ01", "https://www.codechef.com/problems/NJTODZ01")</f>
        <v>https://www.codechef.com/problems/NJTODZ01</v>
      </c>
      <c r="K368" s="14"/>
      <c r="L368" s="14"/>
      <c r="M368" s="14"/>
      <c r="N368" s="14" t="s">
        <v>50</v>
      </c>
      <c r="O368" s="14" t="s">
        <v>51</v>
      </c>
    </row>
    <row r="369" spans="1:15">
      <c r="A369" s="15" t="s">
        <v>15</v>
      </c>
      <c r="B369" s="15" t="s">
        <v>9662</v>
      </c>
      <c r="C369" s="15" t="s">
        <v>9663</v>
      </c>
      <c r="D369" s="15" t="s">
        <v>9327</v>
      </c>
      <c r="E369" s="15">
        <v>63</v>
      </c>
      <c r="F369" s="15" t="s">
        <v>9784</v>
      </c>
      <c r="G369" s="15" t="s">
        <v>9785</v>
      </c>
      <c r="H369" s="15"/>
      <c r="I369" s="15" t="s">
        <v>96</v>
      </c>
      <c r="J369" s="7" t="str">
        <f>HYPERLINK("https://www.codechef.com/problems/NJTODZ02", "https://www.codechef.com/problems/NJTODZ02")</f>
        <v>https://www.codechef.com/problems/NJTODZ02</v>
      </c>
      <c r="K369" s="15"/>
      <c r="L369" s="15"/>
      <c r="M369" s="15"/>
      <c r="N369" s="15" t="s">
        <v>50</v>
      </c>
      <c r="O369" s="15" t="s">
        <v>51</v>
      </c>
    </row>
    <row r="370" spans="1:15">
      <c r="A370" s="14" t="s">
        <v>15</v>
      </c>
      <c r="B370" s="14" t="s">
        <v>9662</v>
      </c>
      <c r="C370" s="14" t="s">
        <v>9663</v>
      </c>
      <c r="D370" s="14" t="s">
        <v>9327</v>
      </c>
      <c r="E370" s="14">
        <v>64</v>
      </c>
      <c r="F370" s="14" t="s">
        <v>9786</v>
      </c>
      <c r="G370" s="14" t="s">
        <v>9787</v>
      </c>
      <c r="H370" s="14"/>
      <c r="I370" s="14" t="s">
        <v>49</v>
      </c>
      <c r="J370" s="11" t="str">
        <f>HYPERLINK("https://www.codechef.com/problems/NJTODZ03", "https://www.codechef.com/problems/NJTODZ03")</f>
        <v>https://www.codechef.com/problems/NJTODZ03</v>
      </c>
      <c r="K370" s="14"/>
      <c r="L370" s="14"/>
      <c r="M370" s="14"/>
      <c r="N370" s="14" t="s">
        <v>50</v>
      </c>
      <c r="O370" s="14" t="s">
        <v>51</v>
      </c>
    </row>
    <row r="371" spans="1:15">
      <c r="A371" s="15" t="s">
        <v>15</v>
      </c>
      <c r="B371" s="15" t="s">
        <v>9662</v>
      </c>
      <c r="C371" s="15" t="s">
        <v>9663</v>
      </c>
      <c r="D371" s="15" t="s">
        <v>9327</v>
      </c>
      <c r="E371" s="15">
        <v>65</v>
      </c>
      <c r="F371" s="15" t="s">
        <v>9788</v>
      </c>
      <c r="G371" s="15" t="s">
        <v>9789</v>
      </c>
      <c r="H371" s="15"/>
      <c r="I371" s="15" t="s">
        <v>96</v>
      </c>
      <c r="J371" s="7" t="str">
        <f>HYPERLINK("https://www.codechef.com/problems/NJTODZ04", "https://www.codechef.com/problems/NJTODZ04")</f>
        <v>https://www.codechef.com/problems/NJTODZ04</v>
      </c>
      <c r="K371" s="15"/>
      <c r="L371" s="15"/>
      <c r="M371" s="15"/>
      <c r="N371" s="15" t="s">
        <v>50</v>
      </c>
      <c r="O371" s="15" t="s">
        <v>51</v>
      </c>
    </row>
    <row r="372" spans="1:15">
      <c r="A372" s="14" t="s">
        <v>15</v>
      </c>
      <c r="B372" s="14" t="s">
        <v>9662</v>
      </c>
      <c r="C372" s="14" t="s">
        <v>9663</v>
      </c>
      <c r="D372" s="14" t="s">
        <v>9327</v>
      </c>
      <c r="E372" s="14">
        <v>66</v>
      </c>
      <c r="F372" s="14" t="s">
        <v>9790</v>
      </c>
      <c r="G372" s="14" t="s">
        <v>9791</v>
      </c>
      <c r="H372" s="14"/>
      <c r="I372" s="14" t="s">
        <v>96</v>
      </c>
      <c r="J372" s="11" t="str">
        <f>HYPERLINK("https://www.codechef.com/problems/NJTODZ05", "https://www.codechef.com/problems/NJTODZ05")</f>
        <v>https://www.codechef.com/problems/NJTODZ05</v>
      </c>
      <c r="K372" s="14"/>
      <c r="L372" s="14"/>
      <c r="M372" s="14"/>
      <c r="N372" s="14" t="s">
        <v>50</v>
      </c>
      <c r="O372" s="14" t="s">
        <v>51</v>
      </c>
    </row>
    <row r="373" spans="1:15">
      <c r="A373" s="15" t="s">
        <v>15</v>
      </c>
      <c r="B373" s="15" t="s">
        <v>9662</v>
      </c>
      <c r="C373" s="15" t="s">
        <v>9663</v>
      </c>
      <c r="D373" s="15" t="s">
        <v>9327</v>
      </c>
      <c r="E373" s="15">
        <v>67</v>
      </c>
      <c r="F373" s="15" t="s">
        <v>9792</v>
      </c>
      <c r="G373" s="15" t="s">
        <v>9793</v>
      </c>
      <c r="H373" s="15"/>
      <c r="I373" s="15" t="s">
        <v>96</v>
      </c>
      <c r="J373" s="7" t="str">
        <f>HYPERLINK("https://www.codechef.com/problems/NJTODZ06", "https://www.codechef.com/problems/NJTODZ06")</f>
        <v>https://www.codechef.com/problems/NJTODZ06</v>
      </c>
      <c r="K373" s="15"/>
      <c r="L373" s="15"/>
      <c r="M373" s="15"/>
      <c r="N373" s="15" t="s">
        <v>50</v>
      </c>
      <c r="O373" s="15" t="s">
        <v>51</v>
      </c>
    </row>
    <row r="374" spans="1:15">
      <c r="A374" s="14" t="s">
        <v>15</v>
      </c>
      <c r="B374" s="14" t="s">
        <v>9662</v>
      </c>
      <c r="C374" s="14" t="s">
        <v>9663</v>
      </c>
      <c r="D374" s="14" t="s">
        <v>9327</v>
      </c>
      <c r="E374" s="14">
        <v>68</v>
      </c>
      <c r="F374" s="14" t="s">
        <v>9794</v>
      </c>
      <c r="G374" s="14" t="s">
        <v>9795</v>
      </c>
      <c r="H374" s="14"/>
      <c r="I374" s="14" t="s">
        <v>96</v>
      </c>
      <c r="J374" s="11" t="str">
        <f>HYPERLINK("https://www.codechef.com/problems/NJTODZ07", "https://www.codechef.com/problems/NJTODZ07")</f>
        <v>https://www.codechef.com/problems/NJTODZ07</v>
      </c>
      <c r="K374" s="14"/>
      <c r="L374" s="14"/>
      <c r="M374" s="14"/>
      <c r="N374" s="14" t="s">
        <v>50</v>
      </c>
      <c r="O374" s="14" t="s">
        <v>51</v>
      </c>
    </row>
    <row r="375" spans="1:15">
      <c r="A375" s="15" t="s">
        <v>15</v>
      </c>
      <c r="B375" s="15" t="s">
        <v>9662</v>
      </c>
      <c r="C375" s="15" t="s">
        <v>9663</v>
      </c>
      <c r="D375" s="15" t="s">
        <v>9327</v>
      </c>
      <c r="E375" s="15">
        <v>69</v>
      </c>
      <c r="F375" s="15" t="s">
        <v>9796</v>
      </c>
      <c r="G375" s="15" t="s">
        <v>9797</v>
      </c>
      <c r="H375" s="15"/>
      <c r="I375" s="15" t="s">
        <v>96</v>
      </c>
      <c r="J375" s="7" t="str">
        <f>HYPERLINK("https://www.codechef.com/problems/NJTODZ08", "https://www.codechef.com/problems/NJTODZ08")</f>
        <v>https://www.codechef.com/problems/NJTODZ08</v>
      </c>
      <c r="K375" s="15"/>
      <c r="L375" s="15"/>
      <c r="M375" s="15"/>
      <c r="N375" s="15" t="s">
        <v>50</v>
      </c>
      <c r="O375" s="15" t="s">
        <v>51</v>
      </c>
    </row>
    <row r="376" spans="1:15">
      <c r="A376" s="14" t="s">
        <v>15</v>
      </c>
      <c r="B376" s="14" t="s">
        <v>9662</v>
      </c>
      <c r="C376" s="14" t="s">
        <v>9663</v>
      </c>
      <c r="D376" s="14" t="s">
        <v>9327</v>
      </c>
      <c r="E376" s="14">
        <v>70</v>
      </c>
      <c r="F376" s="14" t="s">
        <v>9798</v>
      </c>
      <c r="G376" s="14" t="s">
        <v>9799</v>
      </c>
      <c r="H376" s="14"/>
      <c r="I376" s="14" t="s">
        <v>49</v>
      </c>
      <c r="J376" s="11" t="str">
        <f>HYPERLINK("https://www.codechef.com/problems/NJTODZ09", "https://www.codechef.com/problems/NJTODZ09")</f>
        <v>https://www.codechef.com/problems/NJTODZ09</v>
      </c>
      <c r="K376" s="14"/>
      <c r="L376" s="14"/>
      <c r="M376" s="14"/>
      <c r="N376" s="14" t="s">
        <v>50</v>
      </c>
      <c r="O376" s="14" t="s">
        <v>51</v>
      </c>
    </row>
    <row r="377" spans="1:15">
      <c r="A377" s="15" t="s">
        <v>15</v>
      </c>
      <c r="B377" s="15" t="s">
        <v>9662</v>
      </c>
      <c r="C377" s="15" t="s">
        <v>9663</v>
      </c>
      <c r="D377" s="15" t="s">
        <v>9327</v>
      </c>
      <c r="E377" s="15">
        <v>71</v>
      </c>
      <c r="F377" s="15" t="s">
        <v>9800</v>
      </c>
      <c r="G377" s="15" t="s">
        <v>9801</v>
      </c>
      <c r="H377" s="15"/>
      <c r="I377" s="15" t="s">
        <v>49</v>
      </c>
      <c r="J377" s="7" t="str">
        <f>HYPERLINK("https://www.codechef.com/problems/NJTODZ10", "https://www.codechef.com/problems/NJTODZ10")</f>
        <v>https://www.codechef.com/problems/NJTODZ10</v>
      </c>
      <c r="K377" s="15"/>
      <c r="L377" s="15"/>
      <c r="M377" s="15"/>
      <c r="N377" s="15" t="s">
        <v>50</v>
      </c>
      <c r="O377" s="15" t="s">
        <v>51</v>
      </c>
    </row>
    <row r="378" spans="1:15">
      <c r="A378" s="14" t="s">
        <v>15</v>
      </c>
      <c r="B378" s="14" t="s">
        <v>9662</v>
      </c>
      <c r="C378" s="14" t="s">
        <v>9663</v>
      </c>
      <c r="D378" s="14" t="s">
        <v>9327</v>
      </c>
      <c r="E378" s="14">
        <v>72</v>
      </c>
      <c r="F378" s="14" t="s">
        <v>9802</v>
      </c>
      <c r="G378" s="14" t="s">
        <v>9803</v>
      </c>
      <c r="H378" s="14"/>
      <c r="I378" s="14" t="s">
        <v>49</v>
      </c>
      <c r="J378" s="11" t="str">
        <f>HYPERLINK("https://www.codechef.com/problems/NJTODZ11", "https://www.codechef.com/problems/NJTODZ11")</f>
        <v>https://www.codechef.com/problems/NJTODZ11</v>
      </c>
      <c r="K378" s="14"/>
      <c r="L378" s="14"/>
      <c r="M378" s="14"/>
      <c r="N378" s="14" t="s">
        <v>50</v>
      </c>
      <c r="O378" s="14" t="s">
        <v>51</v>
      </c>
    </row>
    <row r="379" spans="1:15">
      <c r="A379" s="15" t="s">
        <v>15</v>
      </c>
      <c r="B379" s="15" t="s">
        <v>9662</v>
      </c>
      <c r="C379" s="15" t="s">
        <v>9663</v>
      </c>
      <c r="D379" s="15" t="s">
        <v>9327</v>
      </c>
      <c r="E379" s="15">
        <v>73</v>
      </c>
      <c r="F379" s="15" t="s">
        <v>9804</v>
      </c>
      <c r="G379" s="15" t="s">
        <v>9805</v>
      </c>
      <c r="H379" s="15"/>
      <c r="I379" s="15" t="s">
        <v>96</v>
      </c>
      <c r="J379" s="7" t="str">
        <f>HYPERLINK("https://www.codechef.com/problems/NJTODZ12", "https://www.codechef.com/problems/NJTODZ12")</f>
        <v>https://www.codechef.com/problems/NJTODZ12</v>
      </c>
      <c r="K379" s="15"/>
      <c r="L379" s="15"/>
      <c r="M379" s="15"/>
      <c r="N379" s="15" t="s">
        <v>50</v>
      </c>
      <c r="O379" s="15" t="s">
        <v>51</v>
      </c>
    </row>
    <row r="380" spans="1:15">
      <c r="A380" s="14" t="s">
        <v>15</v>
      </c>
      <c r="B380" s="14" t="s">
        <v>9662</v>
      </c>
      <c r="C380" s="14" t="s">
        <v>9663</v>
      </c>
      <c r="D380" s="14" t="s">
        <v>9327</v>
      </c>
      <c r="E380" s="14">
        <v>74</v>
      </c>
      <c r="F380" s="14" t="s">
        <v>9806</v>
      </c>
      <c r="G380" s="14" t="s">
        <v>9807</v>
      </c>
      <c r="H380" s="14"/>
      <c r="I380" s="14" t="s">
        <v>96</v>
      </c>
      <c r="J380" s="11" t="str">
        <f>HYPERLINK("https://www.codechef.com/problems/NJTODZ13", "https://www.codechef.com/problems/NJTODZ13")</f>
        <v>https://www.codechef.com/problems/NJTODZ13</v>
      </c>
      <c r="K380" s="14"/>
      <c r="L380" s="14"/>
      <c r="M380" s="14"/>
      <c r="N380" s="14" t="s">
        <v>50</v>
      </c>
      <c r="O380" s="14" t="s">
        <v>51</v>
      </c>
    </row>
    <row r="381" spans="1:15">
      <c r="A381" s="15" t="s">
        <v>15</v>
      </c>
      <c r="B381" s="15" t="s">
        <v>9662</v>
      </c>
      <c r="C381" s="15" t="s">
        <v>9663</v>
      </c>
      <c r="D381" s="15" t="s">
        <v>9327</v>
      </c>
      <c r="E381" s="15">
        <v>75</v>
      </c>
      <c r="F381" s="15" t="s">
        <v>9808</v>
      </c>
      <c r="G381" s="15" t="s">
        <v>9809</v>
      </c>
      <c r="H381" s="15"/>
      <c r="I381" s="15" t="s">
        <v>96</v>
      </c>
      <c r="J381" s="7" t="str">
        <f>HYPERLINK("https://www.codechef.com/problems/NJTODZ14", "https://www.codechef.com/problems/NJTODZ14")</f>
        <v>https://www.codechef.com/problems/NJTODZ14</v>
      </c>
      <c r="K381" s="15"/>
      <c r="L381" s="15"/>
      <c r="M381" s="15"/>
      <c r="N381" s="15" t="s">
        <v>50</v>
      </c>
      <c r="O381" s="15" t="s">
        <v>51</v>
      </c>
    </row>
    <row r="382" spans="1:15">
      <c r="A382" s="14" t="s">
        <v>15</v>
      </c>
      <c r="B382" s="14" t="s">
        <v>9662</v>
      </c>
      <c r="C382" s="14" t="s">
        <v>9663</v>
      </c>
      <c r="D382" s="14" t="s">
        <v>9327</v>
      </c>
      <c r="E382" s="14">
        <v>76</v>
      </c>
      <c r="F382" s="14" t="s">
        <v>9810</v>
      </c>
      <c r="G382" s="14" t="s">
        <v>9811</v>
      </c>
      <c r="H382" s="14"/>
      <c r="I382" s="14" t="s">
        <v>96</v>
      </c>
      <c r="J382" s="11" t="str">
        <f>HYPERLINK("https://www.codechef.com/problems/NJTODZ15", "https://www.codechef.com/problems/NJTODZ15")</f>
        <v>https://www.codechef.com/problems/NJTODZ15</v>
      </c>
      <c r="K382" s="14"/>
      <c r="L382" s="14"/>
      <c r="M382" s="14"/>
      <c r="N382" s="14" t="s">
        <v>50</v>
      </c>
      <c r="O382" s="14" t="s">
        <v>51</v>
      </c>
    </row>
    <row r="383" spans="1:15">
      <c r="A383" s="15" t="s">
        <v>15</v>
      </c>
      <c r="B383" s="15" t="s">
        <v>9662</v>
      </c>
      <c r="C383" s="15" t="s">
        <v>9663</v>
      </c>
      <c r="D383" s="15" t="s">
        <v>9327</v>
      </c>
      <c r="E383" s="15">
        <v>77</v>
      </c>
      <c r="F383" s="15" t="s">
        <v>9812</v>
      </c>
      <c r="G383" s="15" t="s">
        <v>9813</v>
      </c>
      <c r="H383" s="15"/>
      <c r="I383" s="15" t="s">
        <v>96</v>
      </c>
      <c r="J383" s="7" t="str">
        <f>HYPERLINK("https://www.codechef.com/problems/NJTODZ16", "https://www.codechef.com/problems/NJTODZ16")</f>
        <v>https://www.codechef.com/problems/NJTODZ16</v>
      </c>
      <c r="K383" s="15"/>
      <c r="L383" s="15"/>
      <c r="M383" s="15"/>
      <c r="N383" s="15" t="s">
        <v>50</v>
      </c>
      <c r="O383" s="15" t="s">
        <v>51</v>
      </c>
    </row>
    <row r="384" spans="1:15">
      <c r="A384" s="14" t="s">
        <v>15</v>
      </c>
      <c r="B384" s="14" t="s">
        <v>9662</v>
      </c>
      <c r="C384" s="14" t="s">
        <v>9663</v>
      </c>
      <c r="D384" s="14" t="s">
        <v>9327</v>
      </c>
      <c r="E384" s="14">
        <v>78</v>
      </c>
      <c r="F384" s="14" t="s">
        <v>9814</v>
      </c>
      <c r="G384" s="14" t="s">
        <v>9815</v>
      </c>
      <c r="H384" s="14"/>
      <c r="I384" s="14" t="s">
        <v>49</v>
      </c>
      <c r="J384" s="11" t="str">
        <f>HYPERLINK("https://www.codechef.com/problems/NJTODZ17", "https://www.codechef.com/problems/NJTODZ17")</f>
        <v>https://www.codechef.com/problems/NJTODZ17</v>
      </c>
      <c r="K384" s="14"/>
      <c r="L384" s="14"/>
      <c r="M384" s="14"/>
      <c r="N384" s="14" t="s">
        <v>50</v>
      </c>
      <c r="O384" s="14" t="s">
        <v>51</v>
      </c>
    </row>
    <row r="385" spans="1:15">
      <c r="A385" s="15" t="s">
        <v>15</v>
      </c>
      <c r="B385" s="15" t="s">
        <v>9662</v>
      </c>
      <c r="C385" s="15" t="s">
        <v>9663</v>
      </c>
      <c r="D385" s="15" t="s">
        <v>9327</v>
      </c>
      <c r="E385" s="15">
        <v>79</v>
      </c>
      <c r="F385" s="15" t="s">
        <v>9816</v>
      </c>
      <c r="G385" s="15" t="s">
        <v>9817</v>
      </c>
      <c r="H385" s="15"/>
      <c r="I385" s="15" t="s">
        <v>49</v>
      </c>
      <c r="J385" s="7" t="str">
        <f>HYPERLINK("https://www.codechef.com/problems/NJTODZ18", "https://www.codechef.com/problems/NJTODZ18")</f>
        <v>https://www.codechef.com/problems/NJTODZ18</v>
      </c>
      <c r="K385" s="15"/>
      <c r="L385" s="15"/>
      <c r="M385" s="15"/>
      <c r="N385" s="15" t="s">
        <v>50</v>
      </c>
      <c r="O385" s="15" t="s">
        <v>51</v>
      </c>
    </row>
    <row r="386" spans="1:15">
      <c r="A386" s="14" t="s">
        <v>15</v>
      </c>
      <c r="B386" s="14" t="s">
        <v>9662</v>
      </c>
      <c r="C386" s="14" t="s">
        <v>9663</v>
      </c>
      <c r="D386" s="14" t="s">
        <v>9327</v>
      </c>
      <c r="E386" s="14">
        <v>80</v>
      </c>
      <c r="F386" s="14" t="s">
        <v>9818</v>
      </c>
      <c r="G386" s="14" t="s">
        <v>9819</v>
      </c>
      <c r="H386" s="14"/>
      <c r="I386" s="14" t="s">
        <v>49</v>
      </c>
      <c r="J386" s="11" t="str">
        <f>HYPERLINK("https://www.codechef.com/problems/NJTODZ19", "https://www.codechef.com/problems/NJTODZ19")</f>
        <v>https://www.codechef.com/problems/NJTODZ19</v>
      </c>
      <c r="K386" s="14"/>
      <c r="L386" s="14"/>
      <c r="M386" s="14"/>
      <c r="N386" s="14" t="s">
        <v>50</v>
      </c>
      <c r="O386" s="14" t="s">
        <v>51</v>
      </c>
    </row>
    <row r="387" spans="1:15">
      <c r="A387" s="15" t="s">
        <v>15</v>
      </c>
      <c r="B387" s="15" t="s">
        <v>9662</v>
      </c>
      <c r="C387" s="15" t="s">
        <v>9663</v>
      </c>
      <c r="D387" s="15" t="s">
        <v>9327</v>
      </c>
      <c r="E387" s="15">
        <v>81</v>
      </c>
      <c r="F387" s="15" t="s">
        <v>9820</v>
      </c>
      <c r="G387" s="15" t="s">
        <v>9821</v>
      </c>
      <c r="H387" s="15"/>
      <c r="I387" s="15" t="s">
        <v>96</v>
      </c>
      <c r="J387" s="7" t="str">
        <f>HYPERLINK("https://www.codechef.com/problems/NJTODZ20", "https://www.codechef.com/problems/NJTODZ20")</f>
        <v>https://www.codechef.com/problems/NJTODZ20</v>
      </c>
      <c r="K387" s="15"/>
      <c r="L387" s="15"/>
      <c r="M387" s="15"/>
      <c r="N387" s="15" t="s">
        <v>50</v>
      </c>
      <c r="O387" s="15" t="s">
        <v>51</v>
      </c>
    </row>
    <row r="388" spans="1:15">
      <c r="A388" s="14" t="s">
        <v>15</v>
      </c>
      <c r="B388" s="14" t="s">
        <v>9662</v>
      </c>
      <c r="C388" s="14" t="s">
        <v>9663</v>
      </c>
      <c r="D388" s="14" t="s">
        <v>9327</v>
      </c>
      <c r="E388" s="14">
        <v>82</v>
      </c>
      <c r="F388" s="14" t="s">
        <v>9822</v>
      </c>
      <c r="G388" s="14" t="s">
        <v>9823</v>
      </c>
      <c r="H388" s="14"/>
      <c r="I388" s="14" t="s">
        <v>49</v>
      </c>
      <c r="J388" s="11" t="str">
        <f>HYPERLINK("https://www.codechef.com/problems/NJTODZ21", "https://www.codechef.com/problems/NJTODZ21")</f>
        <v>https://www.codechef.com/problems/NJTODZ21</v>
      </c>
      <c r="K388" s="14"/>
      <c r="L388" s="14"/>
      <c r="M388" s="14"/>
      <c r="N388" s="14" t="s">
        <v>50</v>
      </c>
      <c r="O388" s="14" t="s">
        <v>51</v>
      </c>
    </row>
    <row r="389" spans="1:15">
      <c r="A389" s="15" t="s">
        <v>15</v>
      </c>
      <c r="B389" s="15" t="s">
        <v>9662</v>
      </c>
      <c r="C389" s="15" t="s">
        <v>9663</v>
      </c>
      <c r="D389" s="15" t="s">
        <v>9327</v>
      </c>
      <c r="E389" s="15">
        <v>83</v>
      </c>
      <c r="F389" s="15" t="s">
        <v>9824</v>
      </c>
      <c r="G389" s="15" t="s">
        <v>9825</v>
      </c>
      <c r="H389" s="15"/>
      <c r="I389" s="15" t="s">
        <v>49</v>
      </c>
      <c r="J389" s="7" t="str">
        <f>HYPERLINK("https://www.codechef.com/problems/NJTODZ22", "https://www.codechef.com/problems/NJTODZ22")</f>
        <v>https://www.codechef.com/problems/NJTODZ22</v>
      </c>
      <c r="K389" s="15"/>
      <c r="L389" s="15"/>
      <c r="M389" s="15"/>
      <c r="N389" s="15" t="s">
        <v>50</v>
      </c>
      <c r="O389" s="15" t="s">
        <v>51</v>
      </c>
    </row>
    <row r="390" spans="1:15">
      <c r="A390" s="14" t="s">
        <v>15</v>
      </c>
      <c r="B390" s="14" t="s">
        <v>9662</v>
      </c>
      <c r="C390" s="14" t="s">
        <v>9663</v>
      </c>
      <c r="D390" s="14" t="s">
        <v>9327</v>
      </c>
      <c r="E390" s="14">
        <v>84</v>
      </c>
      <c r="F390" s="14" t="s">
        <v>9826</v>
      </c>
      <c r="G390" s="14" t="s">
        <v>9827</v>
      </c>
      <c r="H390" s="14"/>
      <c r="I390" s="14" t="s">
        <v>96</v>
      </c>
      <c r="J390" s="11" t="str">
        <f>HYPERLINK("https://www.codechef.com/problems/NJTODZ23", "https://www.codechef.com/problems/NJTODZ23")</f>
        <v>https://www.codechef.com/problems/NJTODZ23</v>
      </c>
      <c r="K390" s="14"/>
      <c r="L390" s="14"/>
      <c r="M390" s="14"/>
      <c r="N390" s="14" t="s">
        <v>50</v>
      </c>
      <c r="O390" s="14" t="s">
        <v>51</v>
      </c>
    </row>
    <row r="391" spans="1:15">
      <c r="A391" s="15" t="s">
        <v>15</v>
      </c>
      <c r="B391" s="15" t="s">
        <v>9662</v>
      </c>
      <c r="C391" s="15" t="s">
        <v>9663</v>
      </c>
      <c r="D391" s="15" t="s">
        <v>9327</v>
      </c>
      <c r="E391" s="15">
        <v>85</v>
      </c>
      <c r="F391" s="15" t="s">
        <v>9828</v>
      </c>
      <c r="G391" s="15" t="s">
        <v>9829</v>
      </c>
      <c r="H391" s="15"/>
      <c r="I391" s="15" t="s">
        <v>96</v>
      </c>
      <c r="J391" s="7" t="str">
        <f>HYPERLINK("https://www.codechef.com/problems/NJTODZ24", "https://www.codechef.com/problems/NJTODZ24")</f>
        <v>https://www.codechef.com/problems/NJTODZ24</v>
      </c>
      <c r="K391" s="15"/>
      <c r="L391" s="15"/>
      <c r="M391" s="15"/>
      <c r="N391" s="15" t="s">
        <v>50</v>
      </c>
      <c r="O391" s="15" t="s">
        <v>51</v>
      </c>
    </row>
    <row r="392" spans="1:15">
      <c r="A392" s="14" t="s">
        <v>15</v>
      </c>
      <c r="B392" s="14" t="s">
        <v>9662</v>
      </c>
      <c r="C392" s="14" t="s">
        <v>9663</v>
      </c>
      <c r="D392" s="14" t="s">
        <v>9327</v>
      </c>
      <c r="E392" s="14">
        <v>86</v>
      </c>
      <c r="F392" s="14" t="s">
        <v>9830</v>
      </c>
      <c r="G392" s="14" t="s">
        <v>9831</v>
      </c>
      <c r="H392" s="14"/>
      <c r="I392" s="14" t="s">
        <v>96</v>
      </c>
      <c r="J392" s="11" t="str">
        <f>HYPERLINK("https://www.codechef.com/problems/NJTODZ25", "https://www.codechef.com/problems/NJTODZ25")</f>
        <v>https://www.codechef.com/problems/NJTODZ25</v>
      </c>
      <c r="K392" s="14"/>
      <c r="L392" s="14"/>
      <c r="M392" s="14"/>
      <c r="N392" s="14" t="s">
        <v>50</v>
      </c>
      <c r="O392" s="14" t="s">
        <v>51</v>
      </c>
    </row>
    <row r="393" spans="1:15">
      <c r="A393" s="15" t="s">
        <v>15</v>
      </c>
      <c r="B393" s="15" t="s">
        <v>9662</v>
      </c>
      <c r="C393" s="15" t="s">
        <v>9663</v>
      </c>
      <c r="D393" s="15" t="s">
        <v>9327</v>
      </c>
      <c r="E393" s="15">
        <v>87</v>
      </c>
      <c r="F393" s="15" t="s">
        <v>9832</v>
      </c>
      <c r="G393" s="15" t="s">
        <v>9833</v>
      </c>
      <c r="H393" s="15"/>
      <c r="I393" s="15" t="s">
        <v>96</v>
      </c>
      <c r="J393" s="7" t="str">
        <f>HYPERLINK("https://www.codechef.com/problems/NJTODZ26", "https://www.codechef.com/problems/NJTODZ26")</f>
        <v>https://www.codechef.com/problems/NJTODZ26</v>
      </c>
      <c r="K393" s="15"/>
      <c r="L393" s="15"/>
      <c r="M393" s="15"/>
      <c r="N393" s="15" t="s">
        <v>50</v>
      </c>
      <c r="O393" s="15" t="s">
        <v>51</v>
      </c>
    </row>
    <row r="394" spans="1:15">
      <c r="A394" s="14" t="s">
        <v>15</v>
      </c>
      <c r="B394" s="14" t="s">
        <v>9662</v>
      </c>
      <c r="C394" s="14" t="s">
        <v>9663</v>
      </c>
      <c r="D394" s="14" t="s">
        <v>9327</v>
      </c>
      <c r="E394" s="14">
        <v>88</v>
      </c>
      <c r="F394" s="14" t="s">
        <v>9834</v>
      </c>
      <c r="G394" s="14" t="s">
        <v>9835</v>
      </c>
      <c r="H394" s="14"/>
      <c r="I394" s="14" t="s">
        <v>96</v>
      </c>
      <c r="J394" s="11" t="str">
        <f>HYPERLINK("https://www.codechef.com/problems/NJTODZ27", "https://www.codechef.com/problems/NJTODZ27")</f>
        <v>https://www.codechef.com/problems/NJTODZ27</v>
      </c>
      <c r="K394" s="14"/>
      <c r="L394" s="14"/>
      <c r="M394" s="14"/>
      <c r="N394" s="14" t="s">
        <v>50</v>
      </c>
      <c r="O394" s="14" t="s">
        <v>51</v>
      </c>
    </row>
    <row r="395" spans="1:15">
      <c r="A395" s="15" t="s">
        <v>15</v>
      </c>
      <c r="B395" s="15" t="s">
        <v>9662</v>
      </c>
      <c r="C395" s="15" t="s">
        <v>9663</v>
      </c>
      <c r="D395" s="15" t="s">
        <v>9327</v>
      </c>
      <c r="E395" s="15">
        <v>89</v>
      </c>
      <c r="F395" s="15" t="s">
        <v>9836</v>
      </c>
      <c r="G395" s="15" t="s">
        <v>9837</v>
      </c>
      <c r="H395" s="15"/>
      <c r="I395" s="15" t="s">
        <v>49</v>
      </c>
      <c r="J395" s="7" t="str">
        <f>HYPERLINK("https://www.codechef.com/problems/NJTODZ28", "https://www.codechef.com/problems/NJTODZ28")</f>
        <v>https://www.codechef.com/problems/NJTODZ28</v>
      </c>
      <c r="K395" s="15"/>
      <c r="L395" s="15"/>
      <c r="M395" s="15"/>
      <c r="N395" s="15" t="s">
        <v>50</v>
      </c>
      <c r="O395" s="15" t="s">
        <v>51</v>
      </c>
    </row>
    <row r="396" spans="1:15">
      <c r="A396" s="14" t="s">
        <v>15</v>
      </c>
      <c r="B396" s="14" t="s">
        <v>9662</v>
      </c>
      <c r="C396" s="14" t="s">
        <v>9663</v>
      </c>
      <c r="D396" s="14" t="s">
        <v>9327</v>
      </c>
      <c r="E396" s="14">
        <v>90</v>
      </c>
      <c r="F396" s="14" t="s">
        <v>9838</v>
      </c>
      <c r="G396" s="14" t="s">
        <v>9839</v>
      </c>
      <c r="H396" s="14"/>
      <c r="I396" s="14" t="s">
        <v>49</v>
      </c>
      <c r="J396" s="11" t="str">
        <f>HYPERLINK("https://www.codechef.com/problems/NJTODZ29", "https://www.codechef.com/problems/NJTODZ29")</f>
        <v>https://www.codechef.com/problems/NJTODZ29</v>
      </c>
      <c r="K396" s="14"/>
      <c r="L396" s="14"/>
      <c r="M396" s="14"/>
      <c r="N396" s="14" t="s">
        <v>50</v>
      </c>
      <c r="O396" s="14" t="s">
        <v>51</v>
      </c>
    </row>
    <row r="397" spans="1:15">
      <c r="A397" s="15" t="s">
        <v>15</v>
      </c>
      <c r="B397" s="15" t="s">
        <v>9662</v>
      </c>
      <c r="C397" s="15" t="s">
        <v>9663</v>
      </c>
      <c r="D397" s="15" t="s">
        <v>9327</v>
      </c>
      <c r="E397" s="15">
        <v>91</v>
      </c>
      <c r="F397" s="15" t="s">
        <v>9840</v>
      </c>
      <c r="G397" s="15" t="s">
        <v>9841</v>
      </c>
      <c r="H397" s="15"/>
      <c r="I397" s="15" t="s">
        <v>49</v>
      </c>
      <c r="J397" s="7" t="str">
        <f>HYPERLINK("https://www.codechef.com/problems/NJTODZ30", "https://www.codechef.com/problems/NJTODZ30")</f>
        <v>https://www.codechef.com/problems/NJTODZ30</v>
      </c>
      <c r="K397" s="15"/>
      <c r="L397" s="15"/>
      <c r="M397" s="15"/>
      <c r="N397" s="15" t="s">
        <v>50</v>
      </c>
      <c r="O397" s="15" t="s">
        <v>51</v>
      </c>
    </row>
    <row r="398" spans="1:15">
      <c r="A398" s="14" t="s">
        <v>15</v>
      </c>
      <c r="B398" s="14" t="s">
        <v>9662</v>
      </c>
      <c r="C398" s="14" t="s">
        <v>9663</v>
      </c>
      <c r="D398" s="14" t="s">
        <v>9327</v>
      </c>
      <c r="E398" s="14">
        <v>92</v>
      </c>
      <c r="F398" s="14" t="s">
        <v>9842</v>
      </c>
      <c r="G398" s="14" t="s">
        <v>9843</v>
      </c>
      <c r="H398" s="14"/>
      <c r="I398" s="14" t="s">
        <v>96</v>
      </c>
      <c r="J398" s="11" t="str">
        <f>HYPERLINK("https://www.codechef.com/problems/NJTODZ31", "https://www.codechef.com/problems/NJTODZ31")</f>
        <v>https://www.codechef.com/problems/NJTODZ31</v>
      </c>
      <c r="K398" s="14"/>
      <c r="L398" s="14"/>
      <c r="M398" s="14"/>
      <c r="N398" s="14" t="s">
        <v>50</v>
      </c>
      <c r="O398" s="14" t="s">
        <v>51</v>
      </c>
    </row>
    <row r="399" spans="1:15">
      <c r="A399" s="15" t="s">
        <v>15</v>
      </c>
      <c r="B399" s="15" t="s">
        <v>9662</v>
      </c>
      <c r="C399" s="15" t="s">
        <v>9663</v>
      </c>
      <c r="D399" s="15" t="s">
        <v>9327</v>
      </c>
      <c r="E399" s="15">
        <v>93</v>
      </c>
      <c r="F399" s="15" t="s">
        <v>9844</v>
      </c>
      <c r="G399" s="15" t="s">
        <v>9845</v>
      </c>
      <c r="H399" s="15"/>
      <c r="I399" s="15" t="s">
        <v>49</v>
      </c>
      <c r="J399" s="7" t="str">
        <f>HYPERLINK("https://www.codechef.com/problems/NJTODZ32", "https://www.codechef.com/problems/NJTODZ32")</f>
        <v>https://www.codechef.com/problems/NJTODZ32</v>
      </c>
      <c r="K399" s="15"/>
      <c r="L399" s="15"/>
      <c r="M399" s="15"/>
      <c r="N399" s="15" t="s">
        <v>50</v>
      </c>
      <c r="O399" s="15" t="s">
        <v>51</v>
      </c>
    </row>
    <row r="400" spans="1:15">
      <c r="A400" s="14" t="s">
        <v>15</v>
      </c>
      <c r="B400" s="14" t="s">
        <v>9662</v>
      </c>
      <c r="C400" s="14" t="s">
        <v>9663</v>
      </c>
      <c r="D400" s="14" t="s">
        <v>9327</v>
      </c>
      <c r="E400" s="14">
        <v>94</v>
      </c>
      <c r="F400" s="14" t="s">
        <v>9846</v>
      </c>
      <c r="G400" s="14" t="s">
        <v>9847</v>
      </c>
      <c r="H400" s="14"/>
      <c r="I400" s="14" t="s">
        <v>96</v>
      </c>
      <c r="J400" s="11" t="str">
        <f>HYPERLINK("https://www.codechef.com/problems/NJTODZ33", "https://www.codechef.com/problems/NJTODZ33")</f>
        <v>https://www.codechef.com/problems/NJTODZ33</v>
      </c>
      <c r="K400" s="14"/>
      <c r="L400" s="14"/>
      <c r="M400" s="14"/>
      <c r="N400" s="14" t="s">
        <v>50</v>
      </c>
      <c r="O400" s="14" t="s">
        <v>51</v>
      </c>
    </row>
    <row r="401" spans="1:15">
      <c r="A401" s="15" t="s">
        <v>15</v>
      </c>
      <c r="B401" s="15" t="s">
        <v>9662</v>
      </c>
      <c r="C401" s="15" t="s">
        <v>9663</v>
      </c>
      <c r="D401" s="15" t="s">
        <v>9327</v>
      </c>
      <c r="E401" s="15">
        <v>95</v>
      </c>
      <c r="F401" s="15" t="s">
        <v>9848</v>
      </c>
      <c r="G401" s="15" t="s">
        <v>9849</v>
      </c>
      <c r="H401" s="15"/>
      <c r="I401" s="15" t="s">
        <v>96</v>
      </c>
      <c r="J401" s="7" t="str">
        <f>HYPERLINK("https://www.codechef.com/problems/NJTODZ34", "https://www.codechef.com/problems/NJTODZ34")</f>
        <v>https://www.codechef.com/problems/NJTODZ34</v>
      </c>
      <c r="K401" s="15"/>
      <c r="L401" s="15"/>
      <c r="M401" s="15"/>
      <c r="N401" s="15" t="s">
        <v>50</v>
      </c>
      <c r="O401" s="15" t="s">
        <v>51</v>
      </c>
    </row>
    <row r="402" spans="1:15">
      <c r="A402" s="14" t="s">
        <v>15</v>
      </c>
      <c r="B402" s="14" t="s">
        <v>9662</v>
      </c>
      <c r="C402" s="14" t="s">
        <v>9663</v>
      </c>
      <c r="D402" s="14" t="s">
        <v>9327</v>
      </c>
      <c r="E402" s="14">
        <v>96</v>
      </c>
      <c r="F402" s="14" t="s">
        <v>9850</v>
      </c>
      <c r="G402" s="14" t="s">
        <v>9851</v>
      </c>
      <c r="H402" s="14"/>
      <c r="I402" s="14" t="s">
        <v>96</v>
      </c>
      <c r="J402" s="11" t="str">
        <f>HYPERLINK("https://www.codechef.com/problems/NJTODZ35", "https://www.codechef.com/problems/NJTODZ35")</f>
        <v>https://www.codechef.com/problems/NJTODZ35</v>
      </c>
      <c r="K402" s="14"/>
      <c r="L402" s="14"/>
      <c r="M402" s="14"/>
      <c r="N402" s="14" t="s">
        <v>50</v>
      </c>
      <c r="O402" s="14" t="s">
        <v>51</v>
      </c>
    </row>
    <row r="403" spans="1:15">
      <c r="A403" s="15" t="s">
        <v>15</v>
      </c>
      <c r="B403" s="15" t="s">
        <v>9662</v>
      </c>
      <c r="C403" s="15" t="s">
        <v>9663</v>
      </c>
      <c r="D403" s="15" t="s">
        <v>9327</v>
      </c>
      <c r="E403" s="15">
        <v>97</v>
      </c>
      <c r="F403" s="15" t="s">
        <v>9852</v>
      </c>
      <c r="G403" s="15" t="s">
        <v>9853</v>
      </c>
      <c r="H403" s="15"/>
      <c r="I403" s="15" t="s">
        <v>96</v>
      </c>
      <c r="J403" s="7" t="str">
        <f>HYPERLINK("https://www.codechef.com/problems/NJTODZ36", "https://www.codechef.com/problems/NJTODZ36")</f>
        <v>https://www.codechef.com/problems/NJTODZ36</v>
      </c>
      <c r="K403" s="15"/>
      <c r="L403" s="15"/>
      <c r="M403" s="15"/>
      <c r="N403" s="15" t="s">
        <v>50</v>
      </c>
      <c r="O403" s="15" t="s">
        <v>51</v>
      </c>
    </row>
    <row r="404" spans="1:15">
      <c r="A404" s="14" t="s">
        <v>15</v>
      </c>
      <c r="B404" s="14" t="s">
        <v>9854</v>
      </c>
      <c r="C404" s="14" t="s">
        <v>9855</v>
      </c>
      <c r="D404" s="14" t="s">
        <v>9245</v>
      </c>
      <c r="E404" s="14">
        <v>1</v>
      </c>
      <c r="F404" s="14" t="s">
        <v>9856</v>
      </c>
      <c r="G404" s="14" t="s">
        <v>9857</v>
      </c>
      <c r="H404" s="14"/>
      <c r="I404" s="14" t="s">
        <v>96</v>
      </c>
      <c r="J404" s="11" t="str">
        <f>HYPERLINK("https://www.codechef.com/problems/QQQUOC02", "https://www.codechef.com/problems/QQQUOC02")</f>
        <v>https://www.codechef.com/problems/QQQUOC02</v>
      </c>
      <c r="K404" s="14"/>
      <c r="L404" s="14"/>
      <c r="M404" s="14"/>
      <c r="N404" s="14" t="s">
        <v>50</v>
      </c>
      <c r="O404" s="14" t="s">
        <v>51</v>
      </c>
    </row>
    <row r="405" spans="1:15">
      <c r="A405" s="15" t="s">
        <v>15</v>
      </c>
      <c r="B405" s="15" t="s">
        <v>9854</v>
      </c>
      <c r="C405" s="15" t="s">
        <v>9855</v>
      </c>
      <c r="D405" s="15" t="s">
        <v>9245</v>
      </c>
      <c r="E405" s="15">
        <v>2</v>
      </c>
      <c r="F405" s="15" t="s">
        <v>9858</v>
      </c>
      <c r="G405" s="15" t="s">
        <v>9859</v>
      </c>
      <c r="H405" s="15"/>
      <c r="I405" s="15" t="s">
        <v>96</v>
      </c>
      <c r="J405" s="7" t="str">
        <f>HYPERLINK("https://www.codechef.com/problems/QQQUOC03", "https://www.codechef.com/problems/QQQUOC03")</f>
        <v>https://www.codechef.com/problems/QQQUOC03</v>
      </c>
      <c r="K405" s="15"/>
      <c r="L405" s="15"/>
      <c r="M405" s="15"/>
      <c r="N405" s="15" t="s">
        <v>50</v>
      </c>
      <c r="O405" s="15" t="s">
        <v>51</v>
      </c>
    </row>
    <row r="406" spans="1:15">
      <c r="A406" s="14" t="s">
        <v>15</v>
      </c>
      <c r="B406" s="14" t="s">
        <v>9854</v>
      </c>
      <c r="C406" s="14" t="s">
        <v>9855</v>
      </c>
      <c r="D406" s="14" t="s">
        <v>9245</v>
      </c>
      <c r="E406" s="14">
        <v>3</v>
      </c>
      <c r="F406" s="14" t="s">
        <v>9860</v>
      </c>
      <c r="G406" s="14" t="s">
        <v>9861</v>
      </c>
      <c r="H406" s="14"/>
      <c r="I406" s="14" t="s">
        <v>96</v>
      </c>
      <c r="J406" s="11" t="str">
        <f>HYPERLINK("https://www.codechef.com/problems/QQQUOC06", "https://www.codechef.com/problems/QQQUOC06")</f>
        <v>https://www.codechef.com/problems/QQQUOC06</v>
      </c>
      <c r="K406" s="14"/>
      <c r="L406" s="14"/>
      <c r="M406" s="14"/>
      <c r="N406" s="14" t="s">
        <v>50</v>
      </c>
      <c r="O406" s="14" t="s">
        <v>51</v>
      </c>
    </row>
    <row r="407" spans="1:15">
      <c r="A407" s="15" t="s">
        <v>15</v>
      </c>
      <c r="B407" s="15" t="s">
        <v>9854</v>
      </c>
      <c r="C407" s="15" t="s">
        <v>9855</v>
      </c>
      <c r="D407" s="15" t="s">
        <v>9245</v>
      </c>
      <c r="E407" s="15">
        <v>4</v>
      </c>
      <c r="F407" s="15" t="s">
        <v>9862</v>
      </c>
      <c r="G407" s="15" t="s">
        <v>9863</v>
      </c>
      <c r="H407" s="15"/>
      <c r="I407" s="15" t="s">
        <v>96</v>
      </c>
      <c r="J407" s="7" t="str">
        <f>HYPERLINK("https://www.codechef.com/problems/QQQUOC08", "https://www.codechef.com/problems/QQQUOC08")</f>
        <v>https://www.codechef.com/problems/QQQUOC08</v>
      </c>
      <c r="K407" s="15"/>
      <c r="L407" s="15"/>
      <c r="M407" s="15"/>
      <c r="N407" s="15" t="s">
        <v>50</v>
      </c>
      <c r="O407" s="15" t="s">
        <v>51</v>
      </c>
    </row>
    <row r="408" spans="1:15">
      <c r="A408" s="14" t="s">
        <v>15</v>
      </c>
      <c r="B408" s="14" t="s">
        <v>9854</v>
      </c>
      <c r="C408" s="14" t="s">
        <v>9855</v>
      </c>
      <c r="D408" s="14" t="s">
        <v>9245</v>
      </c>
      <c r="E408" s="14">
        <v>5</v>
      </c>
      <c r="F408" s="14" t="s">
        <v>9864</v>
      </c>
      <c r="G408" s="14" t="s">
        <v>9865</v>
      </c>
      <c r="H408" s="14"/>
      <c r="I408" s="14" t="s">
        <v>49</v>
      </c>
      <c r="J408" s="11" t="str">
        <f>HYPERLINK("https://www.codechef.com/problems/QQQUOC09", "https://www.codechef.com/problems/QQQUOC09")</f>
        <v>https://www.codechef.com/problems/QQQUOC09</v>
      </c>
      <c r="K408" s="14"/>
      <c r="L408" s="14"/>
      <c r="M408" s="14"/>
      <c r="N408" s="14" t="s">
        <v>50</v>
      </c>
      <c r="O408" s="14" t="s">
        <v>51</v>
      </c>
    </row>
    <row r="409" spans="1:15">
      <c r="A409" s="15" t="s">
        <v>15</v>
      </c>
      <c r="B409" s="15" t="s">
        <v>9854</v>
      </c>
      <c r="C409" s="15" t="s">
        <v>9855</v>
      </c>
      <c r="D409" s="15" t="s">
        <v>9245</v>
      </c>
      <c r="E409" s="15">
        <v>6</v>
      </c>
      <c r="F409" s="15" t="s">
        <v>9866</v>
      </c>
      <c r="G409" s="15" t="s">
        <v>9867</v>
      </c>
      <c r="H409" s="15"/>
      <c r="I409" s="15" t="s">
        <v>49</v>
      </c>
      <c r="J409" s="7" t="str">
        <f>HYPERLINK("https://www.codechef.com/problems/QQQUOC10", "https://www.codechef.com/problems/QQQUOC10")</f>
        <v>https://www.codechef.com/problems/QQQUOC10</v>
      </c>
      <c r="K409" s="15"/>
      <c r="L409" s="15"/>
      <c r="M409" s="15"/>
      <c r="N409" s="15" t="s">
        <v>50</v>
      </c>
      <c r="O409" s="15" t="s">
        <v>51</v>
      </c>
    </row>
    <row r="410" spans="1:15">
      <c r="A410" s="14" t="s">
        <v>15</v>
      </c>
      <c r="B410" s="14" t="s">
        <v>9854</v>
      </c>
      <c r="C410" s="14" t="s">
        <v>9855</v>
      </c>
      <c r="D410" s="14" t="s">
        <v>9245</v>
      </c>
      <c r="E410" s="14">
        <v>7</v>
      </c>
      <c r="F410" s="14" t="s">
        <v>9524</v>
      </c>
      <c r="G410" s="14" t="s">
        <v>9868</v>
      </c>
      <c r="H410" s="14"/>
      <c r="I410" s="14" t="s">
        <v>96</v>
      </c>
      <c r="J410" s="11" t="str">
        <f>HYPERLINK("https://www.codechef.com/problems/QQQUOC12", "https://www.codechef.com/problems/QQQUOC12")</f>
        <v>https://www.codechef.com/problems/QQQUOC12</v>
      </c>
      <c r="K410" s="14"/>
      <c r="L410" s="14"/>
      <c r="M410" s="14"/>
      <c r="N410" s="14" t="s">
        <v>50</v>
      </c>
      <c r="O410" s="14" t="s">
        <v>51</v>
      </c>
    </row>
    <row r="411" spans="1:15">
      <c r="A411" s="15" t="s">
        <v>15</v>
      </c>
      <c r="B411" s="15" t="s">
        <v>9854</v>
      </c>
      <c r="C411" s="15" t="s">
        <v>9855</v>
      </c>
      <c r="D411" s="15" t="s">
        <v>9245</v>
      </c>
      <c r="E411" s="15">
        <v>8</v>
      </c>
      <c r="F411" s="15" t="s">
        <v>9869</v>
      </c>
      <c r="G411" s="15" t="s">
        <v>9870</v>
      </c>
      <c r="H411" s="15"/>
      <c r="I411" s="15" t="s">
        <v>49</v>
      </c>
      <c r="J411" s="7" t="str">
        <f>HYPERLINK("https://www.codechef.com/problems/QQQUOC13", "https://www.codechef.com/problems/QQQUOC13")</f>
        <v>https://www.codechef.com/problems/QQQUOC13</v>
      </c>
      <c r="K411" s="15"/>
      <c r="L411" s="15"/>
      <c r="M411" s="15"/>
      <c r="N411" s="15" t="s">
        <v>50</v>
      </c>
      <c r="O411" s="15" t="s">
        <v>51</v>
      </c>
    </row>
    <row r="412" spans="1:15">
      <c r="A412" s="14" t="s">
        <v>15</v>
      </c>
      <c r="B412" s="14" t="s">
        <v>9854</v>
      </c>
      <c r="C412" s="14" t="s">
        <v>9855</v>
      </c>
      <c r="D412" s="14" t="s">
        <v>9245</v>
      </c>
      <c r="E412" s="14">
        <v>9</v>
      </c>
      <c r="F412" s="14" t="s">
        <v>9871</v>
      </c>
      <c r="G412" s="14" t="s">
        <v>9872</v>
      </c>
      <c r="H412" s="14"/>
      <c r="I412" s="14" t="s">
        <v>96</v>
      </c>
      <c r="J412" s="11" t="str">
        <f>HYPERLINK("https://www.codechef.com/problems/QQQUOC16", "https://www.codechef.com/problems/QQQUOC16")</f>
        <v>https://www.codechef.com/problems/QQQUOC16</v>
      </c>
      <c r="K412" s="14"/>
      <c r="L412" s="14"/>
      <c r="M412" s="14"/>
      <c r="N412" s="14" t="s">
        <v>50</v>
      </c>
      <c r="O412" s="14" t="s">
        <v>51</v>
      </c>
    </row>
    <row r="413" spans="1:15">
      <c r="A413" s="15" t="s">
        <v>15</v>
      </c>
      <c r="B413" s="15" t="s">
        <v>9854</v>
      </c>
      <c r="C413" s="15" t="s">
        <v>9855</v>
      </c>
      <c r="D413" s="15" t="s">
        <v>9245</v>
      </c>
      <c r="E413" s="15">
        <v>10</v>
      </c>
      <c r="F413" s="15" t="s">
        <v>9873</v>
      </c>
      <c r="G413" s="15" t="s">
        <v>9874</v>
      </c>
      <c r="H413" s="15"/>
      <c r="I413" s="15" t="s">
        <v>96</v>
      </c>
      <c r="J413" s="7" t="str">
        <f>HYPERLINK("https://www.codechef.com/problems/QQQUOC18", "https://www.codechef.com/problems/QQQUOC18")</f>
        <v>https://www.codechef.com/problems/QQQUOC18</v>
      </c>
      <c r="K413" s="15"/>
      <c r="L413" s="15"/>
      <c r="M413" s="15"/>
      <c r="N413" s="15" t="s">
        <v>50</v>
      </c>
      <c r="O413" s="15" t="s">
        <v>51</v>
      </c>
    </row>
    <row r="414" spans="1:15">
      <c r="A414" s="14" t="s">
        <v>15</v>
      </c>
      <c r="B414" s="14" t="s">
        <v>9854</v>
      </c>
      <c r="C414" s="14" t="s">
        <v>9855</v>
      </c>
      <c r="D414" s="14" t="s">
        <v>9245</v>
      </c>
      <c r="E414" s="14">
        <v>11</v>
      </c>
      <c r="F414" s="14" t="s">
        <v>9875</v>
      </c>
      <c r="G414" s="14" t="s">
        <v>9876</v>
      </c>
      <c r="H414" s="14"/>
      <c r="I414" s="14" t="s">
        <v>96</v>
      </c>
      <c r="J414" s="11" t="str">
        <f>HYPERLINK("https://www.codechef.com/problems/QQQUOC20", "https://www.codechef.com/problems/QQQUOC20")</f>
        <v>https://www.codechef.com/problems/QQQUOC20</v>
      </c>
      <c r="K414" s="14"/>
      <c r="L414" s="14"/>
      <c r="M414" s="14"/>
      <c r="N414" s="14" t="s">
        <v>50</v>
      </c>
      <c r="O414" s="14" t="s">
        <v>51</v>
      </c>
    </row>
    <row r="415" spans="1:15">
      <c r="A415" s="15" t="s">
        <v>15</v>
      </c>
      <c r="B415" s="15" t="s">
        <v>9854</v>
      </c>
      <c r="C415" s="15" t="s">
        <v>9855</v>
      </c>
      <c r="D415" s="15" t="s">
        <v>9245</v>
      </c>
      <c r="E415" s="15">
        <v>12</v>
      </c>
      <c r="F415" s="15" t="s">
        <v>9877</v>
      </c>
      <c r="G415" s="15" t="s">
        <v>9878</v>
      </c>
      <c r="H415" s="15"/>
      <c r="I415" s="15" t="s">
        <v>322</v>
      </c>
      <c r="J415" s="7" t="str">
        <f>HYPERLINK("https://www.codechef.com/problems/QQQUOC05", "https://www.codechef.com/problems/QQQUOC05")</f>
        <v>https://www.codechef.com/problems/QQQUOC05</v>
      </c>
      <c r="K415" s="15"/>
      <c r="L415" s="15"/>
      <c r="M415" s="15"/>
      <c r="N415" s="15" t="s">
        <v>50</v>
      </c>
      <c r="O415" s="15" t="s">
        <v>51</v>
      </c>
    </row>
    <row r="416" spans="1:15">
      <c r="A416" s="14" t="s">
        <v>15</v>
      </c>
      <c r="B416" s="14" t="s">
        <v>9854</v>
      </c>
      <c r="C416" s="14" t="s">
        <v>9855</v>
      </c>
      <c r="D416" s="14" t="s">
        <v>9245</v>
      </c>
      <c r="E416" s="14">
        <v>13</v>
      </c>
      <c r="F416" s="14" t="s">
        <v>9879</v>
      </c>
      <c r="G416" s="14" t="s">
        <v>9880</v>
      </c>
      <c r="H416" s="14"/>
      <c r="I416" s="14" t="s">
        <v>96</v>
      </c>
      <c r="J416" s="11" t="str">
        <f>HYPERLINK("https://www.codechef.com/problems/QQQUOC01", "https://www.codechef.com/problems/QQQUOC01")</f>
        <v>https://www.codechef.com/problems/QQQUOC01</v>
      </c>
      <c r="K416" s="14"/>
      <c r="L416" s="14"/>
      <c r="M416" s="14"/>
      <c r="N416" s="14" t="s">
        <v>50</v>
      </c>
      <c r="O416" s="14" t="s">
        <v>51</v>
      </c>
    </row>
    <row r="417" spans="1:15">
      <c r="A417" s="15" t="s">
        <v>15</v>
      </c>
      <c r="B417" s="15" t="s">
        <v>9854</v>
      </c>
      <c r="C417" s="15" t="s">
        <v>9855</v>
      </c>
      <c r="D417" s="15" t="s">
        <v>9245</v>
      </c>
      <c r="E417" s="15">
        <v>14</v>
      </c>
      <c r="F417" s="15" t="s">
        <v>9881</v>
      </c>
      <c r="G417" s="15" t="s">
        <v>9882</v>
      </c>
      <c r="H417" s="15"/>
      <c r="I417" s="15" t="s">
        <v>96</v>
      </c>
      <c r="J417" s="7" t="str">
        <f>HYPERLINK("https://www.codechef.com/problems/QQQUOC11", "https://www.codechef.com/problems/QQQUOC11")</f>
        <v>https://www.codechef.com/problems/QQQUOC11</v>
      </c>
      <c r="K417" s="15"/>
      <c r="L417" s="15"/>
      <c r="M417" s="15"/>
      <c r="N417" s="15" t="s">
        <v>50</v>
      </c>
      <c r="O417" s="15" t="s">
        <v>51</v>
      </c>
    </row>
    <row r="418" spans="1:15">
      <c r="A418" s="14" t="s">
        <v>15</v>
      </c>
      <c r="B418" s="14" t="s">
        <v>9854</v>
      </c>
      <c r="C418" s="14" t="s">
        <v>9855</v>
      </c>
      <c r="D418" s="14" t="s">
        <v>9245</v>
      </c>
      <c r="E418" s="14">
        <v>15</v>
      </c>
      <c r="F418" s="14" t="s">
        <v>9883</v>
      </c>
      <c r="G418" s="14" t="s">
        <v>9884</v>
      </c>
      <c r="H418" s="14"/>
      <c r="I418" s="14" t="s">
        <v>322</v>
      </c>
      <c r="J418" s="11" t="str">
        <f>HYPERLINK("https://www.codechef.com/problems/QQQUOC15", "https://www.codechef.com/problems/QQQUOC15")</f>
        <v>https://www.codechef.com/problems/QQQUOC15</v>
      </c>
      <c r="K418" s="14"/>
      <c r="L418" s="14"/>
      <c r="M418" s="14"/>
      <c r="N418" s="14" t="s">
        <v>50</v>
      </c>
      <c r="O418" s="14" t="s">
        <v>51</v>
      </c>
    </row>
    <row r="419" spans="1:15">
      <c r="A419" s="15" t="s">
        <v>15</v>
      </c>
      <c r="B419" s="15" t="s">
        <v>9854</v>
      </c>
      <c r="C419" s="15" t="s">
        <v>9855</v>
      </c>
      <c r="D419" s="15" t="s">
        <v>9245</v>
      </c>
      <c r="E419" s="15">
        <v>16</v>
      </c>
      <c r="F419" s="15" t="s">
        <v>9885</v>
      </c>
      <c r="G419" s="15" t="s">
        <v>9886</v>
      </c>
      <c r="H419" s="15"/>
      <c r="I419" s="15" t="s">
        <v>96</v>
      </c>
      <c r="J419" s="7" t="str">
        <f>HYPERLINK("https://www.codechef.com/problems/QQQUOC19", "https://www.codechef.com/problems/QQQUOC19")</f>
        <v>https://www.codechef.com/problems/QQQUOC19</v>
      </c>
      <c r="K419" s="15"/>
      <c r="L419" s="15"/>
      <c r="M419" s="15"/>
      <c r="N419" s="15" t="s">
        <v>50</v>
      </c>
      <c r="O419" s="15" t="s">
        <v>51</v>
      </c>
    </row>
    <row r="420" spans="1:15">
      <c r="A420" s="14" t="s">
        <v>15</v>
      </c>
      <c r="B420" s="14" t="s">
        <v>9854</v>
      </c>
      <c r="C420" s="14" t="s">
        <v>9855</v>
      </c>
      <c r="D420" s="14" t="s">
        <v>9245</v>
      </c>
      <c r="E420" s="14">
        <v>17</v>
      </c>
      <c r="F420" s="14" t="s">
        <v>9887</v>
      </c>
      <c r="G420" s="14" t="s">
        <v>9888</v>
      </c>
      <c r="H420" s="14"/>
      <c r="I420" s="14" t="s">
        <v>96</v>
      </c>
      <c r="J420" s="11" t="str">
        <f>HYPERLINK("https://www.codechef.com/problems/QQQUOC21", "https://www.codechef.com/problems/QQQUOC21")</f>
        <v>https://www.codechef.com/problems/QQQUOC21</v>
      </c>
      <c r="K420" s="14"/>
      <c r="L420" s="14"/>
      <c r="M420" s="14"/>
      <c r="N420" s="14" t="s">
        <v>50</v>
      </c>
      <c r="O420" s="14" t="s">
        <v>51</v>
      </c>
    </row>
    <row r="421" spans="1:15">
      <c r="A421" s="15" t="s">
        <v>15</v>
      </c>
      <c r="B421" s="15" t="s">
        <v>9854</v>
      </c>
      <c r="C421" s="15" t="s">
        <v>9855</v>
      </c>
      <c r="D421" s="15" t="s">
        <v>9245</v>
      </c>
      <c r="E421" s="15">
        <v>18</v>
      </c>
      <c r="F421" s="15" t="s">
        <v>9889</v>
      </c>
      <c r="G421" s="15" t="s">
        <v>9890</v>
      </c>
      <c r="H421" s="15"/>
      <c r="I421" s="15" t="s">
        <v>96</v>
      </c>
      <c r="J421" s="7" t="str">
        <f>HYPERLINK("https://www.codechef.com/problems/QQQUOC22", "https://www.codechef.com/problems/QQQUOC22")</f>
        <v>https://www.codechef.com/problems/QQQUOC22</v>
      </c>
      <c r="K421" s="15"/>
      <c r="L421" s="15"/>
      <c r="M421" s="15"/>
      <c r="N421" s="15" t="s">
        <v>50</v>
      </c>
      <c r="O421" s="15" t="s">
        <v>51</v>
      </c>
    </row>
    <row r="422" spans="1:15">
      <c r="A422" s="14" t="s">
        <v>15</v>
      </c>
      <c r="B422" s="14" t="s">
        <v>9854</v>
      </c>
      <c r="C422" s="14" t="s">
        <v>9855</v>
      </c>
      <c r="D422" s="14" t="s">
        <v>9245</v>
      </c>
      <c r="E422" s="14">
        <v>19</v>
      </c>
      <c r="F422" s="14" t="s">
        <v>9891</v>
      </c>
      <c r="G422" s="14" t="s">
        <v>9892</v>
      </c>
      <c r="H422" s="14"/>
      <c r="I422" s="14" t="s">
        <v>96</v>
      </c>
      <c r="J422" s="11" t="str">
        <f>HYPERLINK("https://www.codechef.com/problems/QQQUOC23", "https://www.codechef.com/problems/QQQUOC23")</f>
        <v>https://www.codechef.com/problems/QQQUOC23</v>
      </c>
      <c r="K422" s="14"/>
      <c r="L422" s="14"/>
      <c r="M422" s="14"/>
      <c r="N422" s="14" t="s">
        <v>50</v>
      </c>
      <c r="O422" s="14" t="s">
        <v>51</v>
      </c>
    </row>
    <row r="423" spans="1:15">
      <c r="A423" s="15" t="s">
        <v>15</v>
      </c>
      <c r="B423" s="15" t="s">
        <v>9854</v>
      </c>
      <c r="C423" s="15" t="s">
        <v>9855</v>
      </c>
      <c r="D423" s="15" t="s">
        <v>9245</v>
      </c>
      <c r="E423" s="15">
        <v>20</v>
      </c>
      <c r="F423" s="15" t="s">
        <v>9893</v>
      </c>
      <c r="G423" s="15" t="s">
        <v>9894</v>
      </c>
      <c r="H423" s="15"/>
      <c r="I423" s="15" t="s">
        <v>96</v>
      </c>
      <c r="J423" s="7" t="str">
        <f>HYPERLINK("https://www.codechef.com/problems/QQQUOC24", "https://www.codechef.com/problems/QQQUOC24")</f>
        <v>https://www.codechef.com/problems/QQQUOC24</v>
      </c>
      <c r="K423" s="15"/>
      <c r="L423" s="15"/>
      <c r="M423" s="15"/>
      <c r="N423" s="15" t="s">
        <v>50</v>
      </c>
      <c r="O423" s="15" t="s">
        <v>51</v>
      </c>
    </row>
    <row r="424" spans="1:15">
      <c r="A424" s="14" t="s">
        <v>15</v>
      </c>
      <c r="B424" s="14" t="s">
        <v>9854</v>
      </c>
      <c r="C424" s="14" t="s">
        <v>9855</v>
      </c>
      <c r="D424" s="14" t="s">
        <v>9245</v>
      </c>
      <c r="E424" s="14">
        <v>21</v>
      </c>
      <c r="F424" s="14" t="s">
        <v>9895</v>
      </c>
      <c r="G424" s="14" t="s">
        <v>9896</v>
      </c>
      <c r="H424" s="14"/>
      <c r="I424" s="14" t="s">
        <v>322</v>
      </c>
      <c r="J424" s="11" t="str">
        <f>HYPERLINK("https://www.codechef.com/problems/QQQUOC04", "https://www.codechef.com/problems/QQQUOC04")</f>
        <v>https://www.codechef.com/problems/QQQUOC04</v>
      </c>
      <c r="K424" s="14"/>
      <c r="L424" s="14"/>
      <c r="M424" s="14"/>
      <c r="N424" s="14" t="s">
        <v>50</v>
      </c>
      <c r="O424" s="14" t="s">
        <v>51</v>
      </c>
    </row>
    <row r="425" spans="1:15">
      <c r="A425" s="15" t="s">
        <v>15</v>
      </c>
      <c r="B425" s="15" t="s">
        <v>9854</v>
      </c>
      <c r="C425" s="15" t="s">
        <v>9855</v>
      </c>
      <c r="D425" s="15" t="s">
        <v>9897</v>
      </c>
      <c r="E425" s="15">
        <v>22</v>
      </c>
      <c r="F425" s="15" t="s">
        <v>9898</v>
      </c>
      <c r="G425" s="15" t="s">
        <v>9899</v>
      </c>
      <c r="H425" s="15"/>
      <c r="I425" s="15" t="s">
        <v>49</v>
      </c>
      <c r="J425" s="7" t="str">
        <f>HYPERLINK("https://www.codechef.com/problems/MIUVCA21", "https://www.codechef.com/problems/MIUVCA21")</f>
        <v>https://www.codechef.com/problems/MIUVCA21</v>
      </c>
      <c r="K425" s="15"/>
      <c r="L425" s="15"/>
      <c r="M425" s="15"/>
      <c r="N425" s="15" t="s">
        <v>50</v>
      </c>
      <c r="O425" s="15" t="s">
        <v>51</v>
      </c>
    </row>
    <row r="426" spans="1:15">
      <c r="A426" s="14" t="s">
        <v>15</v>
      </c>
      <c r="B426" s="14" t="s">
        <v>9854</v>
      </c>
      <c r="C426" s="14" t="s">
        <v>9855</v>
      </c>
      <c r="D426" s="14" t="s">
        <v>9897</v>
      </c>
      <c r="E426" s="14">
        <v>23</v>
      </c>
      <c r="F426" s="14" t="s">
        <v>9900</v>
      </c>
      <c r="G426" s="14" t="s">
        <v>9901</v>
      </c>
      <c r="H426" s="14"/>
      <c r="I426" s="14" t="s">
        <v>49</v>
      </c>
      <c r="J426" s="11" t="str">
        <f>HYPERLINK("https://www.codechef.com/problems/MIUVCA22", "https://www.codechef.com/problems/MIUVCA22")</f>
        <v>https://www.codechef.com/problems/MIUVCA22</v>
      </c>
      <c r="K426" s="14"/>
      <c r="L426" s="14"/>
      <c r="M426" s="14"/>
      <c r="N426" s="14" t="s">
        <v>50</v>
      </c>
      <c r="O426" s="14" t="s">
        <v>51</v>
      </c>
    </row>
    <row r="427" spans="1:15">
      <c r="A427" s="15" t="s">
        <v>15</v>
      </c>
      <c r="B427" s="15" t="s">
        <v>9854</v>
      </c>
      <c r="C427" s="15" t="s">
        <v>9855</v>
      </c>
      <c r="D427" s="15" t="s">
        <v>9897</v>
      </c>
      <c r="E427" s="15">
        <v>24</v>
      </c>
      <c r="F427" s="15" t="s">
        <v>9902</v>
      </c>
      <c r="G427" s="15" t="s">
        <v>9903</v>
      </c>
      <c r="H427" s="15"/>
      <c r="I427" s="15" t="s">
        <v>49</v>
      </c>
      <c r="J427" s="7" t="str">
        <f>HYPERLINK("https://www.codechef.com/problems/MIUVCA23", "https://www.codechef.com/problems/MIUVCA23")</f>
        <v>https://www.codechef.com/problems/MIUVCA23</v>
      </c>
      <c r="K427" s="15"/>
      <c r="L427" s="15"/>
      <c r="M427" s="15"/>
      <c r="N427" s="15" t="s">
        <v>50</v>
      </c>
      <c r="O427" s="15" t="s">
        <v>51</v>
      </c>
    </row>
    <row r="428" spans="1:15">
      <c r="A428" s="14" t="s">
        <v>15</v>
      </c>
      <c r="B428" s="14" t="s">
        <v>9854</v>
      </c>
      <c r="C428" s="14" t="s">
        <v>9855</v>
      </c>
      <c r="D428" s="14" t="s">
        <v>9897</v>
      </c>
      <c r="E428" s="14">
        <v>25</v>
      </c>
      <c r="F428" s="14" t="s">
        <v>9904</v>
      </c>
      <c r="G428" s="14" t="s">
        <v>9905</v>
      </c>
      <c r="H428" s="14"/>
      <c r="I428" s="14" t="s">
        <v>49</v>
      </c>
      <c r="J428" s="11" t="str">
        <f>HYPERLINK("https://www.codechef.com/problems/MIUVCA24", "https://www.codechef.com/problems/MIUVCA24")</f>
        <v>https://www.codechef.com/problems/MIUVCA24</v>
      </c>
      <c r="K428" s="14"/>
      <c r="L428" s="14"/>
      <c r="M428" s="14"/>
      <c r="N428" s="14" t="s">
        <v>50</v>
      </c>
      <c r="O428" s="14" t="s">
        <v>51</v>
      </c>
    </row>
    <row r="429" spans="1:15">
      <c r="A429" s="15" t="s">
        <v>15</v>
      </c>
      <c r="B429" s="15" t="s">
        <v>9854</v>
      </c>
      <c r="C429" s="15" t="s">
        <v>9855</v>
      </c>
      <c r="D429" s="15" t="s">
        <v>9897</v>
      </c>
      <c r="E429" s="15">
        <v>26</v>
      </c>
      <c r="F429" s="15" t="s">
        <v>9906</v>
      </c>
      <c r="G429" s="15" t="s">
        <v>9907</v>
      </c>
      <c r="H429" s="15"/>
      <c r="I429" s="15" t="s">
        <v>49</v>
      </c>
      <c r="J429" s="7" t="str">
        <f>HYPERLINK("https://www.codechef.com/problems/MIUVCA25", "https://www.codechef.com/problems/MIUVCA25")</f>
        <v>https://www.codechef.com/problems/MIUVCA25</v>
      </c>
      <c r="K429" s="15"/>
      <c r="L429" s="15"/>
      <c r="M429" s="15"/>
      <c r="N429" s="15" t="s">
        <v>50</v>
      </c>
      <c r="O429" s="15" t="s">
        <v>51</v>
      </c>
    </row>
    <row r="430" spans="1:15">
      <c r="A430" s="14" t="s">
        <v>15</v>
      </c>
      <c r="B430" s="14" t="s">
        <v>9854</v>
      </c>
      <c r="C430" s="14" t="s">
        <v>9855</v>
      </c>
      <c r="D430" s="14" t="s">
        <v>9897</v>
      </c>
      <c r="E430" s="14">
        <v>27</v>
      </c>
      <c r="F430" s="14" t="s">
        <v>9908</v>
      </c>
      <c r="G430" s="14" t="s">
        <v>9909</v>
      </c>
      <c r="H430" s="14"/>
      <c r="I430" s="14" t="s">
        <v>49</v>
      </c>
      <c r="J430" s="11" t="str">
        <f>HYPERLINK("https://www.codechef.com/problems/MIUVCA26", "https://www.codechef.com/problems/MIUVCA26")</f>
        <v>https://www.codechef.com/problems/MIUVCA26</v>
      </c>
      <c r="K430" s="14"/>
      <c r="L430" s="14"/>
      <c r="M430" s="14"/>
      <c r="N430" s="14" t="s">
        <v>50</v>
      </c>
      <c r="O430" s="14" t="s">
        <v>51</v>
      </c>
    </row>
    <row r="431" spans="1:15">
      <c r="A431" s="15" t="s">
        <v>15</v>
      </c>
      <c r="B431" s="15" t="s">
        <v>9854</v>
      </c>
      <c r="C431" s="15" t="s">
        <v>9855</v>
      </c>
      <c r="D431" s="15" t="s">
        <v>9897</v>
      </c>
      <c r="E431" s="15">
        <v>28</v>
      </c>
      <c r="F431" s="15" t="s">
        <v>9910</v>
      </c>
      <c r="G431" s="15" t="s">
        <v>9911</v>
      </c>
      <c r="H431" s="15"/>
      <c r="I431" s="15" t="s">
        <v>49</v>
      </c>
      <c r="J431" s="7" t="str">
        <f>HYPERLINK("https://www.codechef.com/problems/MIUVCA27", "https://www.codechef.com/problems/MIUVCA27")</f>
        <v>https://www.codechef.com/problems/MIUVCA27</v>
      </c>
      <c r="K431" s="15"/>
      <c r="L431" s="15"/>
      <c r="M431" s="15"/>
      <c r="N431" s="15" t="s">
        <v>50</v>
      </c>
      <c r="O431" s="15" t="s">
        <v>51</v>
      </c>
    </row>
    <row r="432" spans="1:15">
      <c r="A432" s="14" t="s">
        <v>15</v>
      </c>
      <c r="B432" s="14" t="s">
        <v>9854</v>
      </c>
      <c r="C432" s="14" t="s">
        <v>9855</v>
      </c>
      <c r="D432" s="14" t="s">
        <v>9897</v>
      </c>
      <c r="E432" s="14">
        <v>29</v>
      </c>
      <c r="F432" s="14" t="s">
        <v>9912</v>
      </c>
      <c r="G432" s="14" t="s">
        <v>9913</v>
      </c>
      <c r="H432" s="14"/>
      <c r="I432" s="14" t="s">
        <v>96</v>
      </c>
      <c r="J432" s="11" t="str">
        <f>HYPERLINK("https://www.codechef.com/problems/MIUVCA29", "https://www.codechef.com/problems/MIUVCA29")</f>
        <v>https://www.codechef.com/problems/MIUVCA29</v>
      </c>
      <c r="K432" s="14"/>
      <c r="L432" s="14"/>
      <c r="M432" s="14"/>
      <c r="N432" s="14" t="s">
        <v>50</v>
      </c>
      <c r="O432" s="14" t="s">
        <v>51</v>
      </c>
    </row>
    <row r="433" spans="1:15">
      <c r="A433" s="15" t="s">
        <v>15</v>
      </c>
      <c r="B433" s="15" t="s">
        <v>9854</v>
      </c>
      <c r="C433" s="15" t="s">
        <v>9855</v>
      </c>
      <c r="D433" s="15" t="s">
        <v>9897</v>
      </c>
      <c r="E433" s="15">
        <v>30</v>
      </c>
      <c r="F433" s="15" t="s">
        <v>9914</v>
      </c>
      <c r="G433" s="15" t="s">
        <v>9915</v>
      </c>
      <c r="H433" s="15"/>
      <c r="I433" s="15" t="s">
        <v>49</v>
      </c>
      <c r="J433" s="7" t="str">
        <f>HYPERLINK("https://www.codechef.com/problems/MIUVCA30", "https://www.codechef.com/problems/MIUVCA30")</f>
        <v>https://www.codechef.com/problems/MIUVCA30</v>
      </c>
      <c r="K433" s="15"/>
      <c r="L433" s="15"/>
      <c r="M433" s="15"/>
      <c r="N433" s="15" t="s">
        <v>50</v>
      </c>
      <c r="O433" s="15" t="s">
        <v>51</v>
      </c>
    </row>
    <row r="434" spans="1:15">
      <c r="A434" s="14" t="s">
        <v>15</v>
      </c>
      <c r="B434" s="14" t="s">
        <v>9854</v>
      </c>
      <c r="C434" s="14" t="s">
        <v>9855</v>
      </c>
      <c r="D434" s="14" t="s">
        <v>9897</v>
      </c>
      <c r="E434" s="14">
        <v>31</v>
      </c>
      <c r="F434" s="14" t="s">
        <v>9916</v>
      </c>
      <c r="G434" s="14" t="s">
        <v>9917</v>
      </c>
      <c r="H434" s="14"/>
      <c r="I434" s="14" t="s">
        <v>49</v>
      </c>
      <c r="J434" s="11" t="str">
        <f>HYPERLINK("https://www.codechef.com/problems/MIUVCA31", "https://www.codechef.com/problems/MIUVCA31")</f>
        <v>https://www.codechef.com/problems/MIUVCA31</v>
      </c>
      <c r="K434" s="14"/>
      <c r="L434" s="14"/>
      <c r="M434" s="14"/>
      <c r="N434" s="14" t="s">
        <v>50</v>
      </c>
      <c r="O434" s="14" t="s">
        <v>51</v>
      </c>
    </row>
    <row r="435" spans="1:15">
      <c r="A435" s="15" t="s">
        <v>15</v>
      </c>
      <c r="B435" s="15" t="s">
        <v>9854</v>
      </c>
      <c r="C435" s="15" t="s">
        <v>9855</v>
      </c>
      <c r="D435" s="15" t="s">
        <v>9897</v>
      </c>
      <c r="E435" s="15">
        <v>32</v>
      </c>
      <c r="F435" s="15" t="s">
        <v>9918</v>
      </c>
      <c r="G435" s="15" t="s">
        <v>9919</v>
      </c>
      <c r="H435" s="15"/>
      <c r="I435" s="15" t="s">
        <v>49</v>
      </c>
      <c r="J435" s="7" t="str">
        <f>HYPERLINK("https://www.codechef.com/problems/MIUVCA32", "https://www.codechef.com/problems/MIUVCA32")</f>
        <v>https://www.codechef.com/problems/MIUVCA32</v>
      </c>
      <c r="K435" s="15"/>
      <c r="L435" s="15"/>
      <c r="M435" s="15"/>
      <c r="N435" s="15" t="s">
        <v>50</v>
      </c>
      <c r="O435" s="15" t="s">
        <v>51</v>
      </c>
    </row>
    <row r="436" spans="1:15">
      <c r="A436" s="14" t="s">
        <v>15</v>
      </c>
      <c r="B436" s="14" t="s">
        <v>9854</v>
      </c>
      <c r="C436" s="14" t="s">
        <v>9855</v>
      </c>
      <c r="D436" s="14" t="s">
        <v>9897</v>
      </c>
      <c r="E436" s="14">
        <v>33</v>
      </c>
      <c r="F436" s="14" t="s">
        <v>9920</v>
      </c>
      <c r="G436" s="14" t="s">
        <v>9921</v>
      </c>
      <c r="H436" s="14"/>
      <c r="I436" s="14" t="s">
        <v>49</v>
      </c>
      <c r="J436" s="11" t="str">
        <f>HYPERLINK("https://www.codechef.com/problems/MIUVCA33", "https://www.codechef.com/problems/MIUVCA33")</f>
        <v>https://www.codechef.com/problems/MIUVCA33</v>
      </c>
      <c r="K436" s="14"/>
      <c r="L436" s="14"/>
      <c r="M436" s="14"/>
      <c r="N436" s="14" t="s">
        <v>50</v>
      </c>
      <c r="O436" s="14" t="s">
        <v>51</v>
      </c>
    </row>
    <row r="437" spans="1:15">
      <c r="A437" s="15" t="s">
        <v>15</v>
      </c>
      <c r="B437" s="15" t="s">
        <v>9854</v>
      </c>
      <c r="C437" s="15" t="s">
        <v>9855</v>
      </c>
      <c r="D437" s="15" t="s">
        <v>9897</v>
      </c>
      <c r="E437" s="15">
        <v>34</v>
      </c>
      <c r="F437" s="15" t="s">
        <v>9922</v>
      </c>
      <c r="G437" s="15" t="s">
        <v>9923</v>
      </c>
      <c r="H437" s="15"/>
      <c r="I437" s="15" t="s">
        <v>49</v>
      </c>
      <c r="J437" s="7" t="str">
        <f>HYPERLINK("https://www.codechef.com/problems/MIUVCA34", "https://www.codechef.com/problems/MIUVCA34")</f>
        <v>https://www.codechef.com/problems/MIUVCA34</v>
      </c>
      <c r="K437" s="15"/>
      <c r="L437" s="15"/>
      <c r="M437" s="15"/>
      <c r="N437" s="15" t="s">
        <v>50</v>
      </c>
      <c r="O437" s="15" t="s">
        <v>51</v>
      </c>
    </row>
    <row r="438" spans="1:15">
      <c r="A438" s="14" t="s">
        <v>15</v>
      </c>
      <c r="B438" s="14" t="s">
        <v>9854</v>
      </c>
      <c r="C438" s="14" t="s">
        <v>9855</v>
      </c>
      <c r="D438" s="14" t="s">
        <v>9897</v>
      </c>
      <c r="E438" s="14">
        <v>35</v>
      </c>
      <c r="F438" s="14" t="s">
        <v>9924</v>
      </c>
      <c r="G438" s="14" t="s">
        <v>9925</v>
      </c>
      <c r="H438" s="14"/>
      <c r="I438" s="14" t="s">
        <v>49</v>
      </c>
      <c r="J438" s="11" t="str">
        <f>HYPERLINK("https://www.codechef.com/problems/MIUVCA35", "https://www.codechef.com/problems/MIUVCA35")</f>
        <v>https://www.codechef.com/problems/MIUVCA35</v>
      </c>
      <c r="K438" s="14"/>
      <c r="L438" s="14"/>
      <c r="M438" s="14"/>
      <c r="N438" s="14" t="s">
        <v>50</v>
      </c>
      <c r="O438" s="14" t="s">
        <v>51</v>
      </c>
    </row>
    <row r="439" spans="1:15">
      <c r="A439" s="15" t="s">
        <v>15</v>
      </c>
      <c r="B439" s="15" t="s">
        <v>9854</v>
      </c>
      <c r="C439" s="15" t="s">
        <v>9855</v>
      </c>
      <c r="D439" s="15" t="s">
        <v>9897</v>
      </c>
      <c r="E439" s="15">
        <v>36</v>
      </c>
      <c r="F439" s="15" t="s">
        <v>9926</v>
      </c>
      <c r="G439" s="15" t="s">
        <v>9927</v>
      </c>
      <c r="H439" s="15"/>
      <c r="I439" s="15" t="s">
        <v>49</v>
      </c>
      <c r="J439" s="7" t="str">
        <f>HYPERLINK("https://www.codechef.com/problems/MIUVCA36", "https://www.codechef.com/problems/MIUVCA36")</f>
        <v>https://www.codechef.com/problems/MIUVCA36</v>
      </c>
      <c r="K439" s="15"/>
      <c r="L439" s="15"/>
      <c r="M439" s="15"/>
      <c r="N439" s="15" t="s">
        <v>50</v>
      </c>
      <c r="O439" s="15" t="s">
        <v>51</v>
      </c>
    </row>
    <row r="440" spans="1:15">
      <c r="A440" s="14" t="s">
        <v>15</v>
      </c>
      <c r="B440" s="14" t="s">
        <v>9854</v>
      </c>
      <c r="C440" s="14" t="s">
        <v>9855</v>
      </c>
      <c r="D440" s="14" t="s">
        <v>9897</v>
      </c>
      <c r="E440" s="14">
        <v>37</v>
      </c>
      <c r="F440" s="14" t="s">
        <v>9928</v>
      </c>
      <c r="G440" s="14" t="s">
        <v>9929</v>
      </c>
      <c r="H440" s="14"/>
      <c r="I440" s="14" t="s">
        <v>49</v>
      </c>
      <c r="J440" s="11" t="str">
        <f>HYPERLINK("https://www.codechef.com/problems/MIUVCA37", "https://www.codechef.com/problems/MIUVCA37")</f>
        <v>https://www.codechef.com/problems/MIUVCA37</v>
      </c>
      <c r="K440" s="14"/>
      <c r="L440" s="14"/>
      <c r="M440" s="14"/>
      <c r="N440" s="14" t="s">
        <v>50</v>
      </c>
      <c r="O440" s="14" t="s">
        <v>51</v>
      </c>
    </row>
    <row r="441" spans="1:15">
      <c r="A441" s="15" t="s">
        <v>15</v>
      </c>
      <c r="B441" s="15" t="s">
        <v>9854</v>
      </c>
      <c r="C441" s="15" t="s">
        <v>9855</v>
      </c>
      <c r="D441" s="15" t="s">
        <v>9897</v>
      </c>
      <c r="E441" s="15">
        <v>38</v>
      </c>
      <c r="F441" s="15" t="s">
        <v>9930</v>
      </c>
      <c r="G441" s="15" t="s">
        <v>9931</v>
      </c>
      <c r="H441" s="15"/>
      <c r="I441" s="15" t="s">
        <v>49</v>
      </c>
      <c r="J441" s="7" t="str">
        <f>HYPERLINK("https://www.codechef.com/problems/MIUVCA38", "https://www.codechef.com/problems/MIUVCA38")</f>
        <v>https://www.codechef.com/problems/MIUVCA38</v>
      </c>
      <c r="K441" s="15"/>
      <c r="L441" s="15"/>
      <c r="M441" s="15"/>
      <c r="N441" s="15" t="s">
        <v>50</v>
      </c>
      <c r="O441" s="15" t="s">
        <v>51</v>
      </c>
    </row>
    <row r="442" spans="1:15">
      <c r="A442" s="14" t="s">
        <v>15</v>
      </c>
      <c r="B442" s="14" t="s">
        <v>9854</v>
      </c>
      <c r="C442" s="14" t="s">
        <v>9855</v>
      </c>
      <c r="D442" s="14" t="s">
        <v>9897</v>
      </c>
      <c r="E442" s="14">
        <v>39</v>
      </c>
      <c r="F442" s="14" t="s">
        <v>9932</v>
      </c>
      <c r="G442" s="14" t="s">
        <v>9933</v>
      </c>
      <c r="H442" s="14"/>
      <c r="I442" s="14" t="s">
        <v>49</v>
      </c>
      <c r="J442" s="11" t="str">
        <f>HYPERLINK("https://www.codechef.com/problems/MIUVCA39", "https://www.codechef.com/problems/MIUVCA39")</f>
        <v>https://www.codechef.com/problems/MIUVCA39</v>
      </c>
      <c r="K442" s="14"/>
      <c r="L442" s="14"/>
      <c r="M442" s="14"/>
      <c r="N442" s="14" t="s">
        <v>50</v>
      </c>
      <c r="O442" s="14" t="s">
        <v>51</v>
      </c>
    </row>
    <row r="443" spans="1:15">
      <c r="A443" s="15" t="s">
        <v>15</v>
      </c>
      <c r="B443" s="15" t="s">
        <v>9854</v>
      </c>
      <c r="C443" s="15" t="s">
        <v>9855</v>
      </c>
      <c r="D443" s="15" t="s">
        <v>9897</v>
      </c>
      <c r="E443" s="15">
        <v>40</v>
      </c>
      <c r="F443" s="15" t="s">
        <v>9934</v>
      </c>
      <c r="G443" s="15" t="s">
        <v>9935</v>
      </c>
      <c r="H443" s="15"/>
      <c r="I443" s="15" t="s">
        <v>49</v>
      </c>
      <c r="J443" s="7" t="str">
        <f>HYPERLINK("https://www.codechef.com/problems/MIUVCA40", "https://www.codechef.com/problems/MIUVCA40")</f>
        <v>https://www.codechef.com/problems/MIUVCA40</v>
      </c>
      <c r="K443" s="15"/>
      <c r="L443" s="15"/>
      <c r="M443" s="15"/>
      <c r="N443" s="15" t="s">
        <v>50</v>
      </c>
      <c r="O443" s="15" t="s">
        <v>51</v>
      </c>
    </row>
    <row r="444" spans="1:15">
      <c r="A444" s="14" t="s">
        <v>15</v>
      </c>
      <c r="B444" s="14" t="s">
        <v>9854</v>
      </c>
      <c r="C444" s="14" t="s">
        <v>9855</v>
      </c>
      <c r="D444" s="14" t="s">
        <v>9936</v>
      </c>
      <c r="E444" s="14">
        <v>41</v>
      </c>
      <c r="F444" s="14" t="s">
        <v>9937</v>
      </c>
      <c r="G444" s="14" t="s">
        <v>9938</v>
      </c>
      <c r="H444" s="14"/>
      <c r="I444" s="14" t="s">
        <v>49</v>
      </c>
      <c r="J444" s="11" t="str">
        <f>HYPERLINK("https://www.codechef.com/problems/MIUVCA01", "https://www.codechef.com/problems/MIUVCA01")</f>
        <v>https://www.codechef.com/problems/MIUVCA01</v>
      </c>
      <c r="K444" s="14"/>
      <c r="L444" s="14"/>
      <c r="M444" s="14"/>
      <c r="N444" s="14" t="s">
        <v>50</v>
      </c>
      <c r="O444" s="14" t="s">
        <v>51</v>
      </c>
    </row>
    <row r="445" spans="1:15">
      <c r="A445" s="15" t="s">
        <v>15</v>
      </c>
      <c r="B445" s="15" t="s">
        <v>9854</v>
      </c>
      <c r="C445" s="15" t="s">
        <v>9855</v>
      </c>
      <c r="D445" s="15" t="s">
        <v>9936</v>
      </c>
      <c r="E445" s="15">
        <v>42</v>
      </c>
      <c r="F445" s="15" t="s">
        <v>9939</v>
      </c>
      <c r="G445" s="15" t="s">
        <v>9940</v>
      </c>
      <c r="H445" s="15"/>
      <c r="I445" s="15" t="s">
        <v>49</v>
      </c>
      <c r="J445" s="7" t="str">
        <f>HYPERLINK("https://www.codechef.com/problems/MIUVCA02", "https://www.codechef.com/problems/MIUVCA02")</f>
        <v>https://www.codechef.com/problems/MIUVCA02</v>
      </c>
      <c r="K445" s="15"/>
      <c r="L445" s="15"/>
      <c r="M445" s="15"/>
      <c r="N445" s="15" t="s">
        <v>50</v>
      </c>
      <c r="O445" s="15" t="s">
        <v>51</v>
      </c>
    </row>
    <row r="446" spans="1:15">
      <c r="A446" s="14" t="s">
        <v>15</v>
      </c>
      <c r="B446" s="14" t="s">
        <v>9854</v>
      </c>
      <c r="C446" s="14" t="s">
        <v>9855</v>
      </c>
      <c r="D446" s="14" t="s">
        <v>9936</v>
      </c>
      <c r="E446" s="14">
        <v>43</v>
      </c>
      <c r="F446" s="14" t="s">
        <v>9941</v>
      </c>
      <c r="G446" s="14" t="s">
        <v>9942</v>
      </c>
      <c r="H446" s="14"/>
      <c r="I446" s="14" t="s">
        <v>49</v>
      </c>
      <c r="J446" s="11" t="str">
        <f>HYPERLINK("https://www.codechef.com/problems/MIUVCA03", "https://www.codechef.com/problems/MIUVCA03")</f>
        <v>https://www.codechef.com/problems/MIUVCA03</v>
      </c>
      <c r="K446" s="14"/>
      <c r="L446" s="14"/>
      <c r="M446" s="14"/>
      <c r="N446" s="14" t="s">
        <v>50</v>
      </c>
      <c r="O446" s="14" t="s">
        <v>51</v>
      </c>
    </row>
    <row r="447" spans="1:15">
      <c r="A447" s="15" t="s">
        <v>15</v>
      </c>
      <c r="B447" s="15" t="s">
        <v>9854</v>
      </c>
      <c r="C447" s="15" t="s">
        <v>9855</v>
      </c>
      <c r="D447" s="15" t="s">
        <v>9936</v>
      </c>
      <c r="E447" s="15">
        <v>44</v>
      </c>
      <c r="F447" s="15" t="s">
        <v>9943</v>
      </c>
      <c r="G447" s="15" t="s">
        <v>9944</v>
      </c>
      <c r="H447" s="15"/>
      <c r="I447" s="15" t="s">
        <v>96</v>
      </c>
      <c r="J447" s="7" t="str">
        <f>HYPERLINK("https://www.codechef.com/problems/MIUVCA04", "https://www.codechef.com/problems/MIUVCA04")</f>
        <v>https://www.codechef.com/problems/MIUVCA04</v>
      </c>
      <c r="K447" s="15"/>
      <c r="L447" s="15"/>
      <c r="M447" s="15"/>
      <c r="N447" s="15" t="s">
        <v>50</v>
      </c>
      <c r="O447" s="15" t="s">
        <v>51</v>
      </c>
    </row>
    <row r="448" spans="1:15">
      <c r="A448" s="14" t="s">
        <v>15</v>
      </c>
      <c r="B448" s="14" t="s">
        <v>9854</v>
      </c>
      <c r="C448" s="14" t="s">
        <v>9855</v>
      </c>
      <c r="D448" s="14" t="s">
        <v>9936</v>
      </c>
      <c r="E448" s="14">
        <v>45</v>
      </c>
      <c r="F448" s="14" t="s">
        <v>9945</v>
      </c>
      <c r="G448" s="14" t="s">
        <v>9946</v>
      </c>
      <c r="H448" s="14"/>
      <c r="I448" s="14" t="s">
        <v>49</v>
      </c>
      <c r="J448" s="11" t="str">
        <f>HYPERLINK("https://www.codechef.com/problems/MIUVCA05", "https://www.codechef.com/problems/MIUVCA05")</f>
        <v>https://www.codechef.com/problems/MIUVCA05</v>
      </c>
      <c r="K448" s="14"/>
      <c r="L448" s="14"/>
      <c r="M448" s="14"/>
      <c r="N448" s="14" t="s">
        <v>50</v>
      </c>
      <c r="O448" s="14" t="s">
        <v>51</v>
      </c>
    </row>
    <row r="449" spans="1:15">
      <c r="A449" s="15" t="s">
        <v>15</v>
      </c>
      <c r="B449" s="15" t="s">
        <v>9854</v>
      </c>
      <c r="C449" s="15" t="s">
        <v>9855</v>
      </c>
      <c r="D449" s="15" t="s">
        <v>9936</v>
      </c>
      <c r="E449" s="15">
        <v>46</v>
      </c>
      <c r="F449" s="15" t="s">
        <v>9947</v>
      </c>
      <c r="G449" s="15" t="s">
        <v>9948</v>
      </c>
      <c r="H449" s="15"/>
      <c r="I449" s="15" t="s">
        <v>49</v>
      </c>
      <c r="J449" s="7" t="str">
        <f>HYPERLINK("https://www.codechef.com/problems/MIUVCA06", "https://www.codechef.com/problems/MIUVCA06")</f>
        <v>https://www.codechef.com/problems/MIUVCA06</v>
      </c>
      <c r="K449" s="15"/>
      <c r="L449" s="15"/>
      <c r="M449" s="15"/>
      <c r="N449" s="15" t="s">
        <v>50</v>
      </c>
      <c r="O449" s="15" t="s">
        <v>51</v>
      </c>
    </row>
    <row r="450" spans="1:15">
      <c r="A450" s="14" t="s">
        <v>15</v>
      </c>
      <c r="B450" s="14" t="s">
        <v>9854</v>
      </c>
      <c r="C450" s="14" t="s">
        <v>9855</v>
      </c>
      <c r="D450" s="14" t="s">
        <v>9936</v>
      </c>
      <c r="E450" s="14">
        <v>47</v>
      </c>
      <c r="F450" s="14" t="s">
        <v>9949</v>
      </c>
      <c r="G450" s="14" t="s">
        <v>9950</v>
      </c>
      <c r="H450" s="14"/>
      <c r="I450" s="14" t="s">
        <v>49</v>
      </c>
      <c r="J450" s="11" t="str">
        <f>HYPERLINK("https://www.codechef.com/problems/MIUVCA07", "https://www.codechef.com/problems/MIUVCA07")</f>
        <v>https://www.codechef.com/problems/MIUVCA07</v>
      </c>
      <c r="K450" s="14"/>
      <c r="L450" s="14"/>
      <c r="M450" s="14"/>
      <c r="N450" s="14" t="s">
        <v>50</v>
      </c>
      <c r="O450" s="14" t="s">
        <v>51</v>
      </c>
    </row>
    <row r="451" spans="1:15">
      <c r="A451" s="15" t="s">
        <v>15</v>
      </c>
      <c r="B451" s="15" t="s">
        <v>9854</v>
      </c>
      <c r="C451" s="15" t="s">
        <v>9855</v>
      </c>
      <c r="D451" s="15" t="s">
        <v>9936</v>
      </c>
      <c r="E451" s="15">
        <v>48</v>
      </c>
      <c r="F451" s="15" t="s">
        <v>9951</v>
      </c>
      <c r="G451" s="15" t="s">
        <v>9952</v>
      </c>
      <c r="H451" s="15"/>
      <c r="I451" s="15" t="s">
        <v>49</v>
      </c>
      <c r="J451" s="7" t="str">
        <f>HYPERLINK("https://www.codechef.com/problems/MIUVCA08", "https://www.codechef.com/problems/MIUVCA08")</f>
        <v>https://www.codechef.com/problems/MIUVCA08</v>
      </c>
      <c r="K451" s="15"/>
      <c r="L451" s="15"/>
      <c r="M451" s="15"/>
      <c r="N451" s="15" t="s">
        <v>50</v>
      </c>
      <c r="O451" s="15" t="s">
        <v>51</v>
      </c>
    </row>
    <row r="452" spans="1:15">
      <c r="A452" s="14" t="s">
        <v>15</v>
      </c>
      <c r="B452" s="14" t="s">
        <v>9854</v>
      </c>
      <c r="C452" s="14" t="s">
        <v>9855</v>
      </c>
      <c r="D452" s="14" t="s">
        <v>9936</v>
      </c>
      <c r="E452" s="14">
        <v>49</v>
      </c>
      <c r="F452" s="14" t="s">
        <v>9953</v>
      </c>
      <c r="G452" s="14" t="s">
        <v>9954</v>
      </c>
      <c r="H452" s="14"/>
      <c r="I452" s="14" t="s">
        <v>49</v>
      </c>
      <c r="J452" s="11" t="str">
        <f>HYPERLINK("https://www.codechef.com/problems/MIUVCA09", "https://www.codechef.com/problems/MIUVCA09")</f>
        <v>https://www.codechef.com/problems/MIUVCA09</v>
      </c>
      <c r="K452" s="14"/>
      <c r="L452" s="14"/>
      <c r="M452" s="14"/>
      <c r="N452" s="14" t="s">
        <v>50</v>
      </c>
      <c r="O452" s="14" t="s">
        <v>51</v>
      </c>
    </row>
    <row r="453" spans="1:15">
      <c r="A453" s="15" t="s">
        <v>15</v>
      </c>
      <c r="B453" s="15" t="s">
        <v>9854</v>
      </c>
      <c r="C453" s="15" t="s">
        <v>9855</v>
      </c>
      <c r="D453" s="15" t="s">
        <v>9936</v>
      </c>
      <c r="E453" s="15">
        <v>50</v>
      </c>
      <c r="F453" s="15" t="s">
        <v>9955</v>
      </c>
      <c r="G453" s="15" t="s">
        <v>9956</v>
      </c>
      <c r="H453" s="15"/>
      <c r="I453" s="15" t="s">
        <v>49</v>
      </c>
      <c r="J453" s="7" t="str">
        <f>HYPERLINK("https://www.codechef.com/problems/MIUVCA10", "https://www.codechef.com/problems/MIUVCA10")</f>
        <v>https://www.codechef.com/problems/MIUVCA10</v>
      </c>
      <c r="K453" s="15"/>
      <c r="L453" s="15"/>
      <c r="M453" s="15"/>
      <c r="N453" s="15" t="s">
        <v>50</v>
      </c>
      <c r="O453" s="15" t="s">
        <v>51</v>
      </c>
    </row>
    <row r="454" spans="1:15">
      <c r="A454" s="14" t="s">
        <v>15</v>
      </c>
      <c r="B454" s="14" t="s">
        <v>9854</v>
      </c>
      <c r="C454" s="14" t="s">
        <v>9855</v>
      </c>
      <c r="D454" s="14" t="s">
        <v>9936</v>
      </c>
      <c r="E454" s="14">
        <v>51</v>
      </c>
      <c r="F454" s="14" t="s">
        <v>9957</v>
      </c>
      <c r="G454" s="14" t="s">
        <v>9958</v>
      </c>
      <c r="H454" s="14"/>
      <c r="I454" s="14" t="s">
        <v>49</v>
      </c>
      <c r="J454" s="11" t="str">
        <f>HYPERLINK("https://www.codechef.com/problems/MIUVCA11", "https://www.codechef.com/problems/MIUVCA11")</f>
        <v>https://www.codechef.com/problems/MIUVCA11</v>
      </c>
      <c r="K454" s="14"/>
      <c r="L454" s="14"/>
      <c r="M454" s="14"/>
      <c r="N454" s="14" t="s">
        <v>50</v>
      </c>
      <c r="O454" s="14" t="s">
        <v>51</v>
      </c>
    </row>
    <row r="455" spans="1:15">
      <c r="A455" s="15" t="s">
        <v>15</v>
      </c>
      <c r="B455" s="15" t="s">
        <v>9854</v>
      </c>
      <c r="C455" s="15" t="s">
        <v>9855</v>
      </c>
      <c r="D455" s="15" t="s">
        <v>9936</v>
      </c>
      <c r="E455" s="15">
        <v>52</v>
      </c>
      <c r="F455" s="15" t="s">
        <v>9959</v>
      </c>
      <c r="G455" s="15" t="s">
        <v>9960</v>
      </c>
      <c r="H455" s="15"/>
      <c r="I455" s="15" t="s">
        <v>49</v>
      </c>
      <c r="J455" s="7" t="str">
        <f>HYPERLINK("https://www.codechef.com/problems/MIUVCA12", "https://www.codechef.com/problems/MIUVCA12")</f>
        <v>https://www.codechef.com/problems/MIUVCA12</v>
      </c>
      <c r="K455" s="15"/>
      <c r="L455" s="15"/>
      <c r="M455" s="15"/>
      <c r="N455" s="15" t="s">
        <v>50</v>
      </c>
      <c r="O455" s="15" t="s">
        <v>51</v>
      </c>
    </row>
    <row r="456" spans="1:15">
      <c r="A456" s="14" t="s">
        <v>15</v>
      </c>
      <c r="B456" s="14" t="s">
        <v>9854</v>
      </c>
      <c r="C456" s="14" t="s">
        <v>9855</v>
      </c>
      <c r="D456" s="14" t="s">
        <v>9936</v>
      </c>
      <c r="E456" s="14">
        <v>53</v>
      </c>
      <c r="F456" s="14" t="s">
        <v>9961</v>
      </c>
      <c r="G456" s="14" t="s">
        <v>9962</v>
      </c>
      <c r="H456" s="14"/>
      <c r="I456" s="14" t="s">
        <v>49</v>
      </c>
      <c r="J456" s="11" t="str">
        <f>HYPERLINK("https://www.codechef.com/problems/MIUVCA13", "https://www.codechef.com/problems/MIUVCA13")</f>
        <v>https://www.codechef.com/problems/MIUVCA13</v>
      </c>
      <c r="K456" s="14"/>
      <c r="L456" s="14"/>
      <c r="M456" s="14"/>
      <c r="N456" s="14" t="s">
        <v>50</v>
      </c>
      <c r="O456" s="14" t="s">
        <v>51</v>
      </c>
    </row>
    <row r="457" spans="1:15">
      <c r="A457" s="15" t="s">
        <v>15</v>
      </c>
      <c r="B457" s="15" t="s">
        <v>9854</v>
      </c>
      <c r="C457" s="15" t="s">
        <v>9855</v>
      </c>
      <c r="D457" s="15" t="s">
        <v>9936</v>
      </c>
      <c r="E457" s="15">
        <v>54</v>
      </c>
      <c r="F457" s="15" t="s">
        <v>9963</v>
      </c>
      <c r="G457" s="15" t="s">
        <v>9964</v>
      </c>
      <c r="H457" s="15"/>
      <c r="I457" s="15" t="s">
        <v>49</v>
      </c>
      <c r="J457" s="7" t="str">
        <f>HYPERLINK("https://www.codechef.com/problems/MIUVCA14", "https://www.codechef.com/problems/MIUVCA14")</f>
        <v>https://www.codechef.com/problems/MIUVCA14</v>
      </c>
      <c r="K457" s="15"/>
      <c r="L457" s="15"/>
      <c r="M457" s="15"/>
      <c r="N457" s="15" t="s">
        <v>50</v>
      </c>
      <c r="O457" s="15" t="s">
        <v>51</v>
      </c>
    </row>
    <row r="458" spans="1:15">
      <c r="A458" s="14" t="s">
        <v>15</v>
      </c>
      <c r="B458" s="14" t="s">
        <v>9854</v>
      </c>
      <c r="C458" s="14" t="s">
        <v>9855</v>
      </c>
      <c r="D458" s="14" t="s">
        <v>9936</v>
      </c>
      <c r="E458" s="14">
        <v>55</v>
      </c>
      <c r="F458" s="14" t="s">
        <v>9965</v>
      </c>
      <c r="G458" s="14" t="s">
        <v>9966</v>
      </c>
      <c r="H458" s="14"/>
      <c r="I458" s="14" t="s">
        <v>49</v>
      </c>
      <c r="J458" s="11" t="str">
        <f>HYPERLINK("https://www.codechef.com/problems/MIUVCA15", "https://www.codechef.com/problems/MIUVCA15")</f>
        <v>https://www.codechef.com/problems/MIUVCA15</v>
      </c>
      <c r="K458" s="14"/>
      <c r="L458" s="14"/>
      <c r="M458" s="14"/>
      <c r="N458" s="14" t="s">
        <v>50</v>
      </c>
      <c r="O458" s="14" t="s">
        <v>51</v>
      </c>
    </row>
    <row r="459" spans="1:15">
      <c r="A459" s="15" t="s">
        <v>15</v>
      </c>
      <c r="B459" s="15" t="s">
        <v>9854</v>
      </c>
      <c r="C459" s="15" t="s">
        <v>9855</v>
      </c>
      <c r="D459" s="15" t="s">
        <v>9936</v>
      </c>
      <c r="E459" s="15">
        <v>56</v>
      </c>
      <c r="F459" s="15" t="s">
        <v>9967</v>
      </c>
      <c r="G459" s="15" t="s">
        <v>9968</v>
      </c>
      <c r="H459" s="15"/>
      <c r="I459" s="15" t="s">
        <v>49</v>
      </c>
      <c r="J459" s="7" t="str">
        <f>HYPERLINK("https://www.codechef.com/problems/MIUVCA16", "https://www.codechef.com/problems/MIUVCA16")</f>
        <v>https://www.codechef.com/problems/MIUVCA16</v>
      </c>
      <c r="K459" s="15"/>
      <c r="L459" s="15"/>
      <c r="M459" s="15"/>
      <c r="N459" s="15" t="s">
        <v>50</v>
      </c>
      <c r="O459" s="15" t="s">
        <v>51</v>
      </c>
    </row>
    <row r="460" spans="1:15">
      <c r="A460" s="14" t="s">
        <v>15</v>
      </c>
      <c r="B460" s="14" t="s">
        <v>9854</v>
      </c>
      <c r="C460" s="14" t="s">
        <v>9855</v>
      </c>
      <c r="D460" s="14" t="s">
        <v>9936</v>
      </c>
      <c r="E460" s="14">
        <v>57</v>
      </c>
      <c r="F460" s="14" t="s">
        <v>9969</v>
      </c>
      <c r="G460" s="14" t="s">
        <v>9970</v>
      </c>
      <c r="H460" s="14"/>
      <c r="I460" s="14" t="s">
        <v>96</v>
      </c>
      <c r="J460" s="11" t="str">
        <f>HYPERLINK("https://www.codechef.com/problems/MIUVCA17", "https://www.codechef.com/problems/MIUVCA17")</f>
        <v>https://www.codechef.com/problems/MIUVCA17</v>
      </c>
      <c r="K460" s="14"/>
      <c r="L460" s="14"/>
      <c r="M460" s="14"/>
      <c r="N460" s="14" t="s">
        <v>50</v>
      </c>
      <c r="O460" s="14" t="s">
        <v>51</v>
      </c>
    </row>
    <row r="461" spans="1:15">
      <c r="A461" s="15" t="s">
        <v>15</v>
      </c>
      <c r="B461" s="15" t="s">
        <v>9854</v>
      </c>
      <c r="C461" s="15" t="s">
        <v>9855</v>
      </c>
      <c r="D461" s="15" t="s">
        <v>9936</v>
      </c>
      <c r="E461" s="15">
        <v>58</v>
      </c>
      <c r="F461" s="15" t="s">
        <v>9971</v>
      </c>
      <c r="G461" s="15" t="s">
        <v>9972</v>
      </c>
      <c r="H461" s="15"/>
      <c r="I461" s="15" t="s">
        <v>49</v>
      </c>
      <c r="J461" s="7" t="str">
        <f>HYPERLINK("https://www.codechef.com/problems/MIUVCA18", "https://www.codechef.com/problems/MIUVCA18")</f>
        <v>https://www.codechef.com/problems/MIUVCA18</v>
      </c>
      <c r="K461" s="15"/>
      <c r="L461" s="15"/>
      <c r="M461" s="15"/>
      <c r="N461" s="15" t="s">
        <v>50</v>
      </c>
      <c r="O461" s="15" t="s">
        <v>51</v>
      </c>
    </row>
    <row r="462" spans="1:15">
      <c r="A462" s="14" t="s">
        <v>15</v>
      </c>
      <c r="B462" s="14" t="s">
        <v>9854</v>
      </c>
      <c r="C462" s="14" t="s">
        <v>9855</v>
      </c>
      <c r="D462" s="14" t="s">
        <v>9936</v>
      </c>
      <c r="E462" s="14">
        <v>59</v>
      </c>
      <c r="F462" s="14" t="s">
        <v>9973</v>
      </c>
      <c r="G462" s="14" t="s">
        <v>9974</v>
      </c>
      <c r="H462" s="14"/>
      <c r="I462" s="14" t="s">
        <v>49</v>
      </c>
      <c r="J462" s="11" t="str">
        <f>HYPERLINK("https://www.codechef.com/problems/MIUVCA19", "https://www.codechef.com/problems/MIUVCA19")</f>
        <v>https://www.codechef.com/problems/MIUVCA19</v>
      </c>
      <c r="K462" s="14"/>
      <c r="L462" s="14"/>
      <c r="M462" s="14"/>
      <c r="N462" s="14" t="s">
        <v>50</v>
      </c>
      <c r="O462" s="14" t="s">
        <v>51</v>
      </c>
    </row>
    <row r="463" spans="1:15">
      <c r="A463" s="15" t="s">
        <v>15</v>
      </c>
      <c r="B463" s="15" t="s">
        <v>9854</v>
      </c>
      <c r="C463" s="15" t="s">
        <v>9855</v>
      </c>
      <c r="D463" s="15" t="s">
        <v>9936</v>
      </c>
      <c r="E463" s="15">
        <v>60</v>
      </c>
      <c r="F463" s="15" t="s">
        <v>9975</v>
      </c>
      <c r="G463" s="15" t="s">
        <v>9976</v>
      </c>
      <c r="H463" s="15"/>
      <c r="I463" s="15" t="s">
        <v>49</v>
      </c>
      <c r="J463" s="7" t="str">
        <f>HYPERLINK("https://www.codechef.com/problems/MIUVCA20", "https://www.codechef.com/problems/MIUVCA20")</f>
        <v>https://www.codechef.com/problems/MIUVCA20</v>
      </c>
      <c r="K463" s="15"/>
      <c r="L463" s="15"/>
      <c r="M463" s="15"/>
      <c r="N463" s="15" t="s">
        <v>50</v>
      </c>
      <c r="O463" s="15" t="s">
        <v>51</v>
      </c>
    </row>
    <row r="464" spans="1:15">
      <c r="A464" s="14" t="s">
        <v>15</v>
      </c>
      <c r="B464" s="14" t="s">
        <v>9854</v>
      </c>
      <c r="C464" s="14" t="s">
        <v>9855</v>
      </c>
      <c r="D464" s="14" t="s">
        <v>9977</v>
      </c>
      <c r="E464" s="14">
        <v>61</v>
      </c>
      <c r="F464" s="14" t="s">
        <v>9978</v>
      </c>
      <c r="G464" s="14" t="s">
        <v>9979</v>
      </c>
      <c r="H464" s="14"/>
      <c r="I464" s="14" t="s">
        <v>49</v>
      </c>
      <c r="J464" s="11" t="str">
        <f>HYPERLINK("https://www.codechef.com/problems/MIUVCA41", "https://www.codechef.com/problems/MIUVCA41")</f>
        <v>https://www.codechef.com/problems/MIUVCA41</v>
      </c>
      <c r="K464" s="14"/>
      <c r="L464" s="14"/>
      <c r="M464" s="14"/>
      <c r="N464" s="14" t="s">
        <v>50</v>
      </c>
      <c r="O464" s="14" t="s">
        <v>51</v>
      </c>
    </row>
    <row r="465" spans="1:15">
      <c r="A465" s="15" t="s">
        <v>15</v>
      </c>
      <c r="B465" s="15" t="s">
        <v>9854</v>
      </c>
      <c r="C465" s="15" t="s">
        <v>9855</v>
      </c>
      <c r="D465" s="15" t="s">
        <v>9977</v>
      </c>
      <c r="E465" s="15">
        <v>62</v>
      </c>
      <c r="F465" s="15" t="s">
        <v>9980</v>
      </c>
      <c r="G465" s="15" t="s">
        <v>9981</v>
      </c>
      <c r="H465" s="15"/>
      <c r="I465" s="15" t="s">
        <v>49</v>
      </c>
      <c r="J465" s="7" t="str">
        <f>HYPERLINK("https://www.codechef.com/problems/MIUVCA42", "https://www.codechef.com/problems/MIUVCA42")</f>
        <v>https://www.codechef.com/problems/MIUVCA42</v>
      </c>
      <c r="K465" s="15"/>
      <c r="L465" s="15"/>
      <c r="M465" s="15"/>
      <c r="N465" s="15" t="s">
        <v>50</v>
      </c>
      <c r="O465" s="15" t="s">
        <v>51</v>
      </c>
    </row>
    <row r="466" spans="1:15">
      <c r="A466" s="14" t="s">
        <v>15</v>
      </c>
      <c r="B466" s="14" t="s">
        <v>9854</v>
      </c>
      <c r="C466" s="14" t="s">
        <v>9855</v>
      </c>
      <c r="D466" s="14" t="s">
        <v>9977</v>
      </c>
      <c r="E466" s="14">
        <v>63</v>
      </c>
      <c r="F466" s="14" t="s">
        <v>9982</v>
      </c>
      <c r="G466" s="14" t="s">
        <v>9983</v>
      </c>
      <c r="H466" s="14"/>
      <c r="I466" s="14" t="s">
        <v>49</v>
      </c>
      <c r="J466" s="11" t="str">
        <f>HYPERLINK("https://www.codechef.com/problems/MIUVCA43", "https://www.codechef.com/problems/MIUVCA43")</f>
        <v>https://www.codechef.com/problems/MIUVCA43</v>
      </c>
      <c r="K466" s="14"/>
      <c r="L466" s="14"/>
      <c r="M466" s="14"/>
      <c r="N466" s="14" t="s">
        <v>50</v>
      </c>
      <c r="O466" s="14" t="s">
        <v>51</v>
      </c>
    </row>
    <row r="467" spans="1:15">
      <c r="A467" s="15" t="s">
        <v>15</v>
      </c>
      <c r="B467" s="15" t="s">
        <v>9854</v>
      </c>
      <c r="C467" s="15" t="s">
        <v>9855</v>
      </c>
      <c r="D467" s="15" t="s">
        <v>9977</v>
      </c>
      <c r="E467" s="15">
        <v>64</v>
      </c>
      <c r="F467" s="15" t="s">
        <v>9984</v>
      </c>
      <c r="G467" s="15" t="s">
        <v>9985</v>
      </c>
      <c r="H467" s="15"/>
      <c r="I467" s="15" t="s">
        <v>49</v>
      </c>
      <c r="J467" s="7" t="str">
        <f>HYPERLINK("https://www.codechef.com/problems/MIUVCA44", "https://www.codechef.com/problems/MIUVCA44")</f>
        <v>https://www.codechef.com/problems/MIUVCA44</v>
      </c>
      <c r="K467" s="15"/>
      <c r="L467" s="15"/>
      <c r="M467" s="15"/>
      <c r="N467" s="15" t="s">
        <v>50</v>
      </c>
      <c r="O467" s="15" t="s">
        <v>51</v>
      </c>
    </row>
    <row r="468" spans="1:15">
      <c r="A468" s="14" t="s">
        <v>15</v>
      </c>
      <c r="B468" s="14" t="s">
        <v>9854</v>
      </c>
      <c r="C468" s="14" t="s">
        <v>9855</v>
      </c>
      <c r="D468" s="14" t="s">
        <v>9977</v>
      </c>
      <c r="E468" s="14">
        <v>65</v>
      </c>
      <c r="F468" s="14" t="s">
        <v>9986</v>
      </c>
      <c r="G468" s="14" t="s">
        <v>9987</v>
      </c>
      <c r="H468" s="14"/>
      <c r="I468" s="14" t="s">
        <v>49</v>
      </c>
      <c r="J468" s="11" t="str">
        <f>HYPERLINK("https://www.codechef.com/problems/MIUVCA45", "https://www.codechef.com/problems/MIUVCA45")</f>
        <v>https://www.codechef.com/problems/MIUVCA45</v>
      </c>
      <c r="K468" s="14"/>
      <c r="L468" s="14"/>
      <c r="M468" s="14"/>
      <c r="N468" s="14" t="s">
        <v>50</v>
      </c>
      <c r="O468" s="14" t="s">
        <v>51</v>
      </c>
    </row>
    <row r="469" spans="1:15">
      <c r="A469" s="15" t="s">
        <v>15</v>
      </c>
      <c r="B469" s="15" t="s">
        <v>9854</v>
      </c>
      <c r="C469" s="15" t="s">
        <v>9855</v>
      </c>
      <c r="D469" s="15" t="s">
        <v>9977</v>
      </c>
      <c r="E469" s="15">
        <v>66</v>
      </c>
      <c r="F469" s="15" t="s">
        <v>9988</v>
      </c>
      <c r="G469" s="15" t="s">
        <v>9989</v>
      </c>
      <c r="H469" s="15"/>
      <c r="I469" s="15" t="s">
        <v>96</v>
      </c>
      <c r="J469" s="7" t="str">
        <f>HYPERLINK("https://www.codechef.com/problems/MIUVCA46", "https://www.codechef.com/problems/MIUVCA46")</f>
        <v>https://www.codechef.com/problems/MIUVCA46</v>
      </c>
      <c r="K469" s="15"/>
      <c r="L469" s="15"/>
      <c r="M469" s="15"/>
      <c r="N469" s="15" t="s">
        <v>50</v>
      </c>
      <c r="O469" s="15" t="s">
        <v>51</v>
      </c>
    </row>
    <row r="470" spans="1:15">
      <c r="A470" s="14" t="s">
        <v>15</v>
      </c>
      <c r="B470" s="14" t="s">
        <v>9854</v>
      </c>
      <c r="C470" s="14" t="s">
        <v>9855</v>
      </c>
      <c r="D470" s="14" t="s">
        <v>9977</v>
      </c>
      <c r="E470" s="14">
        <v>67</v>
      </c>
      <c r="F470" s="14" t="s">
        <v>9990</v>
      </c>
      <c r="G470" s="14" t="s">
        <v>9991</v>
      </c>
      <c r="H470" s="14"/>
      <c r="I470" s="14" t="s">
        <v>49</v>
      </c>
      <c r="J470" s="11" t="str">
        <f>HYPERLINK("https://www.codechef.com/problems/MIUVCA47", "https://www.codechef.com/problems/MIUVCA47")</f>
        <v>https://www.codechef.com/problems/MIUVCA47</v>
      </c>
      <c r="K470" s="14"/>
      <c r="L470" s="14"/>
      <c r="M470" s="14"/>
      <c r="N470" s="14" t="s">
        <v>50</v>
      </c>
      <c r="O470" s="14" t="s">
        <v>51</v>
      </c>
    </row>
    <row r="471" spans="1:15">
      <c r="A471" s="15" t="s">
        <v>15</v>
      </c>
      <c r="B471" s="15" t="s">
        <v>9854</v>
      </c>
      <c r="C471" s="15" t="s">
        <v>9855</v>
      </c>
      <c r="D471" s="15" t="s">
        <v>9977</v>
      </c>
      <c r="E471" s="15">
        <v>68</v>
      </c>
      <c r="F471" s="15" t="s">
        <v>9992</v>
      </c>
      <c r="G471" s="15" t="s">
        <v>9993</v>
      </c>
      <c r="H471" s="15"/>
      <c r="I471" s="15" t="s">
        <v>96</v>
      </c>
      <c r="J471" s="7" t="str">
        <f>HYPERLINK("https://www.codechef.com/problems/MIUVCA48", "https://www.codechef.com/problems/MIUVCA48")</f>
        <v>https://www.codechef.com/problems/MIUVCA48</v>
      </c>
      <c r="K471" s="15"/>
      <c r="L471" s="15"/>
      <c r="M471" s="15"/>
      <c r="N471" s="15" t="s">
        <v>50</v>
      </c>
      <c r="O471" s="15" t="s">
        <v>51</v>
      </c>
    </row>
    <row r="472" spans="1:15">
      <c r="A472" s="14" t="s">
        <v>15</v>
      </c>
      <c r="B472" s="14" t="s">
        <v>9854</v>
      </c>
      <c r="C472" s="14" t="s">
        <v>9855</v>
      </c>
      <c r="D472" s="14" t="s">
        <v>9977</v>
      </c>
      <c r="E472" s="14">
        <v>69</v>
      </c>
      <c r="F472" s="14" t="s">
        <v>9994</v>
      </c>
      <c r="G472" s="14" t="s">
        <v>9995</v>
      </c>
      <c r="H472" s="14"/>
      <c r="I472" s="14" t="s">
        <v>96</v>
      </c>
      <c r="J472" s="11" t="str">
        <f>HYPERLINK("https://www.codechef.com/problems/MIUVCA49", "https://www.codechef.com/problems/MIUVCA49")</f>
        <v>https://www.codechef.com/problems/MIUVCA49</v>
      </c>
      <c r="K472" s="14"/>
      <c r="L472" s="14"/>
      <c r="M472" s="14"/>
      <c r="N472" s="14" t="s">
        <v>50</v>
      </c>
      <c r="O472" s="14" t="s">
        <v>51</v>
      </c>
    </row>
    <row r="473" spans="1:15">
      <c r="A473" s="15" t="s">
        <v>15</v>
      </c>
      <c r="B473" s="15" t="s">
        <v>9854</v>
      </c>
      <c r="C473" s="15" t="s">
        <v>9855</v>
      </c>
      <c r="D473" s="15" t="s">
        <v>9977</v>
      </c>
      <c r="E473" s="15">
        <v>70</v>
      </c>
      <c r="F473" s="15" t="s">
        <v>9996</v>
      </c>
      <c r="G473" s="15" t="s">
        <v>9997</v>
      </c>
      <c r="H473" s="15"/>
      <c r="I473" s="15" t="s">
        <v>96</v>
      </c>
      <c r="J473" s="7" t="str">
        <f>HYPERLINK("https://www.codechef.com/problems/MIUVCA50", "https://www.codechef.com/problems/MIUVCA50")</f>
        <v>https://www.codechef.com/problems/MIUVCA50</v>
      </c>
      <c r="K473" s="15"/>
      <c r="L473" s="15"/>
      <c r="M473" s="15"/>
      <c r="N473" s="15" t="s">
        <v>50</v>
      </c>
      <c r="O473" s="15" t="s">
        <v>51</v>
      </c>
    </row>
    <row r="474" spans="1:15">
      <c r="A474" s="14" t="s">
        <v>15</v>
      </c>
      <c r="B474" s="14" t="s">
        <v>9854</v>
      </c>
      <c r="C474" s="14" t="s">
        <v>9855</v>
      </c>
      <c r="D474" s="14" t="s">
        <v>9977</v>
      </c>
      <c r="E474" s="14">
        <v>71</v>
      </c>
      <c r="F474" s="14" t="s">
        <v>9998</v>
      </c>
      <c r="G474" s="14" t="s">
        <v>9999</v>
      </c>
      <c r="H474" s="14"/>
      <c r="I474" s="14" t="s">
        <v>96</v>
      </c>
      <c r="J474" s="11" t="str">
        <f>HYPERLINK("https://www.codechef.com/problems/MIUVCA51", "https://www.codechef.com/problems/MIUVCA51")</f>
        <v>https://www.codechef.com/problems/MIUVCA51</v>
      </c>
      <c r="K474" s="14"/>
      <c r="L474" s="14"/>
      <c r="M474" s="14"/>
      <c r="N474" s="14" t="s">
        <v>50</v>
      </c>
      <c r="O474" s="14" t="s">
        <v>51</v>
      </c>
    </row>
    <row r="475" spans="1:15">
      <c r="A475" s="15" t="s">
        <v>15</v>
      </c>
      <c r="B475" s="15" t="s">
        <v>9854</v>
      </c>
      <c r="C475" s="15" t="s">
        <v>9855</v>
      </c>
      <c r="D475" s="15" t="s">
        <v>9977</v>
      </c>
      <c r="E475" s="15">
        <v>72</v>
      </c>
      <c r="F475" s="15" t="s">
        <v>10000</v>
      </c>
      <c r="G475" s="15" t="s">
        <v>10001</v>
      </c>
      <c r="H475" s="15"/>
      <c r="I475" s="15" t="s">
        <v>96</v>
      </c>
      <c r="J475" s="7" t="str">
        <f>HYPERLINK("https://www.codechef.com/problems/MIUVCA53", "https://www.codechef.com/problems/MIUVCA53")</f>
        <v>https://www.codechef.com/problems/MIUVCA53</v>
      </c>
      <c r="K475" s="15"/>
      <c r="L475" s="15"/>
      <c r="M475" s="15"/>
      <c r="N475" s="15" t="s">
        <v>50</v>
      </c>
      <c r="O475" s="15" t="s">
        <v>51</v>
      </c>
    </row>
    <row r="476" spans="1:15">
      <c r="A476" s="14" t="s">
        <v>15</v>
      </c>
      <c r="B476" s="14" t="s">
        <v>9854</v>
      </c>
      <c r="C476" s="14" t="s">
        <v>9855</v>
      </c>
      <c r="D476" s="14" t="s">
        <v>9977</v>
      </c>
      <c r="E476" s="14">
        <v>73</v>
      </c>
      <c r="F476" s="14" t="s">
        <v>10002</v>
      </c>
      <c r="G476" s="14" t="s">
        <v>10003</v>
      </c>
      <c r="H476" s="14"/>
      <c r="I476" s="14" t="s">
        <v>96</v>
      </c>
      <c r="J476" s="11" t="str">
        <f>HYPERLINK("https://www.codechef.com/problems/MIUVCA54", "https://www.codechef.com/problems/MIUVCA54")</f>
        <v>https://www.codechef.com/problems/MIUVCA54</v>
      </c>
      <c r="K476" s="14"/>
      <c r="L476" s="14"/>
      <c r="M476" s="14"/>
      <c r="N476" s="14" t="s">
        <v>50</v>
      </c>
      <c r="O476" s="14" t="s">
        <v>51</v>
      </c>
    </row>
    <row r="477" spans="1:15">
      <c r="A477" s="15" t="s">
        <v>15</v>
      </c>
      <c r="B477" s="15" t="s">
        <v>9854</v>
      </c>
      <c r="C477" s="15" t="s">
        <v>9855</v>
      </c>
      <c r="D477" s="15" t="s">
        <v>9977</v>
      </c>
      <c r="E477" s="15">
        <v>74</v>
      </c>
      <c r="F477" s="15" t="s">
        <v>10004</v>
      </c>
      <c r="G477" s="15" t="s">
        <v>10005</v>
      </c>
      <c r="H477" s="15"/>
      <c r="I477" s="15" t="s">
        <v>96</v>
      </c>
      <c r="J477" s="7" t="str">
        <f>HYPERLINK("https://www.codechef.com/problems/MIUVCA55", "https://www.codechef.com/problems/MIUVCA55")</f>
        <v>https://www.codechef.com/problems/MIUVCA55</v>
      </c>
      <c r="K477" s="15"/>
      <c r="L477" s="15"/>
      <c r="M477" s="15"/>
      <c r="N477" s="15" t="s">
        <v>50</v>
      </c>
      <c r="O477" s="15" t="s">
        <v>51</v>
      </c>
    </row>
    <row r="478" spans="1:15">
      <c r="A478" s="14" t="s">
        <v>15</v>
      </c>
      <c r="B478" s="14" t="s">
        <v>9854</v>
      </c>
      <c r="C478" s="14" t="s">
        <v>9855</v>
      </c>
      <c r="D478" s="14" t="s">
        <v>9977</v>
      </c>
      <c r="E478" s="14">
        <v>75</v>
      </c>
      <c r="F478" s="14" t="s">
        <v>10006</v>
      </c>
      <c r="G478" s="14" t="s">
        <v>10007</v>
      </c>
      <c r="H478" s="14"/>
      <c r="I478" s="14" t="s">
        <v>96</v>
      </c>
      <c r="J478" s="11" t="str">
        <f>HYPERLINK("https://www.codechef.com/problems/MIUVCA56", "https://www.codechef.com/problems/MIUVCA56")</f>
        <v>https://www.codechef.com/problems/MIUVCA56</v>
      </c>
      <c r="K478" s="14"/>
      <c r="L478" s="14"/>
      <c r="M478" s="14"/>
      <c r="N478" s="14" t="s">
        <v>50</v>
      </c>
      <c r="O478" s="14" t="s">
        <v>51</v>
      </c>
    </row>
    <row r="479" spans="1:15">
      <c r="A479" s="15" t="s">
        <v>15</v>
      </c>
      <c r="B479" s="15" t="s">
        <v>9854</v>
      </c>
      <c r="C479" s="15" t="s">
        <v>9855</v>
      </c>
      <c r="D479" s="15" t="s">
        <v>9977</v>
      </c>
      <c r="E479" s="15">
        <v>76</v>
      </c>
      <c r="F479" s="15" t="s">
        <v>10008</v>
      </c>
      <c r="G479" s="15" t="s">
        <v>10009</v>
      </c>
      <c r="H479" s="15"/>
      <c r="I479" s="15" t="s">
        <v>49</v>
      </c>
      <c r="J479" s="7" t="str">
        <f>HYPERLINK("https://www.codechef.com/problems/MIUVCA57", "https://www.codechef.com/problems/MIUVCA57")</f>
        <v>https://www.codechef.com/problems/MIUVCA57</v>
      </c>
      <c r="K479" s="15"/>
      <c r="L479" s="15"/>
      <c r="M479" s="15"/>
      <c r="N479" s="15" t="s">
        <v>50</v>
      </c>
      <c r="O479" s="15" t="s">
        <v>51</v>
      </c>
    </row>
    <row r="480" spans="1:15">
      <c r="A480" s="14" t="s">
        <v>15</v>
      </c>
      <c r="B480" s="14" t="s">
        <v>10010</v>
      </c>
      <c r="C480" s="14" t="s">
        <v>10011</v>
      </c>
      <c r="D480" s="14" t="s">
        <v>9245</v>
      </c>
      <c r="E480" s="14">
        <v>1</v>
      </c>
      <c r="F480" s="14" t="s">
        <v>10012</v>
      </c>
      <c r="G480" s="14" t="s">
        <v>10013</v>
      </c>
      <c r="H480" s="14"/>
      <c r="I480" s="14" t="s">
        <v>49</v>
      </c>
      <c r="J480" s="11" t="str">
        <f>HYPERLINK("https://www.codechef.com/problems/DPNMAO01", "https://www.codechef.com/problems/DPNMAO01")</f>
        <v>https://www.codechef.com/problems/DPNMAO01</v>
      </c>
      <c r="K480" s="14"/>
      <c r="L480" s="14"/>
      <c r="M480" s="14"/>
      <c r="N480" s="14" t="s">
        <v>50</v>
      </c>
      <c r="O480" s="14" t="s">
        <v>51</v>
      </c>
    </row>
    <row r="481" spans="1:15">
      <c r="A481" s="15" t="s">
        <v>15</v>
      </c>
      <c r="B481" s="15" t="s">
        <v>10010</v>
      </c>
      <c r="C481" s="15" t="s">
        <v>10011</v>
      </c>
      <c r="D481" s="15" t="s">
        <v>9245</v>
      </c>
      <c r="E481" s="15">
        <v>2</v>
      </c>
      <c r="F481" s="15" t="s">
        <v>10014</v>
      </c>
      <c r="G481" s="15" t="s">
        <v>10015</v>
      </c>
      <c r="H481" s="15"/>
      <c r="I481" s="15" t="s">
        <v>49</v>
      </c>
      <c r="J481" s="7" t="str">
        <f>HYPERLINK("https://www.codechef.com/problems/DPNMAO02", "https://www.codechef.com/problems/DPNMAO02")</f>
        <v>https://www.codechef.com/problems/DPNMAO02</v>
      </c>
      <c r="K481" s="15"/>
      <c r="L481" s="15"/>
      <c r="M481" s="15"/>
      <c r="N481" s="15" t="s">
        <v>50</v>
      </c>
      <c r="O481" s="15" t="s">
        <v>51</v>
      </c>
    </row>
    <row r="482" spans="1:15">
      <c r="A482" s="14" t="s">
        <v>15</v>
      </c>
      <c r="B482" s="14" t="s">
        <v>10010</v>
      </c>
      <c r="C482" s="14" t="s">
        <v>10011</v>
      </c>
      <c r="D482" s="14" t="s">
        <v>9245</v>
      </c>
      <c r="E482" s="14">
        <v>3</v>
      </c>
      <c r="F482" s="14" t="s">
        <v>10016</v>
      </c>
      <c r="G482" s="14" t="s">
        <v>10017</v>
      </c>
      <c r="H482" s="14"/>
      <c r="I482" s="14" t="s">
        <v>49</v>
      </c>
      <c r="J482" s="11" t="str">
        <f>HYPERLINK("https://www.codechef.com/problems/DPNMAO05", "https://www.codechef.com/problems/DPNMAO05")</f>
        <v>https://www.codechef.com/problems/DPNMAO05</v>
      </c>
      <c r="K482" s="14"/>
      <c r="L482" s="14"/>
      <c r="M482" s="14"/>
      <c r="N482" s="14" t="s">
        <v>50</v>
      </c>
      <c r="O482" s="14" t="s">
        <v>51</v>
      </c>
    </row>
    <row r="483" spans="1:15">
      <c r="A483" s="15" t="s">
        <v>15</v>
      </c>
      <c r="B483" s="15" t="s">
        <v>10010</v>
      </c>
      <c r="C483" s="15" t="s">
        <v>10011</v>
      </c>
      <c r="D483" s="15" t="s">
        <v>9245</v>
      </c>
      <c r="E483" s="15">
        <v>4</v>
      </c>
      <c r="F483" s="15" t="s">
        <v>10018</v>
      </c>
      <c r="G483" s="15" t="s">
        <v>10019</v>
      </c>
      <c r="H483" s="15"/>
      <c r="I483" s="15" t="s">
        <v>96</v>
      </c>
      <c r="J483" s="7" t="str">
        <f>HYPERLINK("https://www.codechef.com/problems/DPNMAO11", "https://www.codechef.com/problems/DPNMAO11")</f>
        <v>https://www.codechef.com/problems/DPNMAO11</v>
      </c>
      <c r="K483" s="15"/>
      <c r="L483" s="15"/>
      <c r="M483" s="15"/>
      <c r="N483" s="15" t="s">
        <v>50</v>
      </c>
      <c r="O483" s="15" t="s">
        <v>51</v>
      </c>
    </row>
    <row r="484" spans="1:15">
      <c r="A484" s="14" t="s">
        <v>15</v>
      </c>
      <c r="B484" s="14" t="s">
        <v>10010</v>
      </c>
      <c r="C484" s="14" t="s">
        <v>10011</v>
      </c>
      <c r="D484" s="14" t="s">
        <v>9245</v>
      </c>
      <c r="E484" s="14">
        <v>5</v>
      </c>
      <c r="F484" s="14" t="s">
        <v>10020</v>
      </c>
      <c r="G484" s="14" t="s">
        <v>10021</v>
      </c>
      <c r="H484" s="14"/>
      <c r="I484" s="14" t="s">
        <v>96</v>
      </c>
      <c r="J484" s="11" t="str">
        <f>HYPERLINK("https://www.codechef.com/problems/DPNMAO13", "https://www.codechef.com/problems/DPNMAO13")</f>
        <v>https://www.codechef.com/problems/DPNMAO13</v>
      </c>
      <c r="K484" s="14"/>
      <c r="L484" s="14"/>
      <c r="M484" s="14"/>
      <c r="N484" s="14" t="s">
        <v>50</v>
      </c>
      <c r="O484" s="14" t="s">
        <v>51</v>
      </c>
    </row>
    <row r="485" spans="1:15">
      <c r="A485" s="15" t="s">
        <v>15</v>
      </c>
      <c r="B485" s="15" t="s">
        <v>10010</v>
      </c>
      <c r="C485" s="15" t="s">
        <v>10011</v>
      </c>
      <c r="D485" s="15" t="s">
        <v>9245</v>
      </c>
      <c r="E485" s="15">
        <v>6</v>
      </c>
      <c r="F485" s="15" t="s">
        <v>10022</v>
      </c>
      <c r="G485" s="15" t="s">
        <v>10023</v>
      </c>
      <c r="H485" s="15"/>
      <c r="I485" s="15" t="s">
        <v>96</v>
      </c>
      <c r="J485" s="7" t="str">
        <f>HYPERLINK("https://www.codechef.com/problems/DPNMAO06", "https://www.codechef.com/problems/DPNMAO06")</f>
        <v>https://www.codechef.com/problems/DPNMAO06</v>
      </c>
      <c r="K485" s="15"/>
      <c r="L485" s="15"/>
      <c r="M485" s="15"/>
      <c r="N485" s="15" t="s">
        <v>50</v>
      </c>
      <c r="O485" s="15" t="s">
        <v>51</v>
      </c>
    </row>
    <row r="486" spans="1:15">
      <c r="A486" s="14" t="s">
        <v>15</v>
      </c>
      <c r="B486" s="14" t="s">
        <v>10010</v>
      </c>
      <c r="C486" s="14" t="s">
        <v>10011</v>
      </c>
      <c r="D486" s="14" t="s">
        <v>9245</v>
      </c>
      <c r="E486" s="14">
        <v>7</v>
      </c>
      <c r="F486" s="14" t="s">
        <v>10024</v>
      </c>
      <c r="G486" s="14" t="s">
        <v>10025</v>
      </c>
      <c r="H486" s="14"/>
      <c r="I486" s="14" t="s">
        <v>49</v>
      </c>
      <c r="J486" s="11" t="str">
        <f>HYPERLINK("https://www.codechef.com/problems/DPNMAO07", "https://www.codechef.com/problems/DPNMAO07")</f>
        <v>https://www.codechef.com/problems/DPNMAO07</v>
      </c>
      <c r="K486" s="14"/>
      <c r="L486" s="14"/>
      <c r="M486" s="14"/>
      <c r="N486" s="14" t="s">
        <v>50</v>
      </c>
      <c r="O486" s="14" t="s">
        <v>51</v>
      </c>
    </row>
    <row r="487" spans="1:15">
      <c r="A487" s="15" t="s">
        <v>15</v>
      </c>
      <c r="B487" s="15" t="s">
        <v>10010</v>
      </c>
      <c r="C487" s="15" t="s">
        <v>10011</v>
      </c>
      <c r="D487" s="15" t="s">
        <v>9245</v>
      </c>
      <c r="E487" s="15">
        <v>8</v>
      </c>
      <c r="F487" s="15" t="s">
        <v>9397</v>
      </c>
      <c r="G487" s="15" t="s">
        <v>10026</v>
      </c>
      <c r="H487" s="15"/>
      <c r="I487" s="15" t="s">
        <v>96</v>
      </c>
      <c r="J487" s="7" t="str">
        <f>HYPERLINK("https://www.codechef.com/problems/DPNMAO15", "https://www.codechef.com/problems/DPNMAO15")</f>
        <v>https://www.codechef.com/problems/DPNMAO15</v>
      </c>
      <c r="K487" s="15"/>
      <c r="L487" s="15"/>
      <c r="M487" s="15"/>
      <c r="N487" s="15" t="s">
        <v>50</v>
      </c>
      <c r="O487" s="15" t="s">
        <v>51</v>
      </c>
    </row>
    <row r="488" spans="1:15">
      <c r="A488" s="14" t="s">
        <v>15</v>
      </c>
      <c r="B488" s="14" t="s">
        <v>10010</v>
      </c>
      <c r="C488" s="14" t="s">
        <v>10011</v>
      </c>
      <c r="D488" s="14" t="s">
        <v>9245</v>
      </c>
      <c r="E488" s="14">
        <v>9</v>
      </c>
      <c r="F488" s="14" t="s">
        <v>10027</v>
      </c>
      <c r="G488" s="14" t="s">
        <v>10028</v>
      </c>
      <c r="H488" s="14"/>
      <c r="I488" s="14" t="s">
        <v>49</v>
      </c>
      <c r="J488" s="11" t="str">
        <f>HYPERLINK("https://www.codechef.com/problems/DPNMAO20", "https://www.codechef.com/problems/DPNMAO20")</f>
        <v>https://www.codechef.com/problems/DPNMAO20</v>
      </c>
      <c r="K488" s="14"/>
      <c r="L488" s="14"/>
      <c r="M488" s="14"/>
      <c r="N488" s="14" t="s">
        <v>50</v>
      </c>
      <c r="O488" s="14" t="s">
        <v>51</v>
      </c>
    </row>
    <row r="489" spans="1:15">
      <c r="A489" s="15" t="s">
        <v>15</v>
      </c>
      <c r="B489" s="15" t="s">
        <v>10010</v>
      </c>
      <c r="C489" s="15" t="s">
        <v>10011</v>
      </c>
      <c r="D489" s="15" t="s">
        <v>9245</v>
      </c>
      <c r="E489" s="15">
        <v>10</v>
      </c>
      <c r="F489" s="15" t="s">
        <v>10029</v>
      </c>
      <c r="G489" s="15" t="s">
        <v>10030</v>
      </c>
      <c r="H489" s="15"/>
      <c r="I489" s="15" t="s">
        <v>96</v>
      </c>
      <c r="J489" s="7" t="str">
        <f>HYPERLINK("https://www.codechef.com/problems/DPNMAO21", "https://www.codechef.com/problems/DPNMAO21")</f>
        <v>https://www.codechef.com/problems/DPNMAO21</v>
      </c>
      <c r="K489" s="15"/>
      <c r="L489" s="15"/>
      <c r="M489" s="15"/>
      <c r="N489" s="15" t="s">
        <v>50</v>
      </c>
      <c r="O489" s="15" t="s">
        <v>51</v>
      </c>
    </row>
    <row r="490" spans="1:15">
      <c r="A490" s="14" t="s">
        <v>15</v>
      </c>
      <c r="B490" s="14" t="s">
        <v>10010</v>
      </c>
      <c r="C490" s="14" t="s">
        <v>10011</v>
      </c>
      <c r="D490" s="14" t="s">
        <v>9245</v>
      </c>
      <c r="E490" s="14">
        <v>11</v>
      </c>
      <c r="F490" s="14" t="s">
        <v>10031</v>
      </c>
      <c r="G490" s="14" t="s">
        <v>10032</v>
      </c>
      <c r="H490" s="14"/>
      <c r="I490" s="14" t="s">
        <v>49</v>
      </c>
      <c r="J490" s="11" t="str">
        <f>HYPERLINK("https://www.codechef.com/problems/DPNMAO23", "https://www.codechef.com/problems/DPNMAO23")</f>
        <v>https://www.codechef.com/problems/DPNMAO23</v>
      </c>
      <c r="K490" s="14"/>
      <c r="L490" s="14"/>
      <c r="M490" s="14"/>
      <c r="N490" s="14" t="s">
        <v>50</v>
      </c>
      <c r="O490" s="14" t="s">
        <v>51</v>
      </c>
    </row>
    <row r="491" spans="1:15">
      <c r="A491" s="15" t="s">
        <v>15</v>
      </c>
      <c r="B491" s="15" t="s">
        <v>10010</v>
      </c>
      <c r="C491" s="15" t="s">
        <v>10011</v>
      </c>
      <c r="D491" s="15" t="s">
        <v>9245</v>
      </c>
      <c r="E491" s="15">
        <v>12</v>
      </c>
      <c r="F491" s="15" t="s">
        <v>10033</v>
      </c>
      <c r="G491" s="15" t="s">
        <v>10034</v>
      </c>
      <c r="H491" s="15"/>
      <c r="I491" s="15" t="s">
        <v>49</v>
      </c>
      <c r="J491" s="7" t="str">
        <f>HYPERLINK("https://www.codechef.com/problems/DPNMAO24", "https://www.codechef.com/problems/DPNMAO24")</f>
        <v>https://www.codechef.com/problems/DPNMAO24</v>
      </c>
      <c r="K491" s="15"/>
      <c r="L491" s="15"/>
      <c r="M491" s="15"/>
      <c r="N491" s="15" t="s">
        <v>50</v>
      </c>
      <c r="O491" s="15" t="s">
        <v>51</v>
      </c>
    </row>
    <row r="492" spans="1:15">
      <c r="A492" s="14" t="s">
        <v>15</v>
      </c>
      <c r="B492" s="14" t="s">
        <v>10010</v>
      </c>
      <c r="C492" s="14" t="s">
        <v>10011</v>
      </c>
      <c r="D492" s="14" t="s">
        <v>9245</v>
      </c>
      <c r="E492" s="14">
        <v>13</v>
      </c>
      <c r="F492" s="14" t="s">
        <v>10035</v>
      </c>
      <c r="G492" s="14" t="s">
        <v>10036</v>
      </c>
      <c r="H492" s="14"/>
      <c r="I492" s="14" t="s">
        <v>49</v>
      </c>
      <c r="J492" s="11" t="str">
        <f>HYPERLINK("https://www.codechef.com/problems/DPNMAO25", "https://www.codechef.com/problems/DPNMAO25")</f>
        <v>https://www.codechef.com/problems/DPNMAO25</v>
      </c>
      <c r="K492" s="14"/>
      <c r="L492" s="14"/>
      <c r="M492" s="14"/>
      <c r="N492" s="14" t="s">
        <v>50</v>
      </c>
      <c r="O492" s="14" t="s">
        <v>51</v>
      </c>
    </row>
    <row r="493" spans="1:15">
      <c r="A493" s="15" t="s">
        <v>15</v>
      </c>
      <c r="B493" s="15" t="s">
        <v>10010</v>
      </c>
      <c r="C493" s="15" t="s">
        <v>10011</v>
      </c>
      <c r="D493" s="15" t="s">
        <v>9245</v>
      </c>
      <c r="E493" s="15">
        <v>14</v>
      </c>
      <c r="F493" s="15" t="s">
        <v>10037</v>
      </c>
      <c r="G493" s="15" t="s">
        <v>10038</v>
      </c>
      <c r="H493" s="15"/>
      <c r="I493" s="15" t="s">
        <v>96</v>
      </c>
      <c r="J493" s="7" t="str">
        <f>HYPERLINK("https://www.codechef.com/problems/DPNMAO03", "https://www.codechef.com/problems/DPNMAO03")</f>
        <v>https://www.codechef.com/problems/DPNMAO03</v>
      </c>
      <c r="K493" s="15"/>
      <c r="L493" s="15"/>
      <c r="M493" s="15"/>
      <c r="N493" s="15" t="s">
        <v>50</v>
      </c>
      <c r="O493" s="15" t="s">
        <v>51</v>
      </c>
    </row>
    <row r="494" spans="1:15">
      <c r="A494" s="14" t="s">
        <v>15</v>
      </c>
      <c r="B494" s="14" t="s">
        <v>10010</v>
      </c>
      <c r="C494" s="14" t="s">
        <v>10011</v>
      </c>
      <c r="D494" s="14" t="s">
        <v>9245</v>
      </c>
      <c r="E494" s="14">
        <v>15</v>
      </c>
      <c r="F494" s="14" t="s">
        <v>10039</v>
      </c>
      <c r="G494" s="14" t="s">
        <v>10040</v>
      </c>
      <c r="H494" s="14"/>
      <c r="I494" s="14" t="s">
        <v>96</v>
      </c>
      <c r="J494" s="11" t="str">
        <f>HYPERLINK("https://www.codechef.com/problems/DPNMAO04", "https://www.codechef.com/problems/DPNMAO04")</f>
        <v>https://www.codechef.com/problems/DPNMAO04</v>
      </c>
      <c r="K494" s="14"/>
      <c r="L494" s="14"/>
      <c r="M494" s="14"/>
      <c r="N494" s="14" t="s">
        <v>50</v>
      </c>
      <c r="O494" s="14" t="s">
        <v>51</v>
      </c>
    </row>
    <row r="495" spans="1:15">
      <c r="A495" s="15" t="s">
        <v>15</v>
      </c>
      <c r="B495" s="15" t="s">
        <v>10010</v>
      </c>
      <c r="C495" s="15" t="s">
        <v>10011</v>
      </c>
      <c r="D495" s="15" t="s">
        <v>9245</v>
      </c>
      <c r="E495" s="15">
        <v>16</v>
      </c>
      <c r="F495" s="15" t="s">
        <v>10041</v>
      </c>
      <c r="G495" s="15" t="s">
        <v>10042</v>
      </c>
      <c r="H495" s="15"/>
      <c r="I495" s="15" t="s">
        <v>96</v>
      </c>
      <c r="J495" s="7" t="str">
        <f>HYPERLINK("https://www.codechef.com/problems/DPNMAO08", "https://www.codechef.com/problems/DPNMAO08")</f>
        <v>https://www.codechef.com/problems/DPNMAO08</v>
      </c>
      <c r="K495" s="15"/>
      <c r="L495" s="15"/>
      <c r="M495" s="15"/>
      <c r="N495" s="15" t="s">
        <v>50</v>
      </c>
      <c r="O495" s="15" t="s">
        <v>51</v>
      </c>
    </row>
    <row r="496" spans="1:15">
      <c r="A496" s="14" t="s">
        <v>15</v>
      </c>
      <c r="B496" s="14" t="s">
        <v>10010</v>
      </c>
      <c r="C496" s="14" t="s">
        <v>10011</v>
      </c>
      <c r="D496" s="14" t="s">
        <v>9245</v>
      </c>
      <c r="E496" s="14">
        <v>17</v>
      </c>
      <c r="F496" s="14" t="s">
        <v>10043</v>
      </c>
      <c r="G496" s="14" t="s">
        <v>10044</v>
      </c>
      <c r="H496" s="14"/>
      <c r="I496" s="14" t="s">
        <v>322</v>
      </c>
      <c r="J496" s="11" t="str">
        <f>HYPERLINK("https://www.codechef.com/problems/DPNMAO09", "https://www.codechef.com/problems/DPNMAO09")</f>
        <v>https://www.codechef.com/problems/DPNMAO09</v>
      </c>
      <c r="K496" s="14"/>
      <c r="L496" s="14"/>
      <c r="M496" s="14"/>
      <c r="N496" s="14" t="s">
        <v>50</v>
      </c>
      <c r="O496" s="14" t="s">
        <v>51</v>
      </c>
    </row>
    <row r="497" spans="1:15">
      <c r="A497" s="15" t="s">
        <v>15</v>
      </c>
      <c r="B497" s="15" t="s">
        <v>10010</v>
      </c>
      <c r="C497" s="15" t="s">
        <v>10011</v>
      </c>
      <c r="D497" s="15" t="s">
        <v>9245</v>
      </c>
      <c r="E497" s="15">
        <v>18</v>
      </c>
      <c r="F497" s="15" t="s">
        <v>10045</v>
      </c>
      <c r="G497" s="15" t="s">
        <v>10046</v>
      </c>
      <c r="H497" s="15"/>
      <c r="I497" s="15" t="s">
        <v>96</v>
      </c>
      <c r="J497" s="7" t="str">
        <f>HYPERLINK("https://www.codechef.com/problems/DPNMAO10", "https://www.codechef.com/problems/DPNMAO10")</f>
        <v>https://www.codechef.com/problems/DPNMAO10</v>
      </c>
      <c r="K497" s="15"/>
      <c r="L497" s="15"/>
      <c r="M497" s="15"/>
      <c r="N497" s="15" t="s">
        <v>50</v>
      </c>
      <c r="O497" s="15" t="s">
        <v>51</v>
      </c>
    </row>
    <row r="498" spans="1:15">
      <c r="A498" s="14" t="s">
        <v>15</v>
      </c>
      <c r="B498" s="14" t="s">
        <v>10010</v>
      </c>
      <c r="C498" s="14" t="s">
        <v>10011</v>
      </c>
      <c r="D498" s="14" t="s">
        <v>9245</v>
      </c>
      <c r="E498" s="14">
        <v>19</v>
      </c>
      <c r="F498" s="14" t="s">
        <v>10047</v>
      </c>
      <c r="G498" s="14" t="s">
        <v>10048</v>
      </c>
      <c r="H498" s="14"/>
      <c r="I498" s="14" t="s">
        <v>96</v>
      </c>
      <c r="J498" s="11" t="str">
        <f>HYPERLINK("https://www.codechef.com/problems/DPNMAO14", "https://www.codechef.com/problems/DPNMAO14")</f>
        <v>https://www.codechef.com/problems/DPNMAO14</v>
      </c>
      <c r="K498" s="14"/>
      <c r="L498" s="14"/>
      <c r="M498" s="14"/>
      <c r="N498" s="14" t="s">
        <v>50</v>
      </c>
      <c r="O498" s="14" t="s">
        <v>51</v>
      </c>
    </row>
    <row r="499" spans="1:15">
      <c r="A499" s="15" t="s">
        <v>15</v>
      </c>
      <c r="B499" s="15" t="s">
        <v>10010</v>
      </c>
      <c r="C499" s="15" t="s">
        <v>10011</v>
      </c>
      <c r="D499" s="15" t="s">
        <v>9245</v>
      </c>
      <c r="E499" s="15">
        <v>20</v>
      </c>
      <c r="F499" s="15" t="s">
        <v>10049</v>
      </c>
      <c r="G499" s="15" t="s">
        <v>10050</v>
      </c>
      <c r="H499" s="15"/>
      <c r="I499" s="15" t="s">
        <v>96</v>
      </c>
      <c r="J499" s="7" t="str">
        <f>HYPERLINK("https://www.codechef.com/problems/DPNMAO16", "https://www.codechef.com/problems/DPNMAO16")</f>
        <v>https://www.codechef.com/problems/DPNMAO16</v>
      </c>
      <c r="K499" s="15"/>
      <c r="L499" s="15"/>
      <c r="M499" s="15"/>
      <c r="N499" s="15" t="s">
        <v>50</v>
      </c>
      <c r="O499" s="15" t="s">
        <v>51</v>
      </c>
    </row>
    <row r="500" spans="1:15">
      <c r="A500" s="14" t="s">
        <v>15</v>
      </c>
      <c r="B500" s="14" t="s">
        <v>10010</v>
      </c>
      <c r="C500" s="14" t="s">
        <v>10011</v>
      </c>
      <c r="D500" s="14" t="s">
        <v>9245</v>
      </c>
      <c r="E500" s="14">
        <v>21</v>
      </c>
      <c r="F500" s="14" t="s">
        <v>10051</v>
      </c>
      <c r="G500" s="14" t="s">
        <v>10052</v>
      </c>
      <c r="H500" s="14"/>
      <c r="I500" s="14" t="s">
        <v>49</v>
      </c>
      <c r="J500" s="11" t="str">
        <f>HYPERLINK("https://www.codechef.com/problems/DPNMAO17", "https://www.codechef.com/problems/DPNMAO17")</f>
        <v>https://www.codechef.com/problems/DPNMAO17</v>
      </c>
      <c r="K500" s="14"/>
      <c r="L500" s="14"/>
      <c r="M500" s="14"/>
      <c r="N500" s="14" t="s">
        <v>50</v>
      </c>
      <c r="O500" s="14" t="s">
        <v>51</v>
      </c>
    </row>
    <row r="501" spans="1:15">
      <c r="A501" s="15" t="s">
        <v>15</v>
      </c>
      <c r="B501" s="15" t="s">
        <v>10010</v>
      </c>
      <c r="C501" s="15" t="s">
        <v>10011</v>
      </c>
      <c r="D501" s="15" t="s">
        <v>9245</v>
      </c>
      <c r="E501" s="15">
        <v>22</v>
      </c>
      <c r="F501" s="15" t="s">
        <v>10053</v>
      </c>
      <c r="G501" s="15" t="s">
        <v>10054</v>
      </c>
      <c r="H501" s="15"/>
      <c r="I501" s="15" t="s">
        <v>49</v>
      </c>
      <c r="J501" s="7" t="str">
        <f>HYPERLINK("https://www.codechef.com/problems/DPNMAO18", "https://www.codechef.com/problems/DPNMAO18")</f>
        <v>https://www.codechef.com/problems/DPNMAO18</v>
      </c>
      <c r="K501" s="15"/>
      <c r="L501" s="15"/>
      <c r="M501" s="15"/>
      <c r="N501" s="15" t="s">
        <v>50</v>
      </c>
      <c r="O501" s="15" t="s">
        <v>51</v>
      </c>
    </row>
    <row r="502" spans="1:15">
      <c r="A502" s="14" t="s">
        <v>15</v>
      </c>
      <c r="B502" s="14" t="s">
        <v>10010</v>
      </c>
      <c r="C502" s="14" t="s">
        <v>10011</v>
      </c>
      <c r="D502" s="14" t="s">
        <v>9245</v>
      </c>
      <c r="E502" s="14">
        <v>23</v>
      </c>
      <c r="F502" s="14" t="s">
        <v>10055</v>
      </c>
      <c r="G502" s="14" t="s">
        <v>10056</v>
      </c>
      <c r="H502" s="14"/>
      <c r="I502" s="14" t="s">
        <v>96</v>
      </c>
      <c r="J502" s="11" t="str">
        <f>HYPERLINK("https://www.codechef.com/problems/DPNMAO19", "https://www.codechef.com/problems/DPNMAO19")</f>
        <v>https://www.codechef.com/problems/DPNMAO19</v>
      </c>
      <c r="K502" s="14"/>
      <c r="L502" s="14"/>
      <c r="M502" s="14"/>
      <c r="N502" s="14" t="s">
        <v>50</v>
      </c>
      <c r="O502" s="14" t="s">
        <v>51</v>
      </c>
    </row>
    <row r="503" spans="1:15">
      <c r="A503" s="15" t="s">
        <v>15</v>
      </c>
      <c r="B503" s="15" t="s">
        <v>10010</v>
      </c>
      <c r="C503" s="15" t="s">
        <v>10011</v>
      </c>
      <c r="D503" s="15" t="s">
        <v>9245</v>
      </c>
      <c r="E503" s="15">
        <v>24</v>
      </c>
      <c r="F503" s="15" t="s">
        <v>10057</v>
      </c>
      <c r="G503" s="15" t="s">
        <v>10058</v>
      </c>
      <c r="H503" s="15"/>
      <c r="I503" s="15" t="s">
        <v>49</v>
      </c>
      <c r="J503" s="7" t="str">
        <f>HYPERLINK("https://www.codechef.com/problems/DPNMAO22", "https://www.codechef.com/problems/DPNMAO22")</f>
        <v>https://www.codechef.com/problems/DPNMAO22</v>
      </c>
      <c r="K503" s="15"/>
      <c r="L503" s="15"/>
      <c r="M503" s="15"/>
      <c r="N503" s="15" t="s">
        <v>50</v>
      </c>
      <c r="O503" s="15" t="s">
        <v>51</v>
      </c>
    </row>
    <row r="504" spans="1:15">
      <c r="A504" s="14" t="s">
        <v>15</v>
      </c>
      <c r="B504" s="14" t="s">
        <v>10010</v>
      </c>
      <c r="C504" s="14" t="s">
        <v>10011</v>
      </c>
      <c r="D504" s="14" t="s">
        <v>9265</v>
      </c>
      <c r="E504" s="14">
        <v>25</v>
      </c>
      <c r="F504" s="14" t="s">
        <v>10059</v>
      </c>
      <c r="G504" s="14" t="s">
        <v>10060</v>
      </c>
      <c r="H504" s="14"/>
      <c r="I504" s="14" t="s">
        <v>96</v>
      </c>
      <c r="J504" s="11" t="str">
        <f>HYPERLINK("https://www.codechef.com/problems/AGTCCR17", "https://www.codechef.com/problems/AGTCCR17")</f>
        <v>https://www.codechef.com/problems/AGTCCR17</v>
      </c>
      <c r="K504" s="14"/>
      <c r="L504" s="14"/>
      <c r="M504" s="14"/>
      <c r="N504" s="14" t="s">
        <v>50</v>
      </c>
      <c r="O504" s="14" t="s">
        <v>51</v>
      </c>
    </row>
    <row r="505" spans="1:15">
      <c r="A505" s="15" t="s">
        <v>15</v>
      </c>
      <c r="B505" s="15" t="s">
        <v>10010</v>
      </c>
      <c r="C505" s="15" t="s">
        <v>10011</v>
      </c>
      <c r="D505" s="15" t="s">
        <v>9265</v>
      </c>
      <c r="E505" s="15">
        <v>26</v>
      </c>
      <c r="F505" s="15" t="s">
        <v>10061</v>
      </c>
      <c r="G505" s="15" t="s">
        <v>10062</v>
      </c>
      <c r="H505" s="15"/>
      <c r="I505" s="15" t="s">
        <v>96</v>
      </c>
      <c r="J505" s="7" t="str">
        <f>HYPERLINK("https://www.codechef.com/problems/AGTCCR18", "https://www.codechef.com/problems/AGTCCR18")</f>
        <v>https://www.codechef.com/problems/AGTCCR18</v>
      </c>
      <c r="K505" s="15"/>
      <c r="L505" s="15"/>
      <c r="M505" s="15"/>
      <c r="N505" s="15" t="s">
        <v>50</v>
      </c>
      <c r="O505" s="15" t="s">
        <v>51</v>
      </c>
    </row>
    <row r="506" spans="1:15">
      <c r="A506" s="14" t="s">
        <v>15</v>
      </c>
      <c r="B506" s="14" t="s">
        <v>10010</v>
      </c>
      <c r="C506" s="14" t="s">
        <v>10011</v>
      </c>
      <c r="D506" s="14" t="s">
        <v>9265</v>
      </c>
      <c r="E506" s="14">
        <v>27</v>
      </c>
      <c r="F506" s="14" t="s">
        <v>10063</v>
      </c>
      <c r="G506" s="14" t="s">
        <v>10064</v>
      </c>
      <c r="H506" s="14"/>
      <c r="I506" s="14" t="s">
        <v>96</v>
      </c>
      <c r="J506" s="11" t="str">
        <f>HYPERLINK("https://www.codechef.com/problems/AGTCCR19", "https://www.codechef.com/problems/AGTCCR19")</f>
        <v>https://www.codechef.com/problems/AGTCCR19</v>
      </c>
      <c r="K506" s="14"/>
      <c r="L506" s="14"/>
      <c r="M506" s="14"/>
      <c r="N506" s="14" t="s">
        <v>50</v>
      </c>
      <c r="O506" s="14" t="s">
        <v>51</v>
      </c>
    </row>
    <row r="507" spans="1:15">
      <c r="A507" s="15" t="s">
        <v>15</v>
      </c>
      <c r="B507" s="15" t="s">
        <v>10010</v>
      </c>
      <c r="C507" s="15" t="s">
        <v>10011</v>
      </c>
      <c r="D507" s="15" t="s">
        <v>9265</v>
      </c>
      <c r="E507" s="15">
        <v>28</v>
      </c>
      <c r="F507" s="15" t="s">
        <v>10065</v>
      </c>
      <c r="G507" s="15" t="s">
        <v>10066</v>
      </c>
      <c r="H507" s="15"/>
      <c r="I507" s="15" t="s">
        <v>96</v>
      </c>
      <c r="J507" s="7" t="str">
        <f>HYPERLINK("https://www.codechef.com/problems/AGTCCR20", "https://www.codechef.com/problems/AGTCCR20")</f>
        <v>https://www.codechef.com/problems/AGTCCR20</v>
      </c>
      <c r="K507" s="15"/>
      <c r="L507" s="15"/>
      <c r="M507" s="15"/>
      <c r="N507" s="15" t="s">
        <v>50</v>
      </c>
      <c r="O507" s="15" t="s">
        <v>51</v>
      </c>
    </row>
    <row r="508" spans="1:15">
      <c r="A508" s="14" t="s">
        <v>15</v>
      </c>
      <c r="B508" s="14" t="s">
        <v>10010</v>
      </c>
      <c r="C508" s="14" t="s">
        <v>10011</v>
      </c>
      <c r="D508" s="14" t="s">
        <v>9265</v>
      </c>
      <c r="E508" s="14">
        <v>29</v>
      </c>
      <c r="F508" s="14" t="s">
        <v>10067</v>
      </c>
      <c r="G508" s="14" t="s">
        <v>10068</v>
      </c>
      <c r="H508" s="14"/>
      <c r="I508" s="14" t="s">
        <v>96</v>
      </c>
      <c r="J508" s="11" t="str">
        <f>HYPERLINK("https://www.codechef.com/problems/AGTCCR21", "https://www.codechef.com/problems/AGTCCR21")</f>
        <v>https://www.codechef.com/problems/AGTCCR21</v>
      </c>
      <c r="K508" s="14"/>
      <c r="L508" s="14"/>
      <c r="M508" s="14"/>
      <c r="N508" s="14" t="s">
        <v>50</v>
      </c>
      <c r="O508" s="14" t="s">
        <v>51</v>
      </c>
    </row>
    <row r="509" spans="1:15">
      <c r="A509" s="15" t="s">
        <v>15</v>
      </c>
      <c r="B509" s="15" t="s">
        <v>10010</v>
      </c>
      <c r="C509" s="15" t="s">
        <v>10011</v>
      </c>
      <c r="D509" s="15" t="s">
        <v>9265</v>
      </c>
      <c r="E509" s="15">
        <v>30</v>
      </c>
      <c r="F509" s="15" t="s">
        <v>10069</v>
      </c>
      <c r="G509" s="15" t="s">
        <v>10070</v>
      </c>
      <c r="H509" s="15"/>
      <c r="I509" s="15" t="s">
        <v>96</v>
      </c>
      <c r="J509" s="7" t="str">
        <f>HYPERLINK("https://www.codechef.com/problems/AGTCCR22", "https://www.codechef.com/problems/AGTCCR22")</f>
        <v>https://www.codechef.com/problems/AGTCCR22</v>
      </c>
      <c r="K509" s="15"/>
      <c r="L509" s="15"/>
      <c r="M509" s="15"/>
      <c r="N509" s="15" t="s">
        <v>50</v>
      </c>
      <c r="O509" s="15" t="s">
        <v>51</v>
      </c>
    </row>
    <row r="510" spans="1:15">
      <c r="A510" s="14" t="s">
        <v>15</v>
      </c>
      <c r="B510" s="14" t="s">
        <v>10010</v>
      </c>
      <c r="C510" s="14" t="s">
        <v>10011</v>
      </c>
      <c r="D510" s="14" t="s">
        <v>9265</v>
      </c>
      <c r="E510" s="14">
        <v>31</v>
      </c>
      <c r="F510" s="14" t="s">
        <v>10071</v>
      </c>
      <c r="G510" s="14" t="s">
        <v>10072</v>
      </c>
      <c r="H510" s="14"/>
      <c r="I510" s="14" t="s">
        <v>96</v>
      </c>
      <c r="J510" s="11" t="str">
        <f>HYPERLINK("https://www.codechef.com/problems/AGTCCR23", "https://www.codechef.com/problems/AGTCCR23")</f>
        <v>https://www.codechef.com/problems/AGTCCR23</v>
      </c>
      <c r="K510" s="14"/>
      <c r="L510" s="14"/>
      <c r="M510" s="14"/>
      <c r="N510" s="14" t="s">
        <v>50</v>
      </c>
      <c r="O510" s="14" t="s">
        <v>51</v>
      </c>
    </row>
    <row r="511" spans="1:15">
      <c r="A511" s="15" t="s">
        <v>15</v>
      </c>
      <c r="B511" s="15" t="s">
        <v>10010</v>
      </c>
      <c r="C511" s="15" t="s">
        <v>10011</v>
      </c>
      <c r="D511" s="15" t="s">
        <v>9265</v>
      </c>
      <c r="E511" s="15">
        <v>32</v>
      </c>
      <c r="F511" s="15" t="s">
        <v>10073</v>
      </c>
      <c r="G511" s="15" t="s">
        <v>10074</v>
      </c>
      <c r="H511" s="15"/>
      <c r="I511" s="15" t="s">
        <v>96</v>
      </c>
      <c r="J511" s="7" t="str">
        <f>HYPERLINK("https://www.codechef.com/problems/AGTCCR24", "https://www.codechef.com/problems/AGTCCR24")</f>
        <v>https://www.codechef.com/problems/AGTCCR24</v>
      </c>
      <c r="K511" s="15"/>
      <c r="L511" s="15"/>
      <c r="M511" s="15"/>
      <c r="N511" s="15" t="s">
        <v>50</v>
      </c>
      <c r="O511" s="15" t="s">
        <v>51</v>
      </c>
    </row>
    <row r="512" spans="1:15">
      <c r="A512" s="14" t="s">
        <v>15</v>
      </c>
      <c r="B512" s="14" t="s">
        <v>10010</v>
      </c>
      <c r="C512" s="14" t="s">
        <v>10011</v>
      </c>
      <c r="D512" s="14" t="s">
        <v>9265</v>
      </c>
      <c r="E512" s="14">
        <v>33</v>
      </c>
      <c r="F512" s="14" t="s">
        <v>10075</v>
      </c>
      <c r="G512" s="14" t="s">
        <v>10076</v>
      </c>
      <c r="H512" s="14"/>
      <c r="I512" s="14" t="s">
        <v>96</v>
      </c>
      <c r="J512" s="11" t="str">
        <f>HYPERLINK("https://www.codechef.com/problems/AGTCCR25", "https://www.codechef.com/problems/AGTCCR25")</f>
        <v>https://www.codechef.com/problems/AGTCCR25</v>
      </c>
      <c r="K512" s="14"/>
      <c r="L512" s="14"/>
      <c r="M512" s="14"/>
      <c r="N512" s="14" t="s">
        <v>50</v>
      </c>
      <c r="O512" s="14" t="s">
        <v>51</v>
      </c>
    </row>
    <row r="513" spans="1:15">
      <c r="A513" s="15" t="s">
        <v>15</v>
      </c>
      <c r="B513" s="15" t="s">
        <v>10010</v>
      </c>
      <c r="C513" s="15" t="s">
        <v>10011</v>
      </c>
      <c r="D513" s="15" t="s">
        <v>9265</v>
      </c>
      <c r="E513" s="15">
        <v>34</v>
      </c>
      <c r="F513" s="15" t="s">
        <v>10077</v>
      </c>
      <c r="G513" s="15" t="s">
        <v>10078</v>
      </c>
      <c r="H513" s="15"/>
      <c r="I513" s="15" t="s">
        <v>96</v>
      </c>
      <c r="J513" s="7" t="str">
        <f>HYPERLINK("https://www.codechef.com/problems/AGTCCR26", "https://www.codechef.com/problems/AGTCCR26")</f>
        <v>https://www.codechef.com/problems/AGTCCR26</v>
      </c>
      <c r="K513" s="15"/>
      <c r="L513" s="15"/>
      <c r="M513" s="15"/>
      <c r="N513" s="15" t="s">
        <v>50</v>
      </c>
      <c r="O513" s="15" t="s">
        <v>51</v>
      </c>
    </row>
    <row r="514" spans="1:15">
      <c r="A514" s="14" t="s">
        <v>15</v>
      </c>
      <c r="B514" s="14" t="s">
        <v>10010</v>
      </c>
      <c r="C514" s="14" t="s">
        <v>10011</v>
      </c>
      <c r="D514" s="14" t="s">
        <v>9265</v>
      </c>
      <c r="E514" s="14">
        <v>35</v>
      </c>
      <c r="F514" s="14" t="s">
        <v>10079</v>
      </c>
      <c r="G514" s="14" t="s">
        <v>10080</v>
      </c>
      <c r="H514" s="14"/>
      <c r="I514" s="14" t="s">
        <v>49</v>
      </c>
      <c r="J514" s="11" t="str">
        <f>HYPERLINK("https://www.codechef.com/problems/AGTCCR27", "https://www.codechef.com/problems/AGTCCR27")</f>
        <v>https://www.codechef.com/problems/AGTCCR27</v>
      </c>
      <c r="K514" s="14"/>
      <c r="L514" s="14"/>
      <c r="M514" s="14"/>
      <c r="N514" s="14" t="s">
        <v>50</v>
      </c>
      <c r="O514" s="14" t="s">
        <v>51</v>
      </c>
    </row>
    <row r="515" spans="1:15">
      <c r="A515" s="15" t="s">
        <v>15</v>
      </c>
      <c r="B515" s="15" t="s">
        <v>10010</v>
      </c>
      <c r="C515" s="15" t="s">
        <v>10011</v>
      </c>
      <c r="D515" s="15" t="s">
        <v>9265</v>
      </c>
      <c r="E515" s="15">
        <v>36</v>
      </c>
      <c r="F515" s="15" t="s">
        <v>10081</v>
      </c>
      <c r="G515" s="15" t="s">
        <v>10082</v>
      </c>
      <c r="H515" s="15"/>
      <c r="I515" s="15" t="s">
        <v>96</v>
      </c>
      <c r="J515" s="7" t="str">
        <f>HYPERLINK("https://www.codechef.com/problems/AGTCCR28", "https://www.codechef.com/problems/AGTCCR28")</f>
        <v>https://www.codechef.com/problems/AGTCCR28</v>
      </c>
      <c r="K515" s="15"/>
      <c r="L515" s="15"/>
      <c r="M515" s="15"/>
      <c r="N515" s="15" t="s">
        <v>50</v>
      </c>
      <c r="O515" s="15" t="s">
        <v>51</v>
      </c>
    </row>
    <row r="516" spans="1:15">
      <c r="A516" s="14" t="s">
        <v>15</v>
      </c>
      <c r="B516" s="14" t="s">
        <v>10010</v>
      </c>
      <c r="C516" s="14" t="s">
        <v>10011</v>
      </c>
      <c r="D516" s="14" t="s">
        <v>9265</v>
      </c>
      <c r="E516" s="14">
        <v>37</v>
      </c>
      <c r="F516" s="14" t="s">
        <v>10083</v>
      </c>
      <c r="G516" s="14" t="s">
        <v>10084</v>
      </c>
      <c r="H516" s="14"/>
      <c r="I516" s="14" t="s">
        <v>49</v>
      </c>
      <c r="J516" s="11" t="str">
        <f>HYPERLINK("https://www.codechef.com/problems/AGTCCR29", "https://www.codechef.com/problems/AGTCCR29")</f>
        <v>https://www.codechef.com/problems/AGTCCR29</v>
      </c>
      <c r="K516" s="14"/>
      <c r="L516" s="14"/>
      <c r="M516" s="14"/>
      <c r="N516" s="14" t="s">
        <v>50</v>
      </c>
      <c r="O516" s="14" t="s">
        <v>51</v>
      </c>
    </row>
    <row r="517" spans="1:15">
      <c r="A517" s="15" t="s">
        <v>15</v>
      </c>
      <c r="B517" s="15" t="s">
        <v>10010</v>
      </c>
      <c r="C517" s="15" t="s">
        <v>10011</v>
      </c>
      <c r="D517" s="15" t="s">
        <v>9265</v>
      </c>
      <c r="E517" s="15">
        <v>38</v>
      </c>
      <c r="F517" s="15" t="s">
        <v>10085</v>
      </c>
      <c r="G517" s="15" t="s">
        <v>10086</v>
      </c>
      <c r="H517" s="15"/>
      <c r="I517" s="15" t="s">
        <v>322</v>
      </c>
      <c r="J517" s="7" t="str">
        <f>HYPERLINK("https://www.codechef.com/problems/AGTCCR30", "https://www.codechef.com/problems/AGTCCR30")</f>
        <v>https://www.codechef.com/problems/AGTCCR30</v>
      </c>
      <c r="K517" s="15"/>
      <c r="L517" s="15"/>
      <c r="M517" s="15"/>
      <c r="N517" s="15" t="s">
        <v>50</v>
      </c>
      <c r="O517" s="15" t="s">
        <v>51</v>
      </c>
    </row>
    <row r="518" spans="1:15">
      <c r="A518" s="14" t="s">
        <v>15</v>
      </c>
      <c r="B518" s="14" t="s">
        <v>10010</v>
      </c>
      <c r="C518" s="14" t="s">
        <v>10011</v>
      </c>
      <c r="D518" s="14" t="s">
        <v>9265</v>
      </c>
      <c r="E518" s="14">
        <v>39</v>
      </c>
      <c r="F518" s="14" t="s">
        <v>10087</v>
      </c>
      <c r="G518" s="14" t="s">
        <v>10088</v>
      </c>
      <c r="H518" s="14"/>
      <c r="I518" s="14" t="s">
        <v>49</v>
      </c>
      <c r="J518" s="11" t="str">
        <f>HYPERLINK("https://www.codechef.com/problems/AGTCCR31", "https://www.codechef.com/problems/AGTCCR31")</f>
        <v>https://www.codechef.com/problems/AGTCCR31</v>
      </c>
      <c r="K518" s="14"/>
      <c r="L518" s="14"/>
      <c r="M518" s="14"/>
      <c r="N518" s="14" t="s">
        <v>50</v>
      </c>
      <c r="O518" s="14" t="s">
        <v>51</v>
      </c>
    </row>
    <row r="519" spans="1:15">
      <c r="A519" s="15" t="s">
        <v>15</v>
      </c>
      <c r="B519" s="15" t="s">
        <v>10010</v>
      </c>
      <c r="C519" s="15" t="s">
        <v>10011</v>
      </c>
      <c r="D519" s="15" t="s">
        <v>9265</v>
      </c>
      <c r="E519" s="15">
        <v>40</v>
      </c>
      <c r="F519" s="15" t="s">
        <v>10089</v>
      </c>
      <c r="G519" s="15" t="s">
        <v>10090</v>
      </c>
      <c r="H519" s="15"/>
      <c r="I519" s="15" t="s">
        <v>49</v>
      </c>
      <c r="J519" s="7" t="str">
        <f>HYPERLINK("https://www.codechef.com/problems/AGTCCR32", "https://www.codechef.com/problems/AGTCCR32")</f>
        <v>https://www.codechef.com/problems/AGTCCR32</v>
      </c>
      <c r="K519" s="15"/>
      <c r="L519" s="15"/>
      <c r="M519" s="15"/>
      <c r="N519" s="15" t="s">
        <v>50</v>
      </c>
      <c r="O519" s="15" t="s">
        <v>51</v>
      </c>
    </row>
    <row r="520" spans="1:15">
      <c r="A520" s="14" t="s">
        <v>15</v>
      </c>
      <c r="B520" s="14" t="s">
        <v>10010</v>
      </c>
      <c r="C520" s="14" t="s">
        <v>10011</v>
      </c>
      <c r="D520" s="14" t="s">
        <v>9265</v>
      </c>
      <c r="E520" s="14">
        <v>41</v>
      </c>
      <c r="F520" s="14" t="s">
        <v>10091</v>
      </c>
      <c r="G520" s="14" t="s">
        <v>10092</v>
      </c>
      <c r="H520" s="14"/>
      <c r="I520" s="14" t="s">
        <v>49</v>
      </c>
      <c r="J520" s="11" t="str">
        <f>HYPERLINK("https://www.codechef.com/problems/AGTCCR33", "https://www.codechef.com/problems/AGTCCR33")</f>
        <v>https://www.codechef.com/problems/AGTCCR33</v>
      </c>
      <c r="K520" s="14"/>
      <c r="L520" s="14"/>
      <c r="M520" s="14"/>
      <c r="N520" s="14" t="s">
        <v>50</v>
      </c>
      <c r="O520" s="14" t="s">
        <v>51</v>
      </c>
    </row>
    <row r="521" spans="1:15">
      <c r="A521" s="15" t="s">
        <v>15</v>
      </c>
      <c r="B521" s="15" t="s">
        <v>10010</v>
      </c>
      <c r="C521" s="15" t="s">
        <v>10011</v>
      </c>
      <c r="D521" s="15" t="s">
        <v>9265</v>
      </c>
      <c r="E521" s="15">
        <v>42</v>
      </c>
      <c r="F521" s="15" t="s">
        <v>10093</v>
      </c>
      <c r="G521" s="15" t="s">
        <v>10094</v>
      </c>
      <c r="H521" s="15"/>
      <c r="I521" s="15" t="s">
        <v>49</v>
      </c>
      <c r="J521" s="7" t="str">
        <f>HYPERLINK("https://www.codechef.com/problems/AGTCCR34", "https://www.codechef.com/problems/AGTCCR34")</f>
        <v>https://www.codechef.com/problems/AGTCCR34</v>
      </c>
      <c r="K521" s="15"/>
      <c r="L521" s="15"/>
      <c r="M521" s="15"/>
      <c r="N521" s="15" t="s">
        <v>50</v>
      </c>
      <c r="O521" s="15" t="s">
        <v>51</v>
      </c>
    </row>
    <row r="522" spans="1:15">
      <c r="A522" s="14" t="s">
        <v>15</v>
      </c>
      <c r="B522" s="14" t="s">
        <v>10010</v>
      </c>
      <c r="C522" s="14" t="s">
        <v>10011</v>
      </c>
      <c r="D522" s="14" t="s">
        <v>9286</v>
      </c>
      <c r="E522" s="14">
        <v>43</v>
      </c>
      <c r="F522" s="14" t="s">
        <v>9840</v>
      </c>
      <c r="G522" s="14" t="s">
        <v>10095</v>
      </c>
      <c r="H522" s="14"/>
      <c r="I522" s="14" t="s">
        <v>49</v>
      </c>
      <c r="J522" s="11" t="str">
        <f>HYPERLINK("https://www.codechef.com/problems/AGTCCR47", "https://www.codechef.com/problems/AGTCCR47")</f>
        <v>https://www.codechef.com/problems/AGTCCR47</v>
      </c>
      <c r="K522" s="14"/>
      <c r="L522" s="14"/>
      <c r="M522" s="14"/>
      <c r="N522" s="14" t="s">
        <v>50</v>
      </c>
      <c r="O522" s="14" t="s">
        <v>51</v>
      </c>
    </row>
    <row r="523" spans="1:15">
      <c r="A523" s="15" t="s">
        <v>15</v>
      </c>
      <c r="B523" s="15" t="s">
        <v>10010</v>
      </c>
      <c r="C523" s="15" t="s">
        <v>10011</v>
      </c>
      <c r="D523" s="15" t="s">
        <v>9286</v>
      </c>
      <c r="E523" s="15">
        <v>44</v>
      </c>
      <c r="F523" s="15" t="s">
        <v>10096</v>
      </c>
      <c r="G523" s="15" t="s">
        <v>10097</v>
      </c>
      <c r="H523" s="15"/>
      <c r="I523" s="15" t="s">
        <v>49</v>
      </c>
      <c r="J523" s="7" t="str">
        <f>HYPERLINK("https://www.codechef.com/problems/AGTCCR48", "https://www.codechef.com/problems/AGTCCR48")</f>
        <v>https://www.codechef.com/problems/AGTCCR48</v>
      </c>
      <c r="K523" s="15"/>
      <c r="L523" s="15"/>
      <c r="M523" s="15"/>
      <c r="N523" s="15" t="s">
        <v>50</v>
      </c>
      <c r="O523" s="15" t="s">
        <v>51</v>
      </c>
    </row>
    <row r="524" spans="1:15">
      <c r="A524" s="14" t="s">
        <v>15</v>
      </c>
      <c r="B524" s="14" t="s">
        <v>10010</v>
      </c>
      <c r="C524" s="14" t="s">
        <v>10011</v>
      </c>
      <c r="D524" s="14" t="s">
        <v>9286</v>
      </c>
      <c r="E524" s="14">
        <v>45</v>
      </c>
      <c r="F524" s="14" t="s">
        <v>10098</v>
      </c>
      <c r="G524" s="14" t="s">
        <v>10099</v>
      </c>
      <c r="H524" s="14"/>
      <c r="I524" s="14" t="s">
        <v>49</v>
      </c>
      <c r="J524" s="11" t="str">
        <f>HYPERLINK("https://www.codechef.com/problems/AGTCCR49", "https://www.codechef.com/problems/AGTCCR49")</f>
        <v>https://www.codechef.com/problems/AGTCCR49</v>
      </c>
      <c r="K524" s="14"/>
      <c r="L524" s="14"/>
      <c r="M524" s="14"/>
      <c r="N524" s="14" t="s">
        <v>50</v>
      </c>
      <c r="O524" s="14" t="s">
        <v>51</v>
      </c>
    </row>
    <row r="525" spans="1:15">
      <c r="A525" s="15" t="s">
        <v>15</v>
      </c>
      <c r="B525" s="15" t="s">
        <v>10010</v>
      </c>
      <c r="C525" s="15" t="s">
        <v>10011</v>
      </c>
      <c r="D525" s="15" t="s">
        <v>9286</v>
      </c>
      <c r="E525" s="15">
        <v>46</v>
      </c>
      <c r="F525" s="15" t="s">
        <v>10100</v>
      </c>
      <c r="G525" s="15" t="s">
        <v>10101</v>
      </c>
      <c r="H525" s="15"/>
      <c r="I525" s="15" t="s">
        <v>49</v>
      </c>
      <c r="J525" s="7" t="str">
        <f>HYPERLINK("https://www.codechef.com/problems/AGTCCR50", "https://www.codechef.com/problems/AGTCCR50")</f>
        <v>https://www.codechef.com/problems/AGTCCR50</v>
      </c>
      <c r="K525" s="15"/>
      <c r="L525" s="15"/>
      <c r="M525" s="15"/>
      <c r="N525" s="15" t="s">
        <v>50</v>
      </c>
      <c r="O525" s="15" t="s">
        <v>51</v>
      </c>
    </row>
    <row r="526" spans="1:15">
      <c r="A526" s="14" t="s">
        <v>15</v>
      </c>
      <c r="B526" s="14" t="s">
        <v>10010</v>
      </c>
      <c r="C526" s="14" t="s">
        <v>10011</v>
      </c>
      <c r="D526" s="14" t="s">
        <v>9286</v>
      </c>
      <c r="E526" s="14">
        <v>47</v>
      </c>
      <c r="F526" s="14" t="s">
        <v>10102</v>
      </c>
      <c r="G526" s="14" t="s">
        <v>10103</v>
      </c>
      <c r="H526" s="14"/>
      <c r="I526" s="14" t="s">
        <v>96</v>
      </c>
      <c r="J526" s="11" t="str">
        <f>HYPERLINK("https://www.codechef.com/problems/AGTCCR51", "https://www.codechef.com/problems/AGTCCR51")</f>
        <v>https://www.codechef.com/problems/AGTCCR51</v>
      </c>
      <c r="K526" s="14"/>
      <c r="L526" s="14"/>
      <c r="M526" s="14"/>
      <c r="N526" s="14" t="s">
        <v>50</v>
      </c>
      <c r="O526" s="14" t="s">
        <v>51</v>
      </c>
    </row>
    <row r="527" spans="1:15">
      <c r="A527" s="15" t="s">
        <v>15</v>
      </c>
      <c r="B527" s="15" t="s">
        <v>10010</v>
      </c>
      <c r="C527" s="15" t="s">
        <v>10011</v>
      </c>
      <c r="D527" s="15" t="s">
        <v>9286</v>
      </c>
      <c r="E527" s="15">
        <v>48</v>
      </c>
      <c r="F527" s="15" t="s">
        <v>10104</v>
      </c>
      <c r="G527" s="15" t="s">
        <v>10105</v>
      </c>
      <c r="H527" s="15"/>
      <c r="I527" s="15" t="s">
        <v>49</v>
      </c>
      <c r="J527" s="7" t="str">
        <f>HYPERLINK("https://www.codechef.com/problems/AGTCCR52", "https://www.codechef.com/problems/AGTCCR52")</f>
        <v>https://www.codechef.com/problems/AGTCCR52</v>
      </c>
      <c r="K527" s="15"/>
      <c r="L527" s="15"/>
      <c r="M527" s="15"/>
      <c r="N527" s="15" t="s">
        <v>50</v>
      </c>
      <c r="O527" s="15" t="s">
        <v>51</v>
      </c>
    </row>
    <row r="528" spans="1:15">
      <c r="A528" s="14" t="s">
        <v>15</v>
      </c>
      <c r="B528" s="14" t="s">
        <v>10010</v>
      </c>
      <c r="C528" s="14" t="s">
        <v>10011</v>
      </c>
      <c r="D528" s="14" t="s">
        <v>9286</v>
      </c>
      <c r="E528" s="14">
        <v>49</v>
      </c>
      <c r="F528" s="14" t="s">
        <v>10106</v>
      </c>
      <c r="G528" s="14" t="s">
        <v>10107</v>
      </c>
      <c r="H528" s="14"/>
      <c r="I528" s="14" t="s">
        <v>49</v>
      </c>
      <c r="J528" s="11" t="str">
        <f>HYPERLINK("https://www.codechef.com/problems/AGTCCR53", "https://www.codechef.com/problems/AGTCCR53")</f>
        <v>https://www.codechef.com/problems/AGTCCR53</v>
      </c>
      <c r="K528" s="14"/>
      <c r="L528" s="14"/>
      <c r="M528" s="14"/>
      <c r="N528" s="14" t="s">
        <v>50</v>
      </c>
      <c r="O528" s="14" t="s">
        <v>51</v>
      </c>
    </row>
    <row r="529" spans="1:15">
      <c r="A529" s="15" t="s">
        <v>15</v>
      </c>
      <c r="B529" s="15" t="s">
        <v>10010</v>
      </c>
      <c r="C529" s="15" t="s">
        <v>10011</v>
      </c>
      <c r="D529" s="15" t="s">
        <v>9286</v>
      </c>
      <c r="E529" s="15">
        <v>50</v>
      </c>
      <c r="F529" s="15" t="s">
        <v>10108</v>
      </c>
      <c r="G529" s="15" t="s">
        <v>10109</v>
      </c>
      <c r="H529" s="15"/>
      <c r="I529" s="15" t="s">
        <v>96</v>
      </c>
      <c r="J529" s="7" t="str">
        <f>HYPERLINK("https://www.codechef.com/problems/AGTCCR54", "https://www.codechef.com/problems/AGTCCR54")</f>
        <v>https://www.codechef.com/problems/AGTCCR54</v>
      </c>
      <c r="K529" s="15"/>
      <c r="L529" s="15"/>
      <c r="M529" s="15"/>
      <c r="N529" s="15" t="s">
        <v>50</v>
      </c>
      <c r="O529" s="15" t="s">
        <v>51</v>
      </c>
    </row>
    <row r="530" spans="1:15">
      <c r="A530" s="14" t="s">
        <v>15</v>
      </c>
      <c r="B530" s="14" t="s">
        <v>10010</v>
      </c>
      <c r="C530" s="14" t="s">
        <v>10011</v>
      </c>
      <c r="D530" s="14" t="s">
        <v>9286</v>
      </c>
      <c r="E530" s="14">
        <v>51</v>
      </c>
      <c r="F530" s="14" t="s">
        <v>10110</v>
      </c>
      <c r="G530" s="14" t="s">
        <v>10111</v>
      </c>
      <c r="H530" s="14"/>
      <c r="I530" s="14" t="s">
        <v>96</v>
      </c>
      <c r="J530" s="11" t="str">
        <f>HYPERLINK("https://www.codechef.com/problems/AGTCCR55", "https://www.codechef.com/problems/AGTCCR55")</f>
        <v>https://www.codechef.com/problems/AGTCCR55</v>
      </c>
      <c r="K530" s="14"/>
      <c r="L530" s="14"/>
      <c r="M530" s="14"/>
      <c r="N530" s="14" t="s">
        <v>50</v>
      </c>
      <c r="O530" s="14" t="s">
        <v>51</v>
      </c>
    </row>
    <row r="531" spans="1:15">
      <c r="A531" s="15" t="s">
        <v>15</v>
      </c>
      <c r="B531" s="15" t="s">
        <v>10010</v>
      </c>
      <c r="C531" s="15" t="s">
        <v>10011</v>
      </c>
      <c r="D531" s="15" t="s">
        <v>9286</v>
      </c>
      <c r="E531" s="15">
        <v>52</v>
      </c>
      <c r="F531" s="15" t="s">
        <v>10112</v>
      </c>
      <c r="G531" s="15" t="s">
        <v>10113</v>
      </c>
      <c r="H531" s="15"/>
      <c r="I531" s="15" t="s">
        <v>96</v>
      </c>
      <c r="J531" s="7" t="str">
        <f>HYPERLINK("https://www.codechef.com/problems/AGTCCR56", "https://www.codechef.com/problems/AGTCCR56")</f>
        <v>https://www.codechef.com/problems/AGTCCR56</v>
      </c>
      <c r="K531" s="15"/>
      <c r="L531" s="15"/>
      <c r="M531" s="15"/>
      <c r="N531" s="15" t="s">
        <v>50</v>
      </c>
      <c r="O531" s="15" t="s">
        <v>51</v>
      </c>
    </row>
    <row r="532" spans="1:15">
      <c r="A532" s="14" t="s">
        <v>15</v>
      </c>
      <c r="B532" s="14" t="s">
        <v>10010</v>
      </c>
      <c r="C532" s="14" t="s">
        <v>10011</v>
      </c>
      <c r="D532" s="14" t="s">
        <v>9286</v>
      </c>
      <c r="E532" s="14">
        <v>53</v>
      </c>
      <c r="F532" s="14" t="s">
        <v>10114</v>
      </c>
      <c r="G532" s="14" t="s">
        <v>10115</v>
      </c>
      <c r="H532" s="14"/>
      <c r="I532" s="14" t="s">
        <v>49</v>
      </c>
      <c r="J532" s="11" t="str">
        <f>HYPERLINK("https://www.codechef.com/problems/AGTCCR57", "https://www.codechef.com/problems/AGTCCR57")</f>
        <v>https://www.codechef.com/problems/AGTCCR57</v>
      </c>
      <c r="K532" s="14"/>
      <c r="L532" s="14"/>
      <c r="M532" s="14"/>
      <c r="N532" s="14" t="s">
        <v>50</v>
      </c>
      <c r="O532" s="14" t="s">
        <v>51</v>
      </c>
    </row>
    <row r="533" spans="1:15">
      <c r="A533" s="15" t="s">
        <v>15</v>
      </c>
      <c r="B533" s="15" t="s">
        <v>10010</v>
      </c>
      <c r="C533" s="15" t="s">
        <v>10011</v>
      </c>
      <c r="D533" s="15" t="s">
        <v>9286</v>
      </c>
      <c r="E533" s="15">
        <v>54</v>
      </c>
      <c r="F533" s="15" t="s">
        <v>10116</v>
      </c>
      <c r="G533" s="15" t="s">
        <v>10117</v>
      </c>
      <c r="H533" s="15"/>
      <c r="I533" s="15" t="s">
        <v>96</v>
      </c>
      <c r="J533" s="7" t="str">
        <f>HYPERLINK("https://www.codechef.com/problems/AGTCCR58", "https://www.codechef.com/problems/AGTCCR58")</f>
        <v>https://www.codechef.com/problems/AGTCCR58</v>
      </c>
      <c r="K533" s="15"/>
      <c r="L533" s="15"/>
      <c r="M533" s="15"/>
      <c r="N533" s="15" t="s">
        <v>50</v>
      </c>
      <c r="O533" s="15" t="s">
        <v>51</v>
      </c>
    </row>
    <row r="534" spans="1:15">
      <c r="A534" s="14" t="s">
        <v>15</v>
      </c>
      <c r="B534" s="14" t="s">
        <v>10010</v>
      </c>
      <c r="C534" s="14" t="s">
        <v>10011</v>
      </c>
      <c r="D534" s="14" t="s">
        <v>9286</v>
      </c>
      <c r="E534" s="14">
        <v>55</v>
      </c>
      <c r="F534" s="14" t="s">
        <v>10118</v>
      </c>
      <c r="G534" s="14" t="s">
        <v>10119</v>
      </c>
      <c r="H534" s="14"/>
      <c r="I534" s="14" t="s">
        <v>49</v>
      </c>
      <c r="J534" s="11" t="str">
        <f>HYPERLINK("https://www.codechef.com/problems/AGTCCR59", "https://www.codechef.com/problems/AGTCCR59")</f>
        <v>https://www.codechef.com/problems/AGTCCR59</v>
      </c>
      <c r="K534" s="14"/>
      <c r="L534" s="14"/>
      <c r="M534" s="14"/>
      <c r="N534" s="14" t="s">
        <v>50</v>
      </c>
      <c r="O534" s="14" t="s">
        <v>51</v>
      </c>
    </row>
    <row r="535" spans="1:15">
      <c r="A535" s="15" t="s">
        <v>15</v>
      </c>
      <c r="B535" s="15" t="s">
        <v>10010</v>
      </c>
      <c r="C535" s="15" t="s">
        <v>10011</v>
      </c>
      <c r="D535" s="15" t="s">
        <v>9286</v>
      </c>
      <c r="E535" s="15">
        <v>56</v>
      </c>
      <c r="F535" s="15" t="s">
        <v>10120</v>
      </c>
      <c r="G535" s="15" t="s">
        <v>10121</v>
      </c>
      <c r="H535" s="15"/>
      <c r="I535" s="15" t="s">
        <v>96</v>
      </c>
      <c r="J535" s="7" t="str">
        <f>HYPERLINK("https://www.codechef.com/problems/AGTCCR60", "https://www.codechef.com/problems/AGTCCR60")</f>
        <v>https://www.codechef.com/problems/AGTCCR60</v>
      </c>
      <c r="K535" s="15"/>
      <c r="L535" s="15"/>
      <c r="M535" s="15"/>
      <c r="N535" s="15" t="s">
        <v>50</v>
      </c>
      <c r="O535" s="15" t="s">
        <v>51</v>
      </c>
    </row>
    <row r="536" spans="1:15">
      <c r="A536" s="14" t="s">
        <v>15</v>
      </c>
      <c r="B536" s="14" t="s">
        <v>10010</v>
      </c>
      <c r="C536" s="14" t="s">
        <v>10011</v>
      </c>
      <c r="D536" s="14" t="s">
        <v>9286</v>
      </c>
      <c r="E536" s="14">
        <v>57</v>
      </c>
      <c r="F536" s="14" t="s">
        <v>10122</v>
      </c>
      <c r="G536" s="14" t="s">
        <v>10123</v>
      </c>
      <c r="H536" s="14"/>
      <c r="I536" s="14" t="s">
        <v>96</v>
      </c>
      <c r="J536" s="11" t="str">
        <f>HYPERLINK("https://www.codechef.com/problems/AGTCCR61", "https://www.codechef.com/problems/AGTCCR61")</f>
        <v>https://www.codechef.com/problems/AGTCCR61</v>
      </c>
      <c r="K536" s="14"/>
      <c r="L536" s="14"/>
      <c r="M536" s="14"/>
      <c r="N536" s="14" t="s">
        <v>50</v>
      </c>
      <c r="O536" s="14" t="s">
        <v>51</v>
      </c>
    </row>
    <row r="537" spans="1:15">
      <c r="A537" s="15" t="s">
        <v>15</v>
      </c>
      <c r="B537" s="15" t="s">
        <v>10010</v>
      </c>
      <c r="C537" s="15" t="s">
        <v>10011</v>
      </c>
      <c r="D537" s="15" t="s">
        <v>9286</v>
      </c>
      <c r="E537" s="15">
        <v>58</v>
      </c>
      <c r="F537" s="15" t="s">
        <v>10124</v>
      </c>
      <c r="G537" s="15" t="s">
        <v>10125</v>
      </c>
      <c r="H537" s="15"/>
      <c r="I537" s="15" t="s">
        <v>49</v>
      </c>
      <c r="J537" s="7" t="str">
        <f>HYPERLINK("https://www.codechef.com/problems/AGTCCR62", "https://www.codechef.com/problems/AGTCCR62")</f>
        <v>https://www.codechef.com/problems/AGTCCR62</v>
      </c>
      <c r="K537" s="15"/>
      <c r="L537" s="15"/>
      <c r="M537" s="15"/>
      <c r="N537" s="15" t="s">
        <v>50</v>
      </c>
      <c r="O537" s="15" t="s">
        <v>51</v>
      </c>
    </row>
    <row r="538" spans="1:15">
      <c r="A538" s="14" t="s">
        <v>15</v>
      </c>
      <c r="B538" s="14" t="s">
        <v>10010</v>
      </c>
      <c r="C538" s="14" t="s">
        <v>10011</v>
      </c>
      <c r="D538" s="14" t="s">
        <v>9286</v>
      </c>
      <c r="E538" s="14">
        <v>59</v>
      </c>
      <c r="F538" s="14" t="s">
        <v>10126</v>
      </c>
      <c r="G538" s="14" t="s">
        <v>10127</v>
      </c>
      <c r="H538" s="14"/>
      <c r="I538" s="14" t="s">
        <v>49</v>
      </c>
      <c r="J538" s="11" t="str">
        <f>HYPERLINK("https://www.codechef.com/problems/AGTCCR63", "https://www.codechef.com/problems/AGTCCR63")</f>
        <v>https://www.codechef.com/problems/AGTCCR63</v>
      </c>
      <c r="K538" s="14"/>
      <c r="L538" s="14"/>
      <c r="M538" s="14"/>
      <c r="N538" s="14" t="s">
        <v>50</v>
      </c>
      <c r="O538" s="14" t="s">
        <v>51</v>
      </c>
    </row>
    <row r="539" spans="1:15">
      <c r="A539" s="15" t="s">
        <v>15</v>
      </c>
      <c r="B539" s="15" t="s">
        <v>10010</v>
      </c>
      <c r="C539" s="15" t="s">
        <v>10011</v>
      </c>
      <c r="D539" s="15" t="s">
        <v>9306</v>
      </c>
      <c r="E539" s="15">
        <v>60</v>
      </c>
      <c r="F539" s="15" t="s">
        <v>10128</v>
      </c>
      <c r="G539" s="15" t="s">
        <v>10129</v>
      </c>
      <c r="H539" s="15"/>
      <c r="I539" s="15" t="s">
        <v>49</v>
      </c>
      <c r="J539" s="7" t="str">
        <f>HYPERLINK("https://www.codechef.com/problems/AGTCCR01", "https://www.codechef.com/problems/AGTCCR01")</f>
        <v>https://www.codechef.com/problems/AGTCCR01</v>
      </c>
      <c r="K539" s="15"/>
      <c r="L539" s="15"/>
      <c r="M539" s="15"/>
      <c r="N539" s="15" t="s">
        <v>50</v>
      </c>
      <c r="O539" s="15" t="s">
        <v>51</v>
      </c>
    </row>
    <row r="540" spans="1:15">
      <c r="A540" s="14" t="s">
        <v>15</v>
      </c>
      <c r="B540" s="14" t="s">
        <v>10010</v>
      </c>
      <c r="C540" s="14" t="s">
        <v>10011</v>
      </c>
      <c r="D540" s="14" t="s">
        <v>9306</v>
      </c>
      <c r="E540" s="14">
        <v>61</v>
      </c>
      <c r="F540" s="14" t="s">
        <v>10130</v>
      </c>
      <c r="G540" s="14" t="s">
        <v>10131</v>
      </c>
      <c r="H540" s="14"/>
      <c r="I540" s="14" t="s">
        <v>49</v>
      </c>
      <c r="J540" s="11" t="str">
        <f>HYPERLINK("https://www.codechef.com/problems/AGTCCR02", "https://www.codechef.com/problems/AGTCCR02")</f>
        <v>https://www.codechef.com/problems/AGTCCR02</v>
      </c>
      <c r="K540" s="14"/>
      <c r="L540" s="14"/>
      <c r="M540" s="14"/>
      <c r="N540" s="14" t="s">
        <v>50</v>
      </c>
      <c r="O540" s="14" t="s">
        <v>51</v>
      </c>
    </row>
    <row r="541" spans="1:15">
      <c r="A541" s="15" t="s">
        <v>15</v>
      </c>
      <c r="B541" s="15" t="s">
        <v>10010</v>
      </c>
      <c r="C541" s="15" t="s">
        <v>10011</v>
      </c>
      <c r="D541" s="15" t="s">
        <v>9306</v>
      </c>
      <c r="E541" s="15">
        <v>62</v>
      </c>
      <c r="F541" s="15" t="s">
        <v>10132</v>
      </c>
      <c r="G541" s="15" t="s">
        <v>10133</v>
      </c>
      <c r="H541" s="15"/>
      <c r="I541" s="15" t="s">
        <v>49</v>
      </c>
      <c r="J541" s="7" t="str">
        <f>HYPERLINK("https://www.codechef.com/problems/AGTCCR03", "https://www.codechef.com/problems/AGTCCR03")</f>
        <v>https://www.codechef.com/problems/AGTCCR03</v>
      </c>
      <c r="K541" s="15"/>
      <c r="L541" s="15"/>
      <c r="M541" s="15"/>
      <c r="N541" s="15" t="s">
        <v>50</v>
      </c>
      <c r="O541" s="15" t="s">
        <v>51</v>
      </c>
    </row>
    <row r="542" spans="1:15">
      <c r="A542" s="14" t="s">
        <v>15</v>
      </c>
      <c r="B542" s="14" t="s">
        <v>10010</v>
      </c>
      <c r="C542" s="14" t="s">
        <v>10011</v>
      </c>
      <c r="D542" s="14" t="s">
        <v>9306</v>
      </c>
      <c r="E542" s="14">
        <v>63</v>
      </c>
      <c r="F542" s="14" t="s">
        <v>10134</v>
      </c>
      <c r="G542" s="14" t="s">
        <v>10135</v>
      </c>
      <c r="H542" s="14"/>
      <c r="I542" s="14" t="s">
        <v>49</v>
      </c>
      <c r="J542" s="11" t="str">
        <f>HYPERLINK("https://www.codechef.com/problems/AGTCCR04", "https://www.codechef.com/problems/AGTCCR04")</f>
        <v>https://www.codechef.com/problems/AGTCCR04</v>
      </c>
      <c r="K542" s="14"/>
      <c r="L542" s="14"/>
      <c r="M542" s="14"/>
      <c r="N542" s="14" t="s">
        <v>50</v>
      </c>
      <c r="O542" s="14" t="s">
        <v>51</v>
      </c>
    </row>
    <row r="543" spans="1:15">
      <c r="A543" s="15" t="s">
        <v>15</v>
      </c>
      <c r="B543" s="15" t="s">
        <v>10010</v>
      </c>
      <c r="C543" s="15" t="s">
        <v>10011</v>
      </c>
      <c r="D543" s="15" t="s">
        <v>9306</v>
      </c>
      <c r="E543" s="15">
        <v>64</v>
      </c>
      <c r="F543" s="15" t="s">
        <v>10136</v>
      </c>
      <c r="G543" s="15" t="s">
        <v>10137</v>
      </c>
      <c r="H543" s="15"/>
      <c r="I543" s="15" t="s">
        <v>49</v>
      </c>
      <c r="J543" s="7" t="str">
        <f>HYPERLINK("https://www.codechef.com/problems/AGTCCR05", "https://www.codechef.com/problems/AGTCCR05")</f>
        <v>https://www.codechef.com/problems/AGTCCR05</v>
      </c>
      <c r="K543" s="15"/>
      <c r="L543" s="15"/>
      <c r="M543" s="15"/>
      <c r="N543" s="15" t="s">
        <v>50</v>
      </c>
      <c r="O543" s="15" t="s">
        <v>51</v>
      </c>
    </row>
    <row r="544" spans="1:15">
      <c r="A544" s="14" t="s">
        <v>15</v>
      </c>
      <c r="B544" s="14" t="s">
        <v>10010</v>
      </c>
      <c r="C544" s="14" t="s">
        <v>10011</v>
      </c>
      <c r="D544" s="14" t="s">
        <v>9306</v>
      </c>
      <c r="E544" s="14">
        <v>65</v>
      </c>
      <c r="F544" s="14" t="s">
        <v>10138</v>
      </c>
      <c r="G544" s="14" t="s">
        <v>10139</v>
      </c>
      <c r="H544" s="14"/>
      <c r="I544" s="14" t="s">
        <v>49</v>
      </c>
      <c r="J544" s="11" t="str">
        <f>HYPERLINK("https://www.codechef.com/problems/AGTCCR06", "https://www.codechef.com/problems/AGTCCR06")</f>
        <v>https://www.codechef.com/problems/AGTCCR06</v>
      </c>
      <c r="K544" s="14"/>
      <c r="L544" s="14"/>
      <c r="M544" s="14"/>
      <c r="N544" s="14" t="s">
        <v>50</v>
      </c>
      <c r="O544" s="14" t="s">
        <v>51</v>
      </c>
    </row>
    <row r="545" spans="1:15">
      <c r="A545" s="15" t="s">
        <v>15</v>
      </c>
      <c r="B545" s="15" t="s">
        <v>10010</v>
      </c>
      <c r="C545" s="15" t="s">
        <v>10011</v>
      </c>
      <c r="D545" s="15" t="s">
        <v>9306</v>
      </c>
      <c r="E545" s="15">
        <v>66</v>
      </c>
      <c r="F545" s="15" t="s">
        <v>10140</v>
      </c>
      <c r="G545" s="15" t="s">
        <v>10141</v>
      </c>
      <c r="H545" s="15"/>
      <c r="I545" s="15" t="s">
        <v>49</v>
      </c>
      <c r="J545" s="7" t="str">
        <f>HYPERLINK("https://www.codechef.com/problems/AGTCCR07", "https://www.codechef.com/problems/AGTCCR07")</f>
        <v>https://www.codechef.com/problems/AGTCCR07</v>
      </c>
      <c r="K545" s="15"/>
      <c r="L545" s="15"/>
      <c r="M545" s="15"/>
      <c r="N545" s="15" t="s">
        <v>50</v>
      </c>
      <c r="O545" s="15" t="s">
        <v>51</v>
      </c>
    </row>
    <row r="546" spans="1:15">
      <c r="A546" s="14" t="s">
        <v>15</v>
      </c>
      <c r="B546" s="14" t="s">
        <v>10010</v>
      </c>
      <c r="C546" s="14" t="s">
        <v>10011</v>
      </c>
      <c r="D546" s="14" t="s">
        <v>9306</v>
      </c>
      <c r="E546" s="14">
        <v>67</v>
      </c>
      <c r="F546" s="14" t="s">
        <v>10142</v>
      </c>
      <c r="G546" s="14" t="s">
        <v>10143</v>
      </c>
      <c r="H546" s="14"/>
      <c r="I546" s="14" t="s">
        <v>49</v>
      </c>
      <c r="J546" s="11" t="str">
        <f>HYPERLINK("https://www.codechef.com/problems/AGTCCR08", "https://www.codechef.com/problems/AGTCCR08")</f>
        <v>https://www.codechef.com/problems/AGTCCR08</v>
      </c>
      <c r="K546" s="14"/>
      <c r="L546" s="14"/>
      <c r="M546" s="14"/>
      <c r="N546" s="14" t="s">
        <v>50</v>
      </c>
      <c r="O546" s="14" t="s">
        <v>51</v>
      </c>
    </row>
    <row r="547" spans="1:15">
      <c r="A547" s="15" t="s">
        <v>15</v>
      </c>
      <c r="B547" s="15" t="s">
        <v>10010</v>
      </c>
      <c r="C547" s="15" t="s">
        <v>10011</v>
      </c>
      <c r="D547" s="15" t="s">
        <v>9306</v>
      </c>
      <c r="E547" s="15">
        <v>68</v>
      </c>
      <c r="F547" s="15" t="s">
        <v>10144</v>
      </c>
      <c r="G547" s="15" t="s">
        <v>10145</v>
      </c>
      <c r="H547" s="15"/>
      <c r="I547" s="15" t="s">
        <v>49</v>
      </c>
      <c r="J547" s="7" t="str">
        <f>HYPERLINK("https://www.codechef.com/problems/AGTCCR09", "https://www.codechef.com/problems/AGTCCR09")</f>
        <v>https://www.codechef.com/problems/AGTCCR09</v>
      </c>
      <c r="K547" s="15"/>
      <c r="L547" s="15"/>
      <c r="M547" s="15"/>
      <c r="N547" s="15" t="s">
        <v>50</v>
      </c>
      <c r="O547" s="15" t="s">
        <v>51</v>
      </c>
    </row>
    <row r="548" spans="1:15">
      <c r="A548" s="14" t="s">
        <v>15</v>
      </c>
      <c r="B548" s="14" t="s">
        <v>10010</v>
      </c>
      <c r="C548" s="14" t="s">
        <v>10011</v>
      </c>
      <c r="D548" s="14" t="s">
        <v>9306</v>
      </c>
      <c r="E548" s="14">
        <v>69</v>
      </c>
      <c r="F548" s="14" t="s">
        <v>10146</v>
      </c>
      <c r="G548" s="14" t="s">
        <v>10147</v>
      </c>
      <c r="H548" s="14"/>
      <c r="I548" s="14" t="s">
        <v>49</v>
      </c>
      <c r="J548" s="11" t="str">
        <f>HYPERLINK("https://www.codechef.com/problems/AGTCCR13", "https://www.codechef.com/problems/AGTCCR13")</f>
        <v>https://www.codechef.com/problems/AGTCCR13</v>
      </c>
      <c r="K548" s="14"/>
      <c r="L548" s="14"/>
      <c r="M548" s="14"/>
      <c r="N548" s="14" t="s">
        <v>50</v>
      </c>
      <c r="O548" s="14" t="s">
        <v>51</v>
      </c>
    </row>
    <row r="549" spans="1:15">
      <c r="A549" s="15" t="s">
        <v>15</v>
      </c>
      <c r="B549" s="15" t="s">
        <v>10010</v>
      </c>
      <c r="C549" s="15" t="s">
        <v>10011</v>
      </c>
      <c r="D549" s="15" t="s">
        <v>9306</v>
      </c>
      <c r="E549" s="15">
        <v>70</v>
      </c>
      <c r="F549" s="15" t="s">
        <v>10148</v>
      </c>
      <c r="G549" s="15" t="s">
        <v>10149</v>
      </c>
      <c r="H549" s="15"/>
      <c r="I549" s="15" t="s">
        <v>49</v>
      </c>
      <c r="J549" s="7" t="str">
        <f>HYPERLINK("https://www.codechef.com/problems/AGTCCR14", "https://www.codechef.com/problems/AGTCCR14")</f>
        <v>https://www.codechef.com/problems/AGTCCR14</v>
      </c>
      <c r="K549" s="15"/>
      <c r="L549" s="15"/>
      <c r="M549" s="15"/>
      <c r="N549" s="15" t="s">
        <v>50</v>
      </c>
      <c r="O549" s="15" t="s">
        <v>51</v>
      </c>
    </row>
    <row r="550" spans="1:15">
      <c r="A550" s="14" t="s">
        <v>15</v>
      </c>
      <c r="B550" s="14" t="s">
        <v>10010</v>
      </c>
      <c r="C550" s="14" t="s">
        <v>10011</v>
      </c>
      <c r="D550" s="14" t="s">
        <v>9306</v>
      </c>
      <c r="E550" s="14">
        <v>71</v>
      </c>
      <c r="F550" s="14" t="s">
        <v>10150</v>
      </c>
      <c r="G550" s="14" t="s">
        <v>10151</v>
      </c>
      <c r="H550" s="14"/>
      <c r="I550" s="14" t="s">
        <v>49</v>
      </c>
      <c r="J550" s="11" t="str">
        <f>HYPERLINK("https://www.codechef.com/problems/AGTCCR15", "https://www.codechef.com/problems/AGTCCR15")</f>
        <v>https://www.codechef.com/problems/AGTCCR15</v>
      </c>
      <c r="K550" s="14"/>
      <c r="L550" s="14"/>
      <c r="M550" s="14"/>
      <c r="N550" s="14" t="s">
        <v>50</v>
      </c>
      <c r="O550" s="14" t="s">
        <v>51</v>
      </c>
    </row>
    <row r="551" spans="1:15">
      <c r="A551" s="15" t="s">
        <v>15</v>
      </c>
      <c r="B551" s="15" t="s">
        <v>10010</v>
      </c>
      <c r="C551" s="15" t="s">
        <v>10011</v>
      </c>
      <c r="D551" s="15" t="s">
        <v>9306</v>
      </c>
      <c r="E551" s="15">
        <v>72</v>
      </c>
      <c r="F551" s="15" t="s">
        <v>10152</v>
      </c>
      <c r="G551" s="15" t="s">
        <v>10153</v>
      </c>
      <c r="H551" s="15"/>
      <c r="I551" s="15" t="s">
        <v>49</v>
      </c>
      <c r="J551" s="7" t="str">
        <f>HYPERLINK("https://www.codechef.com/problems/AGTCCR16", "https://www.codechef.com/problems/AGTCCR16")</f>
        <v>https://www.codechef.com/problems/AGTCCR16</v>
      </c>
      <c r="K551" s="15"/>
      <c r="L551" s="15"/>
      <c r="M551" s="15"/>
      <c r="N551" s="15" t="s">
        <v>50</v>
      </c>
      <c r="O551" s="15" t="s">
        <v>51</v>
      </c>
    </row>
    <row r="552" spans="1:15">
      <c r="A552" s="14" t="s">
        <v>15</v>
      </c>
      <c r="B552" s="14" t="s">
        <v>10010</v>
      </c>
      <c r="C552" s="14" t="s">
        <v>10011</v>
      </c>
      <c r="D552" s="14" t="s">
        <v>9611</v>
      </c>
      <c r="E552" s="14">
        <v>73</v>
      </c>
      <c r="F552" s="14" t="s">
        <v>10154</v>
      </c>
      <c r="G552" s="14" t="s">
        <v>10155</v>
      </c>
      <c r="H552" s="14"/>
      <c r="I552" s="14" t="s">
        <v>49</v>
      </c>
      <c r="J552" s="11" t="str">
        <f>HYPERLINK("https://www.codechef.com/problems/AGTCCR35", "https://www.codechef.com/problems/AGTCCR35")</f>
        <v>https://www.codechef.com/problems/AGTCCR35</v>
      </c>
      <c r="K552" s="14"/>
      <c r="L552" s="14"/>
      <c r="M552" s="14"/>
      <c r="N552" s="14" t="s">
        <v>50</v>
      </c>
      <c r="O552" s="14" t="s">
        <v>51</v>
      </c>
    </row>
    <row r="553" spans="1:15">
      <c r="A553" s="15" t="s">
        <v>15</v>
      </c>
      <c r="B553" s="15" t="s">
        <v>10010</v>
      </c>
      <c r="C553" s="15" t="s">
        <v>10011</v>
      </c>
      <c r="D553" s="15" t="s">
        <v>9611</v>
      </c>
      <c r="E553" s="15">
        <v>74</v>
      </c>
      <c r="F553" s="15" t="s">
        <v>10156</v>
      </c>
      <c r="G553" s="15" t="s">
        <v>10157</v>
      </c>
      <c r="H553" s="15"/>
      <c r="I553" s="15" t="s">
        <v>49</v>
      </c>
      <c r="J553" s="7" t="str">
        <f>HYPERLINK("https://www.codechef.com/problems/AGTCCR36", "https://www.codechef.com/problems/AGTCCR36")</f>
        <v>https://www.codechef.com/problems/AGTCCR36</v>
      </c>
      <c r="K553" s="15"/>
      <c r="L553" s="15"/>
      <c r="M553" s="15"/>
      <c r="N553" s="15" t="s">
        <v>50</v>
      </c>
      <c r="O553" s="15" t="s">
        <v>51</v>
      </c>
    </row>
    <row r="554" spans="1:15">
      <c r="A554" s="14" t="s">
        <v>15</v>
      </c>
      <c r="B554" s="14" t="s">
        <v>10010</v>
      </c>
      <c r="C554" s="14" t="s">
        <v>10011</v>
      </c>
      <c r="D554" s="14" t="s">
        <v>9611</v>
      </c>
      <c r="E554" s="14">
        <v>75</v>
      </c>
      <c r="F554" s="14" t="s">
        <v>10158</v>
      </c>
      <c r="G554" s="14" t="s">
        <v>10159</v>
      </c>
      <c r="H554" s="14"/>
      <c r="I554" s="14" t="s">
        <v>49</v>
      </c>
      <c r="J554" s="11" t="str">
        <f>HYPERLINK("https://www.codechef.com/problems/AGTCCR37", "https://www.codechef.com/problems/AGTCCR37")</f>
        <v>https://www.codechef.com/problems/AGTCCR37</v>
      </c>
      <c r="K554" s="14"/>
      <c r="L554" s="14"/>
      <c r="M554" s="14"/>
      <c r="N554" s="14" t="s">
        <v>50</v>
      </c>
      <c r="O554" s="14" t="s">
        <v>51</v>
      </c>
    </row>
    <row r="555" spans="1:15">
      <c r="A555" s="15" t="s">
        <v>15</v>
      </c>
      <c r="B555" s="15" t="s">
        <v>10010</v>
      </c>
      <c r="C555" s="15" t="s">
        <v>10011</v>
      </c>
      <c r="D555" s="15" t="s">
        <v>9611</v>
      </c>
      <c r="E555" s="15">
        <v>76</v>
      </c>
      <c r="F555" s="15" t="s">
        <v>10160</v>
      </c>
      <c r="G555" s="15" t="s">
        <v>10161</v>
      </c>
      <c r="H555" s="15"/>
      <c r="I555" s="15" t="s">
        <v>49</v>
      </c>
      <c r="J555" s="7" t="str">
        <f>HYPERLINK("https://www.codechef.com/problems/AGTCCR38", "https://www.codechef.com/problems/AGTCCR38")</f>
        <v>https://www.codechef.com/problems/AGTCCR38</v>
      </c>
      <c r="K555" s="15"/>
      <c r="L555" s="15"/>
      <c r="M555" s="15"/>
      <c r="N555" s="15" t="s">
        <v>50</v>
      </c>
      <c r="O555" s="15" t="s">
        <v>51</v>
      </c>
    </row>
    <row r="556" spans="1:15">
      <c r="A556" s="14" t="s">
        <v>15</v>
      </c>
      <c r="B556" s="14" t="s">
        <v>10010</v>
      </c>
      <c r="C556" s="14" t="s">
        <v>10011</v>
      </c>
      <c r="D556" s="14" t="s">
        <v>9611</v>
      </c>
      <c r="E556" s="14">
        <v>77</v>
      </c>
      <c r="F556" s="14" t="s">
        <v>10162</v>
      </c>
      <c r="G556" s="14" t="s">
        <v>10163</v>
      </c>
      <c r="H556" s="14"/>
      <c r="I556" s="14" t="s">
        <v>49</v>
      </c>
      <c r="J556" s="11" t="str">
        <f>HYPERLINK("https://www.codechef.com/problems/AGTCCR39", "https://www.codechef.com/problems/AGTCCR39")</f>
        <v>https://www.codechef.com/problems/AGTCCR39</v>
      </c>
      <c r="K556" s="14"/>
      <c r="L556" s="14"/>
      <c r="M556" s="14"/>
      <c r="N556" s="14" t="s">
        <v>50</v>
      </c>
      <c r="O556" s="14" t="s">
        <v>51</v>
      </c>
    </row>
    <row r="557" spans="1:15">
      <c r="A557" s="15" t="s">
        <v>15</v>
      </c>
      <c r="B557" s="15" t="s">
        <v>10010</v>
      </c>
      <c r="C557" s="15" t="s">
        <v>10011</v>
      </c>
      <c r="D557" s="15" t="s">
        <v>9611</v>
      </c>
      <c r="E557" s="15">
        <v>78</v>
      </c>
      <c r="F557" s="15" t="s">
        <v>10164</v>
      </c>
      <c r="G557" s="15" t="s">
        <v>10165</v>
      </c>
      <c r="H557" s="15"/>
      <c r="I557" s="15" t="s">
        <v>49</v>
      </c>
      <c r="J557" s="7" t="str">
        <f>HYPERLINK("https://www.codechef.com/problems/AGTCCR40", "https://www.codechef.com/problems/AGTCCR40")</f>
        <v>https://www.codechef.com/problems/AGTCCR40</v>
      </c>
      <c r="K557" s="15"/>
      <c r="L557" s="15"/>
      <c r="M557" s="15"/>
      <c r="N557" s="15" t="s">
        <v>50</v>
      </c>
      <c r="O557" s="15" t="s">
        <v>51</v>
      </c>
    </row>
    <row r="558" spans="1:15">
      <c r="A558" s="14" t="s">
        <v>15</v>
      </c>
      <c r="B558" s="14" t="s">
        <v>10010</v>
      </c>
      <c r="C558" s="14" t="s">
        <v>10011</v>
      </c>
      <c r="D558" s="14" t="s">
        <v>9611</v>
      </c>
      <c r="E558" s="14">
        <v>79</v>
      </c>
      <c r="F558" s="14" t="s">
        <v>10166</v>
      </c>
      <c r="G558" s="14" t="s">
        <v>10167</v>
      </c>
      <c r="H558" s="14"/>
      <c r="I558" s="14" t="s">
        <v>49</v>
      </c>
      <c r="J558" s="11" t="str">
        <f>HYPERLINK("https://www.codechef.com/problems/AGTCCR41", "https://www.codechef.com/problems/AGTCCR41")</f>
        <v>https://www.codechef.com/problems/AGTCCR41</v>
      </c>
      <c r="K558" s="14"/>
      <c r="L558" s="14"/>
      <c r="M558" s="14"/>
      <c r="N558" s="14" t="s">
        <v>50</v>
      </c>
      <c r="O558" s="14" t="s">
        <v>51</v>
      </c>
    </row>
    <row r="559" spans="1:15">
      <c r="A559" s="15" t="s">
        <v>15</v>
      </c>
      <c r="B559" s="15" t="s">
        <v>10010</v>
      </c>
      <c r="C559" s="15" t="s">
        <v>10011</v>
      </c>
      <c r="D559" s="15" t="s">
        <v>9611</v>
      </c>
      <c r="E559" s="15">
        <v>80</v>
      </c>
      <c r="F559" s="15" t="s">
        <v>10168</v>
      </c>
      <c r="G559" s="15" t="s">
        <v>10169</v>
      </c>
      <c r="H559" s="15"/>
      <c r="I559" s="15" t="s">
        <v>49</v>
      </c>
      <c r="J559" s="7" t="str">
        <f>HYPERLINK("https://www.codechef.com/problems/AGTCCR42", "https://www.codechef.com/problems/AGTCCR42")</f>
        <v>https://www.codechef.com/problems/AGTCCR42</v>
      </c>
      <c r="K559" s="15"/>
      <c r="L559" s="15"/>
      <c r="M559" s="15"/>
      <c r="N559" s="15" t="s">
        <v>50</v>
      </c>
      <c r="O559" s="15" t="s">
        <v>51</v>
      </c>
    </row>
    <row r="560" spans="1:15">
      <c r="A560" s="14" t="s">
        <v>15</v>
      </c>
      <c r="B560" s="14" t="s">
        <v>10010</v>
      </c>
      <c r="C560" s="14" t="s">
        <v>10011</v>
      </c>
      <c r="D560" s="14" t="s">
        <v>9611</v>
      </c>
      <c r="E560" s="14">
        <v>81</v>
      </c>
      <c r="F560" s="14" t="s">
        <v>10170</v>
      </c>
      <c r="G560" s="14" t="s">
        <v>10171</v>
      </c>
      <c r="H560" s="14"/>
      <c r="I560" s="14" t="s">
        <v>49</v>
      </c>
      <c r="J560" s="11" t="str">
        <f>HYPERLINK("https://www.codechef.com/problems/AGTCCR43", "https://www.codechef.com/problems/AGTCCR43")</f>
        <v>https://www.codechef.com/problems/AGTCCR43</v>
      </c>
      <c r="K560" s="14"/>
      <c r="L560" s="14"/>
      <c r="M560" s="14"/>
      <c r="N560" s="14" t="s">
        <v>50</v>
      </c>
      <c r="O560" s="14" t="s">
        <v>51</v>
      </c>
    </row>
    <row r="561" spans="1:15">
      <c r="A561" s="15" t="s">
        <v>15</v>
      </c>
      <c r="B561" s="15" t="s">
        <v>10010</v>
      </c>
      <c r="C561" s="15" t="s">
        <v>10011</v>
      </c>
      <c r="D561" s="15" t="s">
        <v>9611</v>
      </c>
      <c r="E561" s="15">
        <v>82</v>
      </c>
      <c r="F561" s="15" t="s">
        <v>10172</v>
      </c>
      <c r="G561" s="15" t="s">
        <v>10173</v>
      </c>
      <c r="H561" s="15"/>
      <c r="I561" s="15" t="s">
        <v>49</v>
      </c>
      <c r="J561" s="7" t="str">
        <f>HYPERLINK("https://www.codechef.com/problems/AGTCCR44", "https://www.codechef.com/problems/AGTCCR44")</f>
        <v>https://www.codechef.com/problems/AGTCCR44</v>
      </c>
      <c r="K561" s="15"/>
      <c r="L561" s="15"/>
      <c r="M561" s="15"/>
      <c r="N561" s="15" t="s">
        <v>50</v>
      </c>
      <c r="O561" s="15" t="s">
        <v>51</v>
      </c>
    </row>
    <row r="562" spans="1:15">
      <c r="A562" s="14" t="s">
        <v>15</v>
      </c>
      <c r="B562" s="14" t="s">
        <v>10010</v>
      </c>
      <c r="C562" s="14" t="s">
        <v>10011</v>
      </c>
      <c r="D562" s="14" t="s">
        <v>9611</v>
      </c>
      <c r="E562" s="14">
        <v>83</v>
      </c>
      <c r="F562" s="14" t="s">
        <v>10174</v>
      </c>
      <c r="G562" s="14" t="s">
        <v>10175</v>
      </c>
      <c r="H562" s="14"/>
      <c r="I562" s="14" t="s">
        <v>49</v>
      </c>
      <c r="J562" s="11" t="str">
        <f>HYPERLINK("https://www.codechef.com/problems/AGTCCR45", "https://www.codechef.com/problems/AGTCCR45")</f>
        <v>https://www.codechef.com/problems/AGTCCR45</v>
      </c>
      <c r="K562" s="14"/>
      <c r="L562" s="14"/>
      <c r="M562" s="14"/>
      <c r="N562" s="14" t="s">
        <v>50</v>
      </c>
      <c r="O562" s="14" t="s">
        <v>51</v>
      </c>
    </row>
    <row r="563" spans="1:15">
      <c r="A563" s="15" t="s">
        <v>15</v>
      </c>
      <c r="B563" s="15" t="s">
        <v>10010</v>
      </c>
      <c r="C563" s="15" t="s">
        <v>10011</v>
      </c>
      <c r="D563" s="15" t="s">
        <v>9611</v>
      </c>
      <c r="E563" s="15">
        <v>84</v>
      </c>
      <c r="F563" s="15" t="s">
        <v>10176</v>
      </c>
      <c r="G563" s="15" t="s">
        <v>10177</v>
      </c>
      <c r="H563" s="15"/>
      <c r="I563" s="15" t="s">
        <v>49</v>
      </c>
      <c r="J563" s="7" t="str">
        <f>HYPERLINK("https://www.codechef.com/problems/AGTCCR46", "https://www.codechef.com/problems/AGTCCR46")</f>
        <v>https://www.codechef.com/problems/AGTCCR46</v>
      </c>
      <c r="K563" s="15"/>
      <c r="L563" s="15"/>
      <c r="M563" s="15"/>
      <c r="N563" s="15" t="s">
        <v>50</v>
      </c>
      <c r="O563" s="15" t="s">
        <v>51</v>
      </c>
    </row>
    <row r="564" spans="1:15">
      <c r="A564" s="14" t="s">
        <v>15</v>
      </c>
      <c r="B564" s="14" t="s">
        <v>10010</v>
      </c>
      <c r="C564" s="14" t="s">
        <v>10011</v>
      </c>
      <c r="D564" s="14" t="s">
        <v>9611</v>
      </c>
      <c r="E564" s="14">
        <v>85</v>
      </c>
      <c r="F564" s="14" t="s">
        <v>10178</v>
      </c>
      <c r="G564" s="14" t="s">
        <v>10179</v>
      </c>
      <c r="H564" s="14"/>
      <c r="I564" s="14" t="s">
        <v>49</v>
      </c>
      <c r="J564" s="11" t="str">
        <f>HYPERLINK("https://www.codechef.com/problems/AGTCCR10", "https://www.codechef.com/problems/AGTCCR10")</f>
        <v>https://www.codechef.com/problems/AGTCCR10</v>
      </c>
      <c r="K564" s="14"/>
      <c r="L564" s="14"/>
      <c r="M564" s="14"/>
      <c r="N564" s="14" t="s">
        <v>50</v>
      </c>
      <c r="O564" s="14" t="s">
        <v>51</v>
      </c>
    </row>
    <row r="565" spans="1:15">
      <c r="A565" s="15" t="s">
        <v>15</v>
      </c>
      <c r="B565" s="15" t="s">
        <v>10010</v>
      </c>
      <c r="C565" s="15" t="s">
        <v>10011</v>
      </c>
      <c r="D565" s="15" t="s">
        <v>9611</v>
      </c>
      <c r="E565" s="15">
        <v>86</v>
      </c>
      <c r="F565" s="15" t="s">
        <v>10180</v>
      </c>
      <c r="G565" s="15" t="s">
        <v>10181</v>
      </c>
      <c r="H565" s="15"/>
      <c r="I565" s="15" t="s">
        <v>49</v>
      </c>
      <c r="J565" s="7" t="str">
        <f>HYPERLINK("https://www.codechef.com/problems/AGTCCR11", "https://www.codechef.com/problems/AGTCCR11")</f>
        <v>https://www.codechef.com/problems/AGTCCR11</v>
      </c>
      <c r="K565" s="15"/>
      <c r="L565" s="15"/>
      <c r="M565" s="15"/>
      <c r="N565" s="15" t="s">
        <v>50</v>
      </c>
      <c r="O565" s="15" t="s">
        <v>51</v>
      </c>
    </row>
    <row r="566" spans="1:15">
      <c r="A566" s="14" t="s">
        <v>15</v>
      </c>
      <c r="B566" s="14" t="s">
        <v>10010</v>
      </c>
      <c r="C566" s="14" t="s">
        <v>10011</v>
      </c>
      <c r="D566" s="14" t="s">
        <v>9611</v>
      </c>
      <c r="E566" s="14">
        <v>87</v>
      </c>
      <c r="F566" s="14" t="s">
        <v>10182</v>
      </c>
      <c r="G566" s="14" t="s">
        <v>10183</v>
      </c>
      <c r="H566" s="14"/>
      <c r="I566" s="14" t="s">
        <v>49</v>
      </c>
      <c r="J566" s="11" t="str">
        <f>HYPERLINK("https://www.codechef.com/problems/AGTCCR12", "https://www.codechef.com/problems/AGTCCR12")</f>
        <v>https://www.codechef.com/problems/AGTCCR12</v>
      </c>
      <c r="K566" s="14"/>
      <c r="L566" s="14"/>
      <c r="M566" s="14"/>
      <c r="N566" s="14" t="s">
        <v>50</v>
      </c>
      <c r="O566" s="14" t="s">
        <v>51</v>
      </c>
    </row>
    <row r="567" spans="1:15">
      <c r="A567" s="15" t="s">
        <v>15</v>
      </c>
      <c r="B567" s="15" t="s">
        <v>10010</v>
      </c>
      <c r="C567" s="15" t="s">
        <v>10011</v>
      </c>
      <c r="D567" s="15" t="s">
        <v>9611</v>
      </c>
      <c r="E567" s="15">
        <v>88</v>
      </c>
      <c r="F567" s="15" t="s">
        <v>10184</v>
      </c>
      <c r="G567" s="15" t="s">
        <v>10185</v>
      </c>
      <c r="H567" s="15"/>
      <c r="I567" s="15" t="s">
        <v>49</v>
      </c>
      <c r="J567" s="7" t="str">
        <f>HYPERLINK("https://www.codechef.com/problems/TDWDDE01", "https://www.codechef.com/problems/TDWDDE01")</f>
        <v>https://www.codechef.com/problems/TDWDDE01</v>
      </c>
      <c r="K567" s="15"/>
      <c r="L567" s="15"/>
      <c r="M567" s="15"/>
      <c r="N567" s="15" t="s">
        <v>50</v>
      </c>
      <c r="O567" s="15" t="s">
        <v>51</v>
      </c>
    </row>
    <row r="568" spans="1:15">
      <c r="A568" s="14" t="s">
        <v>15</v>
      </c>
      <c r="B568" s="14" t="s">
        <v>10010</v>
      </c>
      <c r="C568" s="14" t="s">
        <v>10011</v>
      </c>
      <c r="D568" s="14" t="s">
        <v>9611</v>
      </c>
      <c r="E568" s="14">
        <v>89</v>
      </c>
      <c r="F568" s="14" t="s">
        <v>10186</v>
      </c>
      <c r="G568" s="14" t="s">
        <v>10187</v>
      </c>
      <c r="H568" s="14"/>
      <c r="I568" s="14" t="s">
        <v>49</v>
      </c>
      <c r="J568" s="11" t="str">
        <f>HYPERLINK("https://www.codechef.com/problems/TDWDDE02", "https://www.codechef.com/problems/TDWDDE02")</f>
        <v>https://www.codechef.com/problems/TDWDDE02</v>
      </c>
      <c r="K568" s="14"/>
      <c r="L568" s="14"/>
      <c r="M568" s="14"/>
      <c r="N568" s="14" t="s">
        <v>50</v>
      </c>
      <c r="O568" s="14" t="s">
        <v>51</v>
      </c>
    </row>
    <row r="569" spans="1:15">
      <c r="A569" s="15" t="s">
        <v>15</v>
      </c>
      <c r="B569" s="15" t="s">
        <v>10010</v>
      </c>
      <c r="C569" s="15" t="s">
        <v>10011</v>
      </c>
      <c r="D569" s="15" t="s">
        <v>9611</v>
      </c>
      <c r="E569" s="15">
        <v>90</v>
      </c>
      <c r="F569" s="15" t="s">
        <v>10188</v>
      </c>
      <c r="G569" s="15" t="s">
        <v>10189</v>
      </c>
      <c r="H569" s="15"/>
      <c r="I569" s="15" t="s">
        <v>49</v>
      </c>
      <c r="J569" s="7" t="str">
        <f>HYPERLINK("https://www.codechef.com/problems/TDWDDE03", "https://www.codechef.com/problems/TDWDDE03")</f>
        <v>https://www.codechef.com/problems/TDWDDE03</v>
      </c>
      <c r="K569" s="15"/>
      <c r="L569" s="15"/>
      <c r="M569" s="15"/>
      <c r="N569" s="15" t="s">
        <v>50</v>
      </c>
      <c r="O569" s="15" t="s">
        <v>51</v>
      </c>
    </row>
    <row r="570" spans="1:15">
      <c r="A570" s="14" t="s">
        <v>15</v>
      </c>
      <c r="B570" s="14" t="s">
        <v>10010</v>
      </c>
      <c r="C570" s="14" t="s">
        <v>10011</v>
      </c>
      <c r="D570" s="14" t="s">
        <v>9611</v>
      </c>
      <c r="E570" s="14">
        <v>91</v>
      </c>
      <c r="F570" s="14" t="s">
        <v>10190</v>
      </c>
      <c r="G570" s="14" t="s">
        <v>10191</v>
      </c>
      <c r="H570" s="14"/>
      <c r="I570" s="14" t="s">
        <v>49</v>
      </c>
      <c r="J570" s="11" t="str">
        <f>HYPERLINK("https://www.codechef.com/problems/TDWDDE04", "https://www.codechef.com/problems/TDWDDE04")</f>
        <v>https://www.codechef.com/problems/TDWDDE04</v>
      </c>
      <c r="K570" s="14"/>
      <c r="L570" s="14"/>
      <c r="M570" s="14"/>
      <c r="N570" s="14" t="s">
        <v>50</v>
      </c>
      <c r="O570" s="14" t="s">
        <v>51</v>
      </c>
    </row>
    <row r="571" spans="1:15">
      <c r="A571" s="15" t="s">
        <v>15</v>
      </c>
      <c r="B571" s="15" t="s">
        <v>10010</v>
      </c>
      <c r="C571" s="15" t="s">
        <v>10011</v>
      </c>
      <c r="D571" s="15" t="s">
        <v>9611</v>
      </c>
      <c r="E571" s="15">
        <v>92</v>
      </c>
      <c r="F571" s="15" t="s">
        <v>10192</v>
      </c>
      <c r="G571" s="15" t="s">
        <v>10193</v>
      </c>
      <c r="H571" s="15"/>
      <c r="I571" s="15" t="s">
        <v>49</v>
      </c>
      <c r="J571" s="7" t="str">
        <f>HYPERLINK("https://www.codechef.com/problems/TDWDDE05", "https://www.codechef.com/problems/TDWDDE05")</f>
        <v>https://www.codechef.com/problems/TDWDDE05</v>
      </c>
      <c r="K571" s="15"/>
      <c r="L571" s="15"/>
      <c r="M571" s="15"/>
      <c r="N571" s="15" t="s">
        <v>50</v>
      </c>
      <c r="O571" s="15" t="s">
        <v>51</v>
      </c>
    </row>
    <row r="572" spans="1:15">
      <c r="A572" s="14" t="s">
        <v>15</v>
      </c>
      <c r="B572" s="14" t="s">
        <v>10010</v>
      </c>
      <c r="C572" s="14" t="s">
        <v>10011</v>
      </c>
      <c r="D572" s="14" t="s">
        <v>9611</v>
      </c>
      <c r="E572" s="14">
        <v>93</v>
      </c>
      <c r="F572" s="14" t="s">
        <v>10194</v>
      </c>
      <c r="G572" s="14" t="s">
        <v>10195</v>
      </c>
      <c r="H572" s="14"/>
      <c r="I572" s="14" t="s">
        <v>49</v>
      </c>
      <c r="J572" s="11" t="str">
        <f>HYPERLINK("https://www.codechef.com/problems/TDWDDE06", "https://www.codechef.com/problems/TDWDDE06")</f>
        <v>https://www.codechef.com/problems/TDWDDE06</v>
      </c>
      <c r="K572" s="14"/>
      <c r="L572" s="14"/>
      <c r="M572" s="14"/>
      <c r="N572" s="14" t="s">
        <v>50</v>
      </c>
      <c r="O572" s="14" t="s">
        <v>51</v>
      </c>
    </row>
    <row r="573" spans="1:15">
      <c r="A573" s="15" t="s">
        <v>15</v>
      </c>
      <c r="B573" s="15" t="s">
        <v>10010</v>
      </c>
      <c r="C573" s="15" t="s">
        <v>10011</v>
      </c>
      <c r="D573" s="15" t="s">
        <v>9611</v>
      </c>
      <c r="E573" s="15">
        <v>94</v>
      </c>
      <c r="F573" s="15" t="s">
        <v>10196</v>
      </c>
      <c r="G573" s="15" t="s">
        <v>10197</v>
      </c>
      <c r="H573" s="15"/>
      <c r="I573" s="15" t="s">
        <v>49</v>
      </c>
      <c r="J573" s="7" t="str">
        <f>HYPERLINK("https://www.codechef.com/problems/TDWDDE07", "https://www.codechef.com/problems/TDWDDE07")</f>
        <v>https://www.codechef.com/problems/TDWDDE07</v>
      </c>
      <c r="K573" s="15"/>
      <c r="L573" s="15"/>
      <c r="M573" s="15"/>
      <c r="N573" s="15" t="s">
        <v>50</v>
      </c>
      <c r="O573" s="15" t="s">
        <v>51</v>
      </c>
    </row>
    <row r="574" spans="1:15">
      <c r="A574" s="14" t="s">
        <v>15</v>
      </c>
      <c r="B574" s="14" t="s">
        <v>10010</v>
      </c>
      <c r="C574" s="14" t="s">
        <v>10011</v>
      </c>
      <c r="D574" s="14" t="s">
        <v>9611</v>
      </c>
      <c r="E574" s="14">
        <v>95</v>
      </c>
      <c r="F574" s="14" t="s">
        <v>10198</v>
      </c>
      <c r="G574" s="14" t="s">
        <v>10199</v>
      </c>
      <c r="H574" s="14"/>
      <c r="I574" s="14" t="s">
        <v>49</v>
      </c>
      <c r="J574" s="11" t="str">
        <f>HYPERLINK("https://www.codechef.com/problems/TDWDDE08", "https://www.codechef.com/problems/TDWDDE08")</f>
        <v>https://www.codechef.com/problems/TDWDDE08</v>
      </c>
      <c r="K574" s="14"/>
      <c r="L574" s="14"/>
      <c r="M574" s="14"/>
      <c r="N574" s="14" t="s">
        <v>50</v>
      </c>
      <c r="O574" s="14" t="s">
        <v>51</v>
      </c>
    </row>
    <row r="575" spans="1:15">
      <c r="A575" s="15" t="s">
        <v>15</v>
      </c>
      <c r="B575" s="15" t="s">
        <v>10010</v>
      </c>
      <c r="C575" s="15" t="s">
        <v>10011</v>
      </c>
      <c r="D575" s="15" t="s">
        <v>9611</v>
      </c>
      <c r="E575" s="15">
        <v>96</v>
      </c>
      <c r="F575" s="15" t="s">
        <v>10200</v>
      </c>
      <c r="G575" s="15" t="s">
        <v>10201</v>
      </c>
      <c r="H575" s="15"/>
      <c r="I575" s="15" t="s">
        <v>49</v>
      </c>
      <c r="J575" s="7" t="str">
        <f>HYPERLINK("https://www.codechef.com/problems/TDWDDE09", "https://www.codechef.com/problems/TDWDDE09")</f>
        <v>https://www.codechef.com/problems/TDWDDE09</v>
      </c>
      <c r="K575" s="15"/>
      <c r="L575" s="15"/>
      <c r="M575" s="15"/>
      <c r="N575" s="15" t="s">
        <v>50</v>
      </c>
      <c r="O575" s="15" t="s">
        <v>51</v>
      </c>
    </row>
    <row r="576" spans="1:15">
      <c r="A576" s="14" t="s">
        <v>15</v>
      </c>
      <c r="B576" s="14" t="s">
        <v>10010</v>
      </c>
      <c r="C576" s="14" t="s">
        <v>10011</v>
      </c>
      <c r="D576" s="14" t="s">
        <v>9611</v>
      </c>
      <c r="E576" s="14">
        <v>97</v>
      </c>
      <c r="F576" s="14" t="s">
        <v>10202</v>
      </c>
      <c r="G576" s="14" t="s">
        <v>10203</v>
      </c>
      <c r="H576" s="14"/>
      <c r="I576" s="14" t="s">
        <v>49</v>
      </c>
      <c r="J576" s="11" t="str">
        <f>HYPERLINK("https://www.codechef.com/problems/TDWDDE10", "https://www.codechef.com/problems/TDWDDE10")</f>
        <v>https://www.codechef.com/problems/TDWDDE10</v>
      </c>
      <c r="K576" s="14"/>
      <c r="L576" s="14"/>
      <c r="M576" s="14"/>
      <c r="N576" s="14" t="s">
        <v>50</v>
      </c>
      <c r="O576" s="14" t="s">
        <v>51</v>
      </c>
    </row>
    <row r="577" spans="1:15">
      <c r="A577" s="15" t="s">
        <v>15</v>
      </c>
      <c r="B577" s="15" t="s">
        <v>10010</v>
      </c>
      <c r="C577" s="15" t="s">
        <v>10011</v>
      </c>
      <c r="D577" s="15" t="s">
        <v>10204</v>
      </c>
      <c r="E577" s="15">
        <v>98</v>
      </c>
      <c r="F577" s="15" t="s">
        <v>10205</v>
      </c>
      <c r="G577" s="15" t="s">
        <v>10206</v>
      </c>
      <c r="H577" s="15"/>
      <c r="I577" s="15" t="s">
        <v>49</v>
      </c>
      <c r="J577" s="7" t="str">
        <f>HYPERLINK("https://www.codechef.com/problems/TKYCPP01", "https://www.codechef.com/problems/TKYCPP01")</f>
        <v>https://www.codechef.com/problems/TKYCPP01</v>
      </c>
      <c r="K577" s="15"/>
      <c r="L577" s="15"/>
      <c r="M577" s="15"/>
      <c r="N577" s="15" t="s">
        <v>50</v>
      </c>
      <c r="O577" s="15" t="s">
        <v>51</v>
      </c>
    </row>
    <row r="578" spans="1:15">
      <c r="A578" s="14" t="s">
        <v>15</v>
      </c>
      <c r="B578" s="14" t="s">
        <v>10010</v>
      </c>
      <c r="C578" s="14" t="s">
        <v>10011</v>
      </c>
      <c r="D578" s="14" t="s">
        <v>10204</v>
      </c>
      <c r="E578" s="14">
        <v>99</v>
      </c>
      <c r="F578" s="14" t="s">
        <v>10207</v>
      </c>
      <c r="G578" s="14" t="s">
        <v>10208</v>
      </c>
      <c r="H578" s="14"/>
      <c r="I578" s="14" t="s">
        <v>49</v>
      </c>
      <c r="J578" s="11" t="str">
        <f>HYPERLINK("https://www.codechef.com/problems/TKYCPP02", "https://www.codechef.com/problems/TKYCPP02")</f>
        <v>https://www.codechef.com/problems/TKYCPP02</v>
      </c>
      <c r="K578" s="14"/>
      <c r="L578" s="14"/>
      <c r="M578" s="14"/>
      <c r="N578" s="14" t="s">
        <v>50</v>
      </c>
      <c r="O578" s="14" t="s">
        <v>51</v>
      </c>
    </row>
    <row r="579" spans="1:15">
      <c r="A579" s="15" t="s">
        <v>15</v>
      </c>
      <c r="B579" s="15" t="s">
        <v>10010</v>
      </c>
      <c r="C579" s="15" t="s">
        <v>10011</v>
      </c>
      <c r="D579" s="15" t="s">
        <v>10204</v>
      </c>
      <c r="E579" s="15">
        <v>100</v>
      </c>
      <c r="F579" s="15" t="s">
        <v>10209</v>
      </c>
      <c r="G579" s="15" t="s">
        <v>10210</v>
      </c>
      <c r="H579" s="15"/>
      <c r="I579" s="15" t="s">
        <v>49</v>
      </c>
      <c r="J579" s="7" t="str">
        <f>HYPERLINK("https://www.codechef.com/problems/TKYCPP03", "https://www.codechef.com/problems/TKYCPP03")</f>
        <v>https://www.codechef.com/problems/TKYCPP03</v>
      </c>
      <c r="K579" s="15"/>
      <c r="L579" s="15"/>
      <c r="M579" s="15"/>
      <c r="N579" s="15" t="s">
        <v>50</v>
      </c>
      <c r="O579" s="15" t="s">
        <v>51</v>
      </c>
    </row>
    <row r="580" spans="1:15">
      <c r="A580" s="14" t="s">
        <v>15</v>
      </c>
      <c r="B580" s="14" t="s">
        <v>10010</v>
      </c>
      <c r="C580" s="14" t="s">
        <v>10011</v>
      </c>
      <c r="D580" s="14" t="s">
        <v>10204</v>
      </c>
      <c r="E580" s="14">
        <v>101</v>
      </c>
      <c r="F580" s="14" t="s">
        <v>10211</v>
      </c>
      <c r="G580" s="14" t="s">
        <v>10212</v>
      </c>
      <c r="H580" s="14"/>
      <c r="I580" s="14" t="s">
        <v>96</v>
      </c>
      <c r="J580" s="11" t="str">
        <f>HYPERLINK("https://www.codechef.com/problems/TKYCPP04", "https://www.codechef.com/problems/TKYCPP04")</f>
        <v>https://www.codechef.com/problems/TKYCPP04</v>
      </c>
      <c r="K580" s="14"/>
      <c r="L580" s="14"/>
      <c r="M580" s="14"/>
      <c r="N580" s="14" t="s">
        <v>50</v>
      </c>
      <c r="O580" s="14" t="s">
        <v>51</v>
      </c>
    </row>
    <row r="581" spans="1:15">
      <c r="A581" s="15" t="s">
        <v>15</v>
      </c>
      <c r="B581" s="15" t="s">
        <v>10010</v>
      </c>
      <c r="C581" s="15" t="s">
        <v>10011</v>
      </c>
      <c r="D581" s="15" t="s">
        <v>10204</v>
      </c>
      <c r="E581" s="15">
        <v>102</v>
      </c>
      <c r="F581" s="15" t="s">
        <v>10213</v>
      </c>
      <c r="G581" s="15" t="s">
        <v>10214</v>
      </c>
      <c r="H581" s="15"/>
      <c r="I581" s="15" t="s">
        <v>49</v>
      </c>
      <c r="J581" s="7" t="str">
        <f>HYPERLINK("https://www.codechef.com/problems/TKYCPP05", "https://www.codechef.com/problems/TKYCPP05")</f>
        <v>https://www.codechef.com/problems/TKYCPP05</v>
      </c>
      <c r="K581" s="15"/>
      <c r="L581" s="15"/>
      <c r="M581" s="15"/>
      <c r="N581" s="15" t="s">
        <v>50</v>
      </c>
      <c r="O581" s="15" t="s">
        <v>51</v>
      </c>
    </row>
    <row r="582" spans="1:15">
      <c r="A582" s="14" t="s">
        <v>15</v>
      </c>
      <c r="B582" s="14" t="s">
        <v>10010</v>
      </c>
      <c r="C582" s="14" t="s">
        <v>10011</v>
      </c>
      <c r="D582" s="14" t="s">
        <v>10204</v>
      </c>
      <c r="E582" s="14">
        <v>103</v>
      </c>
      <c r="F582" s="14" t="s">
        <v>10215</v>
      </c>
      <c r="G582" s="14" t="s">
        <v>10216</v>
      </c>
      <c r="H582" s="14"/>
      <c r="I582" s="14" t="s">
        <v>49</v>
      </c>
      <c r="J582" s="11" t="str">
        <f>HYPERLINK("https://www.codechef.com/problems/TKYCPP06", "https://www.codechef.com/problems/TKYCPP06")</f>
        <v>https://www.codechef.com/problems/TKYCPP06</v>
      </c>
      <c r="K582" s="14"/>
      <c r="L582" s="14"/>
      <c r="M582" s="14"/>
      <c r="N582" s="14" t="s">
        <v>50</v>
      </c>
      <c r="O582" s="14" t="s">
        <v>51</v>
      </c>
    </row>
    <row r="583" spans="1:15">
      <c r="A583" s="15" t="s">
        <v>15</v>
      </c>
      <c r="B583" s="15" t="s">
        <v>10010</v>
      </c>
      <c r="C583" s="15" t="s">
        <v>10011</v>
      </c>
      <c r="D583" s="15" t="s">
        <v>10204</v>
      </c>
      <c r="E583" s="15">
        <v>104</v>
      </c>
      <c r="F583" s="15" t="s">
        <v>10217</v>
      </c>
      <c r="G583" s="15" t="s">
        <v>10218</v>
      </c>
      <c r="H583" s="15"/>
      <c r="I583" s="15" t="s">
        <v>96</v>
      </c>
      <c r="J583" s="7" t="str">
        <f>HYPERLINK("https://www.codechef.com/problems/TKYCPP07", "https://www.codechef.com/problems/TKYCPP07")</f>
        <v>https://www.codechef.com/problems/TKYCPP07</v>
      </c>
      <c r="K583" s="15"/>
      <c r="L583" s="15"/>
      <c r="M583" s="15"/>
      <c r="N583" s="15" t="s">
        <v>50</v>
      </c>
      <c r="O583" s="15" t="s">
        <v>51</v>
      </c>
    </row>
    <row r="584" spans="1:15">
      <c r="A584" s="14" t="s">
        <v>15</v>
      </c>
      <c r="B584" s="14" t="s">
        <v>10010</v>
      </c>
      <c r="C584" s="14" t="s">
        <v>10011</v>
      </c>
      <c r="D584" s="14" t="s">
        <v>10204</v>
      </c>
      <c r="E584" s="14">
        <v>105</v>
      </c>
      <c r="F584" s="14" t="s">
        <v>10219</v>
      </c>
      <c r="G584" s="14" t="s">
        <v>10220</v>
      </c>
      <c r="H584" s="14"/>
      <c r="I584" s="14" t="s">
        <v>49</v>
      </c>
      <c r="J584" s="11" t="str">
        <f>HYPERLINK("https://www.codechef.com/problems/TKYCPP08", "https://www.codechef.com/problems/TKYCPP08")</f>
        <v>https://www.codechef.com/problems/TKYCPP08</v>
      </c>
      <c r="K584" s="14"/>
      <c r="L584" s="14"/>
      <c r="M584" s="14"/>
      <c r="N584" s="14" t="s">
        <v>50</v>
      </c>
      <c r="O584" s="14" t="s">
        <v>51</v>
      </c>
    </row>
    <row r="585" spans="1:15">
      <c r="A585" s="15" t="s">
        <v>15</v>
      </c>
      <c r="B585" s="15" t="s">
        <v>10010</v>
      </c>
      <c r="C585" s="15" t="s">
        <v>10011</v>
      </c>
      <c r="D585" s="15" t="s">
        <v>10204</v>
      </c>
      <c r="E585" s="15">
        <v>106</v>
      </c>
      <c r="F585" s="15" t="s">
        <v>10221</v>
      </c>
      <c r="G585" s="15" t="s">
        <v>10222</v>
      </c>
      <c r="H585" s="15"/>
      <c r="I585" s="15" t="s">
        <v>49</v>
      </c>
      <c r="J585" s="7" t="str">
        <f>HYPERLINK("https://www.codechef.com/problems/TKYCPP09", "https://www.codechef.com/problems/TKYCPP09")</f>
        <v>https://www.codechef.com/problems/TKYCPP09</v>
      </c>
      <c r="K585" s="15"/>
      <c r="L585" s="15"/>
      <c r="M585" s="15"/>
      <c r="N585" s="15" t="s">
        <v>50</v>
      </c>
      <c r="O585" s="15" t="s">
        <v>51</v>
      </c>
    </row>
    <row r="586" spans="1:15">
      <c r="A586" s="14" t="s">
        <v>15</v>
      </c>
      <c r="B586" s="14" t="s">
        <v>10010</v>
      </c>
      <c r="C586" s="14" t="s">
        <v>10011</v>
      </c>
      <c r="D586" s="14" t="s">
        <v>10204</v>
      </c>
      <c r="E586" s="14">
        <v>107</v>
      </c>
      <c r="F586" s="14" t="s">
        <v>10223</v>
      </c>
      <c r="G586" s="14" t="s">
        <v>10224</v>
      </c>
      <c r="H586" s="14"/>
      <c r="I586" s="14" t="s">
        <v>49</v>
      </c>
      <c r="J586" s="11" t="str">
        <f>HYPERLINK("https://www.codechef.com/problems/TKYCPP10", "https://www.codechef.com/problems/TKYCPP10")</f>
        <v>https://www.codechef.com/problems/TKYCPP10</v>
      </c>
      <c r="K586" s="14"/>
      <c r="L586" s="14"/>
      <c r="M586" s="14"/>
      <c r="N586" s="14" t="s">
        <v>50</v>
      </c>
      <c r="O586" s="14" t="s">
        <v>51</v>
      </c>
    </row>
    <row r="587" spans="1:15">
      <c r="A587" s="15" t="s">
        <v>15</v>
      </c>
      <c r="B587" s="15" t="s">
        <v>10010</v>
      </c>
      <c r="C587" s="15" t="s">
        <v>10011</v>
      </c>
      <c r="D587" s="15" t="s">
        <v>10204</v>
      </c>
      <c r="E587" s="15">
        <v>108</v>
      </c>
      <c r="F587" s="15" t="s">
        <v>10225</v>
      </c>
      <c r="G587" s="15" t="s">
        <v>10226</v>
      </c>
      <c r="H587" s="15"/>
      <c r="I587" s="15" t="s">
        <v>49</v>
      </c>
      <c r="J587" s="7" t="str">
        <f>HYPERLINK("https://www.codechef.com/problems/TKYCPP11", "https://www.codechef.com/problems/TKYCPP11")</f>
        <v>https://www.codechef.com/problems/TKYCPP11</v>
      </c>
      <c r="K587" s="15"/>
      <c r="L587" s="15"/>
      <c r="M587" s="15"/>
      <c r="N587" s="15" t="s">
        <v>50</v>
      </c>
      <c r="O587" s="15" t="s">
        <v>51</v>
      </c>
    </row>
    <row r="588" spans="1:15">
      <c r="A588" s="14" t="s">
        <v>15</v>
      </c>
      <c r="B588" s="14" t="s">
        <v>10010</v>
      </c>
      <c r="C588" s="14" t="s">
        <v>10011</v>
      </c>
      <c r="D588" s="14" t="s">
        <v>10204</v>
      </c>
      <c r="E588" s="14">
        <v>109</v>
      </c>
      <c r="F588" s="14" t="s">
        <v>10227</v>
      </c>
      <c r="G588" s="14" t="s">
        <v>10228</v>
      </c>
      <c r="H588" s="14"/>
      <c r="I588" s="14" t="s">
        <v>96</v>
      </c>
      <c r="J588" s="11" t="str">
        <f>HYPERLINK("https://www.codechef.com/problems/TKYCPP12", "https://www.codechef.com/problems/TKYCPP12")</f>
        <v>https://www.codechef.com/problems/TKYCPP12</v>
      </c>
      <c r="K588" s="14"/>
      <c r="L588" s="14"/>
      <c r="M588" s="14"/>
      <c r="N588" s="14" t="s">
        <v>50</v>
      </c>
      <c r="O588" s="14" t="s">
        <v>51</v>
      </c>
    </row>
    <row r="589" spans="1:15">
      <c r="A589" s="15" t="s">
        <v>15</v>
      </c>
      <c r="B589" s="15" t="s">
        <v>10010</v>
      </c>
      <c r="C589" s="15" t="s">
        <v>10011</v>
      </c>
      <c r="D589" s="15" t="s">
        <v>10204</v>
      </c>
      <c r="E589" s="15">
        <v>110</v>
      </c>
      <c r="F589" s="15" t="s">
        <v>10229</v>
      </c>
      <c r="G589" s="15" t="s">
        <v>10230</v>
      </c>
      <c r="H589" s="15"/>
      <c r="I589" s="15" t="s">
        <v>96</v>
      </c>
      <c r="J589" s="7" t="str">
        <f>HYPERLINK("https://www.codechef.com/problems/TKYCPP13", "https://www.codechef.com/problems/TKYCPP13")</f>
        <v>https://www.codechef.com/problems/TKYCPP13</v>
      </c>
      <c r="K589" s="15"/>
      <c r="L589" s="15"/>
      <c r="M589" s="15"/>
      <c r="N589" s="15" t="s">
        <v>50</v>
      </c>
      <c r="O589" s="15" t="s">
        <v>51</v>
      </c>
    </row>
    <row r="590" spans="1:15">
      <c r="A590" s="14" t="s">
        <v>15</v>
      </c>
      <c r="B590" s="14" t="s">
        <v>10010</v>
      </c>
      <c r="C590" s="14" t="s">
        <v>10011</v>
      </c>
      <c r="D590" s="14" t="s">
        <v>10204</v>
      </c>
      <c r="E590" s="14">
        <v>111</v>
      </c>
      <c r="F590" s="14" t="s">
        <v>10231</v>
      </c>
      <c r="G590" s="14" t="s">
        <v>10232</v>
      </c>
      <c r="H590" s="14"/>
      <c r="I590" s="14" t="s">
        <v>96</v>
      </c>
      <c r="J590" s="11" t="str">
        <f>HYPERLINK("https://www.codechef.com/problems/TKYCPP14", "https://www.codechef.com/problems/TKYCPP14")</f>
        <v>https://www.codechef.com/problems/TKYCPP14</v>
      </c>
      <c r="K590" s="14"/>
      <c r="L590" s="14"/>
      <c r="M590" s="14"/>
      <c r="N590" s="14" t="s">
        <v>50</v>
      </c>
      <c r="O590" s="14" t="s">
        <v>51</v>
      </c>
    </row>
    <row r="591" spans="1:15">
      <c r="A591" s="15" t="s">
        <v>15</v>
      </c>
      <c r="B591" s="15" t="s">
        <v>10010</v>
      </c>
      <c r="C591" s="15" t="s">
        <v>10011</v>
      </c>
      <c r="D591" s="15" t="s">
        <v>10204</v>
      </c>
      <c r="E591" s="15">
        <v>112</v>
      </c>
      <c r="F591" s="15" t="s">
        <v>10233</v>
      </c>
      <c r="G591" s="15" t="s">
        <v>10234</v>
      </c>
      <c r="H591" s="15"/>
      <c r="I591" s="15" t="s">
        <v>49</v>
      </c>
      <c r="J591" s="7" t="str">
        <f>HYPERLINK("https://www.codechef.com/problems/TKYCPP15", "https://www.codechef.com/problems/TKYCPP15")</f>
        <v>https://www.codechef.com/problems/TKYCPP15</v>
      </c>
      <c r="K591" s="15"/>
      <c r="L591" s="15"/>
      <c r="M591" s="15"/>
      <c r="N591" s="15" t="s">
        <v>50</v>
      </c>
      <c r="O591" s="15" t="s">
        <v>51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dimension ref="A1:O43"/>
  <sheetViews>
    <sheetView tabSelected="1" topLeftCell="F1" zoomScale="70" zoomScaleNormal="70" workbookViewId="0"/>
  </sheetViews>
  <sheetFormatPr defaultRowHeight="14.5"/>
  <cols>
    <col min="1" max="1" width="29" customWidth="1"/>
    <col min="2" max="2" width="27" customWidth="1"/>
    <col min="3" max="3" width="265" customWidth="1"/>
    <col min="4" max="4" width="96" customWidth="1"/>
    <col min="5" max="5" width="16" customWidth="1"/>
    <col min="6" max="6" width="54" customWidth="1"/>
    <col min="7" max="7" width="15" customWidth="1"/>
    <col min="8" max="8" width="20" customWidth="1"/>
    <col min="9" max="9" width="19" customWidth="1"/>
    <col min="10" max="10" width="15" customWidth="1"/>
    <col min="11" max="11" width="17" customWidth="1"/>
    <col min="12" max="13" width="12" customWidth="1"/>
    <col min="14" max="15" width="14" customWidth="1"/>
  </cols>
  <sheetData>
    <row r="1" spans="1:15">
      <c r="A1" s="13" t="s">
        <v>29</v>
      </c>
      <c r="B1" s="13" t="s">
        <v>30</v>
      </c>
      <c r="C1" s="13" t="s">
        <v>31</v>
      </c>
      <c r="D1" s="13" t="s">
        <v>32</v>
      </c>
      <c r="E1" s="13" t="s">
        <v>33</v>
      </c>
      <c r="F1" s="13" t="s">
        <v>34</v>
      </c>
      <c r="G1" s="13" t="s">
        <v>35</v>
      </c>
      <c r="H1" s="13" t="s">
        <v>36</v>
      </c>
      <c r="I1" s="13" t="s">
        <v>37</v>
      </c>
      <c r="J1" s="13" t="s">
        <v>7</v>
      </c>
      <c r="K1" s="13" t="s">
        <v>38</v>
      </c>
      <c r="L1" s="13" t="s">
        <v>39</v>
      </c>
      <c r="M1" s="13" t="s">
        <v>40</v>
      </c>
      <c r="N1" s="13" t="s">
        <v>41</v>
      </c>
      <c r="O1" s="13" t="s">
        <v>42</v>
      </c>
    </row>
    <row r="2" spans="1:15">
      <c r="A2" s="14" t="s">
        <v>16</v>
      </c>
      <c r="B2" s="14" t="s">
        <v>10235</v>
      </c>
      <c r="C2" s="14" t="s">
        <v>10236</v>
      </c>
      <c r="D2" s="14" t="s">
        <v>10237</v>
      </c>
      <c r="E2" s="14">
        <v>1</v>
      </c>
      <c r="F2" s="14" t="s">
        <v>10238</v>
      </c>
      <c r="G2" s="14" t="s">
        <v>10239</v>
      </c>
      <c r="H2" s="14"/>
      <c r="I2" s="14" t="s">
        <v>49</v>
      </c>
      <c r="J2" s="11" t="str">
        <f>HYPERLINK("https://www.codechef.com/problems/PYTHONCH01", "https://www.codechef.com/problems/PYTHONCH01")</f>
        <v>https://www.codechef.com/problems/PYTHONCH01</v>
      </c>
      <c r="K2" s="14"/>
      <c r="L2" s="14"/>
      <c r="M2" s="14"/>
      <c r="N2" s="14" t="s">
        <v>50</v>
      </c>
      <c r="O2" s="14" t="s">
        <v>51</v>
      </c>
    </row>
    <row r="3" spans="1:15">
      <c r="A3" s="15" t="s">
        <v>16</v>
      </c>
      <c r="B3" s="15" t="s">
        <v>10235</v>
      </c>
      <c r="C3" s="15" t="s">
        <v>10236</v>
      </c>
      <c r="D3" s="15" t="s">
        <v>10237</v>
      </c>
      <c r="E3" s="15">
        <v>2</v>
      </c>
      <c r="F3" s="15" t="s">
        <v>10240</v>
      </c>
      <c r="G3" s="15" t="s">
        <v>10241</v>
      </c>
      <c r="H3" s="15"/>
      <c r="I3" s="15" t="s">
        <v>96</v>
      </c>
      <c r="J3" s="7" t="str">
        <f>HYPERLINK("https://www.codechef.com/problems/PYTHONCH02", "https://www.codechef.com/problems/PYTHONCH02")</f>
        <v>https://www.codechef.com/problems/PYTHONCH02</v>
      </c>
      <c r="K3" s="15"/>
      <c r="L3" s="15"/>
      <c r="M3" s="15"/>
      <c r="N3" s="15" t="s">
        <v>50</v>
      </c>
      <c r="O3" s="15" t="s">
        <v>51</v>
      </c>
    </row>
    <row r="4" spans="1:15">
      <c r="A4" s="14" t="s">
        <v>16</v>
      </c>
      <c r="B4" s="14" t="s">
        <v>10235</v>
      </c>
      <c r="C4" s="14" t="s">
        <v>10236</v>
      </c>
      <c r="D4" s="14" t="s">
        <v>10237</v>
      </c>
      <c r="E4" s="14">
        <v>3</v>
      </c>
      <c r="F4" s="14" t="s">
        <v>10242</v>
      </c>
      <c r="G4" s="14" t="s">
        <v>10243</v>
      </c>
      <c r="H4" s="14"/>
      <c r="I4" s="14" t="s">
        <v>96</v>
      </c>
      <c r="J4" s="11" t="str">
        <f>HYPERLINK("https://www.codechef.com/problems/PYTHONCH05", "https://www.codechef.com/problems/PYTHONCH05")</f>
        <v>https://www.codechef.com/problems/PYTHONCH05</v>
      </c>
      <c r="K4" s="14"/>
      <c r="L4" s="14"/>
      <c r="M4" s="14"/>
      <c r="N4" s="14" t="s">
        <v>50</v>
      </c>
      <c r="O4" s="14" t="s">
        <v>51</v>
      </c>
    </row>
    <row r="5" spans="1:15">
      <c r="A5" s="15" t="s">
        <v>16</v>
      </c>
      <c r="B5" s="15" t="s">
        <v>10235</v>
      </c>
      <c r="C5" s="15" t="s">
        <v>10236</v>
      </c>
      <c r="D5" s="15" t="s">
        <v>10237</v>
      </c>
      <c r="E5" s="15">
        <v>4</v>
      </c>
      <c r="F5" s="15" t="s">
        <v>10244</v>
      </c>
      <c r="G5" s="15" t="s">
        <v>10245</v>
      </c>
      <c r="H5" s="15"/>
      <c r="I5" s="15" t="s">
        <v>96</v>
      </c>
      <c r="J5" s="7" t="str">
        <f>HYPERLINK("https://www.codechef.com/problems/PYTHONCH06", "https://www.codechef.com/problems/PYTHONCH06")</f>
        <v>https://www.codechef.com/problems/PYTHONCH06</v>
      </c>
      <c r="K5" s="15"/>
      <c r="L5" s="15"/>
      <c r="M5" s="15"/>
      <c r="N5" s="15" t="s">
        <v>50</v>
      </c>
      <c r="O5" s="15" t="s">
        <v>51</v>
      </c>
    </row>
    <row r="6" spans="1:15">
      <c r="A6" s="14" t="s">
        <v>16</v>
      </c>
      <c r="B6" s="14" t="s">
        <v>10235</v>
      </c>
      <c r="C6" s="14" t="s">
        <v>10236</v>
      </c>
      <c r="D6" s="14" t="s">
        <v>10237</v>
      </c>
      <c r="E6" s="14">
        <v>5</v>
      </c>
      <c r="F6" s="14" t="s">
        <v>10246</v>
      </c>
      <c r="G6" s="14" t="s">
        <v>10247</v>
      </c>
      <c r="H6" s="14"/>
      <c r="I6" s="14" t="s">
        <v>49</v>
      </c>
      <c r="J6" s="11" t="str">
        <f>HYPERLINK("https://www.codechef.com/problems/PYTHONCH07", "https://www.codechef.com/problems/PYTHONCH07")</f>
        <v>https://www.codechef.com/problems/PYTHONCH07</v>
      </c>
      <c r="K6" s="14"/>
      <c r="L6" s="14"/>
      <c r="M6" s="14"/>
      <c r="N6" s="14" t="s">
        <v>50</v>
      </c>
      <c r="O6" s="14" t="s">
        <v>51</v>
      </c>
    </row>
    <row r="7" spans="1:15">
      <c r="A7" s="15" t="s">
        <v>16</v>
      </c>
      <c r="B7" s="15" t="s">
        <v>10235</v>
      </c>
      <c r="C7" s="15" t="s">
        <v>10236</v>
      </c>
      <c r="D7" s="15" t="s">
        <v>10237</v>
      </c>
      <c r="E7" s="15">
        <v>6</v>
      </c>
      <c r="F7" s="15" t="s">
        <v>10248</v>
      </c>
      <c r="G7" s="15" t="s">
        <v>10249</v>
      </c>
      <c r="H7" s="15"/>
      <c r="I7" s="15" t="s">
        <v>49</v>
      </c>
      <c r="J7" s="7" t="str">
        <f>HYPERLINK("https://www.codechef.com/problems/PYTHONCH08", "https://www.codechef.com/problems/PYTHONCH08")</f>
        <v>https://www.codechef.com/problems/PYTHONCH08</v>
      </c>
      <c r="K7" s="15"/>
      <c r="L7" s="15"/>
      <c r="M7" s="15"/>
      <c r="N7" s="15" t="s">
        <v>50</v>
      </c>
      <c r="O7" s="15" t="s">
        <v>51</v>
      </c>
    </row>
    <row r="8" spans="1:15">
      <c r="A8" s="14" t="s">
        <v>16</v>
      </c>
      <c r="B8" s="14" t="s">
        <v>10235</v>
      </c>
      <c r="C8" s="14" t="s">
        <v>10236</v>
      </c>
      <c r="D8" s="14" t="s">
        <v>10237</v>
      </c>
      <c r="E8" s="14">
        <v>7</v>
      </c>
      <c r="F8" s="14" t="s">
        <v>10250</v>
      </c>
      <c r="G8" s="14" t="s">
        <v>10251</v>
      </c>
      <c r="H8" s="14"/>
      <c r="I8" s="14" t="s">
        <v>49</v>
      </c>
      <c r="J8" s="11" t="str">
        <f>HYPERLINK("https://www.codechef.com/problems/PYTHONCH09", "https://www.codechef.com/problems/PYTHONCH09")</f>
        <v>https://www.codechef.com/problems/PYTHONCH09</v>
      </c>
      <c r="K8" s="14"/>
      <c r="L8" s="14"/>
      <c r="M8" s="14"/>
      <c r="N8" s="14" t="s">
        <v>50</v>
      </c>
      <c r="O8" s="14" t="s">
        <v>51</v>
      </c>
    </row>
    <row r="9" spans="1:15">
      <c r="A9" s="15" t="s">
        <v>16</v>
      </c>
      <c r="B9" s="15" t="s">
        <v>10235</v>
      </c>
      <c r="C9" s="15" t="s">
        <v>10236</v>
      </c>
      <c r="D9" s="15" t="s">
        <v>10237</v>
      </c>
      <c r="E9" s="15">
        <v>8</v>
      </c>
      <c r="F9" s="15" t="s">
        <v>10252</v>
      </c>
      <c r="G9" s="15" t="s">
        <v>10253</v>
      </c>
      <c r="H9" s="15"/>
      <c r="I9" s="15" t="s">
        <v>49</v>
      </c>
      <c r="J9" s="7" t="str">
        <f>HYPERLINK("https://www.codechef.com/problems/PYTHONCH10", "https://www.codechef.com/problems/PYTHONCH10")</f>
        <v>https://www.codechef.com/problems/PYTHONCH10</v>
      </c>
      <c r="K9" s="15"/>
      <c r="L9" s="15"/>
      <c r="M9" s="15"/>
      <c r="N9" s="15" t="s">
        <v>50</v>
      </c>
      <c r="O9" s="15" t="s">
        <v>51</v>
      </c>
    </row>
    <row r="10" spans="1:15">
      <c r="A10" s="14" t="s">
        <v>16</v>
      </c>
      <c r="B10" s="14" t="s">
        <v>10235</v>
      </c>
      <c r="C10" s="14" t="s">
        <v>10236</v>
      </c>
      <c r="D10" s="14" t="s">
        <v>10237</v>
      </c>
      <c r="E10" s="14">
        <v>9</v>
      </c>
      <c r="F10" s="14" t="s">
        <v>10254</v>
      </c>
      <c r="G10" s="14" t="s">
        <v>10255</v>
      </c>
      <c r="H10" s="14"/>
      <c r="I10" s="14" t="s">
        <v>49</v>
      </c>
      <c r="J10" s="11" t="str">
        <f>HYPERLINK("https://www.codechef.com/problems/PYTHONCH11", "https://www.codechef.com/problems/PYTHONCH11")</f>
        <v>https://www.codechef.com/problems/PYTHONCH11</v>
      </c>
      <c r="K10" s="14"/>
      <c r="L10" s="14"/>
      <c r="M10" s="14"/>
      <c r="N10" s="14" t="s">
        <v>50</v>
      </c>
      <c r="O10" s="14" t="s">
        <v>51</v>
      </c>
    </row>
    <row r="11" spans="1:15">
      <c r="A11" s="15" t="s">
        <v>16</v>
      </c>
      <c r="B11" s="15" t="s">
        <v>10235</v>
      </c>
      <c r="C11" s="15" t="s">
        <v>10236</v>
      </c>
      <c r="D11" s="15" t="s">
        <v>10237</v>
      </c>
      <c r="E11" s="15">
        <v>10</v>
      </c>
      <c r="F11" s="15" t="s">
        <v>10256</v>
      </c>
      <c r="G11" s="15" t="s">
        <v>10257</v>
      </c>
      <c r="H11" s="15"/>
      <c r="I11" s="15" t="s">
        <v>49</v>
      </c>
      <c r="J11" s="7" t="str">
        <f>HYPERLINK("https://www.codechef.com/problems/PYTHONCH12", "https://www.codechef.com/problems/PYTHONCH12")</f>
        <v>https://www.codechef.com/problems/PYTHONCH12</v>
      </c>
      <c r="K11" s="15"/>
      <c r="L11" s="15"/>
      <c r="M11" s="15"/>
      <c r="N11" s="15" t="s">
        <v>50</v>
      </c>
      <c r="O11" s="15" t="s">
        <v>51</v>
      </c>
    </row>
    <row r="12" spans="1:15">
      <c r="A12" s="14" t="s">
        <v>16</v>
      </c>
      <c r="B12" s="14" t="s">
        <v>10235</v>
      </c>
      <c r="C12" s="14" t="s">
        <v>10236</v>
      </c>
      <c r="D12" s="14" t="s">
        <v>10237</v>
      </c>
      <c r="E12" s="14">
        <v>11</v>
      </c>
      <c r="F12" s="14" t="s">
        <v>10258</v>
      </c>
      <c r="G12" s="14" t="s">
        <v>10259</v>
      </c>
      <c r="H12" s="14"/>
      <c r="I12" s="14" t="s">
        <v>96</v>
      </c>
      <c r="J12" s="11" t="str">
        <f>HYPERLINK("https://www.codechef.com/problems/PYTHONCH13", "https://www.codechef.com/problems/PYTHONCH13")</f>
        <v>https://www.codechef.com/problems/PYTHONCH13</v>
      </c>
      <c r="K12" s="14"/>
      <c r="L12" s="14"/>
      <c r="M12" s="14"/>
      <c r="N12" s="14" t="s">
        <v>50</v>
      </c>
      <c r="O12" s="14" t="s">
        <v>51</v>
      </c>
    </row>
    <row r="13" spans="1:15">
      <c r="A13" s="15" t="s">
        <v>16</v>
      </c>
      <c r="B13" s="15" t="s">
        <v>10235</v>
      </c>
      <c r="C13" s="15" t="s">
        <v>10236</v>
      </c>
      <c r="D13" s="15" t="s">
        <v>10260</v>
      </c>
      <c r="E13" s="15">
        <v>12</v>
      </c>
      <c r="F13" s="15" t="s">
        <v>10261</v>
      </c>
      <c r="G13" s="15" t="s">
        <v>10262</v>
      </c>
      <c r="H13" s="15"/>
      <c r="I13" s="15" t="s">
        <v>49</v>
      </c>
      <c r="J13" s="7" t="str">
        <f>HYPERLINK("https://www.codechef.com/problems/PYTHONCH15", "https://www.codechef.com/problems/PYTHONCH15")</f>
        <v>https://www.codechef.com/problems/PYTHONCH15</v>
      </c>
      <c r="K13" s="15"/>
      <c r="L13" s="15"/>
      <c r="M13" s="15"/>
      <c r="N13" s="15" t="s">
        <v>50</v>
      </c>
      <c r="O13" s="15" t="s">
        <v>51</v>
      </c>
    </row>
    <row r="14" spans="1:15">
      <c r="A14" s="14" t="s">
        <v>16</v>
      </c>
      <c r="B14" s="14" t="s">
        <v>10235</v>
      </c>
      <c r="C14" s="14" t="s">
        <v>10236</v>
      </c>
      <c r="D14" s="14" t="s">
        <v>10260</v>
      </c>
      <c r="E14" s="14">
        <v>13</v>
      </c>
      <c r="F14" s="14" t="s">
        <v>10263</v>
      </c>
      <c r="G14" s="14" t="s">
        <v>10264</v>
      </c>
      <c r="H14" s="14"/>
      <c r="I14" s="14" t="s">
        <v>96</v>
      </c>
      <c r="J14" s="11" t="str">
        <f>HYPERLINK("https://www.codechef.com/problems/PYTHONCH17", "https://www.codechef.com/problems/PYTHONCH17")</f>
        <v>https://www.codechef.com/problems/PYTHONCH17</v>
      </c>
      <c r="K14" s="14"/>
      <c r="L14" s="14"/>
      <c r="M14" s="14"/>
      <c r="N14" s="14" t="s">
        <v>50</v>
      </c>
      <c r="O14" s="14" t="s">
        <v>51</v>
      </c>
    </row>
    <row r="15" spans="1:15">
      <c r="A15" s="15" t="s">
        <v>16</v>
      </c>
      <c r="B15" s="15" t="s">
        <v>10235</v>
      </c>
      <c r="C15" s="15" t="s">
        <v>10236</v>
      </c>
      <c r="D15" s="15" t="s">
        <v>10260</v>
      </c>
      <c r="E15" s="15">
        <v>14</v>
      </c>
      <c r="F15" s="15" t="s">
        <v>10265</v>
      </c>
      <c r="G15" s="15" t="s">
        <v>10266</v>
      </c>
      <c r="H15" s="15"/>
      <c r="I15" s="15" t="s">
        <v>96</v>
      </c>
      <c r="J15" s="7" t="str">
        <f>HYPERLINK("https://www.codechef.com/problems/PYTHONCH19", "https://www.codechef.com/problems/PYTHONCH19")</f>
        <v>https://www.codechef.com/problems/PYTHONCH19</v>
      </c>
      <c r="K15" s="15"/>
      <c r="L15" s="15"/>
      <c r="M15" s="15"/>
      <c r="N15" s="15" t="s">
        <v>50</v>
      </c>
      <c r="O15" s="15" t="s">
        <v>51</v>
      </c>
    </row>
    <row r="16" spans="1:15">
      <c r="A16" s="14" t="s">
        <v>16</v>
      </c>
      <c r="B16" s="14" t="s">
        <v>10235</v>
      </c>
      <c r="C16" s="14" t="s">
        <v>10236</v>
      </c>
      <c r="D16" s="14" t="s">
        <v>10260</v>
      </c>
      <c r="E16" s="14">
        <v>15</v>
      </c>
      <c r="F16" s="14" t="s">
        <v>10267</v>
      </c>
      <c r="G16" s="14" t="s">
        <v>10268</v>
      </c>
      <c r="H16" s="14"/>
      <c r="I16" s="14" t="s">
        <v>96</v>
      </c>
      <c r="J16" s="11" t="str">
        <f>HYPERLINK("https://www.codechef.com/problems/PYTHONCH20", "https://www.codechef.com/problems/PYTHONCH20")</f>
        <v>https://www.codechef.com/problems/PYTHONCH20</v>
      </c>
      <c r="K16" s="14"/>
      <c r="L16" s="14"/>
      <c r="M16" s="14"/>
      <c r="N16" s="14" t="s">
        <v>50</v>
      </c>
      <c r="O16" s="14" t="s">
        <v>51</v>
      </c>
    </row>
    <row r="17" spans="1:15">
      <c r="A17" s="15" t="s">
        <v>16</v>
      </c>
      <c r="B17" s="15" t="s">
        <v>10235</v>
      </c>
      <c r="C17" s="15" t="s">
        <v>10236</v>
      </c>
      <c r="D17" s="15" t="s">
        <v>10260</v>
      </c>
      <c r="E17" s="15">
        <v>16</v>
      </c>
      <c r="F17" s="15" t="s">
        <v>10269</v>
      </c>
      <c r="G17" s="15" t="s">
        <v>10270</v>
      </c>
      <c r="H17" s="15"/>
      <c r="I17" s="15" t="s">
        <v>96</v>
      </c>
      <c r="J17" s="7" t="str">
        <f>HYPERLINK("https://www.codechef.com/problems/PYTHONCH21", "https://www.codechef.com/problems/PYTHONCH21")</f>
        <v>https://www.codechef.com/problems/PYTHONCH21</v>
      </c>
      <c r="K17" s="15"/>
      <c r="L17" s="15"/>
      <c r="M17" s="15"/>
      <c r="N17" s="15" t="s">
        <v>50</v>
      </c>
      <c r="O17" s="15" t="s">
        <v>51</v>
      </c>
    </row>
    <row r="18" spans="1:15">
      <c r="A18" s="14" t="s">
        <v>16</v>
      </c>
      <c r="B18" s="14" t="s">
        <v>10235</v>
      </c>
      <c r="C18" s="14" t="s">
        <v>10236</v>
      </c>
      <c r="D18" s="14" t="s">
        <v>10260</v>
      </c>
      <c r="E18" s="14">
        <v>17</v>
      </c>
      <c r="F18" s="14" t="s">
        <v>10271</v>
      </c>
      <c r="G18" s="14" t="s">
        <v>10272</v>
      </c>
      <c r="H18" s="14"/>
      <c r="I18" s="14" t="s">
        <v>96</v>
      </c>
      <c r="J18" s="11" t="str">
        <f>HYPERLINK("https://www.codechef.com/problems/PYTHONCH22", "https://www.codechef.com/problems/PYTHONCH22")</f>
        <v>https://www.codechef.com/problems/PYTHONCH22</v>
      </c>
      <c r="K18" s="14"/>
      <c r="L18" s="14"/>
      <c r="M18" s="14"/>
      <c r="N18" s="14" t="s">
        <v>50</v>
      </c>
      <c r="O18" s="14" t="s">
        <v>51</v>
      </c>
    </row>
    <row r="19" spans="1:15">
      <c r="A19" s="15" t="s">
        <v>16</v>
      </c>
      <c r="B19" s="15" t="s">
        <v>10235</v>
      </c>
      <c r="C19" s="15" t="s">
        <v>10236</v>
      </c>
      <c r="D19" s="15" t="s">
        <v>10260</v>
      </c>
      <c r="E19" s="15">
        <v>18</v>
      </c>
      <c r="F19" s="15" t="s">
        <v>10273</v>
      </c>
      <c r="G19" s="15" t="s">
        <v>10274</v>
      </c>
      <c r="H19" s="15"/>
      <c r="I19" s="15" t="s">
        <v>49</v>
      </c>
      <c r="J19" s="7" t="str">
        <f>HYPERLINK("https://www.codechef.com/problems/PYTHONCH23", "https://www.codechef.com/problems/PYTHONCH23")</f>
        <v>https://www.codechef.com/problems/PYTHONCH23</v>
      </c>
      <c r="K19" s="15"/>
      <c r="L19" s="15"/>
      <c r="M19" s="15"/>
      <c r="N19" s="15" t="s">
        <v>50</v>
      </c>
      <c r="O19" s="15" t="s">
        <v>51</v>
      </c>
    </row>
    <row r="20" spans="1:15">
      <c r="A20" s="14" t="s">
        <v>16</v>
      </c>
      <c r="B20" s="14" t="s">
        <v>10235</v>
      </c>
      <c r="C20" s="14" t="s">
        <v>10236</v>
      </c>
      <c r="D20" s="14" t="s">
        <v>10260</v>
      </c>
      <c r="E20" s="14">
        <v>19</v>
      </c>
      <c r="F20" s="14" t="s">
        <v>10275</v>
      </c>
      <c r="G20" s="14" t="s">
        <v>10276</v>
      </c>
      <c r="H20" s="14"/>
      <c r="I20" s="14" t="s">
        <v>49</v>
      </c>
      <c r="J20" s="11" t="str">
        <f>HYPERLINK("https://www.codechef.com/problems/PYTHONCH25", "https://www.codechef.com/problems/PYTHONCH25")</f>
        <v>https://www.codechef.com/problems/PYTHONCH25</v>
      </c>
      <c r="K20" s="14"/>
      <c r="L20" s="14"/>
      <c r="M20" s="14"/>
      <c r="N20" s="14" t="s">
        <v>50</v>
      </c>
      <c r="O20" s="14" t="s">
        <v>51</v>
      </c>
    </row>
    <row r="21" spans="1:15">
      <c r="A21" s="15" t="s">
        <v>16</v>
      </c>
      <c r="B21" s="15" t="s">
        <v>10235</v>
      </c>
      <c r="C21" s="15" t="s">
        <v>10236</v>
      </c>
      <c r="D21" s="15" t="s">
        <v>10260</v>
      </c>
      <c r="E21" s="15">
        <v>20</v>
      </c>
      <c r="F21" s="15" t="s">
        <v>10277</v>
      </c>
      <c r="G21" s="15" t="s">
        <v>10278</v>
      </c>
      <c r="H21" s="15"/>
      <c r="I21" s="15" t="s">
        <v>96</v>
      </c>
      <c r="J21" s="7" t="str">
        <f>HYPERLINK("https://www.codechef.com/problems/PYTHONCH26", "https://www.codechef.com/problems/PYTHONCH26")</f>
        <v>https://www.codechef.com/problems/PYTHONCH26</v>
      </c>
      <c r="K21" s="15"/>
      <c r="L21" s="15"/>
      <c r="M21" s="15"/>
      <c r="N21" s="15" t="s">
        <v>50</v>
      </c>
      <c r="O21" s="15" t="s">
        <v>51</v>
      </c>
    </row>
    <row r="22" spans="1:15">
      <c r="A22" s="14" t="s">
        <v>16</v>
      </c>
      <c r="B22" s="14" t="s">
        <v>10235</v>
      </c>
      <c r="C22" s="14" t="s">
        <v>10236</v>
      </c>
      <c r="D22" s="14" t="s">
        <v>10260</v>
      </c>
      <c r="E22" s="14">
        <v>21</v>
      </c>
      <c r="F22" s="14" t="s">
        <v>10279</v>
      </c>
      <c r="G22" s="14" t="s">
        <v>10280</v>
      </c>
      <c r="H22" s="14"/>
      <c r="I22" s="14" t="s">
        <v>96</v>
      </c>
      <c r="J22" s="11" t="str">
        <f>HYPERLINK("https://www.codechef.com/problems/PYTHONCH27", "https://www.codechef.com/problems/PYTHONCH27")</f>
        <v>https://www.codechef.com/problems/PYTHONCH27</v>
      </c>
      <c r="K22" s="14"/>
      <c r="L22" s="14"/>
      <c r="M22" s="14"/>
      <c r="N22" s="14" t="s">
        <v>50</v>
      </c>
      <c r="O22" s="14" t="s">
        <v>51</v>
      </c>
    </row>
    <row r="23" spans="1:15">
      <c r="A23" s="15" t="s">
        <v>16</v>
      </c>
      <c r="B23" s="15" t="s">
        <v>10235</v>
      </c>
      <c r="C23" s="15" t="s">
        <v>10236</v>
      </c>
      <c r="D23" s="15" t="s">
        <v>10260</v>
      </c>
      <c r="E23" s="15">
        <v>22</v>
      </c>
      <c r="F23" s="15" t="s">
        <v>10281</v>
      </c>
      <c r="G23" s="15" t="s">
        <v>10282</v>
      </c>
      <c r="H23" s="15"/>
      <c r="I23" s="15" t="s">
        <v>96</v>
      </c>
      <c r="J23" s="7" t="str">
        <f>HYPERLINK("https://www.codechef.com/problems/PYTHONCH28", "https://www.codechef.com/problems/PYTHONCH28")</f>
        <v>https://www.codechef.com/problems/PYTHONCH28</v>
      </c>
      <c r="K23" s="15"/>
      <c r="L23" s="15"/>
      <c r="M23" s="15"/>
      <c r="N23" s="15" t="s">
        <v>50</v>
      </c>
      <c r="O23" s="15" t="s">
        <v>51</v>
      </c>
    </row>
    <row r="24" spans="1:15">
      <c r="A24" s="14" t="s">
        <v>16</v>
      </c>
      <c r="B24" s="14" t="s">
        <v>10235</v>
      </c>
      <c r="C24" s="14" t="s">
        <v>10236</v>
      </c>
      <c r="D24" s="14" t="s">
        <v>10260</v>
      </c>
      <c r="E24" s="14">
        <v>23</v>
      </c>
      <c r="F24" s="14" t="s">
        <v>10283</v>
      </c>
      <c r="G24" s="14" t="s">
        <v>10284</v>
      </c>
      <c r="H24" s="14"/>
      <c r="I24" s="14" t="s">
        <v>96</v>
      </c>
      <c r="J24" s="11" t="str">
        <f>HYPERLINK("https://www.codechef.com/problems/PYTHONCH30", "https://www.codechef.com/problems/PYTHONCH30")</f>
        <v>https://www.codechef.com/problems/PYTHONCH30</v>
      </c>
      <c r="K24" s="14"/>
      <c r="L24" s="14"/>
      <c r="M24" s="14"/>
      <c r="N24" s="14" t="s">
        <v>50</v>
      </c>
      <c r="O24" s="14" t="s">
        <v>51</v>
      </c>
    </row>
    <row r="25" spans="1:15">
      <c r="A25" s="15" t="s">
        <v>16</v>
      </c>
      <c r="B25" s="15" t="s">
        <v>10235</v>
      </c>
      <c r="C25" s="15" t="s">
        <v>10236</v>
      </c>
      <c r="D25" s="15" t="s">
        <v>10285</v>
      </c>
      <c r="E25" s="15">
        <v>24</v>
      </c>
      <c r="F25" s="15" t="s">
        <v>10286</v>
      </c>
      <c r="G25" s="15" t="s">
        <v>10287</v>
      </c>
      <c r="H25" s="15"/>
      <c r="I25" s="15" t="s">
        <v>96</v>
      </c>
      <c r="J25" s="7" t="str">
        <f>HYPERLINK("https://www.codechef.com/problems/PYTHONCH31", "https://www.codechef.com/problems/PYTHONCH31")</f>
        <v>https://www.codechef.com/problems/PYTHONCH31</v>
      </c>
      <c r="K25" s="15"/>
      <c r="L25" s="15"/>
      <c r="M25" s="15"/>
      <c r="N25" s="15" t="s">
        <v>50</v>
      </c>
      <c r="O25" s="15" t="s">
        <v>51</v>
      </c>
    </row>
    <row r="26" spans="1:15">
      <c r="A26" s="14" t="s">
        <v>16</v>
      </c>
      <c r="B26" s="14" t="s">
        <v>10235</v>
      </c>
      <c r="C26" s="14" t="s">
        <v>10236</v>
      </c>
      <c r="D26" s="14" t="s">
        <v>10285</v>
      </c>
      <c r="E26" s="14">
        <v>25</v>
      </c>
      <c r="F26" s="14" t="s">
        <v>10288</v>
      </c>
      <c r="G26" s="14" t="s">
        <v>10289</v>
      </c>
      <c r="H26" s="14"/>
      <c r="I26" s="14" t="s">
        <v>96</v>
      </c>
      <c r="J26" s="11" t="str">
        <f>HYPERLINK("https://www.codechef.com/problems/PYTHONCH32", "https://www.codechef.com/problems/PYTHONCH32")</f>
        <v>https://www.codechef.com/problems/PYTHONCH32</v>
      </c>
      <c r="K26" s="14"/>
      <c r="L26" s="14"/>
      <c r="M26" s="14"/>
      <c r="N26" s="14" t="s">
        <v>50</v>
      </c>
      <c r="O26" s="14" t="s">
        <v>51</v>
      </c>
    </row>
    <row r="27" spans="1:15">
      <c r="A27" s="15" t="s">
        <v>16</v>
      </c>
      <c r="B27" s="15" t="s">
        <v>10235</v>
      </c>
      <c r="C27" s="15" t="s">
        <v>10236</v>
      </c>
      <c r="D27" s="15" t="s">
        <v>10285</v>
      </c>
      <c r="E27" s="15">
        <v>26</v>
      </c>
      <c r="F27" s="15" t="s">
        <v>10290</v>
      </c>
      <c r="G27" s="15" t="s">
        <v>10291</v>
      </c>
      <c r="H27" s="15"/>
      <c r="I27" s="15" t="s">
        <v>49</v>
      </c>
      <c r="J27" s="7" t="str">
        <f>HYPERLINK("https://www.codechef.com/problems/PYTHONCH33", "https://www.codechef.com/problems/PYTHONCH33")</f>
        <v>https://www.codechef.com/problems/PYTHONCH33</v>
      </c>
      <c r="K27" s="15"/>
      <c r="L27" s="15"/>
      <c r="M27" s="15"/>
      <c r="N27" s="15" t="s">
        <v>50</v>
      </c>
      <c r="O27" s="15" t="s">
        <v>51</v>
      </c>
    </row>
    <row r="28" spans="1:15">
      <c r="A28" s="14" t="s">
        <v>16</v>
      </c>
      <c r="B28" s="14" t="s">
        <v>10235</v>
      </c>
      <c r="C28" s="14" t="s">
        <v>10236</v>
      </c>
      <c r="D28" s="14" t="s">
        <v>10285</v>
      </c>
      <c r="E28" s="14">
        <v>27</v>
      </c>
      <c r="F28" s="14" t="s">
        <v>10292</v>
      </c>
      <c r="G28" s="14" t="s">
        <v>10293</v>
      </c>
      <c r="H28" s="14"/>
      <c r="I28" s="14" t="s">
        <v>96</v>
      </c>
      <c r="J28" s="11" t="str">
        <f>HYPERLINK("https://www.codechef.com/problems/PYTHONCH34", "https://www.codechef.com/problems/PYTHONCH34")</f>
        <v>https://www.codechef.com/problems/PYTHONCH34</v>
      </c>
      <c r="K28" s="14"/>
      <c r="L28" s="14"/>
      <c r="M28" s="14"/>
      <c r="N28" s="14" t="s">
        <v>50</v>
      </c>
      <c r="O28" s="14" t="s">
        <v>51</v>
      </c>
    </row>
    <row r="29" spans="1:15">
      <c r="A29" s="15" t="s">
        <v>16</v>
      </c>
      <c r="B29" s="15" t="s">
        <v>10235</v>
      </c>
      <c r="C29" s="15" t="s">
        <v>10236</v>
      </c>
      <c r="D29" s="15" t="s">
        <v>10285</v>
      </c>
      <c r="E29" s="15">
        <v>28</v>
      </c>
      <c r="F29" s="15" t="s">
        <v>10294</v>
      </c>
      <c r="G29" s="15" t="s">
        <v>10295</v>
      </c>
      <c r="H29" s="15"/>
      <c r="I29" s="15" t="s">
        <v>96</v>
      </c>
      <c r="J29" s="7" t="str">
        <f>HYPERLINK("https://www.codechef.com/problems/PYTHONCH35", "https://www.codechef.com/problems/PYTHONCH35")</f>
        <v>https://www.codechef.com/problems/PYTHONCH35</v>
      </c>
      <c r="K29" s="15"/>
      <c r="L29" s="15"/>
      <c r="M29" s="15"/>
      <c r="N29" s="15" t="s">
        <v>50</v>
      </c>
      <c r="O29" s="15" t="s">
        <v>51</v>
      </c>
    </row>
    <row r="30" spans="1:15">
      <c r="A30" s="14" t="s">
        <v>16</v>
      </c>
      <c r="B30" s="14" t="s">
        <v>10235</v>
      </c>
      <c r="C30" s="14" t="s">
        <v>10236</v>
      </c>
      <c r="D30" s="14" t="s">
        <v>10285</v>
      </c>
      <c r="E30" s="14">
        <v>29</v>
      </c>
      <c r="F30" s="14" t="s">
        <v>10296</v>
      </c>
      <c r="G30" s="14" t="s">
        <v>10297</v>
      </c>
      <c r="H30" s="14"/>
      <c r="I30" s="14" t="s">
        <v>322</v>
      </c>
      <c r="J30" s="11" t="str">
        <f>HYPERLINK("https://www.codechef.com/problems/PYTHONCH38", "https://www.codechef.com/problems/PYTHONCH38")</f>
        <v>https://www.codechef.com/problems/PYTHONCH38</v>
      </c>
      <c r="K30" s="14"/>
      <c r="L30" s="14"/>
      <c r="M30" s="14"/>
      <c r="N30" s="14" t="s">
        <v>50</v>
      </c>
      <c r="O30" s="14" t="s">
        <v>51</v>
      </c>
    </row>
    <row r="31" spans="1:15">
      <c r="A31" s="15" t="s">
        <v>16</v>
      </c>
      <c r="B31" s="15" t="s">
        <v>10235</v>
      </c>
      <c r="C31" s="15" t="s">
        <v>10236</v>
      </c>
      <c r="D31" s="15" t="s">
        <v>10285</v>
      </c>
      <c r="E31" s="15">
        <v>30</v>
      </c>
      <c r="F31" s="15" t="s">
        <v>10298</v>
      </c>
      <c r="G31" s="15" t="s">
        <v>10299</v>
      </c>
      <c r="H31" s="15"/>
      <c r="I31" s="15" t="s">
        <v>49</v>
      </c>
      <c r="J31" s="7" t="str">
        <f>HYPERLINK("https://www.codechef.com/problems/PYTHONCH39", "https://www.codechef.com/problems/PYTHONCH39")</f>
        <v>https://www.codechef.com/problems/PYTHONCH39</v>
      </c>
      <c r="K31" s="15"/>
      <c r="L31" s="15"/>
      <c r="M31" s="15"/>
      <c r="N31" s="15" t="s">
        <v>50</v>
      </c>
      <c r="O31" s="15" t="s">
        <v>51</v>
      </c>
    </row>
    <row r="32" spans="1:15">
      <c r="A32" s="14" t="s">
        <v>16</v>
      </c>
      <c r="B32" s="14" t="s">
        <v>10235</v>
      </c>
      <c r="C32" s="14" t="s">
        <v>10236</v>
      </c>
      <c r="D32" s="14" t="s">
        <v>10285</v>
      </c>
      <c r="E32" s="14">
        <v>31</v>
      </c>
      <c r="F32" s="14" t="s">
        <v>10300</v>
      </c>
      <c r="G32" s="14" t="s">
        <v>10301</v>
      </c>
      <c r="H32" s="14"/>
      <c r="I32" s="14" t="s">
        <v>49</v>
      </c>
      <c r="J32" s="11" t="str">
        <f>HYPERLINK("https://www.codechef.com/problems/PYTHONCH41", "https://www.codechef.com/problems/PYTHONCH41")</f>
        <v>https://www.codechef.com/problems/PYTHONCH41</v>
      </c>
      <c r="K32" s="14"/>
      <c r="L32" s="14"/>
      <c r="M32" s="14"/>
      <c r="N32" s="14" t="s">
        <v>50</v>
      </c>
      <c r="O32" s="14" t="s">
        <v>51</v>
      </c>
    </row>
    <row r="33" spans="1:15">
      <c r="A33" s="15" t="s">
        <v>16</v>
      </c>
      <c r="B33" s="15" t="s">
        <v>10235</v>
      </c>
      <c r="C33" s="15" t="s">
        <v>10236</v>
      </c>
      <c r="D33" s="15" t="s">
        <v>10302</v>
      </c>
      <c r="E33" s="15">
        <v>32</v>
      </c>
      <c r="F33" s="15" t="s">
        <v>10303</v>
      </c>
      <c r="G33" s="15" t="s">
        <v>10304</v>
      </c>
      <c r="H33" s="15"/>
      <c r="I33" s="15" t="s">
        <v>96</v>
      </c>
      <c r="J33" s="7" t="str">
        <f>HYPERLINK("https://www.codechef.com/problems/PYTHONCH46", "https://www.codechef.com/problems/PYTHONCH46")</f>
        <v>https://www.codechef.com/problems/PYTHONCH46</v>
      </c>
      <c r="K33" s="15"/>
      <c r="L33" s="15"/>
      <c r="M33" s="15"/>
      <c r="N33" s="15" t="s">
        <v>50</v>
      </c>
      <c r="O33" s="15" t="s">
        <v>51</v>
      </c>
    </row>
    <row r="34" spans="1:15">
      <c r="A34" s="14" t="s">
        <v>16</v>
      </c>
      <c r="B34" s="14" t="s">
        <v>10235</v>
      </c>
      <c r="C34" s="14" t="s">
        <v>10236</v>
      </c>
      <c r="D34" s="14" t="s">
        <v>10302</v>
      </c>
      <c r="E34" s="14">
        <v>33</v>
      </c>
      <c r="F34" s="14" t="s">
        <v>10305</v>
      </c>
      <c r="G34" s="14" t="s">
        <v>10306</v>
      </c>
      <c r="H34" s="14"/>
      <c r="I34" s="14" t="s">
        <v>49</v>
      </c>
      <c r="J34" s="11" t="str">
        <f>HYPERLINK("https://www.codechef.com/problems/PYTHONCH47", "https://www.codechef.com/problems/PYTHONCH47")</f>
        <v>https://www.codechef.com/problems/PYTHONCH47</v>
      </c>
      <c r="K34" s="14"/>
      <c r="L34" s="14"/>
      <c r="M34" s="14"/>
      <c r="N34" s="14" t="s">
        <v>50</v>
      </c>
      <c r="O34" s="14" t="s">
        <v>51</v>
      </c>
    </row>
    <row r="35" spans="1:15">
      <c r="A35" s="15" t="s">
        <v>16</v>
      </c>
      <c r="B35" s="15" t="s">
        <v>10235</v>
      </c>
      <c r="C35" s="15" t="s">
        <v>10236</v>
      </c>
      <c r="D35" s="15" t="s">
        <v>10302</v>
      </c>
      <c r="E35" s="15">
        <v>34</v>
      </c>
      <c r="F35" s="15" t="s">
        <v>10307</v>
      </c>
      <c r="G35" s="15" t="s">
        <v>10308</v>
      </c>
      <c r="H35" s="15"/>
      <c r="I35" s="15" t="s">
        <v>96</v>
      </c>
      <c r="J35" s="7" t="str">
        <f>HYPERLINK("https://www.codechef.com/problems/PYTHONCH48", "https://www.codechef.com/problems/PYTHONCH48")</f>
        <v>https://www.codechef.com/problems/PYTHONCH48</v>
      </c>
      <c r="K35" s="15"/>
      <c r="L35" s="15"/>
      <c r="M35" s="15"/>
      <c r="N35" s="15" t="s">
        <v>50</v>
      </c>
      <c r="O35" s="15" t="s">
        <v>51</v>
      </c>
    </row>
    <row r="36" spans="1:15">
      <c r="A36" s="14" t="s">
        <v>16</v>
      </c>
      <c r="B36" s="14" t="s">
        <v>10235</v>
      </c>
      <c r="C36" s="14" t="s">
        <v>10236</v>
      </c>
      <c r="D36" s="14" t="s">
        <v>10302</v>
      </c>
      <c r="E36" s="14">
        <v>35</v>
      </c>
      <c r="F36" s="14" t="s">
        <v>10309</v>
      </c>
      <c r="G36" s="14" t="s">
        <v>10310</v>
      </c>
      <c r="H36" s="14"/>
      <c r="I36" s="14" t="s">
        <v>96</v>
      </c>
      <c r="J36" s="11" t="str">
        <f>HYPERLINK("https://www.codechef.com/problems/PYTHONCH50", "https://www.codechef.com/problems/PYTHONCH50")</f>
        <v>https://www.codechef.com/problems/PYTHONCH50</v>
      </c>
      <c r="K36" s="14"/>
      <c r="L36" s="14"/>
      <c r="M36" s="14"/>
      <c r="N36" s="14" t="s">
        <v>50</v>
      </c>
      <c r="O36" s="14" t="s">
        <v>51</v>
      </c>
    </row>
    <row r="37" spans="1:15">
      <c r="A37" s="15" t="s">
        <v>16</v>
      </c>
      <c r="B37" s="15" t="s">
        <v>10235</v>
      </c>
      <c r="C37" s="15" t="s">
        <v>10236</v>
      </c>
      <c r="D37" s="15" t="s">
        <v>10311</v>
      </c>
      <c r="E37" s="15">
        <v>36</v>
      </c>
      <c r="F37" s="15" t="s">
        <v>10312</v>
      </c>
      <c r="G37" s="15" t="s">
        <v>10313</v>
      </c>
      <c r="H37" s="15"/>
      <c r="I37" s="15" t="s">
        <v>49</v>
      </c>
      <c r="J37" s="7" t="str">
        <f>HYPERLINK("https://www.codechef.com/problems/PYTHONCH51", "https://www.codechef.com/problems/PYTHONCH51")</f>
        <v>https://www.codechef.com/problems/PYTHONCH51</v>
      </c>
      <c r="K37" s="15"/>
      <c r="L37" s="15"/>
      <c r="M37" s="15"/>
      <c r="N37" s="15" t="s">
        <v>50</v>
      </c>
      <c r="O37" s="15" t="s">
        <v>51</v>
      </c>
    </row>
    <row r="38" spans="1:15">
      <c r="A38" s="14" t="s">
        <v>16</v>
      </c>
      <c r="B38" s="14" t="s">
        <v>10235</v>
      </c>
      <c r="C38" s="14" t="s">
        <v>10236</v>
      </c>
      <c r="D38" s="14" t="s">
        <v>10311</v>
      </c>
      <c r="E38" s="14">
        <v>37</v>
      </c>
      <c r="F38" s="14" t="s">
        <v>10314</v>
      </c>
      <c r="G38" s="14" t="s">
        <v>10315</v>
      </c>
      <c r="H38" s="14"/>
      <c r="I38" s="14" t="s">
        <v>49</v>
      </c>
      <c r="J38" s="11" t="str">
        <f>HYPERLINK("https://www.codechef.com/problems/PYTHONCH52", "https://www.codechef.com/problems/PYTHONCH52")</f>
        <v>https://www.codechef.com/problems/PYTHONCH52</v>
      </c>
      <c r="K38" s="14"/>
      <c r="L38" s="14"/>
      <c r="M38" s="14"/>
      <c r="N38" s="14" t="s">
        <v>50</v>
      </c>
      <c r="O38" s="14" t="s">
        <v>51</v>
      </c>
    </row>
    <row r="39" spans="1:15">
      <c r="A39" s="15" t="s">
        <v>16</v>
      </c>
      <c r="B39" s="15" t="s">
        <v>10235</v>
      </c>
      <c r="C39" s="15" t="s">
        <v>10236</v>
      </c>
      <c r="D39" s="15" t="s">
        <v>10311</v>
      </c>
      <c r="E39" s="15">
        <v>38</v>
      </c>
      <c r="F39" s="15" t="s">
        <v>10316</v>
      </c>
      <c r="G39" s="15" t="s">
        <v>10317</v>
      </c>
      <c r="H39" s="15"/>
      <c r="I39" s="15" t="s">
        <v>49</v>
      </c>
      <c r="J39" s="7" t="str">
        <f>HYPERLINK("https://www.codechef.com/problems/PYTHONCH53", "https://www.codechef.com/problems/PYTHONCH53")</f>
        <v>https://www.codechef.com/problems/PYTHONCH53</v>
      </c>
      <c r="K39" s="15"/>
      <c r="L39" s="15"/>
      <c r="M39" s="15"/>
      <c r="N39" s="15" t="s">
        <v>50</v>
      </c>
      <c r="O39" s="15" t="s">
        <v>51</v>
      </c>
    </row>
    <row r="40" spans="1:15">
      <c r="A40" s="14" t="s">
        <v>16</v>
      </c>
      <c r="B40" s="14" t="s">
        <v>10235</v>
      </c>
      <c r="C40" s="14" t="s">
        <v>10236</v>
      </c>
      <c r="D40" s="14" t="s">
        <v>10311</v>
      </c>
      <c r="E40" s="14">
        <v>39</v>
      </c>
      <c r="F40" s="14" t="s">
        <v>10318</v>
      </c>
      <c r="G40" s="14" t="s">
        <v>10319</v>
      </c>
      <c r="H40" s="14"/>
      <c r="I40" s="14" t="s">
        <v>49</v>
      </c>
      <c r="J40" s="11" t="str">
        <f>HYPERLINK("https://www.codechef.com/problems/PYTHONCH55", "https://www.codechef.com/problems/PYTHONCH55")</f>
        <v>https://www.codechef.com/problems/PYTHONCH55</v>
      </c>
      <c r="K40" s="14"/>
      <c r="L40" s="14"/>
      <c r="M40" s="14"/>
      <c r="N40" s="14" t="s">
        <v>50</v>
      </c>
      <c r="O40" s="14" t="s">
        <v>51</v>
      </c>
    </row>
    <row r="41" spans="1:15">
      <c r="A41" s="15" t="s">
        <v>16</v>
      </c>
      <c r="B41" s="15" t="s">
        <v>10235</v>
      </c>
      <c r="C41" s="15" t="s">
        <v>10236</v>
      </c>
      <c r="D41" s="15" t="s">
        <v>10311</v>
      </c>
      <c r="E41" s="15">
        <v>40</v>
      </c>
      <c r="F41" s="15" t="s">
        <v>10320</v>
      </c>
      <c r="G41" s="15" t="s">
        <v>10321</v>
      </c>
      <c r="H41" s="15"/>
      <c r="I41" s="15" t="s">
        <v>49</v>
      </c>
      <c r="J41" s="7" t="str">
        <f>HYPERLINK("https://www.codechef.com/problems/PYTHONCH57", "https://www.codechef.com/problems/PYTHONCH57")</f>
        <v>https://www.codechef.com/problems/PYTHONCH57</v>
      </c>
      <c r="K41" s="15"/>
      <c r="L41" s="15"/>
      <c r="M41" s="15"/>
      <c r="N41" s="15" t="s">
        <v>50</v>
      </c>
      <c r="O41" s="15" t="s">
        <v>51</v>
      </c>
    </row>
    <row r="42" spans="1:15">
      <c r="A42" s="14" t="s">
        <v>16</v>
      </c>
      <c r="B42" s="14" t="s">
        <v>10235</v>
      </c>
      <c r="C42" s="14" t="s">
        <v>10236</v>
      </c>
      <c r="D42" s="14" t="s">
        <v>10311</v>
      </c>
      <c r="E42" s="14">
        <v>41</v>
      </c>
      <c r="F42" s="14" t="s">
        <v>10322</v>
      </c>
      <c r="G42" s="14" t="s">
        <v>10323</v>
      </c>
      <c r="H42" s="14"/>
      <c r="I42" s="14" t="s">
        <v>49</v>
      </c>
      <c r="J42" s="11" t="str">
        <f>HYPERLINK("https://www.codechef.com/problems/PYTHONCH58", "https://www.codechef.com/problems/PYTHONCH58")</f>
        <v>https://www.codechef.com/problems/PYTHONCH58</v>
      </c>
      <c r="K42" s="14"/>
      <c r="L42" s="14"/>
      <c r="M42" s="14"/>
      <c r="N42" s="14" t="s">
        <v>50</v>
      </c>
      <c r="O42" s="14" t="s">
        <v>51</v>
      </c>
    </row>
    <row r="43" spans="1:15">
      <c r="A43" s="15" t="s">
        <v>16</v>
      </c>
      <c r="B43" s="15" t="s">
        <v>10235</v>
      </c>
      <c r="C43" s="15" t="s">
        <v>10236</v>
      </c>
      <c r="D43" s="15" t="s">
        <v>10311</v>
      </c>
      <c r="E43" s="15">
        <v>42</v>
      </c>
      <c r="F43" s="15" t="s">
        <v>10324</v>
      </c>
      <c r="G43" s="15" t="s">
        <v>10325</v>
      </c>
      <c r="H43" s="15"/>
      <c r="I43" s="15" t="s">
        <v>49</v>
      </c>
      <c r="J43" s="7" t="str">
        <f>HYPERLINK("https://www.codechef.com/problems/PYTHONCH59", "https://www.codechef.com/problems/PYTHONCH59")</f>
        <v>https://www.codechef.com/problems/PYTHONCH59</v>
      </c>
      <c r="K43" s="15"/>
      <c r="L43" s="15"/>
      <c r="M43" s="15"/>
      <c r="N43" s="15" t="s">
        <v>50</v>
      </c>
      <c r="O43" s="15"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11</vt:i4>
      </vt:variant>
    </vt:vector>
  </HeadingPairs>
  <TitlesOfParts>
    <vt:vector size="11" baseType="lpstr">
      <vt:lpstr>INDEX</vt:lpstr>
      <vt:lpstr>SUMMARY</vt:lpstr>
      <vt:lpstr>Beginner DSA</vt:lpstr>
      <vt:lpstr>Data Structures</vt:lpstr>
      <vt:lpstr>Algorithms</vt:lpstr>
      <vt:lpstr>Difficulty Rating Wise</vt:lpstr>
      <vt:lpstr>Star Wise Paths</vt:lpstr>
      <vt:lpstr>Interview Questions</vt:lpstr>
      <vt:lpstr>Other Practice Paths</vt:lpstr>
      <vt:lpstr>Company Based Questions</vt:lpstr>
      <vt:lpstr>Advanced Coding Challenges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Deva Harsha</cp:lastModifiedBy>
  <dcterms:created xsi:type="dcterms:W3CDTF">2026-08-01T19:10:10Z</dcterms:created>
  <dcterms:modified xsi:type="dcterms:W3CDTF">2026-08-01T19:18:22Z</dcterms:modified>
</cp:coreProperties>
</file>